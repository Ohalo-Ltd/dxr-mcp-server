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rtization Schedule" sheetId="1" r:id="rId3"/>
    <sheet state="hidden" name="ASTemp" sheetId="2" r:id="rId4"/>
    <sheet state="hidden" name="Parameters" sheetId="3" r:id="rId5"/>
  </sheets>
  <definedNames>
    <definedName name="Nper">Parameters!$K$4</definedName>
    <definedName name="Percentages">Parameters!$K$8</definedName>
    <definedName name="Start_Date">Parameters!$K$6</definedName>
    <definedName name="Type">Parameters!$K$5</definedName>
    <definedName name="PV">ASTemp!$E$4</definedName>
    <definedName name="Decimals">Parameters!$K$7</definedName>
    <definedName localSheetId="0" name="PV">'Amortization Schedule'!$E$4</definedName>
    <definedName name="Rate">Parameters!$K$3</definedName>
  </definedNames>
  <calcPr/>
</workbook>
</file>

<file path=xl/sharedStrings.xml><?xml version="1.0" encoding="utf-8"?>
<sst xmlns="http://schemas.openxmlformats.org/spreadsheetml/2006/main" count="88" uniqueCount="58">
  <si>
    <t>Weeks</t>
  </si>
  <si>
    <t>Weekly</t>
  </si>
  <si>
    <t>Jan</t>
  </si>
  <si>
    <t>Start / End</t>
  </si>
  <si>
    <t>Loan Amount</t>
  </si>
  <si>
    <t>Months</t>
  </si>
  <si>
    <t>Monthly</t>
  </si>
  <si>
    <t>Feb</t>
  </si>
  <si>
    <t>Rate</t>
  </si>
  <si>
    <t>Salution</t>
  </si>
  <si>
    <t>Quarters</t>
  </si>
  <si>
    <t>Quarterly</t>
  </si>
  <si>
    <t>Mar</t>
  </si>
  <si>
    <t>Nper</t>
  </si>
  <si>
    <t>Interest Rate</t>
  </si>
  <si>
    <t>Half Years</t>
  </si>
  <si>
    <t>Six Monthly</t>
  </si>
  <si>
    <t>Apr</t>
  </si>
  <si>
    <t>Type</t>
  </si>
  <si>
    <t>Mr.</t>
  </si>
  <si>
    <t>Years</t>
  </si>
  <si>
    <t>Yearly</t>
  </si>
  <si>
    <t>May</t>
  </si>
  <si>
    <t>Start Date</t>
  </si>
  <si>
    <t>Borrower's Name</t>
  </si>
  <si>
    <t>Eddie Kouton</t>
  </si>
  <si>
    <t>Loan Period</t>
  </si>
  <si>
    <t>Jun</t>
  </si>
  <si>
    <t>Decimal Formatting</t>
  </si>
  <si>
    <t>Lender's Name</t>
  </si>
  <si>
    <t>Citi Bank</t>
  </si>
  <si>
    <t>Jul</t>
  </si>
  <si>
    <t>% Formatting</t>
  </si>
  <si>
    <t>Payment Frequency</t>
  </si>
  <si>
    <t>Aug</t>
  </si>
  <si>
    <t>Date Loan Taken</t>
  </si>
  <si>
    <t>Start Year &amp; Month of Payment</t>
  </si>
  <si>
    <t>Sep</t>
  </si>
  <si>
    <t>Total Interest Paid</t>
  </si>
  <si>
    <t>Oct</t>
  </si>
  <si>
    <t>Nov</t>
  </si>
  <si>
    <t>Dec</t>
  </si>
  <si>
    <t>No. of Decimal Places in Figures</t>
  </si>
  <si>
    <t>Total Amount Paid</t>
  </si>
  <si>
    <t>EMI Due - Start / End of the Period</t>
  </si>
  <si>
    <t>Payment
No.</t>
  </si>
  <si>
    <t>Date of Payment</t>
  </si>
  <si>
    <t>Year</t>
  </si>
  <si>
    <t>Month</t>
  </si>
  <si>
    <t>Starting 
Balance</t>
  </si>
  <si>
    <t>Payment</t>
  </si>
  <si>
    <t>Principal 
Payment</t>
  </si>
  <si>
    <t>Interest 
Payment</t>
  </si>
  <si>
    <t>Cumulative 
Principal</t>
  </si>
  <si>
    <t>Cumulative 
Interest</t>
  </si>
  <si>
    <t>Loan Remaining</t>
  </si>
  <si>
    <t>% of Loan Paid Up</t>
  </si>
  <si>
    <t>% of Loan 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</si>
</sst>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\-yy"/>
    <numFmt numFmtId="165" formatCode="0_);[Red]\(0\)"/>
    <numFmt numFmtId="166" formatCode="&quot;$&quot;#,##0.00"/>
    <numFmt numFmtId="167" formatCode="#,##0.0000000000_);[Red]\(#,##0.0000000000\)"/>
    <numFmt numFmtId="168" formatCode="#,##0.00000000000_);[Red]\(#,##0.00000000000\)"/>
  </numFmts>
  <fonts count="7">
    <font>
      <sz val="11.0"/>
      <color rgb="FF000000"/>
      <name val="Calibri"/>
    </font>
    <font>
      <sz val="10.0"/>
      <name val="Arial"/>
    </font>
    <font>
      <b/>
      <sz val="22.0"/>
      <color rgb="FFFFFFFF"/>
      <name val="Arial"/>
    </font>
    <font/>
    <font>
      <b/>
      <sz val="10.0"/>
      <color rgb="FFFFFFFF"/>
      <name val="Arial"/>
    </font>
    <font>
      <b/>
      <sz val="10.0"/>
      <name val="Arial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</fills>
  <borders count="40">
    <border/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left style="medium">
        <color rgb="FF000000"/>
      </left>
      <right/>
      <top/>
      <bottom style="medium">
        <color rgb="FF000000"/>
      </bottom>
    </border>
    <border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38" xfId="0" applyFont="1" applyNumberFormat="1"/>
    <xf borderId="0" fillId="0" fontId="1" numFmtId="38" xfId="0" applyAlignment="1" applyFont="1" applyNumberFormat="1">
      <alignment horizontal="center"/>
    </xf>
    <xf borderId="1" fillId="2" fontId="0" numFmtId="0" xfId="0" applyBorder="1" applyFill="1" applyFont="1"/>
    <xf borderId="2" fillId="3" fontId="2" numFmtId="38" xfId="0" applyAlignment="1" applyBorder="1" applyFill="1" applyFont="1" applyNumberFormat="1">
      <alignment horizontal="center"/>
    </xf>
    <xf borderId="3" fillId="2" fontId="0" numFmtId="0" xfId="0" applyBorder="1" applyFont="1"/>
    <xf borderId="4" fillId="0" fontId="3" numFmtId="0" xfId="0" applyBorder="1" applyFont="1"/>
    <xf borderId="5" fillId="2" fontId="0" numFmtId="0" xfId="0" applyBorder="1" applyFont="1"/>
    <xf borderId="6" fillId="0" fontId="3" numFmtId="0" xfId="0" applyBorder="1" applyFont="1"/>
    <xf borderId="0" fillId="0" fontId="0" numFmtId="0" xfId="0" applyFont="1"/>
    <xf borderId="7" fillId="2" fontId="0" numFmtId="0" xfId="0" applyBorder="1" applyFont="1"/>
    <xf borderId="8" fillId="2" fontId="0" numFmtId="0" xfId="0" applyBorder="1" applyFont="1"/>
    <xf borderId="9" fillId="3" fontId="4" numFmtId="38" xfId="0" applyBorder="1" applyFont="1" applyNumberFormat="1"/>
    <xf borderId="10" fillId="0" fontId="3" numFmtId="0" xfId="0" applyBorder="1" applyFont="1"/>
    <xf borderId="11" fillId="0" fontId="3" numFmtId="0" xfId="0" applyBorder="1" applyFont="1"/>
    <xf borderId="12" fillId="2" fontId="0" numFmtId="0" xfId="0" applyBorder="1" applyFont="1"/>
    <xf borderId="13" fillId="2" fontId="0" numFmtId="0" xfId="0" applyBorder="1" applyFont="1"/>
    <xf borderId="14" fillId="2" fontId="0" numFmtId="0" xfId="0" applyBorder="1" applyFont="1"/>
    <xf borderId="15" fillId="4" fontId="5" numFmtId="38" xfId="0" applyAlignment="1" applyBorder="1" applyFill="1" applyFont="1" applyNumberFormat="1">
      <alignment horizontal="center"/>
    </xf>
    <xf borderId="16" fillId="0" fontId="3" numFmtId="0" xfId="0" applyBorder="1" applyFont="1"/>
    <xf borderId="17" fillId="3" fontId="4" numFmtId="38" xfId="0" applyAlignment="1" applyBorder="1" applyFont="1" applyNumberFormat="1">
      <alignment horizontal="left"/>
    </xf>
    <xf borderId="18" fillId="3" fontId="4" numFmtId="38" xfId="0" applyAlignment="1" applyBorder="1" applyFont="1" applyNumberFormat="1">
      <alignment horizontal="left"/>
    </xf>
    <xf borderId="14" fillId="2" fontId="0" numFmtId="10" xfId="0" applyBorder="1" applyFont="1" applyNumberFormat="1"/>
    <xf borderId="15" fillId="4" fontId="5" numFmtId="38" xfId="0" applyAlignment="1" applyBorder="1" applyFont="1" applyNumberFormat="1">
      <alignment horizontal="left"/>
    </xf>
    <xf borderId="19" fillId="3" fontId="4" numFmtId="38" xfId="0" applyBorder="1" applyFont="1" applyNumberFormat="1"/>
    <xf borderId="20" fillId="0" fontId="3" numFmtId="0" xfId="0" applyBorder="1" applyFont="1"/>
    <xf borderId="21" fillId="2" fontId="0" numFmtId="0" xfId="0" applyBorder="1" applyFont="1"/>
    <xf borderId="22" fillId="0" fontId="3" numFmtId="0" xfId="0" applyBorder="1" applyFont="1"/>
    <xf borderId="23" fillId="2" fontId="0" numFmtId="0" xfId="0" applyBorder="1" applyFont="1"/>
    <xf borderId="13" fillId="4" fontId="6" numFmtId="9" xfId="0" applyAlignment="1" applyBorder="1" applyFont="1" applyNumberFormat="1">
      <alignment horizontal="center"/>
    </xf>
    <xf borderId="24" fillId="2" fontId="0" numFmtId="0" xfId="0" applyBorder="1" applyFont="1"/>
    <xf borderId="25" fillId="4" fontId="5" numFmtId="38" xfId="0" applyAlignment="1" applyBorder="1" applyFont="1" applyNumberFormat="1">
      <alignment horizontal="center"/>
    </xf>
    <xf borderId="26" fillId="3" fontId="4" numFmtId="38" xfId="0" applyAlignment="1" applyBorder="1" applyFont="1" applyNumberFormat="1">
      <alignment horizontal="left"/>
    </xf>
    <xf borderId="13" fillId="3" fontId="4" numFmtId="38" xfId="0" applyAlignment="1" applyBorder="1" applyFont="1" applyNumberFormat="1">
      <alignment horizontal="left"/>
    </xf>
    <xf borderId="27" fillId="4" fontId="5" numFmtId="38" xfId="0" applyAlignment="1" applyBorder="1" applyFont="1" applyNumberFormat="1">
      <alignment horizontal="left"/>
    </xf>
    <xf borderId="28" fillId="0" fontId="3" numFmtId="0" xfId="0" applyBorder="1" applyFont="1"/>
    <xf borderId="8" fillId="2" fontId="0" numFmtId="14" xfId="0" applyBorder="1" applyFont="1" applyNumberFormat="1"/>
    <xf borderId="13" fillId="4" fontId="6" numFmtId="0" xfId="0" applyAlignment="1" applyBorder="1" applyFont="1">
      <alignment horizontal="center"/>
    </xf>
    <xf borderId="27" fillId="4" fontId="5" numFmtId="38" xfId="0" applyAlignment="1" applyBorder="1" applyFont="1" applyNumberFormat="1">
      <alignment horizontal="center"/>
    </xf>
    <xf borderId="27" fillId="4" fontId="5" numFmtId="164" xfId="0" applyAlignment="1" applyBorder="1" applyFont="1" applyNumberFormat="1">
      <alignment horizontal="left"/>
    </xf>
    <xf borderId="13" fillId="4" fontId="5" numFmtId="165" xfId="0" applyAlignment="1" applyBorder="1" applyFont="1" applyNumberFormat="1">
      <alignment horizontal="center"/>
    </xf>
    <xf borderId="0" fillId="0" fontId="0" numFmtId="0" xfId="0" applyAlignment="1" applyFont="1">
      <alignment horizontal="right"/>
    </xf>
    <xf borderId="12" fillId="2" fontId="0" numFmtId="0" xfId="0" applyAlignment="1" applyBorder="1" applyFont="1">
      <alignment horizontal="right"/>
    </xf>
    <xf borderId="25" fillId="4" fontId="6" numFmtId="0" xfId="0" applyAlignment="1" applyBorder="1" applyFont="1">
      <alignment horizontal="center"/>
    </xf>
    <xf borderId="13" fillId="2" fontId="0" numFmtId="0" xfId="0" applyAlignment="1" applyBorder="1" applyFont="1">
      <alignment horizontal="left"/>
    </xf>
    <xf borderId="14" fillId="2" fontId="0" numFmtId="0" xfId="0" applyAlignment="1" applyBorder="1" applyFont="1">
      <alignment horizontal="right"/>
    </xf>
    <xf borderId="27" fillId="4" fontId="6" numFmtId="0" xfId="0" applyAlignment="1" applyBorder="1" applyFont="1">
      <alignment horizontal="left"/>
    </xf>
    <xf borderId="27" fillId="4" fontId="6" numFmtId="166" xfId="0" applyAlignment="1" applyBorder="1" applyFont="1" applyNumberFormat="1">
      <alignment horizontal="left"/>
    </xf>
    <xf borderId="27" fillId="4" fontId="6" numFmtId="0" xfId="0" applyAlignment="1" applyBorder="1" applyFont="1">
      <alignment horizontal="center"/>
    </xf>
    <xf borderId="29" fillId="3" fontId="4" numFmtId="38" xfId="0" applyAlignment="1" applyBorder="1" applyFont="1" applyNumberFormat="1">
      <alignment horizontal="left"/>
    </xf>
    <xf borderId="30" fillId="3" fontId="4" numFmtId="38" xfId="0" applyAlignment="1" applyBorder="1" applyFont="1" applyNumberFormat="1">
      <alignment horizontal="left"/>
    </xf>
    <xf borderId="31" fillId="4" fontId="6" numFmtId="0" xfId="0" applyBorder="1" applyFont="1"/>
    <xf borderId="31" fillId="4" fontId="6" numFmtId="166" xfId="0" applyAlignment="1" applyBorder="1" applyFont="1" applyNumberFormat="1">
      <alignment horizontal="left"/>
    </xf>
    <xf borderId="32" fillId="0" fontId="3" numFmtId="0" xfId="0" applyBorder="1" applyFont="1"/>
    <xf borderId="33" fillId="0" fontId="3" numFmtId="0" xfId="0" applyBorder="1" applyFont="1"/>
    <xf borderId="34" fillId="3" fontId="4" numFmtId="38" xfId="0" applyBorder="1" applyFont="1" applyNumberFormat="1"/>
    <xf borderId="35" fillId="0" fontId="3" numFmtId="0" xfId="0" applyBorder="1" applyFont="1"/>
    <xf borderId="30" fillId="4" fontId="5" numFmtId="38" xfId="0" applyBorder="1" applyFont="1" applyNumberFormat="1"/>
    <xf borderId="36" fillId="4" fontId="5" numFmtId="38" xfId="0" applyBorder="1" applyFont="1" applyNumberFormat="1"/>
    <xf borderId="0" fillId="0" fontId="1" numFmtId="38" xfId="0" applyAlignment="1" applyFont="1" applyNumberFormat="1">
      <alignment horizontal="left"/>
    </xf>
    <xf borderId="37" fillId="3" fontId="4" numFmtId="38" xfId="0" applyAlignment="1" applyBorder="1" applyFont="1" applyNumberFormat="1">
      <alignment horizontal="center" shrinkToFit="0" wrapText="1"/>
    </xf>
    <xf borderId="38" fillId="3" fontId="4" numFmtId="38" xfId="0" applyAlignment="1" applyBorder="1" applyFont="1" applyNumberFormat="1">
      <alignment horizontal="center" shrinkToFit="0" wrapText="1"/>
    </xf>
    <xf borderId="38" fillId="3" fontId="4" numFmtId="38" xfId="0" applyAlignment="1" applyBorder="1" applyFont="1" applyNumberFormat="1">
      <alignment horizontal="right"/>
    </xf>
    <xf borderId="38" fillId="3" fontId="4" numFmtId="38" xfId="0" applyAlignment="1" applyBorder="1" applyFont="1" applyNumberFormat="1">
      <alignment horizontal="right" shrinkToFit="0" wrapText="1"/>
    </xf>
    <xf borderId="39" fillId="3" fontId="4" numFmtId="38" xfId="0" applyAlignment="1" applyBorder="1" applyFont="1" applyNumberFormat="1">
      <alignment horizontal="right" shrinkToFit="0" wrapText="1"/>
    </xf>
    <xf borderId="0" fillId="0" fontId="1" numFmtId="38" xfId="0" applyAlignment="1" applyFont="1" applyNumberFormat="1">
      <alignment horizontal="right"/>
    </xf>
    <xf borderId="0" fillId="0" fontId="0" numFmtId="0" xfId="0" applyAlignment="1" applyFont="1">
      <alignment horizontal="center"/>
    </xf>
    <xf borderId="0" fillId="0" fontId="0" numFmtId="164" xfId="0" applyAlignment="1" applyFont="1" applyNumberFormat="1">
      <alignment horizontal="center"/>
    </xf>
    <xf borderId="0" fillId="0" fontId="1" numFmtId="165" xfId="0" applyFont="1" applyNumberFormat="1"/>
    <xf borderId="0" fillId="0" fontId="1" numFmtId="0" xfId="0" applyAlignment="1" applyFont="1">
      <alignment horizontal="right"/>
    </xf>
    <xf borderId="0" fillId="0" fontId="1" numFmtId="166" xfId="0" applyAlignment="1" applyFont="1" applyNumberFormat="1">
      <alignment horizontal="right"/>
    </xf>
    <xf borderId="0" fillId="0" fontId="1" numFmtId="10" xfId="0" applyAlignment="1" applyFont="1" applyNumberFormat="1">
      <alignment horizontal="right"/>
    </xf>
    <xf borderId="0" fillId="0" fontId="0" numFmtId="10" xfId="0" applyAlignment="1" applyFont="1" applyNumberFormat="1">
      <alignment horizontal="right"/>
    </xf>
    <xf borderId="0" fillId="0" fontId="1" numFmtId="167" xfId="0" applyAlignment="1" applyFont="1" applyNumberFormat="1">
      <alignment horizontal="right"/>
    </xf>
    <xf borderId="0" fillId="0" fontId="1" numFmtId="168" xfId="0" applyAlignment="1" applyFont="1" applyNumberForma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>
        <left style="thin">
          <color rgb="FF000000"/>
        </left>
      </border>
    </dxf>
    <dxf>
      <font/>
      <fill>
        <patternFill patternType="none"/>
      </fill>
      <border>
        <right style="thin">
          <color rgb="FF000000"/>
        </right>
      </border>
    </dxf>
    <dxf>
      <font/>
      <fill>
        <patternFill patternType="none"/>
      </fill>
      <border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5" width="10.71"/>
    <col customWidth="1" min="6" max="6" width="11.71"/>
    <col customWidth="1" min="7" max="14" width="10.71"/>
    <col customWidth="1" min="15" max="15" width="1.57"/>
  </cols>
  <sheetData>
    <row r="1" ht="7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O1" t="str">
        <f>""</f>
        <v/>
      </c>
    </row>
    <row r="2" ht="14.25" customHeight="1">
      <c r="A2" s="1"/>
      <c r="B2" s="4" t="str">
        <f>"Loan Payment Schedule for "&amp;$L$4&amp;" "&amp;$L$5</f>
        <v>Loan Payment Schedule for Mr. Eddie Kouton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8"/>
    </row>
    <row r="3" ht="14.2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</row>
    <row r="4" ht="14.25" customHeight="1">
      <c r="A4" s="1"/>
      <c r="B4" s="12" t="s">
        <v>4</v>
      </c>
      <c r="C4" s="13"/>
      <c r="D4" s="14"/>
      <c r="E4" s="18">
        <v>500000.0</v>
      </c>
      <c r="F4" s="19"/>
      <c r="G4" s="2"/>
      <c r="J4" s="20" t="s">
        <v>9</v>
      </c>
      <c r="K4" s="21"/>
      <c r="L4" s="23" t="s">
        <v>19</v>
      </c>
      <c r="M4" s="13"/>
      <c r="N4" s="19"/>
    </row>
    <row r="5" ht="14.25" customHeight="1">
      <c r="A5" s="1"/>
      <c r="B5" s="24" t="s">
        <v>14</v>
      </c>
      <c r="C5" s="25"/>
      <c r="D5" s="27"/>
      <c r="E5" s="29">
        <v>0.05</v>
      </c>
      <c r="F5" s="31" t="s">
        <v>21</v>
      </c>
      <c r="G5" s="2"/>
      <c r="J5" s="32" t="s">
        <v>24</v>
      </c>
      <c r="K5" s="33"/>
      <c r="L5" s="34" t="s">
        <v>25</v>
      </c>
      <c r="M5" s="25"/>
      <c r="N5" s="35"/>
    </row>
    <row r="6" ht="14.25" customHeight="1">
      <c r="A6" s="1"/>
      <c r="B6" s="24" t="s">
        <v>26</v>
      </c>
      <c r="C6" s="25"/>
      <c r="D6" s="27"/>
      <c r="E6" s="37">
        <v>12.0</v>
      </c>
      <c r="F6" s="31" t="s">
        <v>5</v>
      </c>
      <c r="G6" s="2"/>
      <c r="J6" s="32" t="s">
        <v>29</v>
      </c>
      <c r="K6" s="33"/>
      <c r="L6" s="34" t="s">
        <v>30</v>
      </c>
      <c r="M6" s="25"/>
      <c r="N6" s="35"/>
    </row>
    <row r="7" ht="14.25" customHeight="1">
      <c r="A7" s="1"/>
      <c r="B7" s="24" t="s">
        <v>33</v>
      </c>
      <c r="C7" s="25"/>
      <c r="D7" s="27"/>
      <c r="E7" s="38" t="s">
        <v>1</v>
      </c>
      <c r="F7" s="35"/>
      <c r="G7" s="2"/>
      <c r="J7" s="32" t="s">
        <v>35</v>
      </c>
      <c r="K7" s="33"/>
      <c r="L7" s="39">
        <v>42087.0</v>
      </c>
      <c r="M7" s="25"/>
      <c r="N7" s="35"/>
    </row>
    <row r="8" ht="14.25" customHeight="1">
      <c r="A8" s="1"/>
      <c r="B8" s="24" t="s">
        <v>36</v>
      </c>
      <c r="C8" s="25"/>
      <c r="D8" s="27"/>
      <c r="E8" s="40">
        <v>2015.0</v>
      </c>
      <c r="F8" s="43" t="s">
        <v>37</v>
      </c>
      <c r="G8" s="2"/>
      <c r="J8" s="32" t="s">
        <v>38</v>
      </c>
      <c r="K8" s="33"/>
      <c r="L8" s="46" t="str">
        <f>TEXT(ASTemp!L8,Decimals)</f>
        <v>12844.5</v>
      </c>
      <c r="M8" s="25"/>
      <c r="N8" s="35"/>
    </row>
    <row r="9" ht="14.25" customHeight="1">
      <c r="A9" s="1"/>
      <c r="B9" s="24" t="s">
        <v>42</v>
      </c>
      <c r="C9" s="25"/>
      <c r="D9" s="27"/>
      <c r="E9" s="48">
        <v>1.0</v>
      </c>
      <c r="F9" s="35"/>
      <c r="G9" s="1"/>
      <c r="J9" s="49" t="s">
        <v>43</v>
      </c>
      <c r="K9" s="50"/>
      <c r="L9" s="51" t="str">
        <f>TEXT(ASTemp!L9,Decimals)</f>
        <v>512844.5</v>
      </c>
      <c r="M9" s="53"/>
      <c r="N9" s="54"/>
    </row>
    <row r="10" ht="14.25" customHeight="1">
      <c r="A10" s="1"/>
      <c r="B10" s="55" t="s">
        <v>44</v>
      </c>
      <c r="C10" s="53"/>
      <c r="D10" s="56"/>
      <c r="E10" s="57"/>
      <c r="F10" s="58"/>
      <c r="G10" s="1"/>
    </row>
    <row r="11" ht="14.25" customHeight="1">
      <c r="A11" s="1"/>
      <c r="B11" s="2"/>
      <c r="C11" s="1"/>
      <c r="D11" s="1"/>
      <c r="E11" s="1"/>
      <c r="F11" s="1"/>
      <c r="G11" s="1"/>
      <c r="H11" s="59"/>
      <c r="I11" s="59"/>
      <c r="J11" s="59"/>
      <c r="K11" s="59"/>
      <c r="L11" s="59"/>
    </row>
    <row r="12" ht="14.25" customHeight="1">
      <c r="A12" s="1"/>
      <c r="B12" s="60" t="s">
        <v>45</v>
      </c>
      <c r="C12" s="61" t="s">
        <v>46</v>
      </c>
      <c r="D12" s="62" t="s">
        <v>47</v>
      </c>
      <c r="E12" s="62" t="s">
        <v>48</v>
      </c>
      <c r="F12" s="63" t="s">
        <v>49</v>
      </c>
      <c r="G12" s="62" t="s">
        <v>50</v>
      </c>
      <c r="H12" s="63" t="s">
        <v>51</v>
      </c>
      <c r="I12" s="63" t="s">
        <v>52</v>
      </c>
      <c r="J12" s="63" t="s">
        <v>53</v>
      </c>
      <c r="K12" s="63" t="s">
        <v>54</v>
      </c>
      <c r="L12" s="63" t="s">
        <v>55</v>
      </c>
      <c r="M12" s="63" t="s">
        <v>56</v>
      </c>
      <c r="N12" s="64" t="s">
        <v>57</v>
      </c>
    </row>
    <row r="13" ht="14.25" customHeight="1">
      <c r="A13" s="65"/>
      <c r="B13" s="66">
        <f>ASTemp!B13</f>
        <v>1</v>
      </c>
      <c r="C13" s="67">
        <f>ASTemp!C13</f>
        <v>42277</v>
      </c>
      <c r="D13" s="68">
        <f>ASTemp!D13</f>
        <v>2015</v>
      </c>
      <c r="E13" s="65" t="str">
        <f>ASTemp!E13</f>
        <v>Sep</v>
      </c>
      <c r="F13" s="69" t="str">
        <f>TEXT(ASTemp!F13,Decimals)</f>
        <v>500000.0</v>
      </c>
      <c r="G13" s="69" t="str">
        <f>TEXT(ASTemp!G13,Decimals)</f>
        <v>9862.4</v>
      </c>
      <c r="H13" s="69" t="str">
        <f>TEXT(ASTemp!H13,Decimals)</f>
        <v>9381.6</v>
      </c>
      <c r="I13" s="69" t="str">
        <f>TEXT(ASTemp!I13,Decimals)</f>
        <v>480.8</v>
      </c>
      <c r="J13" s="69" t="str">
        <f>TEXT(ASTemp!J13,Decimals)</f>
        <v>9381.6</v>
      </c>
      <c r="K13" s="69" t="str">
        <f>TEXT(ASTemp!K13,Decimals)</f>
        <v>480.8</v>
      </c>
      <c r="L13" s="69" t="str">
        <f>TEXT(ASTemp!L13,Decimals)</f>
        <v>490618.4</v>
      </c>
      <c r="M13" s="71" t="str">
        <f>TEXT(ASTemp!M13,Percentages)</f>
        <v>1.9%</v>
      </c>
      <c r="N13" s="72" t="str">
        <f>TEXT(ASTemp!N13,Percentages)</f>
        <v>98.1%</v>
      </c>
    </row>
    <row r="14" ht="14.25" customHeight="1">
      <c r="B14" s="66">
        <f>ASTemp!B14</f>
        <v>2</v>
      </c>
      <c r="C14" s="67">
        <f>ASTemp!C14</f>
        <v>42284</v>
      </c>
      <c r="D14" s="68">
        <f>ASTemp!D14</f>
        <v>2015</v>
      </c>
      <c r="E14" s="65" t="str">
        <f>ASTemp!E14</f>
        <v>Oct</v>
      </c>
      <c r="F14" s="69" t="str">
        <f>TEXT(ASTemp!F14,Decimals)</f>
        <v>490618.4</v>
      </c>
      <c r="G14" s="69" t="str">
        <f>TEXT(ASTemp!G14,Decimals)</f>
        <v>9862.4</v>
      </c>
      <c r="H14" s="69" t="str">
        <f>TEXT(ASTemp!H14,Decimals)</f>
        <v>9390.6</v>
      </c>
      <c r="I14" s="69" t="str">
        <f>TEXT(ASTemp!I14,Decimals)</f>
        <v>471.7</v>
      </c>
      <c r="J14" s="69" t="str">
        <f>TEXT(ASTemp!J14,Decimals)</f>
        <v>18772.3</v>
      </c>
      <c r="K14" s="69" t="str">
        <f>TEXT(ASTemp!K14,Decimals)</f>
        <v>952.5</v>
      </c>
      <c r="L14" s="69" t="str">
        <f>TEXT(ASTemp!L14,Decimals)</f>
        <v>481227.7</v>
      </c>
      <c r="M14" s="71" t="str">
        <f>TEXT(ASTemp!M14,Percentages)</f>
        <v>3.8%</v>
      </c>
      <c r="N14" s="72" t="str">
        <f>TEXT(ASTemp!N14,Percentages)</f>
        <v>96.2%</v>
      </c>
    </row>
    <row r="15" ht="14.25" customHeight="1">
      <c r="B15" s="66">
        <f>ASTemp!B15</f>
        <v>3</v>
      </c>
      <c r="C15" s="67">
        <f>ASTemp!C15</f>
        <v>42291</v>
      </c>
      <c r="D15" s="68">
        <f>ASTemp!D15</f>
        <v>2015</v>
      </c>
      <c r="E15" s="65" t="str">
        <f>ASTemp!E15</f>
        <v>Oct</v>
      </c>
      <c r="F15" s="69" t="str">
        <f>TEXT(ASTemp!F15,Decimals)</f>
        <v>481227.7</v>
      </c>
      <c r="G15" s="69" t="str">
        <f>TEXT(ASTemp!G15,Decimals)</f>
        <v>9862.4</v>
      </c>
      <c r="H15" s="69" t="str">
        <f>TEXT(ASTemp!H15,Decimals)</f>
        <v>9399.7</v>
      </c>
      <c r="I15" s="69" t="str">
        <f>TEXT(ASTemp!I15,Decimals)</f>
        <v>462.7</v>
      </c>
      <c r="J15" s="69" t="str">
        <f>TEXT(ASTemp!J15,Decimals)</f>
        <v>28171.9</v>
      </c>
      <c r="K15" s="69" t="str">
        <f>TEXT(ASTemp!K15,Decimals)</f>
        <v>1415.2</v>
      </c>
      <c r="L15" s="69" t="str">
        <f>TEXT(ASTemp!L15,Decimals)</f>
        <v>471828.1</v>
      </c>
      <c r="M15" s="71" t="str">
        <f>TEXT(ASTemp!M15,Percentages)</f>
        <v>5.6%</v>
      </c>
      <c r="N15" s="72" t="str">
        <f>TEXT(ASTemp!N15,Percentages)</f>
        <v>94.4%</v>
      </c>
    </row>
    <row r="16" ht="14.25" customHeight="1">
      <c r="B16" s="66">
        <f>ASTemp!B16</f>
        <v>4</v>
      </c>
      <c r="C16" s="67">
        <f>ASTemp!C16</f>
        <v>42298</v>
      </c>
      <c r="D16" s="68">
        <f>ASTemp!D16</f>
        <v>2015</v>
      </c>
      <c r="E16" s="65" t="str">
        <f>ASTemp!E16</f>
        <v>Oct</v>
      </c>
      <c r="F16" s="69" t="str">
        <f>TEXT(ASTemp!F16,Decimals)</f>
        <v>471828.1</v>
      </c>
      <c r="G16" s="69" t="str">
        <f>TEXT(ASTemp!G16,Decimals)</f>
        <v>9862.4</v>
      </c>
      <c r="H16" s="69" t="str">
        <f>TEXT(ASTemp!H16,Decimals)</f>
        <v>9408.7</v>
      </c>
      <c r="I16" s="69" t="str">
        <f>TEXT(ASTemp!I16,Decimals)</f>
        <v>453.7</v>
      </c>
      <c r="J16" s="69" t="str">
        <f>TEXT(ASTemp!J16,Decimals)</f>
        <v>37580.7</v>
      </c>
      <c r="K16" s="69" t="str">
        <f>TEXT(ASTemp!K16,Decimals)</f>
        <v>1868.9</v>
      </c>
      <c r="L16" s="69" t="str">
        <f>TEXT(ASTemp!L16,Decimals)</f>
        <v>462419.3</v>
      </c>
      <c r="M16" s="71" t="str">
        <f>TEXT(ASTemp!M16,Percentages)</f>
        <v>7.5%</v>
      </c>
      <c r="N16" s="72" t="str">
        <f>TEXT(ASTemp!N16,Percentages)</f>
        <v>92.5%</v>
      </c>
    </row>
    <row r="17" ht="14.25" customHeight="1">
      <c r="B17" s="66">
        <f>ASTemp!B17</f>
        <v>5</v>
      </c>
      <c r="C17" s="67">
        <f>ASTemp!C17</f>
        <v>42305</v>
      </c>
      <c r="D17" s="68">
        <f>ASTemp!D17</f>
        <v>2015</v>
      </c>
      <c r="E17" s="65" t="str">
        <f>ASTemp!E17</f>
        <v>Oct</v>
      </c>
      <c r="F17" s="69" t="str">
        <f>TEXT(ASTemp!F17,Decimals)</f>
        <v>462419.3</v>
      </c>
      <c r="G17" s="69" t="str">
        <f>TEXT(ASTemp!G17,Decimals)</f>
        <v>9862.4</v>
      </c>
      <c r="H17" s="69" t="str">
        <f>TEXT(ASTemp!H17,Decimals)</f>
        <v>9417.8</v>
      </c>
      <c r="I17" s="69" t="str">
        <f>TEXT(ASTemp!I17,Decimals)</f>
        <v>444.6</v>
      </c>
      <c r="J17" s="69" t="str">
        <f>TEXT(ASTemp!J17,Decimals)</f>
        <v>46998.4</v>
      </c>
      <c r="K17" s="69" t="str">
        <f>TEXT(ASTemp!K17,Decimals)</f>
        <v>2313.6</v>
      </c>
      <c r="L17" s="69" t="str">
        <f>TEXT(ASTemp!L17,Decimals)</f>
        <v>453001.6</v>
      </c>
      <c r="M17" s="71" t="str">
        <f>TEXT(ASTemp!M17,Percentages)</f>
        <v>9.4%</v>
      </c>
      <c r="N17" s="72" t="str">
        <f>TEXT(ASTemp!N17,Percentages)</f>
        <v>90.6%</v>
      </c>
    </row>
    <row r="18" ht="14.25" customHeight="1">
      <c r="B18" s="66">
        <f>ASTemp!B18</f>
        <v>6</v>
      </c>
      <c r="C18" s="67">
        <f>ASTemp!C18</f>
        <v>42312</v>
      </c>
      <c r="D18" s="68">
        <f>ASTemp!D18</f>
        <v>2015</v>
      </c>
      <c r="E18" s="65" t="str">
        <f>ASTemp!E18</f>
        <v>Nov</v>
      </c>
      <c r="F18" s="69" t="str">
        <f>TEXT(ASTemp!F18,Decimals)</f>
        <v>453001.6</v>
      </c>
      <c r="G18" s="69" t="str">
        <f>TEXT(ASTemp!G18,Decimals)</f>
        <v>9862.4</v>
      </c>
      <c r="H18" s="69" t="str">
        <f>TEXT(ASTemp!H18,Decimals)</f>
        <v>9426.8</v>
      </c>
      <c r="I18" s="69" t="str">
        <f>TEXT(ASTemp!I18,Decimals)</f>
        <v>435.6</v>
      </c>
      <c r="J18" s="69" t="str">
        <f>TEXT(ASTemp!J18,Decimals)</f>
        <v>56425.2</v>
      </c>
      <c r="K18" s="69" t="str">
        <f>TEXT(ASTemp!K18,Decimals)</f>
        <v>2749.1</v>
      </c>
      <c r="L18" s="69" t="str">
        <f>TEXT(ASTemp!L18,Decimals)</f>
        <v>443574.8</v>
      </c>
      <c r="M18" s="71" t="str">
        <f>TEXT(ASTemp!M18,Percentages)</f>
        <v>11.3%</v>
      </c>
      <c r="N18" s="72" t="str">
        <f>TEXT(ASTemp!N18,Percentages)</f>
        <v>88.7%</v>
      </c>
    </row>
    <row r="19" ht="14.25" customHeight="1">
      <c r="B19" s="66">
        <f>ASTemp!B19</f>
        <v>7</v>
      </c>
      <c r="C19" s="67">
        <f>ASTemp!C19</f>
        <v>42319</v>
      </c>
      <c r="D19" s="68">
        <f>ASTemp!D19</f>
        <v>2015</v>
      </c>
      <c r="E19" s="65" t="str">
        <f>ASTemp!E19</f>
        <v>Nov</v>
      </c>
      <c r="F19" s="69" t="str">
        <f>TEXT(ASTemp!F19,Decimals)</f>
        <v>443574.8</v>
      </c>
      <c r="G19" s="69" t="str">
        <f>TEXT(ASTemp!G19,Decimals)</f>
        <v>9862.4</v>
      </c>
      <c r="H19" s="69" t="str">
        <f>TEXT(ASTemp!H19,Decimals)</f>
        <v>9435.9</v>
      </c>
      <c r="I19" s="69" t="str">
        <f>TEXT(ASTemp!I19,Decimals)</f>
        <v>426.5</v>
      </c>
      <c r="J19" s="69" t="str">
        <f>TEXT(ASTemp!J19,Decimals)</f>
        <v>65861.1</v>
      </c>
      <c r="K19" s="69" t="str">
        <f>TEXT(ASTemp!K19,Decimals)</f>
        <v>3175.6</v>
      </c>
      <c r="L19" s="69" t="str">
        <f>TEXT(ASTemp!L19,Decimals)</f>
        <v>434138.9</v>
      </c>
      <c r="M19" s="71" t="str">
        <f>TEXT(ASTemp!M19,Percentages)</f>
        <v>13.2%</v>
      </c>
      <c r="N19" s="72" t="str">
        <f>TEXT(ASTemp!N19,Percentages)</f>
        <v>86.8%</v>
      </c>
    </row>
    <row r="20" ht="14.25" customHeight="1">
      <c r="B20" s="66">
        <f>ASTemp!B20</f>
        <v>8</v>
      </c>
      <c r="C20" s="67">
        <f>ASTemp!C20</f>
        <v>42326</v>
      </c>
      <c r="D20" s="68">
        <f>ASTemp!D20</f>
        <v>2015</v>
      </c>
      <c r="E20" s="65" t="str">
        <f>ASTemp!E20</f>
        <v>Nov</v>
      </c>
      <c r="F20" s="69" t="str">
        <f>TEXT(ASTemp!F20,Decimals)</f>
        <v>434138.9</v>
      </c>
      <c r="G20" s="69" t="str">
        <f>TEXT(ASTemp!G20,Decimals)</f>
        <v>9862.4</v>
      </c>
      <c r="H20" s="69" t="str">
        <f>TEXT(ASTemp!H20,Decimals)</f>
        <v>9445.0</v>
      </c>
      <c r="I20" s="69" t="str">
        <f>TEXT(ASTemp!I20,Decimals)</f>
        <v>417.4</v>
      </c>
      <c r="J20" s="69" t="str">
        <f>TEXT(ASTemp!J20,Decimals)</f>
        <v>75306.1</v>
      </c>
      <c r="K20" s="69" t="str">
        <f>TEXT(ASTemp!K20,Decimals)</f>
        <v>3593.1</v>
      </c>
      <c r="L20" s="69" t="str">
        <f>TEXT(ASTemp!L20,Decimals)</f>
        <v>424693.9</v>
      </c>
      <c r="M20" s="71" t="str">
        <f>TEXT(ASTemp!M20,Percentages)</f>
        <v>15.1%</v>
      </c>
      <c r="N20" s="72" t="str">
        <f>TEXT(ASTemp!N20,Percentages)</f>
        <v>84.9%</v>
      </c>
    </row>
    <row r="21" ht="14.25" customHeight="1">
      <c r="B21" s="66">
        <f>ASTemp!B21</f>
        <v>9</v>
      </c>
      <c r="C21" s="67">
        <f>ASTemp!C21</f>
        <v>42333</v>
      </c>
      <c r="D21" s="68">
        <f>ASTemp!D21</f>
        <v>2015</v>
      </c>
      <c r="E21" s="65" t="str">
        <f>ASTemp!E21</f>
        <v>Nov</v>
      </c>
      <c r="F21" s="69" t="str">
        <f>TEXT(ASTemp!F21,Decimals)</f>
        <v>424693.9</v>
      </c>
      <c r="G21" s="69" t="str">
        <f>TEXT(ASTemp!G21,Decimals)</f>
        <v>9862.4</v>
      </c>
      <c r="H21" s="69" t="str">
        <f>TEXT(ASTemp!H21,Decimals)</f>
        <v>9454.0</v>
      </c>
      <c r="I21" s="69" t="str">
        <f>TEXT(ASTemp!I21,Decimals)</f>
        <v>408.4</v>
      </c>
      <c r="J21" s="69" t="str">
        <f>TEXT(ASTemp!J21,Decimals)</f>
        <v>84760.1</v>
      </c>
      <c r="K21" s="69" t="str">
        <f>TEXT(ASTemp!K21,Decimals)</f>
        <v>4001.4</v>
      </c>
      <c r="L21" s="69" t="str">
        <f>TEXT(ASTemp!L21,Decimals)</f>
        <v>415239.9</v>
      </c>
      <c r="M21" s="71" t="str">
        <f>TEXT(ASTemp!M21,Percentages)</f>
        <v>17.0%</v>
      </c>
      <c r="N21" s="72" t="str">
        <f>TEXT(ASTemp!N21,Percentages)</f>
        <v>83.0%</v>
      </c>
    </row>
    <row r="22" ht="14.25" customHeight="1">
      <c r="B22" s="66">
        <f>ASTemp!B22</f>
        <v>10</v>
      </c>
      <c r="C22" s="67">
        <f>ASTemp!C22</f>
        <v>42340</v>
      </c>
      <c r="D22" s="68">
        <f>ASTemp!D22</f>
        <v>2015</v>
      </c>
      <c r="E22" s="65" t="str">
        <f>ASTemp!E22</f>
        <v>Dec</v>
      </c>
      <c r="F22" s="69" t="str">
        <f>TEXT(ASTemp!F22,Decimals)</f>
        <v>415239.9</v>
      </c>
      <c r="G22" s="69" t="str">
        <f>TEXT(ASTemp!G22,Decimals)</f>
        <v>9862.4</v>
      </c>
      <c r="H22" s="69" t="str">
        <f>TEXT(ASTemp!H22,Decimals)</f>
        <v>9463.1</v>
      </c>
      <c r="I22" s="69" t="str">
        <f>TEXT(ASTemp!I22,Decimals)</f>
        <v>399.3</v>
      </c>
      <c r="J22" s="69" t="str">
        <f>TEXT(ASTemp!J22,Decimals)</f>
        <v>94223.2</v>
      </c>
      <c r="K22" s="69" t="str">
        <f>TEXT(ASTemp!K22,Decimals)</f>
        <v>4400.7</v>
      </c>
      <c r="L22" s="69" t="str">
        <f>TEXT(ASTemp!L22,Decimals)</f>
        <v>405776.8</v>
      </c>
      <c r="M22" s="71" t="str">
        <f>TEXT(ASTemp!M22,Percentages)</f>
        <v>18.8%</v>
      </c>
      <c r="N22" s="72" t="str">
        <f>TEXT(ASTemp!N22,Percentages)</f>
        <v>81.2%</v>
      </c>
    </row>
    <row r="23" ht="14.25" customHeight="1">
      <c r="B23" s="66">
        <f>ASTemp!B23</f>
        <v>11</v>
      </c>
      <c r="C23" s="67">
        <f>ASTemp!C23</f>
        <v>42347</v>
      </c>
      <c r="D23" s="68">
        <f>ASTemp!D23</f>
        <v>2015</v>
      </c>
      <c r="E23" s="65" t="str">
        <f>ASTemp!E23</f>
        <v>Dec</v>
      </c>
      <c r="F23" s="69" t="str">
        <f>TEXT(ASTemp!F23,Decimals)</f>
        <v>405776.8</v>
      </c>
      <c r="G23" s="69" t="str">
        <f>TEXT(ASTemp!G23,Decimals)</f>
        <v>9862.4</v>
      </c>
      <c r="H23" s="69" t="str">
        <f>TEXT(ASTemp!H23,Decimals)</f>
        <v>9472.2</v>
      </c>
      <c r="I23" s="69" t="str">
        <f>TEXT(ASTemp!I23,Decimals)</f>
        <v>390.2</v>
      </c>
      <c r="J23" s="69" t="str">
        <f>TEXT(ASTemp!J23,Decimals)</f>
        <v>103695.4</v>
      </c>
      <c r="K23" s="69" t="str">
        <f>TEXT(ASTemp!K23,Decimals)</f>
        <v>4790.9</v>
      </c>
      <c r="L23" s="69" t="str">
        <f>TEXT(ASTemp!L23,Decimals)</f>
        <v>396304.6</v>
      </c>
      <c r="M23" s="71" t="str">
        <f>TEXT(ASTemp!M23,Percentages)</f>
        <v>20.7%</v>
      </c>
      <c r="N23" s="72" t="str">
        <f>TEXT(ASTemp!N23,Percentages)</f>
        <v>79.3%</v>
      </c>
    </row>
    <row r="24" ht="14.25" customHeight="1">
      <c r="B24" s="66">
        <f>ASTemp!B24</f>
        <v>12</v>
      </c>
      <c r="C24" s="67">
        <f>ASTemp!C24</f>
        <v>42354</v>
      </c>
      <c r="D24" s="68">
        <f>ASTemp!D24</f>
        <v>2015</v>
      </c>
      <c r="E24" s="65" t="str">
        <f>ASTemp!E24</f>
        <v>Dec</v>
      </c>
      <c r="F24" s="69" t="str">
        <f>TEXT(ASTemp!F24,Decimals)</f>
        <v>396304.6</v>
      </c>
      <c r="G24" s="69" t="str">
        <f>TEXT(ASTemp!G24,Decimals)</f>
        <v>9862.4</v>
      </c>
      <c r="H24" s="69" t="str">
        <f>TEXT(ASTemp!H24,Decimals)</f>
        <v>9481.3</v>
      </c>
      <c r="I24" s="69" t="str">
        <f>TEXT(ASTemp!I24,Decimals)</f>
        <v>381.1</v>
      </c>
      <c r="J24" s="69" t="str">
        <f>TEXT(ASTemp!J24,Decimals)</f>
        <v>113176.8</v>
      </c>
      <c r="K24" s="69" t="str">
        <f>TEXT(ASTemp!K24,Decimals)</f>
        <v>5171.9</v>
      </c>
      <c r="L24" s="69" t="str">
        <f>TEXT(ASTemp!L24,Decimals)</f>
        <v>386823.2</v>
      </c>
      <c r="M24" s="71" t="str">
        <f>TEXT(ASTemp!M24,Percentages)</f>
        <v>22.6%</v>
      </c>
      <c r="N24" s="72" t="str">
        <f>TEXT(ASTemp!N24,Percentages)</f>
        <v>77.4%</v>
      </c>
    </row>
    <row r="25" ht="14.25" customHeight="1">
      <c r="B25" s="66">
        <f>ASTemp!B25</f>
        <v>13</v>
      </c>
      <c r="C25" s="67">
        <f>ASTemp!C25</f>
        <v>42361</v>
      </c>
      <c r="D25" s="68">
        <f>ASTemp!D25</f>
        <v>2015</v>
      </c>
      <c r="E25" s="65" t="str">
        <f>ASTemp!E25</f>
        <v>Dec</v>
      </c>
      <c r="F25" s="69" t="str">
        <f>TEXT(ASTemp!F25,Decimals)</f>
        <v>386823.2</v>
      </c>
      <c r="G25" s="69" t="str">
        <f>TEXT(ASTemp!G25,Decimals)</f>
        <v>9862.4</v>
      </c>
      <c r="H25" s="69" t="str">
        <f>TEXT(ASTemp!H25,Decimals)</f>
        <v>9490.4</v>
      </c>
      <c r="I25" s="69" t="str">
        <f>TEXT(ASTemp!I25,Decimals)</f>
        <v>371.9</v>
      </c>
      <c r="J25" s="69" t="str">
        <f>TEXT(ASTemp!J25,Decimals)</f>
        <v>122667.2</v>
      </c>
      <c r="K25" s="69" t="str">
        <f>TEXT(ASTemp!K25,Decimals)</f>
        <v>5543.9</v>
      </c>
      <c r="L25" s="69" t="str">
        <f>TEXT(ASTemp!L25,Decimals)</f>
        <v>377332.8</v>
      </c>
      <c r="M25" s="71" t="str">
        <f>TEXT(ASTemp!M25,Percentages)</f>
        <v>24.5%</v>
      </c>
      <c r="N25" s="72" t="str">
        <f>TEXT(ASTemp!N25,Percentages)</f>
        <v>75.5%</v>
      </c>
    </row>
    <row r="26" ht="14.25" customHeight="1">
      <c r="B26" s="66">
        <f>ASTemp!B26</f>
        <v>14</v>
      </c>
      <c r="C26" s="67">
        <f>ASTemp!C26</f>
        <v>42368</v>
      </c>
      <c r="D26" s="68">
        <f>ASTemp!D26</f>
        <v>2015</v>
      </c>
      <c r="E26" s="65" t="str">
        <f>ASTemp!E26</f>
        <v>Dec</v>
      </c>
      <c r="F26" s="69" t="str">
        <f>TEXT(ASTemp!F26,Decimals)</f>
        <v>377332.8</v>
      </c>
      <c r="G26" s="69" t="str">
        <f>TEXT(ASTemp!G26,Decimals)</f>
        <v>9862.4</v>
      </c>
      <c r="H26" s="69" t="str">
        <f>TEXT(ASTemp!H26,Decimals)</f>
        <v>9499.6</v>
      </c>
      <c r="I26" s="69" t="str">
        <f>TEXT(ASTemp!I26,Decimals)</f>
        <v>362.8</v>
      </c>
      <c r="J26" s="69" t="str">
        <f>TEXT(ASTemp!J26,Decimals)</f>
        <v>132166.8</v>
      </c>
      <c r="K26" s="69" t="str">
        <f>TEXT(ASTemp!K26,Decimals)</f>
        <v>5906.7</v>
      </c>
      <c r="L26" s="69" t="str">
        <f>TEXT(ASTemp!L26,Decimals)</f>
        <v>367833.2</v>
      </c>
      <c r="M26" s="71" t="str">
        <f>TEXT(ASTemp!M26,Percentages)</f>
        <v>26.4%</v>
      </c>
      <c r="N26" s="72" t="str">
        <f>TEXT(ASTemp!N26,Percentages)</f>
        <v>73.6%</v>
      </c>
    </row>
    <row r="27" ht="14.25" customHeight="1">
      <c r="B27" s="66">
        <f>ASTemp!B27</f>
        <v>15</v>
      </c>
      <c r="C27" s="67">
        <f>ASTemp!C27</f>
        <v>42375</v>
      </c>
      <c r="D27" s="68">
        <f>ASTemp!D27</f>
        <v>2016</v>
      </c>
      <c r="E27" s="65" t="str">
        <f>ASTemp!E27</f>
        <v>Jan</v>
      </c>
      <c r="F27" s="69" t="str">
        <f>TEXT(ASTemp!F27,Decimals)</f>
        <v>367833.2</v>
      </c>
      <c r="G27" s="69" t="str">
        <f>TEXT(ASTemp!G27,Decimals)</f>
        <v>9862.4</v>
      </c>
      <c r="H27" s="69" t="str">
        <f>TEXT(ASTemp!H27,Decimals)</f>
        <v>9508.7</v>
      </c>
      <c r="I27" s="69" t="str">
        <f>TEXT(ASTemp!I27,Decimals)</f>
        <v>353.7</v>
      </c>
      <c r="J27" s="69" t="str">
        <f>TEXT(ASTemp!J27,Decimals)</f>
        <v>141675.5</v>
      </c>
      <c r="K27" s="69" t="str">
        <f>TEXT(ASTemp!K27,Decimals)</f>
        <v>6260.4</v>
      </c>
      <c r="L27" s="69" t="str">
        <f>TEXT(ASTemp!L27,Decimals)</f>
        <v>358324.5</v>
      </c>
      <c r="M27" s="71" t="str">
        <f>TEXT(ASTemp!M27,Percentages)</f>
        <v>28.3%</v>
      </c>
      <c r="N27" s="72" t="str">
        <f>TEXT(ASTemp!N27,Percentages)</f>
        <v>71.7%</v>
      </c>
    </row>
    <row r="28" ht="14.25" customHeight="1">
      <c r="B28" s="66">
        <f>ASTemp!B28</f>
        <v>16</v>
      </c>
      <c r="C28" s="67">
        <f>ASTemp!C28</f>
        <v>42382</v>
      </c>
      <c r="D28" s="68">
        <f>ASTemp!D28</f>
        <v>2016</v>
      </c>
      <c r="E28" s="65" t="str">
        <f>ASTemp!E28</f>
        <v>Jan</v>
      </c>
      <c r="F28" s="69" t="str">
        <f>TEXT(ASTemp!F28,Decimals)</f>
        <v>358324.5</v>
      </c>
      <c r="G28" s="69" t="str">
        <f>TEXT(ASTemp!G28,Decimals)</f>
        <v>9862.4</v>
      </c>
      <c r="H28" s="69" t="str">
        <f>TEXT(ASTemp!H28,Decimals)</f>
        <v>9517.9</v>
      </c>
      <c r="I28" s="69" t="str">
        <f>TEXT(ASTemp!I28,Decimals)</f>
        <v>344.5</v>
      </c>
      <c r="J28" s="69" t="str">
        <f>TEXT(ASTemp!J28,Decimals)</f>
        <v>151193.4</v>
      </c>
      <c r="K28" s="69" t="str">
        <f>TEXT(ASTemp!K28,Decimals)</f>
        <v>6604.9</v>
      </c>
      <c r="L28" s="69" t="str">
        <f>TEXT(ASTemp!L28,Decimals)</f>
        <v>348806.6</v>
      </c>
      <c r="M28" s="71" t="str">
        <f>TEXT(ASTemp!M28,Percentages)</f>
        <v>30.2%</v>
      </c>
      <c r="N28" s="72" t="str">
        <f>TEXT(ASTemp!N28,Percentages)</f>
        <v>69.8%</v>
      </c>
    </row>
    <row r="29" ht="14.25" customHeight="1">
      <c r="B29" s="66">
        <f>ASTemp!B29</f>
        <v>17</v>
      </c>
      <c r="C29" s="67">
        <f>ASTemp!C29</f>
        <v>42389</v>
      </c>
      <c r="D29" s="68">
        <f>ASTemp!D29</f>
        <v>2016</v>
      </c>
      <c r="E29" s="65" t="str">
        <f>ASTemp!E29</f>
        <v>Jan</v>
      </c>
      <c r="F29" s="69" t="str">
        <f>TEXT(ASTemp!F29,Decimals)</f>
        <v>348806.6</v>
      </c>
      <c r="G29" s="69" t="str">
        <f>TEXT(ASTemp!G29,Decimals)</f>
        <v>9862.4</v>
      </c>
      <c r="H29" s="69" t="str">
        <f>TEXT(ASTemp!H29,Decimals)</f>
        <v>9527.0</v>
      </c>
      <c r="I29" s="69" t="str">
        <f>TEXT(ASTemp!I29,Decimals)</f>
        <v>335.4</v>
      </c>
      <c r="J29" s="69" t="str">
        <f>TEXT(ASTemp!J29,Decimals)</f>
        <v>160720.4</v>
      </c>
      <c r="K29" s="69" t="str">
        <f>TEXT(ASTemp!K29,Decimals)</f>
        <v>6940.3</v>
      </c>
      <c r="L29" s="69" t="str">
        <f>TEXT(ASTemp!L29,Decimals)</f>
        <v>339279.6</v>
      </c>
      <c r="M29" s="71" t="str">
        <f>TEXT(ASTemp!M29,Percentages)</f>
        <v>32.1%</v>
      </c>
      <c r="N29" s="72" t="str">
        <f>TEXT(ASTemp!N29,Percentages)</f>
        <v>67.9%</v>
      </c>
    </row>
    <row r="30" ht="14.25" customHeight="1">
      <c r="B30" s="66">
        <f>ASTemp!B30</f>
        <v>18</v>
      </c>
      <c r="C30" s="67">
        <f>ASTemp!C30</f>
        <v>42396</v>
      </c>
      <c r="D30" s="68">
        <f>ASTemp!D30</f>
        <v>2016</v>
      </c>
      <c r="E30" s="65" t="str">
        <f>ASTemp!E30</f>
        <v>Jan</v>
      </c>
      <c r="F30" s="69" t="str">
        <f>TEXT(ASTemp!F30,Decimals)</f>
        <v>339279.6</v>
      </c>
      <c r="G30" s="69" t="str">
        <f>TEXT(ASTemp!G30,Decimals)</f>
        <v>9862.4</v>
      </c>
      <c r="H30" s="69" t="str">
        <f>TEXT(ASTemp!H30,Decimals)</f>
        <v>9536.2</v>
      </c>
      <c r="I30" s="69" t="str">
        <f>TEXT(ASTemp!I30,Decimals)</f>
        <v>326.2</v>
      </c>
      <c r="J30" s="69" t="str">
        <f>TEXT(ASTemp!J30,Decimals)</f>
        <v>170256.5</v>
      </c>
      <c r="K30" s="69" t="str">
        <f>TEXT(ASTemp!K30,Decimals)</f>
        <v>7266.6</v>
      </c>
      <c r="L30" s="69" t="str">
        <f>TEXT(ASTemp!L30,Decimals)</f>
        <v>329743.5</v>
      </c>
      <c r="M30" s="71" t="str">
        <f>TEXT(ASTemp!M30,Percentages)</f>
        <v>34.1%</v>
      </c>
      <c r="N30" s="72" t="str">
        <f>TEXT(ASTemp!N30,Percentages)</f>
        <v>65.9%</v>
      </c>
    </row>
    <row r="31" ht="14.25" customHeight="1">
      <c r="B31" s="66">
        <f>ASTemp!B31</f>
        <v>19</v>
      </c>
      <c r="C31" s="67">
        <f>ASTemp!C31</f>
        <v>42403</v>
      </c>
      <c r="D31" s="68">
        <f>ASTemp!D31</f>
        <v>2016</v>
      </c>
      <c r="E31" s="65" t="str">
        <f>ASTemp!E31</f>
        <v>Feb</v>
      </c>
      <c r="F31" s="69" t="str">
        <f>TEXT(ASTemp!F31,Decimals)</f>
        <v>329743.5</v>
      </c>
      <c r="G31" s="69" t="str">
        <f>TEXT(ASTemp!G31,Decimals)</f>
        <v>9862.4</v>
      </c>
      <c r="H31" s="69" t="str">
        <f>TEXT(ASTemp!H31,Decimals)</f>
        <v>9545.3</v>
      </c>
      <c r="I31" s="69" t="str">
        <f>TEXT(ASTemp!I31,Decimals)</f>
        <v>317.1</v>
      </c>
      <c r="J31" s="69" t="str">
        <f>TEXT(ASTemp!J31,Decimals)</f>
        <v>179801.9</v>
      </c>
      <c r="K31" s="69" t="str">
        <f>TEXT(ASTemp!K31,Decimals)</f>
        <v>7583.6</v>
      </c>
      <c r="L31" s="69" t="str">
        <f>TEXT(ASTemp!L31,Decimals)</f>
        <v>320198.1</v>
      </c>
      <c r="M31" s="71" t="str">
        <f>TEXT(ASTemp!M31,Percentages)</f>
        <v>36.0%</v>
      </c>
      <c r="N31" s="72" t="str">
        <f>TEXT(ASTemp!N31,Percentages)</f>
        <v>64.0%</v>
      </c>
    </row>
    <row r="32" ht="14.25" customHeight="1">
      <c r="B32" s="66">
        <f>ASTemp!B32</f>
        <v>20</v>
      </c>
      <c r="C32" s="67">
        <f>ASTemp!C32</f>
        <v>42410</v>
      </c>
      <c r="D32" s="68">
        <f>ASTemp!D32</f>
        <v>2016</v>
      </c>
      <c r="E32" s="65" t="str">
        <f>ASTemp!E32</f>
        <v>Feb</v>
      </c>
      <c r="F32" s="69" t="str">
        <f>TEXT(ASTemp!F32,Decimals)</f>
        <v>320198.1</v>
      </c>
      <c r="G32" s="69" t="str">
        <f>TEXT(ASTemp!G32,Decimals)</f>
        <v>9862.4</v>
      </c>
      <c r="H32" s="69" t="str">
        <f>TEXT(ASTemp!H32,Decimals)</f>
        <v>9554.5</v>
      </c>
      <c r="I32" s="69" t="str">
        <f>TEXT(ASTemp!I32,Decimals)</f>
        <v>307.9</v>
      </c>
      <c r="J32" s="69" t="str">
        <f>TEXT(ASTemp!J32,Decimals)</f>
        <v>189356.4</v>
      </c>
      <c r="K32" s="69" t="str">
        <f>TEXT(ASTemp!K32,Decimals)</f>
        <v>7891.5</v>
      </c>
      <c r="L32" s="69" t="str">
        <f>TEXT(ASTemp!L32,Decimals)</f>
        <v>310643.6</v>
      </c>
      <c r="M32" s="71" t="str">
        <f>TEXT(ASTemp!M32,Percentages)</f>
        <v>37.9%</v>
      </c>
      <c r="N32" s="72" t="str">
        <f>TEXT(ASTemp!N32,Percentages)</f>
        <v>62.1%</v>
      </c>
    </row>
    <row r="33" ht="14.25" customHeight="1">
      <c r="B33" s="66">
        <f>ASTemp!B33</f>
        <v>21</v>
      </c>
      <c r="C33" s="67">
        <f>ASTemp!C33</f>
        <v>42417</v>
      </c>
      <c r="D33" s="68">
        <f>ASTemp!D33</f>
        <v>2016</v>
      </c>
      <c r="E33" s="65" t="str">
        <f>ASTemp!E33</f>
        <v>Feb</v>
      </c>
      <c r="F33" s="69" t="str">
        <f>TEXT(ASTemp!F33,Decimals)</f>
        <v>310643.6</v>
      </c>
      <c r="G33" s="69" t="str">
        <f>TEXT(ASTemp!G33,Decimals)</f>
        <v>9862.4</v>
      </c>
      <c r="H33" s="69" t="str">
        <f>TEXT(ASTemp!H33,Decimals)</f>
        <v>9563.7</v>
      </c>
      <c r="I33" s="69" t="str">
        <f>TEXT(ASTemp!I33,Decimals)</f>
        <v>298.7</v>
      </c>
      <c r="J33" s="69" t="str">
        <f>TEXT(ASTemp!J33,Decimals)</f>
        <v>198920.1</v>
      </c>
      <c r="K33" s="69" t="str">
        <f>TEXT(ASTemp!K33,Decimals)</f>
        <v>8190.2</v>
      </c>
      <c r="L33" s="69" t="str">
        <f>TEXT(ASTemp!L33,Decimals)</f>
        <v>301079.9</v>
      </c>
      <c r="M33" s="71" t="str">
        <f>TEXT(ASTemp!M33,Percentages)</f>
        <v>39.8%</v>
      </c>
      <c r="N33" s="72" t="str">
        <f>TEXT(ASTemp!N33,Percentages)</f>
        <v>60.2%</v>
      </c>
    </row>
    <row r="34" ht="14.25" customHeight="1">
      <c r="B34" s="66">
        <f>ASTemp!B34</f>
        <v>22</v>
      </c>
      <c r="C34" s="67">
        <f>ASTemp!C34</f>
        <v>42424</v>
      </c>
      <c r="D34" s="68">
        <f>ASTemp!D34</f>
        <v>2016</v>
      </c>
      <c r="E34" s="65" t="str">
        <f>ASTemp!E34</f>
        <v>Feb</v>
      </c>
      <c r="F34" s="69" t="str">
        <f>TEXT(ASTemp!F34,Decimals)</f>
        <v>301079.9</v>
      </c>
      <c r="G34" s="69" t="str">
        <f>TEXT(ASTemp!G34,Decimals)</f>
        <v>9862.4</v>
      </c>
      <c r="H34" s="69" t="str">
        <f>TEXT(ASTemp!H34,Decimals)</f>
        <v>9572.9</v>
      </c>
      <c r="I34" s="69" t="str">
        <f>TEXT(ASTemp!I34,Decimals)</f>
        <v>289.5</v>
      </c>
      <c r="J34" s="69" t="str">
        <f>TEXT(ASTemp!J34,Decimals)</f>
        <v>208493.0</v>
      </c>
      <c r="K34" s="69" t="str">
        <f>TEXT(ASTemp!K34,Decimals)</f>
        <v>8479.7</v>
      </c>
      <c r="L34" s="69" t="str">
        <f>TEXT(ASTemp!L34,Decimals)</f>
        <v>291507.0</v>
      </c>
      <c r="M34" s="71" t="str">
        <f>TEXT(ASTemp!M34,Percentages)</f>
        <v>41.7%</v>
      </c>
      <c r="N34" s="72" t="str">
        <f>TEXT(ASTemp!N34,Percentages)</f>
        <v>58.3%</v>
      </c>
    </row>
    <row r="35" ht="14.25" customHeight="1">
      <c r="B35" s="66">
        <f>ASTemp!B35</f>
        <v>23</v>
      </c>
      <c r="C35" s="67">
        <f>ASTemp!C35</f>
        <v>42431</v>
      </c>
      <c r="D35" s="68">
        <f>ASTemp!D35</f>
        <v>2016</v>
      </c>
      <c r="E35" s="65" t="str">
        <f>ASTemp!E35</f>
        <v>Mar</v>
      </c>
      <c r="F35" s="69" t="str">
        <f>TEXT(ASTemp!F35,Decimals)</f>
        <v>291507.0</v>
      </c>
      <c r="G35" s="69" t="str">
        <f>TEXT(ASTemp!G35,Decimals)</f>
        <v>9862.4</v>
      </c>
      <c r="H35" s="69" t="str">
        <f>TEXT(ASTemp!H35,Decimals)</f>
        <v>9582.1</v>
      </c>
      <c r="I35" s="69" t="str">
        <f>TEXT(ASTemp!I35,Decimals)</f>
        <v>280.3</v>
      </c>
      <c r="J35" s="69" t="str">
        <f>TEXT(ASTemp!J35,Decimals)</f>
        <v>218075.1</v>
      </c>
      <c r="K35" s="69" t="str">
        <f>TEXT(ASTemp!K35,Decimals)</f>
        <v>8760.0</v>
      </c>
      <c r="L35" s="69" t="str">
        <f>TEXT(ASTemp!L35,Decimals)</f>
        <v>281924.9</v>
      </c>
      <c r="M35" s="71" t="str">
        <f>TEXT(ASTemp!M35,Percentages)</f>
        <v>43.6%</v>
      </c>
      <c r="N35" s="72" t="str">
        <f>TEXT(ASTemp!N35,Percentages)</f>
        <v>56.4%</v>
      </c>
    </row>
    <row r="36" ht="14.25" customHeight="1">
      <c r="B36" s="66">
        <f>ASTemp!B36</f>
        <v>24</v>
      </c>
      <c r="C36" s="67">
        <f>ASTemp!C36</f>
        <v>42438</v>
      </c>
      <c r="D36" s="68">
        <f>ASTemp!D36</f>
        <v>2016</v>
      </c>
      <c r="E36" s="65" t="str">
        <f>ASTemp!E36</f>
        <v>Mar</v>
      </c>
      <c r="F36" s="69" t="str">
        <f>TEXT(ASTemp!F36,Decimals)</f>
        <v>281924.9</v>
      </c>
      <c r="G36" s="69" t="str">
        <f>TEXT(ASTemp!G36,Decimals)</f>
        <v>9862.4</v>
      </c>
      <c r="H36" s="69" t="str">
        <f>TEXT(ASTemp!H36,Decimals)</f>
        <v>9591.3</v>
      </c>
      <c r="I36" s="69" t="str">
        <f>TEXT(ASTemp!I36,Decimals)</f>
        <v>271.1</v>
      </c>
      <c r="J36" s="69" t="str">
        <f>TEXT(ASTemp!J36,Decimals)</f>
        <v>227666.4</v>
      </c>
      <c r="K36" s="69" t="str">
        <f>TEXT(ASTemp!K36,Decimals)</f>
        <v>9031.1</v>
      </c>
      <c r="L36" s="69" t="str">
        <f>TEXT(ASTemp!L36,Decimals)</f>
        <v>272333.6</v>
      </c>
      <c r="M36" s="71" t="str">
        <f>TEXT(ASTemp!M36,Percentages)</f>
        <v>45.5%</v>
      </c>
      <c r="N36" s="72" t="str">
        <f>TEXT(ASTemp!N36,Percentages)</f>
        <v>54.5%</v>
      </c>
    </row>
    <row r="37" ht="14.25" customHeight="1">
      <c r="B37" s="66">
        <f>ASTemp!B37</f>
        <v>25</v>
      </c>
      <c r="C37" s="67">
        <f>ASTemp!C37</f>
        <v>42445</v>
      </c>
      <c r="D37" s="68">
        <f>ASTemp!D37</f>
        <v>2016</v>
      </c>
      <c r="E37" s="65" t="str">
        <f>ASTemp!E37</f>
        <v>Mar</v>
      </c>
      <c r="F37" s="69" t="str">
        <f>TEXT(ASTemp!F37,Decimals)</f>
        <v>272333.6</v>
      </c>
      <c r="G37" s="69" t="str">
        <f>TEXT(ASTemp!G37,Decimals)</f>
        <v>9862.4</v>
      </c>
      <c r="H37" s="69" t="str">
        <f>TEXT(ASTemp!H37,Decimals)</f>
        <v>9600.5</v>
      </c>
      <c r="I37" s="69" t="str">
        <f>TEXT(ASTemp!I37,Decimals)</f>
        <v>261.9</v>
      </c>
      <c r="J37" s="69" t="str">
        <f>TEXT(ASTemp!J37,Decimals)</f>
        <v>237266.9</v>
      </c>
      <c r="K37" s="69" t="str">
        <f>TEXT(ASTemp!K37,Decimals)</f>
        <v>9292.9</v>
      </c>
      <c r="L37" s="69" t="str">
        <f>TEXT(ASTemp!L37,Decimals)</f>
        <v>262733.1</v>
      </c>
      <c r="M37" s="71" t="str">
        <f>TEXT(ASTemp!M37,Percentages)</f>
        <v>47.5%</v>
      </c>
      <c r="N37" s="72" t="str">
        <f>TEXT(ASTemp!N37,Percentages)</f>
        <v>52.5%</v>
      </c>
    </row>
    <row r="38" ht="14.25" customHeight="1">
      <c r="B38" s="66">
        <f>ASTemp!B38</f>
        <v>26</v>
      </c>
      <c r="C38" s="67">
        <f>ASTemp!C38</f>
        <v>42452</v>
      </c>
      <c r="D38" s="68">
        <f>ASTemp!D38</f>
        <v>2016</v>
      </c>
      <c r="E38" s="65" t="str">
        <f>ASTemp!E38</f>
        <v>Mar</v>
      </c>
      <c r="F38" s="69" t="str">
        <f>TEXT(ASTemp!F38,Decimals)</f>
        <v>262733.1</v>
      </c>
      <c r="G38" s="69" t="str">
        <f>TEXT(ASTemp!G38,Decimals)</f>
        <v>9862.4</v>
      </c>
      <c r="H38" s="69" t="str">
        <f>TEXT(ASTemp!H38,Decimals)</f>
        <v>9609.8</v>
      </c>
      <c r="I38" s="69" t="str">
        <f>TEXT(ASTemp!I38,Decimals)</f>
        <v>252.6</v>
      </c>
      <c r="J38" s="69" t="str">
        <f>TEXT(ASTemp!J38,Decimals)</f>
        <v>246876.7</v>
      </c>
      <c r="K38" s="69" t="str">
        <f>TEXT(ASTemp!K38,Decimals)</f>
        <v>9545.6</v>
      </c>
      <c r="L38" s="69" t="str">
        <f>TEXT(ASTemp!L38,Decimals)</f>
        <v>253123.3</v>
      </c>
      <c r="M38" s="71" t="str">
        <f>TEXT(ASTemp!M38,Percentages)</f>
        <v>49.4%</v>
      </c>
      <c r="N38" s="72" t="str">
        <f>TEXT(ASTemp!N38,Percentages)</f>
        <v>50.6%</v>
      </c>
    </row>
    <row r="39" ht="14.25" customHeight="1">
      <c r="B39" s="66">
        <f>ASTemp!B39</f>
        <v>27</v>
      </c>
      <c r="C39" s="67">
        <f>ASTemp!C39</f>
        <v>42459</v>
      </c>
      <c r="D39" s="68">
        <f>ASTemp!D39</f>
        <v>2016</v>
      </c>
      <c r="E39" s="65" t="str">
        <f>ASTemp!E39</f>
        <v>Mar</v>
      </c>
      <c r="F39" s="69" t="str">
        <f>TEXT(ASTemp!F39,Decimals)</f>
        <v>253123.3</v>
      </c>
      <c r="G39" s="69" t="str">
        <f>TEXT(ASTemp!G39,Decimals)</f>
        <v>9862.4</v>
      </c>
      <c r="H39" s="69" t="str">
        <f>TEXT(ASTemp!H39,Decimals)</f>
        <v>9619.0</v>
      </c>
      <c r="I39" s="69" t="str">
        <f>TEXT(ASTemp!I39,Decimals)</f>
        <v>243.4</v>
      </c>
      <c r="J39" s="69" t="str">
        <f>TEXT(ASTemp!J39,Decimals)</f>
        <v>256495.7</v>
      </c>
      <c r="K39" s="69" t="str">
        <f>TEXT(ASTemp!K39,Decimals)</f>
        <v>9789.0</v>
      </c>
      <c r="L39" s="69" t="str">
        <f>TEXT(ASTemp!L39,Decimals)</f>
        <v>243504.3</v>
      </c>
      <c r="M39" s="71" t="str">
        <f>TEXT(ASTemp!M39,Percentages)</f>
        <v>51.3%</v>
      </c>
      <c r="N39" s="72" t="str">
        <f>TEXT(ASTemp!N39,Percentages)</f>
        <v>48.7%</v>
      </c>
    </row>
    <row r="40" ht="14.25" customHeight="1">
      <c r="B40" s="66">
        <f>ASTemp!B40</f>
        <v>28</v>
      </c>
      <c r="C40" s="67">
        <f>ASTemp!C40</f>
        <v>42466</v>
      </c>
      <c r="D40" s="68">
        <f>ASTemp!D40</f>
        <v>2016</v>
      </c>
      <c r="E40" s="65" t="str">
        <f>ASTemp!E40</f>
        <v>Apr</v>
      </c>
      <c r="F40" s="69" t="str">
        <f>TEXT(ASTemp!F40,Decimals)</f>
        <v>243504.3</v>
      </c>
      <c r="G40" s="69" t="str">
        <f>TEXT(ASTemp!G40,Decimals)</f>
        <v>9862.4</v>
      </c>
      <c r="H40" s="69" t="str">
        <f>TEXT(ASTemp!H40,Decimals)</f>
        <v>9628.3</v>
      </c>
      <c r="I40" s="69" t="str">
        <f>TEXT(ASTemp!I40,Decimals)</f>
        <v>234.1</v>
      </c>
      <c r="J40" s="69" t="str">
        <f>TEXT(ASTemp!J40,Decimals)</f>
        <v>266123.9</v>
      </c>
      <c r="K40" s="69" t="str">
        <f>TEXT(ASTemp!K40,Decimals)</f>
        <v>10023.1</v>
      </c>
      <c r="L40" s="69" t="str">
        <f>TEXT(ASTemp!L40,Decimals)</f>
        <v>233876.1</v>
      </c>
      <c r="M40" s="71" t="str">
        <f>TEXT(ASTemp!M40,Percentages)</f>
        <v>53.2%</v>
      </c>
      <c r="N40" s="72" t="str">
        <f>TEXT(ASTemp!N40,Percentages)</f>
        <v>46.8%</v>
      </c>
    </row>
    <row r="41" ht="14.25" customHeight="1">
      <c r="B41" s="66">
        <f>ASTemp!B41</f>
        <v>29</v>
      </c>
      <c r="C41" s="67">
        <f>ASTemp!C41</f>
        <v>42473</v>
      </c>
      <c r="D41" s="68">
        <f>ASTemp!D41</f>
        <v>2016</v>
      </c>
      <c r="E41" s="65" t="str">
        <f>ASTemp!E41</f>
        <v>Apr</v>
      </c>
      <c r="F41" s="69" t="str">
        <f>TEXT(ASTemp!F41,Decimals)</f>
        <v>233876.1</v>
      </c>
      <c r="G41" s="69" t="str">
        <f>TEXT(ASTemp!G41,Decimals)</f>
        <v>9862.4</v>
      </c>
      <c r="H41" s="69" t="str">
        <f>TEXT(ASTemp!H41,Decimals)</f>
        <v>9637.5</v>
      </c>
      <c r="I41" s="69" t="str">
        <f>TEXT(ASTemp!I41,Decimals)</f>
        <v>224.9</v>
      </c>
      <c r="J41" s="69" t="str">
        <f>TEXT(ASTemp!J41,Decimals)</f>
        <v>275761.4</v>
      </c>
      <c r="K41" s="69" t="str">
        <f>TEXT(ASTemp!K41,Decimals)</f>
        <v>10248.0</v>
      </c>
      <c r="L41" s="69" t="str">
        <f>TEXT(ASTemp!L41,Decimals)</f>
        <v>224238.6</v>
      </c>
      <c r="M41" s="71" t="str">
        <f>TEXT(ASTemp!M41,Percentages)</f>
        <v>55.2%</v>
      </c>
      <c r="N41" s="72" t="str">
        <f>TEXT(ASTemp!N41,Percentages)</f>
        <v>44.8%</v>
      </c>
    </row>
    <row r="42" ht="14.25" customHeight="1">
      <c r="B42" s="66">
        <f>ASTemp!B42</f>
        <v>30</v>
      </c>
      <c r="C42" s="67">
        <f>ASTemp!C42</f>
        <v>42480</v>
      </c>
      <c r="D42" s="68">
        <f>ASTemp!D42</f>
        <v>2016</v>
      </c>
      <c r="E42" s="65" t="str">
        <f>ASTemp!E42</f>
        <v>Apr</v>
      </c>
      <c r="F42" s="69" t="str">
        <f>TEXT(ASTemp!F42,Decimals)</f>
        <v>224238.6</v>
      </c>
      <c r="G42" s="69" t="str">
        <f>TEXT(ASTemp!G42,Decimals)</f>
        <v>9862.4</v>
      </c>
      <c r="H42" s="69" t="str">
        <f>TEXT(ASTemp!H42,Decimals)</f>
        <v>9646.8</v>
      </c>
      <c r="I42" s="69" t="str">
        <f>TEXT(ASTemp!I42,Decimals)</f>
        <v>215.6</v>
      </c>
      <c r="J42" s="69" t="str">
        <f>TEXT(ASTemp!J42,Decimals)</f>
        <v>285408.2</v>
      </c>
      <c r="K42" s="69" t="str">
        <f>TEXT(ASTemp!K42,Decimals)</f>
        <v>10463.6</v>
      </c>
      <c r="L42" s="69" t="str">
        <f>TEXT(ASTemp!L42,Decimals)</f>
        <v>214591.8</v>
      </c>
      <c r="M42" s="71" t="str">
        <f>TEXT(ASTemp!M42,Percentages)</f>
        <v>57.1%</v>
      </c>
      <c r="N42" s="72" t="str">
        <f>TEXT(ASTemp!N42,Percentages)</f>
        <v>42.9%</v>
      </c>
    </row>
    <row r="43" ht="14.25" customHeight="1">
      <c r="B43" s="66">
        <f>ASTemp!B43</f>
        <v>31</v>
      </c>
      <c r="C43" s="67">
        <f>ASTemp!C43</f>
        <v>42487</v>
      </c>
      <c r="D43" s="68">
        <f>ASTemp!D43</f>
        <v>2016</v>
      </c>
      <c r="E43" s="65" t="str">
        <f>ASTemp!E43</f>
        <v>Apr</v>
      </c>
      <c r="F43" s="69" t="str">
        <f>TEXT(ASTemp!F43,Decimals)</f>
        <v>214591.8</v>
      </c>
      <c r="G43" s="69" t="str">
        <f>TEXT(ASTemp!G43,Decimals)</f>
        <v>9862.4</v>
      </c>
      <c r="H43" s="69" t="str">
        <f>TEXT(ASTemp!H43,Decimals)</f>
        <v>9656.1</v>
      </c>
      <c r="I43" s="69" t="str">
        <f>TEXT(ASTemp!I43,Decimals)</f>
        <v>206.3</v>
      </c>
      <c r="J43" s="69" t="str">
        <f>TEXT(ASTemp!J43,Decimals)</f>
        <v>295064.3</v>
      </c>
      <c r="K43" s="69" t="str">
        <f>TEXT(ASTemp!K43,Decimals)</f>
        <v>10669.9</v>
      </c>
      <c r="L43" s="69" t="str">
        <f>TEXT(ASTemp!L43,Decimals)</f>
        <v>204935.7</v>
      </c>
      <c r="M43" s="71" t="str">
        <f>TEXT(ASTemp!M43,Percentages)</f>
        <v>59.0%</v>
      </c>
      <c r="N43" s="72" t="str">
        <f>TEXT(ASTemp!N43,Percentages)</f>
        <v>41.0%</v>
      </c>
    </row>
    <row r="44" ht="14.25" customHeight="1">
      <c r="B44" s="66">
        <f>ASTemp!B44</f>
        <v>32</v>
      </c>
      <c r="C44" s="67">
        <f>ASTemp!C44</f>
        <v>42494</v>
      </c>
      <c r="D44" s="68">
        <f>ASTemp!D44</f>
        <v>2016</v>
      </c>
      <c r="E44" s="65" t="str">
        <f>ASTemp!E44</f>
        <v>May</v>
      </c>
      <c r="F44" s="69" t="str">
        <f>TEXT(ASTemp!F44,Decimals)</f>
        <v>204935.7</v>
      </c>
      <c r="G44" s="69" t="str">
        <f>TEXT(ASTemp!G44,Decimals)</f>
        <v>9862.4</v>
      </c>
      <c r="H44" s="69" t="str">
        <f>TEXT(ASTemp!H44,Decimals)</f>
        <v>9665.3</v>
      </c>
      <c r="I44" s="69" t="str">
        <f>TEXT(ASTemp!I44,Decimals)</f>
        <v>197.1</v>
      </c>
      <c r="J44" s="69" t="str">
        <f>TEXT(ASTemp!J44,Decimals)</f>
        <v>304729.6</v>
      </c>
      <c r="K44" s="69" t="str">
        <f>TEXT(ASTemp!K44,Decimals)</f>
        <v>10867.0</v>
      </c>
      <c r="L44" s="69" t="str">
        <f>TEXT(ASTemp!L44,Decimals)</f>
        <v>195270.4</v>
      </c>
      <c r="M44" s="71" t="str">
        <f>TEXT(ASTemp!M44,Percentages)</f>
        <v>60.9%</v>
      </c>
      <c r="N44" s="72" t="str">
        <f>TEXT(ASTemp!N44,Percentages)</f>
        <v>39.1%</v>
      </c>
    </row>
    <row r="45" ht="14.25" customHeight="1">
      <c r="B45" s="66">
        <f>ASTemp!B45</f>
        <v>33</v>
      </c>
      <c r="C45" s="67">
        <f>ASTemp!C45</f>
        <v>42501</v>
      </c>
      <c r="D45" s="68">
        <f>ASTemp!D45</f>
        <v>2016</v>
      </c>
      <c r="E45" s="65" t="str">
        <f>ASTemp!E45</f>
        <v>May</v>
      </c>
      <c r="F45" s="69" t="str">
        <f>TEXT(ASTemp!F45,Decimals)</f>
        <v>195270.4</v>
      </c>
      <c r="G45" s="69" t="str">
        <f>TEXT(ASTemp!G45,Decimals)</f>
        <v>9862.4</v>
      </c>
      <c r="H45" s="69" t="str">
        <f>TEXT(ASTemp!H45,Decimals)</f>
        <v>9674.6</v>
      </c>
      <c r="I45" s="69" t="str">
        <f>TEXT(ASTemp!I45,Decimals)</f>
        <v>187.8</v>
      </c>
      <c r="J45" s="69" t="str">
        <f>TEXT(ASTemp!J45,Decimals)</f>
        <v>314404.2</v>
      </c>
      <c r="K45" s="69" t="str">
        <f>TEXT(ASTemp!K45,Decimals)</f>
        <v>11054.7</v>
      </c>
      <c r="L45" s="69" t="str">
        <f>TEXT(ASTemp!L45,Decimals)</f>
        <v>185595.8</v>
      </c>
      <c r="M45" s="71" t="str">
        <f>TEXT(ASTemp!M45,Percentages)</f>
        <v>62.9%</v>
      </c>
      <c r="N45" s="72" t="str">
        <f>TEXT(ASTemp!N45,Percentages)</f>
        <v>37.1%</v>
      </c>
    </row>
    <row r="46" ht="14.25" customHeight="1">
      <c r="B46" s="66">
        <f>ASTemp!B46</f>
        <v>34</v>
      </c>
      <c r="C46" s="67">
        <f>ASTemp!C46</f>
        <v>42508</v>
      </c>
      <c r="D46" s="68">
        <f>ASTemp!D46</f>
        <v>2016</v>
      </c>
      <c r="E46" s="65" t="str">
        <f>ASTemp!E46</f>
        <v>May</v>
      </c>
      <c r="F46" s="69" t="str">
        <f>TEXT(ASTemp!F46,Decimals)</f>
        <v>185595.8</v>
      </c>
      <c r="G46" s="69" t="str">
        <f>TEXT(ASTemp!G46,Decimals)</f>
        <v>9862.4</v>
      </c>
      <c r="H46" s="69" t="str">
        <f>TEXT(ASTemp!H46,Decimals)</f>
        <v>9683.9</v>
      </c>
      <c r="I46" s="69" t="str">
        <f>TEXT(ASTemp!I46,Decimals)</f>
        <v>178.5</v>
      </c>
      <c r="J46" s="69" t="str">
        <f>TEXT(ASTemp!J46,Decimals)</f>
        <v>324088.2</v>
      </c>
      <c r="K46" s="69" t="str">
        <f>TEXT(ASTemp!K46,Decimals)</f>
        <v>11233.2</v>
      </c>
      <c r="L46" s="69" t="str">
        <f>TEXT(ASTemp!L46,Decimals)</f>
        <v>175911.8</v>
      </c>
      <c r="M46" s="71" t="str">
        <f>TEXT(ASTemp!M46,Percentages)</f>
        <v>64.8%</v>
      </c>
      <c r="N46" s="72" t="str">
        <f>TEXT(ASTemp!N46,Percentages)</f>
        <v>35.2%</v>
      </c>
    </row>
    <row r="47" ht="14.25" customHeight="1">
      <c r="B47" s="66">
        <f>ASTemp!B47</f>
        <v>35</v>
      </c>
      <c r="C47" s="67">
        <f>ASTemp!C47</f>
        <v>42515</v>
      </c>
      <c r="D47" s="68">
        <f>ASTemp!D47</f>
        <v>2016</v>
      </c>
      <c r="E47" s="65" t="str">
        <f>ASTemp!E47</f>
        <v>May</v>
      </c>
      <c r="F47" s="69" t="str">
        <f>TEXT(ASTemp!F47,Decimals)</f>
        <v>175911.8</v>
      </c>
      <c r="G47" s="69" t="str">
        <f>TEXT(ASTemp!G47,Decimals)</f>
        <v>9862.4</v>
      </c>
      <c r="H47" s="69" t="str">
        <f>TEXT(ASTemp!H47,Decimals)</f>
        <v>9693.2</v>
      </c>
      <c r="I47" s="69" t="str">
        <f>TEXT(ASTemp!I47,Decimals)</f>
        <v>169.1</v>
      </c>
      <c r="J47" s="69" t="str">
        <f>TEXT(ASTemp!J47,Decimals)</f>
        <v>333781.4</v>
      </c>
      <c r="K47" s="69" t="str">
        <f>TEXT(ASTemp!K47,Decimals)</f>
        <v>11402.3</v>
      </c>
      <c r="L47" s="69" t="str">
        <f>TEXT(ASTemp!L47,Decimals)</f>
        <v>166218.6</v>
      </c>
      <c r="M47" s="71" t="str">
        <f>TEXT(ASTemp!M47,Percentages)</f>
        <v>66.8%</v>
      </c>
      <c r="N47" s="72" t="str">
        <f>TEXT(ASTemp!N47,Percentages)</f>
        <v>33.2%</v>
      </c>
    </row>
    <row r="48" ht="14.25" customHeight="1">
      <c r="B48" s="66">
        <f>ASTemp!B48</f>
        <v>36</v>
      </c>
      <c r="C48" s="67">
        <f>ASTemp!C48</f>
        <v>42522</v>
      </c>
      <c r="D48" s="68">
        <f>ASTemp!D48</f>
        <v>2016</v>
      </c>
      <c r="E48" s="65" t="str">
        <f>ASTemp!E48</f>
        <v>Jun</v>
      </c>
      <c r="F48" s="69" t="str">
        <f>TEXT(ASTemp!F48,Decimals)</f>
        <v>166218.6</v>
      </c>
      <c r="G48" s="69" t="str">
        <f>TEXT(ASTemp!G48,Decimals)</f>
        <v>9862.4</v>
      </c>
      <c r="H48" s="69" t="str">
        <f>TEXT(ASTemp!H48,Decimals)</f>
        <v>9702.6</v>
      </c>
      <c r="I48" s="69" t="str">
        <f>TEXT(ASTemp!I48,Decimals)</f>
        <v>159.8</v>
      </c>
      <c r="J48" s="69" t="str">
        <f>TEXT(ASTemp!J48,Decimals)</f>
        <v>343484.0</v>
      </c>
      <c r="K48" s="69" t="str">
        <f>TEXT(ASTemp!K48,Decimals)</f>
        <v>11562.2</v>
      </c>
      <c r="L48" s="69" t="str">
        <f>TEXT(ASTemp!L48,Decimals)</f>
        <v>156516.0</v>
      </c>
      <c r="M48" s="71" t="str">
        <f>TEXT(ASTemp!M48,Percentages)</f>
        <v>68.7%</v>
      </c>
      <c r="N48" s="72" t="str">
        <f>TEXT(ASTemp!N48,Percentages)</f>
        <v>31.3%</v>
      </c>
    </row>
    <row r="49" ht="14.25" customHeight="1">
      <c r="B49" s="66">
        <f>ASTemp!B49</f>
        <v>37</v>
      </c>
      <c r="C49" s="67">
        <f>ASTemp!C49</f>
        <v>42529</v>
      </c>
      <c r="D49" s="68">
        <f>ASTemp!D49</f>
        <v>2016</v>
      </c>
      <c r="E49" s="65" t="str">
        <f>ASTemp!E49</f>
        <v>Jun</v>
      </c>
      <c r="F49" s="69" t="str">
        <f>TEXT(ASTemp!F49,Decimals)</f>
        <v>156516.0</v>
      </c>
      <c r="G49" s="69" t="str">
        <f>TEXT(ASTemp!G49,Decimals)</f>
        <v>9862.4</v>
      </c>
      <c r="H49" s="69" t="str">
        <f>TEXT(ASTemp!H49,Decimals)</f>
        <v>9711.9</v>
      </c>
      <c r="I49" s="69" t="str">
        <f>TEXT(ASTemp!I49,Decimals)</f>
        <v>150.5</v>
      </c>
      <c r="J49" s="69" t="str">
        <f>TEXT(ASTemp!J49,Decimals)</f>
        <v>353195.9</v>
      </c>
      <c r="K49" s="69" t="str">
        <f>TEXT(ASTemp!K49,Decimals)</f>
        <v>11712.7</v>
      </c>
      <c r="L49" s="69" t="str">
        <f>TEXT(ASTemp!L49,Decimals)</f>
        <v>146804.1</v>
      </c>
      <c r="M49" s="71" t="str">
        <f>TEXT(ASTemp!M49,Percentages)</f>
        <v>70.6%</v>
      </c>
      <c r="N49" s="72" t="str">
        <f>TEXT(ASTemp!N49,Percentages)</f>
        <v>29.4%</v>
      </c>
    </row>
    <row r="50" ht="14.25" customHeight="1">
      <c r="B50" s="66">
        <f>ASTemp!B50</f>
        <v>38</v>
      </c>
      <c r="C50" s="67">
        <f>ASTemp!C50</f>
        <v>42536</v>
      </c>
      <c r="D50" s="68">
        <f>ASTemp!D50</f>
        <v>2016</v>
      </c>
      <c r="E50" s="65" t="str">
        <f>ASTemp!E50</f>
        <v>Jun</v>
      </c>
      <c r="F50" s="69" t="str">
        <f>TEXT(ASTemp!F50,Decimals)</f>
        <v>146804.1</v>
      </c>
      <c r="G50" s="69" t="str">
        <f>TEXT(ASTemp!G50,Decimals)</f>
        <v>9862.4</v>
      </c>
      <c r="H50" s="69" t="str">
        <f>TEXT(ASTemp!H50,Decimals)</f>
        <v>9721.2</v>
      </c>
      <c r="I50" s="69" t="str">
        <f>TEXT(ASTemp!I50,Decimals)</f>
        <v>141.2</v>
      </c>
      <c r="J50" s="69" t="str">
        <f>TEXT(ASTemp!J50,Decimals)</f>
        <v>362917.1</v>
      </c>
      <c r="K50" s="69" t="str">
        <f>TEXT(ASTemp!K50,Decimals)</f>
        <v>11853.8</v>
      </c>
      <c r="L50" s="69" t="str">
        <f>TEXT(ASTemp!L50,Decimals)</f>
        <v>137082.9</v>
      </c>
      <c r="M50" s="71" t="str">
        <f>TEXT(ASTemp!M50,Percentages)</f>
        <v>72.6%</v>
      </c>
      <c r="N50" s="72" t="str">
        <f>TEXT(ASTemp!N50,Percentages)</f>
        <v>27.4%</v>
      </c>
    </row>
    <row r="51" ht="14.25" customHeight="1">
      <c r="B51" s="66">
        <f>ASTemp!B51</f>
        <v>39</v>
      </c>
      <c r="C51" s="67">
        <f>ASTemp!C51</f>
        <v>42543</v>
      </c>
      <c r="D51" s="68">
        <f>ASTemp!D51</f>
        <v>2016</v>
      </c>
      <c r="E51" s="65" t="str">
        <f>ASTemp!E51</f>
        <v>Jun</v>
      </c>
      <c r="F51" s="69" t="str">
        <f>TEXT(ASTemp!F51,Decimals)</f>
        <v>137082.9</v>
      </c>
      <c r="G51" s="69" t="str">
        <f>TEXT(ASTemp!G51,Decimals)</f>
        <v>9862.4</v>
      </c>
      <c r="H51" s="69" t="str">
        <f>TEXT(ASTemp!H51,Decimals)</f>
        <v>9730.6</v>
      </c>
      <c r="I51" s="69" t="str">
        <f>TEXT(ASTemp!I51,Decimals)</f>
        <v>131.8</v>
      </c>
      <c r="J51" s="69" t="str">
        <f>TEXT(ASTemp!J51,Decimals)</f>
        <v>372647.7</v>
      </c>
      <c r="K51" s="69" t="str">
        <f>TEXT(ASTemp!K51,Decimals)</f>
        <v>11985.6</v>
      </c>
      <c r="L51" s="69" t="str">
        <f>TEXT(ASTemp!L51,Decimals)</f>
        <v>127352.3</v>
      </c>
      <c r="M51" s="71" t="str">
        <f>TEXT(ASTemp!M51,Percentages)</f>
        <v>74.5%</v>
      </c>
      <c r="N51" s="72" t="str">
        <f>TEXT(ASTemp!N51,Percentages)</f>
        <v>25.5%</v>
      </c>
    </row>
    <row r="52" ht="14.25" customHeight="1">
      <c r="B52" s="66">
        <f>ASTemp!B52</f>
        <v>40</v>
      </c>
      <c r="C52" s="67">
        <f>ASTemp!C52</f>
        <v>42550</v>
      </c>
      <c r="D52" s="68">
        <f>ASTemp!D52</f>
        <v>2016</v>
      </c>
      <c r="E52" s="65" t="str">
        <f>ASTemp!E52</f>
        <v>Jun</v>
      </c>
      <c r="F52" s="69" t="str">
        <f>TEXT(ASTemp!F52,Decimals)</f>
        <v>127352.3</v>
      </c>
      <c r="G52" s="69" t="str">
        <f>TEXT(ASTemp!G52,Decimals)</f>
        <v>9862.4</v>
      </c>
      <c r="H52" s="69" t="str">
        <f>TEXT(ASTemp!H52,Decimals)</f>
        <v>9739.9</v>
      </c>
      <c r="I52" s="69" t="str">
        <f>TEXT(ASTemp!I52,Decimals)</f>
        <v>122.5</v>
      </c>
      <c r="J52" s="69" t="str">
        <f>TEXT(ASTemp!J52,Decimals)</f>
        <v>382387.7</v>
      </c>
      <c r="K52" s="69" t="str">
        <f>TEXT(ASTemp!K52,Decimals)</f>
        <v>12108.1</v>
      </c>
      <c r="L52" s="69" t="str">
        <f>TEXT(ASTemp!L52,Decimals)</f>
        <v>117612.3</v>
      </c>
      <c r="M52" s="71" t="str">
        <f>TEXT(ASTemp!M52,Percentages)</f>
        <v>76.5%</v>
      </c>
      <c r="N52" s="72" t="str">
        <f>TEXT(ASTemp!N52,Percentages)</f>
        <v>23.5%</v>
      </c>
    </row>
    <row r="53" ht="14.25" customHeight="1">
      <c r="B53" s="66">
        <f>ASTemp!B53</f>
        <v>41</v>
      </c>
      <c r="C53" s="67">
        <f>ASTemp!C53</f>
        <v>42557</v>
      </c>
      <c r="D53" s="68">
        <f>ASTemp!D53</f>
        <v>2016</v>
      </c>
      <c r="E53" s="65" t="str">
        <f>ASTemp!E53</f>
        <v>Jul</v>
      </c>
      <c r="F53" s="69" t="str">
        <f>TEXT(ASTemp!F53,Decimals)</f>
        <v>117612.3</v>
      </c>
      <c r="G53" s="69" t="str">
        <f>TEXT(ASTemp!G53,Decimals)</f>
        <v>9862.4</v>
      </c>
      <c r="H53" s="69" t="str">
        <f>TEXT(ASTemp!H53,Decimals)</f>
        <v>9749.3</v>
      </c>
      <c r="I53" s="69" t="str">
        <f>TEXT(ASTemp!I53,Decimals)</f>
        <v>113.1</v>
      </c>
      <c r="J53" s="69" t="str">
        <f>TEXT(ASTemp!J53,Decimals)</f>
        <v>392137.0</v>
      </c>
      <c r="K53" s="69" t="str">
        <f>TEXT(ASTemp!K53,Decimals)</f>
        <v>12221.2</v>
      </c>
      <c r="L53" s="69" t="str">
        <f>TEXT(ASTemp!L53,Decimals)</f>
        <v>107863.0</v>
      </c>
      <c r="M53" s="71" t="str">
        <f>TEXT(ASTemp!M53,Percentages)</f>
        <v>78.4%</v>
      </c>
      <c r="N53" s="72" t="str">
        <f>TEXT(ASTemp!N53,Percentages)</f>
        <v>21.6%</v>
      </c>
    </row>
    <row r="54" ht="14.25" customHeight="1">
      <c r="B54" s="66">
        <f>ASTemp!B54</f>
        <v>42</v>
      </c>
      <c r="C54" s="67">
        <f>ASTemp!C54</f>
        <v>42564</v>
      </c>
      <c r="D54" s="68">
        <f>ASTemp!D54</f>
        <v>2016</v>
      </c>
      <c r="E54" s="65" t="str">
        <f>ASTemp!E54</f>
        <v>Jul</v>
      </c>
      <c r="F54" s="69" t="str">
        <f>TEXT(ASTemp!F54,Decimals)</f>
        <v>107863.0</v>
      </c>
      <c r="G54" s="69" t="str">
        <f>TEXT(ASTemp!G54,Decimals)</f>
        <v>9862.4</v>
      </c>
      <c r="H54" s="69" t="str">
        <f>TEXT(ASTemp!H54,Decimals)</f>
        <v>9758.7</v>
      </c>
      <c r="I54" s="69" t="str">
        <f>TEXT(ASTemp!I54,Decimals)</f>
        <v>103.7</v>
      </c>
      <c r="J54" s="69" t="str">
        <f>TEXT(ASTemp!J54,Decimals)</f>
        <v>401895.6</v>
      </c>
      <c r="K54" s="69" t="str">
        <f>TEXT(ASTemp!K54,Decimals)</f>
        <v>12324.9</v>
      </c>
      <c r="L54" s="69" t="str">
        <f>TEXT(ASTemp!L54,Decimals)</f>
        <v>98104.4</v>
      </c>
      <c r="M54" s="71" t="str">
        <f>TEXT(ASTemp!M54,Percentages)</f>
        <v>80.4%</v>
      </c>
      <c r="N54" s="72" t="str">
        <f>TEXT(ASTemp!N54,Percentages)</f>
        <v>19.6%</v>
      </c>
    </row>
    <row r="55" ht="14.25" customHeight="1">
      <c r="B55" s="66">
        <f>ASTemp!B55</f>
        <v>43</v>
      </c>
      <c r="C55" s="67">
        <f>ASTemp!C55</f>
        <v>42571</v>
      </c>
      <c r="D55" s="68">
        <f>ASTemp!D55</f>
        <v>2016</v>
      </c>
      <c r="E55" s="65" t="str">
        <f>ASTemp!E55</f>
        <v>Jul</v>
      </c>
      <c r="F55" s="69" t="str">
        <f>TEXT(ASTemp!F55,Decimals)</f>
        <v>98104.4</v>
      </c>
      <c r="G55" s="69" t="str">
        <f>TEXT(ASTemp!G55,Decimals)</f>
        <v>9862.4</v>
      </c>
      <c r="H55" s="69" t="str">
        <f>TEXT(ASTemp!H55,Decimals)</f>
        <v>9768.1</v>
      </c>
      <c r="I55" s="69" t="str">
        <f>TEXT(ASTemp!I55,Decimals)</f>
        <v>94.3</v>
      </c>
      <c r="J55" s="69" t="str">
        <f>TEXT(ASTemp!J55,Decimals)</f>
        <v>411663.7</v>
      </c>
      <c r="K55" s="69" t="str">
        <f>TEXT(ASTemp!K55,Decimals)</f>
        <v>12419.2</v>
      </c>
      <c r="L55" s="69" t="str">
        <f>TEXT(ASTemp!L55,Decimals)</f>
        <v>88336.3</v>
      </c>
      <c r="M55" s="71" t="str">
        <f>TEXT(ASTemp!M55,Percentages)</f>
        <v>82.3%</v>
      </c>
      <c r="N55" s="72" t="str">
        <f>TEXT(ASTemp!N55,Percentages)</f>
        <v>17.7%</v>
      </c>
    </row>
    <row r="56" ht="14.25" customHeight="1">
      <c r="B56" s="66">
        <f>ASTemp!B56</f>
        <v>44</v>
      </c>
      <c r="C56" s="67">
        <f>ASTemp!C56</f>
        <v>42578</v>
      </c>
      <c r="D56" s="68">
        <f>ASTemp!D56</f>
        <v>2016</v>
      </c>
      <c r="E56" s="65" t="str">
        <f>ASTemp!E56</f>
        <v>Jul</v>
      </c>
      <c r="F56" s="69" t="str">
        <f>TEXT(ASTemp!F56,Decimals)</f>
        <v>88336.3</v>
      </c>
      <c r="G56" s="69" t="str">
        <f>TEXT(ASTemp!G56,Decimals)</f>
        <v>9862.4</v>
      </c>
      <c r="H56" s="69" t="str">
        <f>TEXT(ASTemp!H56,Decimals)</f>
        <v>9777.5</v>
      </c>
      <c r="I56" s="69" t="str">
        <f>TEXT(ASTemp!I56,Decimals)</f>
        <v>84.9</v>
      </c>
      <c r="J56" s="69" t="str">
        <f>TEXT(ASTemp!J56,Decimals)</f>
        <v>421441.2</v>
      </c>
      <c r="K56" s="69" t="str">
        <f>TEXT(ASTemp!K56,Decimals)</f>
        <v>12504.2</v>
      </c>
      <c r="L56" s="69" t="str">
        <f>TEXT(ASTemp!L56,Decimals)</f>
        <v>78558.8</v>
      </c>
      <c r="M56" s="71" t="str">
        <f>TEXT(ASTemp!M56,Percentages)</f>
        <v>84.3%</v>
      </c>
      <c r="N56" s="72" t="str">
        <f>TEXT(ASTemp!N56,Percentages)</f>
        <v>15.7%</v>
      </c>
    </row>
    <row r="57" ht="14.25" customHeight="1">
      <c r="B57" s="66">
        <f>ASTemp!B57</f>
        <v>45</v>
      </c>
      <c r="C57" s="67">
        <f>ASTemp!C57</f>
        <v>42585</v>
      </c>
      <c r="D57" s="68">
        <f>ASTemp!D57</f>
        <v>2016</v>
      </c>
      <c r="E57" s="65" t="str">
        <f>ASTemp!E57</f>
        <v>Aug</v>
      </c>
      <c r="F57" s="69" t="str">
        <f>TEXT(ASTemp!F57,Decimals)</f>
        <v>78558.8</v>
      </c>
      <c r="G57" s="69" t="str">
        <f>TEXT(ASTemp!G57,Decimals)</f>
        <v>9862.4</v>
      </c>
      <c r="H57" s="69" t="str">
        <f>TEXT(ASTemp!H57,Decimals)</f>
        <v>9786.9</v>
      </c>
      <c r="I57" s="69" t="str">
        <f>TEXT(ASTemp!I57,Decimals)</f>
        <v>75.5</v>
      </c>
      <c r="J57" s="69" t="str">
        <f>TEXT(ASTemp!J57,Decimals)</f>
        <v>431228.0</v>
      </c>
      <c r="K57" s="69" t="str">
        <f>TEXT(ASTemp!K57,Decimals)</f>
        <v>12579.7</v>
      </c>
      <c r="L57" s="69" t="str">
        <f>TEXT(ASTemp!L57,Decimals)</f>
        <v>68772.0</v>
      </c>
      <c r="M57" s="71" t="str">
        <f>TEXT(ASTemp!M57,Percentages)</f>
        <v>86.2%</v>
      </c>
      <c r="N57" s="72" t="str">
        <f>TEXT(ASTemp!N57,Percentages)</f>
        <v>13.8%</v>
      </c>
    </row>
    <row r="58" ht="14.25" customHeight="1">
      <c r="B58" s="66">
        <f>ASTemp!B58</f>
        <v>46</v>
      </c>
      <c r="C58" s="67">
        <f>ASTemp!C58</f>
        <v>42592</v>
      </c>
      <c r="D58" s="68">
        <f>ASTemp!D58</f>
        <v>2016</v>
      </c>
      <c r="E58" s="65" t="str">
        <f>ASTemp!E58</f>
        <v>Aug</v>
      </c>
      <c r="F58" s="69" t="str">
        <f>TEXT(ASTemp!F58,Decimals)</f>
        <v>68772.0</v>
      </c>
      <c r="G58" s="69" t="str">
        <f>TEXT(ASTemp!G58,Decimals)</f>
        <v>9862.4</v>
      </c>
      <c r="H58" s="69" t="str">
        <f>TEXT(ASTemp!H58,Decimals)</f>
        <v>9796.3</v>
      </c>
      <c r="I58" s="69" t="str">
        <f>TEXT(ASTemp!I58,Decimals)</f>
        <v>66.1</v>
      </c>
      <c r="J58" s="69" t="str">
        <f>TEXT(ASTemp!J58,Decimals)</f>
        <v>441024.3</v>
      </c>
      <c r="K58" s="69" t="str">
        <f>TEXT(ASTemp!K58,Decimals)</f>
        <v>12645.8</v>
      </c>
      <c r="L58" s="69" t="str">
        <f>TEXT(ASTemp!L58,Decimals)</f>
        <v>58975.7</v>
      </c>
      <c r="M58" s="71" t="str">
        <f>TEXT(ASTemp!M58,Percentages)</f>
        <v>88.2%</v>
      </c>
      <c r="N58" s="72" t="str">
        <f>TEXT(ASTemp!N58,Percentages)</f>
        <v>11.8%</v>
      </c>
    </row>
    <row r="59" ht="14.25" customHeight="1">
      <c r="B59" s="66">
        <f>ASTemp!B59</f>
        <v>47</v>
      </c>
      <c r="C59" s="67">
        <f>ASTemp!C59</f>
        <v>42599</v>
      </c>
      <c r="D59" s="68">
        <f>ASTemp!D59</f>
        <v>2016</v>
      </c>
      <c r="E59" s="65" t="str">
        <f>ASTemp!E59</f>
        <v>Aug</v>
      </c>
      <c r="F59" s="69" t="str">
        <f>TEXT(ASTemp!F59,Decimals)</f>
        <v>58975.7</v>
      </c>
      <c r="G59" s="69" t="str">
        <f>TEXT(ASTemp!G59,Decimals)</f>
        <v>9862.4</v>
      </c>
      <c r="H59" s="69" t="str">
        <f>TEXT(ASTemp!H59,Decimals)</f>
        <v>9805.7</v>
      </c>
      <c r="I59" s="69" t="str">
        <f>TEXT(ASTemp!I59,Decimals)</f>
        <v>56.7</v>
      </c>
      <c r="J59" s="69" t="str">
        <f>TEXT(ASTemp!J59,Decimals)</f>
        <v>450830.0</v>
      </c>
      <c r="K59" s="69" t="str">
        <f>TEXT(ASTemp!K59,Decimals)</f>
        <v>12702.5</v>
      </c>
      <c r="L59" s="69" t="str">
        <f>TEXT(ASTemp!L59,Decimals)</f>
        <v>49170.0</v>
      </c>
      <c r="M59" s="71" t="str">
        <f>TEXT(ASTemp!M59,Percentages)</f>
        <v>90.2%</v>
      </c>
      <c r="N59" s="72" t="str">
        <f>TEXT(ASTemp!N59,Percentages)</f>
        <v>9.8%</v>
      </c>
    </row>
    <row r="60" ht="14.25" customHeight="1">
      <c r="B60" s="66">
        <f>ASTemp!B60</f>
        <v>48</v>
      </c>
      <c r="C60" s="67">
        <f>ASTemp!C60</f>
        <v>42606</v>
      </c>
      <c r="D60" s="68">
        <f>ASTemp!D60</f>
        <v>2016</v>
      </c>
      <c r="E60" s="65" t="str">
        <f>ASTemp!E60</f>
        <v>Aug</v>
      </c>
      <c r="F60" s="69" t="str">
        <f>TEXT(ASTemp!F60,Decimals)</f>
        <v>49170.0</v>
      </c>
      <c r="G60" s="69" t="str">
        <f>TEXT(ASTemp!G60,Decimals)</f>
        <v>9862.4</v>
      </c>
      <c r="H60" s="69" t="str">
        <f>TEXT(ASTemp!H60,Decimals)</f>
        <v>9815.1</v>
      </c>
      <c r="I60" s="69" t="str">
        <f>TEXT(ASTemp!I60,Decimals)</f>
        <v>47.3</v>
      </c>
      <c r="J60" s="69" t="str">
        <f>TEXT(ASTemp!J60,Decimals)</f>
        <v>460645.1</v>
      </c>
      <c r="K60" s="69" t="str">
        <f>TEXT(ASTemp!K60,Decimals)</f>
        <v>12749.8</v>
      </c>
      <c r="L60" s="69" t="str">
        <f>TEXT(ASTemp!L60,Decimals)</f>
        <v>39354.9</v>
      </c>
      <c r="M60" s="71" t="str">
        <f>TEXT(ASTemp!M60,Percentages)</f>
        <v>92.1%</v>
      </c>
      <c r="N60" s="72" t="str">
        <f>TEXT(ASTemp!N60,Percentages)</f>
        <v>7.9%</v>
      </c>
    </row>
    <row r="61" ht="14.25" customHeight="1">
      <c r="B61" s="66">
        <f>ASTemp!B61</f>
        <v>49</v>
      </c>
      <c r="C61" s="67">
        <f>ASTemp!C61</f>
        <v>42613</v>
      </c>
      <c r="D61" s="68">
        <f>ASTemp!D61</f>
        <v>2016</v>
      </c>
      <c r="E61" s="65" t="str">
        <f>ASTemp!E61</f>
        <v>Aug</v>
      </c>
      <c r="F61" s="69" t="str">
        <f>TEXT(ASTemp!F61,Decimals)</f>
        <v>39354.9</v>
      </c>
      <c r="G61" s="69" t="str">
        <f>TEXT(ASTemp!G61,Decimals)</f>
        <v>9862.4</v>
      </c>
      <c r="H61" s="69" t="str">
        <f>TEXT(ASTemp!H61,Decimals)</f>
        <v>9824.6</v>
      </c>
      <c r="I61" s="69" t="str">
        <f>TEXT(ASTemp!I61,Decimals)</f>
        <v>37.8</v>
      </c>
      <c r="J61" s="69" t="str">
        <f>TEXT(ASTemp!J61,Decimals)</f>
        <v>470469.6</v>
      </c>
      <c r="K61" s="69" t="str">
        <f>TEXT(ASTemp!K61,Decimals)</f>
        <v>12787.7</v>
      </c>
      <c r="L61" s="69" t="str">
        <f>TEXT(ASTemp!L61,Decimals)</f>
        <v>29530.4</v>
      </c>
      <c r="M61" s="71" t="str">
        <f>TEXT(ASTemp!M61,Percentages)</f>
        <v>94.1%</v>
      </c>
      <c r="N61" s="72" t="str">
        <f>TEXT(ASTemp!N61,Percentages)</f>
        <v>5.9%</v>
      </c>
    </row>
    <row r="62" ht="14.25" customHeight="1">
      <c r="B62" s="66">
        <f>ASTemp!B62</f>
        <v>50</v>
      </c>
      <c r="C62" s="67">
        <f>ASTemp!C62</f>
        <v>42620</v>
      </c>
      <c r="D62" s="68">
        <f>ASTemp!D62</f>
        <v>2016</v>
      </c>
      <c r="E62" s="65" t="str">
        <f>ASTemp!E62</f>
        <v>Sep</v>
      </c>
      <c r="F62" s="69" t="str">
        <f>TEXT(ASTemp!F62,Decimals)</f>
        <v>29530.4</v>
      </c>
      <c r="G62" s="69" t="str">
        <f>TEXT(ASTemp!G62,Decimals)</f>
        <v>9862.4</v>
      </c>
      <c r="H62" s="69" t="str">
        <f>TEXT(ASTemp!H62,Decimals)</f>
        <v>9834.0</v>
      </c>
      <c r="I62" s="69" t="str">
        <f>TEXT(ASTemp!I62,Decimals)</f>
        <v>28.4</v>
      </c>
      <c r="J62" s="69" t="str">
        <f>TEXT(ASTemp!J62,Decimals)</f>
        <v>480303.6</v>
      </c>
      <c r="K62" s="69" t="str">
        <f>TEXT(ASTemp!K62,Decimals)</f>
        <v>12816.0</v>
      </c>
      <c r="L62" s="69" t="str">
        <f>TEXT(ASTemp!L62,Decimals)</f>
        <v>19696.4</v>
      </c>
      <c r="M62" s="71" t="str">
        <f>TEXT(ASTemp!M62,Percentages)</f>
        <v>96.1%</v>
      </c>
      <c r="N62" s="72" t="str">
        <f>TEXT(ASTemp!N62,Percentages)</f>
        <v>3.9%</v>
      </c>
    </row>
    <row r="63" ht="14.25" customHeight="1">
      <c r="B63" s="66">
        <f>ASTemp!B63</f>
        <v>51</v>
      </c>
      <c r="C63" s="67">
        <f>ASTemp!C63</f>
        <v>42627</v>
      </c>
      <c r="D63" s="68">
        <f>ASTemp!D63</f>
        <v>2016</v>
      </c>
      <c r="E63" s="65" t="str">
        <f>ASTemp!E63</f>
        <v>Sep</v>
      </c>
      <c r="F63" s="69" t="str">
        <f>TEXT(ASTemp!F63,Decimals)</f>
        <v>19696.4</v>
      </c>
      <c r="G63" s="69" t="str">
        <f>TEXT(ASTemp!G63,Decimals)</f>
        <v>9862.4</v>
      </c>
      <c r="H63" s="69" t="str">
        <f>TEXT(ASTemp!H63,Decimals)</f>
        <v>9843.5</v>
      </c>
      <c r="I63" s="69" t="str">
        <f>TEXT(ASTemp!I63,Decimals)</f>
        <v>18.9</v>
      </c>
      <c r="J63" s="69" t="str">
        <f>TEXT(ASTemp!J63,Decimals)</f>
        <v>490147.1</v>
      </c>
      <c r="K63" s="69" t="str">
        <f>TEXT(ASTemp!K63,Decimals)</f>
        <v>12835.0</v>
      </c>
      <c r="L63" s="69" t="str">
        <f>TEXT(ASTemp!L63,Decimals)</f>
        <v>9852.9</v>
      </c>
      <c r="M63" s="71" t="str">
        <f>TEXT(ASTemp!M63,Percentages)</f>
        <v>98.0%</v>
      </c>
      <c r="N63" s="72" t="str">
        <f>TEXT(ASTemp!N63,Percentages)</f>
        <v>2.0%</v>
      </c>
    </row>
    <row r="64" ht="14.25" customHeight="1">
      <c r="B64" s="66">
        <f>ASTemp!B64</f>
        <v>52</v>
      </c>
      <c r="C64" s="67">
        <f>ASTemp!C64</f>
        <v>42634</v>
      </c>
      <c r="D64" s="68">
        <f>ASTemp!D64</f>
        <v>2016</v>
      </c>
      <c r="E64" s="65" t="str">
        <f>ASTemp!E64</f>
        <v>Sep</v>
      </c>
      <c r="F64" s="69" t="str">
        <f>TEXT(ASTemp!F64,Decimals)</f>
        <v>9852.9</v>
      </c>
      <c r="G64" s="69" t="str">
        <f>TEXT(ASTemp!G64,Decimals)</f>
        <v>9862.4</v>
      </c>
      <c r="H64" s="69" t="str">
        <f>TEXT(ASTemp!H64,Decimals)</f>
        <v>9852.9</v>
      </c>
      <c r="I64" s="69" t="str">
        <f>TEXT(ASTemp!I64,Decimals)</f>
        <v>9.5</v>
      </c>
      <c r="J64" s="69" t="str">
        <f>TEXT(ASTemp!J64,Decimals)</f>
        <v>500000.0</v>
      </c>
      <c r="K64" s="69" t="str">
        <f>TEXT(ASTemp!K64,Decimals)</f>
        <v>12844.5</v>
      </c>
      <c r="L64" s="69" t="str">
        <f>TEXT(ASTemp!L64,Decimals)</f>
        <v>0.0</v>
      </c>
      <c r="M64" s="71" t="str">
        <f>TEXT(ASTemp!M64,Percentages)</f>
        <v>100.0%</v>
      </c>
      <c r="N64" s="72" t="str">
        <f>TEXT(ASTemp!N64,Percentages)</f>
        <v>0.0%</v>
      </c>
    </row>
    <row r="65" ht="14.25" customHeight="1">
      <c r="B65" s="66" t="str">
        <f>ASTemp!B65</f>
        <v/>
      </c>
      <c r="C65" s="67" t="str">
        <f>ASTemp!C65</f>
        <v/>
      </c>
      <c r="D65" s="68" t="str">
        <f>ASTemp!D65</f>
        <v/>
      </c>
      <c r="E65" s="65" t="str">
        <f>ASTemp!E65</f>
        <v/>
      </c>
      <c r="F65" s="69" t="str">
        <f>TEXT(ASTemp!F65,Decimals)</f>
        <v/>
      </c>
      <c r="G65" s="69" t="str">
        <f>TEXT(ASTemp!G65,Decimals)</f>
        <v/>
      </c>
      <c r="H65" s="69" t="str">
        <f>TEXT(ASTemp!H65,Decimals)</f>
        <v/>
      </c>
      <c r="I65" s="69" t="str">
        <f>TEXT(ASTemp!I65,Decimals)</f>
        <v/>
      </c>
      <c r="J65" s="69" t="str">
        <f>TEXT(ASTemp!J65,Decimals)</f>
        <v/>
      </c>
      <c r="K65" s="69" t="str">
        <f>TEXT(ASTemp!K65,Decimals)</f>
        <v/>
      </c>
      <c r="L65" s="69" t="str">
        <f>TEXT(ASTemp!L65,Decimals)</f>
        <v/>
      </c>
      <c r="M65" s="71" t="str">
        <f>TEXT(ASTemp!M65,Percentages)</f>
        <v/>
      </c>
      <c r="N65" s="72" t="str">
        <f>TEXT(ASTemp!N65,Percentages)</f>
        <v/>
      </c>
    </row>
    <row r="66" ht="14.25" customHeight="1">
      <c r="B66" s="66" t="str">
        <f>ASTemp!B66</f>
        <v/>
      </c>
      <c r="C66" s="67" t="str">
        <f>ASTemp!C66</f>
        <v/>
      </c>
      <c r="D66" s="68" t="str">
        <f>ASTemp!D66</f>
        <v/>
      </c>
      <c r="E66" s="65" t="str">
        <f>ASTemp!E66</f>
        <v/>
      </c>
      <c r="F66" s="69" t="str">
        <f>TEXT(ASTemp!F66,Decimals)</f>
        <v/>
      </c>
      <c r="G66" s="69" t="str">
        <f>TEXT(ASTemp!G66,Decimals)</f>
        <v/>
      </c>
      <c r="H66" s="69" t="str">
        <f>TEXT(ASTemp!H66,Decimals)</f>
        <v/>
      </c>
      <c r="I66" s="69" t="str">
        <f>TEXT(ASTemp!I66,Decimals)</f>
        <v/>
      </c>
      <c r="J66" s="69" t="str">
        <f>TEXT(ASTemp!J66,Decimals)</f>
        <v/>
      </c>
      <c r="K66" s="69" t="str">
        <f>TEXT(ASTemp!K66,Decimals)</f>
        <v/>
      </c>
      <c r="L66" s="69" t="str">
        <f>TEXT(ASTemp!L66,Decimals)</f>
        <v/>
      </c>
      <c r="M66" s="71" t="str">
        <f>TEXT(ASTemp!M66,Percentages)</f>
        <v/>
      </c>
      <c r="N66" s="72" t="str">
        <f>TEXT(ASTemp!N66,Percentages)</f>
        <v/>
      </c>
    </row>
    <row r="67" ht="14.25" customHeight="1">
      <c r="B67" s="66" t="str">
        <f>ASTemp!B67</f>
        <v/>
      </c>
      <c r="C67" s="67" t="str">
        <f>ASTemp!C67</f>
        <v/>
      </c>
      <c r="D67" s="68" t="str">
        <f>ASTemp!D67</f>
        <v/>
      </c>
      <c r="E67" s="65" t="str">
        <f>ASTemp!E67</f>
        <v/>
      </c>
      <c r="F67" s="69" t="str">
        <f>TEXT(ASTemp!F67,Decimals)</f>
        <v/>
      </c>
      <c r="G67" s="69" t="str">
        <f>TEXT(ASTemp!G67,Decimals)</f>
        <v/>
      </c>
      <c r="H67" s="69" t="str">
        <f>TEXT(ASTemp!H67,Decimals)</f>
        <v/>
      </c>
      <c r="I67" s="69" t="str">
        <f>TEXT(ASTemp!I67,Decimals)</f>
        <v/>
      </c>
      <c r="J67" s="69" t="str">
        <f>TEXT(ASTemp!J67,Decimals)</f>
        <v/>
      </c>
      <c r="K67" s="69" t="str">
        <f>TEXT(ASTemp!K67,Decimals)</f>
        <v/>
      </c>
      <c r="L67" s="69" t="str">
        <f>TEXT(ASTemp!L67,Decimals)</f>
        <v/>
      </c>
      <c r="M67" s="71" t="str">
        <f>TEXT(ASTemp!M67,Percentages)</f>
        <v/>
      </c>
      <c r="N67" s="72" t="str">
        <f>TEXT(ASTemp!N67,Percentages)</f>
        <v/>
      </c>
    </row>
    <row r="68" ht="14.25" customHeight="1">
      <c r="B68" s="66" t="str">
        <f>ASTemp!B68</f>
        <v/>
      </c>
      <c r="C68" s="67" t="str">
        <f>ASTemp!C68</f>
        <v/>
      </c>
      <c r="D68" s="68" t="str">
        <f>ASTemp!D68</f>
        <v/>
      </c>
      <c r="E68" s="65" t="str">
        <f>ASTemp!E68</f>
        <v/>
      </c>
      <c r="F68" s="69" t="str">
        <f>TEXT(ASTemp!F68,Decimals)</f>
        <v/>
      </c>
      <c r="G68" s="69" t="str">
        <f>TEXT(ASTemp!G68,Decimals)</f>
        <v/>
      </c>
      <c r="H68" s="69" t="str">
        <f>TEXT(ASTemp!H68,Decimals)</f>
        <v/>
      </c>
      <c r="I68" s="69" t="str">
        <f>TEXT(ASTemp!I68,Decimals)</f>
        <v/>
      </c>
      <c r="J68" s="69" t="str">
        <f>TEXT(ASTemp!J68,Decimals)</f>
        <v/>
      </c>
      <c r="K68" s="69" t="str">
        <f>TEXT(ASTemp!K68,Decimals)</f>
        <v/>
      </c>
      <c r="L68" s="69" t="str">
        <f>TEXT(ASTemp!L68,Decimals)</f>
        <v/>
      </c>
      <c r="M68" s="71" t="str">
        <f>TEXT(ASTemp!M68,Percentages)</f>
        <v/>
      </c>
      <c r="N68" s="72" t="str">
        <f>TEXT(ASTemp!N68,Percentages)</f>
        <v/>
      </c>
    </row>
    <row r="69" ht="14.25" customHeight="1">
      <c r="B69" s="66" t="str">
        <f>ASTemp!B69</f>
        <v/>
      </c>
      <c r="C69" s="67" t="str">
        <f>ASTemp!C69</f>
        <v/>
      </c>
      <c r="D69" s="68" t="str">
        <f>ASTemp!D69</f>
        <v/>
      </c>
      <c r="E69" s="65" t="str">
        <f>ASTemp!E69</f>
        <v/>
      </c>
      <c r="F69" s="69" t="str">
        <f>TEXT(ASTemp!F69,Decimals)</f>
        <v/>
      </c>
      <c r="G69" s="69" t="str">
        <f>TEXT(ASTemp!G69,Decimals)</f>
        <v/>
      </c>
      <c r="H69" s="69" t="str">
        <f>TEXT(ASTemp!H69,Decimals)</f>
        <v/>
      </c>
      <c r="I69" s="69" t="str">
        <f>TEXT(ASTemp!I69,Decimals)</f>
        <v/>
      </c>
      <c r="J69" s="69" t="str">
        <f>TEXT(ASTemp!J69,Decimals)</f>
        <v/>
      </c>
      <c r="K69" s="69" t="str">
        <f>TEXT(ASTemp!K69,Decimals)</f>
        <v/>
      </c>
      <c r="L69" s="69" t="str">
        <f>TEXT(ASTemp!L69,Decimals)</f>
        <v/>
      </c>
      <c r="M69" s="71" t="str">
        <f>TEXT(ASTemp!M69,Percentages)</f>
        <v/>
      </c>
      <c r="N69" s="72" t="str">
        <f>TEXT(ASTemp!N69,Percentages)</f>
        <v/>
      </c>
    </row>
    <row r="70" ht="14.25" customHeight="1">
      <c r="B70" s="66" t="str">
        <f>ASTemp!B70</f>
        <v/>
      </c>
      <c r="C70" s="67" t="str">
        <f>ASTemp!C70</f>
        <v/>
      </c>
      <c r="D70" s="68" t="str">
        <f>ASTemp!D70</f>
        <v/>
      </c>
      <c r="E70" s="65" t="str">
        <f>ASTemp!E70</f>
        <v/>
      </c>
      <c r="F70" s="69" t="str">
        <f>TEXT(ASTemp!F70,Decimals)</f>
        <v/>
      </c>
      <c r="G70" s="69" t="str">
        <f>TEXT(ASTemp!G70,Decimals)</f>
        <v/>
      </c>
      <c r="H70" s="69" t="str">
        <f>TEXT(ASTemp!H70,Decimals)</f>
        <v/>
      </c>
      <c r="I70" s="69" t="str">
        <f>TEXT(ASTemp!I70,Decimals)</f>
        <v/>
      </c>
      <c r="J70" s="69" t="str">
        <f>TEXT(ASTemp!J70,Decimals)</f>
        <v/>
      </c>
      <c r="K70" s="69" t="str">
        <f>TEXT(ASTemp!K70,Decimals)</f>
        <v/>
      </c>
      <c r="L70" s="69" t="str">
        <f>TEXT(ASTemp!L70,Decimals)</f>
        <v/>
      </c>
      <c r="M70" s="71" t="str">
        <f>TEXT(ASTemp!M70,Percentages)</f>
        <v/>
      </c>
      <c r="N70" s="72" t="str">
        <f>TEXT(ASTemp!N70,Percentages)</f>
        <v/>
      </c>
    </row>
    <row r="71" ht="14.25" customHeight="1">
      <c r="B71" s="66" t="str">
        <f>ASTemp!B71</f>
        <v/>
      </c>
      <c r="C71" s="67" t="str">
        <f>ASTemp!C71</f>
        <v/>
      </c>
      <c r="D71" s="68" t="str">
        <f>ASTemp!D71</f>
        <v/>
      </c>
      <c r="E71" s="65" t="str">
        <f>ASTemp!E71</f>
        <v/>
      </c>
      <c r="F71" s="69" t="str">
        <f>TEXT(ASTemp!F71,Decimals)</f>
        <v/>
      </c>
      <c r="G71" s="69" t="str">
        <f>TEXT(ASTemp!G71,Decimals)</f>
        <v/>
      </c>
      <c r="H71" s="69" t="str">
        <f>TEXT(ASTemp!H71,Decimals)</f>
        <v/>
      </c>
      <c r="I71" s="69" t="str">
        <f>TEXT(ASTemp!I71,Decimals)</f>
        <v/>
      </c>
      <c r="J71" s="69" t="str">
        <f>TEXT(ASTemp!J71,Decimals)</f>
        <v/>
      </c>
      <c r="K71" s="69" t="str">
        <f>TEXT(ASTemp!K71,Decimals)</f>
        <v/>
      </c>
      <c r="L71" s="69" t="str">
        <f>TEXT(ASTemp!L71,Decimals)</f>
        <v/>
      </c>
      <c r="M71" s="71" t="str">
        <f>TEXT(ASTemp!M71,Percentages)</f>
        <v/>
      </c>
      <c r="N71" s="72" t="str">
        <f>TEXT(ASTemp!N71,Percentages)</f>
        <v/>
      </c>
    </row>
    <row r="72" ht="14.25" customHeight="1">
      <c r="B72" s="66" t="str">
        <f>ASTemp!B72</f>
        <v/>
      </c>
      <c r="C72" s="67" t="str">
        <f>ASTemp!C72</f>
        <v/>
      </c>
      <c r="D72" s="68" t="str">
        <f>ASTemp!D72</f>
        <v/>
      </c>
      <c r="E72" s="65" t="str">
        <f>ASTemp!E72</f>
        <v/>
      </c>
      <c r="F72" s="69" t="str">
        <f>TEXT(ASTemp!F72,Decimals)</f>
        <v/>
      </c>
      <c r="G72" s="69" t="str">
        <f>TEXT(ASTemp!G72,Decimals)</f>
        <v/>
      </c>
      <c r="H72" s="69" t="str">
        <f>TEXT(ASTemp!H72,Decimals)</f>
        <v/>
      </c>
      <c r="I72" s="69" t="str">
        <f>TEXT(ASTemp!I72,Decimals)</f>
        <v/>
      </c>
      <c r="J72" s="69" t="str">
        <f>TEXT(ASTemp!J72,Decimals)</f>
        <v/>
      </c>
      <c r="K72" s="69" t="str">
        <f>TEXT(ASTemp!K72,Decimals)</f>
        <v/>
      </c>
      <c r="L72" s="69" t="str">
        <f>TEXT(ASTemp!L72,Decimals)</f>
        <v/>
      </c>
      <c r="M72" s="71" t="str">
        <f>TEXT(ASTemp!M72,Percentages)</f>
        <v/>
      </c>
      <c r="N72" s="72" t="str">
        <f>TEXT(ASTemp!N72,Percentages)</f>
        <v/>
      </c>
    </row>
    <row r="73" ht="14.25" customHeight="1">
      <c r="B73" s="66" t="str">
        <f>ASTemp!B73</f>
        <v/>
      </c>
      <c r="C73" s="67" t="str">
        <f>ASTemp!C73</f>
        <v/>
      </c>
      <c r="D73" s="68" t="str">
        <f>ASTemp!D73</f>
        <v/>
      </c>
      <c r="E73" s="65" t="str">
        <f>ASTemp!E73</f>
        <v/>
      </c>
      <c r="F73" s="69" t="str">
        <f>TEXT(ASTemp!F73,Decimals)</f>
        <v/>
      </c>
      <c r="G73" s="69" t="str">
        <f>TEXT(ASTemp!G73,Decimals)</f>
        <v/>
      </c>
      <c r="H73" s="69" t="str">
        <f>TEXT(ASTemp!H73,Decimals)</f>
        <v/>
      </c>
      <c r="I73" s="69" t="str">
        <f>TEXT(ASTemp!I73,Decimals)</f>
        <v/>
      </c>
      <c r="J73" s="69" t="str">
        <f>TEXT(ASTemp!J73,Decimals)</f>
        <v/>
      </c>
      <c r="K73" s="69" t="str">
        <f>TEXT(ASTemp!K73,Decimals)</f>
        <v/>
      </c>
      <c r="L73" s="69" t="str">
        <f>TEXT(ASTemp!L73,Decimals)</f>
        <v/>
      </c>
      <c r="M73" s="71" t="str">
        <f>TEXT(ASTemp!M73,Percentages)</f>
        <v/>
      </c>
      <c r="N73" s="72" t="str">
        <f>TEXT(ASTemp!N73,Percentages)</f>
        <v/>
      </c>
    </row>
    <row r="74" ht="14.25" customHeight="1">
      <c r="B74" s="66" t="str">
        <f>ASTemp!B74</f>
        <v/>
      </c>
      <c r="C74" s="67" t="str">
        <f>ASTemp!C74</f>
        <v/>
      </c>
      <c r="D74" s="68" t="str">
        <f>ASTemp!D74</f>
        <v/>
      </c>
      <c r="E74" s="65" t="str">
        <f>ASTemp!E74</f>
        <v/>
      </c>
      <c r="F74" s="69" t="str">
        <f>TEXT(ASTemp!F74,Decimals)</f>
        <v/>
      </c>
      <c r="G74" s="69" t="str">
        <f>TEXT(ASTemp!G74,Decimals)</f>
        <v/>
      </c>
      <c r="H74" s="69" t="str">
        <f>TEXT(ASTemp!H74,Decimals)</f>
        <v/>
      </c>
      <c r="I74" s="69" t="str">
        <f>TEXT(ASTemp!I74,Decimals)</f>
        <v/>
      </c>
      <c r="J74" s="69" t="str">
        <f>TEXT(ASTemp!J74,Decimals)</f>
        <v/>
      </c>
      <c r="K74" s="69" t="str">
        <f>TEXT(ASTemp!K74,Decimals)</f>
        <v/>
      </c>
      <c r="L74" s="69" t="str">
        <f>TEXT(ASTemp!L74,Decimals)</f>
        <v/>
      </c>
      <c r="M74" s="71" t="str">
        <f>TEXT(ASTemp!M74,Percentages)</f>
        <v/>
      </c>
      <c r="N74" s="72" t="str">
        <f>TEXT(ASTemp!N74,Percentages)</f>
        <v/>
      </c>
    </row>
    <row r="75" ht="14.25" customHeight="1">
      <c r="B75" s="66" t="str">
        <f>ASTemp!B75</f>
        <v/>
      </c>
      <c r="C75" s="67" t="str">
        <f>ASTemp!C75</f>
        <v/>
      </c>
      <c r="D75" s="68" t="str">
        <f>ASTemp!D75</f>
        <v/>
      </c>
      <c r="E75" s="65" t="str">
        <f>ASTemp!E75</f>
        <v/>
      </c>
      <c r="F75" s="69" t="str">
        <f>TEXT(ASTemp!F75,Decimals)</f>
        <v/>
      </c>
      <c r="G75" s="69" t="str">
        <f>TEXT(ASTemp!G75,Decimals)</f>
        <v/>
      </c>
      <c r="H75" s="69" t="str">
        <f>TEXT(ASTemp!H75,Decimals)</f>
        <v/>
      </c>
      <c r="I75" s="69" t="str">
        <f>TEXT(ASTemp!I75,Decimals)</f>
        <v/>
      </c>
      <c r="J75" s="69" t="str">
        <f>TEXT(ASTemp!J75,Decimals)</f>
        <v/>
      </c>
      <c r="K75" s="69" t="str">
        <f>TEXT(ASTemp!K75,Decimals)</f>
        <v/>
      </c>
      <c r="L75" s="69" t="str">
        <f>TEXT(ASTemp!L75,Decimals)</f>
        <v/>
      </c>
      <c r="M75" s="71" t="str">
        <f>TEXT(ASTemp!M75,Percentages)</f>
        <v/>
      </c>
      <c r="N75" s="72" t="str">
        <f>TEXT(ASTemp!N75,Percentages)</f>
        <v/>
      </c>
    </row>
    <row r="76" ht="14.25" customHeight="1">
      <c r="B76" s="66" t="str">
        <f>ASTemp!B76</f>
        <v/>
      </c>
      <c r="C76" s="67" t="str">
        <f>ASTemp!C76</f>
        <v/>
      </c>
      <c r="D76" s="68" t="str">
        <f>ASTemp!D76</f>
        <v/>
      </c>
      <c r="E76" s="65" t="str">
        <f>ASTemp!E76</f>
        <v/>
      </c>
      <c r="F76" s="69" t="str">
        <f>TEXT(ASTemp!F76,Decimals)</f>
        <v/>
      </c>
      <c r="G76" s="69" t="str">
        <f>TEXT(ASTemp!G76,Decimals)</f>
        <v/>
      </c>
      <c r="H76" s="69" t="str">
        <f>TEXT(ASTemp!H76,Decimals)</f>
        <v/>
      </c>
      <c r="I76" s="69" t="str">
        <f>TEXT(ASTemp!I76,Decimals)</f>
        <v/>
      </c>
      <c r="J76" s="69" t="str">
        <f>TEXT(ASTemp!J76,Decimals)</f>
        <v/>
      </c>
      <c r="K76" s="69" t="str">
        <f>TEXT(ASTemp!K76,Decimals)</f>
        <v/>
      </c>
      <c r="L76" s="69" t="str">
        <f>TEXT(ASTemp!L76,Decimals)</f>
        <v/>
      </c>
      <c r="M76" s="71" t="str">
        <f>TEXT(ASTemp!M76,Percentages)</f>
        <v/>
      </c>
      <c r="N76" s="72" t="str">
        <f>TEXT(ASTemp!N76,Percentages)</f>
        <v/>
      </c>
    </row>
    <row r="77" ht="14.25" customHeight="1">
      <c r="B77" s="66" t="str">
        <f>ASTemp!B77</f>
        <v/>
      </c>
      <c r="C77" s="67" t="str">
        <f>ASTemp!C77</f>
        <v/>
      </c>
      <c r="D77" s="68" t="str">
        <f>ASTemp!D77</f>
        <v/>
      </c>
      <c r="E77" s="65" t="str">
        <f>ASTemp!E77</f>
        <v/>
      </c>
      <c r="F77" s="69" t="str">
        <f>TEXT(ASTemp!F77,Decimals)</f>
        <v/>
      </c>
      <c r="G77" s="69" t="str">
        <f>TEXT(ASTemp!G77,Decimals)</f>
        <v/>
      </c>
      <c r="H77" s="69" t="str">
        <f>TEXT(ASTemp!H77,Decimals)</f>
        <v/>
      </c>
      <c r="I77" s="69" t="str">
        <f>TEXT(ASTemp!I77,Decimals)</f>
        <v/>
      </c>
      <c r="J77" s="69" t="str">
        <f>TEXT(ASTemp!J77,Decimals)</f>
        <v/>
      </c>
      <c r="K77" s="69" t="str">
        <f>TEXT(ASTemp!K77,Decimals)</f>
        <v/>
      </c>
      <c r="L77" s="69" t="str">
        <f>TEXT(ASTemp!L77,Decimals)</f>
        <v/>
      </c>
      <c r="M77" s="71" t="str">
        <f>TEXT(ASTemp!M77,Percentages)</f>
        <v/>
      </c>
      <c r="N77" s="72" t="str">
        <f>TEXT(ASTemp!N77,Percentages)</f>
        <v/>
      </c>
    </row>
    <row r="78" ht="14.25" customHeight="1">
      <c r="B78" s="66" t="str">
        <f>ASTemp!B78</f>
        <v/>
      </c>
      <c r="C78" s="67" t="str">
        <f>ASTemp!C78</f>
        <v/>
      </c>
      <c r="D78" s="68" t="str">
        <f>ASTemp!D78</f>
        <v/>
      </c>
      <c r="E78" s="65" t="str">
        <f>ASTemp!E78</f>
        <v/>
      </c>
      <c r="F78" s="69" t="str">
        <f>TEXT(ASTemp!F78,Decimals)</f>
        <v/>
      </c>
      <c r="G78" s="69" t="str">
        <f>TEXT(ASTemp!G78,Decimals)</f>
        <v/>
      </c>
      <c r="H78" s="69" t="str">
        <f>TEXT(ASTemp!H78,Decimals)</f>
        <v/>
      </c>
      <c r="I78" s="69" t="str">
        <f>TEXT(ASTemp!I78,Decimals)</f>
        <v/>
      </c>
      <c r="J78" s="69" t="str">
        <f>TEXT(ASTemp!J78,Decimals)</f>
        <v/>
      </c>
      <c r="K78" s="69" t="str">
        <f>TEXT(ASTemp!K78,Decimals)</f>
        <v/>
      </c>
      <c r="L78" s="69" t="str">
        <f>TEXT(ASTemp!L78,Decimals)</f>
        <v/>
      </c>
      <c r="M78" s="71" t="str">
        <f>TEXT(ASTemp!M78,Percentages)</f>
        <v/>
      </c>
      <c r="N78" s="72" t="str">
        <f>TEXT(ASTemp!N78,Percentages)</f>
        <v/>
      </c>
    </row>
    <row r="79" ht="14.25" customHeight="1">
      <c r="B79" s="66" t="str">
        <f>ASTemp!B79</f>
        <v/>
      </c>
      <c r="C79" s="67" t="str">
        <f>ASTemp!C79</f>
        <v/>
      </c>
      <c r="D79" s="68" t="str">
        <f>ASTemp!D79</f>
        <v/>
      </c>
      <c r="E79" s="65" t="str">
        <f>ASTemp!E79</f>
        <v/>
      </c>
      <c r="F79" s="69" t="str">
        <f>TEXT(ASTemp!F79,Decimals)</f>
        <v/>
      </c>
      <c r="G79" s="69" t="str">
        <f>TEXT(ASTemp!G79,Decimals)</f>
        <v/>
      </c>
      <c r="H79" s="69" t="str">
        <f>TEXT(ASTemp!H79,Decimals)</f>
        <v/>
      </c>
      <c r="I79" s="69" t="str">
        <f>TEXT(ASTemp!I79,Decimals)</f>
        <v/>
      </c>
      <c r="J79" s="69" t="str">
        <f>TEXT(ASTemp!J79,Decimals)</f>
        <v/>
      </c>
      <c r="K79" s="69" t="str">
        <f>TEXT(ASTemp!K79,Decimals)</f>
        <v/>
      </c>
      <c r="L79" s="69" t="str">
        <f>TEXT(ASTemp!L79,Decimals)</f>
        <v/>
      </c>
      <c r="M79" s="71" t="str">
        <f>TEXT(ASTemp!M79,Percentages)</f>
        <v/>
      </c>
      <c r="N79" s="72" t="str">
        <f>TEXT(ASTemp!N79,Percentages)</f>
        <v/>
      </c>
    </row>
    <row r="80" ht="14.25" customHeight="1">
      <c r="B80" s="66" t="str">
        <f>ASTemp!B80</f>
        <v/>
      </c>
      <c r="C80" s="67" t="str">
        <f>ASTemp!C80</f>
        <v/>
      </c>
      <c r="D80" s="68" t="str">
        <f>ASTemp!D80</f>
        <v/>
      </c>
      <c r="E80" s="65" t="str">
        <f>ASTemp!E80</f>
        <v/>
      </c>
      <c r="F80" s="69" t="str">
        <f>TEXT(ASTemp!F80,Decimals)</f>
        <v/>
      </c>
      <c r="G80" s="69" t="str">
        <f>TEXT(ASTemp!G80,Decimals)</f>
        <v/>
      </c>
      <c r="H80" s="69" t="str">
        <f>TEXT(ASTemp!H80,Decimals)</f>
        <v/>
      </c>
      <c r="I80" s="69" t="str">
        <f>TEXT(ASTemp!I80,Decimals)</f>
        <v/>
      </c>
      <c r="J80" s="69" t="str">
        <f>TEXT(ASTemp!J80,Decimals)</f>
        <v/>
      </c>
      <c r="K80" s="69" t="str">
        <f>TEXT(ASTemp!K80,Decimals)</f>
        <v/>
      </c>
      <c r="L80" s="69" t="str">
        <f>TEXT(ASTemp!L80,Decimals)</f>
        <v/>
      </c>
      <c r="M80" s="71" t="str">
        <f>TEXT(ASTemp!M80,Percentages)</f>
        <v/>
      </c>
      <c r="N80" s="72" t="str">
        <f>TEXT(ASTemp!N80,Percentages)</f>
        <v/>
      </c>
    </row>
    <row r="81" ht="14.25" customHeight="1">
      <c r="B81" s="66" t="str">
        <f>ASTemp!B81</f>
        <v/>
      </c>
      <c r="C81" s="67" t="str">
        <f>ASTemp!C81</f>
        <v/>
      </c>
      <c r="D81" s="68" t="str">
        <f>ASTemp!D81</f>
        <v/>
      </c>
      <c r="E81" s="65" t="str">
        <f>ASTemp!E81</f>
        <v/>
      </c>
      <c r="F81" s="69" t="str">
        <f>TEXT(ASTemp!F81,Decimals)</f>
        <v/>
      </c>
      <c r="G81" s="69" t="str">
        <f>TEXT(ASTemp!G81,Decimals)</f>
        <v/>
      </c>
      <c r="H81" s="69" t="str">
        <f>TEXT(ASTemp!H81,Decimals)</f>
        <v/>
      </c>
      <c r="I81" s="69" t="str">
        <f>TEXT(ASTemp!I81,Decimals)</f>
        <v/>
      </c>
      <c r="J81" s="69" t="str">
        <f>TEXT(ASTemp!J81,Decimals)</f>
        <v/>
      </c>
      <c r="K81" s="69" t="str">
        <f>TEXT(ASTemp!K81,Decimals)</f>
        <v/>
      </c>
      <c r="L81" s="69" t="str">
        <f>TEXT(ASTemp!L81,Decimals)</f>
        <v/>
      </c>
      <c r="M81" s="71" t="str">
        <f>TEXT(ASTemp!M81,Percentages)</f>
        <v/>
      </c>
      <c r="N81" s="72" t="str">
        <f>TEXT(ASTemp!N81,Percentages)</f>
        <v/>
      </c>
    </row>
    <row r="82" ht="14.25" customHeight="1">
      <c r="B82" s="66" t="str">
        <f>ASTemp!B82</f>
        <v/>
      </c>
      <c r="C82" s="67" t="str">
        <f>ASTemp!C82</f>
        <v/>
      </c>
      <c r="D82" s="68" t="str">
        <f>ASTemp!D82</f>
        <v/>
      </c>
      <c r="E82" s="65" t="str">
        <f>ASTemp!E82</f>
        <v/>
      </c>
      <c r="F82" s="69" t="str">
        <f>TEXT(ASTemp!F82,Decimals)</f>
        <v/>
      </c>
      <c r="G82" s="69" t="str">
        <f>TEXT(ASTemp!G82,Decimals)</f>
        <v/>
      </c>
      <c r="H82" s="69" t="str">
        <f>TEXT(ASTemp!H82,Decimals)</f>
        <v/>
      </c>
      <c r="I82" s="69" t="str">
        <f>TEXT(ASTemp!I82,Decimals)</f>
        <v/>
      </c>
      <c r="J82" s="69" t="str">
        <f>TEXT(ASTemp!J82,Decimals)</f>
        <v/>
      </c>
      <c r="K82" s="69" t="str">
        <f>TEXT(ASTemp!K82,Decimals)</f>
        <v/>
      </c>
      <c r="L82" s="69" t="str">
        <f>TEXT(ASTemp!L82,Decimals)</f>
        <v/>
      </c>
      <c r="M82" s="71" t="str">
        <f>TEXT(ASTemp!M82,Percentages)</f>
        <v/>
      </c>
      <c r="N82" s="72" t="str">
        <f>TEXT(ASTemp!N82,Percentages)</f>
        <v/>
      </c>
    </row>
    <row r="83" ht="14.25" customHeight="1">
      <c r="B83" s="66" t="str">
        <f>ASTemp!B83</f>
        <v/>
      </c>
      <c r="C83" s="67" t="str">
        <f>ASTemp!C83</f>
        <v/>
      </c>
      <c r="D83" s="68" t="str">
        <f>ASTemp!D83</f>
        <v/>
      </c>
      <c r="E83" s="65" t="str">
        <f>ASTemp!E83</f>
        <v/>
      </c>
      <c r="F83" s="69" t="str">
        <f>TEXT(ASTemp!F83,Decimals)</f>
        <v/>
      </c>
      <c r="G83" s="69" t="str">
        <f>TEXT(ASTemp!G83,Decimals)</f>
        <v/>
      </c>
      <c r="H83" s="69" t="str">
        <f>TEXT(ASTemp!H83,Decimals)</f>
        <v/>
      </c>
      <c r="I83" s="69" t="str">
        <f>TEXT(ASTemp!I83,Decimals)</f>
        <v/>
      </c>
      <c r="J83" s="69" t="str">
        <f>TEXT(ASTemp!J83,Decimals)</f>
        <v/>
      </c>
      <c r="K83" s="69" t="str">
        <f>TEXT(ASTemp!K83,Decimals)</f>
        <v/>
      </c>
      <c r="L83" s="69" t="str">
        <f>TEXT(ASTemp!L83,Decimals)</f>
        <v/>
      </c>
      <c r="M83" s="71" t="str">
        <f>TEXT(ASTemp!M83,Percentages)</f>
        <v/>
      </c>
      <c r="N83" s="72" t="str">
        <f>TEXT(ASTemp!N83,Percentages)</f>
        <v/>
      </c>
    </row>
    <row r="84" ht="14.25" customHeight="1">
      <c r="B84" s="66" t="str">
        <f>ASTemp!B84</f>
        <v/>
      </c>
      <c r="C84" s="67" t="str">
        <f>ASTemp!C84</f>
        <v/>
      </c>
      <c r="D84" s="68" t="str">
        <f>ASTemp!D84</f>
        <v/>
      </c>
      <c r="E84" s="65" t="str">
        <f>ASTemp!E84</f>
        <v/>
      </c>
      <c r="F84" s="69" t="str">
        <f>TEXT(ASTemp!F84,Decimals)</f>
        <v/>
      </c>
      <c r="G84" s="69" t="str">
        <f>TEXT(ASTemp!G84,Decimals)</f>
        <v/>
      </c>
      <c r="H84" s="69" t="str">
        <f>TEXT(ASTemp!H84,Decimals)</f>
        <v/>
      </c>
      <c r="I84" s="69" t="str">
        <f>TEXT(ASTemp!I84,Decimals)</f>
        <v/>
      </c>
      <c r="J84" s="69" t="str">
        <f>TEXT(ASTemp!J84,Decimals)</f>
        <v/>
      </c>
      <c r="K84" s="69" t="str">
        <f>TEXT(ASTemp!K84,Decimals)</f>
        <v/>
      </c>
      <c r="L84" s="69" t="str">
        <f>TEXT(ASTemp!L84,Decimals)</f>
        <v/>
      </c>
      <c r="M84" s="71" t="str">
        <f>TEXT(ASTemp!M84,Percentages)</f>
        <v/>
      </c>
      <c r="N84" s="72" t="str">
        <f>TEXT(ASTemp!N84,Percentages)</f>
        <v/>
      </c>
    </row>
    <row r="85" ht="14.25" customHeight="1">
      <c r="B85" s="66" t="str">
        <f>ASTemp!B85</f>
        <v/>
      </c>
      <c r="C85" s="67" t="str">
        <f>ASTemp!C85</f>
        <v/>
      </c>
      <c r="D85" s="68" t="str">
        <f>ASTemp!D85</f>
        <v/>
      </c>
      <c r="E85" s="65" t="str">
        <f>ASTemp!E85</f>
        <v/>
      </c>
      <c r="F85" s="69" t="str">
        <f>TEXT(ASTemp!F85,Decimals)</f>
        <v/>
      </c>
      <c r="G85" s="69" t="str">
        <f>TEXT(ASTemp!G85,Decimals)</f>
        <v/>
      </c>
      <c r="H85" s="69" t="str">
        <f>TEXT(ASTemp!H85,Decimals)</f>
        <v/>
      </c>
      <c r="I85" s="69" t="str">
        <f>TEXT(ASTemp!I85,Decimals)</f>
        <v/>
      </c>
      <c r="J85" s="69" t="str">
        <f>TEXT(ASTemp!J85,Decimals)</f>
        <v/>
      </c>
      <c r="K85" s="69" t="str">
        <f>TEXT(ASTemp!K85,Decimals)</f>
        <v/>
      </c>
      <c r="L85" s="69" t="str">
        <f>TEXT(ASTemp!L85,Decimals)</f>
        <v/>
      </c>
      <c r="M85" s="71" t="str">
        <f>TEXT(ASTemp!M85,Percentages)</f>
        <v/>
      </c>
      <c r="N85" s="72" t="str">
        <f>TEXT(ASTemp!N85,Percentages)</f>
        <v/>
      </c>
    </row>
    <row r="86" ht="14.25" customHeight="1">
      <c r="B86" s="66" t="str">
        <f>ASTemp!B86</f>
        <v/>
      </c>
      <c r="C86" s="67" t="str">
        <f>ASTemp!C86</f>
        <v/>
      </c>
      <c r="D86" s="68" t="str">
        <f>ASTemp!D86</f>
        <v/>
      </c>
      <c r="E86" s="65" t="str">
        <f>ASTemp!E86</f>
        <v/>
      </c>
      <c r="F86" s="69" t="str">
        <f>TEXT(ASTemp!F86,Decimals)</f>
        <v/>
      </c>
      <c r="G86" s="69" t="str">
        <f>TEXT(ASTemp!G86,Decimals)</f>
        <v/>
      </c>
      <c r="H86" s="69" t="str">
        <f>TEXT(ASTemp!H86,Decimals)</f>
        <v/>
      </c>
      <c r="I86" s="69" t="str">
        <f>TEXT(ASTemp!I86,Decimals)</f>
        <v/>
      </c>
      <c r="J86" s="69" t="str">
        <f>TEXT(ASTemp!J86,Decimals)</f>
        <v/>
      </c>
      <c r="K86" s="69" t="str">
        <f>TEXT(ASTemp!K86,Decimals)</f>
        <v/>
      </c>
      <c r="L86" s="69" t="str">
        <f>TEXT(ASTemp!L86,Decimals)</f>
        <v/>
      </c>
      <c r="M86" s="71" t="str">
        <f>TEXT(ASTemp!M86,Percentages)</f>
        <v/>
      </c>
      <c r="N86" s="72" t="str">
        <f>TEXT(ASTemp!N86,Percentages)</f>
        <v/>
      </c>
    </row>
    <row r="87" ht="14.25" customHeight="1">
      <c r="B87" s="66" t="str">
        <f>ASTemp!B87</f>
        <v/>
      </c>
      <c r="C87" s="67" t="str">
        <f>ASTemp!C87</f>
        <v/>
      </c>
      <c r="D87" s="68" t="str">
        <f>ASTemp!D87</f>
        <v/>
      </c>
      <c r="E87" s="65" t="str">
        <f>ASTemp!E87</f>
        <v/>
      </c>
      <c r="F87" s="69" t="str">
        <f>TEXT(ASTemp!F87,Decimals)</f>
        <v/>
      </c>
      <c r="G87" s="69" t="str">
        <f>TEXT(ASTemp!G87,Decimals)</f>
        <v/>
      </c>
      <c r="H87" s="69" t="str">
        <f>TEXT(ASTemp!H87,Decimals)</f>
        <v/>
      </c>
      <c r="I87" s="69" t="str">
        <f>TEXT(ASTemp!I87,Decimals)</f>
        <v/>
      </c>
      <c r="J87" s="69" t="str">
        <f>TEXT(ASTemp!J87,Decimals)</f>
        <v/>
      </c>
      <c r="K87" s="69" t="str">
        <f>TEXT(ASTemp!K87,Decimals)</f>
        <v/>
      </c>
      <c r="L87" s="69" t="str">
        <f>TEXT(ASTemp!L87,Decimals)</f>
        <v/>
      </c>
      <c r="M87" s="71" t="str">
        <f>TEXT(ASTemp!M87,Percentages)</f>
        <v/>
      </c>
      <c r="N87" s="72" t="str">
        <f>TEXT(ASTemp!N87,Percentages)</f>
        <v/>
      </c>
    </row>
    <row r="88" ht="14.25" customHeight="1">
      <c r="B88" s="66" t="str">
        <f>ASTemp!B88</f>
        <v/>
      </c>
      <c r="C88" s="67" t="str">
        <f>ASTemp!C88</f>
        <v/>
      </c>
      <c r="D88" s="68" t="str">
        <f>ASTemp!D88</f>
        <v/>
      </c>
      <c r="E88" s="65" t="str">
        <f>ASTemp!E88</f>
        <v/>
      </c>
      <c r="F88" s="69" t="str">
        <f>TEXT(ASTemp!F88,Decimals)</f>
        <v/>
      </c>
      <c r="G88" s="69" t="str">
        <f>TEXT(ASTemp!G88,Decimals)</f>
        <v/>
      </c>
      <c r="H88" s="69" t="str">
        <f>TEXT(ASTemp!H88,Decimals)</f>
        <v/>
      </c>
      <c r="I88" s="69" t="str">
        <f>TEXT(ASTemp!I88,Decimals)</f>
        <v/>
      </c>
      <c r="J88" s="69" t="str">
        <f>TEXT(ASTemp!J88,Decimals)</f>
        <v/>
      </c>
      <c r="K88" s="69" t="str">
        <f>TEXT(ASTemp!K88,Decimals)</f>
        <v/>
      </c>
      <c r="L88" s="69" t="str">
        <f>TEXT(ASTemp!L88,Decimals)</f>
        <v/>
      </c>
      <c r="M88" s="71" t="str">
        <f>TEXT(ASTemp!M88,Percentages)</f>
        <v/>
      </c>
      <c r="N88" s="72" t="str">
        <f>TEXT(ASTemp!N88,Percentages)</f>
        <v/>
      </c>
    </row>
    <row r="89" ht="14.25" customHeight="1">
      <c r="B89" s="66" t="str">
        <f>ASTemp!B89</f>
        <v/>
      </c>
      <c r="C89" s="67" t="str">
        <f>ASTemp!C89</f>
        <v/>
      </c>
      <c r="D89" s="68" t="str">
        <f>ASTemp!D89</f>
        <v/>
      </c>
      <c r="E89" s="65" t="str">
        <f>ASTemp!E89</f>
        <v/>
      </c>
      <c r="F89" s="69" t="str">
        <f>TEXT(ASTemp!F89,Decimals)</f>
        <v/>
      </c>
      <c r="G89" s="69" t="str">
        <f>TEXT(ASTemp!G89,Decimals)</f>
        <v/>
      </c>
      <c r="H89" s="69" t="str">
        <f>TEXT(ASTemp!H89,Decimals)</f>
        <v/>
      </c>
      <c r="I89" s="69" t="str">
        <f>TEXT(ASTemp!I89,Decimals)</f>
        <v/>
      </c>
      <c r="J89" s="69" t="str">
        <f>TEXT(ASTemp!J89,Decimals)</f>
        <v/>
      </c>
      <c r="K89" s="69" t="str">
        <f>TEXT(ASTemp!K89,Decimals)</f>
        <v/>
      </c>
      <c r="L89" s="69" t="str">
        <f>TEXT(ASTemp!L89,Decimals)</f>
        <v/>
      </c>
      <c r="M89" s="71" t="str">
        <f>TEXT(ASTemp!M89,Percentages)</f>
        <v/>
      </c>
      <c r="N89" s="72" t="str">
        <f>TEXT(ASTemp!N89,Percentages)</f>
        <v/>
      </c>
    </row>
    <row r="90" ht="14.25" customHeight="1">
      <c r="B90" s="66" t="str">
        <f>ASTemp!B90</f>
        <v/>
      </c>
      <c r="C90" s="67" t="str">
        <f>ASTemp!C90</f>
        <v/>
      </c>
      <c r="D90" s="68" t="str">
        <f>ASTemp!D90</f>
        <v/>
      </c>
      <c r="E90" s="65" t="str">
        <f>ASTemp!E90</f>
        <v/>
      </c>
      <c r="F90" s="69" t="str">
        <f>TEXT(ASTemp!F90,Decimals)</f>
        <v/>
      </c>
      <c r="G90" s="69" t="str">
        <f>TEXT(ASTemp!G90,Decimals)</f>
        <v/>
      </c>
      <c r="H90" s="69" t="str">
        <f>TEXT(ASTemp!H90,Decimals)</f>
        <v/>
      </c>
      <c r="I90" s="69" t="str">
        <f>TEXT(ASTemp!I90,Decimals)</f>
        <v/>
      </c>
      <c r="J90" s="69" t="str">
        <f>TEXT(ASTemp!J90,Decimals)</f>
        <v/>
      </c>
      <c r="K90" s="69" t="str">
        <f>TEXT(ASTemp!K90,Decimals)</f>
        <v/>
      </c>
      <c r="L90" s="69" t="str">
        <f>TEXT(ASTemp!L90,Decimals)</f>
        <v/>
      </c>
      <c r="M90" s="71" t="str">
        <f>TEXT(ASTemp!M90,Percentages)</f>
        <v/>
      </c>
      <c r="N90" s="72" t="str">
        <f>TEXT(ASTemp!N90,Percentages)</f>
        <v/>
      </c>
    </row>
    <row r="91" ht="14.25" customHeight="1">
      <c r="B91" s="66" t="str">
        <f>ASTemp!B91</f>
        <v/>
      </c>
      <c r="C91" s="67" t="str">
        <f>ASTemp!C91</f>
        <v/>
      </c>
      <c r="D91" s="68" t="str">
        <f>ASTemp!D91</f>
        <v/>
      </c>
      <c r="E91" s="65" t="str">
        <f>ASTemp!E91</f>
        <v/>
      </c>
      <c r="F91" s="69" t="str">
        <f>TEXT(ASTemp!F91,Decimals)</f>
        <v/>
      </c>
      <c r="G91" s="69" t="str">
        <f>TEXT(ASTemp!G91,Decimals)</f>
        <v/>
      </c>
      <c r="H91" s="69" t="str">
        <f>TEXT(ASTemp!H91,Decimals)</f>
        <v/>
      </c>
      <c r="I91" s="69" t="str">
        <f>TEXT(ASTemp!I91,Decimals)</f>
        <v/>
      </c>
      <c r="J91" s="69" t="str">
        <f>TEXT(ASTemp!J91,Decimals)</f>
        <v/>
      </c>
      <c r="K91" s="69" t="str">
        <f>TEXT(ASTemp!K91,Decimals)</f>
        <v/>
      </c>
      <c r="L91" s="69" t="str">
        <f>TEXT(ASTemp!L91,Decimals)</f>
        <v/>
      </c>
      <c r="M91" s="71" t="str">
        <f>TEXT(ASTemp!M91,Percentages)</f>
        <v/>
      </c>
      <c r="N91" s="72" t="str">
        <f>TEXT(ASTemp!N91,Percentages)</f>
        <v/>
      </c>
    </row>
    <row r="92" ht="14.25" customHeight="1">
      <c r="B92" s="66" t="str">
        <f>ASTemp!B92</f>
        <v/>
      </c>
      <c r="C92" s="67" t="str">
        <f>ASTemp!C92</f>
        <v/>
      </c>
      <c r="D92" s="68" t="str">
        <f>ASTemp!D92</f>
        <v/>
      </c>
      <c r="E92" s="65" t="str">
        <f>ASTemp!E92</f>
        <v/>
      </c>
      <c r="F92" s="69" t="str">
        <f>TEXT(ASTemp!F92,Decimals)</f>
        <v/>
      </c>
      <c r="G92" s="69" t="str">
        <f>TEXT(ASTemp!G92,Decimals)</f>
        <v/>
      </c>
      <c r="H92" s="69" t="str">
        <f>TEXT(ASTemp!H92,Decimals)</f>
        <v/>
      </c>
      <c r="I92" s="69" t="str">
        <f>TEXT(ASTemp!I92,Decimals)</f>
        <v/>
      </c>
      <c r="J92" s="69" t="str">
        <f>TEXT(ASTemp!J92,Decimals)</f>
        <v/>
      </c>
      <c r="K92" s="69" t="str">
        <f>TEXT(ASTemp!K92,Decimals)</f>
        <v/>
      </c>
      <c r="L92" s="69" t="str">
        <f>TEXT(ASTemp!L92,Decimals)</f>
        <v/>
      </c>
      <c r="M92" s="71" t="str">
        <f>TEXT(ASTemp!M92,Percentages)</f>
        <v/>
      </c>
      <c r="N92" s="72" t="str">
        <f>TEXT(ASTemp!N92,Percentages)</f>
        <v/>
      </c>
    </row>
    <row r="93" ht="14.25" customHeight="1">
      <c r="B93" s="66" t="str">
        <f>ASTemp!B93</f>
        <v/>
      </c>
      <c r="C93" s="67" t="str">
        <f>ASTemp!C93</f>
        <v/>
      </c>
      <c r="D93" s="68" t="str">
        <f>ASTemp!D93</f>
        <v/>
      </c>
      <c r="E93" s="65" t="str">
        <f>ASTemp!E93</f>
        <v/>
      </c>
      <c r="F93" s="69" t="str">
        <f>TEXT(ASTemp!F93,Decimals)</f>
        <v/>
      </c>
      <c r="G93" s="69" t="str">
        <f>TEXT(ASTemp!G93,Decimals)</f>
        <v/>
      </c>
      <c r="H93" s="69" t="str">
        <f>TEXT(ASTemp!H93,Decimals)</f>
        <v/>
      </c>
      <c r="I93" s="69" t="str">
        <f>TEXT(ASTemp!I93,Decimals)</f>
        <v/>
      </c>
      <c r="J93" s="69" t="str">
        <f>TEXT(ASTemp!J93,Decimals)</f>
        <v/>
      </c>
      <c r="K93" s="69" t="str">
        <f>TEXT(ASTemp!K93,Decimals)</f>
        <v/>
      </c>
      <c r="L93" s="69" t="str">
        <f>TEXT(ASTemp!L93,Decimals)</f>
        <v/>
      </c>
      <c r="M93" s="71" t="str">
        <f>TEXT(ASTemp!M93,Percentages)</f>
        <v/>
      </c>
      <c r="N93" s="72" t="str">
        <f>TEXT(ASTemp!N93,Percentages)</f>
        <v/>
      </c>
    </row>
    <row r="94" ht="14.25" customHeight="1">
      <c r="B94" s="66" t="str">
        <f>ASTemp!B94</f>
        <v/>
      </c>
      <c r="C94" s="67" t="str">
        <f>ASTemp!C94</f>
        <v/>
      </c>
      <c r="D94" s="68" t="str">
        <f>ASTemp!D94</f>
        <v/>
      </c>
      <c r="E94" s="65" t="str">
        <f>ASTemp!E94</f>
        <v/>
      </c>
      <c r="F94" s="69" t="str">
        <f>TEXT(ASTemp!F94,Decimals)</f>
        <v/>
      </c>
      <c r="G94" s="69" t="str">
        <f>TEXT(ASTemp!G94,Decimals)</f>
        <v/>
      </c>
      <c r="H94" s="69" t="str">
        <f>TEXT(ASTemp!H94,Decimals)</f>
        <v/>
      </c>
      <c r="I94" s="69" t="str">
        <f>TEXT(ASTemp!I94,Decimals)</f>
        <v/>
      </c>
      <c r="J94" s="69" t="str">
        <f>TEXT(ASTemp!J94,Decimals)</f>
        <v/>
      </c>
      <c r="K94" s="69" t="str">
        <f>TEXT(ASTemp!K94,Decimals)</f>
        <v/>
      </c>
      <c r="L94" s="69" t="str">
        <f>TEXT(ASTemp!L94,Decimals)</f>
        <v/>
      </c>
      <c r="M94" s="71" t="str">
        <f>TEXT(ASTemp!M94,Percentages)</f>
        <v/>
      </c>
      <c r="N94" s="72" t="str">
        <f>TEXT(ASTemp!N94,Percentages)</f>
        <v/>
      </c>
    </row>
    <row r="95" ht="14.25" customHeight="1">
      <c r="B95" s="66" t="str">
        <f>ASTemp!B95</f>
        <v/>
      </c>
      <c r="C95" s="67" t="str">
        <f>ASTemp!C95</f>
        <v/>
      </c>
      <c r="D95" s="68" t="str">
        <f>ASTemp!D95</f>
        <v/>
      </c>
      <c r="E95" s="65" t="str">
        <f>ASTemp!E95</f>
        <v/>
      </c>
      <c r="F95" s="69" t="str">
        <f>TEXT(ASTemp!F95,Decimals)</f>
        <v/>
      </c>
      <c r="G95" s="69" t="str">
        <f>TEXT(ASTemp!G95,Decimals)</f>
        <v/>
      </c>
      <c r="H95" s="69" t="str">
        <f>TEXT(ASTemp!H95,Decimals)</f>
        <v/>
      </c>
      <c r="I95" s="69" t="str">
        <f>TEXT(ASTemp!I95,Decimals)</f>
        <v/>
      </c>
      <c r="J95" s="69" t="str">
        <f>TEXT(ASTemp!J95,Decimals)</f>
        <v/>
      </c>
      <c r="K95" s="69" t="str">
        <f>TEXT(ASTemp!K95,Decimals)</f>
        <v/>
      </c>
      <c r="L95" s="69" t="str">
        <f>TEXT(ASTemp!L95,Decimals)</f>
        <v/>
      </c>
      <c r="M95" s="71" t="str">
        <f>TEXT(ASTemp!M95,Percentages)</f>
        <v/>
      </c>
      <c r="N95" s="72" t="str">
        <f>TEXT(ASTemp!N95,Percentages)</f>
        <v/>
      </c>
    </row>
    <row r="96" ht="14.25" customHeight="1">
      <c r="B96" s="66" t="str">
        <f>ASTemp!B96</f>
        <v/>
      </c>
      <c r="C96" s="67" t="str">
        <f>ASTemp!C96</f>
        <v/>
      </c>
      <c r="D96" s="68" t="str">
        <f>ASTemp!D96</f>
        <v/>
      </c>
      <c r="E96" s="65" t="str">
        <f>ASTemp!E96</f>
        <v/>
      </c>
      <c r="F96" s="69" t="str">
        <f>TEXT(ASTemp!F96,Decimals)</f>
        <v/>
      </c>
      <c r="G96" s="69" t="str">
        <f>TEXT(ASTemp!G96,Decimals)</f>
        <v/>
      </c>
      <c r="H96" s="69" t="str">
        <f>TEXT(ASTemp!H96,Decimals)</f>
        <v/>
      </c>
      <c r="I96" s="69" t="str">
        <f>TEXT(ASTemp!I96,Decimals)</f>
        <v/>
      </c>
      <c r="J96" s="69" t="str">
        <f>TEXT(ASTemp!J96,Decimals)</f>
        <v/>
      </c>
      <c r="K96" s="69" t="str">
        <f>TEXT(ASTemp!K96,Decimals)</f>
        <v/>
      </c>
      <c r="L96" s="69" t="str">
        <f>TEXT(ASTemp!L96,Decimals)</f>
        <v/>
      </c>
      <c r="M96" s="71" t="str">
        <f>TEXT(ASTemp!M96,Percentages)</f>
        <v/>
      </c>
      <c r="N96" s="72" t="str">
        <f>TEXT(ASTemp!N96,Percentages)</f>
        <v/>
      </c>
    </row>
    <row r="97" ht="14.25" customHeight="1">
      <c r="B97" s="66" t="str">
        <f>ASTemp!B97</f>
        <v/>
      </c>
      <c r="C97" s="67" t="str">
        <f>ASTemp!C97</f>
        <v/>
      </c>
      <c r="D97" s="68" t="str">
        <f>ASTemp!D97</f>
        <v/>
      </c>
      <c r="E97" s="65" t="str">
        <f>ASTemp!E97</f>
        <v/>
      </c>
      <c r="F97" s="69" t="str">
        <f>TEXT(ASTemp!F97,Decimals)</f>
        <v/>
      </c>
      <c r="G97" s="69" t="str">
        <f>TEXT(ASTemp!G97,Decimals)</f>
        <v/>
      </c>
      <c r="H97" s="69" t="str">
        <f>TEXT(ASTemp!H97,Decimals)</f>
        <v/>
      </c>
      <c r="I97" s="69" t="str">
        <f>TEXT(ASTemp!I97,Decimals)</f>
        <v/>
      </c>
      <c r="J97" s="69" t="str">
        <f>TEXT(ASTemp!J97,Decimals)</f>
        <v/>
      </c>
      <c r="K97" s="69" t="str">
        <f>TEXT(ASTemp!K97,Decimals)</f>
        <v/>
      </c>
      <c r="L97" s="69" t="str">
        <f>TEXT(ASTemp!L97,Decimals)</f>
        <v/>
      </c>
      <c r="M97" s="71" t="str">
        <f>TEXT(ASTemp!M97,Percentages)</f>
        <v/>
      </c>
      <c r="N97" s="72" t="str">
        <f>TEXT(ASTemp!N97,Percentages)</f>
        <v/>
      </c>
    </row>
    <row r="98" ht="14.25" customHeight="1">
      <c r="B98" s="66" t="str">
        <f>ASTemp!B98</f>
        <v/>
      </c>
      <c r="C98" s="67" t="str">
        <f>ASTemp!C98</f>
        <v/>
      </c>
      <c r="D98" s="68" t="str">
        <f>ASTemp!D98</f>
        <v/>
      </c>
      <c r="E98" s="65" t="str">
        <f>ASTemp!E98</f>
        <v/>
      </c>
      <c r="F98" s="69" t="str">
        <f>TEXT(ASTemp!F98,Decimals)</f>
        <v/>
      </c>
      <c r="G98" s="69" t="str">
        <f>TEXT(ASTemp!G98,Decimals)</f>
        <v/>
      </c>
      <c r="H98" s="69" t="str">
        <f>TEXT(ASTemp!H98,Decimals)</f>
        <v/>
      </c>
      <c r="I98" s="69" t="str">
        <f>TEXT(ASTemp!I98,Decimals)</f>
        <v/>
      </c>
      <c r="J98" s="69" t="str">
        <f>TEXT(ASTemp!J98,Decimals)</f>
        <v/>
      </c>
      <c r="K98" s="69" t="str">
        <f>TEXT(ASTemp!K98,Decimals)</f>
        <v/>
      </c>
      <c r="L98" s="69" t="str">
        <f>TEXT(ASTemp!L98,Decimals)</f>
        <v/>
      </c>
      <c r="M98" s="71" t="str">
        <f>TEXT(ASTemp!M98,Percentages)</f>
        <v/>
      </c>
      <c r="N98" s="72" t="str">
        <f>TEXT(ASTemp!N98,Percentages)</f>
        <v/>
      </c>
    </row>
    <row r="99" ht="14.25" customHeight="1">
      <c r="B99" s="66" t="str">
        <f>ASTemp!B99</f>
        <v/>
      </c>
      <c r="C99" s="67" t="str">
        <f>ASTemp!C99</f>
        <v/>
      </c>
      <c r="D99" s="68" t="str">
        <f>ASTemp!D99</f>
        <v/>
      </c>
      <c r="E99" s="65" t="str">
        <f>ASTemp!E99</f>
        <v/>
      </c>
      <c r="F99" s="69" t="str">
        <f>TEXT(ASTemp!F99,Decimals)</f>
        <v/>
      </c>
      <c r="G99" s="69" t="str">
        <f>TEXT(ASTemp!G99,Decimals)</f>
        <v/>
      </c>
      <c r="H99" s="69" t="str">
        <f>TEXT(ASTemp!H99,Decimals)</f>
        <v/>
      </c>
      <c r="I99" s="69" t="str">
        <f>TEXT(ASTemp!I99,Decimals)</f>
        <v/>
      </c>
      <c r="J99" s="69" t="str">
        <f>TEXT(ASTemp!J99,Decimals)</f>
        <v/>
      </c>
      <c r="K99" s="69" t="str">
        <f>TEXT(ASTemp!K99,Decimals)</f>
        <v/>
      </c>
      <c r="L99" s="69" t="str">
        <f>TEXT(ASTemp!L99,Decimals)</f>
        <v/>
      </c>
      <c r="M99" s="71" t="str">
        <f>TEXT(ASTemp!M99,Percentages)</f>
        <v/>
      </c>
      <c r="N99" s="72" t="str">
        <f>TEXT(ASTemp!N99,Percentages)</f>
        <v/>
      </c>
    </row>
    <row r="100" ht="14.25" customHeight="1">
      <c r="B100" s="66" t="str">
        <f>ASTemp!B100</f>
        <v/>
      </c>
      <c r="C100" s="67" t="str">
        <f>ASTemp!C100</f>
        <v/>
      </c>
      <c r="D100" s="68" t="str">
        <f>ASTemp!D100</f>
        <v/>
      </c>
      <c r="E100" s="65" t="str">
        <f>ASTemp!E100</f>
        <v/>
      </c>
      <c r="F100" s="69" t="str">
        <f>TEXT(ASTemp!F100,Decimals)</f>
        <v/>
      </c>
      <c r="G100" s="69" t="str">
        <f>TEXT(ASTemp!G100,Decimals)</f>
        <v/>
      </c>
      <c r="H100" s="69" t="str">
        <f>TEXT(ASTemp!H100,Decimals)</f>
        <v/>
      </c>
      <c r="I100" s="69" t="str">
        <f>TEXT(ASTemp!I100,Decimals)</f>
        <v/>
      </c>
      <c r="J100" s="69" t="str">
        <f>TEXT(ASTemp!J100,Decimals)</f>
        <v/>
      </c>
      <c r="K100" s="69" t="str">
        <f>TEXT(ASTemp!K100,Decimals)</f>
        <v/>
      </c>
      <c r="L100" s="69" t="str">
        <f>TEXT(ASTemp!L100,Decimals)</f>
        <v/>
      </c>
      <c r="M100" s="71" t="str">
        <f>TEXT(ASTemp!M100,Percentages)</f>
        <v/>
      </c>
      <c r="N100" s="72" t="str">
        <f>TEXT(ASTemp!N100,Percentages)</f>
        <v/>
      </c>
    </row>
    <row r="101" ht="14.25" customHeight="1">
      <c r="B101" s="66" t="str">
        <f>ASTemp!B101</f>
        <v/>
      </c>
      <c r="C101" s="67" t="str">
        <f>ASTemp!C101</f>
        <v/>
      </c>
      <c r="D101" s="68" t="str">
        <f>ASTemp!D101</f>
        <v/>
      </c>
      <c r="E101" s="65" t="str">
        <f>ASTemp!E101</f>
        <v/>
      </c>
      <c r="F101" s="69" t="str">
        <f>TEXT(ASTemp!F101,Decimals)</f>
        <v/>
      </c>
      <c r="G101" s="69" t="str">
        <f>TEXT(ASTemp!G101,Decimals)</f>
        <v/>
      </c>
      <c r="H101" s="69" t="str">
        <f>TEXT(ASTemp!H101,Decimals)</f>
        <v/>
      </c>
      <c r="I101" s="69" t="str">
        <f>TEXT(ASTemp!I101,Decimals)</f>
        <v/>
      </c>
      <c r="J101" s="69" t="str">
        <f>TEXT(ASTemp!J101,Decimals)</f>
        <v/>
      </c>
      <c r="K101" s="69" t="str">
        <f>TEXT(ASTemp!K101,Decimals)</f>
        <v/>
      </c>
      <c r="L101" s="69" t="str">
        <f>TEXT(ASTemp!L101,Decimals)</f>
        <v/>
      </c>
      <c r="M101" s="71" t="str">
        <f>TEXT(ASTemp!M101,Percentages)</f>
        <v/>
      </c>
      <c r="N101" s="72" t="str">
        <f>TEXT(ASTemp!N101,Percentages)</f>
        <v/>
      </c>
    </row>
    <row r="102" ht="14.25" customHeight="1">
      <c r="B102" s="66" t="str">
        <f>ASTemp!B102</f>
        <v/>
      </c>
      <c r="C102" s="67" t="str">
        <f>ASTemp!C102</f>
        <v/>
      </c>
      <c r="D102" s="68" t="str">
        <f>ASTemp!D102</f>
        <v/>
      </c>
      <c r="E102" s="65" t="str">
        <f>ASTemp!E102</f>
        <v/>
      </c>
      <c r="F102" s="69" t="str">
        <f>TEXT(ASTemp!F102,Decimals)</f>
        <v/>
      </c>
      <c r="G102" s="69" t="str">
        <f>TEXT(ASTemp!G102,Decimals)</f>
        <v/>
      </c>
      <c r="H102" s="69" t="str">
        <f>TEXT(ASTemp!H102,Decimals)</f>
        <v/>
      </c>
      <c r="I102" s="69" t="str">
        <f>TEXT(ASTemp!I102,Decimals)</f>
        <v/>
      </c>
      <c r="J102" s="69" t="str">
        <f>TEXT(ASTemp!J102,Decimals)</f>
        <v/>
      </c>
      <c r="K102" s="69" t="str">
        <f>TEXT(ASTemp!K102,Decimals)</f>
        <v/>
      </c>
      <c r="L102" s="69" t="str">
        <f>TEXT(ASTemp!L102,Decimals)</f>
        <v/>
      </c>
      <c r="M102" s="71" t="str">
        <f>TEXT(ASTemp!M102,Percentages)</f>
        <v/>
      </c>
      <c r="N102" s="72" t="str">
        <f>TEXT(ASTemp!N102,Percentages)</f>
        <v/>
      </c>
    </row>
    <row r="103" ht="14.25" customHeight="1">
      <c r="B103" s="66" t="str">
        <f>ASTemp!B103</f>
        <v/>
      </c>
      <c r="C103" s="67" t="str">
        <f>ASTemp!C103</f>
        <v/>
      </c>
      <c r="D103" s="68" t="str">
        <f>ASTemp!D103</f>
        <v/>
      </c>
      <c r="E103" s="65" t="str">
        <f>ASTemp!E103</f>
        <v/>
      </c>
      <c r="F103" s="69" t="str">
        <f>TEXT(ASTemp!F103,Decimals)</f>
        <v/>
      </c>
      <c r="G103" s="69" t="str">
        <f>TEXT(ASTemp!G103,Decimals)</f>
        <v/>
      </c>
      <c r="H103" s="69" t="str">
        <f>TEXT(ASTemp!H103,Decimals)</f>
        <v/>
      </c>
      <c r="I103" s="69" t="str">
        <f>TEXT(ASTemp!I103,Decimals)</f>
        <v/>
      </c>
      <c r="J103" s="69" t="str">
        <f>TEXT(ASTemp!J103,Decimals)</f>
        <v/>
      </c>
      <c r="K103" s="69" t="str">
        <f>TEXT(ASTemp!K103,Decimals)</f>
        <v/>
      </c>
      <c r="L103" s="69" t="str">
        <f>TEXT(ASTemp!L103,Decimals)</f>
        <v/>
      </c>
      <c r="M103" s="71" t="str">
        <f>TEXT(ASTemp!M103,Percentages)</f>
        <v/>
      </c>
      <c r="N103" s="72" t="str">
        <f>TEXT(ASTemp!N103,Percentages)</f>
        <v/>
      </c>
    </row>
    <row r="104" ht="14.25" customHeight="1">
      <c r="B104" s="66" t="str">
        <f>ASTemp!B104</f>
        <v/>
      </c>
      <c r="C104" s="67" t="str">
        <f>ASTemp!C104</f>
        <v/>
      </c>
      <c r="D104" s="68" t="str">
        <f>ASTemp!D104</f>
        <v/>
      </c>
      <c r="E104" s="65" t="str">
        <f>ASTemp!E104</f>
        <v/>
      </c>
      <c r="F104" s="69" t="str">
        <f>TEXT(ASTemp!F104,Decimals)</f>
        <v/>
      </c>
      <c r="G104" s="69" t="str">
        <f>TEXT(ASTemp!G104,Decimals)</f>
        <v/>
      </c>
      <c r="H104" s="69" t="str">
        <f>TEXT(ASTemp!H104,Decimals)</f>
        <v/>
      </c>
      <c r="I104" s="69" t="str">
        <f>TEXT(ASTemp!I104,Decimals)</f>
        <v/>
      </c>
      <c r="J104" s="69" t="str">
        <f>TEXT(ASTemp!J104,Decimals)</f>
        <v/>
      </c>
      <c r="K104" s="69" t="str">
        <f>TEXT(ASTemp!K104,Decimals)</f>
        <v/>
      </c>
      <c r="L104" s="69" t="str">
        <f>TEXT(ASTemp!L104,Decimals)</f>
        <v/>
      </c>
      <c r="M104" s="71" t="str">
        <f>TEXT(ASTemp!M104,Percentages)</f>
        <v/>
      </c>
      <c r="N104" s="72" t="str">
        <f>TEXT(ASTemp!N104,Percentages)</f>
        <v/>
      </c>
    </row>
    <row r="105" ht="14.25" customHeight="1">
      <c r="B105" s="66" t="str">
        <f>ASTemp!B105</f>
        <v/>
      </c>
      <c r="C105" s="67" t="str">
        <f>ASTemp!C105</f>
        <v/>
      </c>
      <c r="D105" s="68" t="str">
        <f>ASTemp!D105</f>
        <v/>
      </c>
      <c r="E105" s="65" t="str">
        <f>ASTemp!E105</f>
        <v/>
      </c>
      <c r="F105" s="69" t="str">
        <f>TEXT(ASTemp!F105,Decimals)</f>
        <v/>
      </c>
      <c r="G105" s="69" t="str">
        <f>TEXT(ASTemp!G105,Decimals)</f>
        <v/>
      </c>
      <c r="H105" s="69" t="str">
        <f>TEXT(ASTemp!H105,Decimals)</f>
        <v/>
      </c>
      <c r="I105" s="69" t="str">
        <f>TEXT(ASTemp!I105,Decimals)</f>
        <v/>
      </c>
      <c r="J105" s="69" t="str">
        <f>TEXT(ASTemp!J105,Decimals)</f>
        <v/>
      </c>
      <c r="K105" s="69" t="str">
        <f>TEXT(ASTemp!K105,Decimals)</f>
        <v/>
      </c>
      <c r="L105" s="69" t="str">
        <f>TEXT(ASTemp!L105,Decimals)</f>
        <v/>
      </c>
      <c r="M105" s="71" t="str">
        <f>TEXT(ASTemp!M105,Percentages)</f>
        <v/>
      </c>
      <c r="N105" s="72" t="str">
        <f>TEXT(ASTemp!N105,Percentages)</f>
        <v/>
      </c>
    </row>
    <row r="106" ht="14.25" customHeight="1">
      <c r="B106" s="66" t="str">
        <f>ASTemp!B106</f>
        <v/>
      </c>
      <c r="C106" s="67" t="str">
        <f>ASTemp!C106</f>
        <v/>
      </c>
      <c r="D106" s="68" t="str">
        <f>ASTemp!D106</f>
        <v/>
      </c>
      <c r="E106" s="65" t="str">
        <f>ASTemp!E106</f>
        <v/>
      </c>
      <c r="F106" s="69" t="str">
        <f>TEXT(ASTemp!F106,Decimals)</f>
        <v/>
      </c>
      <c r="G106" s="69" t="str">
        <f>TEXT(ASTemp!G106,Decimals)</f>
        <v/>
      </c>
      <c r="H106" s="69" t="str">
        <f>TEXT(ASTemp!H106,Decimals)</f>
        <v/>
      </c>
      <c r="I106" s="69" t="str">
        <f>TEXT(ASTemp!I106,Decimals)</f>
        <v/>
      </c>
      <c r="J106" s="69" t="str">
        <f>TEXT(ASTemp!J106,Decimals)</f>
        <v/>
      </c>
      <c r="K106" s="69" t="str">
        <f>TEXT(ASTemp!K106,Decimals)</f>
        <v/>
      </c>
      <c r="L106" s="69" t="str">
        <f>TEXT(ASTemp!L106,Decimals)</f>
        <v/>
      </c>
      <c r="M106" s="71" t="str">
        <f>TEXT(ASTemp!M106,Percentages)</f>
        <v/>
      </c>
      <c r="N106" s="72" t="str">
        <f>TEXT(ASTemp!N106,Percentages)</f>
        <v/>
      </c>
    </row>
    <row r="107" ht="14.25" customHeight="1">
      <c r="B107" s="66" t="str">
        <f>ASTemp!B107</f>
        <v/>
      </c>
      <c r="C107" s="67" t="str">
        <f>ASTemp!C107</f>
        <v/>
      </c>
      <c r="D107" s="68" t="str">
        <f>ASTemp!D107</f>
        <v/>
      </c>
      <c r="E107" s="65" t="str">
        <f>ASTemp!E107</f>
        <v/>
      </c>
      <c r="F107" s="69" t="str">
        <f>TEXT(ASTemp!F107,Decimals)</f>
        <v/>
      </c>
      <c r="G107" s="69" t="str">
        <f>TEXT(ASTemp!G107,Decimals)</f>
        <v/>
      </c>
      <c r="H107" s="69" t="str">
        <f>TEXT(ASTemp!H107,Decimals)</f>
        <v/>
      </c>
      <c r="I107" s="69" t="str">
        <f>TEXT(ASTemp!I107,Decimals)</f>
        <v/>
      </c>
      <c r="J107" s="69" t="str">
        <f>TEXT(ASTemp!J107,Decimals)</f>
        <v/>
      </c>
      <c r="K107" s="69" t="str">
        <f>TEXT(ASTemp!K107,Decimals)</f>
        <v/>
      </c>
      <c r="L107" s="69" t="str">
        <f>TEXT(ASTemp!L107,Decimals)</f>
        <v/>
      </c>
      <c r="M107" s="71" t="str">
        <f>TEXT(ASTemp!M107,Percentages)</f>
        <v/>
      </c>
      <c r="N107" s="72" t="str">
        <f>TEXT(ASTemp!N107,Percentages)</f>
        <v/>
      </c>
    </row>
    <row r="108" ht="14.25" customHeight="1">
      <c r="B108" s="66" t="str">
        <f>ASTemp!B108</f>
        <v/>
      </c>
      <c r="C108" s="67" t="str">
        <f>ASTemp!C108</f>
        <v/>
      </c>
      <c r="D108" s="68" t="str">
        <f>ASTemp!D108</f>
        <v/>
      </c>
      <c r="E108" s="65" t="str">
        <f>ASTemp!E108</f>
        <v/>
      </c>
      <c r="F108" s="69" t="str">
        <f>TEXT(ASTemp!F108,Decimals)</f>
        <v/>
      </c>
      <c r="G108" s="69" t="str">
        <f>TEXT(ASTemp!G108,Decimals)</f>
        <v/>
      </c>
      <c r="H108" s="69" t="str">
        <f>TEXT(ASTemp!H108,Decimals)</f>
        <v/>
      </c>
      <c r="I108" s="69" t="str">
        <f>TEXT(ASTemp!I108,Decimals)</f>
        <v/>
      </c>
      <c r="J108" s="69" t="str">
        <f>TEXT(ASTemp!J108,Decimals)</f>
        <v/>
      </c>
      <c r="K108" s="69" t="str">
        <f>TEXT(ASTemp!K108,Decimals)</f>
        <v/>
      </c>
      <c r="L108" s="69" t="str">
        <f>TEXT(ASTemp!L108,Decimals)</f>
        <v/>
      </c>
      <c r="M108" s="71" t="str">
        <f>TEXT(ASTemp!M108,Percentages)</f>
        <v/>
      </c>
      <c r="N108" s="72" t="str">
        <f>TEXT(ASTemp!N108,Percentages)</f>
        <v/>
      </c>
    </row>
    <row r="109" ht="14.25" customHeight="1">
      <c r="B109" s="66" t="str">
        <f>ASTemp!B109</f>
        <v/>
      </c>
      <c r="C109" s="67" t="str">
        <f>ASTemp!C109</f>
        <v/>
      </c>
      <c r="D109" s="68" t="str">
        <f>ASTemp!D109</f>
        <v/>
      </c>
      <c r="E109" s="65" t="str">
        <f>ASTemp!E109</f>
        <v/>
      </c>
      <c r="F109" s="69" t="str">
        <f>TEXT(ASTemp!F109,Decimals)</f>
        <v/>
      </c>
      <c r="G109" s="69" t="str">
        <f>TEXT(ASTemp!G109,Decimals)</f>
        <v/>
      </c>
      <c r="H109" s="69" t="str">
        <f>TEXT(ASTemp!H109,Decimals)</f>
        <v/>
      </c>
      <c r="I109" s="69" t="str">
        <f>TEXT(ASTemp!I109,Decimals)</f>
        <v/>
      </c>
      <c r="J109" s="69" t="str">
        <f>TEXT(ASTemp!J109,Decimals)</f>
        <v/>
      </c>
      <c r="K109" s="69" t="str">
        <f>TEXT(ASTemp!K109,Decimals)</f>
        <v/>
      </c>
      <c r="L109" s="69" t="str">
        <f>TEXT(ASTemp!L109,Decimals)</f>
        <v/>
      </c>
      <c r="M109" s="71" t="str">
        <f>TEXT(ASTemp!M109,Percentages)</f>
        <v/>
      </c>
      <c r="N109" s="72" t="str">
        <f>TEXT(ASTemp!N109,Percentages)</f>
        <v/>
      </c>
    </row>
    <row r="110" ht="14.25" customHeight="1">
      <c r="B110" s="66" t="str">
        <f>ASTemp!B110</f>
        <v/>
      </c>
      <c r="C110" s="67" t="str">
        <f>ASTemp!C110</f>
        <v/>
      </c>
      <c r="D110" s="68" t="str">
        <f>ASTemp!D110</f>
        <v/>
      </c>
      <c r="E110" s="65" t="str">
        <f>ASTemp!E110</f>
        <v/>
      </c>
      <c r="F110" s="69" t="str">
        <f>TEXT(ASTemp!F110,Decimals)</f>
        <v/>
      </c>
      <c r="G110" s="69" t="str">
        <f>TEXT(ASTemp!G110,Decimals)</f>
        <v/>
      </c>
      <c r="H110" s="69" t="str">
        <f>TEXT(ASTemp!H110,Decimals)</f>
        <v/>
      </c>
      <c r="I110" s="69" t="str">
        <f>TEXT(ASTemp!I110,Decimals)</f>
        <v/>
      </c>
      <c r="J110" s="69" t="str">
        <f>TEXT(ASTemp!J110,Decimals)</f>
        <v/>
      </c>
      <c r="K110" s="69" t="str">
        <f>TEXT(ASTemp!K110,Decimals)</f>
        <v/>
      </c>
      <c r="L110" s="69" t="str">
        <f>TEXT(ASTemp!L110,Decimals)</f>
        <v/>
      </c>
      <c r="M110" s="71" t="str">
        <f>TEXT(ASTemp!M110,Percentages)</f>
        <v/>
      </c>
      <c r="N110" s="72" t="str">
        <f>TEXT(ASTemp!N110,Percentages)</f>
        <v/>
      </c>
    </row>
    <row r="111" ht="14.25" customHeight="1">
      <c r="B111" s="66" t="str">
        <f>ASTemp!B111</f>
        <v/>
      </c>
      <c r="C111" s="67" t="str">
        <f>ASTemp!C111</f>
        <v/>
      </c>
      <c r="D111" s="68" t="str">
        <f>ASTemp!D111</f>
        <v/>
      </c>
      <c r="E111" s="65" t="str">
        <f>ASTemp!E111</f>
        <v/>
      </c>
      <c r="F111" s="69" t="str">
        <f>TEXT(ASTemp!F111,Decimals)</f>
        <v/>
      </c>
      <c r="G111" s="69" t="str">
        <f>TEXT(ASTemp!G111,Decimals)</f>
        <v/>
      </c>
      <c r="H111" s="69" t="str">
        <f>TEXT(ASTemp!H111,Decimals)</f>
        <v/>
      </c>
      <c r="I111" s="69" t="str">
        <f>TEXT(ASTemp!I111,Decimals)</f>
        <v/>
      </c>
      <c r="J111" s="69" t="str">
        <f>TEXT(ASTemp!J111,Decimals)</f>
        <v/>
      </c>
      <c r="K111" s="69" t="str">
        <f>TEXT(ASTemp!K111,Decimals)</f>
        <v/>
      </c>
      <c r="L111" s="69" t="str">
        <f>TEXT(ASTemp!L111,Decimals)</f>
        <v/>
      </c>
      <c r="M111" s="71" t="str">
        <f>TEXT(ASTemp!M111,Percentages)</f>
        <v/>
      </c>
      <c r="N111" s="72" t="str">
        <f>TEXT(ASTemp!N111,Percentages)</f>
        <v/>
      </c>
    </row>
    <row r="112" ht="14.25" customHeight="1">
      <c r="B112" s="66" t="str">
        <f>ASTemp!B112</f>
        <v/>
      </c>
      <c r="C112" s="67" t="str">
        <f>ASTemp!C112</f>
        <v/>
      </c>
      <c r="D112" s="68" t="str">
        <f>ASTemp!D112</f>
        <v/>
      </c>
      <c r="E112" s="65" t="str">
        <f>ASTemp!E112</f>
        <v/>
      </c>
      <c r="F112" s="69" t="str">
        <f>TEXT(ASTemp!F112,Decimals)</f>
        <v/>
      </c>
      <c r="G112" s="69" t="str">
        <f>TEXT(ASTemp!G112,Decimals)</f>
        <v/>
      </c>
      <c r="H112" s="69" t="str">
        <f>TEXT(ASTemp!H112,Decimals)</f>
        <v/>
      </c>
      <c r="I112" s="69" t="str">
        <f>TEXT(ASTemp!I112,Decimals)</f>
        <v/>
      </c>
      <c r="J112" s="69" t="str">
        <f>TEXT(ASTemp!J112,Decimals)</f>
        <v/>
      </c>
      <c r="K112" s="69" t="str">
        <f>TEXT(ASTemp!K112,Decimals)</f>
        <v/>
      </c>
      <c r="L112" s="69" t="str">
        <f>TEXT(ASTemp!L112,Decimals)</f>
        <v/>
      </c>
      <c r="M112" s="71" t="str">
        <f>TEXT(ASTemp!M112,Percentages)</f>
        <v/>
      </c>
      <c r="N112" s="72" t="str">
        <f>TEXT(ASTemp!N112,Percentages)</f>
        <v/>
      </c>
    </row>
    <row r="113" ht="14.25" customHeight="1">
      <c r="B113" s="66" t="str">
        <f>ASTemp!B113</f>
        <v/>
      </c>
      <c r="C113" s="67" t="str">
        <f>ASTemp!C113</f>
        <v/>
      </c>
      <c r="D113" s="68" t="str">
        <f>ASTemp!D113</f>
        <v/>
      </c>
      <c r="E113" s="65" t="str">
        <f>ASTemp!E113</f>
        <v/>
      </c>
      <c r="F113" s="69" t="str">
        <f>TEXT(ASTemp!F113,Decimals)</f>
        <v/>
      </c>
      <c r="G113" s="69" t="str">
        <f>TEXT(ASTemp!G113,Decimals)</f>
        <v/>
      </c>
      <c r="H113" s="69" t="str">
        <f>TEXT(ASTemp!H113,Decimals)</f>
        <v/>
      </c>
      <c r="I113" s="69" t="str">
        <f>TEXT(ASTemp!I113,Decimals)</f>
        <v/>
      </c>
      <c r="J113" s="69" t="str">
        <f>TEXT(ASTemp!J113,Decimals)</f>
        <v/>
      </c>
      <c r="K113" s="69" t="str">
        <f>TEXT(ASTemp!K113,Decimals)</f>
        <v/>
      </c>
      <c r="L113" s="69" t="str">
        <f>TEXT(ASTemp!L113,Decimals)</f>
        <v/>
      </c>
      <c r="M113" s="71" t="str">
        <f>TEXT(ASTemp!M113,Percentages)</f>
        <v/>
      </c>
      <c r="N113" s="72" t="str">
        <f>TEXT(ASTemp!N113,Percentages)</f>
        <v/>
      </c>
    </row>
    <row r="114" ht="14.25" customHeight="1">
      <c r="B114" s="66" t="str">
        <f>ASTemp!B114</f>
        <v/>
      </c>
      <c r="C114" s="67" t="str">
        <f>ASTemp!C114</f>
        <v/>
      </c>
      <c r="D114" s="68" t="str">
        <f>ASTemp!D114</f>
        <v/>
      </c>
      <c r="E114" s="65" t="str">
        <f>ASTemp!E114</f>
        <v/>
      </c>
      <c r="F114" s="69" t="str">
        <f>TEXT(ASTemp!F114,Decimals)</f>
        <v/>
      </c>
      <c r="G114" s="69" t="str">
        <f>TEXT(ASTemp!G114,Decimals)</f>
        <v/>
      </c>
      <c r="H114" s="69" t="str">
        <f>TEXT(ASTemp!H114,Decimals)</f>
        <v/>
      </c>
      <c r="I114" s="69" t="str">
        <f>TEXT(ASTemp!I114,Decimals)</f>
        <v/>
      </c>
      <c r="J114" s="69" t="str">
        <f>TEXT(ASTemp!J114,Decimals)</f>
        <v/>
      </c>
      <c r="K114" s="69" t="str">
        <f>TEXT(ASTemp!K114,Decimals)</f>
        <v/>
      </c>
      <c r="L114" s="69" t="str">
        <f>TEXT(ASTemp!L114,Decimals)</f>
        <v/>
      </c>
      <c r="M114" s="71" t="str">
        <f>TEXT(ASTemp!M114,Percentages)</f>
        <v/>
      </c>
      <c r="N114" s="72" t="str">
        <f>TEXT(ASTemp!N114,Percentages)</f>
        <v/>
      </c>
    </row>
    <row r="115" ht="14.25" customHeight="1">
      <c r="B115" s="66" t="str">
        <f>ASTemp!B115</f>
        <v/>
      </c>
      <c r="C115" s="67" t="str">
        <f>ASTemp!C115</f>
        <v/>
      </c>
      <c r="D115" s="68" t="str">
        <f>ASTemp!D115</f>
        <v/>
      </c>
      <c r="E115" s="65" t="str">
        <f>ASTemp!E115</f>
        <v/>
      </c>
      <c r="F115" s="69" t="str">
        <f>TEXT(ASTemp!F115,Decimals)</f>
        <v/>
      </c>
      <c r="G115" s="69" t="str">
        <f>TEXT(ASTemp!G115,Decimals)</f>
        <v/>
      </c>
      <c r="H115" s="69" t="str">
        <f>TEXT(ASTemp!H115,Decimals)</f>
        <v/>
      </c>
      <c r="I115" s="69" t="str">
        <f>TEXT(ASTemp!I115,Decimals)</f>
        <v/>
      </c>
      <c r="J115" s="69" t="str">
        <f>TEXT(ASTemp!J115,Decimals)</f>
        <v/>
      </c>
      <c r="K115" s="69" t="str">
        <f>TEXT(ASTemp!K115,Decimals)</f>
        <v/>
      </c>
      <c r="L115" s="69" t="str">
        <f>TEXT(ASTemp!L115,Decimals)</f>
        <v/>
      </c>
      <c r="M115" s="71" t="str">
        <f>TEXT(ASTemp!M115,Percentages)</f>
        <v/>
      </c>
      <c r="N115" s="72" t="str">
        <f>TEXT(ASTemp!N115,Percentages)</f>
        <v/>
      </c>
    </row>
    <row r="116" ht="14.25" customHeight="1">
      <c r="B116" s="66" t="str">
        <f>ASTemp!B116</f>
        <v/>
      </c>
      <c r="C116" s="67" t="str">
        <f>ASTemp!C116</f>
        <v/>
      </c>
      <c r="D116" s="68" t="str">
        <f>ASTemp!D116</f>
        <v/>
      </c>
      <c r="E116" s="65" t="str">
        <f>ASTemp!E116</f>
        <v/>
      </c>
      <c r="F116" s="69" t="str">
        <f>TEXT(ASTemp!F116,Decimals)</f>
        <v/>
      </c>
      <c r="G116" s="69" t="str">
        <f>TEXT(ASTemp!G116,Decimals)</f>
        <v/>
      </c>
      <c r="H116" s="69" t="str">
        <f>TEXT(ASTemp!H116,Decimals)</f>
        <v/>
      </c>
      <c r="I116" s="69" t="str">
        <f>TEXT(ASTemp!I116,Decimals)</f>
        <v/>
      </c>
      <c r="J116" s="69" t="str">
        <f>TEXT(ASTemp!J116,Decimals)</f>
        <v/>
      </c>
      <c r="K116" s="69" t="str">
        <f>TEXT(ASTemp!K116,Decimals)</f>
        <v/>
      </c>
      <c r="L116" s="69" t="str">
        <f>TEXT(ASTemp!L116,Decimals)</f>
        <v/>
      </c>
      <c r="M116" s="71" t="str">
        <f>TEXT(ASTemp!M116,Percentages)</f>
        <v/>
      </c>
      <c r="N116" s="72" t="str">
        <f>TEXT(ASTemp!N116,Percentages)</f>
        <v/>
      </c>
    </row>
    <row r="117" ht="14.25" customHeight="1">
      <c r="B117" s="66" t="str">
        <f>ASTemp!B117</f>
        <v/>
      </c>
      <c r="C117" s="67" t="str">
        <f>ASTemp!C117</f>
        <v/>
      </c>
      <c r="D117" s="68" t="str">
        <f>ASTemp!D117</f>
        <v/>
      </c>
      <c r="E117" s="65" t="str">
        <f>ASTemp!E117</f>
        <v/>
      </c>
      <c r="F117" s="69" t="str">
        <f>TEXT(ASTemp!F117,Decimals)</f>
        <v/>
      </c>
      <c r="G117" s="69" t="str">
        <f>TEXT(ASTemp!G117,Decimals)</f>
        <v/>
      </c>
      <c r="H117" s="69" t="str">
        <f>TEXT(ASTemp!H117,Decimals)</f>
        <v/>
      </c>
      <c r="I117" s="69" t="str">
        <f>TEXT(ASTemp!I117,Decimals)</f>
        <v/>
      </c>
      <c r="J117" s="69" t="str">
        <f>TEXT(ASTemp!J117,Decimals)</f>
        <v/>
      </c>
      <c r="K117" s="69" t="str">
        <f>TEXT(ASTemp!K117,Decimals)</f>
        <v/>
      </c>
      <c r="L117" s="69" t="str">
        <f>TEXT(ASTemp!L117,Decimals)</f>
        <v/>
      </c>
      <c r="M117" s="71" t="str">
        <f>TEXT(ASTemp!M117,Percentages)</f>
        <v/>
      </c>
      <c r="N117" s="72" t="str">
        <f>TEXT(ASTemp!N117,Percentages)</f>
        <v/>
      </c>
    </row>
    <row r="118" ht="14.25" customHeight="1">
      <c r="B118" s="66" t="str">
        <f>ASTemp!B118</f>
        <v/>
      </c>
      <c r="C118" s="67" t="str">
        <f>ASTemp!C118</f>
        <v/>
      </c>
      <c r="D118" s="68" t="str">
        <f>ASTemp!D118</f>
        <v/>
      </c>
      <c r="E118" s="65" t="str">
        <f>ASTemp!E118</f>
        <v/>
      </c>
      <c r="F118" s="69" t="str">
        <f>TEXT(ASTemp!F118,Decimals)</f>
        <v/>
      </c>
      <c r="G118" s="69" t="str">
        <f>TEXT(ASTemp!G118,Decimals)</f>
        <v/>
      </c>
      <c r="H118" s="69" t="str">
        <f>TEXT(ASTemp!H118,Decimals)</f>
        <v/>
      </c>
      <c r="I118" s="69" t="str">
        <f>TEXT(ASTemp!I118,Decimals)</f>
        <v/>
      </c>
      <c r="J118" s="69" t="str">
        <f>TEXT(ASTemp!J118,Decimals)</f>
        <v/>
      </c>
      <c r="K118" s="69" t="str">
        <f>TEXT(ASTemp!K118,Decimals)</f>
        <v/>
      </c>
      <c r="L118" s="69" t="str">
        <f>TEXT(ASTemp!L118,Decimals)</f>
        <v/>
      </c>
      <c r="M118" s="71" t="str">
        <f>TEXT(ASTemp!M118,Percentages)</f>
        <v/>
      </c>
      <c r="N118" s="72" t="str">
        <f>TEXT(ASTemp!N118,Percentages)</f>
        <v/>
      </c>
    </row>
    <row r="119" ht="14.25" customHeight="1">
      <c r="B119" s="66" t="str">
        <f>ASTemp!B119</f>
        <v/>
      </c>
      <c r="C119" s="67" t="str">
        <f>ASTemp!C119</f>
        <v/>
      </c>
      <c r="D119" s="68" t="str">
        <f>ASTemp!D119</f>
        <v/>
      </c>
      <c r="E119" s="65" t="str">
        <f>ASTemp!E119</f>
        <v/>
      </c>
      <c r="F119" s="69" t="str">
        <f>TEXT(ASTemp!F119,Decimals)</f>
        <v/>
      </c>
      <c r="G119" s="69" t="str">
        <f>TEXT(ASTemp!G119,Decimals)</f>
        <v/>
      </c>
      <c r="H119" s="69" t="str">
        <f>TEXT(ASTemp!H119,Decimals)</f>
        <v/>
      </c>
      <c r="I119" s="69" t="str">
        <f>TEXT(ASTemp!I119,Decimals)</f>
        <v/>
      </c>
      <c r="J119" s="69" t="str">
        <f>TEXT(ASTemp!J119,Decimals)</f>
        <v/>
      </c>
      <c r="K119" s="69" t="str">
        <f>TEXT(ASTemp!K119,Decimals)</f>
        <v/>
      </c>
      <c r="L119" s="69" t="str">
        <f>TEXT(ASTemp!L119,Decimals)</f>
        <v/>
      </c>
      <c r="M119" s="71" t="str">
        <f>TEXT(ASTemp!M119,Percentages)</f>
        <v/>
      </c>
      <c r="N119" s="72" t="str">
        <f>TEXT(ASTemp!N119,Percentages)</f>
        <v/>
      </c>
    </row>
    <row r="120" ht="14.25" customHeight="1">
      <c r="B120" s="66" t="str">
        <f>ASTemp!B120</f>
        <v/>
      </c>
      <c r="C120" s="67" t="str">
        <f>ASTemp!C120</f>
        <v/>
      </c>
      <c r="D120" s="68" t="str">
        <f>ASTemp!D120</f>
        <v/>
      </c>
      <c r="E120" s="65" t="str">
        <f>ASTemp!E120</f>
        <v/>
      </c>
      <c r="F120" s="69" t="str">
        <f>TEXT(ASTemp!F120,Decimals)</f>
        <v/>
      </c>
      <c r="G120" s="69" t="str">
        <f>TEXT(ASTemp!G120,Decimals)</f>
        <v/>
      </c>
      <c r="H120" s="69" t="str">
        <f>TEXT(ASTemp!H120,Decimals)</f>
        <v/>
      </c>
      <c r="I120" s="69" t="str">
        <f>TEXT(ASTemp!I120,Decimals)</f>
        <v/>
      </c>
      <c r="J120" s="69" t="str">
        <f>TEXT(ASTemp!J120,Decimals)</f>
        <v/>
      </c>
      <c r="K120" s="69" t="str">
        <f>TEXT(ASTemp!K120,Decimals)</f>
        <v/>
      </c>
      <c r="L120" s="69" t="str">
        <f>TEXT(ASTemp!L120,Decimals)</f>
        <v/>
      </c>
      <c r="M120" s="71" t="str">
        <f>TEXT(ASTemp!M120,Percentages)</f>
        <v/>
      </c>
      <c r="N120" s="72" t="str">
        <f>TEXT(ASTemp!N120,Percentages)</f>
        <v/>
      </c>
    </row>
    <row r="121" ht="14.25" customHeight="1">
      <c r="B121" s="66" t="str">
        <f>ASTemp!B121</f>
        <v/>
      </c>
      <c r="C121" s="67" t="str">
        <f>ASTemp!C121</f>
        <v/>
      </c>
      <c r="D121" s="68" t="str">
        <f>ASTemp!D121</f>
        <v/>
      </c>
      <c r="E121" s="65" t="str">
        <f>ASTemp!E121</f>
        <v/>
      </c>
      <c r="F121" s="69" t="str">
        <f>TEXT(ASTemp!F121,Decimals)</f>
        <v/>
      </c>
      <c r="G121" s="69" t="str">
        <f>TEXT(ASTemp!G121,Decimals)</f>
        <v/>
      </c>
      <c r="H121" s="69" t="str">
        <f>TEXT(ASTemp!H121,Decimals)</f>
        <v/>
      </c>
      <c r="I121" s="69" t="str">
        <f>TEXT(ASTemp!I121,Decimals)</f>
        <v/>
      </c>
      <c r="J121" s="69" t="str">
        <f>TEXT(ASTemp!J121,Decimals)</f>
        <v/>
      </c>
      <c r="K121" s="69" t="str">
        <f>TEXT(ASTemp!K121,Decimals)</f>
        <v/>
      </c>
      <c r="L121" s="69" t="str">
        <f>TEXT(ASTemp!L121,Decimals)</f>
        <v/>
      </c>
      <c r="M121" s="71" t="str">
        <f>TEXT(ASTemp!M121,Percentages)</f>
        <v/>
      </c>
      <c r="N121" s="72" t="str">
        <f>TEXT(ASTemp!N121,Percentages)</f>
        <v/>
      </c>
    </row>
    <row r="122" ht="14.25" customHeight="1">
      <c r="B122" s="66" t="str">
        <f>ASTemp!B122</f>
        <v/>
      </c>
      <c r="C122" s="67" t="str">
        <f>ASTemp!C122</f>
        <v/>
      </c>
      <c r="D122" s="68" t="str">
        <f>ASTemp!D122</f>
        <v/>
      </c>
      <c r="E122" s="65" t="str">
        <f>ASTemp!E122</f>
        <v/>
      </c>
      <c r="F122" s="69" t="str">
        <f>TEXT(ASTemp!F122,Decimals)</f>
        <v/>
      </c>
      <c r="G122" s="69" t="str">
        <f>TEXT(ASTemp!G122,Decimals)</f>
        <v/>
      </c>
      <c r="H122" s="69" t="str">
        <f>TEXT(ASTemp!H122,Decimals)</f>
        <v/>
      </c>
      <c r="I122" s="69" t="str">
        <f>TEXT(ASTemp!I122,Decimals)</f>
        <v/>
      </c>
      <c r="J122" s="69" t="str">
        <f>TEXT(ASTemp!J122,Decimals)</f>
        <v/>
      </c>
      <c r="K122" s="69" t="str">
        <f>TEXT(ASTemp!K122,Decimals)</f>
        <v/>
      </c>
      <c r="L122" s="69" t="str">
        <f>TEXT(ASTemp!L122,Decimals)</f>
        <v/>
      </c>
      <c r="M122" s="71" t="str">
        <f>TEXT(ASTemp!M122,Percentages)</f>
        <v/>
      </c>
      <c r="N122" s="72" t="str">
        <f>TEXT(ASTemp!N122,Percentages)</f>
        <v/>
      </c>
    </row>
    <row r="123" ht="14.25" customHeight="1">
      <c r="B123" s="66" t="str">
        <f>ASTemp!B123</f>
        <v/>
      </c>
      <c r="C123" s="67" t="str">
        <f>ASTemp!C123</f>
        <v/>
      </c>
      <c r="D123" s="68" t="str">
        <f>ASTemp!D123</f>
        <v/>
      </c>
      <c r="E123" s="65" t="str">
        <f>ASTemp!E123</f>
        <v/>
      </c>
      <c r="F123" s="69" t="str">
        <f>TEXT(ASTemp!F123,Decimals)</f>
        <v/>
      </c>
      <c r="G123" s="69" t="str">
        <f>TEXT(ASTemp!G123,Decimals)</f>
        <v/>
      </c>
      <c r="H123" s="69" t="str">
        <f>TEXT(ASTemp!H123,Decimals)</f>
        <v/>
      </c>
      <c r="I123" s="69" t="str">
        <f>TEXT(ASTemp!I123,Decimals)</f>
        <v/>
      </c>
      <c r="J123" s="69" t="str">
        <f>TEXT(ASTemp!J123,Decimals)</f>
        <v/>
      </c>
      <c r="K123" s="69" t="str">
        <f>TEXT(ASTemp!K123,Decimals)</f>
        <v/>
      </c>
      <c r="L123" s="69" t="str">
        <f>TEXT(ASTemp!L123,Decimals)</f>
        <v/>
      </c>
      <c r="M123" s="71" t="str">
        <f>TEXT(ASTemp!M123,Percentages)</f>
        <v/>
      </c>
      <c r="N123" s="72" t="str">
        <f>TEXT(ASTemp!N123,Percentages)</f>
        <v/>
      </c>
    </row>
    <row r="124" ht="14.25" customHeight="1">
      <c r="B124" s="66" t="str">
        <f>ASTemp!B124</f>
        <v/>
      </c>
      <c r="C124" s="67" t="str">
        <f>ASTemp!C124</f>
        <v/>
      </c>
      <c r="D124" s="68" t="str">
        <f>ASTemp!D124</f>
        <v/>
      </c>
      <c r="E124" s="65" t="str">
        <f>ASTemp!E124</f>
        <v/>
      </c>
      <c r="F124" s="69" t="str">
        <f>TEXT(ASTemp!F124,Decimals)</f>
        <v/>
      </c>
      <c r="G124" s="69" t="str">
        <f>TEXT(ASTemp!G124,Decimals)</f>
        <v/>
      </c>
      <c r="H124" s="69" t="str">
        <f>TEXT(ASTemp!H124,Decimals)</f>
        <v/>
      </c>
      <c r="I124" s="69" t="str">
        <f>TEXT(ASTemp!I124,Decimals)</f>
        <v/>
      </c>
      <c r="J124" s="69" t="str">
        <f>TEXT(ASTemp!J124,Decimals)</f>
        <v/>
      </c>
      <c r="K124" s="69" t="str">
        <f>TEXT(ASTemp!K124,Decimals)</f>
        <v/>
      </c>
      <c r="L124" s="69" t="str">
        <f>TEXT(ASTemp!L124,Decimals)</f>
        <v/>
      </c>
      <c r="M124" s="71" t="str">
        <f>TEXT(ASTemp!M124,Percentages)</f>
        <v/>
      </c>
      <c r="N124" s="72" t="str">
        <f>TEXT(ASTemp!N124,Percentages)</f>
        <v/>
      </c>
    </row>
    <row r="125" ht="14.25" customHeight="1">
      <c r="B125" s="66" t="str">
        <f>ASTemp!B125</f>
        <v/>
      </c>
      <c r="C125" s="67" t="str">
        <f>ASTemp!C125</f>
        <v/>
      </c>
      <c r="D125" s="68" t="str">
        <f>ASTemp!D125</f>
        <v/>
      </c>
      <c r="E125" s="65" t="str">
        <f>ASTemp!E125</f>
        <v/>
      </c>
      <c r="F125" s="69" t="str">
        <f>TEXT(ASTemp!F125,Decimals)</f>
        <v/>
      </c>
      <c r="G125" s="69" t="str">
        <f>TEXT(ASTemp!G125,Decimals)</f>
        <v/>
      </c>
      <c r="H125" s="69" t="str">
        <f>TEXT(ASTemp!H125,Decimals)</f>
        <v/>
      </c>
      <c r="I125" s="69" t="str">
        <f>TEXT(ASTemp!I125,Decimals)</f>
        <v/>
      </c>
      <c r="J125" s="69" t="str">
        <f>TEXT(ASTemp!J125,Decimals)</f>
        <v/>
      </c>
      <c r="K125" s="69" t="str">
        <f>TEXT(ASTemp!K125,Decimals)</f>
        <v/>
      </c>
      <c r="L125" s="69" t="str">
        <f>TEXT(ASTemp!L125,Decimals)</f>
        <v/>
      </c>
      <c r="M125" s="71" t="str">
        <f>TEXT(ASTemp!M125,Percentages)</f>
        <v/>
      </c>
      <c r="N125" s="72" t="str">
        <f>TEXT(ASTemp!N125,Percentages)</f>
        <v/>
      </c>
    </row>
    <row r="126" ht="14.25" customHeight="1">
      <c r="B126" s="66" t="str">
        <f>ASTemp!B126</f>
        <v/>
      </c>
      <c r="C126" s="67" t="str">
        <f>ASTemp!C126</f>
        <v/>
      </c>
      <c r="D126" s="68" t="str">
        <f>ASTemp!D126</f>
        <v/>
      </c>
      <c r="E126" s="65" t="str">
        <f>ASTemp!E126</f>
        <v/>
      </c>
      <c r="F126" s="69" t="str">
        <f>TEXT(ASTemp!F126,Decimals)</f>
        <v/>
      </c>
      <c r="G126" s="69" t="str">
        <f>TEXT(ASTemp!G126,Decimals)</f>
        <v/>
      </c>
      <c r="H126" s="69" t="str">
        <f>TEXT(ASTemp!H126,Decimals)</f>
        <v/>
      </c>
      <c r="I126" s="69" t="str">
        <f>TEXT(ASTemp!I126,Decimals)</f>
        <v/>
      </c>
      <c r="J126" s="69" t="str">
        <f>TEXT(ASTemp!J126,Decimals)</f>
        <v/>
      </c>
      <c r="K126" s="69" t="str">
        <f>TEXT(ASTemp!K126,Decimals)</f>
        <v/>
      </c>
      <c r="L126" s="69" t="str">
        <f>TEXT(ASTemp!L126,Decimals)</f>
        <v/>
      </c>
      <c r="M126" s="71" t="str">
        <f>TEXT(ASTemp!M126,Percentages)</f>
        <v/>
      </c>
      <c r="N126" s="72" t="str">
        <f>TEXT(ASTemp!N126,Percentages)</f>
        <v/>
      </c>
    </row>
    <row r="127" ht="14.25" customHeight="1">
      <c r="B127" s="66" t="str">
        <f>ASTemp!B127</f>
        <v/>
      </c>
      <c r="C127" s="67" t="str">
        <f>ASTemp!C127</f>
        <v/>
      </c>
      <c r="D127" s="68" t="str">
        <f>ASTemp!D127</f>
        <v/>
      </c>
      <c r="E127" s="65" t="str">
        <f>ASTemp!E127</f>
        <v/>
      </c>
      <c r="F127" s="69" t="str">
        <f>TEXT(ASTemp!F127,Decimals)</f>
        <v/>
      </c>
      <c r="G127" s="69" t="str">
        <f>TEXT(ASTemp!G127,Decimals)</f>
        <v/>
      </c>
      <c r="H127" s="69" t="str">
        <f>TEXT(ASTemp!H127,Decimals)</f>
        <v/>
      </c>
      <c r="I127" s="69" t="str">
        <f>TEXT(ASTemp!I127,Decimals)</f>
        <v/>
      </c>
      <c r="J127" s="69" t="str">
        <f>TEXT(ASTemp!J127,Decimals)</f>
        <v/>
      </c>
      <c r="K127" s="69" t="str">
        <f>TEXT(ASTemp!K127,Decimals)</f>
        <v/>
      </c>
      <c r="L127" s="69" t="str">
        <f>TEXT(ASTemp!L127,Decimals)</f>
        <v/>
      </c>
      <c r="M127" s="71" t="str">
        <f>TEXT(ASTemp!M127,Percentages)</f>
        <v/>
      </c>
      <c r="N127" s="72" t="str">
        <f>TEXT(ASTemp!N127,Percentages)</f>
        <v/>
      </c>
    </row>
    <row r="128" ht="14.25" customHeight="1">
      <c r="B128" s="66" t="str">
        <f>ASTemp!B128</f>
        <v/>
      </c>
      <c r="C128" s="67" t="str">
        <f>ASTemp!C128</f>
        <v/>
      </c>
      <c r="D128" s="68" t="str">
        <f>ASTemp!D128</f>
        <v/>
      </c>
      <c r="E128" s="65" t="str">
        <f>ASTemp!E128</f>
        <v/>
      </c>
      <c r="F128" s="69" t="str">
        <f>TEXT(ASTemp!F128,Decimals)</f>
        <v/>
      </c>
      <c r="G128" s="69" t="str">
        <f>TEXT(ASTemp!G128,Decimals)</f>
        <v/>
      </c>
      <c r="H128" s="69" t="str">
        <f>TEXT(ASTemp!H128,Decimals)</f>
        <v/>
      </c>
      <c r="I128" s="69" t="str">
        <f>TEXT(ASTemp!I128,Decimals)</f>
        <v/>
      </c>
      <c r="J128" s="69" t="str">
        <f>TEXT(ASTemp!J128,Decimals)</f>
        <v/>
      </c>
      <c r="K128" s="69" t="str">
        <f>TEXT(ASTemp!K128,Decimals)</f>
        <v/>
      </c>
      <c r="L128" s="69" t="str">
        <f>TEXT(ASTemp!L128,Decimals)</f>
        <v/>
      </c>
      <c r="M128" s="71" t="str">
        <f>TEXT(ASTemp!M128,Percentages)</f>
        <v/>
      </c>
      <c r="N128" s="72" t="str">
        <f>TEXT(ASTemp!N128,Percentages)</f>
        <v/>
      </c>
    </row>
    <row r="129" ht="14.25" customHeight="1">
      <c r="B129" s="66" t="str">
        <f>ASTemp!B129</f>
        <v/>
      </c>
      <c r="C129" s="67" t="str">
        <f>ASTemp!C129</f>
        <v/>
      </c>
      <c r="D129" s="68" t="str">
        <f>ASTemp!D129</f>
        <v/>
      </c>
      <c r="E129" s="65" t="str">
        <f>ASTemp!E129</f>
        <v/>
      </c>
      <c r="F129" s="69" t="str">
        <f>TEXT(ASTemp!F129,Decimals)</f>
        <v/>
      </c>
      <c r="G129" s="69" t="str">
        <f>TEXT(ASTemp!G129,Decimals)</f>
        <v/>
      </c>
      <c r="H129" s="69" t="str">
        <f>TEXT(ASTemp!H129,Decimals)</f>
        <v/>
      </c>
      <c r="I129" s="69" t="str">
        <f>TEXT(ASTemp!I129,Decimals)</f>
        <v/>
      </c>
      <c r="J129" s="69" t="str">
        <f>TEXT(ASTemp!J129,Decimals)</f>
        <v/>
      </c>
      <c r="K129" s="69" t="str">
        <f>TEXT(ASTemp!K129,Decimals)</f>
        <v/>
      </c>
      <c r="L129" s="69" t="str">
        <f>TEXT(ASTemp!L129,Decimals)</f>
        <v/>
      </c>
      <c r="M129" s="71" t="str">
        <f>TEXT(ASTemp!M129,Percentages)</f>
        <v/>
      </c>
      <c r="N129" s="72" t="str">
        <f>TEXT(ASTemp!N129,Percentages)</f>
        <v/>
      </c>
    </row>
    <row r="130" ht="14.25" customHeight="1">
      <c r="B130" s="66" t="str">
        <f>ASTemp!B130</f>
        <v/>
      </c>
      <c r="C130" s="67" t="str">
        <f>ASTemp!C130</f>
        <v/>
      </c>
      <c r="D130" s="68" t="str">
        <f>ASTemp!D130</f>
        <v/>
      </c>
      <c r="E130" s="65" t="str">
        <f>ASTemp!E130</f>
        <v/>
      </c>
      <c r="F130" s="69" t="str">
        <f>TEXT(ASTemp!F130,Decimals)</f>
        <v/>
      </c>
      <c r="G130" s="69" t="str">
        <f>TEXT(ASTemp!G130,Decimals)</f>
        <v/>
      </c>
      <c r="H130" s="69" t="str">
        <f>TEXT(ASTemp!H130,Decimals)</f>
        <v/>
      </c>
      <c r="I130" s="69" t="str">
        <f>TEXT(ASTemp!I130,Decimals)</f>
        <v/>
      </c>
      <c r="J130" s="69" t="str">
        <f>TEXT(ASTemp!J130,Decimals)</f>
        <v/>
      </c>
      <c r="K130" s="69" t="str">
        <f>TEXT(ASTemp!K130,Decimals)</f>
        <v/>
      </c>
      <c r="L130" s="69" t="str">
        <f>TEXT(ASTemp!L130,Decimals)</f>
        <v/>
      </c>
      <c r="M130" s="71" t="str">
        <f>TEXT(ASTemp!M130,Percentages)</f>
        <v/>
      </c>
      <c r="N130" s="72" t="str">
        <f>TEXT(ASTemp!N130,Percentages)</f>
        <v/>
      </c>
    </row>
    <row r="131" ht="14.25" customHeight="1">
      <c r="B131" s="66" t="str">
        <f>ASTemp!B131</f>
        <v/>
      </c>
      <c r="C131" s="67" t="str">
        <f>ASTemp!C131</f>
        <v/>
      </c>
      <c r="D131" s="68" t="str">
        <f>ASTemp!D131</f>
        <v/>
      </c>
      <c r="E131" s="65" t="str">
        <f>ASTemp!E131</f>
        <v/>
      </c>
      <c r="F131" s="69" t="str">
        <f>TEXT(ASTemp!F131,Decimals)</f>
        <v/>
      </c>
      <c r="G131" s="69" t="str">
        <f>TEXT(ASTemp!G131,Decimals)</f>
        <v/>
      </c>
      <c r="H131" s="69" t="str">
        <f>TEXT(ASTemp!H131,Decimals)</f>
        <v/>
      </c>
      <c r="I131" s="69" t="str">
        <f>TEXT(ASTemp!I131,Decimals)</f>
        <v/>
      </c>
      <c r="J131" s="69" t="str">
        <f>TEXT(ASTemp!J131,Decimals)</f>
        <v/>
      </c>
      <c r="K131" s="69" t="str">
        <f>TEXT(ASTemp!K131,Decimals)</f>
        <v/>
      </c>
      <c r="L131" s="69" t="str">
        <f>TEXT(ASTemp!L131,Decimals)</f>
        <v/>
      </c>
      <c r="M131" s="71" t="str">
        <f>TEXT(ASTemp!M131,Percentages)</f>
        <v/>
      </c>
      <c r="N131" s="72" t="str">
        <f>TEXT(ASTemp!N131,Percentages)</f>
        <v/>
      </c>
    </row>
    <row r="132" ht="14.25" customHeight="1">
      <c r="B132" s="66" t="str">
        <f>ASTemp!B132</f>
        <v/>
      </c>
      <c r="C132" s="67" t="str">
        <f>ASTemp!C132</f>
        <v/>
      </c>
      <c r="D132" s="68" t="str">
        <f>ASTemp!D132</f>
        <v/>
      </c>
      <c r="E132" s="65" t="str">
        <f>ASTemp!E132</f>
        <v/>
      </c>
      <c r="F132" s="69" t="str">
        <f>TEXT(ASTemp!F132,Decimals)</f>
        <v/>
      </c>
      <c r="G132" s="69" t="str">
        <f>TEXT(ASTemp!G132,Decimals)</f>
        <v/>
      </c>
      <c r="H132" s="69" t="str">
        <f>TEXT(ASTemp!H132,Decimals)</f>
        <v/>
      </c>
      <c r="I132" s="69" t="str">
        <f>TEXT(ASTemp!I132,Decimals)</f>
        <v/>
      </c>
      <c r="J132" s="69" t="str">
        <f>TEXT(ASTemp!J132,Decimals)</f>
        <v/>
      </c>
      <c r="K132" s="69" t="str">
        <f>TEXT(ASTemp!K132,Decimals)</f>
        <v/>
      </c>
      <c r="L132" s="69" t="str">
        <f>TEXT(ASTemp!L132,Decimals)</f>
        <v/>
      </c>
      <c r="M132" s="71" t="str">
        <f>TEXT(ASTemp!M132,Percentages)</f>
        <v/>
      </c>
      <c r="N132" s="72" t="str">
        <f>TEXT(ASTemp!N132,Percentages)</f>
        <v/>
      </c>
    </row>
    <row r="133" ht="14.25" customHeight="1">
      <c r="B133" s="66" t="str">
        <f>ASTemp!B133</f>
        <v/>
      </c>
      <c r="C133" s="67" t="str">
        <f>ASTemp!C133</f>
        <v/>
      </c>
      <c r="D133" s="68" t="str">
        <f>ASTemp!D133</f>
        <v/>
      </c>
      <c r="E133" s="65" t="str">
        <f>ASTemp!E133</f>
        <v/>
      </c>
      <c r="F133" s="69" t="str">
        <f>TEXT(ASTemp!F133,Decimals)</f>
        <v/>
      </c>
      <c r="G133" s="69" t="str">
        <f>TEXT(ASTemp!G133,Decimals)</f>
        <v/>
      </c>
      <c r="H133" s="69" t="str">
        <f>TEXT(ASTemp!H133,Decimals)</f>
        <v/>
      </c>
      <c r="I133" s="69" t="str">
        <f>TEXT(ASTemp!I133,Decimals)</f>
        <v/>
      </c>
      <c r="J133" s="69" t="str">
        <f>TEXT(ASTemp!J133,Decimals)</f>
        <v/>
      </c>
      <c r="K133" s="69" t="str">
        <f>TEXT(ASTemp!K133,Decimals)</f>
        <v/>
      </c>
      <c r="L133" s="69" t="str">
        <f>TEXT(ASTemp!L133,Decimals)</f>
        <v/>
      </c>
      <c r="M133" s="71" t="str">
        <f>TEXT(ASTemp!M133,Percentages)</f>
        <v/>
      </c>
      <c r="N133" s="72" t="str">
        <f>TEXT(ASTemp!N133,Percentages)</f>
        <v/>
      </c>
    </row>
    <row r="134" ht="14.25" customHeight="1">
      <c r="B134" s="66" t="str">
        <f>ASTemp!B134</f>
        <v/>
      </c>
      <c r="C134" s="67" t="str">
        <f>ASTemp!C134</f>
        <v/>
      </c>
      <c r="D134" s="68" t="str">
        <f>ASTemp!D134</f>
        <v/>
      </c>
      <c r="E134" s="65" t="str">
        <f>ASTemp!E134</f>
        <v/>
      </c>
      <c r="F134" s="69" t="str">
        <f>TEXT(ASTemp!F134,Decimals)</f>
        <v/>
      </c>
      <c r="G134" s="69" t="str">
        <f>TEXT(ASTemp!G134,Decimals)</f>
        <v/>
      </c>
      <c r="H134" s="69" t="str">
        <f>TEXT(ASTemp!H134,Decimals)</f>
        <v/>
      </c>
      <c r="I134" s="69" t="str">
        <f>TEXT(ASTemp!I134,Decimals)</f>
        <v/>
      </c>
      <c r="J134" s="69" t="str">
        <f>TEXT(ASTemp!J134,Decimals)</f>
        <v/>
      </c>
      <c r="K134" s="69" t="str">
        <f>TEXT(ASTemp!K134,Decimals)</f>
        <v/>
      </c>
      <c r="L134" s="69" t="str">
        <f>TEXT(ASTemp!L134,Decimals)</f>
        <v/>
      </c>
      <c r="M134" s="71" t="str">
        <f>TEXT(ASTemp!M134,Percentages)</f>
        <v/>
      </c>
      <c r="N134" s="72" t="str">
        <f>TEXT(ASTemp!N134,Percentages)</f>
        <v/>
      </c>
    </row>
    <row r="135" ht="14.25" customHeight="1">
      <c r="B135" s="66" t="str">
        <f>ASTemp!B135</f>
        <v/>
      </c>
      <c r="C135" s="67" t="str">
        <f>ASTemp!C135</f>
        <v/>
      </c>
      <c r="D135" s="68" t="str">
        <f>ASTemp!D135</f>
        <v/>
      </c>
      <c r="E135" s="65" t="str">
        <f>ASTemp!E135</f>
        <v/>
      </c>
      <c r="F135" s="69" t="str">
        <f>TEXT(ASTemp!F135,Decimals)</f>
        <v/>
      </c>
      <c r="G135" s="69" t="str">
        <f>TEXT(ASTemp!G135,Decimals)</f>
        <v/>
      </c>
      <c r="H135" s="69" t="str">
        <f>TEXT(ASTemp!H135,Decimals)</f>
        <v/>
      </c>
      <c r="I135" s="69" t="str">
        <f>TEXT(ASTemp!I135,Decimals)</f>
        <v/>
      </c>
      <c r="J135" s="69" t="str">
        <f>TEXT(ASTemp!J135,Decimals)</f>
        <v/>
      </c>
      <c r="K135" s="69" t="str">
        <f>TEXT(ASTemp!K135,Decimals)</f>
        <v/>
      </c>
      <c r="L135" s="69" t="str">
        <f>TEXT(ASTemp!L135,Decimals)</f>
        <v/>
      </c>
      <c r="M135" s="71" t="str">
        <f>TEXT(ASTemp!M135,Percentages)</f>
        <v/>
      </c>
      <c r="N135" s="72" t="str">
        <f>TEXT(ASTemp!N135,Percentages)</f>
        <v/>
      </c>
    </row>
    <row r="136" ht="14.25" customHeight="1">
      <c r="B136" s="66" t="str">
        <f>ASTemp!B136</f>
        <v/>
      </c>
      <c r="C136" s="67" t="str">
        <f>ASTemp!C136</f>
        <v/>
      </c>
      <c r="D136" s="68" t="str">
        <f>ASTemp!D136</f>
        <v/>
      </c>
      <c r="E136" s="65" t="str">
        <f>ASTemp!E136</f>
        <v/>
      </c>
      <c r="F136" s="69" t="str">
        <f>TEXT(ASTemp!F136,Decimals)</f>
        <v/>
      </c>
      <c r="G136" s="69" t="str">
        <f>TEXT(ASTemp!G136,Decimals)</f>
        <v/>
      </c>
      <c r="H136" s="69" t="str">
        <f>TEXT(ASTemp!H136,Decimals)</f>
        <v/>
      </c>
      <c r="I136" s="69" t="str">
        <f>TEXT(ASTemp!I136,Decimals)</f>
        <v/>
      </c>
      <c r="J136" s="69" t="str">
        <f>TEXT(ASTemp!J136,Decimals)</f>
        <v/>
      </c>
      <c r="K136" s="69" t="str">
        <f>TEXT(ASTemp!K136,Decimals)</f>
        <v/>
      </c>
      <c r="L136" s="69" t="str">
        <f>TEXT(ASTemp!L136,Decimals)</f>
        <v/>
      </c>
      <c r="M136" s="71" t="str">
        <f>TEXT(ASTemp!M136,Percentages)</f>
        <v/>
      </c>
      <c r="N136" s="72" t="str">
        <f>TEXT(ASTemp!N136,Percentages)</f>
        <v/>
      </c>
    </row>
    <row r="137" ht="14.25" customHeight="1">
      <c r="B137" s="66" t="str">
        <f>ASTemp!B137</f>
        <v/>
      </c>
      <c r="C137" s="67" t="str">
        <f>ASTemp!C137</f>
        <v/>
      </c>
      <c r="D137" s="68" t="str">
        <f>ASTemp!D137</f>
        <v/>
      </c>
      <c r="E137" s="65" t="str">
        <f>ASTemp!E137</f>
        <v/>
      </c>
      <c r="F137" s="69" t="str">
        <f>TEXT(ASTemp!F137,Decimals)</f>
        <v/>
      </c>
      <c r="G137" s="69" t="str">
        <f>TEXT(ASTemp!G137,Decimals)</f>
        <v/>
      </c>
      <c r="H137" s="69" t="str">
        <f>TEXT(ASTemp!H137,Decimals)</f>
        <v/>
      </c>
      <c r="I137" s="69" t="str">
        <f>TEXT(ASTemp!I137,Decimals)</f>
        <v/>
      </c>
      <c r="J137" s="69" t="str">
        <f>TEXT(ASTemp!J137,Decimals)</f>
        <v/>
      </c>
      <c r="K137" s="69" t="str">
        <f>TEXT(ASTemp!K137,Decimals)</f>
        <v/>
      </c>
      <c r="L137" s="69" t="str">
        <f>TEXT(ASTemp!L137,Decimals)</f>
        <v/>
      </c>
      <c r="M137" s="71" t="str">
        <f>TEXT(ASTemp!M137,Percentages)</f>
        <v/>
      </c>
      <c r="N137" s="72" t="str">
        <f>TEXT(ASTemp!N137,Percentages)</f>
        <v/>
      </c>
    </row>
    <row r="138" ht="14.25" customHeight="1">
      <c r="B138" s="66" t="str">
        <f>ASTemp!B138</f>
        <v/>
      </c>
      <c r="C138" s="67" t="str">
        <f>ASTemp!C138</f>
        <v/>
      </c>
      <c r="D138" s="68" t="str">
        <f>ASTemp!D138</f>
        <v/>
      </c>
      <c r="E138" s="65" t="str">
        <f>ASTemp!E138</f>
        <v/>
      </c>
      <c r="F138" s="69" t="str">
        <f>TEXT(ASTemp!F138,Decimals)</f>
        <v/>
      </c>
      <c r="G138" s="69" t="str">
        <f>TEXT(ASTemp!G138,Decimals)</f>
        <v/>
      </c>
      <c r="H138" s="69" t="str">
        <f>TEXT(ASTemp!H138,Decimals)</f>
        <v/>
      </c>
      <c r="I138" s="69" t="str">
        <f>TEXT(ASTemp!I138,Decimals)</f>
        <v/>
      </c>
      <c r="J138" s="69" t="str">
        <f>TEXT(ASTemp!J138,Decimals)</f>
        <v/>
      </c>
      <c r="K138" s="69" t="str">
        <f>TEXT(ASTemp!K138,Decimals)</f>
        <v/>
      </c>
      <c r="L138" s="69" t="str">
        <f>TEXT(ASTemp!L138,Decimals)</f>
        <v/>
      </c>
      <c r="M138" s="71" t="str">
        <f>TEXT(ASTemp!M138,Percentages)</f>
        <v/>
      </c>
      <c r="N138" s="72" t="str">
        <f>TEXT(ASTemp!N138,Percentages)</f>
        <v/>
      </c>
    </row>
    <row r="139" ht="14.25" customHeight="1">
      <c r="B139" s="66" t="str">
        <f>ASTemp!B139</f>
        <v/>
      </c>
      <c r="C139" s="67" t="str">
        <f>ASTemp!C139</f>
        <v/>
      </c>
      <c r="D139" s="68" t="str">
        <f>ASTemp!D139</f>
        <v/>
      </c>
      <c r="E139" s="65" t="str">
        <f>ASTemp!E139</f>
        <v/>
      </c>
      <c r="F139" s="69" t="str">
        <f>TEXT(ASTemp!F139,Decimals)</f>
        <v/>
      </c>
      <c r="G139" s="69" t="str">
        <f>TEXT(ASTemp!G139,Decimals)</f>
        <v/>
      </c>
      <c r="H139" s="69" t="str">
        <f>TEXT(ASTemp!H139,Decimals)</f>
        <v/>
      </c>
      <c r="I139" s="69" t="str">
        <f>TEXT(ASTemp!I139,Decimals)</f>
        <v/>
      </c>
      <c r="J139" s="69" t="str">
        <f>TEXT(ASTemp!J139,Decimals)</f>
        <v/>
      </c>
      <c r="K139" s="69" t="str">
        <f>TEXT(ASTemp!K139,Decimals)</f>
        <v/>
      </c>
      <c r="L139" s="69" t="str">
        <f>TEXT(ASTemp!L139,Decimals)</f>
        <v/>
      </c>
      <c r="M139" s="71" t="str">
        <f>TEXT(ASTemp!M139,Percentages)</f>
        <v/>
      </c>
      <c r="N139" s="72" t="str">
        <f>TEXT(ASTemp!N139,Percentages)</f>
        <v/>
      </c>
    </row>
    <row r="140" ht="14.25" customHeight="1">
      <c r="B140" s="66" t="str">
        <f>ASTemp!B140</f>
        <v/>
      </c>
      <c r="C140" s="67" t="str">
        <f>ASTemp!C140</f>
        <v/>
      </c>
      <c r="D140" s="68" t="str">
        <f>ASTemp!D140</f>
        <v/>
      </c>
      <c r="E140" s="65" t="str">
        <f>ASTemp!E140</f>
        <v/>
      </c>
      <c r="F140" s="69" t="str">
        <f>TEXT(ASTemp!F140,Decimals)</f>
        <v/>
      </c>
      <c r="G140" s="69" t="str">
        <f>TEXT(ASTemp!G140,Decimals)</f>
        <v/>
      </c>
      <c r="H140" s="69" t="str">
        <f>TEXT(ASTemp!H140,Decimals)</f>
        <v/>
      </c>
      <c r="I140" s="69" t="str">
        <f>TEXT(ASTemp!I140,Decimals)</f>
        <v/>
      </c>
      <c r="J140" s="69" t="str">
        <f>TEXT(ASTemp!J140,Decimals)</f>
        <v/>
      </c>
      <c r="K140" s="69" t="str">
        <f>TEXT(ASTemp!K140,Decimals)</f>
        <v/>
      </c>
      <c r="L140" s="69" t="str">
        <f>TEXT(ASTemp!L140,Decimals)</f>
        <v/>
      </c>
      <c r="M140" s="71" t="str">
        <f>TEXT(ASTemp!M140,Percentages)</f>
        <v/>
      </c>
      <c r="N140" s="72" t="str">
        <f>TEXT(ASTemp!N140,Percentages)</f>
        <v/>
      </c>
    </row>
    <row r="141" ht="14.25" customHeight="1">
      <c r="B141" s="66" t="str">
        <f>ASTemp!B141</f>
        <v/>
      </c>
      <c r="C141" s="67" t="str">
        <f>ASTemp!C141</f>
        <v/>
      </c>
      <c r="D141" s="68" t="str">
        <f>ASTemp!D141</f>
        <v/>
      </c>
      <c r="E141" s="65" t="str">
        <f>ASTemp!E141</f>
        <v/>
      </c>
      <c r="F141" s="69" t="str">
        <f>TEXT(ASTemp!F141,Decimals)</f>
        <v/>
      </c>
      <c r="G141" s="69" t="str">
        <f>TEXT(ASTemp!G141,Decimals)</f>
        <v/>
      </c>
      <c r="H141" s="69" t="str">
        <f>TEXT(ASTemp!H141,Decimals)</f>
        <v/>
      </c>
      <c r="I141" s="69" t="str">
        <f>TEXT(ASTemp!I141,Decimals)</f>
        <v/>
      </c>
      <c r="J141" s="69" t="str">
        <f>TEXT(ASTemp!J141,Decimals)</f>
        <v/>
      </c>
      <c r="K141" s="69" t="str">
        <f>TEXT(ASTemp!K141,Decimals)</f>
        <v/>
      </c>
      <c r="L141" s="69" t="str">
        <f>TEXT(ASTemp!L141,Decimals)</f>
        <v/>
      </c>
      <c r="M141" s="71" t="str">
        <f>TEXT(ASTemp!M141,Percentages)</f>
        <v/>
      </c>
      <c r="N141" s="72" t="str">
        <f>TEXT(ASTemp!N141,Percentages)</f>
        <v/>
      </c>
    </row>
    <row r="142" ht="14.25" customHeight="1">
      <c r="B142" s="66" t="str">
        <f>ASTemp!B142</f>
        <v/>
      </c>
      <c r="C142" s="67" t="str">
        <f>ASTemp!C142</f>
        <v/>
      </c>
      <c r="D142" s="68" t="str">
        <f>ASTemp!D142</f>
        <v/>
      </c>
      <c r="E142" s="65" t="str">
        <f>ASTemp!E142</f>
        <v/>
      </c>
      <c r="F142" s="69" t="str">
        <f>TEXT(ASTemp!F142,Decimals)</f>
        <v/>
      </c>
      <c r="G142" s="69" t="str">
        <f>TEXT(ASTemp!G142,Decimals)</f>
        <v/>
      </c>
      <c r="H142" s="69" t="str">
        <f>TEXT(ASTemp!H142,Decimals)</f>
        <v/>
      </c>
      <c r="I142" s="69" t="str">
        <f>TEXT(ASTemp!I142,Decimals)</f>
        <v/>
      </c>
      <c r="J142" s="69" t="str">
        <f>TEXT(ASTemp!J142,Decimals)</f>
        <v/>
      </c>
      <c r="K142" s="69" t="str">
        <f>TEXT(ASTemp!K142,Decimals)</f>
        <v/>
      </c>
      <c r="L142" s="69" t="str">
        <f>TEXT(ASTemp!L142,Decimals)</f>
        <v/>
      </c>
      <c r="M142" s="71" t="str">
        <f>TEXT(ASTemp!M142,Percentages)</f>
        <v/>
      </c>
      <c r="N142" s="72" t="str">
        <f>TEXT(ASTemp!N142,Percentages)</f>
        <v/>
      </c>
    </row>
    <row r="143" ht="14.25" customHeight="1">
      <c r="B143" s="66" t="str">
        <f>ASTemp!B143</f>
        <v/>
      </c>
      <c r="C143" s="67" t="str">
        <f>ASTemp!C143</f>
        <v/>
      </c>
      <c r="D143" s="68" t="str">
        <f>ASTemp!D143</f>
        <v/>
      </c>
      <c r="E143" s="65" t="str">
        <f>ASTemp!E143</f>
        <v/>
      </c>
      <c r="F143" s="69" t="str">
        <f>TEXT(ASTemp!F143,Decimals)</f>
        <v/>
      </c>
      <c r="G143" s="69" t="str">
        <f>TEXT(ASTemp!G143,Decimals)</f>
        <v/>
      </c>
      <c r="H143" s="69" t="str">
        <f>TEXT(ASTemp!H143,Decimals)</f>
        <v/>
      </c>
      <c r="I143" s="69" t="str">
        <f>TEXT(ASTemp!I143,Decimals)</f>
        <v/>
      </c>
      <c r="J143" s="69" t="str">
        <f>TEXT(ASTemp!J143,Decimals)</f>
        <v/>
      </c>
      <c r="K143" s="69" t="str">
        <f>TEXT(ASTemp!K143,Decimals)</f>
        <v/>
      </c>
      <c r="L143" s="69" t="str">
        <f>TEXT(ASTemp!L143,Decimals)</f>
        <v/>
      </c>
      <c r="M143" s="71" t="str">
        <f>TEXT(ASTemp!M143,Percentages)</f>
        <v/>
      </c>
      <c r="N143" s="72" t="str">
        <f>TEXT(ASTemp!N143,Percentages)</f>
        <v/>
      </c>
    </row>
    <row r="144" ht="14.25" customHeight="1">
      <c r="B144" s="66" t="str">
        <f>ASTemp!B144</f>
        <v/>
      </c>
      <c r="C144" s="67" t="str">
        <f>ASTemp!C144</f>
        <v/>
      </c>
      <c r="D144" s="68" t="str">
        <f>ASTemp!D144</f>
        <v/>
      </c>
      <c r="E144" s="65" t="str">
        <f>ASTemp!E144</f>
        <v/>
      </c>
      <c r="F144" s="69" t="str">
        <f>TEXT(ASTemp!F144,Decimals)</f>
        <v/>
      </c>
      <c r="G144" s="69" t="str">
        <f>TEXT(ASTemp!G144,Decimals)</f>
        <v/>
      </c>
      <c r="H144" s="69" t="str">
        <f>TEXT(ASTemp!H144,Decimals)</f>
        <v/>
      </c>
      <c r="I144" s="69" t="str">
        <f>TEXT(ASTemp!I144,Decimals)</f>
        <v/>
      </c>
      <c r="J144" s="69" t="str">
        <f>TEXT(ASTemp!J144,Decimals)</f>
        <v/>
      </c>
      <c r="K144" s="69" t="str">
        <f>TEXT(ASTemp!K144,Decimals)</f>
        <v/>
      </c>
      <c r="L144" s="69" t="str">
        <f>TEXT(ASTemp!L144,Decimals)</f>
        <v/>
      </c>
      <c r="M144" s="71" t="str">
        <f>TEXT(ASTemp!M144,Percentages)</f>
        <v/>
      </c>
      <c r="N144" s="72" t="str">
        <f>TEXT(ASTemp!N144,Percentages)</f>
        <v/>
      </c>
    </row>
    <row r="145" ht="14.25" customHeight="1">
      <c r="B145" s="66" t="str">
        <f>ASTemp!B145</f>
        <v/>
      </c>
      <c r="C145" s="67" t="str">
        <f>ASTemp!C145</f>
        <v/>
      </c>
      <c r="D145" s="68" t="str">
        <f>ASTemp!D145</f>
        <v/>
      </c>
      <c r="E145" s="65" t="str">
        <f>ASTemp!E145</f>
        <v/>
      </c>
      <c r="F145" s="69" t="str">
        <f>TEXT(ASTemp!F145,Decimals)</f>
        <v/>
      </c>
      <c r="G145" s="69" t="str">
        <f>TEXT(ASTemp!G145,Decimals)</f>
        <v/>
      </c>
      <c r="H145" s="69" t="str">
        <f>TEXT(ASTemp!H145,Decimals)</f>
        <v/>
      </c>
      <c r="I145" s="69" t="str">
        <f>TEXT(ASTemp!I145,Decimals)</f>
        <v/>
      </c>
      <c r="J145" s="69" t="str">
        <f>TEXT(ASTemp!J145,Decimals)</f>
        <v/>
      </c>
      <c r="K145" s="69" t="str">
        <f>TEXT(ASTemp!K145,Decimals)</f>
        <v/>
      </c>
      <c r="L145" s="69" t="str">
        <f>TEXT(ASTemp!L145,Decimals)</f>
        <v/>
      </c>
      <c r="M145" s="71" t="str">
        <f>TEXT(ASTemp!M145,Percentages)</f>
        <v/>
      </c>
      <c r="N145" s="72" t="str">
        <f>TEXT(ASTemp!N145,Percentages)</f>
        <v/>
      </c>
    </row>
    <row r="146" ht="14.25" customHeight="1">
      <c r="B146" s="66" t="str">
        <f>ASTemp!B146</f>
        <v/>
      </c>
      <c r="C146" s="67" t="str">
        <f>ASTemp!C146</f>
        <v/>
      </c>
      <c r="D146" s="68" t="str">
        <f>ASTemp!D146</f>
        <v/>
      </c>
      <c r="E146" s="65" t="str">
        <f>ASTemp!E146</f>
        <v/>
      </c>
      <c r="F146" s="69" t="str">
        <f>TEXT(ASTemp!F146,Decimals)</f>
        <v/>
      </c>
      <c r="G146" s="69" t="str">
        <f>TEXT(ASTemp!G146,Decimals)</f>
        <v/>
      </c>
      <c r="H146" s="69" t="str">
        <f>TEXT(ASTemp!H146,Decimals)</f>
        <v/>
      </c>
      <c r="I146" s="69" t="str">
        <f>TEXT(ASTemp!I146,Decimals)</f>
        <v/>
      </c>
      <c r="J146" s="69" t="str">
        <f>TEXT(ASTemp!J146,Decimals)</f>
        <v/>
      </c>
      <c r="K146" s="69" t="str">
        <f>TEXT(ASTemp!K146,Decimals)</f>
        <v/>
      </c>
      <c r="L146" s="69" t="str">
        <f>TEXT(ASTemp!L146,Decimals)</f>
        <v/>
      </c>
      <c r="M146" s="71" t="str">
        <f>TEXT(ASTemp!M146,Percentages)</f>
        <v/>
      </c>
      <c r="N146" s="72" t="str">
        <f>TEXT(ASTemp!N146,Percentages)</f>
        <v/>
      </c>
    </row>
    <row r="147" ht="14.25" customHeight="1">
      <c r="B147" s="66" t="str">
        <f>ASTemp!B147</f>
        <v/>
      </c>
      <c r="C147" s="67" t="str">
        <f>ASTemp!C147</f>
        <v/>
      </c>
      <c r="D147" s="68" t="str">
        <f>ASTemp!D147</f>
        <v/>
      </c>
      <c r="E147" s="65" t="str">
        <f>ASTemp!E147</f>
        <v/>
      </c>
      <c r="F147" s="69" t="str">
        <f>TEXT(ASTemp!F147,Decimals)</f>
        <v/>
      </c>
      <c r="G147" s="69" t="str">
        <f>TEXT(ASTemp!G147,Decimals)</f>
        <v/>
      </c>
      <c r="H147" s="69" t="str">
        <f>TEXT(ASTemp!H147,Decimals)</f>
        <v/>
      </c>
      <c r="I147" s="69" t="str">
        <f>TEXT(ASTemp!I147,Decimals)</f>
        <v/>
      </c>
      <c r="J147" s="69" t="str">
        <f>TEXT(ASTemp!J147,Decimals)</f>
        <v/>
      </c>
      <c r="K147" s="69" t="str">
        <f>TEXT(ASTemp!K147,Decimals)</f>
        <v/>
      </c>
      <c r="L147" s="69" t="str">
        <f>TEXT(ASTemp!L147,Decimals)</f>
        <v/>
      </c>
      <c r="M147" s="71" t="str">
        <f>TEXT(ASTemp!M147,Percentages)</f>
        <v/>
      </c>
      <c r="N147" s="72" t="str">
        <f>TEXT(ASTemp!N147,Percentages)</f>
        <v/>
      </c>
    </row>
    <row r="148" ht="14.25" customHeight="1">
      <c r="B148" s="66" t="str">
        <f>ASTemp!B148</f>
        <v/>
      </c>
      <c r="C148" s="67" t="str">
        <f>ASTemp!C148</f>
        <v/>
      </c>
      <c r="D148" s="68" t="str">
        <f>ASTemp!D148</f>
        <v/>
      </c>
      <c r="E148" s="65" t="str">
        <f>ASTemp!E148</f>
        <v/>
      </c>
      <c r="F148" s="69" t="str">
        <f>TEXT(ASTemp!F148,Decimals)</f>
        <v/>
      </c>
      <c r="G148" s="69" t="str">
        <f>TEXT(ASTemp!G148,Decimals)</f>
        <v/>
      </c>
      <c r="H148" s="69" t="str">
        <f>TEXT(ASTemp!H148,Decimals)</f>
        <v/>
      </c>
      <c r="I148" s="69" t="str">
        <f>TEXT(ASTemp!I148,Decimals)</f>
        <v/>
      </c>
      <c r="J148" s="69" t="str">
        <f>TEXT(ASTemp!J148,Decimals)</f>
        <v/>
      </c>
      <c r="K148" s="69" t="str">
        <f>TEXT(ASTemp!K148,Decimals)</f>
        <v/>
      </c>
      <c r="L148" s="69" t="str">
        <f>TEXT(ASTemp!L148,Decimals)</f>
        <v/>
      </c>
      <c r="M148" s="71" t="str">
        <f>TEXT(ASTemp!M148,Percentages)</f>
        <v/>
      </c>
      <c r="N148" s="72" t="str">
        <f>TEXT(ASTemp!N148,Percentages)</f>
        <v/>
      </c>
    </row>
    <row r="149" ht="14.25" customHeight="1">
      <c r="B149" s="66" t="str">
        <f>ASTemp!B149</f>
        <v/>
      </c>
      <c r="C149" s="67" t="str">
        <f>ASTemp!C149</f>
        <v/>
      </c>
      <c r="D149" s="68" t="str">
        <f>ASTemp!D149</f>
        <v/>
      </c>
      <c r="E149" s="65" t="str">
        <f>ASTemp!E149</f>
        <v/>
      </c>
      <c r="F149" s="69" t="str">
        <f>TEXT(ASTemp!F149,Decimals)</f>
        <v/>
      </c>
      <c r="G149" s="69" t="str">
        <f>TEXT(ASTemp!G149,Decimals)</f>
        <v/>
      </c>
      <c r="H149" s="69" t="str">
        <f>TEXT(ASTemp!H149,Decimals)</f>
        <v/>
      </c>
      <c r="I149" s="69" t="str">
        <f>TEXT(ASTemp!I149,Decimals)</f>
        <v/>
      </c>
      <c r="J149" s="69" t="str">
        <f>TEXT(ASTemp!J149,Decimals)</f>
        <v/>
      </c>
      <c r="K149" s="69" t="str">
        <f>TEXT(ASTemp!K149,Decimals)</f>
        <v/>
      </c>
      <c r="L149" s="69" t="str">
        <f>TEXT(ASTemp!L149,Decimals)</f>
        <v/>
      </c>
      <c r="M149" s="71" t="str">
        <f>TEXT(ASTemp!M149,Percentages)</f>
        <v/>
      </c>
      <c r="N149" s="72" t="str">
        <f>TEXT(ASTemp!N149,Percentages)</f>
        <v/>
      </c>
    </row>
    <row r="150" ht="14.25" customHeight="1">
      <c r="B150" s="66" t="str">
        <f>ASTemp!B150</f>
        <v/>
      </c>
      <c r="C150" s="67" t="str">
        <f>ASTemp!C150</f>
        <v/>
      </c>
      <c r="D150" s="68" t="str">
        <f>ASTemp!D150</f>
        <v/>
      </c>
      <c r="E150" s="65" t="str">
        <f>ASTemp!E150</f>
        <v/>
      </c>
      <c r="F150" s="69" t="str">
        <f>TEXT(ASTemp!F150,Decimals)</f>
        <v/>
      </c>
      <c r="G150" s="69" t="str">
        <f>TEXT(ASTemp!G150,Decimals)</f>
        <v/>
      </c>
      <c r="H150" s="69" t="str">
        <f>TEXT(ASTemp!H150,Decimals)</f>
        <v/>
      </c>
      <c r="I150" s="69" t="str">
        <f>TEXT(ASTemp!I150,Decimals)</f>
        <v/>
      </c>
      <c r="J150" s="69" t="str">
        <f>TEXT(ASTemp!J150,Decimals)</f>
        <v/>
      </c>
      <c r="K150" s="69" t="str">
        <f>TEXT(ASTemp!K150,Decimals)</f>
        <v/>
      </c>
      <c r="L150" s="69" t="str">
        <f>TEXT(ASTemp!L150,Decimals)</f>
        <v/>
      </c>
      <c r="M150" s="71" t="str">
        <f>TEXT(ASTemp!M150,Percentages)</f>
        <v/>
      </c>
      <c r="N150" s="72" t="str">
        <f>TEXT(ASTemp!N150,Percentages)</f>
        <v/>
      </c>
    </row>
    <row r="151" ht="14.25" customHeight="1">
      <c r="B151" s="66" t="str">
        <f>ASTemp!B151</f>
        <v/>
      </c>
      <c r="C151" s="67" t="str">
        <f>ASTemp!C151</f>
        <v/>
      </c>
      <c r="D151" s="68" t="str">
        <f>ASTemp!D151</f>
        <v/>
      </c>
      <c r="E151" s="65" t="str">
        <f>ASTemp!E151</f>
        <v/>
      </c>
      <c r="F151" s="69" t="str">
        <f>TEXT(ASTemp!F151,Decimals)</f>
        <v/>
      </c>
      <c r="G151" s="69" t="str">
        <f>TEXT(ASTemp!G151,Decimals)</f>
        <v/>
      </c>
      <c r="H151" s="69" t="str">
        <f>TEXT(ASTemp!H151,Decimals)</f>
        <v/>
      </c>
      <c r="I151" s="69" t="str">
        <f>TEXT(ASTemp!I151,Decimals)</f>
        <v/>
      </c>
      <c r="J151" s="69" t="str">
        <f>TEXT(ASTemp!J151,Decimals)</f>
        <v/>
      </c>
      <c r="K151" s="69" t="str">
        <f>TEXT(ASTemp!K151,Decimals)</f>
        <v/>
      </c>
      <c r="L151" s="69" t="str">
        <f>TEXT(ASTemp!L151,Decimals)</f>
        <v/>
      </c>
      <c r="M151" s="71" t="str">
        <f>TEXT(ASTemp!M151,Percentages)</f>
        <v/>
      </c>
      <c r="N151" s="72" t="str">
        <f>TEXT(ASTemp!N151,Percentages)</f>
        <v/>
      </c>
    </row>
    <row r="152" ht="14.25" customHeight="1">
      <c r="B152" s="66" t="str">
        <f>ASTemp!B152</f>
        <v/>
      </c>
      <c r="C152" s="67" t="str">
        <f>ASTemp!C152</f>
        <v/>
      </c>
      <c r="D152" s="68" t="str">
        <f>ASTemp!D152</f>
        <v/>
      </c>
      <c r="E152" s="65" t="str">
        <f>ASTemp!E152</f>
        <v/>
      </c>
      <c r="F152" s="69" t="str">
        <f>TEXT(ASTemp!F152,Decimals)</f>
        <v/>
      </c>
      <c r="G152" s="69" t="str">
        <f>TEXT(ASTemp!G152,Decimals)</f>
        <v/>
      </c>
      <c r="H152" s="69" t="str">
        <f>TEXT(ASTemp!H152,Decimals)</f>
        <v/>
      </c>
      <c r="I152" s="69" t="str">
        <f>TEXT(ASTemp!I152,Decimals)</f>
        <v/>
      </c>
      <c r="J152" s="69" t="str">
        <f>TEXT(ASTemp!J152,Decimals)</f>
        <v/>
      </c>
      <c r="K152" s="69" t="str">
        <f>TEXT(ASTemp!K152,Decimals)</f>
        <v/>
      </c>
      <c r="L152" s="69" t="str">
        <f>TEXT(ASTemp!L152,Decimals)</f>
        <v/>
      </c>
      <c r="M152" s="71" t="str">
        <f>TEXT(ASTemp!M152,Percentages)</f>
        <v/>
      </c>
      <c r="N152" s="72" t="str">
        <f>TEXT(ASTemp!N152,Percentages)</f>
        <v/>
      </c>
    </row>
    <row r="153" ht="14.25" customHeight="1">
      <c r="B153" s="66" t="str">
        <f>ASTemp!B153</f>
        <v/>
      </c>
      <c r="C153" s="67" t="str">
        <f>ASTemp!C153</f>
        <v/>
      </c>
      <c r="D153" s="68" t="str">
        <f>ASTemp!D153</f>
        <v/>
      </c>
      <c r="E153" s="65" t="str">
        <f>ASTemp!E153</f>
        <v/>
      </c>
      <c r="F153" s="69" t="str">
        <f>TEXT(ASTemp!F153,Decimals)</f>
        <v/>
      </c>
      <c r="G153" s="69" t="str">
        <f>TEXT(ASTemp!G153,Decimals)</f>
        <v/>
      </c>
      <c r="H153" s="69" t="str">
        <f>TEXT(ASTemp!H153,Decimals)</f>
        <v/>
      </c>
      <c r="I153" s="69" t="str">
        <f>TEXT(ASTemp!I153,Decimals)</f>
        <v/>
      </c>
      <c r="J153" s="69" t="str">
        <f>TEXT(ASTemp!J153,Decimals)</f>
        <v/>
      </c>
      <c r="K153" s="69" t="str">
        <f>TEXT(ASTemp!K153,Decimals)</f>
        <v/>
      </c>
      <c r="L153" s="69" t="str">
        <f>TEXT(ASTemp!L153,Decimals)</f>
        <v/>
      </c>
      <c r="M153" s="71" t="str">
        <f>TEXT(ASTemp!M153,Percentages)</f>
        <v/>
      </c>
      <c r="N153" s="72" t="str">
        <f>TEXT(ASTemp!N153,Percentages)</f>
        <v/>
      </c>
    </row>
    <row r="154" ht="14.25" customHeight="1">
      <c r="B154" s="66" t="str">
        <f>ASTemp!B154</f>
        <v/>
      </c>
      <c r="C154" s="67" t="str">
        <f>ASTemp!C154</f>
        <v/>
      </c>
      <c r="D154" s="68" t="str">
        <f>ASTemp!D154</f>
        <v/>
      </c>
      <c r="E154" s="65" t="str">
        <f>ASTemp!E154</f>
        <v/>
      </c>
      <c r="F154" s="69" t="str">
        <f>TEXT(ASTemp!F154,Decimals)</f>
        <v/>
      </c>
      <c r="G154" s="69" t="str">
        <f>TEXT(ASTemp!G154,Decimals)</f>
        <v/>
      </c>
      <c r="H154" s="69" t="str">
        <f>TEXT(ASTemp!H154,Decimals)</f>
        <v/>
      </c>
      <c r="I154" s="69" t="str">
        <f>TEXT(ASTemp!I154,Decimals)</f>
        <v/>
      </c>
      <c r="J154" s="69" t="str">
        <f>TEXT(ASTemp!J154,Decimals)</f>
        <v/>
      </c>
      <c r="K154" s="69" t="str">
        <f>TEXT(ASTemp!K154,Decimals)</f>
        <v/>
      </c>
      <c r="L154" s="69" t="str">
        <f>TEXT(ASTemp!L154,Decimals)</f>
        <v/>
      </c>
      <c r="M154" s="71" t="str">
        <f>TEXT(ASTemp!M154,Percentages)</f>
        <v/>
      </c>
      <c r="N154" s="72" t="str">
        <f>TEXT(ASTemp!N154,Percentages)</f>
        <v/>
      </c>
    </row>
    <row r="155" ht="14.25" customHeight="1">
      <c r="B155" s="66" t="str">
        <f>ASTemp!B155</f>
        <v/>
      </c>
      <c r="C155" s="67" t="str">
        <f>ASTemp!C155</f>
        <v/>
      </c>
      <c r="D155" s="68" t="str">
        <f>ASTemp!D155</f>
        <v/>
      </c>
      <c r="E155" s="65" t="str">
        <f>ASTemp!E155</f>
        <v/>
      </c>
      <c r="F155" s="69" t="str">
        <f>TEXT(ASTemp!F155,Decimals)</f>
        <v/>
      </c>
      <c r="G155" s="69" t="str">
        <f>TEXT(ASTemp!G155,Decimals)</f>
        <v/>
      </c>
      <c r="H155" s="69" t="str">
        <f>TEXT(ASTemp!H155,Decimals)</f>
        <v/>
      </c>
      <c r="I155" s="69" t="str">
        <f>TEXT(ASTemp!I155,Decimals)</f>
        <v/>
      </c>
      <c r="J155" s="69" t="str">
        <f>TEXT(ASTemp!J155,Decimals)</f>
        <v/>
      </c>
      <c r="K155" s="69" t="str">
        <f>TEXT(ASTemp!K155,Decimals)</f>
        <v/>
      </c>
      <c r="L155" s="69" t="str">
        <f>TEXT(ASTemp!L155,Decimals)</f>
        <v/>
      </c>
      <c r="M155" s="71" t="str">
        <f>TEXT(ASTemp!M155,Percentages)</f>
        <v/>
      </c>
      <c r="N155" s="72" t="str">
        <f>TEXT(ASTemp!N155,Percentages)</f>
        <v/>
      </c>
    </row>
    <row r="156" ht="14.25" customHeight="1">
      <c r="B156" s="66" t="str">
        <f>ASTemp!B156</f>
        <v/>
      </c>
      <c r="C156" s="67" t="str">
        <f>ASTemp!C156</f>
        <v/>
      </c>
      <c r="D156" s="68" t="str">
        <f>ASTemp!D156</f>
        <v/>
      </c>
      <c r="E156" s="65" t="str">
        <f>ASTemp!E156</f>
        <v/>
      </c>
      <c r="F156" s="69" t="str">
        <f>TEXT(ASTemp!F156,Decimals)</f>
        <v/>
      </c>
      <c r="G156" s="69" t="str">
        <f>TEXT(ASTemp!G156,Decimals)</f>
        <v/>
      </c>
      <c r="H156" s="69" t="str">
        <f>TEXT(ASTemp!H156,Decimals)</f>
        <v/>
      </c>
      <c r="I156" s="69" t="str">
        <f>TEXT(ASTemp!I156,Decimals)</f>
        <v/>
      </c>
      <c r="J156" s="69" t="str">
        <f>TEXT(ASTemp!J156,Decimals)</f>
        <v/>
      </c>
      <c r="K156" s="69" t="str">
        <f>TEXT(ASTemp!K156,Decimals)</f>
        <v/>
      </c>
      <c r="L156" s="69" t="str">
        <f>TEXT(ASTemp!L156,Decimals)</f>
        <v/>
      </c>
      <c r="M156" s="71" t="str">
        <f>TEXT(ASTemp!M156,Percentages)</f>
        <v/>
      </c>
      <c r="N156" s="72" t="str">
        <f>TEXT(ASTemp!N156,Percentages)</f>
        <v/>
      </c>
    </row>
    <row r="157" ht="14.25" customHeight="1">
      <c r="B157" s="66" t="str">
        <f>ASTemp!B157</f>
        <v/>
      </c>
      <c r="C157" s="67" t="str">
        <f>ASTemp!C157</f>
        <v/>
      </c>
      <c r="D157" s="68" t="str">
        <f>ASTemp!D157</f>
        <v/>
      </c>
      <c r="E157" s="65" t="str">
        <f>ASTemp!E157</f>
        <v/>
      </c>
      <c r="F157" s="69" t="str">
        <f>TEXT(ASTemp!F157,Decimals)</f>
        <v/>
      </c>
      <c r="G157" s="69" t="str">
        <f>TEXT(ASTemp!G157,Decimals)</f>
        <v/>
      </c>
      <c r="H157" s="69" t="str">
        <f>TEXT(ASTemp!H157,Decimals)</f>
        <v/>
      </c>
      <c r="I157" s="69" t="str">
        <f>TEXT(ASTemp!I157,Decimals)</f>
        <v/>
      </c>
      <c r="J157" s="69" t="str">
        <f>TEXT(ASTemp!J157,Decimals)</f>
        <v/>
      </c>
      <c r="K157" s="69" t="str">
        <f>TEXT(ASTemp!K157,Decimals)</f>
        <v/>
      </c>
      <c r="L157" s="69" t="str">
        <f>TEXT(ASTemp!L157,Decimals)</f>
        <v/>
      </c>
      <c r="M157" s="71" t="str">
        <f>TEXT(ASTemp!M157,Percentages)</f>
        <v/>
      </c>
      <c r="N157" s="72" t="str">
        <f>TEXT(ASTemp!N157,Percentages)</f>
        <v/>
      </c>
    </row>
    <row r="158" ht="14.25" customHeight="1">
      <c r="B158" s="66" t="str">
        <f>ASTemp!B158</f>
        <v/>
      </c>
      <c r="C158" s="67" t="str">
        <f>ASTemp!C158</f>
        <v/>
      </c>
      <c r="D158" s="68" t="str">
        <f>ASTemp!D158</f>
        <v/>
      </c>
      <c r="E158" s="65" t="str">
        <f>ASTemp!E158</f>
        <v/>
      </c>
      <c r="F158" s="69" t="str">
        <f>TEXT(ASTemp!F158,Decimals)</f>
        <v/>
      </c>
      <c r="G158" s="69" t="str">
        <f>TEXT(ASTemp!G158,Decimals)</f>
        <v/>
      </c>
      <c r="H158" s="69" t="str">
        <f>TEXT(ASTemp!H158,Decimals)</f>
        <v/>
      </c>
      <c r="I158" s="69" t="str">
        <f>TEXT(ASTemp!I158,Decimals)</f>
        <v/>
      </c>
      <c r="J158" s="69" t="str">
        <f>TEXT(ASTemp!J158,Decimals)</f>
        <v/>
      </c>
      <c r="K158" s="69" t="str">
        <f>TEXT(ASTemp!K158,Decimals)</f>
        <v/>
      </c>
      <c r="L158" s="69" t="str">
        <f>TEXT(ASTemp!L158,Decimals)</f>
        <v/>
      </c>
      <c r="M158" s="71" t="str">
        <f>TEXT(ASTemp!M158,Percentages)</f>
        <v/>
      </c>
      <c r="N158" s="72" t="str">
        <f>TEXT(ASTemp!N158,Percentages)</f>
        <v/>
      </c>
    </row>
    <row r="159" ht="14.25" customHeight="1">
      <c r="B159" s="66" t="str">
        <f>ASTemp!B159</f>
        <v/>
      </c>
      <c r="C159" s="67" t="str">
        <f>ASTemp!C159</f>
        <v/>
      </c>
      <c r="D159" s="68" t="str">
        <f>ASTemp!D159</f>
        <v/>
      </c>
      <c r="E159" s="65" t="str">
        <f>ASTemp!E159</f>
        <v/>
      </c>
      <c r="F159" s="69" t="str">
        <f>TEXT(ASTemp!F159,Decimals)</f>
        <v/>
      </c>
      <c r="G159" s="69" t="str">
        <f>TEXT(ASTemp!G159,Decimals)</f>
        <v/>
      </c>
      <c r="H159" s="69" t="str">
        <f>TEXT(ASTemp!H159,Decimals)</f>
        <v/>
      </c>
      <c r="I159" s="69" t="str">
        <f>TEXT(ASTemp!I159,Decimals)</f>
        <v/>
      </c>
      <c r="J159" s="69" t="str">
        <f>TEXT(ASTemp!J159,Decimals)</f>
        <v/>
      </c>
      <c r="K159" s="69" t="str">
        <f>TEXT(ASTemp!K159,Decimals)</f>
        <v/>
      </c>
      <c r="L159" s="69" t="str">
        <f>TEXT(ASTemp!L159,Decimals)</f>
        <v/>
      </c>
      <c r="M159" s="71" t="str">
        <f>TEXT(ASTemp!M159,Percentages)</f>
        <v/>
      </c>
      <c r="N159" s="72" t="str">
        <f>TEXT(ASTemp!N159,Percentages)</f>
        <v/>
      </c>
    </row>
    <row r="160" ht="14.25" customHeight="1">
      <c r="B160" s="66" t="str">
        <f>ASTemp!B160</f>
        <v/>
      </c>
      <c r="C160" s="67" t="str">
        <f>ASTemp!C160</f>
        <v/>
      </c>
      <c r="D160" s="68" t="str">
        <f>ASTemp!D160</f>
        <v/>
      </c>
      <c r="E160" s="65" t="str">
        <f>ASTemp!E160</f>
        <v/>
      </c>
      <c r="F160" s="69" t="str">
        <f>TEXT(ASTemp!F160,Decimals)</f>
        <v/>
      </c>
      <c r="G160" s="69" t="str">
        <f>TEXT(ASTemp!G160,Decimals)</f>
        <v/>
      </c>
      <c r="H160" s="69" t="str">
        <f>TEXT(ASTemp!H160,Decimals)</f>
        <v/>
      </c>
      <c r="I160" s="69" t="str">
        <f>TEXT(ASTemp!I160,Decimals)</f>
        <v/>
      </c>
      <c r="J160" s="69" t="str">
        <f>TEXT(ASTemp!J160,Decimals)</f>
        <v/>
      </c>
      <c r="K160" s="69" t="str">
        <f>TEXT(ASTemp!K160,Decimals)</f>
        <v/>
      </c>
      <c r="L160" s="69" t="str">
        <f>TEXT(ASTemp!L160,Decimals)</f>
        <v/>
      </c>
      <c r="M160" s="71" t="str">
        <f>TEXT(ASTemp!M160,Percentages)</f>
        <v/>
      </c>
      <c r="N160" s="72" t="str">
        <f>TEXT(ASTemp!N160,Percentages)</f>
        <v/>
      </c>
    </row>
    <row r="161" ht="14.25" customHeight="1">
      <c r="B161" s="66" t="str">
        <f>ASTemp!B161</f>
        <v/>
      </c>
      <c r="C161" s="67" t="str">
        <f>ASTemp!C161</f>
        <v/>
      </c>
      <c r="D161" s="68" t="str">
        <f>ASTemp!D161</f>
        <v/>
      </c>
      <c r="E161" s="65" t="str">
        <f>ASTemp!E161</f>
        <v/>
      </c>
      <c r="F161" s="69" t="str">
        <f>TEXT(ASTemp!F161,Decimals)</f>
        <v/>
      </c>
      <c r="G161" s="69" t="str">
        <f>TEXT(ASTemp!G161,Decimals)</f>
        <v/>
      </c>
      <c r="H161" s="69" t="str">
        <f>TEXT(ASTemp!H161,Decimals)</f>
        <v/>
      </c>
      <c r="I161" s="69" t="str">
        <f>TEXT(ASTemp!I161,Decimals)</f>
        <v/>
      </c>
      <c r="J161" s="69" t="str">
        <f>TEXT(ASTemp!J161,Decimals)</f>
        <v/>
      </c>
      <c r="K161" s="69" t="str">
        <f>TEXT(ASTemp!K161,Decimals)</f>
        <v/>
      </c>
      <c r="L161" s="69" t="str">
        <f>TEXT(ASTemp!L161,Decimals)</f>
        <v/>
      </c>
      <c r="M161" s="71" t="str">
        <f>TEXT(ASTemp!M161,Percentages)</f>
        <v/>
      </c>
      <c r="N161" s="72" t="str">
        <f>TEXT(ASTemp!N161,Percentages)</f>
        <v/>
      </c>
    </row>
    <row r="162" ht="14.25" customHeight="1">
      <c r="B162" s="66" t="str">
        <f>ASTemp!B162</f>
        <v/>
      </c>
      <c r="C162" s="67" t="str">
        <f>ASTemp!C162</f>
        <v/>
      </c>
      <c r="D162" s="68" t="str">
        <f>ASTemp!D162</f>
        <v/>
      </c>
      <c r="E162" s="65" t="str">
        <f>ASTemp!E162</f>
        <v/>
      </c>
      <c r="F162" s="69" t="str">
        <f>TEXT(ASTemp!F162,Decimals)</f>
        <v/>
      </c>
      <c r="G162" s="69" t="str">
        <f>TEXT(ASTemp!G162,Decimals)</f>
        <v/>
      </c>
      <c r="H162" s="69" t="str">
        <f>TEXT(ASTemp!H162,Decimals)</f>
        <v/>
      </c>
      <c r="I162" s="69" t="str">
        <f>TEXT(ASTemp!I162,Decimals)</f>
        <v/>
      </c>
      <c r="J162" s="69" t="str">
        <f>TEXT(ASTemp!J162,Decimals)</f>
        <v/>
      </c>
      <c r="K162" s="69" t="str">
        <f>TEXT(ASTemp!K162,Decimals)</f>
        <v/>
      </c>
      <c r="L162" s="69" t="str">
        <f>TEXT(ASTemp!L162,Decimals)</f>
        <v/>
      </c>
      <c r="M162" s="71" t="str">
        <f>TEXT(ASTemp!M162,Percentages)</f>
        <v/>
      </c>
      <c r="N162" s="72" t="str">
        <f>TEXT(ASTemp!N162,Percentages)</f>
        <v/>
      </c>
    </row>
    <row r="163" ht="14.25" customHeight="1">
      <c r="B163" s="66" t="str">
        <f>ASTemp!B163</f>
        <v/>
      </c>
      <c r="C163" s="67" t="str">
        <f>ASTemp!C163</f>
        <v/>
      </c>
      <c r="D163" s="68" t="str">
        <f>ASTemp!D163</f>
        <v/>
      </c>
      <c r="E163" s="65" t="str">
        <f>ASTemp!E163</f>
        <v/>
      </c>
      <c r="F163" s="69" t="str">
        <f>TEXT(ASTemp!F163,Decimals)</f>
        <v/>
      </c>
      <c r="G163" s="69" t="str">
        <f>TEXT(ASTemp!G163,Decimals)</f>
        <v/>
      </c>
      <c r="H163" s="69" t="str">
        <f>TEXT(ASTemp!H163,Decimals)</f>
        <v/>
      </c>
      <c r="I163" s="69" t="str">
        <f>TEXT(ASTemp!I163,Decimals)</f>
        <v/>
      </c>
      <c r="J163" s="69" t="str">
        <f>TEXT(ASTemp!J163,Decimals)</f>
        <v/>
      </c>
      <c r="K163" s="69" t="str">
        <f>TEXT(ASTemp!K163,Decimals)</f>
        <v/>
      </c>
      <c r="L163" s="69" t="str">
        <f>TEXT(ASTemp!L163,Decimals)</f>
        <v/>
      </c>
      <c r="M163" s="71" t="str">
        <f>TEXT(ASTemp!M163,Percentages)</f>
        <v/>
      </c>
      <c r="N163" s="72" t="str">
        <f>TEXT(ASTemp!N163,Percentages)</f>
        <v/>
      </c>
    </row>
    <row r="164" ht="14.25" customHeight="1">
      <c r="B164" s="66" t="str">
        <f>ASTemp!B164</f>
        <v/>
      </c>
      <c r="C164" s="67" t="str">
        <f>ASTemp!C164</f>
        <v/>
      </c>
      <c r="D164" s="68" t="str">
        <f>ASTemp!D164</f>
        <v/>
      </c>
      <c r="E164" s="65" t="str">
        <f>ASTemp!E164</f>
        <v/>
      </c>
      <c r="F164" s="69" t="str">
        <f>TEXT(ASTemp!F164,Decimals)</f>
        <v/>
      </c>
      <c r="G164" s="69" t="str">
        <f>TEXT(ASTemp!G164,Decimals)</f>
        <v/>
      </c>
      <c r="H164" s="69" t="str">
        <f>TEXT(ASTemp!H164,Decimals)</f>
        <v/>
      </c>
      <c r="I164" s="69" t="str">
        <f>TEXT(ASTemp!I164,Decimals)</f>
        <v/>
      </c>
      <c r="J164" s="69" t="str">
        <f>TEXT(ASTemp!J164,Decimals)</f>
        <v/>
      </c>
      <c r="K164" s="69" t="str">
        <f>TEXT(ASTemp!K164,Decimals)</f>
        <v/>
      </c>
      <c r="L164" s="69" t="str">
        <f>TEXT(ASTemp!L164,Decimals)</f>
        <v/>
      </c>
      <c r="M164" s="71" t="str">
        <f>TEXT(ASTemp!M164,Percentages)</f>
        <v/>
      </c>
      <c r="N164" s="72" t="str">
        <f>TEXT(ASTemp!N164,Percentages)</f>
        <v/>
      </c>
    </row>
    <row r="165" ht="14.25" customHeight="1">
      <c r="B165" s="66" t="str">
        <f>ASTemp!B165</f>
        <v/>
      </c>
      <c r="C165" s="67" t="str">
        <f>ASTemp!C165</f>
        <v/>
      </c>
      <c r="D165" s="68" t="str">
        <f>ASTemp!D165</f>
        <v/>
      </c>
      <c r="E165" s="65" t="str">
        <f>ASTemp!E165</f>
        <v/>
      </c>
      <c r="F165" s="69" t="str">
        <f>TEXT(ASTemp!F165,Decimals)</f>
        <v/>
      </c>
      <c r="G165" s="69" t="str">
        <f>TEXT(ASTemp!G165,Decimals)</f>
        <v/>
      </c>
      <c r="H165" s="69" t="str">
        <f>TEXT(ASTemp!H165,Decimals)</f>
        <v/>
      </c>
      <c r="I165" s="69" t="str">
        <f>TEXT(ASTemp!I165,Decimals)</f>
        <v/>
      </c>
      <c r="J165" s="69" t="str">
        <f>TEXT(ASTemp!J165,Decimals)</f>
        <v/>
      </c>
      <c r="K165" s="69" t="str">
        <f>TEXT(ASTemp!K165,Decimals)</f>
        <v/>
      </c>
      <c r="L165" s="69" t="str">
        <f>TEXT(ASTemp!L165,Decimals)</f>
        <v/>
      </c>
      <c r="M165" s="71" t="str">
        <f>TEXT(ASTemp!M165,Percentages)</f>
        <v/>
      </c>
      <c r="N165" s="72" t="str">
        <f>TEXT(ASTemp!N165,Percentages)</f>
        <v/>
      </c>
    </row>
    <row r="166" ht="14.25" customHeight="1">
      <c r="B166" s="66" t="str">
        <f>ASTemp!B166</f>
        <v/>
      </c>
      <c r="C166" s="67" t="str">
        <f>ASTemp!C166</f>
        <v/>
      </c>
      <c r="D166" s="68" t="str">
        <f>ASTemp!D166</f>
        <v/>
      </c>
      <c r="E166" s="65" t="str">
        <f>ASTemp!E166</f>
        <v/>
      </c>
      <c r="F166" s="69" t="str">
        <f>TEXT(ASTemp!F166,Decimals)</f>
        <v/>
      </c>
      <c r="G166" s="69" t="str">
        <f>TEXT(ASTemp!G166,Decimals)</f>
        <v/>
      </c>
      <c r="H166" s="69" t="str">
        <f>TEXT(ASTemp!H166,Decimals)</f>
        <v/>
      </c>
      <c r="I166" s="69" t="str">
        <f>TEXT(ASTemp!I166,Decimals)</f>
        <v/>
      </c>
      <c r="J166" s="69" t="str">
        <f>TEXT(ASTemp!J166,Decimals)</f>
        <v/>
      </c>
      <c r="K166" s="69" t="str">
        <f>TEXT(ASTemp!K166,Decimals)</f>
        <v/>
      </c>
      <c r="L166" s="69" t="str">
        <f>TEXT(ASTemp!L166,Decimals)</f>
        <v/>
      </c>
      <c r="M166" s="71" t="str">
        <f>TEXT(ASTemp!M166,Percentages)</f>
        <v/>
      </c>
      <c r="N166" s="72" t="str">
        <f>TEXT(ASTemp!N166,Percentages)</f>
        <v/>
      </c>
    </row>
    <row r="167" ht="14.25" customHeight="1">
      <c r="B167" s="66" t="str">
        <f>ASTemp!B167</f>
        <v/>
      </c>
      <c r="C167" s="67" t="str">
        <f>ASTemp!C167</f>
        <v/>
      </c>
      <c r="D167" s="68" t="str">
        <f>ASTemp!D167</f>
        <v/>
      </c>
      <c r="E167" s="65" t="str">
        <f>ASTemp!E167</f>
        <v/>
      </c>
      <c r="F167" s="69" t="str">
        <f>TEXT(ASTemp!F167,Decimals)</f>
        <v/>
      </c>
      <c r="G167" s="69" t="str">
        <f>TEXT(ASTemp!G167,Decimals)</f>
        <v/>
      </c>
      <c r="H167" s="69" t="str">
        <f>TEXT(ASTemp!H167,Decimals)</f>
        <v/>
      </c>
      <c r="I167" s="69" t="str">
        <f>TEXT(ASTemp!I167,Decimals)</f>
        <v/>
      </c>
      <c r="J167" s="69" t="str">
        <f>TEXT(ASTemp!J167,Decimals)</f>
        <v/>
      </c>
      <c r="K167" s="69" t="str">
        <f>TEXT(ASTemp!K167,Decimals)</f>
        <v/>
      </c>
      <c r="L167" s="69" t="str">
        <f>TEXT(ASTemp!L167,Decimals)</f>
        <v/>
      </c>
      <c r="M167" s="71" t="str">
        <f>TEXT(ASTemp!M167,Percentages)</f>
        <v/>
      </c>
      <c r="N167" s="72" t="str">
        <f>TEXT(ASTemp!N167,Percentages)</f>
        <v/>
      </c>
    </row>
    <row r="168" ht="14.25" customHeight="1">
      <c r="B168" s="66" t="str">
        <f>ASTemp!B168</f>
        <v/>
      </c>
      <c r="C168" s="67" t="str">
        <f>ASTemp!C168</f>
        <v/>
      </c>
      <c r="D168" s="68" t="str">
        <f>ASTemp!D168</f>
        <v/>
      </c>
      <c r="E168" s="65" t="str">
        <f>ASTemp!E168</f>
        <v/>
      </c>
      <c r="F168" s="69" t="str">
        <f>TEXT(ASTemp!F168,Decimals)</f>
        <v/>
      </c>
      <c r="G168" s="69" t="str">
        <f>TEXT(ASTemp!G168,Decimals)</f>
        <v/>
      </c>
      <c r="H168" s="69" t="str">
        <f>TEXT(ASTemp!H168,Decimals)</f>
        <v/>
      </c>
      <c r="I168" s="69" t="str">
        <f>TEXT(ASTemp!I168,Decimals)</f>
        <v/>
      </c>
      <c r="J168" s="69" t="str">
        <f>TEXT(ASTemp!J168,Decimals)</f>
        <v/>
      </c>
      <c r="K168" s="69" t="str">
        <f>TEXT(ASTemp!K168,Decimals)</f>
        <v/>
      </c>
      <c r="L168" s="69" t="str">
        <f>TEXT(ASTemp!L168,Decimals)</f>
        <v/>
      </c>
      <c r="M168" s="71" t="str">
        <f>TEXT(ASTemp!M168,Percentages)</f>
        <v/>
      </c>
      <c r="N168" s="72" t="str">
        <f>TEXT(ASTemp!N168,Percentages)</f>
        <v/>
      </c>
    </row>
    <row r="169" ht="14.25" customHeight="1">
      <c r="B169" s="66" t="str">
        <f>ASTemp!B169</f>
        <v/>
      </c>
      <c r="C169" s="67" t="str">
        <f>ASTemp!C169</f>
        <v/>
      </c>
      <c r="D169" s="68" t="str">
        <f>ASTemp!D169</f>
        <v/>
      </c>
      <c r="E169" s="65" t="str">
        <f>ASTemp!E169</f>
        <v/>
      </c>
      <c r="F169" s="69" t="str">
        <f>TEXT(ASTemp!F169,Decimals)</f>
        <v/>
      </c>
      <c r="G169" s="69" t="str">
        <f>TEXT(ASTemp!G169,Decimals)</f>
        <v/>
      </c>
      <c r="H169" s="69" t="str">
        <f>TEXT(ASTemp!H169,Decimals)</f>
        <v/>
      </c>
      <c r="I169" s="69" t="str">
        <f>TEXT(ASTemp!I169,Decimals)</f>
        <v/>
      </c>
      <c r="J169" s="69" t="str">
        <f>TEXT(ASTemp!J169,Decimals)</f>
        <v/>
      </c>
      <c r="K169" s="69" t="str">
        <f>TEXT(ASTemp!K169,Decimals)</f>
        <v/>
      </c>
      <c r="L169" s="69" t="str">
        <f>TEXT(ASTemp!L169,Decimals)</f>
        <v/>
      </c>
      <c r="M169" s="71" t="str">
        <f>TEXT(ASTemp!M169,Percentages)</f>
        <v/>
      </c>
      <c r="N169" s="72" t="str">
        <f>TEXT(ASTemp!N169,Percentages)</f>
        <v/>
      </c>
    </row>
    <row r="170" ht="14.25" customHeight="1">
      <c r="B170" s="66" t="str">
        <f>ASTemp!B170</f>
        <v/>
      </c>
      <c r="C170" s="67" t="str">
        <f>ASTemp!C170</f>
        <v/>
      </c>
      <c r="D170" s="68" t="str">
        <f>ASTemp!D170</f>
        <v/>
      </c>
      <c r="E170" s="65" t="str">
        <f>ASTemp!E170</f>
        <v/>
      </c>
      <c r="F170" s="69" t="str">
        <f>TEXT(ASTemp!F170,Decimals)</f>
        <v/>
      </c>
      <c r="G170" s="69" t="str">
        <f>TEXT(ASTemp!G170,Decimals)</f>
        <v/>
      </c>
      <c r="H170" s="69" t="str">
        <f>TEXT(ASTemp!H170,Decimals)</f>
        <v/>
      </c>
      <c r="I170" s="69" t="str">
        <f>TEXT(ASTemp!I170,Decimals)</f>
        <v/>
      </c>
      <c r="J170" s="69" t="str">
        <f>TEXT(ASTemp!J170,Decimals)</f>
        <v/>
      </c>
      <c r="K170" s="69" t="str">
        <f>TEXT(ASTemp!K170,Decimals)</f>
        <v/>
      </c>
      <c r="L170" s="69" t="str">
        <f>TEXT(ASTemp!L170,Decimals)</f>
        <v/>
      </c>
      <c r="M170" s="71" t="str">
        <f>TEXT(ASTemp!M170,Percentages)</f>
        <v/>
      </c>
      <c r="N170" s="72" t="str">
        <f>TEXT(ASTemp!N170,Percentages)</f>
        <v/>
      </c>
    </row>
    <row r="171" ht="14.25" customHeight="1">
      <c r="B171" s="66" t="str">
        <f>ASTemp!B171</f>
        <v/>
      </c>
      <c r="C171" s="67" t="str">
        <f>ASTemp!C171</f>
        <v/>
      </c>
      <c r="D171" s="68" t="str">
        <f>ASTemp!D171</f>
        <v/>
      </c>
      <c r="E171" s="65" t="str">
        <f>ASTemp!E171</f>
        <v/>
      </c>
      <c r="F171" s="69" t="str">
        <f>TEXT(ASTemp!F171,Decimals)</f>
        <v/>
      </c>
      <c r="G171" s="69" t="str">
        <f>TEXT(ASTemp!G171,Decimals)</f>
        <v/>
      </c>
      <c r="H171" s="69" t="str">
        <f>TEXT(ASTemp!H171,Decimals)</f>
        <v/>
      </c>
      <c r="I171" s="69" t="str">
        <f>TEXT(ASTemp!I171,Decimals)</f>
        <v/>
      </c>
      <c r="J171" s="69" t="str">
        <f>TEXT(ASTemp!J171,Decimals)</f>
        <v/>
      </c>
      <c r="K171" s="69" t="str">
        <f>TEXT(ASTemp!K171,Decimals)</f>
        <v/>
      </c>
      <c r="L171" s="69" t="str">
        <f>TEXT(ASTemp!L171,Decimals)</f>
        <v/>
      </c>
      <c r="M171" s="71" t="str">
        <f>TEXT(ASTemp!M171,Percentages)</f>
        <v/>
      </c>
      <c r="N171" s="72" t="str">
        <f>TEXT(ASTemp!N171,Percentages)</f>
        <v/>
      </c>
    </row>
    <row r="172" ht="14.25" customHeight="1">
      <c r="B172" s="66" t="str">
        <f>ASTemp!B172</f>
        <v/>
      </c>
      <c r="C172" s="67" t="str">
        <f>ASTemp!C172</f>
        <v/>
      </c>
      <c r="D172" s="68" t="str">
        <f>ASTemp!D172</f>
        <v/>
      </c>
      <c r="E172" s="65" t="str">
        <f>ASTemp!E172</f>
        <v/>
      </c>
      <c r="F172" s="69" t="str">
        <f>TEXT(ASTemp!F172,Decimals)</f>
        <v/>
      </c>
      <c r="G172" s="69" t="str">
        <f>TEXT(ASTemp!G172,Decimals)</f>
        <v/>
      </c>
      <c r="H172" s="69" t="str">
        <f>TEXT(ASTemp!H172,Decimals)</f>
        <v/>
      </c>
      <c r="I172" s="69" t="str">
        <f>TEXT(ASTemp!I172,Decimals)</f>
        <v/>
      </c>
      <c r="J172" s="69" t="str">
        <f>TEXT(ASTemp!J172,Decimals)</f>
        <v/>
      </c>
      <c r="K172" s="69" t="str">
        <f>TEXT(ASTemp!K172,Decimals)</f>
        <v/>
      </c>
      <c r="L172" s="69" t="str">
        <f>TEXT(ASTemp!L172,Decimals)</f>
        <v/>
      </c>
      <c r="M172" s="71" t="str">
        <f>TEXT(ASTemp!M172,Percentages)</f>
        <v/>
      </c>
      <c r="N172" s="72" t="str">
        <f>TEXT(ASTemp!N172,Percentages)</f>
        <v/>
      </c>
    </row>
    <row r="173" ht="14.25" customHeight="1">
      <c r="B173" s="66" t="str">
        <f>ASTemp!B173</f>
        <v/>
      </c>
      <c r="C173" s="67" t="str">
        <f>ASTemp!C173</f>
        <v/>
      </c>
      <c r="D173" s="68" t="str">
        <f>ASTemp!D173</f>
        <v/>
      </c>
      <c r="E173" s="65" t="str">
        <f>ASTemp!E173</f>
        <v/>
      </c>
      <c r="F173" s="69" t="str">
        <f>TEXT(ASTemp!F173,Decimals)</f>
        <v/>
      </c>
      <c r="G173" s="69" t="str">
        <f>TEXT(ASTemp!G173,Decimals)</f>
        <v/>
      </c>
      <c r="H173" s="69" t="str">
        <f>TEXT(ASTemp!H173,Decimals)</f>
        <v/>
      </c>
      <c r="I173" s="69" t="str">
        <f>TEXT(ASTemp!I173,Decimals)</f>
        <v/>
      </c>
      <c r="J173" s="69" t="str">
        <f>TEXT(ASTemp!J173,Decimals)</f>
        <v/>
      </c>
      <c r="K173" s="69" t="str">
        <f>TEXT(ASTemp!K173,Decimals)</f>
        <v/>
      </c>
      <c r="L173" s="69" t="str">
        <f>TEXT(ASTemp!L173,Decimals)</f>
        <v/>
      </c>
      <c r="M173" s="71" t="str">
        <f>TEXT(ASTemp!M173,Percentages)</f>
        <v/>
      </c>
      <c r="N173" s="72" t="str">
        <f>TEXT(ASTemp!N173,Percentages)</f>
        <v/>
      </c>
    </row>
    <row r="174" ht="14.25" customHeight="1">
      <c r="B174" s="66" t="str">
        <f>ASTemp!B174</f>
        <v/>
      </c>
      <c r="C174" s="67" t="str">
        <f>ASTemp!C174</f>
        <v/>
      </c>
      <c r="D174" s="68" t="str">
        <f>ASTemp!D174</f>
        <v/>
      </c>
      <c r="E174" s="65" t="str">
        <f>ASTemp!E174</f>
        <v/>
      </c>
      <c r="F174" s="69" t="str">
        <f>TEXT(ASTemp!F174,Decimals)</f>
        <v/>
      </c>
      <c r="G174" s="69" t="str">
        <f>TEXT(ASTemp!G174,Decimals)</f>
        <v/>
      </c>
      <c r="H174" s="69" t="str">
        <f>TEXT(ASTemp!H174,Decimals)</f>
        <v/>
      </c>
      <c r="I174" s="69" t="str">
        <f>TEXT(ASTemp!I174,Decimals)</f>
        <v/>
      </c>
      <c r="J174" s="69" t="str">
        <f>TEXT(ASTemp!J174,Decimals)</f>
        <v/>
      </c>
      <c r="K174" s="69" t="str">
        <f>TEXT(ASTemp!K174,Decimals)</f>
        <v/>
      </c>
      <c r="L174" s="69" t="str">
        <f>TEXT(ASTemp!L174,Decimals)</f>
        <v/>
      </c>
      <c r="M174" s="71" t="str">
        <f>TEXT(ASTemp!M174,Percentages)</f>
        <v/>
      </c>
      <c r="N174" s="72" t="str">
        <f>TEXT(ASTemp!N174,Percentages)</f>
        <v/>
      </c>
    </row>
    <row r="175" ht="14.25" customHeight="1">
      <c r="B175" s="66" t="str">
        <f>ASTemp!B175</f>
        <v/>
      </c>
      <c r="C175" s="67" t="str">
        <f>ASTemp!C175</f>
        <v/>
      </c>
      <c r="D175" s="68" t="str">
        <f>ASTemp!D175</f>
        <v/>
      </c>
      <c r="E175" s="65" t="str">
        <f>ASTemp!E175</f>
        <v/>
      </c>
      <c r="F175" s="69" t="str">
        <f>TEXT(ASTemp!F175,Decimals)</f>
        <v/>
      </c>
      <c r="G175" s="69" t="str">
        <f>TEXT(ASTemp!G175,Decimals)</f>
        <v/>
      </c>
      <c r="H175" s="69" t="str">
        <f>TEXT(ASTemp!H175,Decimals)</f>
        <v/>
      </c>
      <c r="I175" s="69" t="str">
        <f>TEXT(ASTemp!I175,Decimals)</f>
        <v/>
      </c>
      <c r="J175" s="69" t="str">
        <f>TEXT(ASTemp!J175,Decimals)</f>
        <v/>
      </c>
      <c r="K175" s="69" t="str">
        <f>TEXT(ASTemp!K175,Decimals)</f>
        <v/>
      </c>
      <c r="L175" s="69" t="str">
        <f>TEXT(ASTemp!L175,Decimals)</f>
        <v/>
      </c>
      <c r="M175" s="71" t="str">
        <f>TEXT(ASTemp!M175,Percentages)</f>
        <v/>
      </c>
      <c r="N175" s="72" t="str">
        <f>TEXT(ASTemp!N175,Percentages)</f>
        <v/>
      </c>
    </row>
    <row r="176" ht="14.25" customHeight="1">
      <c r="B176" s="66" t="str">
        <f>ASTemp!B176</f>
        <v/>
      </c>
      <c r="C176" s="67" t="str">
        <f>ASTemp!C176</f>
        <v/>
      </c>
      <c r="D176" s="68" t="str">
        <f>ASTemp!D176</f>
        <v/>
      </c>
      <c r="E176" s="65" t="str">
        <f>ASTemp!E176</f>
        <v/>
      </c>
      <c r="F176" s="69" t="str">
        <f>TEXT(ASTemp!F176,Decimals)</f>
        <v/>
      </c>
      <c r="G176" s="69" t="str">
        <f>TEXT(ASTemp!G176,Decimals)</f>
        <v/>
      </c>
      <c r="H176" s="69" t="str">
        <f>TEXT(ASTemp!H176,Decimals)</f>
        <v/>
      </c>
      <c r="I176" s="69" t="str">
        <f>TEXT(ASTemp!I176,Decimals)</f>
        <v/>
      </c>
      <c r="J176" s="69" t="str">
        <f>TEXT(ASTemp!J176,Decimals)</f>
        <v/>
      </c>
      <c r="K176" s="69" t="str">
        <f>TEXT(ASTemp!K176,Decimals)</f>
        <v/>
      </c>
      <c r="L176" s="69" t="str">
        <f>TEXT(ASTemp!L176,Decimals)</f>
        <v/>
      </c>
      <c r="M176" s="71" t="str">
        <f>TEXT(ASTemp!M176,Percentages)</f>
        <v/>
      </c>
      <c r="N176" s="72" t="str">
        <f>TEXT(ASTemp!N176,Percentages)</f>
        <v/>
      </c>
    </row>
    <row r="177" ht="14.25" customHeight="1">
      <c r="B177" s="66" t="str">
        <f>ASTemp!B177</f>
        <v/>
      </c>
      <c r="C177" s="67" t="str">
        <f>ASTemp!C177</f>
        <v/>
      </c>
      <c r="D177" s="68" t="str">
        <f>ASTemp!D177</f>
        <v/>
      </c>
      <c r="E177" s="65" t="str">
        <f>ASTemp!E177</f>
        <v/>
      </c>
      <c r="F177" s="69" t="str">
        <f>TEXT(ASTemp!F177,Decimals)</f>
        <v/>
      </c>
      <c r="G177" s="69" t="str">
        <f>TEXT(ASTemp!G177,Decimals)</f>
        <v/>
      </c>
      <c r="H177" s="69" t="str">
        <f>TEXT(ASTemp!H177,Decimals)</f>
        <v/>
      </c>
      <c r="I177" s="69" t="str">
        <f>TEXT(ASTemp!I177,Decimals)</f>
        <v/>
      </c>
      <c r="J177" s="69" t="str">
        <f>TEXT(ASTemp!J177,Decimals)</f>
        <v/>
      </c>
      <c r="K177" s="69" t="str">
        <f>TEXT(ASTemp!K177,Decimals)</f>
        <v/>
      </c>
      <c r="L177" s="69" t="str">
        <f>TEXT(ASTemp!L177,Decimals)</f>
        <v/>
      </c>
      <c r="M177" s="71" t="str">
        <f>TEXT(ASTemp!M177,Percentages)</f>
        <v/>
      </c>
      <c r="N177" s="72" t="str">
        <f>TEXT(ASTemp!N177,Percentages)</f>
        <v/>
      </c>
    </row>
    <row r="178" ht="14.25" customHeight="1">
      <c r="B178" s="66" t="str">
        <f>ASTemp!B178</f>
        <v/>
      </c>
      <c r="C178" s="67" t="str">
        <f>ASTemp!C178</f>
        <v/>
      </c>
      <c r="D178" s="68" t="str">
        <f>ASTemp!D178</f>
        <v/>
      </c>
      <c r="E178" s="65" t="str">
        <f>ASTemp!E178</f>
        <v/>
      </c>
      <c r="F178" s="69" t="str">
        <f>TEXT(ASTemp!F178,Decimals)</f>
        <v/>
      </c>
      <c r="G178" s="69" t="str">
        <f>TEXT(ASTemp!G178,Decimals)</f>
        <v/>
      </c>
      <c r="H178" s="69" t="str">
        <f>TEXT(ASTemp!H178,Decimals)</f>
        <v/>
      </c>
      <c r="I178" s="69" t="str">
        <f>TEXT(ASTemp!I178,Decimals)</f>
        <v/>
      </c>
      <c r="J178" s="69" t="str">
        <f>TEXT(ASTemp!J178,Decimals)</f>
        <v/>
      </c>
      <c r="K178" s="69" t="str">
        <f>TEXT(ASTemp!K178,Decimals)</f>
        <v/>
      </c>
      <c r="L178" s="69" t="str">
        <f>TEXT(ASTemp!L178,Decimals)</f>
        <v/>
      </c>
      <c r="M178" s="71" t="str">
        <f>TEXT(ASTemp!M178,Percentages)</f>
        <v/>
      </c>
      <c r="N178" s="72" t="str">
        <f>TEXT(ASTemp!N178,Percentages)</f>
        <v/>
      </c>
    </row>
    <row r="179" ht="14.25" customHeight="1">
      <c r="B179" s="66" t="str">
        <f>ASTemp!B179</f>
        <v/>
      </c>
      <c r="C179" s="67" t="str">
        <f>ASTemp!C179</f>
        <v/>
      </c>
      <c r="D179" s="68" t="str">
        <f>ASTemp!D179</f>
        <v/>
      </c>
      <c r="E179" s="65" t="str">
        <f>ASTemp!E179</f>
        <v/>
      </c>
      <c r="F179" s="69" t="str">
        <f>TEXT(ASTemp!F179,Decimals)</f>
        <v/>
      </c>
      <c r="G179" s="69" t="str">
        <f>TEXT(ASTemp!G179,Decimals)</f>
        <v/>
      </c>
      <c r="H179" s="69" t="str">
        <f>TEXT(ASTemp!H179,Decimals)</f>
        <v/>
      </c>
      <c r="I179" s="69" t="str">
        <f>TEXT(ASTemp!I179,Decimals)</f>
        <v/>
      </c>
      <c r="J179" s="69" t="str">
        <f>TEXT(ASTemp!J179,Decimals)</f>
        <v/>
      </c>
      <c r="K179" s="69" t="str">
        <f>TEXT(ASTemp!K179,Decimals)</f>
        <v/>
      </c>
      <c r="L179" s="69" t="str">
        <f>TEXT(ASTemp!L179,Decimals)</f>
        <v/>
      </c>
      <c r="M179" s="71" t="str">
        <f>TEXT(ASTemp!M179,Percentages)</f>
        <v/>
      </c>
      <c r="N179" s="72" t="str">
        <f>TEXT(ASTemp!N179,Percentages)</f>
        <v/>
      </c>
    </row>
    <row r="180" ht="14.25" customHeight="1">
      <c r="B180" s="66" t="str">
        <f>ASTemp!B180</f>
        <v/>
      </c>
      <c r="C180" s="67" t="str">
        <f>ASTemp!C180</f>
        <v/>
      </c>
      <c r="D180" s="68" t="str">
        <f>ASTemp!D180</f>
        <v/>
      </c>
      <c r="E180" s="65" t="str">
        <f>ASTemp!E180</f>
        <v/>
      </c>
      <c r="F180" s="69" t="str">
        <f>TEXT(ASTemp!F180,Decimals)</f>
        <v/>
      </c>
      <c r="G180" s="69" t="str">
        <f>TEXT(ASTemp!G180,Decimals)</f>
        <v/>
      </c>
      <c r="H180" s="69" t="str">
        <f>TEXT(ASTemp!H180,Decimals)</f>
        <v/>
      </c>
      <c r="I180" s="69" t="str">
        <f>TEXT(ASTemp!I180,Decimals)</f>
        <v/>
      </c>
      <c r="J180" s="69" t="str">
        <f>TEXT(ASTemp!J180,Decimals)</f>
        <v/>
      </c>
      <c r="K180" s="69" t="str">
        <f>TEXT(ASTemp!K180,Decimals)</f>
        <v/>
      </c>
      <c r="L180" s="69" t="str">
        <f>TEXT(ASTemp!L180,Decimals)</f>
        <v/>
      </c>
      <c r="M180" s="71" t="str">
        <f>TEXT(ASTemp!M180,Percentages)</f>
        <v/>
      </c>
      <c r="N180" s="72" t="str">
        <f>TEXT(ASTemp!N180,Percentages)</f>
        <v/>
      </c>
    </row>
    <row r="181" ht="14.25" customHeight="1">
      <c r="B181" s="66" t="str">
        <f>ASTemp!B181</f>
        <v/>
      </c>
      <c r="C181" s="67" t="str">
        <f>ASTemp!C181</f>
        <v/>
      </c>
      <c r="D181" s="68" t="str">
        <f>ASTemp!D181</f>
        <v/>
      </c>
      <c r="E181" s="65" t="str">
        <f>ASTemp!E181</f>
        <v/>
      </c>
      <c r="F181" s="69" t="str">
        <f>TEXT(ASTemp!F181,Decimals)</f>
        <v/>
      </c>
      <c r="G181" s="69" t="str">
        <f>TEXT(ASTemp!G181,Decimals)</f>
        <v/>
      </c>
      <c r="H181" s="69" t="str">
        <f>TEXT(ASTemp!H181,Decimals)</f>
        <v/>
      </c>
      <c r="I181" s="69" t="str">
        <f>TEXT(ASTemp!I181,Decimals)</f>
        <v/>
      </c>
      <c r="J181" s="69" t="str">
        <f>TEXT(ASTemp!J181,Decimals)</f>
        <v/>
      </c>
      <c r="K181" s="69" t="str">
        <f>TEXT(ASTemp!K181,Decimals)</f>
        <v/>
      </c>
      <c r="L181" s="69" t="str">
        <f>TEXT(ASTemp!L181,Decimals)</f>
        <v/>
      </c>
      <c r="M181" s="71" t="str">
        <f>TEXT(ASTemp!M181,Percentages)</f>
        <v/>
      </c>
      <c r="N181" s="72" t="str">
        <f>TEXT(ASTemp!N181,Percentages)</f>
        <v/>
      </c>
    </row>
    <row r="182" ht="14.25" customHeight="1">
      <c r="B182" s="66" t="str">
        <f>ASTemp!B182</f>
        <v/>
      </c>
      <c r="C182" s="67" t="str">
        <f>ASTemp!C182</f>
        <v/>
      </c>
      <c r="D182" s="68" t="str">
        <f>ASTemp!D182</f>
        <v/>
      </c>
      <c r="E182" s="65" t="str">
        <f>ASTemp!E182</f>
        <v/>
      </c>
      <c r="F182" s="69" t="str">
        <f>TEXT(ASTemp!F182,Decimals)</f>
        <v/>
      </c>
      <c r="G182" s="69" t="str">
        <f>TEXT(ASTemp!G182,Decimals)</f>
        <v/>
      </c>
      <c r="H182" s="69" t="str">
        <f>TEXT(ASTemp!H182,Decimals)</f>
        <v/>
      </c>
      <c r="I182" s="69" t="str">
        <f>TEXT(ASTemp!I182,Decimals)</f>
        <v/>
      </c>
      <c r="J182" s="69" t="str">
        <f>TEXT(ASTemp!J182,Decimals)</f>
        <v/>
      </c>
      <c r="K182" s="69" t="str">
        <f>TEXT(ASTemp!K182,Decimals)</f>
        <v/>
      </c>
      <c r="L182" s="69" t="str">
        <f>TEXT(ASTemp!L182,Decimals)</f>
        <v/>
      </c>
      <c r="M182" s="71" t="str">
        <f>TEXT(ASTemp!M182,Percentages)</f>
        <v/>
      </c>
      <c r="N182" s="72" t="str">
        <f>TEXT(ASTemp!N182,Percentages)</f>
        <v/>
      </c>
    </row>
    <row r="183" ht="14.25" customHeight="1">
      <c r="B183" s="66" t="str">
        <f>ASTemp!B183</f>
        <v/>
      </c>
      <c r="C183" s="67" t="str">
        <f>ASTemp!C183</f>
        <v/>
      </c>
      <c r="D183" s="68" t="str">
        <f>ASTemp!D183</f>
        <v/>
      </c>
      <c r="E183" s="65" t="str">
        <f>ASTemp!E183</f>
        <v/>
      </c>
      <c r="F183" s="69" t="str">
        <f>TEXT(ASTemp!F183,Decimals)</f>
        <v/>
      </c>
      <c r="G183" s="69" t="str">
        <f>TEXT(ASTemp!G183,Decimals)</f>
        <v/>
      </c>
      <c r="H183" s="69" t="str">
        <f>TEXT(ASTemp!H183,Decimals)</f>
        <v/>
      </c>
      <c r="I183" s="69" t="str">
        <f>TEXT(ASTemp!I183,Decimals)</f>
        <v/>
      </c>
      <c r="J183" s="69" t="str">
        <f>TEXT(ASTemp!J183,Decimals)</f>
        <v/>
      </c>
      <c r="K183" s="69" t="str">
        <f>TEXT(ASTemp!K183,Decimals)</f>
        <v/>
      </c>
      <c r="L183" s="69" t="str">
        <f>TEXT(ASTemp!L183,Decimals)</f>
        <v/>
      </c>
      <c r="M183" s="71" t="str">
        <f>TEXT(ASTemp!M183,Percentages)</f>
        <v/>
      </c>
      <c r="N183" s="72" t="str">
        <f>TEXT(ASTemp!N183,Percentages)</f>
        <v/>
      </c>
    </row>
    <row r="184" ht="14.25" customHeight="1">
      <c r="B184" s="66" t="str">
        <f>ASTemp!B184</f>
        <v/>
      </c>
      <c r="C184" s="67" t="str">
        <f>ASTemp!C184</f>
        <v/>
      </c>
      <c r="D184" s="68" t="str">
        <f>ASTemp!D184</f>
        <v/>
      </c>
      <c r="E184" s="65" t="str">
        <f>ASTemp!E184</f>
        <v/>
      </c>
      <c r="F184" s="69" t="str">
        <f>TEXT(ASTemp!F184,Decimals)</f>
        <v/>
      </c>
      <c r="G184" s="69" t="str">
        <f>TEXT(ASTemp!G184,Decimals)</f>
        <v/>
      </c>
      <c r="H184" s="69" t="str">
        <f>TEXT(ASTemp!H184,Decimals)</f>
        <v/>
      </c>
      <c r="I184" s="69" t="str">
        <f>TEXT(ASTemp!I184,Decimals)</f>
        <v/>
      </c>
      <c r="J184" s="69" t="str">
        <f>TEXT(ASTemp!J184,Decimals)</f>
        <v/>
      </c>
      <c r="K184" s="69" t="str">
        <f>TEXT(ASTemp!K184,Decimals)</f>
        <v/>
      </c>
      <c r="L184" s="69" t="str">
        <f>TEXT(ASTemp!L184,Decimals)</f>
        <v/>
      </c>
      <c r="M184" s="71" t="str">
        <f>TEXT(ASTemp!M184,Percentages)</f>
        <v/>
      </c>
      <c r="N184" s="72" t="str">
        <f>TEXT(ASTemp!N184,Percentages)</f>
        <v/>
      </c>
    </row>
    <row r="185" ht="14.25" customHeight="1">
      <c r="B185" s="66" t="str">
        <f>ASTemp!B185</f>
        <v/>
      </c>
      <c r="C185" s="67" t="str">
        <f>ASTemp!C185</f>
        <v/>
      </c>
      <c r="D185" s="68" t="str">
        <f>ASTemp!D185</f>
        <v/>
      </c>
      <c r="E185" s="65" t="str">
        <f>ASTemp!E185</f>
        <v/>
      </c>
      <c r="F185" s="69" t="str">
        <f>TEXT(ASTemp!F185,Decimals)</f>
        <v/>
      </c>
      <c r="G185" s="69" t="str">
        <f>TEXT(ASTemp!G185,Decimals)</f>
        <v/>
      </c>
      <c r="H185" s="69" t="str">
        <f>TEXT(ASTemp!H185,Decimals)</f>
        <v/>
      </c>
      <c r="I185" s="69" t="str">
        <f>TEXT(ASTemp!I185,Decimals)</f>
        <v/>
      </c>
      <c r="J185" s="69" t="str">
        <f>TEXT(ASTemp!J185,Decimals)</f>
        <v/>
      </c>
      <c r="K185" s="69" t="str">
        <f>TEXT(ASTemp!K185,Decimals)</f>
        <v/>
      </c>
      <c r="L185" s="69" t="str">
        <f>TEXT(ASTemp!L185,Decimals)</f>
        <v/>
      </c>
      <c r="M185" s="71" t="str">
        <f>TEXT(ASTemp!M185,Percentages)</f>
        <v/>
      </c>
      <c r="N185" s="72" t="str">
        <f>TEXT(ASTemp!N185,Percentages)</f>
        <v/>
      </c>
    </row>
    <row r="186" ht="14.25" customHeight="1">
      <c r="B186" s="66" t="str">
        <f>ASTemp!B186</f>
        <v/>
      </c>
      <c r="C186" s="67" t="str">
        <f>ASTemp!C186</f>
        <v/>
      </c>
      <c r="D186" s="68" t="str">
        <f>ASTemp!D186</f>
        <v/>
      </c>
      <c r="E186" s="65" t="str">
        <f>ASTemp!E186</f>
        <v/>
      </c>
      <c r="F186" s="69" t="str">
        <f>TEXT(ASTemp!F186,Decimals)</f>
        <v/>
      </c>
      <c r="G186" s="69" t="str">
        <f>TEXT(ASTemp!G186,Decimals)</f>
        <v/>
      </c>
      <c r="H186" s="69" t="str">
        <f>TEXT(ASTemp!H186,Decimals)</f>
        <v/>
      </c>
      <c r="I186" s="69" t="str">
        <f>TEXT(ASTemp!I186,Decimals)</f>
        <v/>
      </c>
      <c r="J186" s="69" t="str">
        <f>TEXT(ASTemp!J186,Decimals)</f>
        <v/>
      </c>
      <c r="K186" s="69" t="str">
        <f>TEXT(ASTemp!K186,Decimals)</f>
        <v/>
      </c>
      <c r="L186" s="69" t="str">
        <f>TEXT(ASTemp!L186,Decimals)</f>
        <v/>
      </c>
      <c r="M186" s="71" t="str">
        <f>TEXT(ASTemp!M186,Percentages)</f>
        <v/>
      </c>
      <c r="N186" s="72" t="str">
        <f>TEXT(ASTemp!N186,Percentages)</f>
        <v/>
      </c>
    </row>
    <row r="187" ht="14.25" customHeight="1">
      <c r="B187" s="66" t="str">
        <f>ASTemp!B187</f>
        <v/>
      </c>
      <c r="C187" s="67" t="str">
        <f>ASTemp!C187</f>
        <v/>
      </c>
      <c r="D187" s="68" t="str">
        <f>ASTemp!D187</f>
        <v/>
      </c>
      <c r="E187" s="65" t="str">
        <f>ASTemp!E187</f>
        <v/>
      </c>
      <c r="F187" s="69" t="str">
        <f>TEXT(ASTemp!F187,Decimals)</f>
        <v/>
      </c>
      <c r="G187" s="69" t="str">
        <f>TEXT(ASTemp!G187,Decimals)</f>
        <v/>
      </c>
      <c r="H187" s="69" t="str">
        <f>TEXT(ASTemp!H187,Decimals)</f>
        <v/>
      </c>
      <c r="I187" s="69" t="str">
        <f>TEXT(ASTemp!I187,Decimals)</f>
        <v/>
      </c>
      <c r="J187" s="69" t="str">
        <f>TEXT(ASTemp!J187,Decimals)</f>
        <v/>
      </c>
      <c r="K187" s="69" t="str">
        <f>TEXT(ASTemp!K187,Decimals)</f>
        <v/>
      </c>
      <c r="L187" s="69" t="str">
        <f>TEXT(ASTemp!L187,Decimals)</f>
        <v/>
      </c>
      <c r="M187" s="71" t="str">
        <f>TEXT(ASTemp!M187,Percentages)</f>
        <v/>
      </c>
      <c r="N187" s="72" t="str">
        <f>TEXT(ASTemp!N187,Percentages)</f>
        <v/>
      </c>
    </row>
    <row r="188" ht="14.25" customHeight="1">
      <c r="B188" s="66" t="str">
        <f>ASTemp!B188</f>
        <v/>
      </c>
      <c r="C188" s="67" t="str">
        <f>ASTemp!C188</f>
        <v/>
      </c>
      <c r="D188" s="68" t="str">
        <f>ASTemp!D188</f>
        <v/>
      </c>
      <c r="E188" s="65" t="str">
        <f>ASTemp!E188</f>
        <v/>
      </c>
      <c r="F188" s="69" t="str">
        <f>TEXT(ASTemp!F188,Decimals)</f>
        <v/>
      </c>
      <c r="G188" s="69" t="str">
        <f>TEXT(ASTemp!G188,Decimals)</f>
        <v/>
      </c>
      <c r="H188" s="69" t="str">
        <f>TEXT(ASTemp!H188,Decimals)</f>
        <v/>
      </c>
      <c r="I188" s="69" t="str">
        <f>TEXT(ASTemp!I188,Decimals)</f>
        <v/>
      </c>
      <c r="J188" s="69" t="str">
        <f>TEXT(ASTemp!J188,Decimals)</f>
        <v/>
      </c>
      <c r="K188" s="69" t="str">
        <f>TEXT(ASTemp!K188,Decimals)</f>
        <v/>
      </c>
      <c r="L188" s="69" t="str">
        <f>TEXT(ASTemp!L188,Decimals)</f>
        <v/>
      </c>
      <c r="M188" s="71" t="str">
        <f>TEXT(ASTemp!M188,Percentages)</f>
        <v/>
      </c>
      <c r="N188" s="72" t="str">
        <f>TEXT(ASTemp!N188,Percentages)</f>
        <v/>
      </c>
    </row>
    <row r="189" ht="14.25" customHeight="1">
      <c r="B189" s="66" t="str">
        <f>ASTemp!B189</f>
        <v/>
      </c>
      <c r="C189" s="67" t="str">
        <f>ASTemp!C189</f>
        <v/>
      </c>
      <c r="D189" s="68" t="str">
        <f>ASTemp!D189</f>
        <v/>
      </c>
      <c r="E189" s="65" t="str">
        <f>ASTemp!E189</f>
        <v/>
      </c>
      <c r="F189" s="69" t="str">
        <f>TEXT(ASTemp!F189,Decimals)</f>
        <v/>
      </c>
      <c r="G189" s="69" t="str">
        <f>TEXT(ASTemp!G189,Decimals)</f>
        <v/>
      </c>
      <c r="H189" s="69" t="str">
        <f>TEXT(ASTemp!H189,Decimals)</f>
        <v/>
      </c>
      <c r="I189" s="69" t="str">
        <f>TEXT(ASTemp!I189,Decimals)</f>
        <v/>
      </c>
      <c r="J189" s="69" t="str">
        <f>TEXT(ASTemp!J189,Decimals)</f>
        <v/>
      </c>
      <c r="K189" s="69" t="str">
        <f>TEXT(ASTemp!K189,Decimals)</f>
        <v/>
      </c>
      <c r="L189" s="69" t="str">
        <f>TEXT(ASTemp!L189,Decimals)</f>
        <v/>
      </c>
      <c r="M189" s="71" t="str">
        <f>TEXT(ASTemp!M189,Percentages)</f>
        <v/>
      </c>
      <c r="N189" s="72" t="str">
        <f>TEXT(ASTemp!N189,Percentages)</f>
        <v/>
      </c>
    </row>
    <row r="190" ht="14.25" customHeight="1">
      <c r="B190" s="66" t="str">
        <f>ASTemp!B190</f>
        <v/>
      </c>
      <c r="C190" s="67" t="str">
        <f>ASTemp!C190</f>
        <v/>
      </c>
      <c r="D190" s="68" t="str">
        <f>ASTemp!D190</f>
        <v/>
      </c>
      <c r="E190" s="65" t="str">
        <f>ASTemp!E190</f>
        <v/>
      </c>
      <c r="F190" s="69" t="str">
        <f>TEXT(ASTemp!F190,Decimals)</f>
        <v/>
      </c>
      <c r="G190" s="69" t="str">
        <f>TEXT(ASTemp!G190,Decimals)</f>
        <v/>
      </c>
      <c r="H190" s="69" t="str">
        <f>TEXT(ASTemp!H190,Decimals)</f>
        <v/>
      </c>
      <c r="I190" s="69" t="str">
        <f>TEXT(ASTemp!I190,Decimals)</f>
        <v/>
      </c>
      <c r="J190" s="69" t="str">
        <f>TEXT(ASTemp!J190,Decimals)</f>
        <v/>
      </c>
      <c r="K190" s="69" t="str">
        <f>TEXT(ASTemp!K190,Decimals)</f>
        <v/>
      </c>
      <c r="L190" s="69" t="str">
        <f>TEXT(ASTemp!L190,Decimals)</f>
        <v/>
      </c>
      <c r="M190" s="71" t="str">
        <f>TEXT(ASTemp!M190,Percentages)</f>
        <v/>
      </c>
      <c r="N190" s="72" t="str">
        <f>TEXT(ASTemp!N190,Percentages)</f>
        <v/>
      </c>
    </row>
    <row r="191" ht="14.25" customHeight="1">
      <c r="B191" s="66" t="str">
        <f>ASTemp!B191</f>
        <v/>
      </c>
      <c r="C191" s="67" t="str">
        <f>ASTemp!C191</f>
        <v/>
      </c>
      <c r="D191" s="68" t="str">
        <f>ASTemp!D191</f>
        <v/>
      </c>
      <c r="E191" s="65" t="str">
        <f>ASTemp!E191</f>
        <v/>
      </c>
      <c r="F191" s="69" t="str">
        <f>TEXT(ASTemp!F191,Decimals)</f>
        <v/>
      </c>
      <c r="G191" s="69" t="str">
        <f>TEXT(ASTemp!G191,Decimals)</f>
        <v/>
      </c>
      <c r="H191" s="69" t="str">
        <f>TEXT(ASTemp!H191,Decimals)</f>
        <v/>
      </c>
      <c r="I191" s="69" t="str">
        <f>TEXT(ASTemp!I191,Decimals)</f>
        <v/>
      </c>
      <c r="J191" s="69" t="str">
        <f>TEXT(ASTemp!J191,Decimals)</f>
        <v/>
      </c>
      <c r="K191" s="69" t="str">
        <f>TEXT(ASTemp!K191,Decimals)</f>
        <v/>
      </c>
      <c r="L191" s="69" t="str">
        <f>TEXT(ASTemp!L191,Decimals)</f>
        <v/>
      </c>
      <c r="M191" s="71" t="str">
        <f>TEXT(ASTemp!M191,Percentages)</f>
        <v/>
      </c>
      <c r="N191" s="72" t="str">
        <f>TEXT(ASTemp!N191,Percentages)</f>
        <v/>
      </c>
    </row>
    <row r="192" ht="14.25" customHeight="1">
      <c r="B192" s="66" t="str">
        <f>ASTemp!B192</f>
        <v/>
      </c>
      <c r="C192" s="67" t="str">
        <f>ASTemp!C192</f>
        <v/>
      </c>
      <c r="D192" s="68" t="str">
        <f>ASTemp!D192</f>
        <v/>
      </c>
      <c r="E192" s="65" t="str">
        <f>ASTemp!E192</f>
        <v/>
      </c>
      <c r="F192" s="69" t="str">
        <f>TEXT(ASTemp!F192,Decimals)</f>
        <v/>
      </c>
      <c r="G192" s="69" t="str">
        <f>TEXT(ASTemp!G192,Decimals)</f>
        <v/>
      </c>
      <c r="H192" s="69" t="str">
        <f>TEXT(ASTemp!H192,Decimals)</f>
        <v/>
      </c>
      <c r="I192" s="69" t="str">
        <f>TEXT(ASTemp!I192,Decimals)</f>
        <v/>
      </c>
      <c r="J192" s="69" t="str">
        <f>TEXT(ASTemp!J192,Decimals)</f>
        <v/>
      </c>
      <c r="K192" s="69" t="str">
        <f>TEXT(ASTemp!K192,Decimals)</f>
        <v/>
      </c>
      <c r="L192" s="69" t="str">
        <f>TEXT(ASTemp!L192,Decimals)</f>
        <v/>
      </c>
      <c r="M192" s="71" t="str">
        <f>TEXT(ASTemp!M192,Percentages)</f>
        <v/>
      </c>
      <c r="N192" s="72" t="str">
        <f>TEXT(ASTemp!N192,Percentages)</f>
        <v/>
      </c>
    </row>
    <row r="193" ht="14.25" customHeight="1">
      <c r="B193" s="66" t="str">
        <f>ASTemp!B193</f>
        <v/>
      </c>
      <c r="C193" s="67" t="str">
        <f>ASTemp!C193</f>
        <v/>
      </c>
      <c r="D193" s="68" t="str">
        <f>ASTemp!D193</f>
        <v/>
      </c>
      <c r="E193" s="65" t="str">
        <f>ASTemp!E193</f>
        <v/>
      </c>
      <c r="F193" s="69" t="str">
        <f>TEXT(ASTemp!F193,Decimals)</f>
        <v/>
      </c>
      <c r="G193" s="69" t="str">
        <f>TEXT(ASTemp!G193,Decimals)</f>
        <v/>
      </c>
      <c r="H193" s="69" t="str">
        <f>TEXT(ASTemp!H193,Decimals)</f>
        <v/>
      </c>
      <c r="I193" s="69" t="str">
        <f>TEXT(ASTemp!I193,Decimals)</f>
        <v/>
      </c>
      <c r="J193" s="69" t="str">
        <f>TEXT(ASTemp!J193,Decimals)</f>
        <v/>
      </c>
      <c r="K193" s="69" t="str">
        <f>TEXT(ASTemp!K193,Decimals)</f>
        <v/>
      </c>
      <c r="L193" s="69" t="str">
        <f>TEXT(ASTemp!L193,Decimals)</f>
        <v/>
      </c>
      <c r="M193" s="71" t="str">
        <f>TEXT(ASTemp!M193,Percentages)</f>
        <v/>
      </c>
      <c r="N193" s="72" t="str">
        <f>TEXT(ASTemp!N193,Percentages)</f>
        <v/>
      </c>
    </row>
    <row r="194" ht="14.25" customHeight="1">
      <c r="B194" s="66" t="str">
        <f>ASTemp!B194</f>
        <v/>
      </c>
      <c r="C194" s="67" t="str">
        <f>ASTemp!C194</f>
        <v/>
      </c>
      <c r="D194" s="68" t="str">
        <f>ASTemp!D194</f>
        <v/>
      </c>
      <c r="E194" s="65" t="str">
        <f>ASTemp!E194</f>
        <v/>
      </c>
      <c r="F194" s="69" t="str">
        <f>TEXT(ASTemp!F194,Decimals)</f>
        <v/>
      </c>
      <c r="G194" s="69" t="str">
        <f>TEXT(ASTemp!G194,Decimals)</f>
        <v/>
      </c>
      <c r="H194" s="69" t="str">
        <f>TEXT(ASTemp!H194,Decimals)</f>
        <v/>
      </c>
      <c r="I194" s="69" t="str">
        <f>TEXT(ASTemp!I194,Decimals)</f>
        <v/>
      </c>
      <c r="J194" s="69" t="str">
        <f>TEXT(ASTemp!J194,Decimals)</f>
        <v/>
      </c>
      <c r="K194" s="69" t="str">
        <f>TEXT(ASTemp!K194,Decimals)</f>
        <v/>
      </c>
      <c r="L194" s="69" t="str">
        <f>TEXT(ASTemp!L194,Decimals)</f>
        <v/>
      </c>
      <c r="M194" s="71" t="str">
        <f>TEXT(ASTemp!M194,Percentages)</f>
        <v/>
      </c>
      <c r="N194" s="72" t="str">
        <f>TEXT(ASTemp!N194,Percentages)</f>
        <v/>
      </c>
    </row>
    <row r="195" ht="14.25" customHeight="1">
      <c r="B195" s="66" t="str">
        <f>ASTemp!B195</f>
        <v/>
      </c>
      <c r="C195" s="67" t="str">
        <f>ASTemp!C195</f>
        <v/>
      </c>
      <c r="D195" s="68" t="str">
        <f>ASTemp!D195</f>
        <v/>
      </c>
      <c r="E195" s="65" t="str">
        <f>ASTemp!E195</f>
        <v/>
      </c>
      <c r="F195" s="69" t="str">
        <f>TEXT(ASTemp!F195,Decimals)</f>
        <v/>
      </c>
      <c r="G195" s="69" t="str">
        <f>TEXT(ASTemp!G195,Decimals)</f>
        <v/>
      </c>
      <c r="H195" s="69" t="str">
        <f>TEXT(ASTemp!H195,Decimals)</f>
        <v/>
      </c>
      <c r="I195" s="69" t="str">
        <f>TEXT(ASTemp!I195,Decimals)</f>
        <v/>
      </c>
      <c r="J195" s="69" t="str">
        <f>TEXT(ASTemp!J195,Decimals)</f>
        <v/>
      </c>
      <c r="K195" s="69" t="str">
        <f>TEXT(ASTemp!K195,Decimals)</f>
        <v/>
      </c>
      <c r="L195" s="69" t="str">
        <f>TEXT(ASTemp!L195,Decimals)</f>
        <v/>
      </c>
      <c r="M195" s="71" t="str">
        <f>TEXT(ASTemp!M195,Percentages)</f>
        <v/>
      </c>
      <c r="N195" s="72" t="str">
        <f>TEXT(ASTemp!N195,Percentages)</f>
        <v/>
      </c>
    </row>
    <row r="196" ht="14.25" customHeight="1">
      <c r="B196" s="66" t="str">
        <f>ASTemp!B196</f>
        <v/>
      </c>
      <c r="C196" s="67" t="str">
        <f>ASTemp!C196</f>
        <v/>
      </c>
      <c r="D196" s="68" t="str">
        <f>ASTemp!D196</f>
        <v/>
      </c>
      <c r="E196" s="65" t="str">
        <f>ASTemp!E196</f>
        <v/>
      </c>
      <c r="F196" s="69" t="str">
        <f>TEXT(ASTemp!F196,Decimals)</f>
        <v/>
      </c>
      <c r="G196" s="69" t="str">
        <f>TEXT(ASTemp!G196,Decimals)</f>
        <v/>
      </c>
      <c r="H196" s="69" t="str">
        <f>TEXT(ASTemp!H196,Decimals)</f>
        <v/>
      </c>
      <c r="I196" s="69" t="str">
        <f>TEXT(ASTemp!I196,Decimals)</f>
        <v/>
      </c>
      <c r="J196" s="69" t="str">
        <f>TEXT(ASTemp!J196,Decimals)</f>
        <v/>
      </c>
      <c r="K196" s="69" t="str">
        <f>TEXT(ASTemp!K196,Decimals)</f>
        <v/>
      </c>
      <c r="L196" s="69" t="str">
        <f>TEXT(ASTemp!L196,Decimals)</f>
        <v/>
      </c>
      <c r="M196" s="71" t="str">
        <f>TEXT(ASTemp!M196,Percentages)</f>
        <v/>
      </c>
      <c r="N196" s="72" t="str">
        <f>TEXT(ASTemp!N196,Percentages)</f>
        <v/>
      </c>
    </row>
    <row r="197" ht="14.25" customHeight="1">
      <c r="B197" s="66" t="str">
        <f>ASTemp!B197</f>
        <v/>
      </c>
      <c r="C197" s="67" t="str">
        <f>ASTemp!C197</f>
        <v/>
      </c>
      <c r="D197" s="68" t="str">
        <f>ASTemp!D197</f>
        <v/>
      </c>
      <c r="E197" s="65" t="str">
        <f>ASTemp!E197</f>
        <v/>
      </c>
      <c r="F197" s="69" t="str">
        <f>TEXT(ASTemp!F197,Decimals)</f>
        <v/>
      </c>
      <c r="G197" s="69" t="str">
        <f>TEXT(ASTemp!G197,Decimals)</f>
        <v/>
      </c>
      <c r="H197" s="69" t="str">
        <f>TEXT(ASTemp!H197,Decimals)</f>
        <v/>
      </c>
      <c r="I197" s="69" t="str">
        <f>TEXT(ASTemp!I197,Decimals)</f>
        <v/>
      </c>
      <c r="J197" s="69" t="str">
        <f>TEXT(ASTemp!J197,Decimals)</f>
        <v/>
      </c>
      <c r="K197" s="69" t="str">
        <f>TEXT(ASTemp!K197,Decimals)</f>
        <v/>
      </c>
      <c r="L197" s="69" t="str">
        <f>TEXT(ASTemp!L197,Decimals)</f>
        <v/>
      </c>
      <c r="M197" s="71" t="str">
        <f>TEXT(ASTemp!M197,Percentages)</f>
        <v/>
      </c>
      <c r="N197" s="72" t="str">
        <f>TEXT(ASTemp!N197,Percentages)</f>
        <v/>
      </c>
    </row>
    <row r="198" ht="14.25" customHeight="1">
      <c r="B198" s="66" t="str">
        <f>ASTemp!B198</f>
        <v/>
      </c>
      <c r="C198" s="67" t="str">
        <f>ASTemp!C198</f>
        <v/>
      </c>
      <c r="D198" s="68" t="str">
        <f>ASTemp!D198</f>
        <v/>
      </c>
      <c r="E198" s="65" t="str">
        <f>ASTemp!E198</f>
        <v/>
      </c>
      <c r="F198" s="69" t="str">
        <f>TEXT(ASTemp!F198,Decimals)</f>
        <v/>
      </c>
      <c r="G198" s="69" t="str">
        <f>TEXT(ASTemp!G198,Decimals)</f>
        <v/>
      </c>
      <c r="H198" s="69" t="str">
        <f>TEXT(ASTemp!H198,Decimals)</f>
        <v/>
      </c>
      <c r="I198" s="69" t="str">
        <f>TEXT(ASTemp!I198,Decimals)</f>
        <v/>
      </c>
      <c r="J198" s="69" t="str">
        <f>TEXT(ASTemp!J198,Decimals)</f>
        <v/>
      </c>
      <c r="K198" s="69" t="str">
        <f>TEXT(ASTemp!K198,Decimals)</f>
        <v/>
      </c>
      <c r="L198" s="69" t="str">
        <f>TEXT(ASTemp!L198,Decimals)</f>
        <v/>
      </c>
      <c r="M198" s="71" t="str">
        <f>TEXT(ASTemp!M198,Percentages)</f>
        <v/>
      </c>
      <c r="N198" s="72" t="str">
        <f>TEXT(ASTemp!N198,Percentages)</f>
        <v/>
      </c>
    </row>
    <row r="199" ht="14.25" customHeight="1">
      <c r="B199" s="66" t="str">
        <f>ASTemp!B199</f>
        <v/>
      </c>
      <c r="C199" s="67" t="str">
        <f>ASTemp!C199</f>
        <v/>
      </c>
      <c r="D199" s="68" t="str">
        <f>ASTemp!D199</f>
        <v/>
      </c>
      <c r="E199" s="65" t="str">
        <f>ASTemp!E199</f>
        <v/>
      </c>
      <c r="F199" s="69" t="str">
        <f>TEXT(ASTemp!F199,Decimals)</f>
        <v/>
      </c>
      <c r="G199" s="69" t="str">
        <f>TEXT(ASTemp!G199,Decimals)</f>
        <v/>
      </c>
      <c r="H199" s="69" t="str">
        <f>TEXT(ASTemp!H199,Decimals)</f>
        <v/>
      </c>
      <c r="I199" s="69" t="str">
        <f>TEXT(ASTemp!I199,Decimals)</f>
        <v/>
      </c>
      <c r="J199" s="69" t="str">
        <f>TEXT(ASTemp!J199,Decimals)</f>
        <v/>
      </c>
      <c r="K199" s="69" t="str">
        <f>TEXT(ASTemp!K199,Decimals)</f>
        <v/>
      </c>
      <c r="L199" s="69" t="str">
        <f>TEXT(ASTemp!L199,Decimals)</f>
        <v/>
      </c>
      <c r="M199" s="71" t="str">
        <f>TEXT(ASTemp!M199,Percentages)</f>
        <v/>
      </c>
      <c r="N199" s="72" t="str">
        <f>TEXT(ASTemp!N199,Percentages)</f>
        <v/>
      </c>
    </row>
    <row r="200" ht="14.25" customHeight="1">
      <c r="B200" s="66" t="str">
        <f>ASTemp!B200</f>
        <v/>
      </c>
      <c r="C200" s="67" t="str">
        <f>ASTemp!C200</f>
        <v/>
      </c>
      <c r="D200" s="68" t="str">
        <f>ASTemp!D200</f>
        <v/>
      </c>
      <c r="E200" s="65" t="str">
        <f>ASTemp!E200</f>
        <v/>
      </c>
      <c r="F200" s="69" t="str">
        <f>TEXT(ASTemp!F200,Decimals)</f>
        <v/>
      </c>
      <c r="G200" s="69" t="str">
        <f>TEXT(ASTemp!G200,Decimals)</f>
        <v/>
      </c>
      <c r="H200" s="69" t="str">
        <f>TEXT(ASTemp!H200,Decimals)</f>
        <v/>
      </c>
      <c r="I200" s="69" t="str">
        <f>TEXT(ASTemp!I200,Decimals)</f>
        <v/>
      </c>
      <c r="J200" s="69" t="str">
        <f>TEXT(ASTemp!J200,Decimals)</f>
        <v/>
      </c>
      <c r="K200" s="69" t="str">
        <f>TEXT(ASTemp!K200,Decimals)</f>
        <v/>
      </c>
      <c r="L200" s="69" t="str">
        <f>TEXT(ASTemp!L200,Decimals)</f>
        <v/>
      </c>
      <c r="M200" s="71" t="str">
        <f>TEXT(ASTemp!M200,Percentages)</f>
        <v/>
      </c>
      <c r="N200" s="72" t="str">
        <f>TEXT(ASTemp!N200,Percentages)</f>
        <v/>
      </c>
    </row>
    <row r="201" ht="14.25" customHeight="1">
      <c r="B201" s="66" t="str">
        <f>ASTemp!B201</f>
        <v/>
      </c>
      <c r="C201" s="67" t="str">
        <f>ASTemp!C201</f>
        <v/>
      </c>
      <c r="D201" s="68" t="str">
        <f>ASTemp!D201</f>
        <v/>
      </c>
      <c r="E201" s="65" t="str">
        <f>ASTemp!E201</f>
        <v/>
      </c>
      <c r="F201" s="69" t="str">
        <f>TEXT(ASTemp!F201,Decimals)</f>
        <v/>
      </c>
      <c r="G201" s="69" t="str">
        <f>TEXT(ASTemp!G201,Decimals)</f>
        <v/>
      </c>
      <c r="H201" s="69" t="str">
        <f>TEXT(ASTemp!H201,Decimals)</f>
        <v/>
      </c>
      <c r="I201" s="69" t="str">
        <f>TEXT(ASTemp!I201,Decimals)</f>
        <v/>
      </c>
      <c r="J201" s="69" t="str">
        <f>TEXT(ASTemp!J201,Decimals)</f>
        <v/>
      </c>
      <c r="K201" s="69" t="str">
        <f>TEXT(ASTemp!K201,Decimals)</f>
        <v/>
      </c>
      <c r="L201" s="69" t="str">
        <f>TEXT(ASTemp!L201,Decimals)</f>
        <v/>
      </c>
      <c r="M201" s="71" t="str">
        <f>TEXT(ASTemp!M201,Percentages)</f>
        <v/>
      </c>
      <c r="N201" s="72" t="str">
        <f>TEXT(ASTemp!N201,Percentages)</f>
        <v/>
      </c>
    </row>
    <row r="202" ht="14.25" customHeight="1">
      <c r="B202" s="66" t="str">
        <f>ASTemp!B202</f>
        <v/>
      </c>
      <c r="C202" s="67" t="str">
        <f>ASTemp!C202</f>
        <v/>
      </c>
      <c r="D202" s="68" t="str">
        <f>ASTemp!D202</f>
        <v/>
      </c>
      <c r="E202" s="65" t="str">
        <f>ASTemp!E202</f>
        <v/>
      </c>
      <c r="F202" s="69" t="str">
        <f>TEXT(ASTemp!F202,Decimals)</f>
        <v/>
      </c>
      <c r="G202" s="69" t="str">
        <f>TEXT(ASTemp!G202,Decimals)</f>
        <v/>
      </c>
      <c r="H202" s="69" t="str">
        <f>TEXT(ASTemp!H202,Decimals)</f>
        <v/>
      </c>
      <c r="I202" s="69" t="str">
        <f>TEXT(ASTemp!I202,Decimals)</f>
        <v/>
      </c>
      <c r="J202" s="69" t="str">
        <f>TEXT(ASTemp!J202,Decimals)</f>
        <v/>
      </c>
      <c r="K202" s="69" t="str">
        <f>TEXT(ASTemp!K202,Decimals)</f>
        <v/>
      </c>
      <c r="L202" s="69" t="str">
        <f>TEXT(ASTemp!L202,Decimals)</f>
        <v/>
      </c>
      <c r="M202" s="71" t="str">
        <f>TEXT(ASTemp!M202,Percentages)</f>
        <v/>
      </c>
      <c r="N202" s="72" t="str">
        <f>TEXT(ASTemp!N202,Percentages)</f>
        <v/>
      </c>
    </row>
    <row r="203" ht="14.25" customHeight="1">
      <c r="B203" s="66" t="str">
        <f>ASTemp!B203</f>
        <v/>
      </c>
      <c r="C203" s="67" t="str">
        <f>ASTemp!C203</f>
        <v/>
      </c>
      <c r="D203" s="68" t="str">
        <f>ASTemp!D203</f>
        <v/>
      </c>
      <c r="E203" s="65" t="str">
        <f>ASTemp!E203</f>
        <v/>
      </c>
      <c r="F203" s="69" t="str">
        <f>TEXT(ASTemp!F203,Decimals)</f>
        <v/>
      </c>
      <c r="G203" s="69" t="str">
        <f>TEXT(ASTemp!G203,Decimals)</f>
        <v/>
      </c>
      <c r="H203" s="69" t="str">
        <f>TEXT(ASTemp!H203,Decimals)</f>
        <v/>
      </c>
      <c r="I203" s="69" t="str">
        <f>TEXT(ASTemp!I203,Decimals)</f>
        <v/>
      </c>
      <c r="J203" s="69" t="str">
        <f>TEXT(ASTemp!J203,Decimals)</f>
        <v/>
      </c>
      <c r="K203" s="69" t="str">
        <f>TEXT(ASTemp!K203,Decimals)</f>
        <v/>
      </c>
      <c r="L203" s="69" t="str">
        <f>TEXT(ASTemp!L203,Decimals)</f>
        <v/>
      </c>
      <c r="M203" s="71" t="str">
        <f>TEXT(ASTemp!M203,Percentages)</f>
        <v/>
      </c>
      <c r="N203" s="72" t="str">
        <f>TEXT(ASTemp!N203,Percentages)</f>
        <v/>
      </c>
    </row>
    <row r="204" ht="14.25" customHeight="1">
      <c r="B204" s="66" t="str">
        <f>ASTemp!B204</f>
        <v/>
      </c>
      <c r="C204" s="67" t="str">
        <f>ASTemp!C204</f>
        <v/>
      </c>
      <c r="D204" s="68" t="str">
        <f>ASTemp!D204</f>
        <v/>
      </c>
      <c r="E204" s="65" t="str">
        <f>ASTemp!E204</f>
        <v/>
      </c>
      <c r="F204" s="69" t="str">
        <f>TEXT(ASTemp!F204,Decimals)</f>
        <v/>
      </c>
      <c r="G204" s="69" t="str">
        <f>TEXT(ASTemp!G204,Decimals)</f>
        <v/>
      </c>
      <c r="H204" s="69" t="str">
        <f>TEXT(ASTemp!H204,Decimals)</f>
        <v/>
      </c>
      <c r="I204" s="69" t="str">
        <f>TEXT(ASTemp!I204,Decimals)</f>
        <v/>
      </c>
      <c r="J204" s="69" t="str">
        <f>TEXT(ASTemp!J204,Decimals)</f>
        <v/>
      </c>
      <c r="K204" s="69" t="str">
        <f>TEXT(ASTemp!K204,Decimals)</f>
        <v/>
      </c>
      <c r="L204" s="69" t="str">
        <f>TEXT(ASTemp!L204,Decimals)</f>
        <v/>
      </c>
      <c r="M204" s="71" t="str">
        <f>TEXT(ASTemp!M204,Percentages)</f>
        <v/>
      </c>
      <c r="N204" s="72" t="str">
        <f>TEXT(ASTemp!N204,Percentages)</f>
        <v/>
      </c>
    </row>
    <row r="205" ht="14.25" customHeight="1">
      <c r="B205" s="66" t="str">
        <f>ASTemp!B205</f>
        <v/>
      </c>
      <c r="C205" s="67" t="str">
        <f>ASTemp!C205</f>
        <v/>
      </c>
      <c r="D205" s="68" t="str">
        <f>ASTemp!D205</f>
        <v/>
      </c>
      <c r="E205" s="65" t="str">
        <f>ASTemp!E205</f>
        <v/>
      </c>
      <c r="F205" s="69" t="str">
        <f>TEXT(ASTemp!F205,Decimals)</f>
        <v/>
      </c>
      <c r="G205" s="69" t="str">
        <f>TEXT(ASTemp!G205,Decimals)</f>
        <v/>
      </c>
      <c r="H205" s="69" t="str">
        <f>TEXT(ASTemp!H205,Decimals)</f>
        <v/>
      </c>
      <c r="I205" s="69" t="str">
        <f>TEXT(ASTemp!I205,Decimals)</f>
        <v/>
      </c>
      <c r="J205" s="69" t="str">
        <f>TEXT(ASTemp!J205,Decimals)</f>
        <v/>
      </c>
      <c r="K205" s="69" t="str">
        <f>TEXT(ASTemp!K205,Decimals)</f>
        <v/>
      </c>
      <c r="L205" s="69" t="str">
        <f>TEXT(ASTemp!L205,Decimals)</f>
        <v/>
      </c>
      <c r="M205" s="71" t="str">
        <f>TEXT(ASTemp!M205,Percentages)</f>
        <v/>
      </c>
      <c r="N205" s="72" t="str">
        <f>TEXT(ASTemp!N205,Percentages)</f>
        <v/>
      </c>
    </row>
    <row r="206" ht="14.25" customHeight="1">
      <c r="B206" s="66" t="str">
        <f>ASTemp!B206</f>
        <v/>
      </c>
      <c r="C206" s="67" t="str">
        <f>ASTemp!C206</f>
        <v/>
      </c>
      <c r="D206" s="68" t="str">
        <f>ASTemp!D206</f>
        <v/>
      </c>
      <c r="E206" s="65" t="str">
        <f>ASTemp!E206</f>
        <v/>
      </c>
      <c r="F206" s="69" t="str">
        <f>TEXT(ASTemp!F206,Decimals)</f>
        <v/>
      </c>
      <c r="G206" s="69" t="str">
        <f>TEXT(ASTemp!G206,Decimals)</f>
        <v/>
      </c>
      <c r="H206" s="69" t="str">
        <f>TEXT(ASTemp!H206,Decimals)</f>
        <v/>
      </c>
      <c r="I206" s="69" t="str">
        <f>TEXT(ASTemp!I206,Decimals)</f>
        <v/>
      </c>
      <c r="J206" s="69" t="str">
        <f>TEXT(ASTemp!J206,Decimals)</f>
        <v/>
      </c>
      <c r="K206" s="69" t="str">
        <f>TEXT(ASTemp!K206,Decimals)</f>
        <v/>
      </c>
      <c r="L206" s="69" t="str">
        <f>TEXT(ASTemp!L206,Decimals)</f>
        <v/>
      </c>
      <c r="M206" s="71" t="str">
        <f>TEXT(ASTemp!M206,Percentages)</f>
        <v/>
      </c>
      <c r="N206" s="72" t="str">
        <f>TEXT(ASTemp!N206,Percentages)</f>
        <v/>
      </c>
    </row>
    <row r="207" ht="14.25" customHeight="1">
      <c r="B207" s="66" t="str">
        <f>ASTemp!B207</f>
        <v/>
      </c>
      <c r="C207" s="67" t="str">
        <f>ASTemp!C207</f>
        <v/>
      </c>
      <c r="D207" s="68" t="str">
        <f>ASTemp!D207</f>
        <v/>
      </c>
      <c r="E207" s="65" t="str">
        <f>ASTemp!E207</f>
        <v/>
      </c>
      <c r="F207" s="69" t="str">
        <f>TEXT(ASTemp!F207,Decimals)</f>
        <v/>
      </c>
      <c r="G207" s="69" t="str">
        <f>TEXT(ASTemp!G207,Decimals)</f>
        <v/>
      </c>
      <c r="H207" s="69" t="str">
        <f>TEXT(ASTemp!H207,Decimals)</f>
        <v/>
      </c>
      <c r="I207" s="69" t="str">
        <f>TEXT(ASTemp!I207,Decimals)</f>
        <v/>
      </c>
      <c r="J207" s="69" t="str">
        <f>TEXT(ASTemp!J207,Decimals)</f>
        <v/>
      </c>
      <c r="K207" s="69" t="str">
        <f>TEXT(ASTemp!K207,Decimals)</f>
        <v/>
      </c>
      <c r="L207" s="69" t="str">
        <f>TEXT(ASTemp!L207,Decimals)</f>
        <v/>
      </c>
      <c r="M207" s="71" t="str">
        <f>TEXT(ASTemp!M207,Percentages)</f>
        <v/>
      </c>
      <c r="N207" s="72" t="str">
        <f>TEXT(ASTemp!N207,Percentages)</f>
        <v/>
      </c>
    </row>
    <row r="208" ht="14.25" customHeight="1">
      <c r="B208" s="66" t="str">
        <f>ASTemp!B208</f>
        <v/>
      </c>
      <c r="C208" s="67" t="str">
        <f>ASTemp!C208</f>
        <v/>
      </c>
      <c r="D208" s="68" t="str">
        <f>ASTemp!D208</f>
        <v/>
      </c>
      <c r="E208" s="65" t="str">
        <f>ASTemp!E208</f>
        <v/>
      </c>
      <c r="F208" s="69" t="str">
        <f>TEXT(ASTemp!F208,Decimals)</f>
        <v/>
      </c>
      <c r="G208" s="69" t="str">
        <f>TEXT(ASTemp!G208,Decimals)</f>
        <v/>
      </c>
      <c r="H208" s="69" t="str">
        <f>TEXT(ASTemp!H208,Decimals)</f>
        <v/>
      </c>
      <c r="I208" s="69" t="str">
        <f>TEXT(ASTemp!I208,Decimals)</f>
        <v/>
      </c>
      <c r="J208" s="69" t="str">
        <f>TEXT(ASTemp!J208,Decimals)</f>
        <v/>
      </c>
      <c r="K208" s="69" t="str">
        <f>TEXT(ASTemp!K208,Decimals)</f>
        <v/>
      </c>
      <c r="L208" s="69" t="str">
        <f>TEXT(ASTemp!L208,Decimals)</f>
        <v/>
      </c>
      <c r="M208" s="71" t="str">
        <f>TEXT(ASTemp!M208,Percentages)</f>
        <v/>
      </c>
      <c r="N208" s="72" t="str">
        <f>TEXT(ASTemp!N208,Percentages)</f>
        <v/>
      </c>
    </row>
    <row r="209" ht="14.25" customHeight="1">
      <c r="B209" s="66" t="str">
        <f>ASTemp!B209</f>
        <v/>
      </c>
      <c r="C209" s="67" t="str">
        <f>ASTemp!C209</f>
        <v/>
      </c>
      <c r="D209" s="68" t="str">
        <f>ASTemp!D209</f>
        <v/>
      </c>
      <c r="E209" s="65" t="str">
        <f>ASTemp!E209</f>
        <v/>
      </c>
      <c r="F209" s="69" t="str">
        <f>TEXT(ASTemp!F209,Decimals)</f>
        <v/>
      </c>
      <c r="G209" s="69" t="str">
        <f>TEXT(ASTemp!G209,Decimals)</f>
        <v/>
      </c>
      <c r="H209" s="69" t="str">
        <f>TEXT(ASTemp!H209,Decimals)</f>
        <v/>
      </c>
      <c r="I209" s="69" t="str">
        <f>TEXT(ASTemp!I209,Decimals)</f>
        <v/>
      </c>
      <c r="J209" s="69" t="str">
        <f>TEXT(ASTemp!J209,Decimals)</f>
        <v/>
      </c>
      <c r="K209" s="69" t="str">
        <f>TEXT(ASTemp!K209,Decimals)</f>
        <v/>
      </c>
      <c r="L209" s="69" t="str">
        <f>TEXT(ASTemp!L209,Decimals)</f>
        <v/>
      </c>
      <c r="M209" s="71" t="str">
        <f>TEXT(ASTemp!M209,Percentages)</f>
        <v/>
      </c>
      <c r="N209" s="72" t="str">
        <f>TEXT(ASTemp!N209,Percentages)</f>
        <v/>
      </c>
    </row>
    <row r="210" ht="14.25" customHeight="1">
      <c r="B210" s="66" t="str">
        <f>ASTemp!B210</f>
        <v/>
      </c>
      <c r="C210" s="67" t="str">
        <f>ASTemp!C210</f>
        <v/>
      </c>
      <c r="D210" s="68" t="str">
        <f>ASTemp!D210</f>
        <v/>
      </c>
      <c r="E210" s="65" t="str">
        <f>ASTemp!E210</f>
        <v/>
      </c>
      <c r="F210" s="69" t="str">
        <f>TEXT(ASTemp!F210,Decimals)</f>
        <v/>
      </c>
      <c r="G210" s="69" t="str">
        <f>TEXT(ASTemp!G210,Decimals)</f>
        <v/>
      </c>
      <c r="H210" s="69" t="str">
        <f>TEXT(ASTemp!H210,Decimals)</f>
        <v/>
      </c>
      <c r="I210" s="69" t="str">
        <f>TEXT(ASTemp!I210,Decimals)</f>
        <v/>
      </c>
      <c r="J210" s="69" t="str">
        <f>TEXT(ASTemp!J210,Decimals)</f>
        <v/>
      </c>
      <c r="K210" s="69" t="str">
        <f>TEXT(ASTemp!K210,Decimals)</f>
        <v/>
      </c>
      <c r="L210" s="69" t="str">
        <f>TEXT(ASTemp!L210,Decimals)</f>
        <v/>
      </c>
      <c r="M210" s="71" t="str">
        <f>TEXT(ASTemp!M210,Percentages)</f>
        <v/>
      </c>
      <c r="N210" s="72" t="str">
        <f>TEXT(ASTemp!N210,Percentages)</f>
        <v/>
      </c>
    </row>
    <row r="211" ht="14.25" customHeight="1">
      <c r="B211" s="66" t="str">
        <f>ASTemp!B211</f>
        <v/>
      </c>
      <c r="C211" s="67" t="str">
        <f>ASTemp!C211</f>
        <v/>
      </c>
      <c r="D211" s="68" t="str">
        <f>ASTemp!D211</f>
        <v/>
      </c>
      <c r="E211" s="65" t="str">
        <f>ASTemp!E211</f>
        <v/>
      </c>
      <c r="F211" s="69" t="str">
        <f>TEXT(ASTemp!F211,Decimals)</f>
        <v/>
      </c>
      <c r="G211" s="69" t="str">
        <f>TEXT(ASTemp!G211,Decimals)</f>
        <v/>
      </c>
      <c r="H211" s="69" t="str">
        <f>TEXT(ASTemp!H211,Decimals)</f>
        <v/>
      </c>
      <c r="I211" s="69" t="str">
        <f>TEXT(ASTemp!I211,Decimals)</f>
        <v/>
      </c>
      <c r="J211" s="69" t="str">
        <f>TEXT(ASTemp!J211,Decimals)</f>
        <v/>
      </c>
      <c r="K211" s="69" t="str">
        <f>TEXT(ASTemp!K211,Decimals)</f>
        <v/>
      </c>
      <c r="L211" s="69" t="str">
        <f>TEXT(ASTemp!L211,Decimals)</f>
        <v/>
      </c>
      <c r="M211" s="71" t="str">
        <f>TEXT(ASTemp!M211,Percentages)</f>
        <v/>
      </c>
      <c r="N211" s="72" t="str">
        <f>TEXT(ASTemp!N211,Percentages)</f>
        <v/>
      </c>
    </row>
    <row r="212" ht="14.25" customHeight="1">
      <c r="B212" s="66" t="str">
        <f>ASTemp!B212</f>
        <v/>
      </c>
      <c r="C212" s="67" t="str">
        <f>ASTemp!C212</f>
        <v/>
      </c>
      <c r="D212" s="68" t="str">
        <f>ASTemp!D212</f>
        <v/>
      </c>
      <c r="E212" s="65" t="str">
        <f>ASTemp!E212</f>
        <v/>
      </c>
      <c r="F212" s="69" t="str">
        <f>TEXT(ASTemp!F212,Decimals)</f>
        <v/>
      </c>
      <c r="G212" s="69" t="str">
        <f>TEXT(ASTemp!G212,Decimals)</f>
        <v/>
      </c>
      <c r="H212" s="69" t="str">
        <f>TEXT(ASTemp!H212,Decimals)</f>
        <v/>
      </c>
      <c r="I212" s="69" t="str">
        <f>TEXT(ASTemp!I212,Decimals)</f>
        <v/>
      </c>
      <c r="J212" s="69" t="str">
        <f>TEXT(ASTemp!J212,Decimals)</f>
        <v/>
      </c>
      <c r="K212" s="69" t="str">
        <f>TEXT(ASTemp!K212,Decimals)</f>
        <v/>
      </c>
      <c r="L212" s="69" t="str">
        <f>TEXT(ASTemp!L212,Decimals)</f>
        <v/>
      </c>
      <c r="M212" s="71" t="str">
        <f>TEXT(ASTemp!M212,Percentages)</f>
        <v/>
      </c>
      <c r="N212" s="72" t="str">
        <f>TEXT(ASTemp!N212,Percentages)</f>
        <v/>
      </c>
    </row>
    <row r="213" ht="14.25" customHeight="1">
      <c r="B213" s="66" t="str">
        <f>ASTemp!B213</f>
        <v/>
      </c>
      <c r="C213" s="67" t="str">
        <f>ASTemp!C213</f>
        <v/>
      </c>
      <c r="D213" s="68" t="str">
        <f>ASTemp!D213</f>
        <v/>
      </c>
      <c r="E213" s="65" t="str">
        <f>ASTemp!E213</f>
        <v/>
      </c>
      <c r="F213" s="69" t="str">
        <f>TEXT(ASTemp!F213,Decimals)</f>
        <v/>
      </c>
      <c r="G213" s="69" t="str">
        <f>TEXT(ASTemp!G213,Decimals)</f>
        <v/>
      </c>
      <c r="H213" s="69" t="str">
        <f>TEXT(ASTemp!H213,Decimals)</f>
        <v/>
      </c>
      <c r="I213" s="69" t="str">
        <f>TEXT(ASTemp!I213,Decimals)</f>
        <v/>
      </c>
      <c r="J213" s="69" t="str">
        <f>TEXT(ASTemp!J213,Decimals)</f>
        <v/>
      </c>
      <c r="K213" s="69" t="str">
        <f>TEXT(ASTemp!K213,Decimals)</f>
        <v/>
      </c>
      <c r="L213" s="69" t="str">
        <f>TEXT(ASTemp!L213,Decimals)</f>
        <v/>
      </c>
      <c r="M213" s="71" t="str">
        <f>TEXT(ASTemp!M213,Percentages)</f>
        <v/>
      </c>
      <c r="N213" s="72" t="str">
        <f>TEXT(ASTemp!N213,Percentages)</f>
        <v/>
      </c>
    </row>
    <row r="214" ht="14.25" customHeight="1">
      <c r="B214" s="66" t="str">
        <f>ASTemp!B214</f>
        <v/>
      </c>
      <c r="C214" s="67" t="str">
        <f>ASTemp!C214</f>
        <v/>
      </c>
      <c r="D214" s="68" t="str">
        <f>ASTemp!D214</f>
        <v/>
      </c>
      <c r="E214" s="65" t="str">
        <f>ASTemp!E214</f>
        <v/>
      </c>
      <c r="F214" s="69" t="str">
        <f>TEXT(ASTemp!F214,Decimals)</f>
        <v/>
      </c>
      <c r="G214" s="69" t="str">
        <f>TEXT(ASTemp!G214,Decimals)</f>
        <v/>
      </c>
      <c r="H214" s="69" t="str">
        <f>TEXT(ASTemp!H214,Decimals)</f>
        <v/>
      </c>
      <c r="I214" s="69" t="str">
        <f>TEXT(ASTemp!I214,Decimals)</f>
        <v/>
      </c>
      <c r="J214" s="69" t="str">
        <f>TEXT(ASTemp!J214,Decimals)</f>
        <v/>
      </c>
      <c r="K214" s="69" t="str">
        <f>TEXT(ASTemp!K214,Decimals)</f>
        <v/>
      </c>
      <c r="L214" s="69" t="str">
        <f>TEXT(ASTemp!L214,Decimals)</f>
        <v/>
      </c>
      <c r="M214" s="71" t="str">
        <f>TEXT(ASTemp!M214,Percentages)</f>
        <v/>
      </c>
      <c r="N214" s="72" t="str">
        <f>TEXT(ASTemp!N214,Percentages)</f>
        <v/>
      </c>
    </row>
    <row r="215" ht="14.25" customHeight="1">
      <c r="B215" s="66" t="str">
        <f>ASTemp!B215</f>
        <v/>
      </c>
      <c r="C215" s="67" t="str">
        <f>ASTemp!C215</f>
        <v/>
      </c>
      <c r="D215" s="68" t="str">
        <f>ASTemp!D215</f>
        <v/>
      </c>
      <c r="E215" s="65" t="str">
        <f>ASTemp!E215</f>
        <v/>
      </c>
      <c r="F215" s="69" t="str">
        <f>TEXT(ASTemp!F215,Decimals)</f>
        <v/>
      </c>
      <c r="G215" s="69" t="str">
        <f>TEXT(ASTemp!G215,Decimals)</f>
        <v/>
      </c>
      <c r="H215" s="69" t="str">
        <f>TEXT(ASTemp!H215,Decimals)</f>
        <v/>
      </c>
      <c r="I215" s="69" t="str">
        <f>TEXT(ASTemp!I215,Decimals)</f>
        <v/>
      </c>
      <c r="J215" s="69" t="str">
        <f>TEXT(ASTemp!J215,Decimals)</f>
        <v/>
      </c>
      <c r="K215" s="69" t="str">
        <f>TEXT(ASTemp!K215,Decimals)</f>
        <v/>
      </c>
      <c r="L215" s="69" t="str">
        <f>TEXT(ASTemp!L215,Decimals)</f>
        <v/>
      </c>
      <c r="M215" s="71" t="str">
        <f>TEXT(ASTemp!M215,Percentages)</f>
        <v/>
      </c>
      <c r="N215" s="72" t="str">
        <f>TEXT(ASTemp!N215,Percentages)</f>
        <v/>
      </c>
    </row>
    <row r="216" ht="14.25" customHeight="1">
      <c r="B216" s="66" t="str">
        <f>ASTemp!B216</f>
        <v/>
      </c>
      <c r="C216" s="67" t="str">
        <f>ASTemp!C216</f>
        <v/>
      </c>
      <c r="D216" s="68" t="str">
        <f>ASTemp!D216</f>
        <v/>
      </c>
      <c r="E216" s="65" t="str">
        <f>ASTemp!E216</f>
        <v/>
      </c>
      <c r="F216" s="69" t="str">
        <f>TEXT(ASTemp!F216,Decimals)</f>
        <v/>
      </c>
      <c r="G216" s="69" t="str">
        <f>TEXT(ASTemp!G216,Decimals)</f>
        <v/>
      </c>
      <c r="H216" s="69" t="str">
        <f>TEXT(ASTemp!H216,Decimals)</f>
        <v/>
      </c>
      <c r="I216" s="69" t="str">
        <f>TEXT(ASTemp!I216,Decimals)</f>
        <v/>
      </c>
      <c r="J216" s="69" t="str">
        <f>TEXT(ASTemp!J216,Decimals)</f>
        <v/>
      </c>
      <c r="K216" s="69" t="str">
        <f>TEXT(ASTemp!K216,Decimals)</f>
        <v/>
      </c>
      <c r="L216" s="69" t="str">
        <f>TEXT(ASTemp!L216,Decimals)</f>
        <v/>
      </c>
      <c r="M216" s="71" t="str">
        <f>TEXT(ASTemp!M216,Percentages)</f>
        <v/>
      </c>
      <c r="N216" s="72" t="str">
        <f>TEXT(ASTemp!N216,Percentages)</f>
        <v/>
      </c>
    </row>
    <row r="217" ht="14.25" customHeight="1">
      <c r="B217" s="66" t="str">
        <f>ASTemp!B217</f>
        <v/>
      </c>
      <c r="C217" s="67" t="str">
        <f>ASTemp!C217</f>
        <v/>
      </c>
      <c r="D217" s="68" t="str">
        <f>ASTemp!D217</f>
        <v/>
      </c>
      <c r="E217" s="65" t="str">
        <f>ASTemp!E217</f>
        <v/>
      </c>
      <c r="F217" s="69" t="str">
        <f>TEXT(ASTemp!F217,Decimals)</f>
        <v/>
      </c>
      <c r="G217" s="69" t="str">
        <f>TEXT(ASTemp!G217,Decimals)</f>
        <v/>
      </c>
      <c r="H217" s="69" t="str">
        <f>TEXT(ASTemp!H217,Decimals)</f>
        <v/>
      </c>
      <c r="I217" s="69" t="str">
        <f>TEXT(ASTemp!I217,Decimals)</f>
        <v/>
      </c>
      <c r="J217" s="69" t="str">
        <f>TEXT(ASTemp!J217,Decimals)</f>
        <v/>
      </c>
      <c r="K217" s="69" t="str">
        <f>TEXT(ASTemp!K217,Decimals)</f>
        <v/>
      </c>
      <c r="L217" s="69" t="str">
        <f>TEXT(ASTemp!L217,Decimals)</f>
        <v/>
      </c>
      <c r="M217" s="71" t="str">
        <f>TEXT(ASTemp!M217,Percentages)</f>
        <v/>
      </c>
      <c r="N217" s="72" t="str">
        <f>TEXT(ASTemp!N217,Percentages)</f>
        <v/>
      </c>
    </row>
    <row r="218" ht="14.25" customHeight="1">
      <c r="B218" s="66" t="str">
        <f>ASTemp!B218</f>
        <v/>
      </c>
      <c r="C218" s="67" t="str">
        <f>ASTemp!C218</f>
        <v/>
      </c>
      <c r="D218" s="68" t="str">
        <f>ASTemp!D218</f>
        <v/>
      </c>
      <c r="E218" s="65" t="str">
        <f>ASTemp!E218</f>
        <v/>
      </c>
      <c r="F218" s="69" t="str">
        <f>TEXT(ASTemp!F218,Decimals)</f>
        <v/>
      </c>
      <c r="G218" s="69" t="str">
        <f>TEXT(ASTemp!G218,Decimals)</f>
        <v/>
      </c>
      <c r="H218" s="69" t="str">
        <f>TEXT(ASTemp!H218,Decimals)</f>
        <v/>
      </c>
      <c r="I218" s="69" t="str">
        <f>TEXT(ASTemp!I218,Decimals)</f>
        <v/>
      </c>
      <c r="J218" s="69" t="str">
        <f>TEXT(ASTemp!J218,Decimals)</f>
        <v/>
      </c>
      <c r="K218" s="69" t="str">
        <f>TEXT(ASTemp!K218,Decimals)</f>
        <v/>
      </c>
      <c r="L218" s="69" t="str">
        <f>TEXT(ASTemp!L218,Decimals)</f>
        <v/>
      </c>
      <c r="M218" s="71" t="str">
        <f>TEXT(ASTemp!M218,Percentages)</f>
        <v/>
      </c>
      <c r="N218" s="72" t="str">
        <f>TEXT(ASTemp!N218,Percentages)</f>
        <v/>
      </c>
    </row>
    <row r="219" ht="14.25" customHeight="1">
      <c r="B219" s="66" t="str">
        <f>ASTemp!B219</f>
        <v/>
      </c>
      <c r="C219" s="67" t="str">
        <f>ASTemp!C219</f>
        <v/>
      </c>
      <c r="D219" s="68" t="str">
        <f>ASTemp!D219</f>
        <v/>
      </c>
      <c r="E219" s="65" t="str">
        <f>ASTemp!E219</f>
        <v/>
      </c>
      <c r="F219" s="69" t="str">
        <f>TEXT(ASTemp!F219,Decimals)</f>
        <v/>
      </c>
      <c r="G219" s="69" t="str">
        <f>TEXT(ASTemp!G219,Decimals)</f>
        <v/>
      </c>
      <c r="H219" s="69" t="str">
        <f>TEXT(ASTemp!H219,Decimals)</f>
        <v/>
      </c>
      <c r="I219" s="69" t="str">
        <f>TEXT(ASTemp!I219,Decimals)</f>
        <v/>
      </c>
      <c r="J219" s="69" t="str">
        <f>TEXT(ASTemp!J219,Decimals)</f>
        <v/>
      </c>
      <c r="K219" s="69" t="str">
        <f>TEXT(ASTemp!K219,Decimals)</f>
        <v/>
      </c>
      <c r="L219" s="69" t="str">
        <f>TEXT(ASTemp!L219,Decimals)</f>
        <v/>
      </c>
      <c r="M219" s="71" t="str">
        <f>TEXT(ASTemp!M219,Percentages)</f>
        <v/>
      </c>
      <c r="N219" s="72" t="str">
        <f>TEXT(ASTemp!N219,Percentages)</f>
        <v/>
      </c>
    </row>
    <row r="220" ht="14.25" customHeight="1">
      <c r="B220" s="66" t="str">
        <f>ASTemp!B220</f>
        <v/>
      </c>
      <c r="C220" s="67" t="str">
        <f>ASTemp!C220</f>
        <v/>
      </c>
      <c r="D220" s="68" t="str">
        <f>ASTemp!D220</f>
        <v/>
      </c>
      <c r="E220" s="65" t="str">
        <f>ASTemp!E220</f>
        <v/>
      </c>
      <c r="F220" s="69" t="str">
        <f>TEXT(ASTemp!F220,Decimals)</f>
        <v/>
      </c>
      <c r="G220" s="69" t="str">
        <f>TEXT(ASTemp!G220,Decimals)</f>
        <v/>
      </c>
      <c r="H220" s="69" t="str">
        <f>TEXT(ASTemp!H220,Decimals)</f>
        <v/>
      </c>
      <c r="I220" s="69" t="str">
        <f>TEXT(ASTemp!I220,Decimals)</f>
        <v/>
      </c>
      <c r="J220" s="69" t="str">
        <f>TEXT(ASTemp!J220,Decimals)</f>
        <v/>
      </c>
      <c r="K220" s="69" t="str">
        <f>TEXT(ASTemp!K220,Decimals)</f>
        <v/>
      </c>
      <c r="L220" s="69" t="str">
        <f>TEXT(ASTemp!L220,Decimals)</f>
        <v/>
      </c>
      <c r="M220" s="71" t="str">
        <f>TEXT(ASTemp!M220,Percentages)</f>
        <v/>
      </c>
      <c r="N220" s="72" t="str">
        <f>TEXT(ASTemp!N220,Percentages)</f>
        <v/>
      </c>
    </row>
    <row r="221" ht="14.25" customHeight="1">
      <c r="B221" s="66" t="str">
        <f>ASTemp!B221</f>
        <v/>
      </c>
      <c r="C221" s="67" t="str">
        <f>ASTemp!C221</f>
        <v/>
      </c>
      <c r="D221" s="68" t="str">
        <f>ASTemp!D221</f>
        <v/>
      </c>
      <c r="E221" s="65" t="str">
        <f>ASTemp!E221</f>
        <v/>
      </c>
      <c r="F221" s="69" t="str">
        <f>TEXT(ASTemp!F221,Decimals)</f>
        <v/>
      </c>
      <c r="G221" s="69" t="str">
        <f>TEXT(ASTemp!G221,Decimals)</f>
        <v/>
      </c>
      <c r="H221" s="69" t="str">
        <f>TEXT(ASTemp!H221,Decimals)</f>
        <v/>
      </c>
      <c r="I221" s="69" t="str">
        <f>TEXT(ASTemp!I221,Decimals)</f>
        <v/>
      </c>
      <c r="J221" s="69" t="str">
        <f>TEXT(ASTemp!J221,Decimals)</f>
        <v/>
      </c>
      <c r="K221" s="69" t="str">
        <f>TEXT(ASTemp!K221,Decimals)</f>
        <v/>
      </c>
      <c r="L221" s="69" t="str">
        <f>TEXT(ASTemp!L221,Decimals)</f>
        <v/>
      </c>
      <c r="M221" s="71" t="str">
        <f>TEXT(ASTemp!M221,Percentages)</f>
        <v/>
      </c>
      <c r="N221" s="72" t="str">
        <f>TEXT(ASTemp!N221,Percentages)</f>
        <v/>
      </c>
    </row>
    <row r="222" ht="14.25" customHeight="1">
      <c r="B222" s="66" t="str">
        <f>ASTemp!B222</f>
        <v/>
      </c>
      <c r="C222" s="67" t="str">
        <f>ASTemp!C222</f>
        <v/>
      </c>
      <c r="D222" s="68" t="str">
        <f>ASTemp!D222</f>
        <v/>
      </c>
      <c r="E222" s="65" t="str">
        <f>ASTemp!E222</f>
        <v/>
      </c>
      <c r="F222" s="69" t="str">
        <f>TEXT(ASTemp!F222,Decimals)</f>
        <v/>
      </c>
      <c r="G222" s="69" t="str">
        <f>TEXT(ASTemp!G222,Decimals)</f>
        <v/>
      </c>
      <c r="H222" s="69" t="str">
        <f>TEXT(ASTemp!H222,Decimals)</f>
        <v/>
      </c>
      <c r="I222" s="69" t="str">
        <f>TEXT(ASTemp!I222,Decimals)</f>
        <v/>
      </c>
      <c r="J222" s="69" t="str">
        <f>TEXT(ASTemp!J222,Decimals)</f>
        <v/>
      </c>
      <c r="K222" s="69" t="str">
        <f>TEXT(ASTemp!K222,Decimals)</f>
        <v/>
      </c>
      <c r="L222" s="69" t="str">
        <f>TEXT(ASTemp!L222,Decimals)</f>
        <v/>
      </c>
      <c r="M222" s="71" t="str">
        <f>TEXT(ASTemp!M222,Percentages)</f>
        <v/>
      </c>
      <c r="N222" s="72" t="str">
        <f>TEXT(ASTemp!N222,Percentages)</f>
        <v/>
      </c>
    </row>
    <row r="223" ht="14.25" customHeight="1">
      <c r="B223" s="66" t="str">
        <f>ASTemp!B223</f>
        <v/>
      </c>
      <c r="C223" s="67" t="str">
        <f>ASTemp!C223</f>
        <v/>
      </c>
      <c r="D223" s="68" t="str">
        <f>ASTemp!D223</f>
        <v/>
      </c>
      <c r="E223" s="65" t="str">
        <f>ASTemp!E223</f>
        <v/>
      </c>
      <c r="F223" s="69" t="str">
        <f>TEXT(ASTemp!F223,Decimals)</f>
        <v/>
      </c>
      <c r="G223" s="69" t="str">
        <f>TEXT(ASTemp!G223,Decimals)</f>
        <v/>
      </c>
      <c r="H223" s="69" t="str">
        <f>TEXT(ASTemp!H223,Decimals)</f>
        <v/>
      </c>
      <c r="I223" s="69" t="str">
        <f>TEXT(ASTemp!I223,Decimals)</f>
        <v/>
      </c>
      <c r="J223" s="69" t="str">
        <f>TEXT(ASTemp!J223,Decimals)</f>
        <v/>
      </c>
      <c r="K223" s="69" t="str">
        <f>TEXT(ASTemp!K223,Decimals)</f>
        <v/>
      </c>
      <c r="L223" s="69" t="str">
        <f>TEXT(ASTemp!L223,Decimals)</f>
        <v/>
      </c>
      <c r="M223" s="71" t="str">
        <f>TEXT(ASTemp!M223,Percentages)</f>
        <v/>
      </c>
      <c r="N223" s="72" t="str">
        <f>TEXT(ASTemp!N223,Percentages)</f>
        <v/>
      </c>
    </row>
    <row r="224" ht="14.25" customHeight="1">
      <c r="B224" s="66" t="str">
        <f>ASTemp!B224</f>
        <v/>
      </c>
      <c r="C224" s="67" t="str">
        <f>ASTemp!C224</f>
        <v/>
      </c>
      <c r="D224" s="68" t="str">
        <f>ASTemp!D224</f>
        <v/>
      </c>
      <c r="E224" s="65" t="str">
        <f>ASTemp!E224</f>
        <v/>
      </c>
      <c r="F224" s="69" t="str">
        <f>TEXT(ASTemp!F224,Decimals)</f>
        <v/>
      </c>
      <c r="G224" s="69" t="str">
        <f>TEXT(ASTemp!G224,Decimals)</f>
        <v/>
      </c>
      <c r="H224" s="69" t="str">
        <f>TEXT(ASTemp!H224,Decimals)</f>
        <v/>
      </c>
      <c r="I224" s="69" t="str">
        <f>TEXT(ASTemp!I224,Decimals)</f>
        <v/>
      </c>
      <c r="J224" s="69" t="str">
        <f>TEXT(ASTemp!J224,Decimals)</f>
        <v/>
      </c>
      <c r="K224" s="69" t="str">
        <f>TEXT(ASTemp!K224,Decimals)</f>
        <v/>
      </c>
      <c r="L224" s="69" t="str">
        <f>TEXT(ASTemp!L224,Decimals)</f>
        <v/>
      </c>
      <c r="M224" s="71" t="str">
        <f>TEXT(ASTemp!M224,Percentages)</f>
        <v/>
      </c>
      <c r="N224" s="72" t="str">
        <f>TEXT(ASTemp!N224,Percentages)</f>
        <v/>
      </c>
    </row>
    <row r="225" ht="14.25" customHeight="1">
      <c r="B225" s="66" t="str">
        <f>ASTemp!B225</f>
        <v/>
      </c>
      <c r="C225" s="67" t="str">
        <f>ASTemp!C225</f>
        <v/>
      </c>
      <c r="D225" s="68" t="str">
        <f>ASTemp!D225</f>
        <v/>
      </c>
      <c r="E225" s="65" t="str">
        <f>ASTemp!E225</f>
        <v/>
      </c>
      <c r="F225" s="69" t="str">
        <f>TEXT(ASTemp!F225,Decimals)</f>
        <v/>
      </c>
      <c r="G225" s="69" t="str">
        <f>TEXT(ASTemp!G225,Decimals)</f>
        <v/>
      </c>
      <c r="H225" s="69" t="str">
        <f>TEXT(ASTemp!H225,Decimals)</f>
        <v/>
      </c>
      <c r="I225" s="69" t="str">
        <f>TEXT(ASTemp!I225,Decimals)</f>
        <v/>
      </c>
      <c r="J225" s="69" t="str">
        <f>TEXT(ASTemp!J225,Decimals)</f>
        <v/>
      </c>
      <c r="K225" s="69" t="str">
        <f>TEXT(ASTemp!K225,Decimals)</f>
        <v/>
      </c>
      <c r="L225" s="69" t="str">
        <f>TEXT(ASTemp!L225,Decimals)</f>
        <v/>
      </c>
      <c r="M225" s="71" t="str">
        <f>TEXT(ASTemp!M225,Percentages)</f>
        <v/>
      </c>
      <c r="N225" s="72" t="str">
        <f>TEXT(ASTemp!N225,Percentages)</f>
        <v/>
      </c>
    </row>
    <row r="226" ht="14.25" customHeight="1">
      <c r="B226" s="66" t="str">
        <f>ASTemp!B226</f>
        <v/>
      </c>
      <c r="C226" s="67" t="str">
        <f>ASTemp!C226</f>
        <v/>
      </c>
      <c r="D226" s="68" t="str">
        <f>ASTemp!D226</f>
        <v/>
      </c>
      <c r="E226" s="65" t="str">
        <f>ASTemp!E226</f>
        <v/>
      </c>
      <c r="F226" s="69" t="str">
        <f>TEXT(ASTemp!F226,Decimals)</f>
        <v/>
      </c>
      <c r="G226" s="69" t="str">
        <f>TEXT(ASTemp!G226,Decimals)</f>
        <v/>
      </c>
      <c r="H226" s="69" t="str">
        <f>TEXT(ASTemp!H226,Decimals)</f>
        <v/>
      </c>
      <c r="I226" s="69" t="str">
        <f>TEXT(ASTemp!I226,Decimals)</f>
        <v/>
      </c>
      <c r="J226" s="69" t="str">
        <f>TEXT(ASTemp!J226,Decimals)</f>
        <v/>
      </c>
      <c r="K226" s="69" t="str">
        <f>TEXT(ASTemp!K226,Decimals)</f>
        <v/>
      </c>
      <c r="L226" s="69" t="str">
        <f>TEXT(ASTemp!L226,Decimals)</f>
        <v/>
      </c>
      <c r="M226" s="71" t="str">
        <f>TEXT(ASTemp!M226,Percentages)</f>
        <v/>
      </c>
      <c r="N226" s="72" t="str">
        <f>TEXT(ASTemp!N226,Percentages)</f>
        <v/>
      </c>
    </row>
    <row r="227" ht="14.25" customHeight="1">
      <c r="B227" s="66" t="str">
        <f>ASTemp!B227</f>
        <v/>
      </c>
      <c r="C227" s="67" t="str">
        <f>ASTemp!C227</f>
        <v/>
      </c>
      <c r="D227" s="68" t="str">
        <f>ASTemp!D227</f>
        <v/>
      </c>
      <c r="E227" s="65" t="str">
        <f>ASTemp!E227</f>
        <v/>
      </c>
      <c r="F227" s="69" t="str">
        <f>TEXT(ASTemp!F227,Decimals)</f>
        <v/>
      </c>
      <c r="G227" s="69" t="str">
        <f>TEXT(ASTemp!G227,Decimals)</f>
        <v/>
      </c>
      <c r="H227" s="69" t="str">
        <f>TEXT(ASTemp!H227,Decimals)</f>
        <v/>
      </c>
      <c r="I227" s="69" t="str">
        <f>TEXT(ASTemp!I227,Decimals)</f>
        <v/>
      </c>
      <c r="J227" s="69" t="str">
        <f>TEXT(ASTemp!J227,Decimals)</f>
        <v/>
      </c>
      <c r="K227" s="69" t="str">
        <f>TEXT(ASTemp!K227,Decimals)</f>
        <v/>
      </c>
      <c r="L227" s="69" t="str">
        <f>TEXT(ASTemp!L227,Decimals)</f>
        <v/>
      </c>
      <c r="M227" s="71" t="str">
        <f>TEXT(ASTemp!M227,Percentages)</f>
        <v/>
      </c>
      <c r="N227" s="72" t="str">
        <f>TEXT(ASTemp!N227,Percentages)</f>
        <v/>
      </c>
    </row>
    <row r="228" ht="14.25" customHeight="1">
      <c r="B228" s="66" t="str">
        <f>ASTemp!B228</f>
        <v/>
      </c>
      <c r="C228" s="67" t="str">
        <f>ASTemp!C228</f>
        <v/>
      </c>
      <c r="D228" s="68" t="str">
        <f>ASTemp!D228</f>
        <v/>
      </c>
      <c r="E228" s="65" t="str">
        <f>ASTemp!E228</f>
        <v/>
      </c>
      <c r="F228" s="69" t="str">
        <f>TEXT(ASTemp!F228,Decimals)</f>
        <v/>
      </c>
      <c r="G228" s="69" t="str">
        <f>TEXT(ASTemp!G228,Decimals)</f>
        <v/>
      </c>
      <c r="H228" s="69" t="str">
        <f>TEXT(ASTemp!H228,Decimals)</f>
        <v/>
      </c>
      <c r="I228" s="69" t="str">
        <f>TEXT(ASTemp!I228,Decimals)</f>
        <v/>
      </c>
      <c r="J228" s="69" t="str">
        <f>TEXT(ASTemp!J228,Decimals)</f>
        <v/>
      </c>
      <c r="K228" s="69" t="str">
        <f>TEXT(ASTemp!K228,Decimals)</f>
        <v/>
      </c>
      <c r="L228" s="69" t="str">
        <f>TEXT(ASTemp!L228,Decimals)</f>
        <v/>
      </c>
      <c r="M228" s="71" t="str">
        <f>TEXT(ASTemp!M228,Percentages)</f>
        <v/>
      </c>
      <c r="N228" s="72" t="str">
        <f>TEXT(ASTemp!N228,Percentages)</f>
        <v/>
      </c>
    </row>
    <row r="229" ht="14.25" customHeight="1">
      <c r="B229" s="66" t="str">
        <f>ASTemp!B229</f>
        <v/>
      </c>
      <c r="C229" s="67" t="str">
        <f>ASTemp!C229</f>
        <v/>
      </c>
      <c r="D229" s="68" t="str">
        <f>ASTemp!D229</f>
        <v/>
      </c>
      <c r="E229" s="65" t="str">
        <f>ASTemp!E229</f>
        <v/>
      </c>
      <c r="F229" s="69" t="str">
        <f>TEXT(ASTemp!F229,Decimals)</f>
        <v/>
      </c>
      <c r="G229" s="69" t="str">
        <f>TEXT(ASTemp!G229,Decimals)</f>
        <v/>
      </c>
      <c r="H229" s="69" t="str">
        <f>TEXT(ASTemp!H229,Decimals)</f>
        <v/>
      </c>
      <c r="I229" s="69" t="str">
        <f>TEXT(ASTemp!I229,Decimals)</f>
        <v/>
      </c>
      <c r="J229" s="69" t="str">
        <f>TEXT(ASTemp!J229,Decimals)</f>
        <v/>
      </c>
      <c r="K229" s="69" t="str">
        <f>TEXT(ASTemp!K229,Decimals)</f>
        <v/>
      </c>
      <c r="L229" s="69" t="str">
        <f>TEXT(ASTemp!L229,Decimals)</f>
        <v/>
      </c>
      <c r="M229" s="71" t="str">
        <f>TEXT(ASTemp!M229,Percentages)</f>
        <v/>
      </c>
      <c r="N229" s="72" t="str">
        <f>TEXT(ASTemp!N229,Percentages)</f>
        <v/>
      </c>
    </row>
    <row r="230" ht="14.25" customHeight="1">
      <c r="B230" s="66" t="str">
        <f>ASTemp!B230</f>
        <v/>
      </c>
      <c r="C230" s="67" t="str">
        <f>ASTemp!C230</f>
        <v/>
      </c>
      <c r="D230" s="68" t="str">
        <f>ASTemp!D230</f>
        <v/>
      </c>
      <c r="E230" s="65" t="str">
        <f>ASTemp!E230</f>
        <v/>
      </c>
      <c r="F230" s="69" t="str">
        <f>TEXT(ASTemp!F230,Decimals)</f>
        <v/>
      </c>
      <c r="G230" s="69" t="str">
        <f>TEXT(ASTemp!G230,Decimals)</f>
        <v/>
      </c>
      <c r="H230" s="69" t="str">
        <f>TEXT(ASTemp!H230,Decimals)</f>
        <v/>
      </c>
      <c r="I230" s="69" t="str">
        <f>TEXT(ASTemp!I230,Decimals)</f>
        <v/>
      </c>
      <c r="J230" s="69" t="str">
        <f>TEXT(ASTemp!J230,Decimals)</f>
        <v/>
      </c>
      <c r="K230" s="69" t="str">
        <f>TEXT(ASTemp!K230,Decimals)</f>
        <v/>
      </c>
      <c r="L230" s="69" t="str">
        <f>TEXT(ASTemp!L230,Decimals)</f>
        <v/>
      </c>
      <c r="M230" s="71" t="str">
        <f>TEXT(ASTemp!M230,Percentages)</f>
        <v/>
      </c>
      <c r="N230" s="72" t="str">
        <f>TEXT(ASTemp!N230,Percentages)</f>
        <v/>
      </c>
    </row>
    <row r="231" ht="14.25" customHeight="1">
      <c r="B231" s="66" t="str">
        <f>ASTemp!B231</f>
        <v/>
      </c>
      <c r="C231" s="67" t="str">
        <f>ASTemp!C231</f>
        <v/>
      </c>
      <c r="D231" s="68" t="str">
        <f>ASTemp!D231</f>
        <v/>
      </c>
      <c r="E231" s="65" t="str">
        <f>ASTemp!E231</f>
        <v/>
      </c>
      <c r="F231" s="69" t="str">
        <f>TEXT(ASTemp!F231,Decimals)</f>
        <v/>
      </c>
      <c r="G231" s="69" t="str">
        <f>TEXT(ASTemp!G231,Decimals)</f>
        <v/>
      </c>
      <c r="H231" s="69" t="str">
        <f>TEXT(ASTemp!H231,Decimals)</f>
        <v/>
      </c>
      <c r="I231" s="69" t="str">
        <f>TEXT(ASTemp!I231,Decimals)</f>
        <v/>
      </c>
      <c r="J231" s="69" t="str">
        <f>TEXT(ASTemp!J231,Decimals)</f>
        <v/>
      </c>
      <c r="K231" s="69" t="str">
        <f>TEXT(ASTemp!K231,Decimals)</f>
        <v/>
      </c>
      <c r="L231" s="69" t="str">
        <f>TEXT(ASTemp!L231,Decimals)</f>
        <v/>
      </c>
      <c r="M231" s="71" t="str">
        <f>TEXT(ASTemp!M231,Percentages)</f>
        <v/>
      </c>
      <c r="N231" s="72" t="str">
        <f>TEXT(ASTemp!N231,Percentages)</f>
        <v/>
      </c>
    </row>
    <row r="232" ht="14.25" customHeight="1">
      <c r="B232" s="66" t="str">
        <f>ASTemp!B232</f>
        <v/>
      </c>
      <c r="C232" s="67" t="str">
        <f>ASTemp!C232</f>
        <v/>
      </c>
      <c r="D232" s="68" t="str">
        <f>ASTemp!D232</f>
        <v/>
      </c>
      <c r="E232" s="65" t="str">
        <f>ASTemp!E232</f>
        <v/>
      </c>
      <c r="F232" s="69" t="str">
        <f>TEXT(ASTemp!F232,Decimals)</f>
        <v/>
      </c>
      <c r="G232" s="69" t="str">
        <f>TEXT(ASTemp!G232,Decimals)</f>
        <v/>
      </c>
      <c r="H232" s="69" t="str">
        <f>TEXT(ASTemp!H232,Decimals)</f>
        <v/>
      </c>
      <c r="I232" s="69" t="str">
        <f>TEXT(ASTemp!I232,Decimals)</f>
        <v/>
      </c>
      <c r="J232" s="69" t="str">
        <f>TEXT(ASTemp!J232,Decimals)</f>
        <v/>
      </c>
      <c r="K232" s="69" t="str">
        <f>TEXT(ASTemp!K232,Decimals)</f>
        <v/>
      </c>
      <c r="L232" s="69" t="str">
        <f>TEXT(ASTemp!L232,Decimals)</f>
        <v/>
      </c>
      <c r="M232" s="71" t="str">
        <f>TEXT(ASTemp!M232,Percentages)</f>
        <v/>
      </c>
      <c r="N232" s="72" t="str">
        <f>TEXT(ASTemp!N232,Percentages)</f>
        <v/>
      </c>
    </row>
    <row r="233" ht="14.25" customHeight="1">
      <c r="B233" s="66" t="str">
        <f>ASTemp!B233</f>
        <v/>
      </c>
      <c r="C233" s="67" t="str">
        <f>ASTemp!C233</f>
        <v/>
      </c>
      <c r="D233" s="68" t="str">
        <f>ASTemp!D233</f>
        <v/>
      </c>
      <c r="E233" s="65" t="str">
        <f>ASTemp!E233</f>
        <v/>
      </c>
      <c r="F233" s="69" t="str">
        <f>TEXT(ASTemp!F233,Decimals)</f>
        <v/>
      </c>
      <c r="G233" s="69" t="str">
        <f>TEXT(ASTemp!G233,Decimals)</f>
        <v/>
      </c>
      <c r="H233" s="69" t="str">
        <f>TEXT(ASTemp!H233,Decimals)</f>
        <v/>
      </c>
      <c r="I233" s="69" t="str">
        <f>TEXT(ASTemp!I233,Decimals)</f>
        <v/>
      </c>
      <c r="J233" s="69" t="str">
        <f>TEXT(ASTemp!J233,Decimals)</f>
        <v/>
      </c>
      <c r="K233" s="69" t="str">
        <f>TEXT(ASTemp!K233,Decimals)</f>
        <v/>
      </c>
      <c r="L233" s="69" t="str">
        <f>TEXT(ASTemp!L233,Decimals)</f>
        <v/>
      </c>
      <c r="M233" s="71" t="str">
        <f>TEXT(ASTemp!M233,Percentages)</f>
        <v/>
      </c>
      <c r="N233" s="72" t="str">
        <f>TEXT(ASTemp!N233,Percentages)</f>
        <v/>
      </c>
    </row>
    <row r="234" ht="14.25" customHeight="1">
      <c r="B234" s="66" t="str">
        <f>ASTemp!B234</f>
        <v/>
      </c>
      <c r="C234" s="67" t="str">
        <f>ASTemp!C234</f>
        <v/>
      </c>
      <c r="D234" s="68" t="str">
        <f>ASTemp!D234</f>
        <v/>
      </c>
      <c r="E234" s="65" t="str">
        <f>ASTemp!E234</f>
        <v/>
      </c>
      <c r="F234" s="69" t="str">
        <f>TEXT(ASTemp!F234,Decimals)</f>
        <v/>
      </c>
      <c r="G234" s="69" t="str">
        <f>TEXT(ASTemp!G234,Decimals)</f>
        <v/>
      </c>
      <c r="H234" s="69" t="str">
        <f>TEXT(ASTemp!H234,Decimals)</f>
        <v/>
      </c>
      <c r="I234" s="69" t="str">
        <f>TEXT(ASTemp!I234,Decimals)</f>
        <v/>
      </c>
      <c r="J234" s="69" t="str">
        <f>TEXT(ASTemp!J234,Decimals)</f>
        <v/>
      </c>
      <c r="K234" s="69" t="str">
        <f>TEXT(ASTemp!K234,Decimals)</f>
        <v/>
      </c>
      <c r="L234" s="69" t="str">
        <f>TEXT(ASTemp!L234,Decimals)</f>
        <v/>
      </c>
      <c r="M234" s="71" t="str">
        <f>TEXT(ASTemp!M234,Percentages)</f>
        <v/>
      </c>
      <c r="N234" s="72" t="str">
        <f>TEXT(ASTemp!N234,Percentages)</f>
        <v/>
      </c>
    </row>
    <row r="235" ht="14.25" customHeight="1">
      <c r="B235" s="66" t="str">
        <f>ASTemp!B235</f>
        <v/>
      </c>
      <c r="C235" s="67" t="str">
        <f>ASTemp!C235</f>
        <v/>
      </c>
      <c r="D235" s="68" t="str">
        <f>ASTemp!D235</f>
        <v/>
      </c>
      <c r="E235" s="65" t="str">
        <f>ASTemp!E235</f>
        <v/>
      </c>
      <c r="F235" s="69" t="str">
        <f>TEXT(ASTemp!F235,Decimals)</f>
        <v/>
      </c>
      <c r="G235" s="69" t="str">
        <f>TEXT(ASTemp!G235,Decimals)</f>
        <v/>
      </c>
      <c r="H235" s="69" t="str">
        <f>TEXT(ASTemp!H235,Decimals)</f>
        <v/>
      </c>
      <c r="I235" s="69" t="str">
        <f>TEXT(ASTemp!I235,Decimals)</f>
        <v/>
      </c>
      <c r="J235" s="69" t="str">
        <f>TEXT(ASTemp!J235,Decimals)</f>
        <v/>
      </c>
      <c r="K235" s="69" t="str">
        <f>TEXT(ASTemp!K235,Decimals)</f>
        <v/>
      </c>
      <c r="L235" s="69" t="str">
        <f>TEXT(ASTemp!L235,Decimals)</f>
        <v/>
      </c>
      <c r="M235" s="71" t="str">
        <f>TEXT(ASTemp!M235,Percentages)</f>
        <v/>
      </c>
      <c r="N235" s="72" t="str">
        <f>TEXT(ASTemp!N235,Percentages)</f>
        <v/>
      </c>
    </row>
    <row r="236" ht="14.25" customHeight="1">
      <c r="B236" s="66" t="str">
        <f>ASTemp!B236</f>
        <v/>
      </c>
      <c r="C236" s="67" t="str">
        <f>ASTemp!C236</f>
        <v/>
      </c>
      <c r="D236" s="68" t="str">
        <f>ASTemp!D236</f>
        <v/>
      </c>
      <c r="E236" s="65" t="str">
        <f>ASTemp!E236</f>
        <v/>
      </c>
      <c r="F236" s="69" t="str">
        <f>TEXT(ASTemp!F236,Decimals)</f>
        <v/>
      </c>
      <c r="G236" s="69" t="str">
        <f>TEXT(ASTemp!G236,Decimals)</f>
        <v/>
      </c>
      <c r="H236" s="69" t="str">
        <f>TEXT(ASTemp!H236,Decimals)</f>
        <v/>
      </c>
      <c r="I236" s="69" t="str">
        <f>TEXT(ASTemp!I236,Decimals)</f>
        <v/>
      </c>
      <c r="J236" s="69" t="str">
        <f>TEXT(ASTemp!J236,Decimals)</f>
        <v/>
      </c>
      <c r="K236" s="69" t="str">
        <f>TEXT(ASTemp!K236,Decimals)</f>
        <v/>
      </c>
      <c r="L236" s="69" t="str">
        <f>TEXT(ASTemp!L236,Decimals)</f>
        <v/>
      </c>
      <c r="M236" s="71" t="str">
        <f>TEXT(ASTemp!M236,Percentages)</f>
        <v/>
      </c>
      <c r="N236" s="72" t="str">
        <f>TEXT(ASTemp!N236,Percentages)</f>
        <v/>
      </c>
    </row>
    <row r="237" ht="14.25" customHeight="1">
      <c r="B237" s="66" t="str">
        <f>ASTemp!B237</f>
        <v/>
      </c>
      <c r="C237" s="67" t="str">
        <f>ASTemp!C237</f>
        <v/>
      </c>
      <c r="D237" s="68" t="str">
        <f>ASTemp!D237</f>
        <v/>
      </c>
      <c r="E237" s="65" t="str">
        <f>ASTemp!E237</f>
        <v/>
      </c>
      <c r="F237" s="69" t="str">
        <f>TEXT(ASTemp!F237,Decimals)</f>
        <v/>
      </c>
      <c r="G237" s="69" t="str">
        <f>TEXT(ASTemp!G237,Decimals)</f>
        <v/>
      </c>
      <c r="H237" s="69" t="str">
        <f>TEXT(ASTemp!H237,Decimals)</f>
        <v/>
      </c>
      <c r="I237" s="69" t="str">
        <f>TEXT(ASTemp!I237,Decimals)</f>
        <v/>
      </c>
      <c r="J237" s="69" t="str">
        <f>TEXT(ASTemp!J237,Decimals)</f>
        <v/>
      </c>
      <c r="K237" s="69" t="str">
        <f>TEXT(ASTemp!K237,Decimals)</f>
        <v/>
      </c>
      <c r="L237" s="69" t="str">
        <f>TEXT(ASTemp!L237,Decimals)</f>
        <v/>
      </c>
      <c r="M237" s="71" t="str">
        <f>TEXT(ASTemp!M237,Percentages)</f>
        <v/>
      </c>
      <c r="N237" s="72" t="str">
        <f>TEXT(ASTemp!N237,Percentages)</f>
        <v/>
      </c>
    </row>
    <row r="238" ht="14.25" customHeight="1">
      <c r="B238" s="66" t="str">
        <f>ASTemp!B238</f>
        <v/>
      </c>
      <c r="C238" s="67" t="str">
        <f>ASTemp!C238</f>
        <v/>
      </c>
      <c r="D238" s="68" t="str">
        <f>ASTemp!D238</f>
        <v/>
      </c>
      <c r="E238" s="65" t="str">
        <f>ASTemp!E238</f>
        <v/>
      </c>
      <c r="F238" s="69" t="str">
        <f>TEXT(ASTemp!F238,Decimals)</f>
        <v/>
      </c>
      <c r="G238" s="69" t="str">
        <f>TEXT(ASTemp!G238,Decimals)</f>
        <v/>
      </c>
      <c r="H238" s="69" t="str">
        <f>TEXT(ASTemp!H238,Decimals)</f>
        <v/>
      </c>
      <c r="I238" s="69" t="str">
        <f>TEXT(ASTemp!I238,Decimals)</f>
        <v/>
      </c>
      <c r="J238" s="69" t="str">
        <f>TEXT(ASTemp!J238,Decimals)</f>
        <v/>
      </c>
      <c r="K238" s="69" t="str">
        <f>TEXT(ASTemp!K238,Decimals)</f>
        <v/>
      </c>
      <c r="L238" s="69" t="str">
        <f>TEXT(ASTemp!L238,Decimals)</f>
        <v/>
      </c>
      <c r="M238" s="71" t="str">
        <f>TEXT(ASTemp!M238,Percentages)</f>
        <v/>
      </c>
      <c r="N238" s="72" t="str">
        <f>TEXT(ASTemp!N238,Percentages)</f>
        <v/>
      </c>
    </row>
    <row r="239" ht="14.25" customHeight="1">
      <c r="B239" s="66" t="str">
        <f>ASTemp!B239</f>
        <v/>
      </c>
      <c r="C239" s="67" t="str">
        <f>ASTemp!C239</f>
        <v/>
      </c>
      <c r="D239" s="68" t="str">
        <f>ASTemp!D239</f>
        <v/>
      </c>
      <c r="E239" s="65" t="str">
        <f>ASTemp!E239</f>
        <v/>
      </c>
      <c r="F239" s="69" t="str">
        <f>TEXT(ASTemp!F239,Decimals)</f>
        <v/>
      </c>
      <c r="G239" s="69" t="str">
        <f>TEXT(ASTemp!G239,Decimals)</f>
        <v/>
      </c>
      <c r="H239" s="69" t="str">
        <f>TEXT(ASTemp!H239,Decimals)</f>
        <v/>
      </c>
      <c r="I239" s="69" t="str">
        <f>TEXT(ASTemp!I239,Decimals)</f>
        <v/>
      </c>
      <c r="J239" s="69" t="str">
        <f>TEXT(ASTemp!J239,Decimals)</f>
        <v/>
      </c>
      <c r="K239" s="69" t="str">
        <f>TEXT(ASTemp!K239,Decimals)</f>
        <v/>
      </c>
      <c r="L239" s="69" t="str">
        <f>TEXT(ASTemp!L239,Decimals)</f>
        <v/>
      </c>
      <c r="M239" s="71" t="str">
        <f>TEXT(ASTemp!M239,Percentages)</f>
        <v/>
      </c>
      <c r="N239" s="72" t="str">
        <f>TEXT(ASTemp!N239,Percentages)</f>
        <v/>
      </c>
    </row>
    <row r="240" ht="14.25" customHeight="1">
      <c r="B240" s="66" t="str">
        <f>ASTemp!B240</f>
        <v/>
      </c>
      <c r="C240" s="67" t="str">
        <f>ASTemp!C240</f>
        <v/>
      </c>
      <c r="D240" s="68" t="str">
        <f>ASTemp!D240</f>
        <v/>
      </c>
      <c r="E240" s="65" t="str">
        <f>ASTemp!E240</f>
        <v/>
      </c>
      <c r="F240" s="69" t="str">
        <f>TEXT(ASTemp!F240,Decimals)</f>
        <v/>
      </c>
      <c r="G240" s="69" t="str">
        <f>TEXT(ASTemp!G240,Decimals)</f>
        <v/>
      </c>
      <c r="H240" s="69" t="str">
        <f>TEXT(ASTemp!H240,Decimals)</f>
        <v/>
      </c>
      <c r="I240" s="69" t="str">
        <f>TEXT(ASTemp!I240,Decimals)</f>
        <v/>
      </c>
      <c r="J240" s="69" t="str">
        <f>TEXT(ASTemp!J240,Decimals)</f>
        <v/>
      </c>
      <c r="K240" s="69" t="str">
        <f>TEXT(ASTemp!K240,Decimals)</f>
        <v/>
      </c>
      <c r="L240" s="69" t="str">
        <f>TEXT(ASTemp!L240,Decimals)</f>
        <v/>
      </c>
      <c r="M240" s="71" t="str">
        <f>TEXT(ASTemp!M240,Percentages)</f>
        <v/>
      </c>
      <c r="N240" s="72" t="str">
        <f>TEXT(ASTemp!N240,Percentages)</f>
        <v/>
      </c>
    </row>
    <row r="241" ht="14.25" customHeight="1">
      <c r="B241" s="66" t="str">
        <f>ASTemp!B241</f>
        <v/>
      </c>
      <c r="C241" s="67" t="str">
        <f>ASTemp!C241</f>
        <v/>
      </c>
      <c r="D241" s="68" t="str">
        <f>ASTemp!D241</f>
        <v/>
      </c>
      <c r="E241" s="65" t="str">
        <f>ASTemp!E241</f>
        <v/>
      </c>
      <c r="F241" s="69" t="str">
        <f>TEXT(ASTemp!F241,Decimals)</f>
        <v/>
      </c>
      <c r="G241" s="69" t="str">
        <f>TEXT(ASTemp!G241,Decimals)</f>
        <v/>
      </c>
      <c r="H241" s="69" t="str">
        <f>TEXT(ASTemp!H241,Decimals)</f>
        <v/>
      </c>
      <c r="I241" s="69" t="str">
        <f>TEXT(ASTemp!I241,Decimals)</f>
        <v/>
      </c>
      <c r="J241" s="69" t="str">
        <f>TEXT(ASTemp!J241,Decimals)</f>
        <v/>
      </c>
      <c r="K241" s="69" t="str">
        <f>TEXT(ASTemp!K241,Decimals)</f>
        <v/>
      </c>
      <c r="L241" s="69" t="str">
        <f>TEXT(ASTemp!L241,Decimals)</f>
        <v/>
      </c>
      <c r="M241" s="71" t="str">
        <f>TEXT(ASTemp!M241,Percentages)</f>
        <v/>
      </c>
      <c r="N241" s="72" t="str">
        <f>TEXT(ASTemp!N241,Percentages)</f>
        <v/>
      </c>
    </row>
    <row r="242" ht="14.25" customHeight="1">
      <c r="B242" s="66" t="str">
        <f>ASTemp!B242</f>
        <v/>
      </c>
      <c r="C242" s="67" t="str">
        <f>ASTemp!C242</f>
        <v/>
      </c>
      <c r="D242" s="68" t="str">
        <f>ASTemp!D242</f>
        <v/>
      </c>
      <c r="E242" s="65" t="str">
        <f>ASTemp!E242</f>
        <v/>
      </c>
      <c r="F242" s="69" t="str">
        <f>TEXT(ASTemp!F242,Decimals)</f>
        <v/>
      </c>
      <c r="G242" s="69" t="str">
        <f>TEXT(ASTemp!G242,Decimals)</f>
        <v/>
      </c>
      <c r="H242" s="69" t="str">
        <f>TEXT(ASTemp!H242,Decimals)</f>
        <v/>
      </c>
      <c r="I242" s="69" t="str">
        <f>TEXT(ASTemp!I242,Decimals)</f>
        <v/>
      </c>
      <c r="J242" s="69" t="str">
        <f>TEXT(ASTemp!J242,Decimals)</f>
        <v/>
      </c>
      <c r="K242" s="69" t="str">
        <f>TEXT(ASTemp!K242,Decimals)</f>
        <v/>
      </c>
      <c r="L242" s="69" t="str">
        <f>TEXT(ASTemp!L242,Decimals)</f>
        <v/>
      </c>
      <c r="M242" s="71" t="str">
        <f>TEXT(ASTemp!M242,Percentages)</f>
        <v/>
      </c>
      <c r="N242" s="72" t="str">
        <f>TEXT(ASTemp!N242,Percentages)</f>
        <v/>
      </c>
    </row>
    <row r="243" ht="14.25" customHeight="1">
      <c r="B243" s="66" t="str">
        <f>ASTemp!B243</f>
        <v/>
      </c>
      <c r="C243" s="67" t="str">
        <f>ASTemp!C243</f>
        <v/>
      </c>
      <c r="D243" s="68" t="str">
        <f>ASTemp!D243</f>
        <v/>
      </c>
      <c r="E243" s="65" t="str">
        <f>ASTemp!E243</f>
        <v/>
      </c>
      <c r="F243" s="69" t="str">
        <f>TEXT(ASTemp!F243,Decimals)</f>
        <v/>
      </c>
      <c r="G243" s="69" t="str">
        <f>TEXT(ASTemp!G243,Decimals)</f>
        <v/>
      </c>
      <c r="H243" s="69" t="str">
        <f>TEXT(ASTemp!H243,Decimals)</f>
        <v/>
      </c>
      <c r="I243" s="69" t="str">
        <f>TEXT(ASTemp!I243,Decimals)</f>
        <v/>
      </c>
      <c r="J243" s="69" t="str">
        <f>TEXT(ASTemp!J243,Decimals)</f>
        <v/>
      </c>
      <c r="K243" s="69" t="str">
        <f>TEXT(ASTemp!K243,Decimals)</f>
        <v/>
      </c>
      <c r="L243" s="69" t="str">
        <f>TEXT(ASTemp!L243,Decimals)</f>
        <v/>
      </c>
      <c r="M243" s="71" t="str">
        <f>TEXT(ASTemp!M243,Percentages)</f>
        <v/>
      </c>
      <c r="N243" s="72" t="str">
        <f>TEXT(ASTemp!N243,Percentages)</f>
        <v/>
      </c>
    </row>
    <row r="244" ht="14.25" customHeight="1">
      <c r="B244" s="66" t="str">
        <f>ASTemp!B244</f>
        <v/>
      </c>
      <c r="C244" s="67" t="str">
        <f>ASTemp!C244</f>
        <v/>
      </c>
      <c r="D244" s="68" t="str">
        <f>ASTemp!D244</f>
        <v/>
      </c>
      <c r="E244" s="65" t="str">
        <f>ASTemp!E244</f>
        <v/>
      </c>
      <c r="F244" s="69" t="str">
        <f>TEXT(ASTemp!F244,Decimals)</f>
        <v/>
      </c>
      <c r="G244" s="69" t="str">
        <f>TEXT(ASTemp!G244,Decimals)</f>
        <v/>
      </c>
      <c r="H244" s="69" t="str">
        <f>TEXT(ASTemp!H244,Decimals)</f>
        <v/>
      </c>
      <c r="I244" s="69" t="str">
        <f>TEXT(ASTemp!I244,Decimals)</f>
        <v/>
      </c>
      <c r="J244" s="69" t="str">
        <f>TEXT(ASTemp!J244,Decimals)</f>
        <v/>
      </c>
      <c r="K244" s="69" t="str">
        <f>TEXT(ASTemp!K244,Decimals)</f>
        <v/>
      </c>
      <c r="L244" s="69" t="str">
        <f>TEXT(ASTemp!L244,Decimals)</f>
        <v/>
      </c>
      <c r="M244" s="71" t="str">
        <f>TEXT(ASTemp!M244,Percentages)</f>
        <v/>
      </c>
      <c r="N244" s="72" t="str">
        <f>TEXT(ASTemp!N244,Percentages)</f>
        <v/>
      </c>
    </row>
    <row r="245" ht="14.25" customHeight="1">
      <c r="B245" s="66" t="str">
        <f>ASTemp!B245</f>
        <v/>
      </c>
      <c r="C245" s="67" t="str">
        <f>ASTemp!C245</f>
        <v/>
      </c>
      <c r="D245" s="68" t="str">
        <f>ASTemp!D245</f>
        <v/>
      </c>
      <c r="E245" s="65" t="str">
        <f>ASTemp!E245</f>
        <v/>
      </c>
      <c r="F245" s="69" t="str">
        <f>TEXT(ASTemp!F245,Decimals)</f>
        <v/>
      </c>
      <c r="G245" s="69" t="str">
        <f>TEXT(ASTemp!G245,Decimals)</f>
        <v/>
      </c>
      <c r="H245" s="69" t="str">
        <f>TEXT(ASTemp!H245,Decimals)</f>
        <v/>
      </c>
      <c r="I245" s="69" t="str">
        <f>TEXT(ASTemp!I245,Decimals)</f>
        <v/>
      </c>
      <c r="J245" s="69" t="str">
        <f>TEXT(ASTemp!J245,Decimals)</f>
        <v/>
      </c>
      <c r="K245" s="69" t="str">
        <f>TEXT(ASTemp!K245,Decimals)</f>
        <v/>
      </c>
      <c r="L245" s="69" t="str">
        <f>TEXT(ASTemp!L245,Decimals)</f>
        <v/>
      </c>
      <c r="M245" s="71" t="str">
        <f>TEXT(ASTemp!M245,Percentages)</f>
        <v/>
      </c>
      <c r="N245" s="72" t="str">
        <f>TEXT(ASTemp!N245,Percentages)</f>
        <v/>
      </c>
    </row>
    <row r="246" ht="14.25" customHeight="1">
      <c r="B246" s="66" t="str">
        <f>ASTemp!B246</f>
        <v/>
      </c>
      <c r="C246" s="67" t="str">
        <f>ASTemp!C246</f>
        <v/>
      </c>
      <c r="D246" s="68" t="str">
        <f>ASTemp!D246</f>
        <v/>
      </c>
      <c r="E246" s="65" t="str">
        <f>ASTemp!E246</f>
        <v/>
      </c>
      <c r="F246" s="69" t="str">
        <f>TEXT(ASTemp!F246,Decimals)</f>
        <v/>
      </c>
      <c r="G246" s="69" t="str">
        <f>TEXT(ASTemp!G246,Decimals)</f>
        <v/>
      </c>
      <c r="H246" s="69" t="str">
        <f>TEXT(ASTemp!H246,Decimals)</f>
        <v/>
      </c>
      <c r="I246" s="69" t="str">
        <f>TEXT(ASTemp!I246,Decimals)</f>
        <v/>
      </c>
      <c r="J246" s="69" t="str">
        <f>TEXT(ASTemp!J246,Decimals)</f>
        <v/>
      </c>
      <c r="K246" s="69" t="str">
        <f>TEXT(ASTemp!K246,Decimals)</f>
        <v/>
      </c>
      <c r="L246" s="69" t="str">
        <f>TEXT(ASTemp!L246,Decimals)</f>
        <v/>
      </c>
      <c r="M246" s="71" t="str">
        <f>TEXT(ASTemp!M246,Percentages)</f>
        <v/>
      </c>
      <c r="N246" s="72" t="str">
        <f>TEXT(ASTemp!N246,Percentages)</f>
        <v/>
      </c>
    </row>
    <row r="247" ht="14.25" customHeight="1">
      <c r="B247" s="66" t="str">
        <f>ASTemp!B247</f>
        <v/>
      </c>
      <c r="C247" s="67" t="str">
        <f>ASTemp!C247</f>
        <v/>
      </c>
      <c r="D247" s="68" t="str">
        <f>ASTemp!D247</f>
        <v/>
      </c>
      <c r="E247" s="65" t="str">
        <f>ASTemp!E247</f>
        <v/>
      </c>
      <c r="F247" s="69" t="str">
        <f>TEXT(ASTemp!F247,Decimals)</f>
        <v/>
      </c>
      <c r="G247" s="69" t="str">
        <f>TEXT(ASTemp!G247,Decimals)</f>
        <v/>
      </c>
      <c r="H247" s="69" t="str">
        <f>TEXT(ASTemp!H247,Decimals)</f>
        <v/>
      </c>
      <c r="I247" s="69" t="str">
        <f>TEXT(ASTemp!I247,Decimals)</f>
        <v/>
      </c>
      <c r="J247" s="69" t="str">
        <f>TEXT(ASTemp!J247,Decimals)</f>
        <v/>
      </c>
      <c r="K247" s="69" t="str">
        <f>TEXT(ASTemp!K247,Decimals)</f>
        <v/>
      </c>
      <c r="L247" s="69" t="str">
        <f>TEXT(ASTemp!L247,Decimals)</f>
        <v/>
      </c>
      <c r="M247" s="71" t="str">
        <f>TEXT(ASTemp!M247,Percentages)</f>
        <v/>
      </c>
      <c r="N247" s="72" t="str">
        <f>TEXT(ASTemp!N247,Percentages)</f>
        <v/>
      </c>
    </row>
    <row r="248" ht="14.25" customHeight="1">
      <c r="B248" s="66" t="str">
        <f>ASTemp!B248</f>
        <v/>
      </c>
      <c r="C248" s="67" t="str">
        <f>ASTemp!C248</f>
        <v/>
      </c>
      <c r="D248" s="68" t="str">
        <f>ASTemp!D248</f>
        <v/>
      </c>
      <c r="E248" s="65" t="str">
        <f>ASTemp!E248</f>
        <v/>
      </c>
      <c r="F248" s="69" t="str">
        <f>TEXT(ASTemp!F248,Decimals)</f>
        <v/>
      </c>
      <c r="G248" s="69" t="str">
        <f>TEXT(ASTemp!G248,Decimals)</f>
        <v/>
      </c>
      <c r="H248" s="69" t="str">
        <f>TEXT(ASTemp!H248,Decimals)</f>
        <v/>
      </c>
      <c r="I248" s="69" t="str">
        <f>TEXT(ASTemp!I248,Decimals)</f>
        <v/>
      </c>
      <c r="J248" s="69" t="str">
        <f>TEXT(ASTemp!J248,Decimals)</f>
        <v/>
      </c>
      <c r="K248" s="69" t="str">
        <f>TEXT(ASTemp!K248,Decimals)</f>
        <v/>
      </c>
      <c r="L248" s="69" t="str">
        <f>TEXT(ASTemp!L248,Decimals)</f>
        <v/>
      </c>
      <c r="M248" s="71" t="str">
        <f>TEXT(ASTemp!M248,Percentages)</f>
        <v/>
      </c>
      <c r="N248" s="72" t="str">
        <f>TEXT(ASTemp!N248,Percentages)</f>
        <v/>
      </c>
    </row>
    <row r="249" ht="14.25" customHeight="1">
      <c r="B249" s="66" t="str">
        <f>ASTemp!B249</f>
        <v/>
      </c>
      <c r="C249" s="67" t="str">
        <f>ASTemp!C249</f>
        <v/>
      </c>
      <c r="D249" s="68" t="str">
        <f>ASTemp!D249</f>
        <v/>
      </c>
      <c r="E249" s="65" t="str">
        <f>ASTemp!E249</f>
        <v/>
      </c>
      <c r="F249" s="69" t="str">
        <f>TEXT(ASTemp!F249,Decimals)</f>
        <v/>
      </c>
      <c r="G249" s="69" t="str">
        <f>TEXT(ASTemp!G249,Decimals)</f>
        <v/>
      </c>
      <c r="H249" s="69" t="str">
        <f>TEXT(ASTemp!H249,Decimals)</f>
        <v/>
      </c>
      <c r="I249" s="69" t="str">
        <f>TEXT(ASTemp!I249,Decimals)</f>
        <v/>
      </c>
      <c r="J249" s="69" t="str">
        <f>TEXT(ASTemp!J249,Decimals)</f>
        <v/>
      </c>
      <c r="K249" s="69" t="str">
        <f>TEXT(ASTemp!K249,Decimals)</f>
        <v/>
      </c>
      <c r="L249" s="69" t="str">
        <f>TEXT(ASTemp!L249,Decimals)</f>
        <v/>
      </c>
      <c r="M249" s="71" t="str">
        <f>TEXT(ASTemp!M249,Percentages)</f>
        <v/>
      </c>
      <c r="N249" s="72" t="str">
        <f>TEXT(ASTemp!N249,Percentages)</f>
        <v/>
      </c>
    </row>
    <row r="250" ht="14.25" customHeight="1">
      <c r="B250" s="66" t="str">
        <f>ASTemp!B250</f>
        <v/>
      </c>
      <c r="C250" s="67" t="str">
        <f>ASTemp!C250</f>
        <v/>
      </c>
      <c r="D250" s="68" t="str">
        <f>ASTemp!D250</f>
        <v/>
      </c>
      <c r="E250" s="65" t="str">
        <f>ASTemp!E250</f>
        <v/>
      </c>
      <c r="F250" s="69" t="str">
        <f>TEXT(ASTemp!F250,Decimals)</f>
        <v/>
      </c>
      <c r="G250" s="69" t="str">
        <f>TEXT(ASTemp!G250,Decimals)</f>
        <v/>
      </c>
      <c r="H250" s="69" t="str">
        <f>TEXT(ASTemp!H250,Decimals)</f>
        <v/>
      </c>
      <c r="I250" s="69" t="str">
        <f>TEXT(ASTemp!I250,Decimals)</f>
        <v/>
      </c>
      <c r="J250" s="69" t="str">
        <f>TEXT(ASTemp!J250,Decimals)</f>
        <v/>
      </c>
      <c r="K250" s="69" t="str">
        <f>TEXT(ASTemp!K250,Decimals)</f>
        <v/>
      </c>
      <c r="L250" s="69" t="str">
        <f>TEXT(ASTemp!L250,Decimals)</f>
        <v/>
      </c>
      <c r="M250" s="71" t="str">
        <f>TEXT(ASTemp!M250,Percentages)</f>
        <v/>
      </c>
      <c r="N250" s="72" t="str">
        <f>TEXT(ASTemp!N250,Percentages)</f>
        <v/>
      </c>
    </row>
    <row r="251" ht="14.25" customHeight="1">
      <c r="B251" s="66" t="str">
        <f>ASTemp!B251</f>
        <v/>
      </c>
      <c r="C251" s="67" t="str">
        <f>ASTemp!C251</f>
        <v/>
      </c>
      <c r="D251" s="68" t="str">
        <f>ASTemp!D251</f>
        <v/>
      </c>
      <c r="E251" s="65" t="str">
        <f>ASTemp!E251</f>
        <v/>
      </c>
      <c r="F251" s="69" t="str">
        <f>TEXT(ASTemp!F251,Decimals)</f>
        <v/>
      </c>
      <c r="G251" s="69" t="str">
        <f>TEXT(ASTemp!G251,Decimals)</f>
        <v/>
      </c>
      <c r="H251" s="69" t="str">
        <f>TEXT(ASTemp!H251,Decimals)</f>
        <v/>
      </c>
      <c r="I251" s="69" t="str">
        <f>TEXT(ASTemp!I251,Decimals)</f>
        <v/>
      </c>
      <c r="J251" s="69" t="str">
        <f>TEXT(ASTemp!J251,Decimals)</f>
        <v/>
      </c>
      <c r="K251" s="69" t="str">
        <f>TEXT(ASTemp!K251,Decimals)</f>
        <v/>
      </c>
      <c r="L251" s="69" t="str">
        <f>TEXT(ASTemp!L251,Decimals)</f>
        <v/>
      </c>
      <c r="M251" s="71" t="str">
        <f>TEXT(ASTemp!M251,Percentages)</f>
        <v/>
      </c>
      <c r="N251" s="72" t="str">
        <f>TEXT(ASTemp!N251,Percentages)</f>
        <v/>
      </c>
    </row>
    <row r="252" ht="14.25" customHeight="1">
      <c r="B252" s="66" t="str">
        <f>ASTemp!B252</f>
        <v/>
      </c>
      <c r="C252" s="67" t="str">
        <f>ASTemp!C252</f>
        <v/>
      </c>
      <c r="D252" s="68" t="str">
        <f>ASTemp!D252</f>
        <v/>
      </c>
      <c r="E252" s="65" t="str">
        <f>ASTemp!E252</f>
        <v/>
      </c>
      <c r="F252" s="69" t="str">
        <f>TEXT(ASTemp!F252,Decimals)</f>
        <v/>
      </c>
      <c r="G252" s="69" t="str">
        <f>TEXT(ASTemp!G252,Decimals)</f>
        <v/>
      </c>
      <c r="H252" s="69" t="str">
        <f>TEXT(ASTemp!H252,Decimals)</f>
        <v/>
      </c>
      <c r="I252" s="69" t="str">
        <f>TEXT(ASTemp!I252,Decimals)</f>
        <v/>
      </c>
      <c r="J252" s="69" t="str">
        <f>TEXT(ASTemp!J252,Decimals)</f>
        <v/>
      </c>
      <c r="K252" s="69" t="str">
        <f>TEXT(ASTemp!K252,Decimals)</f>
        <v/>
      </c>
      <c r="L252" s="69" t="str">
        <f>TEXT(ASTemp!L252,Decimals)</f>
        <v/>
      </c>
      <c r="M252" s="71" t="str">
        <f>TEXT(ASTemp!M252,Percentages)</f>
        <v/>
      </c>
      <c r="N252" s="72" t="str">
        <f>TEXT(ASTemp!N252,Percentages)</f>
        <v/>
      </c>
    </row>
    <row r="253" ht="14.25" customHeight="1">
      <c r="B253" s="66" t="str">
        <f>ASTemp!B253</f>
        <v/>
      </c>
      <c r="C253" s="67" t="str">
        <f>ASTemp!C253</f>
        <v/>
      </c>
      <c r="D253" s="68" t="str">
        <f>ASTemp!D253</f>
        <v/>
      </c>
      <c r="E253" s="65" t="str">
        <f>ASTemp!E253</f>
        <v/>
      </c>
      <c r="F253" s="69" t="str">
        <f>TEXT(ASTemp!F253,Decimals)</f>
        <v/>
      </c>
      <c r="G253" s="69" t="str">
        <f>TEXT(ASTemp!G253,Decimals)</f>
        <v/>
      </c>
      <c r="H253" s="69" t="str">
        <f>TEXT(ASTemp!H253,Decimals)</f>
        <v/>
      </c>
      <c r="I253" s="69" t="str">
        <f>TEXT(ASTemp!I253,Decimals)</f>
        <v/>
      </c>
      <c r="J253" s="69" t="str">
        <f>TEXT(ASTemp!J253,Decimals)</f>
        <v/>
      </c>
      <c r="K253" s="69" t="str">
        <f>TEXT(ASTemp!K253,Decimals)</f>
        <v/>
      </c>
      <c r="L253" s="69" t="str">
        <f>TEXT(ASTemp!L253,Decimals)</f>
        <v/>
      </c>
      <c r="M253" s="71" t="str">
        <f>TEXT(ASTemp!M253,Percentages)</f>
        <v/>
      </c>
      <c r="N253" s="72" t="str">
        <f>TEXT(ASTemp!N253,Percentages)</f>
        <v/>
      </c>
    </row>
    <row r="254" ht="14.25" customHeight="1">
      <c r="B254" s="66" t="str">
        <f>ASTemp!B254</f>
        <v/>
      </c>
      <c r="C254" s="67" t="str">
        <f>ASTemp!C254</f>
        <v/>
      </c>
      <c r="D254" s="68" t="str">
        <f>ASTemp!D254</f>
        <v/>
      </c>
      <c r="E254" s="65" t="str">
        <f>ASTemp!E254</f>
        <v/>
      </c>
      <c r="F254" s="69" t="str">
        <f>TEXT(ASTemp!F254,Decimals)</f>
        <v/>
      </c>
      <c r="G254" s="69" t="str">
        <f>TEXT(ASTemp!G254,Decimals)</f>
        <v/>
      </c>
      <c r="H254" s="69" t="str">
        <f>TEXT(ASTemp!H254,Decimals)</f>
        <v/>
      </c>
      <c r="I254" s="69" t="str">
        <f>TEXT(ASTemp!I254,Decimals)</f>
        <v/>
      </c>
      <c r="J254" s="69" t="str">
        <f>TEXT(ASTemp!J254,Decimals)</f>
        <v/>
      </c>
      <c r="K254" s="69" t="str">
        <f>TEXT(ASTemp!K254,Decimals)</f>
        <v/>
      </c>
      <c r="L254" s="69" t="str">
        <f>TEXT(ASTemp!L254,Decimals)</f>
        <v/>
      </c>
      <c r="M254" s="71" t="str">
        <f>TEXT(ASTemp!M254,Percentages)</f>
        <v/>
      </c>
      <c r="N254" s="72" t="str">
        <f>TEXT(ASTemp!N254,Percentages)</f>
        <v/>
      </c>
    </row>
    <row r="255" ht="14.25" customHeight="1">
      <c r="B255" s="66" t="str">
        <f>ASTemp!B255</f>
        <v/>
      </c>
      <c r="C255" s="67" t="str">
        <f>ASTemp!C255</f>
        <v/>
      </c>
      <c r="D255" s="68" t="str">
        <f>ASTemp!D255</f>
        <v/>
      </c>
      <c r="E255" s="65" t="str">
        <f>ASTemp!E255</f>
        <v/>
      </c>
      <c r="F255" s="69" t="str">
        <f>TEXT(ASTemp!F255,Decimals)</f>
        <v/>
      </c>
      <c r="G255" s="69" t="str">
        <f>TEXT(ASTemp!G255,Decimals)</f>
        <v/>
      </c>
      <c r="H255" s="69" t="str">
        <f>TEXT(ASTemp!H255,Decimals)</f>
        <v/>
      </c>
      <c r="I255" s="69" t="str">
        <f>TEXT(ASTemp!I255,Decimals)</f>
        <v/>
      </c>
      <c r="J255" s="69" t="str">
        <f>TEXT(ASTemp!J255,Decimals)</f>
        <v/>
      </c>
      <c r="K255" s="69" t="str">
        <f>TEXT(ASTemp!K255,Decimals)</f>
        <v/>
      </c>
      <c r="L255" s="69" t="str">
        <f>TEXT(ASTemp!L255,Decimals)</f>
        <v/>
      </c>
      <c r="M255" s="71" t="str">
        <f>TEXT(ASTemp!M255,Percentages)</f>
        <v/>
      </c>
      <c r="N255" s="72" t="str">
        <f>TEXT(ASTemp!N255,Percentages)</f>
        <v/>
      </c>
    </row>
    <row r="256" ht="14.25" customHeight="1">
      <c r="B256" s="66" t="str">
        <f>ASTemp!B256</f>
        <v/>
      </c>
      <c r="C256" s="67" t="str">
        <f>ASTemp!C256</f>
        <v/>
      </c>
      <c r="D256" s="68" t="str">
        <f>ASTemp!D256</f>
        <v/>
      </c>
      <c r="E256" s="65" t="str">
        <f>ASTemp!E256</f>
        <v/>
      </c>
      <c r="F256" s="69" t="str">
        <f>TEXT(ASTemp!F256,Decimals)</f>
        <v/>
      </c>
      <c r="G256" s="69" t="str">
        <f>TEXT(ASTemp!G256,Decimals)</f>
        <v/>
      </c>
      <c r="H256" s="69" t="str">
        <f>TEXT(ASTemp!H256,Decimals)</f>
        <v/>
      </c>
      <c r="I256" s="69" t="str">
        <f>TEXT(ASTemp!I256,Decimals)</f>
        <v/>
      </c>
      <c r="J256" s="69" t="str">
        <f>TEXT(ASTemp!J256,Decimals)</f>
        <v/>
      </c>
      <c r="K256" s="69" t="str">
        <f>TEXT(ASTemp!K256,Decimals)</f>
        <v/>
      </c>
      <c r="L256" s="69" t="str">
        <f>TEXT(ASTemp!L256,Decimals)</f>
        <v/>
      </c>
      <c r="M256" s="71" t="str">
        <f>TEXT(ASTemp!M256,Percentages)</f>
        <v/>
      </c>
      <c r="N256" s="72" t="str">
        <f>TEXT(ASTemp!N256,Percentages)</f>
        <v/>
      </c>
    </row>
    <row r="257" ht="14.25" customHeight="1">
      <c r="B257" s="66" t="str">
        <f>ASTemp!B257</f>
        <v/>
      </c>
      <c r="C257" s="67" t="str">
        <f>ASTemp!C257</f>
        <v/>
      </c>
      <c r="D257" s="68" t="str">
        <f>ASTemp!D257</f>
        <v/>
      </c>
      <c r="E257" s="65" t="str">
        <f>ASTemp!E257</f>
        <v/>
      </c>
      <c r="F257" s="69" t="str">
        <f>TEXT(ASTemp!F257,Decimals)</f>
        <v/>
      </c>
      <c r="G257" s="69" t="str">
        <f>TEXT(ASTemp!G257,Decimals)</f>
        <v/>
      </c>
      <c r="H257" s="69" t="str">
        <f>TEXT(ASTemp!H257,Decimals)</f>
        <v/>
      </c>
      <c r="I257" s="69" t="str">
        <f>TEXT(ASTemp!I257,Decimals)</f>
        <v/>
      </c>
      <c r="J257" s="69" t="str">
        <f>TEXT(ASTemp!J257,Decimals)</f>
        <v/>
      </c>
      <c r="K257" s="69" t="str">
        <f>TEXT(ASTemp!K257,Decimals)</f>
        <v/>
      </c>
      <c r="L257" s="69" t="str">
        <f>TEXT(ASTemp!L257,Decimals)</f>
        <v/>
      </c>
      <c r="M257" s="71" t="str">
        <f>TEXT(ASTemp!M257,Percentages)</f>
        <v/>
      </c>
      <c r="N257" s="72" t="str">
        <f>TEXT(ASTemp!N257,Percentages)</f>
        <v/>
      </c>
    </row>
    <row r="258" ht="14.25" customHeight="1">
      <c r="B258" s="66" t="str">
        <f>ASTemp!B258</f>
        <v/>
      </c>
      <c r="C258" s="67" t="str">
        <f>ASTemp!C258</f>
        <v/>
      </c>
      <c r="D258" s="68" t="str">
        <f>ASTemp!D258</f>
        <v/>
      </c>
      <c r="E258" s="65" t="str">
        <f>ASTemp!E258</f>
        <v/>
      </c>
      <c r="F258" s="69" t="str">
        <f>TEXT(ASTemp!F258,Decimals)</f>
        <v/>
      </c>
      <c r="G258" s="69" t="str">
        <f>TEXT(ASTemp!G258,Decimals)</f>
        <v/>
      </c>
      <c r="H258" s="69" t="str">
        <f>TEXT(ASTemp!H258,Decimals)</f>
        <v/>
      </c>
      <c r="I258" s="69" t="str">
        <f>TEXT(ASTemp!I258,Decimals)</f>
        <v/>
      </c>
      <c r="J258" s="69" t="str">
        <f>TEXT(ASTemp!J258,Decimals)</f>
        <v/>
      </c>
      <c r="K258" s="69" t="str">
        <f>TEXT(ASTemp!K258,Decimals)</f>
        <v/>
      </c>
      <c r="L258" s="69" t="str">
        <f>TEXT(ASTemp!L258,Decimals)</f>
        <v/>
      </c>
      <c r="M258" s="71" t="str">
        <f>TEXT(ASTemp!M258,Percentages)</f>
        <v/>
      </c>
      <c r="N258" s="72" t="str">
        <f>TEXT(ASTemp!N258,Percentages)</f>
        <v/>
      </c>
    </row>
    <row r="259" ht="14.25" customHeight="1">
      <c r="B259" s="66" t="str">
        <f>ASTemp!B259</f>
        <v/>
      </c>
      <c r="C259" s="67" t="str">
        <f>ASTemp!C259</f>
        <v/>
      </c>
      <c r="D259" s="68" t="str">
        <f>ASTemp!D259</f>
        <v/>
      </c>
      <c r="E259" s="65" t="str">
        <f>ASTemp!E259</f>
        <v/>
      </c>
      <c r="F259" s="69" t="str">
        <f>TEXT(ASTemp!F259,Decimals)</f>
        <v/>
      </c>
      <c r="G259" s="69" t="str">
        <f>TEXT(ASTemp!G259,Decimals)</f>
        <v/>
      </c>
      <c r="H259" s="69" t="str">
        <f>TEXT(ASTemp!H259,Decimals)</f>
        <v/>
      </c>
      <c r="I259" s="69" t="str">
        <f>TEXT(ASTemp!I259,Decimals)</f>
        <v/>
      </c>
      <c r="J259" s="69" t="str">
        <f>TEXT(ASTemp!J259,Decimals)</f>
        <v/>
      </c>
      <c r="K259" s="69" t="str">
        <f>TEXT(ASTemp!K259,Decimals)</f>
        <v/>
      </c>
      <c r="L259" s="69" t="str">
        <f>TEXT(ASTemp!L259,Decimals)</f>
        <v/>
      </c>
      <c r="M259" s="71" t="str">
        <f>TEXT(ASTemp!M259,Percentages)</f>
        <v/>
      </c>
      <c r="N259" s="72" t="str">
        <f>TEXT(ASTemp!N259,Percentages)</f>
        <v/>
      </c>
    </row>
    <row r="260" ht="14.25" customHeight="1">
      <c r="B260" s="66" t="str">
        <f>ASTemp!B260</f>
        <v/>
      </c>
      <c r="C260" s="67" t="str">
        <f>ASTemp!C260</f>
        <v/>
      </c>
      <c r="D260" s="68" t="str">
        <f>ASTemp!D260</f>
        <v/>
      </c>
      <c r="E260" s="65" t="str">
        <f>ASTemp!E260</f>
        <v/>
      </c>
      <c r="F260" s="69" t="str">
        <f>TEXT(ASTemp!F260,Decimals)</f>
        <v/>
      </c>
      <c r="G260" s="69" t="str">
        <f>TEXT(ASTemp!G260,Decimals)</f>
        <v/>
      </c>
      <c r="H260" s="69" t="str">
        <f>TEXT(ASTemp!H260,Decimals)</f>
        <v/>
      </c>
      <c r="I260" s="69" t="str">
        <f>TEXT(ASTemp!I260,Decimals)</f>
        <v/>
      </c>
      <c r="J260" s="69" t="str">
        <f>TEXT(ASTemp!J260,Decimals)</f>
        <v/>
      </c>
      <c r="K260" s="69" t="str">
        <f>TEXT(ASTemp!K260,Decimals)</f>
        <v/>
      </c>
      <c r="L260" s="69" t="str">
        <f>TEXT(ASTemp!L260,Decimals)</f>
        <v/>
      </c>
      <c r="M260" s="71" t="str">
        <f>TEXT(ASTemp!M260,Percentages)</f>
        <v/>
      </c>
      <c r="N260" s="72" t="str">
        <f>TEXT(ASTemp!N260,Percentages)</f>
        <v/>
      </c>
    </row>
    <row r="261" ht="14.25" customHeight="1">
      <c r="B261" s="66" t="str">
        <f>ASTemp!B261</f>
        <v/>
      </c>
      <c r="C261" s="67" t="str">
        <f>ASTemp!C261</f>
        <v/>
      </c>
      <c r="D261" s="68" t="str">
        <f>ASTemp!D261</f>
        <v/>
      </c>
      <c r="E261" s="65" t="str">
        <f>ASTemp!E261</f>
        <v/>
      </c>
      <c r="F261" s="69" t="str">
        <f>TEXT(ASTemp!F261,Decimals)</f>
        <v/>
      </c>
      <c r="G261" s="69" t="str">
        <f>TEXT(ASTemp!G261,Decimals)</f>
        <v/>
      </c>
      <c r="H261" s="69" t="str">
        <f>TEXT(ASTemp!H261,Decimals)</f>
        <v/>
      </c>
      <c r="I261" s="69" t="str">
        <f>TEXT(ASTemp!I261,Decimals)</f>
        <v/>
      </c>
      <c r="J261" s="69" t="str">
        <f>TEXT(ASTemp!J261,Decimals)</f>
        <v/>
      </c>
      <c r="K261" s="69" t="str">
        <f>TEXT(ASTemp!K261,Decimals)</f>
        <v/>
      </c>
      <c r="L261" s="69" t="str">
        <f>TEXT(ASTemp!L261,Decimals)</f>
        <v/>
      </c>
      <c r="M261" s="71" t="str">
        <f>TEXT(ASTemp!M261,Percentages)</f>
        <v/>
      </c>
      <c r="N261" s="72" t="str">
        <f>TEXT(ASTemp!N261,Percentages)</f>
        <v/>
      </c>
    </row>
    <row r="262" ht="14.25" customHeight="1">
      <c r="B262" s="66" t="str">
        <f>ASTemp!B262</f>
        <v/>
      </c>
      <c r="C262" s="67" t="str">
        <f>ASTemp!C262</f>
        <v/>
      </c>
      <c r="D262" s="68" t="str">
        <f>ASTemp!D262</f>
        <v/>
      </c>
      <c r="E262" s="65" t="str">
        <f>ASTemp!E262</f>
        <v/>
      </c>
      <c r="F262" s="69" t="str">
        <f>TEXT(ASTemp!F262,Decimals)</f>
        <v/>
      </c>
      <c r="G262" s="69" t="str">
        <f>TEXT(ASTemp!G262,Decimals)</f>
        <v/>
      </c>
      <c r="H262" s="69" t="str">
        <f>TEXT(ASTemp!H262,Decimals)</f>
        <v/>
      </c>
      <c r="I262" s="69" t="str">
        <f>TEXT(ASTemp!I262,Decimals)</f>
        <v/>
      </c>
      <c r="J262" s="69" t="str">
        <f>TEXT(ASTemp!J262,Decimals)</f>
        <v/>
      </c>
      <c r="K262" s="69" t="str">
        <f>TEXT(ASTemp!K262,Decimals)</f>
        <v/>
      </c>
      <c r="L262" s="69" t="str">
        <f>TEXT(ASTemp!L262,Decimals)</f>
        <v/>
      </c>
      <c r="M262" s="71" t="str">
        <f>TEXT(ASTemp!M262,Percentages)</f>
        <v/>
      </c>
      <c r="N262" s="72" t="str">
        <f>TEXT(ASTemp!N262,Percentages)</f>
        <v/>
      </c>
    </row>
    <row r="263" ht="14.25" customHeight="1">
      <c r="B263" s="66" t="str">
        <f>ASTemp!B263</f>
        <v/>
      </c>
      <c r="C263" s="67" t="str">
        <f>ASTemp!C263</f>
        <v/>
      </c>
      <c r="D263" s="68" t="str">
        <f>ASTemp!D263</f>
        <v/>
      </c>
      <c r="E263" s="65" t="str">
        <f>ASTemp!E263</f>
        <v/>
      </c>
      <c r="F263" s="69" t="str">
        <f>TEXT(ASTemp!F263,Decimals)</f>
        <v/>
      </c>
      <c r="G263" s="69" t="str">
        <f>TEXT(ASTemp!G263,Decimals)</f>
        <v/>
      </c>
      <c r="H263" s="69" t="str">
        <f>TEXT(ASTemp!H263,Decimals)</f>
        <v/>
      </c>
      <c r="I263" s="69" t="str">
        <f>TEXT(ASTemp!I263,Decimals)</f>
        <v/>
      </c>
      <c r="J263" s="69" t="str">
        <f>TEXT(ASTemp!J263,Decimals)</f>
        <v/>
      </c>
      <c r="K263" s="69" t="str">
        <f>TEXT(ASTemp!K263,Decimals)</f>
        <v/>
      </c>
      <c r="L263" s="69" t="str">
        <f>TEXT(ASTemp!L263,Decimals)</f>
        <v/>
      </c>
      <c r="M263" s="71" t="str">
        <f>TEXT(ASTemp!M263,Percentages)</f>
        <v/>
      </c>
      <c r="N263" s="72" t="str">
        <f>TEXT(ASTemp!N263,Percentages)</f>
        <v/>
      </c>
    </row>
    <row r="264" ht="14.25" customHeight="1">
      <c r="B264" s="66" t="str">
        <f>ASTemp!B264</f>
        <v/>
      </c>
      <c r="C264" s="67" t="str">
        <f>ASTemp!C264</f>
        <v/>
      </c>
      <c r="D264" s="68" t="str">
        <f>ASTemp!D264</f>
        <v/>
      </c>
      <c r="E264" s="65" t="str">
        <f>ASTemp!E264</f>
        <v/>
      </c>
      <c r="F264" s="69" t="str">
        <f>TEXT(ASTemp!F264,Decimals)</f>
        <v/>
      </c>
      <c r="G264" s="69" t="str">
        <f>TEXT(ASTemp!G264,Decimals)</f>
        <v/>
      </c>
      <c r="H264" s="69" t="str">
        <f>TEXT(ASTemp!H264,Decimals)</f>
        <v/>
      </c>
      <c r="I264" s="69" t="str">
        <f>TEXT(ASTemp!I264,Decimals)</f>
        <v/>
      </c>
      <c r="J264" s="69" t="str">
        <f>TEXT(ASTemp!J264,Decimals)</f>
        <v/>
      </c>
      <c r="K264" s="69" t="str">
        <f>TEXT(ASTemp!K264,Decimals)</f>
        <v/>
      </c>
      <c r="L264" s="69" t="str">
        <f>TEXT(ASTemp!L264,Decimals)</f>
        <v/>
      </c>
      <c r="M264" s="71" t="str">
        <f>TEXT(ASTemp!M264,Percentages)</f>
        <v/>
      </c>
      <c r="N264" s="72" t="str">
        <f>TEXT(ASTemp!N264,Percentages)</f>
        <v/>
      </c>
    </row>
    <row r="265" ht="14.25" customHeight="1">
      <c r="B265" s="66" t="str">
        <f>ASTemp!B265</f>
        <v/>
      </c>
      <c r="C265" s="67" t="str">
        <f>ASTemp!C265</f>
        <v/>
      </c>
      <c r="D265" s="68" t="str">
        <f>ASTemp!D265</f>
        <v/>
      </c>
      <c r="E265" s="65" t="str">
        <f>ASTemp!E265</f>
        <v/>
      </c>
      <c r="F265" s="69" t="str">
        <f>TEXT(ASTemp!F265,Decimals)</f>
        <v/>
      </c>
      <c r="G265" s="69" t="str">
        <f>TEXT(ASTemp!G265,Decimals)</f>
        <v/>
      </c>
      <c r="H265" s="69" t="str">
        <f>TEXT(ASTemp!H265,Decimals)</f>
        <v/>
      </c>
      <c r="I265" s="69" t="str">
        <f>TEXT(ASTemp!I265,Decimals)</f>
        <v/>
      </c>
      <c r="J265" s="69" t="str">
        <f>TEXT(ASTemp!J265,Decimals)</f>
        <v/>
      </c>
      <c r="K265" s="69" t="str">
        <f>TEXT(ASTemp!K265,Decimals)</f>
        <v/>
      </c>
      <c r="L265" s="69" t="str">
        <f>TEXT(ASTemp!L265,Decimals)</f>
        <v/>
      </c>
      <c r="M265" s="71" t="str">
        <f>TEXT(ASTemp!M265,Percentages)</f>
        <v/>
      </c>
      <c r="N265" s="72" t="str">
        <f>TEXT(ASTemp!N265,Percentages)</f>
        <v/>
      </c>
    </row>
    <row r="266" ht="14.25" customHeight="1">
      <c r="B266" s="66" t="str">
        <f>ASTemp!B266</f>
        <v/>
      </c>
      <c r="C266" s="67" t="str">
        <f>ASTemp!C266</f>
        <v/>
      </c>
      <c r="D266" s="68" t="str">
        <f>ASTemp!D266</f>
        <v/>
      </c>
      <c r="E266" s="65" t="str">
        <f>ASTemp!E266</f>
        <v/>
      </c>
      <c r="F266" s="69" t="str">
        <f>TEXT(ASTemp!F266,Decimals)</f>
        <v/>
      </c>
      <c r="G266" s="69" t="str">
        <f>TEXT(ASTemp!G266,Decimals)</f>
        <v/>
      </c>
      <c r="H266" s="69" t="str">
        <f>TEXT(ASTemp!H266,Decimals)</f>
        <v/>
      </c>
      <c r="I266" s="69" t="str">
        <f>TEXT(ASTemp!I266,Decimals)</f>
        <v/>
      </c>
      <c r="J266" s="69" t="str">
        <f>TEXT(ASTemp!J266,Decimals)</f>
        <v/>
      </c>
      <c r="K266" s="69" t="str">
        <f>TEXT(ASTemp!K266,Decimals)</f>
        <v/>
      </c>
      <c r="L266" s="69" t="str">
        <f>TEXT(ASTemp!L266,Decimals)</f>
        <v/>
      </c>
      <c r="M266" s="71" t="str">
        <f>TEXT(ASTemp!M266,Percentages)</f>
        <v/>
      </c>
      <c r="N266" s="72" t="str">
        <f>TEXT(ASTemp!N266,Percentages)</f>
        <v/>
      </c>
    </row>
    <row r="267" ht="14.25" customHeight="1">
      <c r="B267" s="66" t="str">
        <f>ASTemp!B267</f>
        <v/>
      </c>
      <c r="C267" s="67" t="str">
        <f>ASTemp!C267</f>
        <v/>
      </c>
      <c r="D267" s="68" t="str">
        <f>ASTemp!D267</f>
        <v/>
      </c>
      <c r="E267" s="65" t="str">
        <f>ASTemp!E267</f>
        <v/>
      </c>
      <c r="F267" s="69" t="str">
        <f>TEXT(ASTemp!F267,Decimals)</f>
        <v/>
      </c>
      <c r="G267" s="69" t="str">
        <f>TEXT(ASTemp!G267,Decimals)</f>
        <v/>
      </c>
      <c r="H267" s="69" t="str">
        <f>TEXT(ASTemp!H267,Decimals)</f>
        <v/>
      </c>
      <c r="I267" s="69" t="str">
        <f>TEXT(ASTemp!I267,Decimals)</f>
        <v/>
      </c>
      <c r="J267" s="69" t="str">
        <f>TEXT(ASTemp!J267,Decimals)</f>
        <v/>
      </c>
      <c r="K267" s="69" t="str">
        <f>TEXT(ASTemp!K267,Decimals)</f>
        <v/>
      </c>
      <c r="L267" s="69" t="str">
        <f>TEXT(ASTemp!L267,Decimals)</f>
        <v/>
      </c>
      <c r="M267" s="71" t="str">
        <f>TEXT(ASTemp!M267,Percentages)</f>
        <v/>
      </c>
      <c r="N267" s="72" t="str">
        <f>TEXT(ASTemp!N267,Percentages)</f>
        <v/>
      </c>
    </row>
    <row r="268" ht="14.25" customHeight="1">
      <c r="B268" s="66" t="str">
        <f>ASTemp!B268</f>
        <v/>
      </c>
      <c r="C268" s="67" t="str">
        <f>ASTemp!C268</f>
        <v/>
      </c>
      <c r="D268" s="68" t="str">
        <f>ASTemp!D268</f>
        <v/>
      </c>
      <c r="E268" s="65" t="str">
        <f>ASTemp!E268</f>
        <v/>
      </c>
      <c r="F268" s="69" t="str">
        <f>TEXT(ASTemp!F268,Decimals)</f>
        <v/>
      </c>
      <c r="G268" s="69" t="str">
        <f>TEXT(ASTemp!G268,Decimals)</f>
        <v/>
      </c>
      <c r="H268" s="69" t="str">
        <f>TEXT(ASTemp!H268,Decimals)</f>
        <v/>
      </c>
      <c r="I268" s="69" t="str">
        <f>TEXT(ASTemp!I268,Decimals)</f>
        <v/>
      </c>
      <c r="J268" s="69" t="str">
        <f>TEXT(ASTemp!J268,Decimals)</f>
        <v/>
      </c>
      <c r="K268" s="69" t="str">
        <f>TEXT(ASTemp!K268,Decimals)</f>
        <v/>
      </c>
      <c r="L268" s="69" t="str">
        <f>TEXT(ASTemp!L268,Decimals)</f>
        <v/>
      </c>
      <c r="M268" s="71" t="str">
        <f>TEXT(ASTemp!M268,Percentages)</f>
        <v/>
      </c>
      <c r="N268" s="72" t="str">
        <f>TEXT(ASTemp!N268,Percentages)</f>
        <v/>
      </c>
    </row>
    <row r="269" ht="14.25" customHeight="1">
      <c r="B269" s="66" t="str">
        <f>ASTemp!B269</f>
        <v/>
      </c>
      <c r="C269" s="67" t="str">
        <f>ASTemp!C269</f>
        <v/>
      </c>
      <c r="D269" s="68" t="str">
        <f>ASTemp!D269</f>
        <v/>
      </c>
      <c r="E269" s="65" t="str">
        <f>ASTemp!E269</f>
        <v/>
      </c>
      <c r="F269" s="69" t="str">
        <f>TEXT(ASTemp!F269,Decimals)</f>
        <v/>
      </c>
      <c r="G269" s="69" t="str">
        <f>TEXT(ASTemp!G269,Decimals)</f>
        <v/>
      </c>
      <c r="H269" s="69" t="str">
        <f>TEXT(ASTemp!H269,Decimals)</f>
        <v/>
      </c>
      <c r="I269" s="69" t="str">
        <f>TEXT(ASTemp!I269,Decimals)</f>
        <v/>
      </c>
      <c r="J269" s="69" t="str">
        <f>TEXT(ASTemp!J269,Decimals)</f>
        <v/>
      </c>
      <c r="K269" s="69" t="str">
        <f>TEXT(ASTemp!K269,Decimals)</f>
        <v/>
      </c>
      <c r="L269" s="69" t="str">
        <f>TEXT(ASTemp!L269,Decimals)</f>
        <v/>
      </c>
      <c r="M269" s="71" t="str">
        <f>TEXT(ASTemp!M269,Percentages)</f>
        <v/>
      </c>
      <c r="N269" s="72" t="str">
        <f>TEXT(ASTemp!N269,Percentages)</f>
        <v/>
      </c>
    </row>
    <row r="270" ht="14.25" customHeight="1">
      <c r="B270" s="66" t="str">
        <f>ASTemp!B270</f>
        <v/>
      </c>
      <c r="C270" s="67" t="str">
        <f>ASTemp!C270</f>
        <v/>
      </c>
      <c r="D270" s="68" t="str">
        <f>ASTemp!D270</f>
        <v/>
      </c>
      <c r="E270" s="65" t="str">
        <f>ASTemp!E270</f>
        <v/>
      </c>
      <c r="F270" s="69" t="str">
        <f>TEXT(ASTemp!F270,Decimals)</f>
        <v/>
      </c>
      <c r="G270" s="69" t="str">
        <f>TEXT(ASTemp!G270,Decimals)</f>
        <v/>
      </c>
      <c r="H270" s="69" t="str">
        <f>TEXT(ASTemp!H270,Decimals)</f>
        <v/>
      </c>
      <c r="I270" s="69" t="str">
        <f>TEXT(ASTemp!I270,Decimals)</f>
        <v/>
      </c>
      <c r="J270" s="69" t="str">
        <f>TEXT(ASTemp!J270,Decimals)</f>
        <v/>
      </c>
      <c r="K270" s="69" t="str">
        <f>TEXT(ASTemp!K270,Decimals)</f>
        <v/>
      </c>
      <c r="L270" s="69" t="str">
        <f>TEXT(ASTemp!L270,Decimals)</f>
        <v/>
      </c>
      <c r="M270" s="71" t="str">
        <f>TEXT(ASTemp!M270,Percentages)</f>
        <v/>
      </c>
      <c r="N270" s="72" t="str">
        <f>TEXT(ASTemp!N270,Percentages)</f>
        <v/>
      </c>
    </row>
    <row r="271" ht="14.25" customHeight="1">
      <c r="B271" s="66" t="str">
        <f>ASTemp!B271</f>
        <v/>
      </c>
      <c r="C271" s="67" t="str">
        <f>ASTemp!C271</f>
        <v/>
      </c>
      <c r="D271" s="68" t="str">
        <f>ASTemp!D271</f>
        <v/>
      </c>
      <c r="E271" s="65" t="str">
        <f>ASTemp!E271</f>
        <v/>
      </c>
      <c r="F271" s="69" t="str">
        <f>TEXT(ASTemp!F271,Decimals)</f>
        <v/>
      </c>
      <c r="G271" s="69" t="str">
        <f>TEXT(ASTemp!G271,Decimals)</f>
        <v/>
      </c>
      <c r="H271" s="69" t="str">
        <f>TEXT(ASTemp!H271,Decimals)</f>
        <v/>
      </c>
      <c r="I271" s="69" t="str">
        <f>TEXT(ASTemp!I271,Decimals)</f>
        <v/>
      </c>
      <c r="J271" s="69" t="str">
        <f>TEXT(ASTemp!J271,Decimals)</f>
        <v/>
      </c>
      <c r="K271" s="69" t="str">
        <f>TEXT(ASTemp!K271,Decimals)</f>
        <v/>
      </c>
      <c r="L271" s="69" t="str">
        <f>TEXT(ASTemp!L271,Decimals)</f>
        <v/>
      </c>
      <c r="M271" s="71" t="str">
        <f>TEXT(ASTemp!M271,Percentages)</f>
        <v/>
      </c>
      <c r="N271" s="72" t="str">
        <f>TEXT(ASTemp!N271,Percentages)</f>
        <v/>
      </c>
    </row>
    <row r="272" ht="14.25" customHeight="1">
      <c r="B272" s="66" t="str">
        <f>ASTemp!B272</f>
        <v/>
      </c>
      <c r="C272" s="67" t="str">
        <f>ASTemp!C272</f>
        <v/>
      </c>
      <c r="D272" s="68" t="str">
        <f>ASTemp!D272</f>
        <v/>
      </c>
      <c r="E272" s="65" t="str">
        <f>ASTemp!E272</f>
        <v/>
      </c>
      <c r="F272" s="69" t="str">
        <f>TEXT(ASTemp!F272,Decimals)</f>
        <v/>
      </c>
      <c r="G272" s="69" t="str">
        <f>TEXT(ASTemp!G272,Decimals)</f>
        <v/>
      </c>
      <c r="H272" s="69" t="str">
        <f>TEXT(ASTemp!H272,Decimals)</f>
        <v/>
      </c>
      <c r="I272" s="69" t="str">
        <f>TEXT(ASTemp!I272,Decimals)</f>
        <v/>
      </c>
      <c r="J272" s="69" t="str">
        <f>TEXT(ASTemp!J272,Decimals)</f>
        <v/>
      </c>
      <c r="K272" s="69" t="str">
        <f>TEXT(ASTemp!K272,Decimals)</f>
        <v/>
      </c>
      <c r="L272" s="69" t="str">
        <f>TEXT(ASTemp!L272,Decimals)</f>
        <v/>
      </c>
      <c r="M272" s="71" t="str">
        <f>TEXT(ASTemp!M272,Percentages)</f>
        <v/>
      </c>
      <c r="N272" s="72" t="str">
        <f>TEXT(ASTemp!N272,Percentages)</f>
        <v/>
      </c>
    </row>
    <row r="273" ht="14.25" customHeight="1">
      <c r="B273" s="66" t="str">
        <f>ASTemp!B273</f>
        <v/>
      </c>
      <c r="C273" s="67" t="str">
        <f>ASTemp!C273</f>
        <v/>
      </c>
      <c r="D273" s="68" t="str">
        <f>ASTemp!D273</f>
        <v/>
      </c>
      <c r="E273" s="65" t="str">
        <f>ASTemp!E273</f>
        <v/>
      </c>
      <c r="F273" s="69" t="str">
        <f>TEXT(ASTemp!F273,Decimals)</f>
        <v/>
      </c>
      <c r="G273" s="69" t="str">
        <f>TEXT(ASTemp!G273,Decimals)</f>
        <v/>
      </c>
      <c r="H273" s="69" t="str">
        <f>TEXT(ASTemp!H273,Decimals)</f>
        <v/>
      </c>
      <c r="I273" s="69" t="str">
        <f>TEXT(ASTemp!I273,Decimals)</f>
        <v/>
      </c>
      <c r="J273" s="69" t="str">
        <f>TEXT(ASTemp!J273,Decimals)</f>
        <v/>
      </c>
      <c r="K273" s="69" t="str">
        <f>TEXT(ASTemp!K273,Decimals)</f>
        <v/>
      </c>
      <c r="L273" s="69" t="str">
        <f>TEXT(ASTemp!L273,Decimals)</f>
        <v/>
      </c>
      <c r="M273" s="71" t="str">
        <f>TEXT(ASTemp!M273,Percentages)</f>
        <v/>
      </c>
      <c r="N273" s="72" t="str">
        <f>TEXT(ASTemp!N273,Percentages)</f>
        <v/>
      </c>
    </row>
    <row r="274" ht="14.25" customHeight="1">
      <c r="B274" s="66" t="str">
        <f>ASTemp!B274</f>
        <v/>
      </c>
      <c r="C274" s="67" t="str">
        <f>ASTemp!C274</f>
        <v/>
      </c>
      <c r="D274" s="68" t="str">
        <f>ASTemp!D274</f>
        <v/>
      </c>
      <c r="E274" s="65" t="str">
        <f>ASTemp!E274</f>
        <v/>
      </c>
      <c r="F274" s="69" t="str">
        <f>TEXT(ASTemp!F274,Decimals)</f>
        <v/>
      </c>
      <c r="G274" s="69" t="str">
        <f>TEXT(ASTemp!G274,Decimals)</f>
        <v/>
      </c>
      <c r="H274" s="69" t="str">
        <f>TEXT(ASTemp!H274,Decimals)</f>
        <v/>
      </c>
      <c r="I274" s="69" t="str">
        <f>TEXT(ASTemp!I274,Decimals)</f>
        <v/>
      </c>
      <c r="J274" s="69" t="str">
        <f>TEXT(ASTemp!J274,Decimals)</f>
        <v/>
      </c>
      <c r="K274" s="69" t="str">
        <f>TEXT(ASTemp!K274,Decimals)</f>
        <v/>
      </c>
      <c r="L274" s="69" t="str">
        <f>TEXT(ASTemp!L274,Decimals)</f>
        <v/>
      </c>
      <c r="M274" s="71" t="str">
        <f>TEXT(ASTemp!M274,Percentages)</f>
        <v/>
      </c>
      <c r="N274" s="72" t="str">
        <f>TEXT(ASTemp!N274,Percentages)</f>
        <v/>
      </c>
    </row>
    <row r="275" ht="14.25" customHeight="1">
      <c r="B275" s="66" t="str">
        <f>ASTemp!B275</f>
        <v/>
      </c>
      <c r="C275" s="67" t="str">
        <f>ASTemp!C275</f>
        <v/>
      </c>
      <c r="D275" s="68" t="str">
        <f>ASTemp!D275</f>
        <v/>
      </c>
      <c r="E275" s="65" t="str">
        <f>ASTemp!E275</f>
        <v/>
      </c>
      <c r="F275" s="69" t="str">
        <f>TEXT(ASTemp!F275,Decimals)</f>
        <v/>
      </c>
      <c r="G275" s="69" t="str">
        <f>TEXT(ASTemp!G275,Decimals)</f>
        <v/>
      </c>
      <c r="H275" s="69" t="str">
        <f>TEXT(ASTemp!H275,Decimals)</f>
        <v/>
      </c>
      <c r="I275" s="69" t="str">
        <f>TEXT(ASTemp!I275,Decimals)</f>
        <v/>
      </c>
      <c r="J275" s="69" t="str">
        <f>TEXT(ASTemp!J275,Decimals)</f>
        <v/>
      </c>
      <c r="K275" s="69" t="str">
        <f>TEXT(ASTemp!K275,Decimals)</f>
        <v/>
      </c>
      <c r="L275" s="69" t="str">
        <f>TEXT(ASTemp!L275,Decimals)</f>
        <v/>
      </c>
      <c r="M275" s="71" t="str">
        <f>TEXT(ASTemp!M275,Percentages)</f>
        <v/>
      </c>
      <c r="N275" s="72" t="str">
        <f>TEXT(ASTemp!N275,Percentages)</f>
        <v/>
      </c>
    </row>
    <row r="276" ht="14.25" customHeight="1">
      <c r="B276" s="66" t="str">
        <f>ASTemp!B276</f>
        <v/>
      </c>
      <c r="C276" s="67" t="str">
        <f>ASTemp!C276</f>
        <v/>
      </c>
      <c r="D276" s="68" t="str">
        <f>ASTemp!D276</f>
        <v/>
      </c>
      <c r="E276" s="65" t="str">
        <f>ASTemp!E276</f>
        <v/>
      </c>
      <c r="F276" s="69" t="str">
        <f>TEXT(ASTemp!F276,Decimals)</f>
        <v/>
      </c>
      <c r="G276" s="69" t="str">
        <f>TEXT(ASTemp!G276,Decimals)</f>
        <v/>
      </c>
      <c r="H276" s="69" t="str">
        <f>TEXT(ASTemp!H276,Decimals)</f>
        <v/>
      </c>
      <c r="I276" s="69" t="str">
        <f>TEXT(ASTemp!I276,Decimals)</f>
        <v/>
      </c>
      <c r="J276" s="69" t="str">
        <f>TEXT(ASTemp!J276,Decimals)</f>
        <v/>
      </c>
      <c r="K276" s="69" t="str">
        <f>TEXT(ASTemp!K276,Decimals)</f>
        <v/>
      </c>
      <c r="L276" s="69" t="str">
        <f>TEXT(ASTemp!L276,Decimals)</f>
        <v/>
      </c>
      <c r="M276" s="71" t="str">
        <f>TEXT(ASTemp!M276,Percentages)</f>
        <v/>
      </c>
      <c r="N276" s="72" t="str">
        <f>TEXT(ASTemp!N276,Percentages)</f>
        <v/>
      </c>
    </row>
    <row r="277" ht="14.25" customHeight="1">
      <c r="B277" s="66" t="str">
        <f>ASTemp!B277</f>
        <v/>
      </c>
      <c r="C277" s="67" t="str">
        <f>ASTemp!C277</f>
        <v/>
      </c>
      <c r="D277" s="68" t="str">
        <f>ASTemp!D277</f>
        <v/>
      </c>
      <c r="E277" s="65" t="str">
        <f>ASTemp!E277</f>
        <v/>
      </c>
      <c r="F277" s="69" t="str">
        <f>TEXT(ASTemp!F277,Decimals)</f>
        <v/>
      </c>
      <c r="G277" s="69" t="str">
        <f>TEXT(ASTemp!G277,Decimals)</f>
        <v/>
      </c>
      <c r="H277" s="69" t="str">
        <f>TEXT(ASTemp!H277,Decimals)</f>
        <v/>
      </c>
      <c r="I277" s="69" t="str">
        <f>TEXT(ASTemp!I277,Decimals)</f>
        <v/>
      </c>
      <c r="J277" s="69" t="str">
        <f>TEXT(ASTemp!J277,Decimals)</f>
        <v/>
      </c>
      <c r="K277" s="69" t="str">
        <f>TEXT(ASTemp!K277,Decimals)</f>
        <v/>
      </c>
      <c r="L277" s="69" t="str">
        <f>TEXT(ASTemp!L277,Decimals)</f>
        <v/>
      </c>
      <c r="M277" s="71" t="str">
        <f>TEXT(ASTemp!M277,Percentages)</f>
        <v/>
      </c>
      <c r="N277" s="72" t="str">
        <f>TEXT(ASTemp!N277,Percentages)</f>
        <v/>
      </c>
    </row>
    <row r="278" ht="14.25" customHeight="1">
      <c r="B278" s="66" t="str">
        <f>ASTemp!B278</f>
        <v/>
      </c>
      <c r="C278" s="67" t="str">
        <f>ASTemp!C278</f>
        <v/>
      </c>
      <c r="D278" s="68" t="str">
        <f>ASTemp!D278</f>
        <v/>
      </c>
      <c r="E278" s="65" t="str">
        <f>ASTemp!E278</f>
        <v/>
      </c>
      <c r="F278" s="69" t="str">
        <f>TEXT(ASTemp!F278,Decimals)</f>
        <v/>
      </c>
      <c r="G278" s="69" t="str">
        <f>TEXT(ASTemp!G278,Decimals)</f>
        <v/>
      </c>
      <c r="H278" s="69" t="str">
        <f>TEXT(ASTemp!H278,Decimals)</f>
        <v/>
      </c>
      <c r="I278" s="69" t="str">
        <f>TEXT(ASTemp!I278,Decimals)</f>
        <v/>
      </c>
      <c r="J278" s="69" t="str">
        <f>TEXT(ASTemp!J278,Decimals)</f>
        <v/>
      </c>
      <c r="K278" s="69" t="str">
        <f>TEXT(ASTemp!K278,Decimals)</f>
        <v/>
      </c>
      <c r="L278" s="69" t="str">
        <f>TEXT(ASTemp!L278,Decimals)</f>
        <v/>
      </c>
      <c r="M278" s="71" t="str">
        <f>TEXT(ASTemp!M278,Percentages)</f>
        <v/>
      </c>
      <c r="N278" s="72" t="str">
        <f>TEXT(ASTemp!N278,Percentages)</f>
        <v/>
      </c>
    </row>
    <row r="279" ht="14.25" customHeight="1">
      <c r="B279" s="66" t="str">
        <f>ASTemp!B279</f>
        <v/>
      </c>
      <c r="C279" s="67" t="str">
        <f>ASTemp!C279</f>
        <v/>
      </c>
      <c r="D279" s="68" t="str">
        <f>ASTemp!D279</f>
        <v/>
      </c>
      <c r="E279" s="65" t="str">
        <f>ASTemp!E279</f>
        <v/>
      </c>
      <c r="F279" s="69" t="str">
        <f>TEXT(ASTemp!F279,Decimals)</f>
        <v/>
      </c>
      <c r="G279" s="69" t="str">
        <f>TEXT(ASTemp!G279,Decimals)</f>
        <v/>
      </c>
      <c r="H279" s="69" t="str">
        <f>TEXT(ASTemp!H279,Decimals)</f>
        <v/>
      </c>
      <c r="I279" s="69" t="str">
        <f>TEXT(ASTemp!I279,Decimals)</f>
        <v/>
      </c>
      <c r="J279" s="69" t="str">
        <f>TEXT(ASTemp!J279,Decimals)</f>
        <v/>
      </c>
      <c r="K279" s="69" t="str">
        <f>TEXT(ASTemp!K279,Decimals)</f>
        <v/>
      </c>
      <c r="L279" s="69" t="str">
        <f>TEXT(ASTemp!L279,Decimals)</f>
        <v/>
      </c>
      <c r="M279" s="71" t="str">
        <f>TEXT(ASTemp!M279,Percentages)</f>
        <v/>
      </c>
      <c r="N279" s="72" t="str">
        <f>TEXT(ASTemp!N279,Percentages)</f>
        <v/>
      </c>
    </row>
    <row r="280" ht="14.25" customHeight="1">
      <c r="B280" s="66" t="str">
        <f>ASTemp!B280</f>
        <v/>
      </c>
      <c r="C280" s="67" t="str">
        <f>ASTemp!C280</f>
        <v/>
      </c>
      <c r="D280" s="68" t="str">
        <f>ASTemp!D280</f>
        <v/>
      </c>
      <c r="E280" s="65" t="str">
        <f>ASTemp!E280</f>
        <v/>
      </c>
      <c r="F280" s="69" t="str">
        <f>TEXT(ASTemp!F280,Decimals)</f>
        <v/>
      </c>
      <c r="G280" s="69" t="str">
        <f>TEXT(ASTemp!G280,Decimals)</f>
        <v/>
      </c>
      <c r="H280" s="69" t="str">
        <f>TEXT(ASTemp!H280,Decimals)</f>
        <v/>
      </c>
      <c r="I280" s="69" t="str">
        <f>TEXT(ASTemp!I280,Decimals)</f>
        <v/>
      </c>
      <c r="J280" s="69" t="str">
        <f>TEXT(ASTemp!J280,Decimals)</f>
        <v/>
      </c>
      <c r="K280" s="69" t="str">
        <f>TEXT(ASTemp!K280,Decimals)</f>
        <v/>
      </c>
      <c r="L280" s="69" t="str">
        <f>TEXT(ASTemp!L280,Decimals)</f>
        <v/>
      </c>
      <c r="M280" s="71" t="str">
        <f>TEXT(ASTemp!M280,Percentages)</f>
        <v/>
      </c>
      <c r="N280" s="72" t="str">
        <f>TEXT(ASTemp!N280,Percentages)</f>
        <v/>
      </c>
    </row>
    <row r="281" ht="14.25" customHeight="1">
      <c r="B281" s="66" t="str">
        <f>ASTemp!B281</f>
        <v/>
      </c>
      <c r="C281" s="67" t="str">
        <f>ASTemp!C281</f>
        <v/>
      </c>
      <c r="D281" s="68" t="str">
        <f>ASTemp!D281</f>
        <v/>
      </c>
      <c r="E281" s="65" t="str">
        <f>ASTemp!E281</f>
        <v/>
      </c>
      <c r="F281" s="69" t="str">
        <f>TEXT(ASTemp!F281,Decimals)</f>
        <v/>
      </c>
      <c r="G281" s="69" t="str">
        <f>TEXT(ASTemp!G281,Decimals)</f>
        <v/>
      </c>
      <c r="H281" s="69" t="str">
        <f>TEXT(ASTemp!H281,Decimals)</f>
        <v/>
      </c>
      <c r="I281" s="69" t="str">
        <f>TEXT(ASTemp!I281,Decimals)</f>
        <v/>
      </c>
      <c r="J281" s="69" t="str">
        <f>TEXT(ASTemp!J281,Decimals)</f>
        <v/>
      </c>
      <c r="K281" s="69" t="str">
        <f>TEXT(ASTemp!K281,Decimals)</f>
        <v/>
      </c>
      <c r="L281" s="69" t="str">
        <f>TEXT(ASTemp!L281,Decimals)</f>
        <v/>
      </c>
      <c r="M281" s="71" t="str">
        <f>TEXT(ASTemp!M281,Percentages)</f>
        <v/>
      </c>
      <c r="N281" s="72" t="str">
        <f>TEXT(ASTemp!N281,Percentages)</f>
        <v/>
      </c>
    </row>
    <row r="282" ht="14.25" customHeight="1">
      <c r="B282" s="66" t="str">
        <f>ASTemp!B282</f>
        <v/>
      </c>
      <c r="C282" s="67" t="str">
        <f>ASTemp!C282</f>
        <v/>
      </c>
      <c r="D282" s="68" t="str">
        <f>ASTemp!D282</f>
        <v/>
      </c>
      <c r="E282" s="65" t="str">
        <f>ASTemp!E282</f>
        <v/>
      </c>
      <c r="F282" s="69" t="str">
        <f>TEXT(ASTemp!F282,Decimals)</f>
        <v/>
      </c>
      <c r="G282" s="69" t="str">
        <f>TEXT(ASTemp!G282,Decimals)</f>
        <v/>
      </c>
      <c r="H282" s="69" t="str">
        <f>TEXT(ASTemp!H282,Decimals)</f>
        <v/>
      </c>
      <c r="I282" s="69" t="str">
        <f>TEXT(ASTemp!I282,Decimals)</f>
        <v/>
      </c>
      <c r="J282" s="69" t="str">
        <f>TEXT(ASTemp!J282,Decimals)</f>
        <v/>
      </c>
      <c r="K282" s="69" t="str">
        <f>TEXT(ASTemp!K282,Decimals)</f>
        <v/>
      </c>
      <c r="L282" s="69" t="str">
        <f>TEXT(ASTemp!L282,Decimals)</f>
        <v/>
      </c>
      <c r="M282" s="71" t="str">
        <f>TEXT(ASTemp!M282,Percentages)</f>
        <v/>
      </c>
      <c r="N282" s="72" t="str">
        <f>TEXT(ASTemp!N282,Percentages)</f>
        <v/>
      </c>
    </row>
    <row r="283" ht="14.25" customHeight="1">
      <c r="B283" s="66" t="str">
        <f>ASTemp!B283</f>
        <v/>
      </c>
      <c r="C283" s="67" t="str">
        <f>ASTemp!C283</f>
        <v/>
      </c>
      <c r="D283" s="68" t="str">
        <f>ASTemp!D283</f>
        <v/>
      </c>
      <c r="E283" s="65" t="str">
        <f>ASTemp!E283</f>
        <v/>
      </c>
      <c r="F283" s="69" t="str">
        <f>TEXT(ASTemp!F283,Decimals)</f>
        <v/>
      </c>
      <c r="G283" s="69" t="str">
        <f>TEXT(ASTemp!G283,Decimals)</f>
        <v/>
      </c>
      <c r="H283" s="69" t="str">
        <f>TEXT(ASTemp!H283,Decimals)</f>
        <v/>
      </c>
      <c r="I283" s="69" t="str">
        <f>TEXT(ASTemp!I283,Decimals)</f>
        <v/>
      </c>
      <c r="J283" s="69" t="str">
        <f>TEXT(ASTemp!J283,Decimals)</f>
        <v/>
      </c>
      <c r="K283" s="69" t="str">
        <f>TEXT(ASTemp!K283,Decimals)</f>
        <v/>
      </c>
      <c r="L283" s="69" t="str">
        <f>TEXT(ASTemp!L283,Decimals)</f>
        <v/>
      </c>
      <c r="M283" s="71" t="str">
        <f>TEXT(ASTemp!M283,Percentages)</f>
        <v/>
      </c>
      <c r="N283" s="72" t="str">
        <f>TEXT(ASTemp!N283,Percentages)</f>
        <v/>
      </c>
    </row>
    <row r="284" ht="14.25" customHeight="1">
      <c r="B284" s="66" t="str">
        <f>ASTemp!B284</f>
        <v/>
      </c>
      <c r="C284" s="67" t="str">
        <f>ASTemp!C284</f>
        <v/>
      </c>
      <c r="D284" s="68" t="str">
        <f>ASTemp!D284</f>
        <v/>
      </c>
      <c r="E284" s="65" t="str">
        <f>ASTemp!E284</f>
        <v/>
      </c>
      <c r="F284" s="69" t="str">
        <f>TEXT(ASTemp!F284,Decimals)</f>
        <v/>
      </c>
      <c r="G284" s="69" t="str">
        <f>TEXT(ASTemp!G284,Decimals)</f>
        <v/>
      </c>
      <c r="H284" s="69" t="str">
        <f>TEXT(ASTemp!H284,Decimals)</f>
        <v/>
      </c>
      <c r="I284" s="69" t="str">
        <f>TEXT(ASTemp!I284,Decimals)</f>
        <v/>
      </c>
      <c r="J284" s="69" t="str">
        <f>TEXT(ASTemp!J284,Decimals)</f>
        <v/>
      </c>
      <c r="K284" s="69" t="str">
        <f>TEXT(ASTemp!K284,Decimals)</f>
        <v/>
      </c>
      <c r="L284" s="69" t="str">
        <f>TEXT(ASTemp!L284,Decimals)</f>
        <v/>
      </c>
      <c r="M284" s="71" t="str">
        <f>TEXT(ASTemp!M284,Percentages)</f>
        <v/>
      </c>
      <c r="N284" s="72" t="str">
        <f>TEXT(ASTemp!N284,Percentages)</f>
        <v/>
      </c>
    </row>
    <row r="285" ht="14.25" customHeight="1">
      <c r="B285" s="66" t="str">
        <f>ASTemp!B285</f>
        <v/>
      </c>
      <c r="C285" s="67" t="str">
        <f>ASTemp!C285</f>
        <v/>
      </c>
      <c r="D285" s="68" t="str">
        <f>ASTemp!D285</f>
        <v/>
      </c>
      <c r="E285" s="65" t="str">
        <f>ASTemp!E285</f>
        <v/>
      </c>
      <c r="F285" s="69" t="str">
        <f>TEXT(ASTemp!F285,Decimals)</f>
        <v/>
      </c>
      <c r="G285" s="69" t="str">
        <f>TEXT(ASTemp!G285,Decimals)</f>
        <v/>
      </c>
      <c r="H285" s="69" t="str">
        <f>TEXT(ASTemp!H285,Decimals)</f>
        <v/>
      </c>
      <c r="I285" s="69" t="str">
        <f>TEXT(ASTemp!I285,Decimals)</f>
        <v/>
      </c>
      <c r="J285" s="69" t="str">
        <f>TEXT(ASTemp!J285,Decimals)</f>
        <v/>
      </c>
      <c r="K285" s="69" t="str">
        <f>TEXT(ASTemp!K285,Decimals)</f>
        <v/>
      </c>
      <c r="L285" s="69" t="str">
        <f>TEXT(ASTemp!L285,Decimals)</f>
        <v/>
      </c>
      <c r="M285" s="71" t="str">
        <f>TEXT(ASTemp!M285,Percentages)</f>
        <v/>
      </c>
      <c r="N285" s="72" t="str">
        <f>TEXT(ASTemp!N285,Percentages)</f>
        <v/>
      </c>
    </row>
    <row r="286" ht="14.25" customHeight="1">
      <c r="B286" s="66" t="str">
        <f>ASTemp!B286</f>
        <v/>
      </c>
      <c r="C286" s="67" t="str">
        <f>ASTemp!C286</f>
        <v/>
      </c>
      <c r="D286" s="68" t="str">
        <f>ASTemp!D286</f>
        <v/>
      </c>
      <c r="E286" s="65" t="str">
        <f>ASTemp!E286</f>
        <v/>
      </c>
      <c r="F286" s="69" t="str">
        <f>TEXT(ASTemp!F286,Decimals)</f>
        <v/>
      </c>
      <c r="G286" s="69" t="str">
        <f>TEXT(ASTemp!G286,Decimals)</f>
        <v/>
      </c>
      <c r="H286" s="69" t="str">
        <f>TEXT(ASTemp!H286,Decimals)</f>
        <v/>
      </c>
      <c r="I286" s="69" t="str">
        <f>TEXT(ASTemp!I286,Decimals)</f>
        <v/>
      </c>
      <c r="J286" s="69" t="str">
        <f>TEXT(ASTemp!J286,Decimals)</f>
        <v/>
      </c>
      <c r="K286" s="69" t="str">
        <f>TEXT(ASTemp!K286,Decimals)</f>
        <v/>
      </c>
      <c r="L286" s="69" t="str">
        <f>TEXT(ASTemp!L286,Decimals)</f>
        <v/>
      </c>
      <c r="M286" s="71" t="str">
        <f>TEXT(ASTemp!M286,Percentages)</f>
        <v/>
      </c>
      <c r="N286" s="72" t="str">
        <f>TEXT(ASTemp!N286,Percentages)</f>
        <v/>
      </c>
    </row>
    <row r="287" ht="14.25" customHeight="1">
      <c r="B287" s="66" t="str">
        <f>ASTemp!B287</f>
        <v/>
      </c>
      <c r="C287" s="67" t="str">
        <f>ASTemp!C287</f>
        <v/>
      </c>
      <c r="D287" s="68" t="str">
        <f>ASTemp!D287</f>
        <v/>
      </c>
      <c r="E287" s="65" t="str">
        <f>ASTemp!E287</f>
        <v/>
      </c>
      <c r="F287" s="69" t="str">
        <f>TEXT(ASTemp!F287,Decimals)</f>
        <v/>
      </c>
      <c r="G287" s="69" t="str">
        <f>TEXT(ASTemp!G287,Decimals)</f>
        <v/>
      </c>
      <c r="H287" s="69" t="str">
        <f>TEXT(ASTemp!H287,Decimals)</f>
        <v/>
      </c>
      <c r="I287" s="69" t="str">
        <f>TEXT(ASTemp!I287,Decimals)</f>
        <v/>
      </c>
      <c r="J287" s="69" t="str">
        <f>TEXT(ASTemp!J287,Decimals)</f>
        <v/>
      </c>
      <c r="K287" s="69" t="str">
        <f>TEXT(ASTemp!K287,Decimals)</f>
        <v/>
      </c>
      <c r="L287" s="69" t="str">
        <f>TEXT(ASTemp!L287,Decimals)</f>
        <v/>
      </c>
      <c r="M287" s="71" t="str">
        <f>TEXT(ASTemp!M287,Percentages)</f>
        <v/>
      </c>
      <c r="N287" s="72" t="str">
        <f>TEXT(ASTemp!N287,Percentages)</f>
        <v/>
      </c>
    </row>
    <row r="288" ht="14.25" customHeight="1">
      <c r="B288" s="66" t="str">
        <f>ASTemp!B288</f>
        <v/>
      </c>
      <c r="C288" s="67" t="str">
        <f>ASTemp!C288</f>
        <v/>
      </c>
      <c r="D288" s="68" t="str">
        <f>ASTemp!D288</f>
        <v/>
      </c>
      <c r="E288" s="65" t="str">
        <f>ASTemp!E288</f>
        <v/>
      </c>
      <c r="F288" s="69" t="str">
        <f>TEXT(ASTemp!F288,Decimals)</f>
        <v/>
      </c>
      <c r="G288" s="69" t="str">
        <f>TEXT(ASTemp!G288,Decimals)</f>
        <v/>
      </c>
      <c r="H288" s="69" t="str">
        <f>TEXT(ASTemp!H288,Decimals)</f>
        <v/>
      </c>
      <c r="I288" s="69" t="str">
        <f>TEXT(ASTemp!I288,Decimals)</f>
        <v/>
      </c>
      <c r="J288" s="69" t="str">
        <f>TEXT(ASTemp!J288,Decimals)</f>
        <v/>
      </c>
      <c r="K288" s="69" t="str">
        <f>TEXT(ASTemp!K288,Decimals)</f>
        <v/>
      </c>
      <c r="L288" s="69" t="str">
        <f>TEXT(ASTemp!L288,Decimals)</f>
        <v/>
      </c>
      <c r="M288" s="71" t="str">
        <f>TEXT(ASTemp!M288,Percentages)</f>
        <v/>
      </c>
      <c r="N288" s="72" t="str">
        <f>TEXT(ASTemp!N288,Percentages)</f>
        <v/>
      </c>
    </row>
    <row r="289" ht="14.25" customHeight="1">
      <c r="B289" s="66" t="str">
        <f>ASTemp!B289</f>
        <v/>
      </c>
      <c r="C289" s="67" t="str">
        <f>ASTemp!C289</f>
        <v/>
      </c>
      <c r="D289" s="68" t="str">
        <f>ASTemp!D289</f>
        <v/>
      </c>
      <c r="E289" s="65" t="str">
        <f>ASTemp!E289</f>
        <v/>
      </c>
      <c r="F289" s="69" t="str">
        <f>TEXT(ASTemp!F289,Decimals)</f>
        <v/>
      </c>
      <c r="G289" s="69" t="str">
        <f>TEXT(ASTemp!G289,Decimals)</f>
        <v/>
      </c>
      <c r="H289" s="69" t="str">
        <f>TEXT(ASTemp!H289,Decimals)</f>
        <v/>
      </c>
      <c r="I289" s="69" t="str">
        <f>TEXT(ASTemp!I289,Decimals)</f>
        <v/>
      </c>
      <c r="J289" s="69" t="str">
        <f>TEXT(ASTemp!J289,Decimals)</f>
        <v/>
      </c>
      <c r="K289" s="69" t="str">
        <f>TEXT(ASTemp!K289,Decimals)</f>
        <v/>
      </c>
      <c r="L289" s="69" t="str">
        <f>TEXT(ASTemp!L289,Decimals)</f>
        <v/>
      </c>
      <c r="M289" s="71" t="str">
        <f>TEXT(ASTemp!M289,Percentages)</f>
        <v/>
      </c>
      <c r="N289" s="72" t="str">
        <f>TEXT(ASTemp!N289,Percentages)</f>
        <v/>
      </c>
    </row>
    <row r="290" ht="14.25" customHeight="1">
      <c r="B290" s="66" t="str">
        <f>ASTemp!B290</f>
        <v/>
      </c>
      <c r="C290" s="67" t="str">
        <f>ASTemp!C290</f>
        <v/>
      </c>
      <c r="D290" s="68" t="str">
        <f>ASTemp!D290</f>
        <v/>
      </c>
      <c r="E290" s="65" t="str">
        <f>ASTemp!E290</f>
        <v/>
      </c>
      <c r="F290" s="69" t="str">
        <f>TEXT(ASTemp!F290,Decimals)</f>
        <v/>
      </c>
      <c r="G290" s="69" t="str">
        <f>TEXT(ASTemp!G290,Decimals)</f>
        <v/>
      </c>
      <c r="H290" s="69" t="str">
        <f>TEXT(ASTemp!H290,Decimals)</f>
        <v/>
      </c>
      <c r="I290" s="69" t="str">
        <f>TEXT(ASTemp!I290,Decimals)</f>
        <v/>
      </c>
      <c r="J290" s="69" t="str">
        <f>TEXT(ASTemp!J290,Decimals)</f>
        <v/>
      </c>
      <c r="K290" s="69" t="str">
        <f>TEXT(ASTemp!K290,Decimals)</f>
        <v/>
      </c>
      <c r="L290" s="69" t="str">
        <f>TEXT(ASTemp!L290,Decimals)</f>
        <v/>
      </c>
      <c r="M290" s="71" t="str">
        <f>TEXT(ASTemp!M290,Percentages)</f>
        <v/>
      </c>
      <c r="N290" s="72" t="str">
        <f>TEXT(ASTemp!N290,Percentages)</f>
        <v/>
      </c>
    </row>
    <row r="291" ht="14.25" customHeight="1">
      <c r="B291" s="66" t="str">
        <f>ASTemp!B291</f>
        <v/>
      </c>
      <c r="C291" s="67" t="str">
        <f>ASTemp!C291</f>
        <v/>
      </c>
      <c r="D291" s="68" t="str">
        <f>ASTemp!D291</f>
        <v/>
      </c>
      <c r="E291" s="65" t="str">
        <f>ASTemp!E291</f>
        <v/>
      </c>
      <c r="F291" s="69" t="str">
        <f>TEXT(ASTemp!F291,Decimals)</f>
        <v/>
      </c>
      <c r="G291" s="69" t="str">
        <f>TEXT(ASTemp!G291,Decimals)</f>
        <v/>
      </c>
      <c r="H291" s="69" t="str">
        <f>TEXT(ASTemp!H291,Decimals)</f>
        <v/>
      </c>
      <c r="I291" s="69" t="str">
        <f>TEXT(ASTemp!I291,Decimals)</f>
        <v/>
      </c>
      <c r="J291" s="69" t="str">
        <f>TEXT(ASTemp!J291,Decimals)</f>
        <v/>
      </c>
      <c r="K291" s="69" t="str">
        <f>TEXT(ASTemp!K291,Decimals)</f>
        <v/>
      </c>
      <c r="L291" s="69" t="str">
        <f>TEXT(ASTemp!L291,Decimals)</f>
        <v/>
      </c>
      <c r="M291" s="71" t="str">
        <f>TEXT(ASTemp!M291,Percentages)</f>
        <v/>
      </c>
      <c r="N291" s="72" t="str">
        <f>TEXT(ASTemp!N291,Percentages)</f>
        <v/>
      </c>
    </row>
    <row r="292" ht="14.25" customHeight="1">
      <c r="B292" s="66" t="str">
        <f>ASTemp!B292</f>
        <v/>
      </c>
      <c r="C292" s="67" t="str">
        <f>ASTemp!C292</f>
        <v/>
      </c>
      <c r="D292" s="68" t="str">
        <f>ASTemp!D292</f>
        <v/>
      </c>
      <c r="E292" s="65" t="str">
        <f>ASTemp!E292</f>
        <v/>
      </c>
      <c r="F292" s="69" t="str">
        <f>TEXT(ASTemp!F292,Decimals)</f>
        <v/>
      </c>
      <c r="G292" s="69" t="str">
        <f>TEXT(ASTemp!G292,Decimals)</f>
        <v/>
      </c>
      <c r="H292" s="69" t="str">
        <f>TEXT(ASTemp!H292,Decimals)</f>
        <v/>
      </c>
      <c r="I292" s="69" t="str">
        <f>TEXT(ASTemp!I292,Decimals)</f>
        <v/>
      </c>
      <c r="J292" s="69" t="str">
        <f>TEXT(ASTemp!J292,Decimals)</f>
        <v/>
      </c>
      <c r="K292" s="69" t="str">
        <f>TEXT(ASTemp!K292,Decimals)</f>
        <v/>
      </c>
      <c r="L292" s="69" t="str">
        <f>TEXT(ASTemp!L292,Decimals)</f>
        <v/>
      </c>
      <c r="M292" s="71" t="str">
        <f>TEXT(ASTemp!M292,Percentages)</f>
        <v/>
      </c>
      <c r="N292" s="72" t="str">
        <f>TEXT(ASTemp!N292,Percentages)</f>
        <v/>
      </c>
    </row>
    <row r="293" ht="14.25" customHeight="1">
      <c r="B293" s="66" t="str">
        <f>ASTemp!B293</f>
        <v/>
      </c>
      <c r="C293" s="67" t="str">
        <f>ASTemp!C293</f>
        <v/>
      </c>
      <c r="D293" s="68" t="str">
        <f>ASTemp!D293</f>
        <v/>
      </c>
      <c r="E293" s="65" t="str">
        <f>ASTemp!E293</f>
        <v/>
      </c>
      <c r="F293" s="69" t="str">
        <f>TEXT(ASTemp!F293,Decimals)</f>
        <v/>
      </c>
      <c r="G293" s="69" t="str">
        <f>TEXT(ASTemp!G293,Decimals)</f>
        <v/>
      </c>
      <c r="H293" s="69" t="str">
        <f>TEXT(ASTemp!H293,Decimals)</f>
        <v/>
      </c>
      <c r="I293" s="69" t="str">
        <f>TEXT(ASTemp!I293,Decimals)</f>
        <v/>
      </c>
      <c r="J293" s="69" t="str">
        <f>TEXT(ASTemp!J293,Decimals)</f>
        <v/>
      </c>
      <c r="K293" s="69" t="str">
        <f>TEXT(ASTemp!K293,Decimals)</f>
        <v/>
      </c>
      <c r="L293" s="69" t="str">
        <f>TEXT(ASTemp!L293,Decimals)</f>
        <v/>
      </c>
      <c r="M293" s="71" t="str">
        <f>TEXT(ASTemp!M293,Percentages)</f>
        <v/>
      </c>
      <c r="N293" s="72" t="str">
        <f>TEXT(ASTemp!N293,Percentages)</f>
        <v/>
      </c>
    </row>
    <row r="294" ht="14.25" customHeight="1">
      <c r="B294" s="66" t="str">
        <f>ASTemp!B294</f>
        <v/>
      </c>
      <c r="C294" s="67" t="str">
        <f>ASTemp!C294</f>
        <v/>
      </c>
      <c r="D294" s="68" t="str">
        <f>ASTemp!D294</f>
        <v/>
      </c>
      <c r="E294" s="65" t="str">
        <f>ASTemp!E294</f>
        <v/>
      </c>
      <c r="F294" s="69" t="str">
        <f>TEXT(ASTemp!F294,Decimals)</f>
        <v/>
      </c>
      <c r="G294" s="69" t="str">
        <f>TEXT(ASTemp!G294,Decimals)</f>
        <v/>
      </c>
      <c r="H294" s="69" t="str">
        <f>TEXT(ASTemp!H294,Decimals)</f>
        <v/>
      </c>
      <c r="I294" s="69" t="str">
        <f>TEXT(ASTemp!I294,Decimals)</f>
        <v/>
      </c>
      <c r="J294" s="69" t="str">
        <f>TEXT(ASTemp!J294,Decimals)</f>
        <v/>
      </c>
      <c r="K294" s="69" t="str">
        <f>TEXT(ASTemp!K294,Decimals)</f>
        <v/>
      </c>
      <c r="L294" s="69" t="str">
        <f>TEXT(ASTemp!L294,Decimals)</f>
        <v/>
      </c>
      <c r="M294" s="71" t="str">
        <f>TEXT(ASTemp!M294,Percentages)</f>
        <v/>
      </c>
      <c r="N294" s="72" t="str">
        <f>TEXT(ASTemp!N294,Percentages)</f>
        <v/>
      </c>
    </row>
    <row r="295" ht="14.25" customHeight="1">
      <c r="B295" s="66" t="str">
        <f>ASTemp!B295</f>
        <v/>
      </c>
      <c r="C295" s="67" t="str">
        <f>ASTemp!C295</f>
        <v/>
      </c>
      <c r="D295" s="68" t="str">
        <f>ASTemp!D295</f>
        <v/>
      </c>
      <c r="E295" s="65" t="str">
        <f>ASTemp!E295</f>
        <v/>
      </c>
      <c r="F295" s="69" t="str">
        <f>TEXT(ASTemp!F295,Decimals)</f>
        <v/>
      </c>
      <c r="G295" s="69" t="str">
        <f>TEXT(ASTemp!G295,Decimals)</f>
        <v/>
      </c>
      <c r="H295" s="69" t="str">
        <f>TEXT(ASTemp!H295,Decimals)</f>
        <v/>
      </c>
      <c r="I295" s="69" t="str">
        <f>TEXT(ASTemp!I295,Decimals)</f>
        <v/>
      </c>
      <c r="J295" s="69" t="str">
        <f>TEXT(ASTemp!J295,Decimals)</f>
        <v/>
      </c>
      <c r="K295" s="69" t="str">
        <f>TEXT(ASTemp!K295,Decimals)</f>
        <v/>
      </c>
      <c r="L295" s="69" t="str">
        <f>TEXT(ASTemp!L295,Decimals)</f>
        <v/>
      </c>
      <c r="M295" s="71" t="str">
        <f>TEXT(ASTemp!M295,Percentages)</f>
        <v/>
      </c>
      <c r="N295" s="72" t="str">
        <f>TEXT(ASTemp!N295,Percentages)</f>
        <v/>
      </c>
    </row>
    <row r="296" ht="14.25" customHeight="1">
      <c r="B296" s="66" t="str">
        <f>ASTemp!B296</f>
        <v/>
      </c>
      <c r="C296" s="67" t="str">
        <f>ASTemp!C296</f>
        <v/>
      </c>
      <c r="D296" s="68" t="str">
        <f>ASTemp!D296</f>
        <v/>
      </c>
      <c r="E296" s="65" t="str">
        <f>ASTemp!E296</f>
        <v/>
      </c>
      <c r="F296" s="69" t="str">
        <f>TEXT(ASTemp!F296,Decimals)</f>
        <v/>
      </c>
      <c r="G296" s="69" t="str">
        <f>TEXT(ASTemp!G296,Decimals)</f>
        <v/>
      </c>
      <c r="H296" s="69" t="str">
        <f>TEXT(ASTemp!H296,Decimals)</f>
        <v/>
      </c>
      <c r="I296" s="69" t="str">
        <f>TEXT(ASTemp!I296,Decimals)</f>
        <v/>
      </c>
      <c r="J296" s="69" t="str">
        <f>TEXT(ASTemp!J296,Decimals)</f>
        <v/>
      </c>
      <c r="K296" s="69" t="str">
        <f>TEXT(ASTemp!K296,Decimals)</f>
        <v/>
      </c>
      <c r="L296" s="69" t="str">
        <f>TEXT(ASTemp!L296,Decimals)</f>
        <v/>
      </c>
      <c r="M296" s="71" t="str">
        <f>TEXT(ASTemp!M296,Percentages)</f>
        <v/>
      </c>
      <c r="N296" s="72" t="str">
        <f>TEXT(ASTemp!N296,Percentages)</f>
        <v/>
      </c>
    </row>
    <row r="297" ht="14.25" customHeight="1">
      <c r="B297" s="66" t="str">
        <f>ASTemp!B297</f>
        <v/>
      </c>
      <c r="C297" s="67" t="str">
        <f>ASTemp!C297</f>
        <v/>
      </c>
      <c r="D297" s="68" t="str">
        <f>ASTemp!D297</f>
        <v/>
      </c>
      <c r="E297" s="65" t="str">
        <f>ASTemp!E297</f>
        <v/>
      </c>
      <c r="F297" s="69" t="str">
        <f>TEXT(ASTemp!F297,Decimals)</f>
        <v/>
      </c>
      <c r="G297" s="69" t="str">
        <f>TEXT(ASTemp!G297,Decimals)</f>
        <v/>
      </c>
      <c r="H297" s="69" t="str">
        <f>TEXT(ASTemp!H297,Decimals)</f>
        <v/>
      </c>
      <c r="I297" s="69" t="str">
        <f>TEXT(ASTemp!I297,Decimals)</f>
        <v/>
      </c>
      <c r="J297" s="69" t="str">
        <f>TEXT(ASTemp!J297,Decimals)</f>
        <v/>
      </c>
      <c r="K297" s="69" t="str">
        <f>TEXT(ASTemp!K297,Decimals)</f>
        <v/>
      </c>
      <c r="L297" s="69" t="str">
        <f>TEXT(ASTemp!L297,Decimals)</f>
        <v/>
      </c>
      <c r="M297" s="71" t="str">
        <f>TEXT(ASTemp!M297,Percentages)</f>
        <v/>
      </c>
      <c r="N297" s="72" t="str">
        <f>TEXT(ASTemp!N297,Percentages)</f>
        <v/>
      </c>
    </row>
    <row r="298" ht="14.25" customHeight="1">
      <c r="B298" s="66" t="str">
        <f>ASTemp!B298</f>
        <v/>
      </c>
      <c r="C298" s="67" t="str">
        <f>ASTemp!C298</f>
        <v/>
      </c>
      <c r="D298" s="68" t="str">
        <f>ASTemp!D298</f>
        <v/>
      </c>
      <c r="E298" s="65" t="str">
        <f>ASTemp!E298</f>
        <v/>
      </c>
      <c r="F298" s="69" t="str">
        <f>TEXT(ASTemp!F298,Decimals)</f>
        <v/>
      </c>
      <c r="G298" s="69" t="str">
        <f>TEXT(ASTemp!G298,Decimals)</f>
        <v/>
      </c>
      <c r="H298" s="69" t="str">
        <f>TEXT(ASTemp!H298,Decimals)</f>
        <v/>
      </c>
      <c r="I298" s="69" t="str">
        <f>TEXT(ASTemp!I298,Decimals)</f>
        <v/>
      </c>
      <c r="J298" s="69" t="str">
        <f>TEXT(ASTemp!J298,Decimals)</f>
        <v/>
      </c>
      <c r="K298" s="69" t="str">
        <f>TEXT(ASTemp!K298,Decimals)</f>
        <v/>
      </c>
      <c r="L298" s="69" t="str">
        <f>TEXT(ASTemp!L298,Decimals)</f>
        <v/>
      </c>
      <c r="M298" s="71" t="str">
        <f>TEXT(ASTemp!M298,Percentages)</f>
        <v/>
      </c>
      <c r="N298" s="72" t="str">
        <f>TEXT(ASTemp!N298,Percentages)</f>
        <v/>
      </c>
    </row>
    <row r="299" ht="14.25" customHeight="1">
      <c r="B299" s="66" t="str">
        <f>ASTemp!B299</f>
        <v/>
      </c>
      <c r="C299" s="67" t="str">
        <f>ASTemp!C299</f>
        <v/>
      </c>
      <c r="D299" s="68" t="str">
        <f>ASTemp!D299</f>
        <v/>
      </c>
      <c r="E299" s="65" t="str">
        <f>ASTemp!E299</f>
        <v/>
      </c>
      <c r="F299" s="69" t="str">
        <f>TEXT(ASTemp!F299,Decimals)</f>
        <v/>
      </c>
      <c r="G299" s="69" t="str">
        <f>TEXT(ASTemp!G299,Decimals)</f>
        <v/>
      </c>
      <c r="H299" s="69" t="str">
        <f>TEXT(ASTemp!H299,Decimals)</f>
        <v/>
      </c>
      <c r="I299" s="69" t="str">
        <f>TEXT(ASTemp!I299,Decimals)</f>
        <v/>
      </c>
      <c r="J299" s="69" t="str">
        <f>TEXT(ASTemp!J299,Decimals)</f>
        <v/>
      </c>
      <c r="K299" s="69" t="str">
        <f>TEXT(ASTemp!K299,Decimals)</f>
        <v/>
      </c>
      <c r="L299" s="69" t="str">
        <f>TEXT(ASTemp!L299,Decimals)</f>
        <v/>
      </c>
      <c r="M299" s="71" t="str">
        <f>TEXT(ASTemp!M299,Percentages)</f>
        <v/>
      </c>
      <c r="N299" s="72" t="str">
        <f>TEXT(ASTemp!N299,Percentages)</f>
        <v/>
      </c>
    </row>
    <row r="300" ht="14.25" customHeight="1">
      <c r="B300" s="66" t="str">
        <f>ASTemp!B300</f>
        <v/>
      </c>
      <c r="C300" s="67" t="str">
        <f>ASTemp!C300</f>
        <v/>
      </c>
      <c r="D300" s="68" t="str">
        <f>ASTemp!D300</f>
        <v/>
      </c>
      <c r="E300" s="65" t="str">
        <f>ASTemp!E300</f>
        <v/>
      </c>
      <c r="F300" s="69" t="str">
        <f>TEXT(ASTemp!F300,Decimals)</f>
        <v/>
      </c>
      <c r="G300" s="69" t="str">
        <f>TEXT(ASTemp!G300,Decimals)</f>
        <v/>
      </c>
      <c r="H300" s="69" t="str">
        <f>TEXT(ASTemp!H300,Decimals)</f>
        <v/>
      </c>
      <c r="I300" s="69" t="str">
        <f>TEXT(ASTemp!I300,Decimals)</f>
        <v/>
      </c>
      <c r="J300" s="69" t="str">
        <f>TEXT(ASTemp!J300,Decimals)</f>
        <v/>
      </c>
      <c r="K300" s="69" t="str">
        <f>TEXT(ASTemp!K300,Decimals)</f>
        <v/>
      </c>
      <c r="L300" s="69" t="str">
        <f>TEXT(ASTemp!L300,Decimals)</f>
        <v/>
      </c>
      <c r="M300" s="71" t="str">
        <f>TEXT(ASTemp!M300,Percentages)</f>
        <v/>
      </c>
      <c r="N300" s="72" t="str">
        <f>TEXT(ASTemp!N300,Percentages)</f>
        <v/>
      </c>
    </row>
    <row r="301" ht="14.25" customHeight="1">
      <c r="B301" s="66" t="str">
        <f>ASTemp!B301</f>
        <v/>
      </c>
      <c r="C301" s="67" t="str">
        <f>ASTemp!C301</f>
        <v/>
      </c>
      <c r="D301" s="68" t="str">
        <f>ASTemp!D301</f>
        <v/>
      </c>
      <c r="E301" s="65" t="str">
        <f>ASTemp!E301</f>
        <v/>
      </c>
      <c r="F301" s="69" t="str">
        <f>TEXT(ASTemp!F301,Decimals)</f>
        <v/>
      </c>
      <c r="G301" s="69" t="str">
        <f>TEXT(ASTemp!G301,Decimals)</f>
        <v/>
      </c>
      <c r="H301" s="69" t="str">
        <f>TEXT(ASTemp!H301,Decimals)</f>
        <v/>
      </c>
      <c r="I301" s="69" t="str">
        <f>TEXT(ASTemp!I301,Decimals)</f>
        <v/>
      </c>
      <c r="J301" s="69" t="str">
        <f>TEXT(ASTemp!J301,Decimals)</f>
        <v/>
      </c>
      <c r="K301" s="69" t="str">
        <f>TEXT(ASTemp!K301,Decimals)</f>
        <v/>
      </c>
      <c r="L301" s="69" t="str">
        <f>TEXT(ASTemp!L301,Decimals)</f>
        <v/>
      </c>
      <c r="M301" s="71" t="str">
        <f>TEXT(ASTemp!M301,Percentages)</f>
        <v/>
      </c>
      <c r="N301" s="72" t="str">
        <f>TEXT(ASTemp!N301,Percentages)</f>
        <v/>
      </c>
    </row>
    <row r="302" ht="14.25" customHeight="1">
      <c r="B302" s="66" t="str">
        <f>ASTemp!B302</f>
        <v/>
      </c>
      <c r="C302" s="67" t="str">
        <f>ASTemp!C302</f>
        <v/>
      </c>
      <c r="D302" s="68" t="str">
        <f>ASTemp!D302</f>
        <v/>
      </c>
      <c r="E302" s="65" t="str">
        <f>ASTemp!E302</f>
        <v/>
      </c>
      <c r="F302" s="69" t="str">
        <f>TEXT(ASTemp!F302,Decimals)</f>
        <v/>
      </c>
      <c r="G302" s="69" t="str">
        <f>TEXT(ASTemp!G302,Decimals)</f>
        <v/>
      </c>
      <c r="H302" s="69" t="str">
        <f>TEXT(ASTemp!H302,Decimals)</f>
        <v/>
      </c>
      <c r="I302" s="69" t="str">
        <f>TEXT(ASTemp!I302,Decimals)</f>
        <v/>
      </c>
      <c r="J302" s="69" t="str">
        <f>TEXT(ASTemp!J302,Decimals)</f>
        <v/>
      </c>
      <c r="K302" s="69" t="str">
        <f>TEXT(ASTemp!K302,Decimals)</f>
        <v/>
      </c>
      <c r="L302" s="69" t="str">
        <f>TEXT(ASTemp!L302,Decimals)</f>
        <v/>
      </c>
      <c r="M302" s="71" t="str">
        <f>TEXT(ASTemp!M302,Percentages)</f>
        <v/>
      </c>
      <c r="N302" s="72" t="str">
        <f>TEXT(ASTemp!N302,Percentages)</f>
        <v/>
      </c>
    </row>
    <row r="303" ht="14.25" customHeight="1">
      <c r="B303" s="66" t="str">
        <f>ASTemp!B303</f>
        <v/>
      </c>
      <c r="C303" s="67" t="str">
        <f>ASTemp!C303</f>
        <v/>
      </c>
      <c r="D303" s="68" t="str">
        <f>ASTemp!D303</f>
        <v/>
      </c>
      <c r="E303" s="65" t="str">
        <f>ASTemp!E303</f>
        <v/>
      </c>
      <c r="F303" s="69" t="str">
        <f>TEXT(ASTemp!F303,Decimals)</f>
        <v/>
      </c>
      <c r="G303" s="69" t="str">
        <f>TEXT(ASTemp!G303,Decimals)</f>
        <v/>
      </c>
      <c r="H303" s="69" t="str">
        <f>TEXT(ASTemp!H303,Decimals)</f>
        <v/>
      </c>
      <c r="I303" s="69" t="str">
        <f>TEXT(ASTemp!I303,Decimals)</f>
        <v/>
      </c>
      <c r="J303" s="69" t="str">
        <f>TEXT(ASTemp!J303,Decimals)</f>
        <v/>
      </c>
      <c r="K303" s="69" t="str">
        <f>TEXT(ASTemp!K303,Decimals)</f>
        <v/>
      </c>
      <c r="L303" s="69" t="str">
        <f>TEXT(ASTemp!L303,Decimals)</f>
        <v/>
      </c>
      <c r="M303" s="71" t="str">
        <f>TEXT(ASTemp!M303,Percentages)</f>
        <v/>
      </c>
      <c r="N303" s="72" t="str">
        <f>TEXT(ASTemp!N303,Percentages)</f>
        <v/>
      </c>
    </row>
    <row r="304" ht="14.25" customHeight="1">
      <c r="B304" s="66" t="str">
        <f>ASTemp!B304</f>
        <v/>
      </c>
      <c r="C304" s="67" t="str">
        <f>ASTemp!C304</f>
        <v/>
      </c>
      <c r="D304" s="68" t="str">
        <f>ASTemp!D304</f>
        <v/>
      </c>
      <c r="E304" s="65" t="str">
        <f>ASTemp!E304</f>
        <v/>
      </c>
      <c r="F304" s="69" t="str">
        <f>TEXT(ASTemp!F304,Decimals)</f>
        <v/>
      </c>
      <c r="G304" s="69" t="str">
        <f>TEXT(ASTemp!G304,Decimals)</f>
        <v/>
      </c>
      <c r="H304" s="69" t="str">
        <f>TEXT(ASTemp!H304,Decimals)</f>
        <v/>
      </c>
      <c r="I304" s="69" t="str">
        <f>TEXT(ASTemp!I304,Decimals)</f>
        <v/>
      </c>
      <c r="J304" s="69" t="str">
        <f>TEXT(ASTemp!J304,Decimals)</f>
        <v/>
      </c>
      <c r="K304" s="69" t="str">
        <f>TEXT(ASTemp!K304,Decimals)</f>
        <v/>
      </c>
      <c r="L304" s="69" t="str">
        <f>TEXT(ASTemp!L304,Decimals)</f>
        <v/>
      </c>
      <c r="M304" s="71" t="str">
        <f>TEXT(ASTemp!M304,Percentages)</f>
        <v/>
      </c>
      <c r="N304" s="72" t="str">
        <f>TEXT(ASTemp!N304,Percentages)</f>
        <v/>
      </c>
    </row>
    <row r="305" ht="14.25" customHeight="1">
      <c r="B305" s="66" t="str">
        <f>ASTemp!B305</f>
        <v/>
      </c>
      <c r="C305" s="67" t="str">
        <f>ASTemp!C305</f>
        <v/>
      </c>
      <c r="D305" s="68" t="str">
        <f>ASTemp!D305</f>
        <v/>
      </c>
      <c r="E305" s="65" t="str">
        <f>ASTemp!E305</f>
        <v/>
      </c>
      <c r="F305" s="69" t="str">
        <f>TEXT(ASTemp!F305,Decimals)</f>
        <v/>
      </c>
      <c r="G305" s="69" t="str">
        <f>TEXT(ASTemp!G305,Decimals)</f>
        <v/>
      </c>
      <c r="H305" s="69" t="str">
        <f>TEXT(ASTemp!H305,Decimals)</f>
        <v/>
      </c>
      <c r="I305" s="69" t="str">
        <f>TEXT(ASTemp!I305,Decimals)</f>
        <v/>
      </c>
      <c r="J305" s="69" t="str">
        <f>TEXT(ASTemp!J305,Decimals)</f>
        <v/>
      </c>
      <c r="K305" s="69" t="str">
        <f>TEXT(ASTemp!K305,Decimals)</f>
        <v/>
      </c>
      <c r="L305" s="69" t="str">
        <f>TEXT(ASTemp!L305,Decimals)</f>
        <v/>
      </c>
      <c r="M305" s="71" t="str">
        <f>TEXT(ASTemp!M305,Percentages)</f>
        <v/>
      </c>
      <c r="N305" s="72" t="str">
        <f>TEXT(ASTemp!N305,Percentages)</f>
        <v/>
      </c>
    </row>
    <row r="306" ht="14.25" customHeight="1">
      <c r="B306" s="66" t="str">
        <f>ASTemp!B306</f>
        <v/>
      </c>
      <c r="C306" s="67" t="str">
        <f>ASTemp!C306</f>
        <v/>
      </c>
      <c r="D306" s="68" t="str">
        <f>ASTemp!D306</f>
        <v/>
      </c>
      <c r="E306" s="65" t="str">
        <f>ASTemp!E306</f>
        <v/>
      </c>
      <c r="F306" s="69" t="str">
        <f>TEXT(ASTemp!F306,Decimals)</f>
        <v/>
      </c>
      <c r="G306" s="69" t="str">
        <f>TEXT(ASTemp!G306,Decimals)</f>
        <v/>
      </c>
      <c r="H306" s="69" t="str">
        <f>TEXT(ASTemp!H306,Decimals)</f>
        <v/>
      </c>
      <c r="I306" s="69" t="str">
        <f>TEXT(ASTemp!I306,Decimals)</f>
        <v/>
      </c>
      <c r="J306" s="69" t="str">
        <f>TEXT(ASTemp!J306,Decimals)</f>
        <v/>
      </c>
      <c r="K306" s="69" t="str">
        <f>TEXT(ASTemp!K306,Decimals)</f>
        <v/>
      </c>
      <c r="L306" s="69" t="str">
        <f>TEXT(ASTemp!L306,Decimals)</f>
        <v/>
      </c>
      <c r="M306" s="71" t="str">
        <f>TEXT(ASTemp!M306,Percentages)</f>
        <v/>
      </c>
      <c r="N306" s="72" t="str">
        <f>TEXT(ASTemp!N306,Percentages)</f>
        <v/>
      </c>
    </row>
    <row r="307" ht="14.25" customHeight="1">
      <c r="B307" s="66" t="str">
        <f>ASTemp!B307</f>
        <v/>
      </c>
      <c r="C307" s="67" t="str">
        <f>ASTemp!C307</f>
        <v/>
      </c>
      <c r="D307" s="68" t="str">
        <f>ASTemp!D307</f>
        <v/>
      </c>
      <c r="E307" s="65" t="str">
        <f>ASTemp!E307</f>
        <v/>
      </c>
      <c r="F307" s="69" t="str">
        <f>TEXT(ASTemp!F307,Decimals)</f>
        <v/>
      </c>
      <c r="G307" s="69" t="str">
        <f>TEXT(ASTemp!G307,Decimals)</f>
        <v/>
      </c>
      <c r="H307" s="69" t="str">
        <f>TEXT(ASTemp!H307,Decimals)</f>
        <v/>
      </c>
      <c r="I307" s="69" t="str">
        <f>TEXT(ASTemp!I307,Decimals)</f>
        <v/>
      </c>
      <c r="J307" s="69" t="str">
        <f>TEXT(ASTemp!J307,Decimals)</f>
        <v/>
      </c>
      <c r="K307" s="69" t="str">
        <f>TEXT(ASTemp!K307,Decimals)</f>
        <v/>
      </c>
      <c r="L307" s="69" t="str">
        <f>TEXT(ASTemp!L307,Decimals)</f>
        <v/>
      </c>
      <c r="M307" s="71" t="str">
        <f>TEXT(ASTemp!M307,Percentages)</f>
        <v/>
      </c>
      <c r="N307" s="72" t="str">
        <f>TEXT(ASTemp!N307,Percentages)</f>
        <v/>
      </c>
    </row>
    <row r="308" ht="14.25" customHeight="1">
      <c r="B308" s="66" t="str">
        <f>ASTemp!B308</f>
        <v/>
      </c>
      <c r="C308" s="67" t="str">
        <f>ASTemp!C308</f>
        <v/>
      </c>
      <c r="D308" s="68" t="str">
        <f>ASTemp!D308</f>
        <v/>
      </c>
      <c r="E308" s="65" t="str">
        <f>ASTemp!E308</f>
        <v/>
      </c>
      <c r="F308" s="69" t="str">
        <f>TEXT(ASTemp!F308,Decimals)</f>
        <v/>
      </c>
      <c r="G308" s="69" t="str">
        <f>TEXT(ASTemp!G308,Decimals)</f>
        <v/>
      </c>
      <c r="H308" s="69" t="str">
        <f>TEXT(ASTemp!H308,Decimals)</f>
        <v/>
      </c>
      <c r="I308" s="69" t="str">
        <f>TEXT(ASTemp!I308,Decimals)</f>
        <v/>
      </c>
      <c r="J308" s="69" t="str">
        <f>TEXT(ASTemp!J308,Decimals)</f>
        <v/>
      </c>
      <c r="K308" s="69" t="str">
        <f>TEXT(ASTemp!K308,Decimals)</f>
        <v/>
      </c>
      <c r="L308" s="69" t="str">
        <f>TEXT(ASTemp!L308,Decimals)</f>
        <v/>
      </c>
      <c r="M308" s="71" t="str">
        <f>TEXT(ASTemp!M308,Percentages)</f>
        <v/>
      </c>
      <c r="N308" s="72" t="str">
        <f>TEXT(ASTemp!N308,Percentages)</f>
        <v/>
      </c>
    </row>
    <row r="309" ht="14.25" customHeight="1">
      <c r="B309" s="66" t="str">
        <f>ASTemp!B309</f>
        <v/>
      </c>
      <c r="C309" s="67" t="str">
        <f>ASTemp!C309</f>
        <v/>
      </c>
      <c r="D309" s="68" t="str">
        <f>ASTemp!D309</f>
        <v/>
      </c>
      <c r="E309" s="65" t="str">
        <f>ASTemp!E309</f>
        <v/>
      </c>
      <c r="F309" s="69" t="str">
        <f>TEXT(ASTemp!F309,Decimals)</f>
        <v/>
      </c>
      <c r="G309" s="69" t="str">
        <f>TEXT(ASTemp!G309,Decimals)</f>
        <v/>
      </c>
      <c r="H309" s="69" t="str">
        <f>TEXT(ASTemp!H309,Decimals)</f>
        <v/>
      </c>
      <c r="I309" s="69" t="str">
        <f>TEXT(ASTemp!I309,Decimals)</f>
        <v/>
      </c>
      <c r="J309" s="69" t="str">
        <f>TEXT(ASTemp!J309,Decimals)</f>
        <v/>
      </c>
      <c r="K309" s="69" t="str">
        <f>TEXT(ASTemp!K309,Decimals)</f>
        <v/>
      </c>
      <c r="L309" s="69" t="str">
        <f>TEXT(ASTemp!L309,Decimals)</f>
        <v/>
      </c>
      <c r="M309" s="71" t="str">
        <f>TEXT(ASTemp!M309,Percentages)</f>
        <v/>
      </c>
      <c r="N309" s="72" t="str">
        <f>TEXT(ASTemp!N309,Percentages)</f>
        <v/>
      </c>
    </row>
    <row r="310" ht="14.25" customHeight="1">
      <c r="B310" s="66" t="str">
        <f>ASTemp!B310</f>
        <v/>
      </c>
      <c r="C310" s="67" t="str">
        <f>ASTemp!C310</f>
        <v/>
      </c>
      <c r="D310" s="68" t="str">
        <f>ASTemp!D310</f>
        <v/>
      </c>
      <c r="E310" s="65" t="str">
        <f>ASTemp!E310</f>
        <v/>
      </c>
      <c r="F310" s="69" t="str">
        <f>TEXT(ASTemp!F310,Decimals)</f>
        <v/>
      </c>
      <c r="G310" s="69" t="str">
        <f>TEXT(ASTemp!G310,Decimals)</f>
        <v/>
      </c>
      <c r="H310" s="69" t="str">
        <f>TEXT(ASTemp!H310,Decimals)</f>
        <v/>
      </c>
      <c r="I310" s="69" t="str">
        <f>TEXT(ASTemp!I310,Decimals)</f>
        <v/>
      </c>
      <c r="J310" s="69" t="str">
        <f>TEXT(ASTemp!J310,Decimals)</f>
        <v/>
      </c>
      <c r="K310" s="69" t="str">
        <f>TEXT(ASTemp!K310,Decimals)</f>
        <v/>
      </c>
      <c r="L310" s="69" t="str">
        <f>TEXT(ASTemp!L310,Decimals)</f>
        <v/>
      </c>
      <c r="M310" s="71" t="str">
        <f>TEXT(ASTemp!M310,Percentages)</f>
        <v/>
      </c>
      <c r="N310" s="72" t="str">
        <f>TEXT(ASTemp!N310,Percentages)</f>
        <v/>
      </c>
    </row>
    <row r="311" ht="14.25" customHeight="1">
      <c r="B311" s="66" t="str">
        <f>ASTemp!B311</f>
        <v/>
      </c>
      <c r="C311" s="67" t="str">
        <f>ASTemp!C311</f>
        <v/>
      </c>
      <c r="D311" s="68" t="str">
        <f>ASTemp!D311</f>
        <v/>
      </c>
      <c r="E311" s="65" t="str">
        <f>ASTemp!E311</f>
        <v/>
      </c>
      <c r="F311" s="69" t="str">
        <f>TEXT(ASTemp!F311,Decimals)</f>
        <v/>
      </c>
      <c r="G311" s="69" t="str">
        <f>TEXT(ASTemp!G311,Decimals)</f>
        <v/>
      </c>
      <c r="H311" s="69" t="str">
        <f>TEXT(ASTemp!H311,Decimals)</f>
        <v/>
      </c>
      <c r="I311" s="69" t="str">
        <f>TEXT(ASTemp!I311,Decimals)</f>
        <v/>
      </c>
      <c r="J311" s="69" t="str">
        <f>TEXT(ASTemp!J311,Decimals)</f>
        <v/>
      </c>
      <c r="K311" s="69" t="str">
        <f>TEXT(ASTemp!K311,Decimals)</f>
        <v/>
      </c>
      <c r="L311" s="69" t="str">
        <f>TEXT(ASTemp!L311,Decimals)</f>
        <v/>
      </c>
      <c r="M311" s="71" t="str">
        <f>TEXT(ASTemp!M311,Percentages)</f>
        <v/>
      </c>
      <c r="N311" s="72" t="str">
        <f>TEXT(ASTemp!N311,Percentages)</f>
        <v/>
      </c>
    </row>
    <row r="312" ht="14.25" customHeight="1">
      <c r="B312" s="66" t="str">
        <f>ASTemp!B312</f>
        <v/>
      </c>
      <c r="C312" s="67" t="str">
        <f>ASTemp!C312</f>
        <v/>
      </c>
      <c r="D312" s="68" t="str">
        <f>ASTemp!D312</f>
        <v/>
      </c>
      <c r="E312" s="65" t="str">
        <f>ASTemp!E312</f>
        <v/>
      </c>
      <c r="F312" s="69" t="str">
        <f>TEXT(ASTemp!F312,Decimals)</f>
        <v/>
      </c>
      <c r="G312" s="69" t="str">
        <f>TEXT(ASTemp!G312,Decimals)</f>
        <v/>
      </c>
      <c r="H312" s="69" t="str">
        <f>TEXT(ASTemp!H312,Decimals)</f>
        <v/>
      </c>
      <c r="I312" s="69" t="str">
        <f>TEXT(ASTemp!I312,Decimals)</f>
        <v/>
      </c>
      <c r="J312" s="69" t="str">
        <f>TEXT(ASTemp!J312,Decimals)</f>
        <v/>
      </c>
      <c r="K312" s="69" t="str">
        <f>TEXT(ASTemp!K312,Decimals)</f>
        <v/>
      </c>
      <c r="L312" s="69" t="str">
        <f>TEXT(ASTemp!L312,Decimals)</f>
        <v/>
      </c>
      <c r="M312" s="71" t="str">
        <f>TEXT(ASTemp!M312,Percentages)</f>
        <v/>
      </c>
      <c r="N312" s="72" t="str">
        <f>TEXT(ASTemp!N312,Percentages)</f>
        <v/>
      </c>
    </row>
    <row r="313" ht="14.25" customHeight="1">
      <c r="B313" s="66" t="str">
        <f>ASTemp!B313</f>
        <v/>
      </c>
      <c r="C313" s="67" t="str">
        <f>ASTemp!C313</f>
        <v/>
      </c>
      <c r="D313" s="68" t="str">
        <f>ASTemp!D313</f>
        <v/>
      </c>
      <c r="E313" s="65" t="str">
        <f>ASTemp!E313</f>
        <v/>
      </c>
      <c r="F313" s="69" t="str">
        <f>TEXT(ASTemp!F313,Decimals)</f>
        <v/>
      </c>
      <c r="G313" s="69" t="str">
        <f>TEXT(ASTemp!G313,Decimals)</f>
        <v/>
      </c>
      <c r="H313" s="69" t="str">
        <f>TEXT(ASTemp!H313,Decimals)</f>
        <v/>
      </c>
      <c r="I313" s="69" t="str">
        <f>TEXT(ASTemp!I313,Decimals)</f>
        <v/>
      </c>
      <c r="J313" s="69" t="str">
        <f>TEXT(ASTemp!J313,Decimals)</f>
        <v/>
      </c>
      <c r="K313" s="69" t="str">
        <f>TEXT(ASTemp!K313,Decimals)</f>
        <v/>
      </c>
      <c r="L313" s="69" t="str">
        <f>TEXT(ASTemp!L313,Decimals)</f>
        <v/>
      </c>
      <c r="M313" s="71" t="str">
        <f>TEXT(ASTemp!M313,Percentages)</f>
        <v/>
      </c>
      <c r="N313" s="72" t="str">
        <f>TEXT(ASTemp!N313,Percentages)</f>
        <v/>
      </c>
    </row>
    <row r="314" ht="14.25" customHeight="1">
      <c r="B314" s="66" t="str">
        <f>ASTemp!B314</f>
        <v/>
      </c>
      <c r="C314" s="67" t="str">
        <f>ASTemp!C314</f>
        <v/>
      </c>
      <c r="D314" s="68" t="str">
        <f>ASTemp!D314</f>
        <v/>
      </c>
      <c r="E314" s="65" t="str">
        <f>ASTemp!E314</f>
        <v/>
      </c>
      <c r="F314" s="69" t="str">
        <f>TEXT(ASTemp!F314,Decimals)</f>
        <v/>
      </c>
      <c r="G314" s="69" t="str">
        <f>TEXT(ASTemp!G314,Decimals)</f>
        <v/>
      </c>
      <c r="H314" s="69" t="str">
        <f>TEXT(ASTemp!H314,Decimals)</f>
        <v/>
      </c>
      <c r="I314" s="69" t="str">
        <f>TEXT(ASTemp!I314,Decimals)</f>
        <v/>
      </c>
      <c r="J314" s="69" t="str">
        <f>TEXT(ASTemp!J314,Decimals)</f>
        <v/>
      </c>
      <c r="K314" s="69" t="str">
        <f>TEXT(ASTemp!K314,Decimals)</f>
        <v/>
      </c>
      <c r="L314" s="69" t="str">
        <f>TEXT(ASTemp!L314,Decimals)</f>
        <v/>
      </c>
      <c r="M314" s="71" t="str">
        <f>TEXT(ASTemp!M314,Percentages)</f>
        <v/>
      </c>
      <c r="N314" s="72" t="str">
        <f>TEXT(ASTemp!N314,Percentages)</f>
        <v/>
      </c>
    </row>
    <row r="315" ht="14.25" customHeight="1">
      <c r="B315" s="66" t="str">
        <f>ASTemp!B315</f>
        <v/>
      </c>
      <c r="C315" s="67" t="str">
        <f>ASTemp!C315</f>
        <v/>
      </c>
      <c r="D315" s="68" t="str">
        <f>ASTemp!D315</f>
        <v/>
      </c>
      <c r="E315" s="65" t="str">
        <f>ASTemp!E315</f>
        <v/>
      </c>
      <c r="F315" s="69" t="str">
        <f>TEXT(ASTemp!F315,Decimals)</f>
        <v/>
      </c>
      <c r="G315" s="69" t="str">
        <f>TEXT(ASTemp!G315,Decimals)</f>
        <v/>
      </c>
      <c r="H315" s="69" t="str">
        <f>TEXT(ASTemp!H315,Decimals)</f>
        <v/>
      </c>
      <c r="I315" s="69" t="str">
        <f>TEXT(ASTemp!I315,Decimals)</f>
        <v/>
      </c>
      <c r="J315" s="69" t="str">
        <f>TEXT(ASTemp!J315,Decimals)</f>
        <v/>
      </c>
      <c r="K315" s="69" t="str">
        <f>TEXT(ASTemp!K315,Decimals)</f>
        <v/>
      </c>
      <c r="L315" s="69" t="str">
        <f>TEXT(ASTemp!L315,Decimals)</f>
        <v/>
      </c>
      <c r="M315" s="71" t="str">
        <f>TEXT(ASTemp!M315,Percentages)</f>
        <v/>
      </c>
      <c r="N315" s="72" t="str">
        <f>TEXT(ASTemp!N315,Percentages)</f>
        <v/>
      </c>
    </row>
    <row r="316" ht="14.25" customHeight="1">
      <c r="B316" s="66" t="str">
        <f>ASTemp!B316</f>
        <v/>
      </c>
      <c r="C316" s="67" t="str">
        <f>ASTemp!C316</f>
        <v/>
      </c>
      <c r="D316" s="68" t="str">
        <f>ASTemp!D316</f>
        <v/>
      </c>
      <c r="E316" s="65" t="str">
        <f>ASTemp!E316</f>
        <v/>
      </c>
      <c r="F316" s="69" t="str">
        <f>TEXT(ASTemp!F316,Decimals)</f>
        <v/>
      </c>
      <c r="G316" s="69" t="str">
        <f>TEXT(ASTemp!G316,Decimals)</f>
        <v/>
      </c>
      <c r="H316" s="69" t="str">
        <f>TEXT(ASTemp!H316,Decimals)</f>
        <v/>
      </c>
      <c r="I316" s="69" t="str">
        <f>TEXT(ASTemp!I316,Decimals)</f>
        <v/>
      </c>
      <c r="J316" s="69" t="str">
        <f>TEXT(ASTemp!J316,Decimals)</f>
        <v/>
      </c>
      <c r="K316" s="69" t="str">
        <f>TEXT(ASTemp!K316,Decimals)</f>
        <v/>
      </c>
      <c r="L316" s="69" t="str">
        <f>TEXT(ASTemp!L316,Decimals)</f>
        <v/>
      </c>
      <c r="M316" s="71" t="str">
        <f>TEXT(ASTemp!M316,Percentages)</f>
        <v/>
      </c>
      <c r="N316" s="72" t="str">
        <f>TEXT(ASTemp!N316,Percentages)</f>
        <v/>
      </c>
    </row>
    <row r="317" ht="14.25" customHeight="1">
      <c r="B317" s="66" t="str">
        <f>ASTemp!B317</f>
        <v/>
      </c>
      <c r="C317" s="67" t="str">
        <f>ASTemp!C317</f>
        <v/>
      </c>
      <c r="D317" s="68" t="str">
        <f>ASTemp!D317</f>
        <v/>
      </c>
      <c r="E317" s="65" t="str">
        <f>ASTemp!E317</f>
        <v/>
      </c>
      <c r="F317" s="69" t="str">
        <f>TEXT(ASTemp!F317,Decimals)</f>
        <v/>
      </c>
      <c r="G317" s="69" t="str">
        <f>TEXT(ASTemp!G317,Decimals)</f>
        <v/>
      </c>
      <c r="H317" s="69" t="str">
        <f>TEXT(ASTemp!H317,Decimals)</f>
        <v/>
      </c>
      <c r="I317" s="69" t="str">
        <f>TEXT(ASTemp!I317,Decimals)</f>
        <v/>
      </c>
      <c r="J317" s="69" t="str">
        <f>TEXT(ASTemp!J317,Decimals)</f>
        <v/>
      </c>
      <c r="K317" s="69" t="str">
        <f>TEXT(ASTemp!K317,Decimals)</f>
        <v/>
      </c>
      <c r="L317" s="69" t="str">
        <f>TEXT(ASTemp!L317,Decimals)</f>
        <v/>
      </c>
      <c r="M317" s="71" t="str">
        <f>TEXT(ASTemp!M317,Percentages)</f>
        <v/>
      </c>
      <c r="N317" s="72" t="str">
        <f>TEXT(ASTemp!N317,Percentages)</f>
        <v/>
      </c>
    </row>
    <row r="318" ht="14.25" customHeight="1">
      <c r="B318" s="66" t="str">
        <f>ASTemp!B318</f>
        <v/>
      </c>
      <c r="C318" s="67" t="str">
        <f>ASTemp!C318</f>
        <v/>
      </c>
      <c r="D318" s="68" t="str">
        <f>ASTemp!D318</f>
        <v/>
      </c>
      <c r="E318" s="65" t="str">
        <f>ASTemp!E318</f>
        <v/>
      </c>
      <c r="F318" s="69" t="str">
        <f>TEXT(ASTemp!F318,Decimals)</f>
        <v/>
      </c>
      <c r="G318" s="69" t="str">
        <f>TEXT(ASTemp!G318,Decimals)</f>
        <v/>
      </c>
      <c r="H318" s="69" t="str">
        <f>TEXT(ASTemp!H318,Decimals)</f>
        <v/>
      </c>
      <c r="I318" s="69" t="str">
        <f>TEXT(ASTemp!I318,Decimals)</f>
        <v/>
      </c>
      <c r="J318" s="69" t="str">
        <f>TEXT(ASTemp!J318,Decimals)</f>
        <v/>
      </c>
      <c r="K318" s="69" t="str">
        <f>TEXT(ASTemp!K318,Decimals)</f>
        <v/>
      </c>
      <c r="L318" s="69" t="str">
        <f>TEXT(ASTemp!L318,Decimals)</f>
        <v/>
      </c>
      <c r="M318" s="71" t="str">
        <f>TEXT(ASTemp!M318,Percentages)</f>
        <v/>
      </c>
      <c r="N318" s="72" t="str">
        <f>TEXT(ASTemp!N318,Percentages)</f>
        <v/>
      </c>
    </row>
    <row r="319" ht="14.25" customHeight="1">
      <c r="B319" s="66" t="str">
        <f>ASTemp!B319</f>
        <v/>
      </c>
      <c r="C319" s="67" t="str">
        <f>ASTemp!C319</f>
        <v/>
      </c>
      <c r="D319" s="68" t="str">
        <f>ASTemp!D319</f>
        <v/>
      </c>
      <c r="E319" s="65" t="str">
        <f>ASTemp!E319</f>
        <v/>
      </c>
      <c r="F319" s="69" t="str">
        <f>TEXT(ASTemp!F319,Decimals)</f>
        <v/>
      </c>
      <c r="G319" s="69" t="str">
        <f>TEXT(ASTemp!G319,Decimals)</f>
        <v/>
      </c>
      <c r="H319" s="69" t="str">
        <f>TEXT(ASTemp!H319,Decimals)</f>
        <v/>
      </c>
      <c r="I319" s="69" t="str">
        <f>TEXT(ASTemp!I319,Decimals)</f>
        <v/>
      </c>
      <c r="J319" s="69" t="str">
        <f>TEXT(ASTemp!J319,Decimals)</f>
        <v/>
      </c>
      <c r="K319" s="69" t="str">
        <f>TEXT(ASTemp!K319,Decimals)</f>
        <v/>
      </c>
      <c r="L319" s="69" t="str">
        <f>TEXT(ASTemp!L319,Decimals)</f>
        <v/>
      </c>
      <c r="M319" s="71" t="str">
        <f>TEXT(ASTemp!M319,Percentages)</f>
        <v/>
      </c>
      <c r="N319" s="72" t="str">
        <f>TEXT(ASTemp!N319,Percentages)</f>
        <v/>
      </c>
    </row>
    <row r="320" ht="14.25" customHeight="1">
      <c r="B320" s="66" t="str">
        <f>ASTemp!B320</f>
        <v/>
      </c>
      <c r="C320" s="67" t="str">
        <f>ASTemp!C320</f>
        <v/>
      </c>
      <c r="D320" s="68" t="str">
        <f>ASTemp!D320</f>
        <v/>
      </c>
      <c r="E320" s="65" t="str">
        <f>ASTemp!E320</f>
        <v/>
      </c>
      <c r="F320" s="69" t="str">
        <f>TEXT(ASTemp!F320,Decimals)</f>
        <v/>
      </c>
      <c r="G320" s="69" t="str">
        <f>TEXT(ASTemp!G320,Decimals)</f>
        <v/>
      </c>
      <c r="H320" s="69" t="str">
        <f>TEXT(ASTemp!H320,Decimals)</f>
        <v/>
      </c>
      <c r="I320" s="69" t="str">
        <f>TEXT(ASTemp!I320,Decimals)</f>
        <v/>
      </c>
      <c r="J320" s="69" t="str">
        <f>TEXT(ASTemp!J320,Decimals)</f>
        <v/>
      </c>
      <c r="K320" s="69" t="str">
        <f>TEXT(ASTemp!K320,Decimals)</f>
        <v/>
      </c>
      <c r="L320" s="69" t="str">
        <f>TEXT(ASTemp!L320,Decimals)</f>
        <v/>
      </c>
      <c r="M320" s="71" t="str">
        <f>TEXT(ASTemp!M320,Percentages)</f>
        <v/>
      </c>
      <c r="N320" s="72" t="str">
        <f>TEXT(ASTemp!N320,Percentages)</f>
        <v/>
      </c>
    </row>
    <row r="321" ht="14.25" customHeight="1">
      <c r="B321" s="66" t="str">
        <f>ASTemp!B321</f>
        <v/>
      </c>
      <c r="C321" s="67" t="str">
        <f>ASTemp!C321</f>
        <v/>
      </c>
      <c r="D321" s="68" t="str">
        <f>ASTemp!D321</f>
        <v/>
      </c>
      <c r="E321" s="65" t="str">
        <f>ASTemp!E321</f>
        <v/>
      </c>
      <c r="F321" s="69" t="str">
        <f>TEXT(ASTemp!F321,Decimals)</f>
        <v/>
      </c>
      <c r="G321" s="69" t="str">
        <f>TEXT(ASTemp!G321,Decimals)</f>
        <v/>
      </c>
      <c r="H321" s="69" t="str">
        <f>TEXT(ASTemp!H321,Decimals)</f>
        <v/>
      </c>
      <c r="I321" s="69" t="str">
        <f>TEXT(ASTemp!I321,Decimals)</f>
        <v/>
      </c>
      <c r="J321" s="69" t="str">
        <f>TEXT(ASTemp!J321,Decimals)</f>
        <v/>
      </c>
      <c r="K321" s="69" t="str">
        <f>TEXT(ASTemp!K321,Decimals)</f>
        <v/>
      </c>
      <c r="L321" s="69" t="str">
        <f>TEXT(ASTemp!L321,Decimals)</f>
        <v/>
      </c>
      <c r="M321" s="71" t="str">
        <f>TEXT(ASTemp!M321,Percentages)</f>
        <v/>
      </c>
      <c r="N321" s="72" t="str">
        <f>TEXT(ASTemp!N321,Percentages)</f>
        <v/>
      </c>
    </row>
    <row r="322" ht="14.25" customHeight="1">
      <c r="B322" s="66" t="str">
        <f>ASTemp!B322</f>
        <v/>
      </c>
      <c r="C322" s="67" t="str">
        <f>ASTemp!C322</f>
        <v/>
      </c>
      <c r="D322" s="68" t="str">
        <f>ASTemp!D322</f>
        <v/>
      </c>
      <c r="E322" s="65" t="str">
        <f>ASTemp!E322</f>
        <v/>
      </c>
      <c r="F322" s="69" t="str">
        <f>TEXT(ASTemp!F322,Decimals)</f>
        <v/>
      </c>
      <c r="G322" s="69" t="str">
        <f>TEXT(ASTemp!G322,Decimals)</f>
        <v/>
      </c>
      <c r="H322" s="69" t="str">
        <f>TEXT(ASTemp!H322,Decimals)</f>
        <v/>
      </c>
      <c r="I322" s="69" t="str">
        <f>TEXT(ASTemp!I322,Decimals)</f>
        <v/>
      </c>
      <c r="J322" s="69" t="str">
        <f>TEXT(ASTemp!J322,Decimals)</f>
        <v/>
      </c>
      <c r="K322" s="69" t="str">
        <f>TEXT(ASTemp!K322,Decimals)</f>
        <v/>
      </c>
      <c r="L322" s="69" t="str">
        <f>TEXT(ASTemp!L322,Decimals)</f>
        <v/>
      </c>
      <c r="M322" s="71" t="str">
        <f>TEXT(ASTemp!M322,Percentages)</f>
        <v/>
      </c>
      <c r="N322" s="72" t="str">
        <f>TEXT(ASTemp!N322,Percentages)</f>
        <v/>
      </c>
    </row>
    <row r="323" ht="14.25" customHeight="1">
      <c r="B323" s="66" t="str">
        <f>ASTemp!B323</f>
        <v/>
      </c>
      <c r="C323" s="67" t="str">
        <f>ASTemp!C323</f>
        <v/>
      </c>
      <c r="D323" s="68" t="str">
        <f>ASTemp!D323</f>
        <v/>
      </c>
      <c r="E323" s="65" t="str">
        <f>ASTemp!E323</f>
        <v/>
      </c>
      <c r="F323" s="69" t="str">
        <f>TEXT(ASTemp!F323,Decimals)</f>
        <v/>
      </c>
      <c r="G323" s="69" t="str">
        <f>TEXT(ASTemp!G323,Decimals)</f>
        <v/>
      </c>
      <c r="H323" s="69" t="str">
        <f>TEXT(ASTemp!H323,Decimals)</f>
        <v/>
      </c>
      <c r="I323" s="69" t="str">
        <f>TEXT(ASTemp!I323,Decimals)</f>
        <v/>
      </c>
      <c r="J323" s="69" t="str">
        <f>TEXT(ASTemp!J323,Decimals)</f>
        <v/>
      </c>
      <c r="K323" s="69" t="str">
        <f>TEXT(ASTemp!K323,Decimals)</f>
        <v/>
      </c>
      <c r="L323" s="69" t="str">
        <f>TEXT(ASTemp!L323,Decimals)</f>
        <v/>
      </c>
      <c r="M323" s="71" t="str">
        <f>TEXT(ASTemp!M323,Percentages)</f>
        <v/>
      </c>
      <c r="N323" s="72" t="str">
        <f>TEXT(ASTemp!N323,Percentages)</f>
        <v/>
      </c>
    </row>
    <row r="324" ht="14.25" customHeight="1">
      <c r="B324" s="66" t="str">
        <f>ASTemp!B324</f>
        <v/>
      </c>
      <c r="C324" s="67" t="str">
        <f>ASTemp!C324</f>
        <v/>
      </c>
      <c r="D324" s="68" t="str">
        <f>ASTemp!D324</f>
        <v/>
      </c>
      <c r="E324" s="65" t="str">
        <f>ASTemp!E324</f>
        <v/>
      </c>
      <c r="F324" s="69" t="str">
        <f>TEXT(ASTemp!F324,Decimals)</f>
        <v/>
      </c>
      <c r="G324" s="69" t="str">
        <f>TEXT(ASTemp!G324,Decimals)</f>
        <v/>
      </c>
      <c r="H324" s="69" t="str">
        <f>TEXT(ASTemp!H324,Decimals)</f>
        <v/>
      </c>
      <c r="I324" s="69" t="str">
        <f>TEXT(ASTemp!I324,Decimals)</f>
        <v/>
      </c>
      <c r="J324" s="69" t="str">
        <f>TEXT(ASTemp!J324,Decimals)</f>
        <v/>
      </c>
      <c r="K324" s="69" t="str">
        <f>TEXT(ASTemp!K324,Decimals)</f>
        <v/>
      </c>
      <c r="L324" s="69" t="str">
        <f>TEXT(ASTemp!L324,Decimals)</f>
        <v/>
      </c>
      <c r="M324" s="71" t="str">
        <f>TEXT(ASTemp!M324,Percentages)</f>
        <v/>
      </c>
      <c r="N324" s="72" t="str">
        <f>TEXT(ASTemp!N324,Percentages)</f>
        <v/>
      </c>
    </row>
    <row r="325" ht="14.25" customHeight="1">
      <c r="B325" s="66" t="str">
        <f>ASTemp!B325</f>
        <v/>
      </c>
      <c r="C325" s="67" t="str">
        <f>ASTemp!C325</f>
        <v/>
      </c>
      <c r="D325" s="68" t="str">
        <f>ASTemp!D325</f>
        <v/>
      </c>
      <c r="E325" s="65" t="str">
        <f>ASTemp!E325</f>
        <v/>
      </c>
      <c r="F325" s="69" t="str">
        <f>TEXT(ASTemp!F325,Decimals)</f>
        <v/>
      </c>
      <c r="G325" s="69" t="str">
        <f>TEXT(ASTemp!G325,Decimals)</f>
        <v/>
      </c>
      <c r="H325" s="69" t="str">
        <f>TEXT(ASTemp!H325,Decimals)</f>
        <v/>
      </c>
      <c r="I325" s="69" t="str">
        <f>TEXT(ASTemp!I325,Decimals)</f>
        <v/>
      </c>
      <c r="J325" s="69" t="str">
        <f>TEXT(ASTemp!J325,Decimals)</f>
        <v/>
      </c>
      <c r="K325" s="69" t="str">
        <f>TEXT(ASTemp!K325,Decimals)</f>
        <v/>
      </c>
      <c r="L325" s="69" t="str">
        <f>TEXT(ASTemp!L325,Decimals)</f>
        <v/>
      </c>
      <c r="M325" s="71" t="str">
        <f>TEXT(ASTemp!M325,Percentages)</f>
        <v/>
      </c>
      <c r="N325" s="72" t="str">
        <f>TEXT(ASTemp!N325,Percentages)</f>
        <v/>
      </c>
    </row>
    <row r="326" ht="14.25" customHeight="1">
      <c r="B326" s="66" t="str">
        <f>ASTemp!B326</f>
        <v/>
      </c>
      <c r="C326" s="67" t="str">
        <f>ASTemp!C326</f>
        <v/>
      </c>
      <c r="D326" s="68" t="str">
        <f>ASTemp!D326</f>
        <v/>
      </c>
      <c r="E326" s="65" t="str">
        <f>ASTemp!E326</f>
        <v/>
      </c>
      <c r="F326" s="69" t="str">
        <f>TEXT(ASTemp!F326,Decimals)</f>
        <v/>
      </c>
      <c r="G326" s="69" t="str">
        <f>TEXT(ASTemp!G326,Decimals)</f>
        <v/>
      </c>
      <c r="H326" s="69" t="str">
        <f>TEXT(ASTemp!H326,Decimals)</f>
        <v/>
      </c>
      <c r="I326" s="69" t="str">
        <f>TEXT(ASTemp!I326,Decimals)</f>
        <v/>
      </c>
      <c r="J326" s="69" t="str">
        <f>TEXT(ASTemp!J326,Decimals)</f>
        <v/>
      </c>
      <c r="K326" s="69" t="str">
        <f>TEXT(ASTemp!K326,Decimals)</f>
        <v/>
      </c>
      <c r="L326" s="69" t="str">
        <f>TEXT(ASTemp!L326,Decimals)</f>
        <v/>
      </c>
      <c r="M326" s="71" t="str">
        <f>TEXT(ASTemp!M326,Percentages)</f>
        <v/>
      </c>
      <c r="N326" s="72" t="str">
        <f>TEXT(ASTemp!N326,Percentages)</f>
        <v/>
      </c>
    </row>
    <row r="327" ht="14.25" customHeight="1">
      <c r="B327" s="66" t="str">
        <f>ASTemp!B327</f>
        <v/>
      </c>
      <c r="C327" s="67" t="str">
        <f>ASTemp!C327</f>
        <v/>
      </c>
      <c r="D327" s="68" t="str">
        <f>ASTemp!D327</f>
        <v/>
      </c>
      <c r="E327" s="65" t="str">
        <f>ASTemp!E327</f>
        <v/>
      </c>
      <c r="F327" s="69" t="str">
        <f>TEXT(ASTemp!F327,Decimals)</f>
        <v/>
      </c>
      <c r="G327" s="69" t="str">
        <f>TEXT(ASTemp!G327,Decimals)</f>
        <v/>
      </c>
      <c r="H327" s="69" t="str">
        <f>TEXT(ASTemp!H327,Decimals)</f>
        <v/>
      </c>
      <c r="I327" s="69" t="str">
        <f>TEXT(ASTemp!I327,Decimals)</f>
        <v/>
      </c>
      <c r="J327" s="69" t="str">
        <f>TEXT(ASTemp!J327,Decimals)</f>
        <v/>
      </c>
      <c r="K327" s="69" t="str">
        <f>TEXT(ASTemp!K327,Decimals)</f>
        <v/>
      </c>
      <c r="L327" s="69" t="str">
        <f>TEXT(ASTemp!L327,Decimals)</f>
        <v/>
      </c>
      <c r="M327" s="71" t="str">
        <f>TEXT(ASTemp!M327,Percentages)</f>
        <v/>
      </c>
      <c r="N327" s="72" t="str">
        <f>TEXT(ASTemp!N327,Percentages)</f>
        <v/>
      </c>
    </row>
    <row r="328" ht="14.25" customHeight="1">
      <c r="B328" s="66" t="str">
        <f>ASTemp!B328</f>
        <v/>
      </c>
      <c r="C328" s="67" t="str">
        <f>ASTemp!C328</f>
        <v/>
      </c>
      <c r="D328" s="68" t="str">
        <f>ASTemp!D328</f>
        <v/>
      </c>
      <c r="E328" s="65" t="str">
        <f>ASTemp!E328</f>
        <v/>
      </c>
      <c r="F328" s="69" t="str">
        <f>TEXT(ASTemp!F328,Decimals)</f>
        <v/>
      </c>
      <c r="G328" s="69" t="str">
        <f>TEXT(ASTemp!G328,Decimals)</f>
        <v/>
      </c>
      <c r="H328" s="69" t="str">
        <f>TEXT(ASTemp!H328,Decimals)</f>
        <v/>
      </c>
      <c r="I328" s="69" t="str">
        <f>TEXT(ASTemp!I328,Decimals)</f>
        <v/>
      </c>
      <c r="J328" s="69" t="str">
        <f>TEXT(ASTemp!J328,Decimals)</f>
        <v/>
      </c>
      <c r="K328" s="69" t="str">
        <f>TEXT(ASTemp!K328,Decimals)</f>
        <v/>
      </c>
      <c r="L328" s="69" t="str">
        <f>TEXT(ASTemp!L328,Decimals)</f>
        <v/>
      </c>
      <c r="M328" s="71" t="str">
        <f>TEXT(ASTemp!M328,Percentages)</f>
        <v/>
      </c>
      <c r="N328" s="72" t="str">
        <f>TEXT(ASTemp!N328,Percentages)</f>
        <v/>
      </c>
    </row>
    <row r="329" ht="14.25" customHeight="1">
      <c r="B329" s="66" t="str">
        <f>ASTemp!B329</f>
        <v/>
      </c>
      <c r="C329" s="67" t="str">
        <f>ASTemp!C329</f>
        <v/>
      </c>
      <c r="D329" s="68" t="str">
        <f>ASTemp!D329</f>
        <v/>
      </c>
      <c r="E329" s="65" t="str">
        <f>ASTemp!E329</f>
        <v/>
      </c>
      <c r="F329" s="69" t="str">
        <f>TEXT(ASTemp!F329,Decimals)</f>
        <v/>
      </c>
      <c r="G329" s="69" t="str">
        <f>TEXT(ASTemp!G329,Decimals)</f>
        <v/>
      </c>
      <c r="H329" s="69" t="str">
        <f>TEXT(ASTemp!H329,Decimals)</f>
        <v/>
      </c>
      <c r="I329" s="69" t="str">
        <f>TEXT(ASTemp!I329,Decimals)</f>
        <v/>
      </c>
      <c r="J329" s="69" t="str">
        <f>TEXT(ASTemp!J329,Decimals)</f>
        <v/>
      </c>
      <c r="K329" s="69" t="str">
        <f>TEXT(ASTemp!K329,Decimals)</f>
        <v/>
      </c>
      <c r="L329" s="69" t="str">
        <f>TEXT(ASTemp!L329,Decimals)</f>
        <v/>
      </c>
      <c r="M329" s="71" t="str">
        <f>TEXT(ASTemp!M329,Percentages)</f>
        <v/>
      </c>
      <c r="N329" s="72" t="str">
        <f>TEXT(ASTemp!N329,Percentages)</f>
        <v/>
      </c>
    </row>
    <row r="330" ht="14.25" customHeight="1">
      <c r="B330" s="66" t="str">
        <f>ASTemp!B330</f>
        <v/>
      </c>
      <c r="C330" s="67" t="str">
        <f>ASTemp!C330</f>
        <v/>
      </c>
      <c r="D330" s="68" t="str">
        <f>ASTemp!D330</f>
        <v/>
      </c>
      <c r="E330" s="65" t="str">
        <f>ASTemp!E330</f>
        <v/>
      </c>
      <c r="F330" s="69" t="str">
        <f>TEXT(ASTemp!F330,Decimals)</f>
        <v/>
      </c>
      <c r="G330" s="69" t="str">
        <f>TEXT(ASTemp!G330,Decimals)</f>
        <v/>
      </c>
      <c r="H330" s="69" t="str">
        <f>TEXT(ASTemp!H330,Decimals)</f>
        <v/>
      </c>
      <c r="I330" s="69" t="str">
        <f>TEXT(ASTemp!I330,Decimals)</f>
        <v/>
      </c>
      <c r="J330" s="69" t="str">
        <f>TEXT(ASTemp!J330,Decimals)</f>
        <v/>
      </c>
      <c r="K330" s="69" t="str">
        <f>TEXT(ASTemp!K330,Decimals)</f>
        <v/>
      </c>
      <c r="L330" s="69" t="str">
        <f>TEXT(ASTemp!L330,Decimals)</f>
        <v/>
      </c>
      <c r="M330" s="71" t="str">
        <f>TEXT(ASTemp!M330,Percentages)</f>
        <v/>
      </c>
      <c r="N330" s="72" t="str">
        <f>TEXT(ASTemp!N330,Percentages)</f>
        <v/>
      </c>
    </row>
    <row r="331" ht="14.25" customHeight="1">
      <c r="B331" s="66" t="str">
        <f>ASTemp!B331</f>
        <v/>
      </c>
      <c r="C331" s="67" t="str">
        <f>ASTemp!C331</f>
        <v/>
      </c>
      <c r="D331" s="68" t="str">
        <f>ASTemp!D331</f>
        <v/>
      </c>
      <c r="E331" s="65" t="str">
        <f>ASTemp!E331</f>
        <v/>
      </c>
      <c r="F331" s="69" t="str">
        <f>TEXT(ASTemp!F331,Decimals)</f>
        <v/>
      </c>
      <c r="G331" s="69" t="str">
        <f>TEXT(ASTemp!G331,Decimals)</f>
        <v/>
      </c>
      <c r="H331" s="69" t="str">
        <f>TEXT(ASTemp!H331,Decimals)</f>
        <v/>
      </c>
      <c r="I331" s="69" t="str">
        <f>TEXT(ASTemp!I331,Decimals)</f>
        <v/>
      </c>
      <c r="J331" s="69" t="str">
        <f>TEXT(ASTemp!J331,Decimals)</f>
        <v/>
      </c>
      <c r="K331" s="69" t="str">
        <f>TEXT(ASTemp!K331,Decimals)</f>
        <v/>
      </c>
      <c r="L331" s="69" t="str">
        <f>TEXT(ASTemp!L331,Decimals)</f>
        <v/>
      </c>
      <c r="M331" s="71" t="str">
        <f>TEXT(ASTemp!M331,Percentages)</f>
        <v/>
      </c>
      <c r="N331" s="72" t="str">
        <f>TEXT(ASTemp!N331,Percentages)</f>
        <v/>
      </c>
    </row>
    <row r="332" ht="14.25" customHeight="1">
      <c r="B332" s="66" t="str">
        <f>ASTemp!B332</f>
        <v/>
      </c>
      <c r="C332" s="67" t="str">
        <f>ASTemp!C332</f>
        <v/>
      </c>
      <c r="D332" s="68" t="str">
        <f>ASTemp!D332</f>
        <v/>
      </c>
      <c r="E332" s="65" t="str">
        <f>ASTemp!E332</f>
        <v/>
      </c>
      <c r="F332" s="69" t="str">
        <f>TEXT(ASTemp!F332,Decimals)</f>
        <v/>
      </c>
      <c r="G332" s="69" t="str">
        <f>TEXT(ASTemp!G332,Decimals)</f>
        <v/>
      </c>
      <c r="H332" s="69" t="str">
        <f>TEXT(ASTemp!H332,Decimals)</f>
        <v/>
      </c>
      <c r="I332" s="69" t="str">
        <f>TEXT(ASTemp!I332,Decimals)</f>
        <v/>
      </c>
      <c r="J332" s="69" t="str">
        <f>TEXT(ASTemp!J332,Decimals)</f>
        <v/>
      </c>
      <c r="K332" s="69" t="str">
        <f>TEXT(ASTemp!K332,Decimals)</f>
        <v/>
      </c>
      <c r="L332" s="69" t="str">
        <f>TEXT(ASTemp!L332,Decimals)</f>
        <v/>
      </c>
      <c r="M332" s="71" t="str">
        <f>TEXT(ASTemp!M332,Percentages)</f>
        <v/>
      </c>
      <c r="N332" s="72" t="str">
        <f>TEXT(ASTemp!N332,Percentages)</f>
        <v/>
      </c>
    </row>
    <row r="333" ht="14.25" customHeight="1">
      <c r="B333" s="66" t="str">
        <f>ASTemp!B333</f>
        <v/>
      </c>
      <c r="C333" s="67" t="str">
        <f>ASTemp!C333</f>
        <v/>
      </c>
      <c r="D333" s="68" t="str">
        <f>ASTemp!D333</f>
        <v/>
      </c>
      <c r="E333" s="65" t="str">
        <f>ASTemp!E333</f>
        <v/>
      </c>
      <c r="F333" s="69" t="str">
        <f>TEXT(ASTemp!F333,Decimals)</f>
        <v/>
      </c>
      <c r="G333" s="69" t="str">
        <f>TEXT(ASTemp!G333,Decimals)</f>
        <v/>
      </c>
      <c r="H333" s="69" t="str">
        <f>TEXT(ASTemp!H333,Decimals)</f>
        <v/>
      </c>
      <c r="I333" s="69" t="str">
        <f>TEXT(ASTemp!I333,Decimals)</f>
        <v/>
      </c>
      <c r="J333" s="69" t="str">
        <f>TEXT(ASTemp!J333,Decimals)</f>
        <v/>
      </c>
      <c r="K333" s="69" t="str">
        <f>TEXT(ASTemp!K333,Decimals)</f>
        <v/>
      </c>
      <c r="L333" s="69" t="str">
        <f>TEXT(ASTemp!L333,Decimals)</f>
        <v/>
      </c>
      <c r="M333" s="71" t="str">
        <f>TEXT(ASTemp!M333,Percentages)</f>
        <v/>
      </c>
      <c r="N333" s="72" t="str">
        <f>TEXT(ASTemp!N333,Percentages)</f>
        <v/>
      </c>
    </row>
    <row r="334" ht="14.25" customHeight="1">
      <c r="B334" s="66" t="str">
        <f>ASTemp!B334</f>
        <v/>
      </c>
      <c r="C334" s="67" t="str">
        <f>ASTemp!C334</f>
        <v/>
      </c>
      <c r="D334" s="68" t="str">
        <f>ASTemp!D334</f>
        <v/>
      </c>
      <c r="E334" s="65" t="str">
        <f>ASTemp!E334</f>
        <v/>
      </c>
      <c r="F334" s="69" t="str">
        <f>TEXT(ASTemp!F334,Decimals)</f>
        <v/>
      </c>
      <c r="G334" s="69" t="str">
        <f>TEXT(ASTemp!G334,Decimals)</f>
        <v/>
      </c>
      <c r="H334" s="69" t="str">
        <f>TEXT(ASTemp!H334,Decimals)</f>
        <v/>
      </c>
      <c r="I334" s="69" t="str">
        <f>TEXT(ASTemp!I334,Decimals)</f>
        <v/>
      </c>
      <c r="J334" s="69" t="str">
        <f>TEXT(ASTemp!J334,Decimals)</f>
        <v/>
      </c>
      <c r="K334" s="69" t="str">
        <f>TEXT(ASTemp!K334,Decimals)</f>
        <v/>
      </c>
      <c r="L334" s="69" t="str">
        <f>TEXT(ASTemp!L334,Decimals)</f>
        <v/>
      </c>
      <c r="M334" s="71" t="str">
        <f>TEXT(ASTemp!M334,Percentages)</f>
        <v/>
      </c>
      <c r="N334" s="72" t="str">
        <f>TEXT(ASTemp!N334,Percentages)</f>
        <v/>
      </c>
    </row>
    <row r="335" ht="14.25" customHeight="1">
      <c r="B335" s="66" t="str">
        <f>ASTemp!B335</f>
        <v/>
      </c>
      <c r="C335" s="67" t="str">
        <f>ASTemp!C335</f>
        <v/>
      </c>
      <c r="D335" s="68" t="str">
        <f>ASTemp!D335</f>
        <v/>
      </c>
      <c r="E335" s="65" t="str">
        <f>ASTemp!E335</f>
        <v/>
      </c>
      <c r="F335" s="69" t="str">
        <f>TEXT(ASTemp!F335,Decimals)</f>
        <v/>
      </c>
      <c r="G335" s="69" t="str">
        <f>TEXT(ASTemp!G335,Decimals)</f>
        <v/>
      </c>
      <c r="H335" s="69" t="str">
        <f>TEXT(ASTemp!H335,Decimals)</f>
        <v/>
      </c>
      <c r="I335" s="69" t="str">
        <f>TEXT(ASTemp!I335,Decimals)</f>
        <v/>
      </c>
      <c r="J335" s="69" t="str">
        <f>TEXT(ASTemp!J335,Decimals)</f>
        <v/>
      </c>
      <c r="K335" s="69" t="str">
        <f>TEXT(ASTemp!K335,Decimals)</f>
        <v/>
      </c>
      <c r="L335" s="69" t="str">
        <f>TEXT(ASTemp!L335,Decimals)</f>
        <v/>
      </c>
      <c r="M335" s="71" t="str">
        <f>TEXT(ASTemp!M335,Percentages)</f>
        <v/>
      </c>
      <c r="N335" s="72" t="str">
        <f>TEXT(ASTemp!N335,Percentages)</f>
        <v/>
      </c>
    </row>
    <row r="336" ht="14.25" customHeight="1">
      <c r="B336" s="66" t="str">
        <f>ASTemp!B336</f>
        <v/>
      </c>
      <c r="C336" s="67" t="str">
        <f>ASTemp!C336</f>
        <v/>
      </c>
      <c r="D336" s="68" t="str">
        <f>ASTemp!D336</f>
        <v/>
      </c>
      <c r="E336" s="65" t="str">
        <f>ASTemp!E336</f>
        <v/>
      </c>
      <c r="F336" s="69" t="str">
        <f>TEXT(ASTemp!F336,Decimals)</f>
        <v/>
      </c>
      <c r="G336" s="69" t="str">
        <f>TEXT(ASTemp!G336,Decimals)</f>
        <v/>
      </c>
      <c r="H336" s="69" t="str">
        <f>TEXT(ASTemp!H336,Decimals)</f>
        <v/>
      </c>
      <c r="I336" s="69" t="str">
        <f>TEXT(ASTemp!I336,Decimals)</f>
        <v/>
      </c>
      <c r="J336" s="69" t="str">
        <f>TEXT(ASTemp!J336,Decimals)</f>
        <v/>
      </c>
      <c r="K336" s="69" t="str">
        <f>TEXT(ASTemp!K336,Decimals)</f>
        <v/>
      </c>
      <c r="L336" s="69" t="str">
        <f>TEXT(ASTemp!L336,Decimals)</f>
        <v/>
      </c>
      <c r="M336" s="71" t="str">
        <f>TEXT(ASTemp!M336,Percentages)</f>
        <v/>
      </c>
      <c r="N336" s="72" t="str">
        <f>TEXT(ASTemp!N336,Percentages)</f>
        <v/>
      </c>
    </row>
    <row r="337" ht="14.25" customHeight="1">
      <c r="B337" s="66" t="str">
        <f>ASTemp!B337</f>
        <v/>
      </c>
      <c r="C337" s="67" t="str">
        <f>ASTemp!C337</f>
        <v/>
      </c>
      <c r="D337" s="68" t="str">
        <f>ASTemp!D337</f>
        <v/>
      </c>
      <c r="E337" s="65" t="str">
        <f>ASTemp!E337</f>
        <v/>
      </c>
      <c r="F337" s="69" t="str">
        <f>TEXT(ASTemp!F337,Decimals)</f>
        <v/>
      </c>
      <c r="G337" s="69" t="str">
        <f>TEXT(ASTemp!G337,Decimals)</f>
        <v/>
      </c>
      <c r="H337" s="69" t="str">
        <f>TEXT(ASTemp!H337,Decimals)</f>
        <v/>
      </c>
      <c r="I337" s="69" t="str">
        <f>TEXT(ASTemp!I337,Decimals)</f>
        <v/>
      </c>
      <c r="J337" s="69" t="str">
        <f>TEXT(ASTemp!J337,Decimals)</f>
        <v/>
      </c>
      <c r="K337" s="69" t="str">
        <f>TEXT(ASTemp!K337,Decimals)</f>
        <v/>
      </c>
      <c r="L337" s="69" t="str">
        <f>TEXT(ASTemp!L337,Decimals)</f>
        <v/>
      </c>
      <c r="M337" s="71" t="str">
        <f>TEXT(ASTemp!M337,Percentages)</f>
        <v/>
      </c>
      <c r="N337" s="72" t="str">
        <f>TEXT(ASTemp!N337,Percentages)</f>
        <v/>
      </c>
    </row>
    <row r="338" ht="14.25" customHeight="1">
      <c r="B338" s="66" t="str">
        <f>ASTemp!B338</f>
        <v/>
      </c>
      <c r="C338" s="67" t="str">
        <f>ASTemp!C338</f>
        <v/>
      </c>
      <c r="D338" s="68" t="str">
        <f>ASTemp!D338</f>
        <v/>
      </c>
      <c r="E338" s="65" t="str">
        <f>ASTemp!E338</f>
        <v/>
      </c>
      <c r="F338" s="69" t="str">
        <f>TEXT(ASTemp!F338,Decimals)</f>
        <v/>
      </c>
      <c r="G338" s="69" t="str">
        <f>TEXT(ASTemp!G338,Decimals)</f>
        <v/>
      </c>
      <c r="H338" s="69" t="str">
        <f>TEXT(ASTemp!H338,Decimals)</f>
        <v/>
      </c>
      <c r="I338" s="69" t="str">
        <f>TEXT(ASTemp!I338,Decimals)</f>
        <v/>
      </c>
      <c r="J338" s="69" t="str">
        <f>TEXT(ASTemp!J338,Decimals)</f>
        <v/>
      </c>
      <c r="K338" s="69" t="str">
        <f>TEXT(ASTemp!K338,Decimals)</f>
        <v/>
      </c>
      <c r="L338" s="69" t="str">
        <f>TEXT(ASTemp!L338,Decimals)</f>
        <v/>
      </c>
      <c r="M338" s="71" t="str">
        <f>TEXT(ASTemp!M338,Percentages)</f>
        <v/>
      </c>
      <c r="N338" s="72" t="str">
        <f>TEXT(ASTemp!N338,Percentages)</f>
        <v/>
      </c>
    </row>
    <row r="339" ht="14.25" customHeight="1">
      <c r="B339" s="66" t="str">
        <f>ASTemp!B339</f>
        <v/>
      </c>
      <c r="C339" s="67" t="str">
        <f>ASTemp!C339</f>
        <v/>
      </c>
      <c r="D339" s="68" t="str">
        <f>ASTemp!D339</f>
        <v/>
      </c>
      <c r="E339" s="65" t="str">
        <f>ASTemp!E339</f>
        <v/>
      </c>
      <c r="F339" s="69" t="str">
        <f>TEXT(ASTemp!F339,Decimals)</f>
        <v/>
      </c>
      <c r="G339" s="69" t="str">
        <f>TEXT(ASTemp!G339,Decimals)</f>
        <v/>
      </c>
      <c r="H339" s="69" t="str">
        <f>TEXT(ASTemp!H339,Decimals)</f>
        <v/>
      </c>
      <c r="I339" s="69" t="str">
        <f>TEXT(ASTemp!I339,Decimals)</f>
        <v/>
      </c>
      <c r="J339" s="69" t="str">
        <f>TEXT(ASTemp!J339,Decimals)</f>
        <v/>
      </c>
      <c r="K339" s="69" t="str">
        <f>TEXT(ASTemp!K339,Decimals)</f>
        <v/>
      </c>
      <c r="L339" s="69" t="str">
        <f>TEXT(ASTemp!L339,Decimals)</f>
        <v/>
      </c>
      <c r="M339" s="71" t="str">
        <f>TEXT(ASTemp!M339,Percentages)</f>
        <v/>
      </c>
      <c r="N339" s="72" t="str">
        <f>TEXT(ASTemp!N339,Percentages)</f>
        <v/>
      </c>
    </row>
    <row r="340" ht="14.25" customHeight="1">
      <c r="B340" s="66" t="str">
        <f>ASTemp!B340</f>
        <v/>
      </c>
      <c r="C340" s="67" t="str">
        <f>ASTemp!C340</f>
        <v/>
      </c>
      <c r="D340" s="68" t="str">
        <f>ASTemp!D340</f>
        <v/>
      </c>
      <c r="E340" s="65" t="str">
        <f>ASTemp!E340</f>
        <v/>
      </c>
      <c r="F340" s="69" t="str">
        <f>TEXT(ASTemp!F340,Decimals)</f>
        <v/>
      </c>
      <c r="G340" s="69" t="str">
        <f>TEXT(ASTemp!G340,Decimals)</f>
        <v/>
      </c>
      <c r="H340" s="69" t="str">
        <f>TEXT(ASTemp!H340,Decimals)</f>
        <v/>
      </c>
      <c r="I340" s="69" t="str">
        <f>TEXT(ASTemp!I340,Decimals)</f>
        <v/>
      </c>
      <c r="J340" s="69" t="str">
        <f>TEXT(ASTemp!J340,Decimals)</f>
        <v/>
      </c>
      <c r="K340" s="69" t="str">
        <f>TEXT(ASTemp!K340,Decimals)</f>
        <v/>
      </c>
      <c r="L340" s="69" t="str">
        <f>TEXT(ASTemp!L340,Decimals)</f>
        <v/>
      </c>
      <c r="M340" s="71" t="str">
        <f>TEXT(ASTemp!M340,Percentages)</f>
        <v/>
      </c>
      <c r="N340" s="72" t="str">
        <f>TEXT(ASTemp!N340,Percentages)</f>
        <v/>
      </c>
    </row>
    <row r="341" ht="14.25" customHeight="1">
      <c r="B341" s="66" t="str">
        <f>ASTemp!B341</f>
        <v/>
      </c>
      <c r="C341" s="67" t="str">
        <f>ASTemp!C341</f>
        <v/>
      </c>
      <c r="D341" s="68" t="str">
        <f>ASTemp!D341</f>
        <v/>
      </c>
      <c r="E341" s="65" t="str">
        <f>ASTemp!E341</f>
        <v/>
      </c>
      <c r="F341" s="69" t="str">
        <f>TEXT(ASTemp!F341,Decimals)</f>
        <v/>
      </c>
      <c r="G341" s="69" t="str">
        <f>TEXT(ASTemp!G341,Decimals)</f>
        <v/>
      </c>
      <c r="H341" s="69" t="str">
        <f>TEXT(ASTemp!H341,Decimals)</f>
        <v/>
      </c>
      <c r="I341" s="69" t="str">
        <f>TEXT(ASTemp!I341,Decimals)</f>
        <v/>
      </c>
      <c r="J341" s="69" t="str">
        <f>TEXT(ASTemp!J341,Decimals)</f>
        <v/>
      </c>
      <c r="K341" s="69" t="str">
        <f>TEXT(ASTemp!K341,Decimals)</f>
        <v/>
      </c>
      <c r="L341" s="69" t="str">
        <f>TEXT(ASTemp!L341,Decimals)</f>
        <v/>
      </c>
      <c r="M341" s="71" t="str">
        <f>TEXT(ASTemp!M341,Percentages)</f>
        <v/>
      </c>
      <c r="N341" s="72" t="str">
        <f>TEXT(ASTemp!N341,Percentages)</f>
        <v/>
      </c>
    </row>
    <row r="342" ht="14.25" customHeight="1">
      <c r="B342" s="66" t="str">
        <f>ASTemp!B342</f>
        <v/>
      </c>
      <c r="C342" s="67" t="str">
        <f>ASTemp!C342</f>
        <v/>
      </c>
      <c r="D342" s="68" t="str">
        <f>ASTemp!D342</f>
        <v/>
      </c>
      <c r="E342" s="65" t="str">
        <f>ASTemp!E342</f>
        <v/>
      </c>
      <c r="F342" s="69" t="str">
        <f>TEXT(ASTemp!F342,Decimals)</f>
        <v/>
      </c>
      <c r="G342" s="69" t="str">
        <f>TEXT(ASTemp!G342,Decimals)</f>
        <v/>
      </c>
      <c r="H342" s="69" t="str">
        <f>TEXT(ASTemp!H342,Decimals)</f>
        <v/>
      </c>
      <c r="I342" s="69" t="str">
        <f>TEXT(ASTemp!I342,Decimals)</f>
        <v/>
      </c>
      <c r="J342" s="69" t="str">
        <f>TEXT(ASTemp!J342,Decimals)</f>
        <v/>
      </c>
      <c r="K342" s="69" t="str">
        <f>TEXT(ASTemp!K342,Decimals)</f>
        <v/>
      </c>
      <c r="L342" s="69" t="str">
        <f>TEXT(ASTemp!L342,Decimals)</f>
        <v/>
      </c>
      <c r="M342" s="71" t="str">
        <f>TEXT(ASTemp!M342,Percentages)</f>
        <v/>
      </c>
      <c r="N342" s="72" t="str">
        <f>TEXT(ASTemp!N342,Percentages)</f>
        <v/>
      </c>
    </row>
    <row r="343" ht="14.25" customHeight="1">
      <c r="B343" s="66" t="str">
        <f>ASTemp!B343</f>
        <v/>
      </c>
      <c r="C343" s="67" t="str">
        <f>ASTemp!C343</f>
        <v/>
      </c>
      <c r="D343" s="68" t="str">
        <f>ASTemp!D343</f>
        <v/>
      </c>
      <c r="E343" s="65" t="str">
        <f>ASTemp!E343</f>
        <v/>
      </c>
      <c r="F343" s="69" t="str">
        <f>TEXT(ASTemp!F343,Decimals)</f>
        <v/>
      </c>
      <c r="G343" s="69" t="str">
        <f>TEXT(ASTemp!G343,Decimals)</f>
        <v/>
      </c>
      <c r="H343" s="69" t="str">
        <f>TEXT(ASTemp!H343,Decimals)</f>
        <v/>
      </c>
      <c r="I343" s="69" t="str">
        <f>TEXT(ASTemp!I343,Decimals)</f>
        <v/>
      </c>
      <c r="J343" s="69" t="str">
        <f>TEXT(ASTemp!J343,Decimals)</f>
        <v/>
      </c>
      <c r="K343" s="69" t="str">
        <f>TEXT(ASTemp!K343,Decimals)</f>
        <v/>
      </c>
      <c r="L343" s="69" t="str">
        <f>TEXT(ASTemp!L343,Decimals)</f>
        <v/>
      </c>
      <c r="M343" s="71" t="str">
        <f>TEXT(ASTemp!M343,Percentages)</f>
        <v/>
      </c>
      <c r="N343" s="72" t="str">
        <f>TEXT(ASTemp!N343,Percentages)</f>
        <v/>
      </c>
    </row>
    <row r="344" ht="14.25" customHeight="1">
      <c r="B344" s="66" t="str">
        <f>ASTemp!B344</f>
        <v/>
      </c>
      <c r="C344" s="67" t="str">
        <f>ASTemp!C344</f>
        <v/>
      </c>
      <c r="D344" s="68" t="str">
        <f>ASTemp!D344</f>
        <v/>
      </c>
      <c r="E344" s="65" t="str">
        <f>ASTemp!E344</f>
        <v/>
      </c>
      <c r="F344" s="69" t="str">
        <f>TEXT(ASTemp!F344,Decimals)</f>
        <v/>
      </c>
      <c r="G344" s="69" t="str">
        <f>TEXT(ASTemp!G344,Decimals)</f>
        <v/>
      </c>
      <c r="H344" s="69" t="str">
        <f>TEXT(ASTemp!H344,Decimals)</f>
        <v/>
      </c>
      <c r="I344" s="69" t="str">
        <f>TEXT(ASTemp!I344,Decimals)</f>
        <v/>
      </c>
      <c r="J344" s="69" t="str">
        <f>TEXT(ASTemp!J344,Decimals)</f>
        <v/>
      </c>
      <c r="K344" s="69" t="str">
        <f>TEXT(ASTemp!K344,Decimals)</f>
        <v/>
      </c>
      <c r="L344" s="69" t="str">
        <f>TEXT(ASTemp!L344,Decimals)</f>
        <v/>
      </c>
      <c r="M344" s="71" t="str">
        <f>TEXT(ASTemp!M344,Percentages)</f>
        <v/>
      </c>
      <c r="N344" s="72" t="str">
        <f>TEXT(ASTemp!N344,Percentages)</f>
        <v/>
      </c>
    </row>
    <row r="345" ht="14.25" customHeight="1">
      <c r="B345" s="66" t="str">
        <f>ASTemp!B345</f>
        <v/>
      </c>
      <c r="C345" s="67" t="str">
        <f>ASTemp!C345</f>
        <v/>
      </c>
      <c r="D345" s="68" t="str">
        <f>ASTemp!D345</f>
        <v/>
      </c>
      <c r="E345" s="65" t="str">
        <f>ASTemp!E345</f>
        <v/>
      </c>
      <c r="F345" s="69" t="str">
        <f>TEXT(ASTemp!F345,Decimals)</f>
        <v/>
      </c>
      <c r="G345" s="69" t="str">
        <f>TEXT(ASTemp!G345,Decimals)</f>
        <v/>
      </c>
      <c r="H345" s="69" t="str">
        <f>TEXT(ASTemp!H345,Decimals)</f>
        <v/>
      </c>
      <c r="I345" s="69" t="str">
        <f>TEXT(ASTemp!I345,Decimals)</f>
        <v/>
      </c>
      <c r="J345" s="69" t="str">
        <f>TEXT(ASTemp!J345,Decimals)</f>
        <v/>
      </c>
      <c r="K345" s="69" t="str">
        <f>TEXT(ASTemp!K345,Decimals)</f>
        <v/>
      </c>
      <c r="L345" s="69" t="str">
        <f>TEXT(ASTemp!L345,Decimals)</f>
        <v/>
      </c>
      <c r="M345" s="71" t="str">
        <f>TEXT(ASTemp!M345,Percentages)</f>
        <v/>
      </c>
      <c r="N345" s="72" t="str">
        <f>TEXT(ASTemp!N345,Percentages)</f>
        <v/>
      </c>
    </row>
    <row r="346" ht="14.25" customHeight="1">
      <c r="B346" s="66" t="str">
        <f>ASTemp!B346</f>
        <v/>
      </c>
      <c r="C346" s="67" t="str">
        <f>ASTemp!C346</f>
        <v/>
      </c>
      <c r="D346" s="68" t="str">
        <f>ASTemp!D346</f>
        <v/>
      </c>
      <c r="E346" s="65" t="str">
        <f>ASTemp!E346</f>
        <v/>
      </c>
      <c r="F346" s="69" t="str">
        <f>TEXT(ASTemp!F346,Decimals)</f>
        <v/>
      </c>
      <c r="G346" s="69" t="str">
        <f>TEXT(ASTemp!G346,Decimals)</f>
        <v/>
      </c>
      <c r="H346" s="69" t="str">
        <f>TEXT(ASTemp!H346,Decimals)</f>
        <v/>
      </c>
      <c r="I346" s="69" t="str">
        <f>TEXT(ASTemp!I346,Decimals)</f>
        <v/>
      </c>
      <c r="J346" s="69" t="str">
        <f>TEXT(ASTemp!J346,Decimals)</f>
        <v/>
      </c>
      <c r="K346" s="69" t="str">
        <f>TEXT(ASTemp!K346,Decimals)</f>
        <v/>
      </c>
      <c r="L346" s="69" t="str">
        <f>TEXT(ASTemp!L346,Decimals)</f>
        <v/>
      </c>
      <c r="M346" s="71" t="str">
        <f>TEXT(ASTemp!M346,Percentages)</f>
        <v/>
      </c>
      <c r="N346" s="72" t="str">
        <f>TEXT(ASTemp!N346,Percentages)</f>
        <v/>
      </c>
    </row>
    <row r="347" ht="14.25" customHeight="1">
      <c r="B347" s="66" t="str">
        <f>ASTemp!B347</f>
        <v/>
      </c>
      <c r="C347" s="67" t="str">
        <f>ASTemp!C347</f>
        <v/>
      </c>
      <c r="D347" s="68" t="str">
        <f>ASTemp!D347</f>
        <v/>
      </c>
      <c r="E347" s="65" t="str">
        <f>ASTemp!E347</f>
        <v/>
      </c>
      <c r="F347" s="69" t="str">
        <f>TEXT(ASTemp!F347,Decimals)</f>
        <v/>
      </c>
      <c r="G347" s="69" t="str">
        <f>TEXT(ASTemp!G347,Decimals)</f>
        <v/>
      </c>
      <c r="H347" s="69" t="str">
        <f>TEXT(ASTemp!H347,Decimals)</f>
        <v/>
      </c>
      <c r="I347" s="69" t="str">
        <f>TEXT(ASTemp!I347,Decimals)</f>
        <v/>
      </c>
      <c r="J347" s="69" t="str">
        <f>TEXT(ASTemp!J347,Decimals)</f>
        <v/>
      </c>
      <c r="K347" s="69" t="str">
        <f>TEXT(ASTemp!K347,Decimals)</f>
        <v/>
      </c>
      <c r="L347" s="69" t="str">
        <f>TEXT(ASTemp!L347,Decimals)</f>
        <v/>
      </c>
      <c r="M347" s="71" t="str">
        <f>TEXT(ASTemp!M347,Percentages)</f>
        <v/>
      </c>
      <c r="N347" s="72" t="str">
        <f>TEXT(ASTemp!N347,Percentages)</f>
        <v/>
      </c>
    </row>
    <row r="348" ht="14.25" customHeight="1">
      <c r="B348" s="66" t="str">
        <f>ASTemp!B348</f>
        <v/>
      </c>
      <c r="C348" s="67" t="str">
        <f>ASTemp!C348</f>
        <v/>
      </c>
      <c r="D348" s="68" t="str">
        <f>ASTemp!D348</f>
        <v/>
      </c>
      <c r="E348" s="65" t="str">
        <f>ASTemp!E348</f>
        <v/>
      </c>
      <c r="F348" s="69" t="str">
        <f>TEXT(ASTemp!F348,Decimals)</f>
        <v/>
      </c>
      <c r="G348" s="69" t="str">
        <f>TEXT(ASTemp!G348,Decimals)</f>
        <v/>
      </c>
      <c r="H348" s="69" t="str">
        <f>TEXT(ASTemp!H348,Decimals)</f>
        <v/>
      </c>
      <c r="I348" s="69" t="str">
        <f>TEXT(ASTemp!I348,Decimals)</f>
        <v/>
      </c>
      <c r="J348" s="69" t="str">
        <f>TEXT(ASTemp!J348,Decimals)</f>
        <v/>
      </c>
      <c r="K348" s="69" t="str">
        <f>TEXT(ASTemp!K348,Decimals)</f>
        <v/>
      </c>
      <c r="L348" s="69" t="str">
        <f>TEXT(ASTemp!L348,Decimals)</f>
        <v/>
      </c>
      <c r="M348" s="71" t="str">
        <f>TEXT(ASTemp!M348,Percentages)</f>
        <v/>
      </c>
      <c r="N348" s="72" t="str">
        <f>TEXT(ASTemp!N348,Percentages)</f>
        <v/>
      </c>
    </row>
    <row r="349" ht="14.25" customHeight="1">
      <c r="B349" s="66" t="str">
        <f>ASTemp!B349</f>
        <v/>
      </c>
      <c r="C349" s="67" t="str">
        <f>ASTemp!C349</f>
        <v/>
      </c>
      <c r="D349" s="68" t="str">
        <f>ASTemp!D349</f>
        <v/>
      </c>
      <c r="E349" s="65" t="str">
        <f>ASTemp!E349</f>
        <v/>
      </c>
      <c r="F349" s="69" t="str">
        <f>TEXT(ASTemp!F349,Decimals)</f>
        <v/>
      </c>
      <c r="G349" s="69" t="str">
        <f>TEXT(ASTemp!G349,Decimals)</f>
        <v/>
      </c>
      <c r="H349" s="69" t="str">
        <f>TEXT(ASTemp!H349,Decimals)</f>
        <v/>
      </c>
      <c r="I349" s="69" t="str">
        <f>TEXT(ASTemp!I349,Decimals)</f>
        <v/>
      </c>
      <c r="J349" s="69" t="str">
        <f>TEXT(ASTemp!J349,Decimals)</f>
        <v/>
      </c>
      <c r="K349" s="69" t="str">
        <f>TEXT(ASTemp!K349,Decimals)</f>
        <v/>
      </c>
      <c r="L349" s="69" t="str">
        <f>TEXT(ASTemp!L349,Decimals)</f>
        <v/>
      </c>
      <c r="M349" s="71" t="str">
        <f>TEXT(ASTemp!M349,Percentages)</f>
        <v/>
      </c>
      <c r="N349" s="72" t="str">
        <f>TEXT(ASTemp!N349,Percentages)</f>
        <v/>
      </c>
    </row>
    <row r="350" ht="14.25" customHeight="1">
      <c r="B350" s="66" t="str">
        <f>ASTemp!B350</f>
        <v/>
      </c>
      <c r="C350" s="67" t="str">
        <f>ASTemp!C350</f>
        <v/>
      </c>
      <c r="D350" s="68" t="str">
        <f>ASTemp!D350</f>
        <v/>
      </c>
      <c r="E350" s="65" t="str">
        <f>ASTemp!E350</f>
        <v/>
      </c>
      <c r="F350" s="69" t="str">
        <f>TEXT(ASTemp!F350,Decimals)</f>
        <v/>
      </c>
      <c r="G350" s="69" t="str">
        <f>TEXT(ASTemp!G350,Decimals)</f>
        <v/>
      </c>
      <c r="H350" s="69" t="str">
        <f>TEXT(ASTemp!H350,Decimals)</f>
        <v/>
      </c>
      <c r="I350" s="69" t="str">
        <f>TEXT(ASTemp!I350,Decimals)</f>
        <v/>
      </c>
      <c r="J350" s="69" t="str">
        <f>TEXT(ASTemp!J350,Decimals)</f>
        <v/>
      </c>
      <c r="K350" s="69" t="str">
        <f>TEXT(ASTemp!K350,Decimals)</f>
        <v/>
      </c>
      <c r="L350" s="69" t="str">
        <f>TEXT(ASTemp!L350,Decimals)</f>
        <v/>
      </c>
      <c r="M350" s="71" t="str">
        <f>TEXT(ASTemp!M350,Percentages)</f>
        <v/>
      </c>
      <c r="N350" s="72" t="str">
        <f>TEXT(ASTemp!N350,Percentages)</f>
        <v/>
      </c>
    </row>
    <row r="351" ht="14.25" customHeight="1">
      <c r="B351" s="66" t="str">
        <f>ASTemp!B351</f>
        <v/>
      </c>
      <c r="C351" s="67" t="str">
        <f>ASTemp!C351</f>
        <v/>
      </c>
      <c r="D351" s="68" t="str">
        <f>ASTemp!D351</f>
        <v/>
      </c>
      <c r="E351" s="65" t="str">
        <f>ASTemp!E351</f>
        <v/>
      </c>
      <c r="F351" s="69" t="str">
        <f>TEXT(ASTemp!F351,Decimals)</f>
        <v/>
      </c>
      <c r="G351" s="69" t="str">
        <f>TEXT(ASTemp!G351,Decimals)</f>
        <v/>
      </c>
      <c r="H351" s="69" t="str">
        <f>TEXT(ASTemp!H351,Decimals)</f>
        <v/>
      </c>
      <c r="I351" s="69" t="str">
        <f>TEXT(ASTemp!I351,Decimals)</f>
        <v/>
      </c>
      <c r="J351" s="69" t="str">
        <f>TEXT(ASTemp!J351,Decimals)</f>
        <v/>
      </c>
      <c r="K351" s="69" t="str">
        <f>TEXT(ASTemp!K351,Decimals)</f>
        <v/>
      </c>
      <c r="L351" s="69" t="str">
        <f>TEXT(ASTemp!L351,Decimals)</f>
        <v/>
      </c>
      <c r="M351" s="71" t="str">
        <f>TEXT(ASTemp!M351,Percentages)</f>
        <v/>
      </c>
      <c r="N351" s="72" t="str">
        <f>TEXT(ASTemp!N351,Percentages)</f>
        <v/>
      </c>
    </row>
    <row r="352" ht="14.25" customHeight="1">
      <c r="B352" s="66" t="str">
        <f>ASTemp!B352</f>
        <v/>
      </c>
      <c r="C352" s="67" t="str">
        <f>ASTemp!C352</f>
        <v/>
      </c>
      <c r="D352" s="68" t="str">
        <f>ASTemp!D352</f>
        <v/>
      </c>
      <c r="E352" s="65" t="str">
        <f>ASTemp!E352</f>
        <v/>
      </c>
      <c r="F352" s="69" t="str">
        <f>TEXT(ASTemp!F352,Decimals)</f>
        <v/>
      </c>
      <c r="G352" s="69" t="str">
        <f>TEXT(ASTemp!G352,Decimals)</f>
        <v/>
      </c>
      <c r="H352" s="69" t="str">
        <f>TEXT(ASTemp!H352,Decimals)</f>
        <v/>
      </c>
      <c r="I352" s="69" t="str">
        <f>TEXT(ASTemp!I352,Decimals)</f>
        <v/>
      </c>
      <c r="J352" s="69" t="str">
        <f>TEXT(ASTemp!J352,Decimals)</f>
        <v/>
      </c>
      <c r="K352" s="69" t="str">
        <f>TEXT(ASTemp!K352,Decimals)</f>
        <v/>
      </c>
      <c r="L352" s="69" t="str">
        <f>TEXT(ASTemp!L352,Decimals)</f>
        <v/>
      </c>
      <c r="M352" s="71" t="str">
        <f>TEXT(ASTemp!M352,Percentages)</f>
        <v/>
      </c>
      <c r="N352" s="72" t="str">
        <f>TEXT(ASTemp!N352,Percentages)</f>
        <v/>
      </c>
    </row>
    <row r="353" ht="14.25" customHeight="1">
      <c r="B353" s="66" t="str">
        <f>ASTemp!B353</f>
        <v/>
      </c>
      <c r="C353" s="67" t="str">
        <f>ASTemp!C353</f>
        <v/>
      </c>
      <c r="D353" s="68" t="str">
        <f>ASTemp!D353</f>
        <v/>
      </c>
      <c r="E353" s="65" t="str">
        <f>ASTemp!E353</f>
        <v/>
      </c>
      <c r="F353" s="69" t="str">
        <f>TEXT(ASTemp!F353,Decimals)</f>
        <v/>
      </c>
      <c r="G353" s="69" t="str">
        <f>TEXT(ASTemp!G353,Decimals)</f>
        <v/>
      </c>
      <c r="H353" s="69" t="str">
        <f>TEXT(ASTemp!H353,Decimals)</f>
        <v/>
      </c>
      <c r="I353" s="69" t="str">
        <f>TEXT(ASTemp!I353,Decimals)</f>
        <v/>
      </c>
      <c r="J353" s="69" t="str">
        <f>TEXT(ASTemp!J353,Decimals)</f>
        <v/>
      </c>
      <c r="K353" s="69" t="str">
        <f>TEXT(ASTemp!K353,Decimals)</f>
        <v/>
      </c>
      <c r="L353" s="69" t="str">
        <f>TEXT(ASTemp!L353,Decimals)</f>
        <v/>
      </c>
      <c r="M353" s="71" t="str">
        <f>TEXT(ASTemp!M353,Percentages)</f>
        <v/>
      </c>
      <c r="N353" s="72" t="str">
        <f>TEXT(ASTemp!N353,Percentages)</f>
        <v/>
      </c>
    </row>
    <row r="354" ht="14.25" customHeight="1">
      <c r="B354" s="66" t="str">
        <f>ASTemp!B354</f>
        <v/>
      </c>
      <c r="C354" s="67" t="str">
        <f>ASTemp!C354</f>
        <v/>
      </c>
      <c r="D354" s="68" t="str">
        <f>ASTemp!D354</f>
        <v/>
      </c>
      <c r="E354" s="65" t="str">
        <f>ASTemp!E354</f>
        <v/>
      </c>
      <c r="F354" s="69" t="str">
        <f>TEXT(ASTemp!F354,Decimals)</f>
        <v/>
      </c>
      <c r="G354" s="69" t="str">
        <f>TEXT(ASTemp!G354,Decimals)</f>
        <v/>
      </c>
      <c r="H354" s="69" t="str">
        <f>TEXT(ASTemp!H354,Decimals)</f>
        <v/>
      </c>
      <c r="I354" s="69" t="str">
        <f>TEXT(ASTemp!I354,Decimals)</f>
        <v/>
      </c>
      <c r="J354" s="69" t="str">
        <f>TEXT(ASTemp!J354,Decimals)</f>
        <v/>
      </c>
      <c r="K354" s="69" t="str">
        <f>TEXT(ASTemp!K354,Decimals)</f>
        <v/>
      </c>
      <c r="L354" s="69" t="str">
        <f>TEXT(ASTemp!L354,Decimals)</f>
        <v/>
      </c>
      <c r="M354" s="71" t="str">
        <f>TEXT(ASTemp!M354,Percentages)</f>
        <v/>
      </c>
      <c r="N354" s="72" t="str">
        <f>TEXT(ASTemp!N354,Percentages)</f>
        <v/>
      </c>
    </row>
    <row r="355" ht="14.25" customHeight="1">
      <c r="B355" s="66" t="str">
        <f>ASTemp!B355</f>
        <v/>
      </c>
      <c r="C355" s="67" t="str">
        <f>ASTemp!C355</f>
        <v/>
      </c>
      <c r="D355" s="68" t="str">
        <f>ASTemp!D355</f>
        <v/>
      </c>
      <c r="E355" s="65" t="str">
        <f>ASTemp!E355</f>
        <v/>
      </c>
      <c r="F355" s="69" t="str">
        <f>TEXT(ASTemp!F355,Decimals)</f>
        <v/>
      </c>
      <c r="G355" s="69" t="str">
        <f>TEXT(ASTemp!G355,Decimals)</f>
        <v/>
      </c>
      <c r="H355" s="69" t="str">
        <f>TEXT(ASTemp!H355,Decimals)</f>
        <v/>
      </c>
      <c r="I355" s="69" t="str">
        <f>TEXT(ASTemp!I355,Decimals)</f>
        <v/>
      </c>
      <c r="J355" s="69" t="str">
        <f>TEXT(ASTemp!J355,Decimals)</f>
        <v/>
      </c>
      <c r="K355" s="69" t="str">
        <f>TEXT(ASTemp!K355,Decimals)</f>
        <v/>
      </c>
      <c r="L355" s="69" t="str">
        <f>TEXT(ASTemp!L355,Decimals)</f>
        <v/>
      </c>
      <c r="M355" s="71" t="str">
        <f>TEXT(ASTemp!M355,Percentages)</f>
        <v/>
      </c>
      <c r="N355" s="72" t="str">
        <f>TEXT(ASTemp!N355,Percentages)</f>
        <v/>
      </c>
    </row>
    <row r="356" ht="14.25" customHeight="1">
      <c r="B356" s="66" t="str">
        <f>ASTemp!B356</f>
        <v/>
      </c>
      <c r="C356" s="67" t="str">
        <f>ASTemp!C356</f>
        <v/>
      </c>
      <c r="D356" s="68" t="str">
        <f>ASTemp!D356</f>
        <v/>
      </c>
      <c r="E356" s="65" t="str">
        <f>ASTemp!E356</f>
        <v/>
      </c>
      <c r="F356" s="69" t="str">
        <f>TEXT(ASTemp!F356,Decimals)</f>
        <v/>
      </c>
      <c r="G356" s="69" t="str">
        <f>TEXT(ASTemp!G356,Decimals)</f>
        <v/>
      </c>
      <c r="H356" s="69" t="str">
        <f>TEXT(ASTemp!H356,Decimals)</f>
        <v/>
      </c>
      <c r="I356" s="69" t="str">
        <f>TEXT(ASTemp!I356,Decimals)</f>
        <v/>
      </c>
      <c r="J356" s="69" t="str">
        <f>TEXT(ASTemp!J356,Decimals)</f>
        <v/>
      </c>
      <c r="K356" s="69" t="str">
        <f>TEXT(ASTemp!K356,Decimals)</f>
        <v/>
      </c>
      <c r="L356" s="69" t="str">
        <f>TEXT(ASTemp!L356,Decimals)</f>
        <v/>
      </c>
      <c r="M356" s="71" t="str">
        <f>TEXT(ASTemp!M356,Percentages)</f>
        <v/>
      </c>
      <c r="N356" s="72" t="str">
        <f>TEXT(ASTemp!N356,Percentages)</f>
        <v/>
      </c>
    </row>
    <row r="357" ht="14.25" customHeight="1">
      <c r="B357" s="66" t="str">
        <f>ASTemp!B357</f>
        <v/>
      </c>
      <c r="C357" s="67" t="str">
        <f>ASTemp!C357</f>
        <v/>
      </c>
      <c r="D357" s="68" t="str">
        <f>ASTemp!D357</f>
        <v/>
      </c>
      <c r="E357" s="65" t="str">
        <f>ASTemp!E357</f>
        <v/>
      </c>
      <c r="F357" s="69" t="str">
        <f>TEXT(ASTemp!F357,Decimals)</f>
        <v/>
      </c>
      <c r="G357" s="69" t="str">
        <f>TEXT(ASTemp!G357,Decimals)</f>
        <v/>
      </c>
      <c r="H357" s="69" t="str">
        <f>TEXT(ASTemp!H357,Decimals)</f>
        <v/>
      </c>
      <c r="I357" s="69" t="str">
        <f>TEXT(ASTemp!I357,Decimals)</f>
        <v/>
      </c>
      <c r="J357" s="69" t="str">
        <f>TEXT(ASTemp!J357,Decimals)</f>
        <v/>
      </c>
      <c r="K357" s="69" t="str">
        <f>TEXT(ASTemp!K357,Decimals)</f>
        <v/>
      </c>
      <c r="L357" s="69" t="str">
        <f>TEXT(ASTemp!L357,Decimals)</f>
        <v/>
      </c>
      <c r="M357" s="71" t="str">
        <f>TEXT(ASTemp!M357,Percentages)</f>
        <v/>
      </c>
      <c r="N357" s="72" t="str">
        <f>TEXT(ASTemp!N357,Percentages)</f>
        <v/>
      </c>
    </row>
    <row r="358" ht="14.25" customHeight="1">
      <c r="B358" s="66" t="str">
        <f>ASTemp!B358</f>
        <v/>
      </c>
      <c r="C358" s="67" t="str">
        <f>ASTemp!C358</f>
        <v/>
      </c>
      <c r="D358" s="68" t="str">
        <f>ASTemp!D358</f>
        <v/>
      </c>
      <c r="E358" s="65" t="str">
        <f>ASTemp!E358</f>
        <v/>
      </c>
      <c r="F358" s="69" t="str">
        <f>TEXT(ASTemp!F358,Decimals)</f>
        <v/>
      </c>
      <c r="G358" s="69" t="str">
        <f>TEXT(ASTemp!G358,Decimals)</f>
        <v/>
      </c>
      <c r="H358" s="69" t="str">
        <f>TEXT(ASTemp!H358,Decimals)</f>
        <v/>
      </c>
      <c r="I358" s="69" t="str">
        <f>TEXT(ASTemp!I358,Decimals)</f>
        <v/>
      </c>
      <c r="J358" s="69" t="str">
        <f>TEXT(ASTemp!J358,Decimals)</f>
        <v/>
      </c>
      <c r="K358" s="69" t="str">
        <f>TEXT(ASTemp!K358,Decimals)</f>
        <v/>
      </c>
      <c r="L358" s="69" t="str">
        <f>TEXT(ASTemp!L358,Decimals)</f>
        <v/>
      </c>
      <c r="M358" s="71" t="str">
        <f>TEXT(ASTemp!M358,Percentages)</f>
        <v/>
      </c>
      <c r="N358" s="72" t="str">
        <f>TEXT(ASTemp!N358,Percentages)</f>
        <v/>
      </c>
    </row>
    <row r="359" ht="14.25" customHeight="1">
      <c r="B359" s="66" t="str">
        <f>ASTemp!B359</f>
        <v/>
      </c>
      <c r="C359" s="67" t="str">
        <f>ASTemp!C359</f>
        <v/>
      </c>
      <c r="D359" s="68" t="str">
        <f>ASTemp!D359</f>
        <v/>
      </c>
      <c r="E359" s="65" t="str">
        <f>ASTemp!E359</f>
        <v/>
      </c>
      <c r="F359" s="69" t="str">
        <f>TEXT(ASTemp!F359,Decimals)</f>
        <v/>
      </c>
      <c r="G359" s="69" t="str">
        <f>TEXT(ASTemp!G359,Decimals)</f>
        <v/>
      </c>
      <c r="H359" s="69" t="str">
        <f>TEXT(ASTemp!H359,Decimals)</f>
        <v/>
      </c>
      <c r="I359" s="69" t="str">
        <f>TEXT(ASTemp!I359,Decimals)</f>
        <v/>
      </c>
      <c r="J359" s="69" t="str">
        <f>TEXT(ASTemp!J359,Decimals)</f>
        <v/>
      </c>
      <c r="K359" s="69" t="str">
        <f>TEXT(ASTemp!K359,Decimals)</f>
        <v/>
      </c>
      <c r="L359" s="69" t="str">
        <f>TEXT(ASTemp!L359,Decimals)</f>
        <v/>
      </c>
      <c r="M359" s="71" t="str">
        <f>TEXT(ASTemp!M359,Percentages)</f>
        <v/>
      </c>
      <c r="N359" s="72" t="str">
        <f>TEXT(ASTemp!N359,Percentages)</f>
        <v/>
      </c>
    </row>
    <row r="360" ht="14.25" customHeight="1">
      <c r="B360" s="66" t="str">
        <f>ASTemp!B360</f>
        <v/>
      </c>
      <c r="C360" s="67" t="str">
        <f>ASTemp!C360</f>
        <v/>
      </c>
      <c r="D360" s="68" t="str">
        <f>ASTemp!D360</f>
        <v/>
      </c>
      <c r="E360" s="65" t="str">
        <f>ASTemp!E360</f>
        <v/>
      </c>
      <c r="F360" s="69" t="str">
        <f>TEXT(ASTemp!F360,Decimals)</f>
        <v/>
      </c>
      <c r="G360" s="69" t="str">
        <f>TEXT(ASTemp!G360,Decimals)</f>
        <v/>
      </c>
      <c r="H360" s="69" t="str">
        <f>TEXT(ASTemp!H360,Decimals)</f>
        <v/>
      </c>
      <c r="I360" s="69" t="str">
        <f>TEXT(ASTemp!I360,Decimals)</f>
        <v/>
      </c>
      <c r="J360" s="69" t="str">
        <f>TEXT(ASTemp!J360,Decimals)</f>
        <v/>
      </c>
      <c r="K360" s="69" t="str">
        <f>TEXT(ASTemp!K360,Decimals)</f>
        <v/>
      </c>
      <c r="L360" s="69" t="str">
        <f>TEXT(ASTemp!L360,Decimals)</f>
        <v/>
      </c>
      <c r="M360" s="71" t="str">
        <f>TEXT(ASTemp!M360,Percentages)</f>
        <v/>
      </c>
      <c r="N360" s="72" t="str">
        <f>TEXT(ASTemp!N360,Percentages)</f>
        <v/>
      </c>
    </row>
    <row r="361" ht="14.25" customHeight="1">
      <c r="B361" s="66" t="str">
        <f>ASTemp!B361</f>
        <v/>
      </c>
      <c r="C361" s="67" t="str">
        <f>ASTemp!C361</f>
        <v/>
      </c>
      <c r="D361" s="68" t="str">
        <f>ASTemp!D361</f>
        <v/>
      </c>
      <c r="E361" s="65" t="str">
        <f>ASTemp!E361</f>
        <v/>
      </c>
      <c r="F361" s="69" t="str">
        <f>TEXT(ASTemp!F361,Decimals)</f>
        <v/>
      </c>
      <c r="G361" s="69" t="str">
        <f>TEXT(ASTemp!G361,Decimals)</f>
        <v/>
      </c>
      <c r="H361" s="69" t="str">
        <f>TEXT(ASTemp!H361,Decimals)</f>
        <v/>
      </c>
      <c r="I361" s="69" t="str">
        <f>TEXT(ASTemp!I361,Decimals)</f>
        <v/>
      </c>
      <c r="J361" s="69" t="str">
        <f>TEXT(ASTemp!J361,Decimals)</f>
        <v/>
      </c>
      <c r="K361" s="69" t="str">
        <f>TEXT(ASTemp!K361,Decimals)</f>
        <v/>
      </c>
      <c r="L361" s="69" t="str">
        <f>TEXT(ASTemp!L361,Decimals)</f>
        <v/>
      </c>
      <c r="M361" s="71" t="str">
        <f>TEXT(ASTemp!M361,Percentages)</f>
        <v/>
      </c>
      <c r="N361" s="72" t="str">
        <f>TEXT(ASTemp!N361,Percentages)</f>
        <v/>
      </c>
    </row>
    <row r="362" ht="14.25" customHeight="1">
      <c r="B362" s="66" t="str">
        <f>ASTemp!B362</f>
        <v/>
      </c>
      <c r="C362" s="67" t="str">
        <f>ASTemp!C362</f>
        <v/>
      </c>
      <c r="D362" s="68" t="str">
        <f>ASTemp!D362</f>
        <v/>
      </c>
      <c r="E362" s="65" t="str">
        <f>ASTemp!E362</f>
        <v/>
      </c>
      <c r="F362" s="69" t="str">
        <f>TEXT(ASTemp!F362,Decimals)</f>
        <v/>
      </c>
      <c r="G362" s="69" t="str">
        <f>TEXT(ASTemp!G362,Decimals)</f>
        <v/>
      </c>
      <c r="H362" s="69" t="str">
        <f>TEXT(ASTemp!H362,Decimals)</f>
        <v/>
      </c>
      <c r="I362" s="69" t="str">
        <f>TEXT(ASTemp!I362,Decimals)</f>
        <v/>
      </c>
      <c r="J362" s="69" t="str">
        <f>TEXT(ASTemp!J362,Decimals)</f>
        <v/>
      </c>
      <c r="K362" s="69" t="str">
        <f>TEXT(ASTemp!K362,Decimals)</f>
        <v/>
      </c>
      <c r="L362" s="69" t="str">
        <f>TEXT(ASTemp!L362,Decimals)</f>
        <v/>
      </c>
      <c r="M362" s="71" t="str">
        <f>TEXT(ASTemp!M362,Percentages)</f>
        <v/>
      </c>
      <c r="N362" s="72" t="str">
        <f>TEXT(ASTemp!N362,Percentages)</f>
        <v/>
      </c>
    </row>
    <row r="363" ht="14.25" customHeight="1">
      <c r="B363" s="66" t="str">
        <f>ASTemp!B363</f>
        <v/>
      </c>
      <c r="C363" s="67" t="str">
        <f>ASTemp!C363</f>
        <v/>
      </c>
      <c r="D363" s="68" t="str">
        <f>ASTemp!D363</f>
        <v/>
      </c>
      <c r="E363" s="65" t="str">
        <f>ASTemp!E363</f>
        <v/>
      </c>
      <c r="F363" s="69" t="str">
        <f>TEXT(ASTemp!F363,Decimals)</f>
        <v/>
      </c>
      <c r="G363" s="69" t="str">
        <f>TEXT(ASTemp!G363,Decimals)</f>
        <v/>
      </c>
      <c r="H363" s="69" t="str">
        <f>TEXT(ASTemp!H363,Decimals)</f>
        <v/>
      </c>
      <c r="I363" s="69" t="str">
        <f>TEXT(ASTemp!I363,Decimals)</f>
        <v/>
      </c>
      <c r="J363" s="69" t="str">
        <f>TEXT(ASTemp!J363,Decimals)</f>
        <v/>
      </c>
      <c r="K363" s="69" t="str">
        <f>TEXT(ASTemp!K363,Decimals)</f>
        <v/>
      </c>
      <c r="L363" s="69" t="str">
        <f>TEXT(ASTemp!L363,Decimals)</f>
        <v/>
      </c>
      <c r="M363" s="71" t="str">
        <f>TEXT(ASTemp!M363,Percentages)</f>
        <v/>
      </c>
      <c r="N363" s="72" t="str">
        <f>TEXT(ASTemp!N363,Percentages)</f>
        <v/>
      </c>
    </row>
    <row r="364" ht="14.25" customHeight="1">
      <c r="B364" s="66" t="str">
        <f>ASTemp!B364</f>
        <v/>
      </c>
      <c r="C364" s="67" t="str">
        <f>ASTemp!C364</f>
        <v/>
      </c>
      <c r="D364" s="68" t="str">
        <f>ASTemp!D364</f>
        <v/>
      </c>
      <c r="E364" s="65" t="str">
        <f>ASTemp!E364</f>
        <v/>
      </c>
      <c r="F364" s="69" t="str">
        <f>TEXT(ASTemp!F364,Decimals)</f>
        <v/>
      </c>
      <c r="G364" s="69" t="str">
        <f>TEXT(ASTemp!G364,Decimals)</f>
        <v/>
      </c>
      <c r="H364" s="69" t="str">
        <f>TEXT(ASTemp!H364,Decimals)</f>
        <v/>
      </c>
      <c r="I364" s="69" t="str">
        <f>TEXT(ASTemp!I364,Decimals)</f>
        <v/>
      </c>
      <c r="J364" s="69" t="str">
        <f>TEXT(ASTemp!J364,Decimals)</f>
        <v/>
      </c>
      <c r="K364" s="69" t="str">
        <f>TEXT(ASTemp!K364,Decimals)</f>
        <v/>
      </c>
      <c r="L364" s="69" t="str">
        <f>TEXT(ASTemp!L364,Decimals)</f>
        <v/>
      </c>
      <c r="M364" s="71" t="str">
        <f>TEXT(ASTemp!M364,Percentages)</f>
        <v/>
      </c>
      <c r="N364" s="72" t="str">
        <f>TEXT(ASTemp!N364,Percentages)</f>
        <v/>
      </c>
    </row>
    <row r="365" ht="14.25" customHeight="1">
      <c r="B365" s="66" t="str">
        <f>ASTemp!B365</f>
        <v/>
      </c>
      <c r="C365" s="67" t="str">
        <f>ASTemp!C365</f>
        <v/>
      </c>
      <c r="D365" s="68" t="str">
        <f>ASTemp!D365</f>
        <v/>
      </c>
      <c r="E365" s="65" t="str">
        <f>ASTemp!E365</f>
        <v/>
      </c>
      <c r="F365" s="69" t="str">
        <f>TEXT(ASTemp!F365,Decimals)</f>
        <v/>
      </c>
      <c r="G365" s="69" t="str">
        <f>TEXT(ASTemp!G365,Decimals)</f>
        <v/>
      </c>
      <c r="H365" s="69" t="str">
        <f>TEXT(ASTemp!H365,Decimals)</f>
        <v/>
      </c>
      <c r="I365" s="69" t="str">
        <f>TEXT(ASTemp!I365,Decimals)</f>
        <v/>
      </c>
      <c r="J365" s="69" t="str">
        <f>TEXT(ASTemp!J365,Decimals)</f>
        <v/>
      </c>
      <c r="K365" s="69" t="str">
        <f>TEXT(ASTemp!K365,Decimals)</f>
        <v/>
      </c>
      <c r="L365" s="69" t="str">
        <f>TEXT(ASTemp!L365,Decimals)</f>
        <v/>
      </c>
      <c r="M365" s="71" t="str">
        <f>TEXT(ASTemp!M365,Percentages)</f>
        <v/>
      </c>
      <c r="N365" s="72" t="str">
        <f>TEXT(ASTemp!N365,Percentages)</f>
        <v/>
      </c>
    </row>
    <row r="366" ht="14.25" customHeight="1">
      <c r="B366" s="66" t="str">
        <f>ASTemp!B366</f>
        <v/>
      </c>
      <c r="C366" s="67" t="str">
        <f>ASTemp!C366</f>
        <v/>
      </c>
      <c r="D366" s="68" t="str">
        <f>ASTemp!D366</f>
        <v/>
      </c>
      <c r="E366" s="65" t="str">
        <f>ASTemp!E366</f>
        <v/>
      </c>
      <c r="F366" s="69" t="str">
        <f>TEXT(ASTemp!F366,Decimals)</f>
        <v/>
      </c>
      <c r="G366" s="69" t="str">
        <f>TEXT(ASTemp!G366,Decimals)</f>
        <v/>
      </c>
      <c r="H366" s="69" t="str">
        <f>TEXT(ASTemp!H366,Decimals)</f>
        <v/>
      </c>
      <c r="I366" s="69" t="str">
        <f>TEXT(ASTemp!I366,Decimals)</f>
        <v/>
      </c>
      <c r="J366" s="69" t="str">
        <f>TEXT(ASTemp!J366,Decimals)</f>
        <v/>
      </c>
      <c r="K366" s="69" t="str">
        <f>TEXT(ASTemp!K366,Decimals)</f>
        <v/>
      </c>
      <c r="L366" s="69" t="str">
        <f>TEXT(ASTemp!L366,Decimals)</f>
        <v/>
      </c>
      <c r="M366" s="71" t="str">
        <f>TEXT(ASTemp!M366,Percentages)</f>
        <v/>
      </c>
      <c r="N366" s="72" t="str">
        <f>TEXT(ASTemp!N366,Percentages)</f>
        <v/>
      </c>
    </row>
    <row r="367" ht="14.25" customHeight="1">
      <c r="B367" s="66" t="str">
        <f>ASTemp!B367</f>
        <v/>
      </c>
      <c r="C367" s="67" t="str">
        <f>ASTemp!C367</f>
        <v/>
      </c>
      <c r="D367" s="68" t="str">
        <f>ASTemp!D367</f>
        <v/>
      </c>
      <c r="E367" s="65" t="str">
        <f>ASTemp!E367</f>
        <v/>
      </c>
      <c r="F367" s="69" t="str">
        <f>TEXT(ASTemp!F367,Decimals)</f>
        <v/>
      </c>
      <c r="G367" s="69" t="str">
        <f>TEXT(ASTemp!G367,Decimals)</f>
        <v/>
      </c>
      <c r="H367" s="69" t="str">
        <f>TEXT(ASTemp!H367,Decimals)</f>
        <v/>
      </c>
      <c r="I367" s="69" t="str">
        <f>TEXT(ASTemp!I367,Decimals)</f>
        <v/>
      </c>
      <c r="J367" s="69" t="str">
        <f>TEXT(ASTemp!J367,Decimals)</f>
        <v/>
      </c>
      <c r="K367" s="69" t="str">
        <f>TEXT(ASTemp!K367,Decimals)</f>
        <v/>
      </c>
      <c r="L367" s="69" t="str">
        <f>TEXT(ASTemp!L367,Decimals)</f>
        <v/>
      </c>
      <c r="M367" s="71" t="str">
        <f>TEXT(ASTemp!M367,Percentages)</f>
        <v/>
      </c>
      <c r="N367" s="72" t="str">
        <f>TEXT(ASTemp!N367,Percentages)</f>
        <v/>
      </c>
    </row>
    <row r="368" ht="14.25" customHeight="1">
      <c r="B368" s="66" t="str">
        <f>ASTemp!B368</f>
        <v/>
      </c>
      <c r="C368" s="67" t="str">
        <f>ASTemp!C368</f>
        <v/>
      </c>
      <c r="D368" s="68" t="str">
        <f>ASTemp!D368</f>
        <v/>
      </c>
      <c r="E368" s="65" t="str">
        <f>ASTemp!E368</f>
        <v/>
      </c>
      <c r="F368" s="69" t="str">
        <f>TEXT(ASTemp!F368,Decimals)</f>
        <v/>
      </c>
      <c r="G368" s="69" t="str">
        <f>TEXT(ASTemp!G368,Decimals)</f>
        <v/>
      </c>
      <c r="H368" s="69" t="str">
        <f>TEXT(ASTemp!H368,Decimals)</f>
        <v/>
      </c>
      <c r="I368" s="69" t="str">
        <f>TEXT(ASTemp!I368,Decimals)</f>
        <v/>
      </c>
      <c r="J368" s="69" t="str">
        <f>TEXT(ASTemp!J368,Decimals)</f>
        <v/>
      </c>
      <c r="K368" s="69" t="str">
        <f>TEXT(ASTemp!K368,Decimals)</f>
        <v/>
      </c>
      <c r="L368" s="69" t="str">
        <f>TEXT(ASTemp!L368,Decimals)</f>
        <v/>
      </c>
      <c r="M368" s="71" t="str">
        <f>TEXT(ASTemp!M368,Percentages)</f>
        <v/>
      </c>
      <c r="N368" s="72" t="str">
        <f>TEXT(ASTemp!N368,Percentages)</f>
        <v/>
      </c>
    </row>
    <row r="369" ht="14.25" customHeight="1">
      <c r="B369" s="66" t="str">
        <f>ASTemp!B369</f>
        <v/>
      </c>
      <c r="C369" s="67" t="str">
        <f>ASTemp!C369</f>
        <v/>
      </c>
      <c r="D369" s="68" t="str">
        <f>ASTemp!D369</f>
        <v/>
      </c>
      <c r="E369" s="65" t="str">
        <f>ASTemp!E369</f>
        <v/>
      </c>
      <c r="F369" s="69" t="str">
        <f>TEXT(ASTemp!F369,Decimals)</f>
        <v/>
      </c>
      <c r="G369" s="69" t="str">
        <f>TEXT(ASTemp!G369,Decimals)</f>
        <v/>
      </c>
      <c r="H369" s="69" t="str">
        <f>TEXT(ASTemp!H369,Decimals)</f>
        <v/>
      </c>
      <c r="I369" s="69" t="str">
        <f>TEXT(ASTemp!I369,Decimals)</f>
        <v/>
      </c>
      <c r="J369" s="69" t="str">
        <f>TEXT(ASTemp!J369,Decimals)</f>
        <v/>
      </c>
      <c r="K369" s="69" t="str">
        <f>TEXT(ASTemp!K369,Decimals)</f>
        <v/>
      </c>
      <c r="L369" s="69" t="str">
        <f>TEXT(ASTemp!L369,Decimals)</f>
        <v/>
      </c>
      <c r="M369" s="71" t="str">
        <f>TEXT(ASTemp!M369,Percentages)</f>
        <v/>
      </c>
      <c r="N369" s="72" t="str">
        <f>TEXT(ASTemp!N369,Percentages)</f>
        <v/>
      </c>
    </row>
    <row r="370" ht="14.25" customHeight="1">
      <c r="B370" s="66" t="str">
        <f>ASTemp!B370</f>
        <v/>
      </c>
      <c r="C370" s="67" t="str">
        <f>ASTemp!C370</f>
        <v/>
      </c>
      <c r="D370" s="68" t="str">
        <f>ASTemp!D370</f>
        <v/>
      </c>
      <c r="E370" s="65" t="str">
        <f>ASTemp!E370</f>
        <v/>
      </c>
      <c r="F370" s="69" t="str">
        <f>TEXT(ASTemp!F370,Decimals)</f>
        <v/>
      </c>
      <c r="G370" s="69" t="str">
        <f>TEXT(ASTemp!G370,Decimals)</f>
        <v/>
      </c>
      <c r="H370" s="69" t="str">
        <f>TEXT(ASTemp!H370,Decimals)</f>
        <v/>
      </c>
      <c r="I370" s="69" t="str">
        <f>TEXT(ASTemp!I370,Decimals)</f>
        <v/>
      </c>
      <c r="J370" s="69" t="str">
        <f>TEXT(ASTemp!J370,Decimals)</f>
        <v/>
      </c>
      <c r="K370" s="69" t="str">
        <f>TEXT(ASTemp!K370,Decimals)</f>
        <v/>
      </c>
      <c r="L370" s="69" t="str">
        <f>TEXT(ASTemp!L370,Decimals)</f>
        <v/>
      </c>
      <c r="M370" s="71" t="str">
        <f>TEXT(ASTemp!M370,Percentages)</f>
        <v/>
      </c>
      <c r="N370" s="72" t="str">
        <f>TEXT(ASTemp!N370,Percentages)</f>
        <v/>
      </c>
    </row>
    <row r="371" ht="14.25" customHeight="1">
      <c r="B371" s="66" t="str">
        <f>ASTemp!B371</f>
        <v/>
      </c>
      <c r="C371" s="67" t="str">
        <f>ASTemp!C371</f>
        <v/>
      </c>
      <c r="D371" s="68" t="str">
        <f>ASTemp!D371</f>
        <v/>
      </c>
      <c r="E371" s="65" t="str">
        <f>ASTemp!E371</f>
        <v/>
      </c>
      <c r="F371" s="69" t="str">
        <f>TEXT(ASTemp!F371,Decimals)</f>
        <v/>
      </c>
      <c r="G371" s="69" t="str">
        <f>TEXT(ASTemp!G371,Decimals)</f>
        <v/>
      </c>
      <c r="H371" s="69" t="str">
        <f>TEXT(ASTemp!H371,Decimals)</f>
        <v/>
      </c>
      <c r="I371" s="69" t="str">
        <f>TEXT(ASTemp!I371,Decimals)</f>
        <v/>
      </c>
      <c r="J371" s="69" t="str">
        <f>TEXT(ASTemp!J371,Decimals)</f>
        <v/>
      </c>
      <c r="K371" s="69" t="str">
        <f>TEXT(ASTemp!K371,Decimals)</f>
        <v/>
      </c>
      <c r="L371" s="69" t="str">
        <f>TEXT(ASTemp!L371,Decimals)</f>
        <v/>
      </c>
      <c r="M371" s="71" t="str">
        <f>TEXT(ASTemp!M371,Percentages)</f>
        <v/>
      </c>
      <c r="N371" s="72" t="str">
        <f>TEXT(ASTemp!N371,Percentages)</f>
        <v/>
      </c>
    </row>
    <row r="372" ht="14.25" customHeight="1">
      <c r="B372" s="66" t="str">
        <f>ASTemp!B372</f>
        <v/>
      </c>
      <c r="C372" s="67" t="str">
        <f>ASTemp!C372</f>
        <v/>
      </c>
      <c r="D372" s="68" t="str">
        <f>ASTemp!D372</f>
        <v/>
      </c>
      <c r="E372" s="65" t="str">
        <f>ASTemp!E372</f>
        <v/>
      </c>
      <c r="F372" s="69" t="str">
        <f>TEXT(ASTemp!F372,Decimals)</f>
        <v/>
      </c>
      <c r="G372" s="69" t="str">
        <f>TEXT(ASTemp!G372,Decimals)</f>
        <v/>
      </c>
      <c r="H372" s="69" t="str">
        <f>TEXT(ASTemp!H372,Decimals)</f>
        <v/>
      </c>
      <c r="I372" s="69" t="str">
        <f>TEXT(ASTemp!I372,Decimals)</f>
        <v/>
      </c>
      <c r="J372" s="69" t="str">
        <f>TEXT(ASTemp!J372,Decimals)</f>
        <v/>
      </c>
      <c r="K372" s="69" t="str">
        <f>TEXT(ASTemp!K372,Decimals)</f>
        <v/>
      </c>
      <c r="L372" s="69" t="str">
        <f>TEXT(ASTemp!L372,Decimals)</f>
        <v/>
      </c>
      <c r="M372" s="71" t="str">
        <f>TEXT(ASTemp!M372,Percentages)</f>
        <v/>
      </c>
      <c r="N372" s="72" t="str">
        <f>TEXT(ASTemp!N372,Percentages)</f>
        <v/>
      </c>
    </row>
    <row r="373" ht="14.25" customHeight="1">
      <c r="B373" s="66" t="str">
        <f>ASTemp!B373</f>
        <v/>
      </c>
      <c r="C373" s="67" t="str">
        <f>ASTemp!C373</f>
        <v/>
      </c>
      <c r="D373" s="68" t="str">
        <f>ASTemp!D373</f>
        <v/>
      </c>
      <c r="E373" s="65" t="str">
        <f>ASTemp!E373</f>
        <v/>
      </c>
      <c r="F373" s="69" t="str">
        <f>TEXT(ASTemp!F373,Decimals)</f>
        <v/>
      </c>
      <c r="G373" s="69" t="str">
        <f>TEXT(ASTemp!G373,Decimals)</f>
        <v/>
      </c>
      <c r="H373" s="69" t="str">
        <f>TEXT(ASTemp!H373,Decimals)</f>
        <v/>
      </c>
      <c r="I373" s="69" t="str">
        <f>TEXT(ASTemp!I373,Decimals)</f>
        <v/>
      </c>
      <c r="J373" s="69" t="str">
        <f>TEXT(ASTemp!J373,Decimals)</f>
        <v/>
      </c>
      <c r="K373" s="69" t="str">
        <f>TEXT(ASTemp!K373,Decimals)</f>
        <v/>
      </c>
      <c r="L373" s="69" t="str">
        <f>TEXT(ASTemp!L373,Decimals)</f>
        <v/>
      </c>
      <c r="M373" s="71" t="str">
        <f>TEXT(ASTemp!M373,Percentages)</f>
        <v/>
      </c>
      <c r="N373" s="72" t="str">
        <f>TEXT(ASTemp!N373,Percentages)</f>
        <v/>
      </c>
    </row>
    <row r="374" ht="14.25" customHeight="1">
      <c r="B374" s="66" t="str">
        <f>ASTemp!B374</f>
        <v/>
      </c>
      <c r="C374" s="67" t="str">
        <f>ASTemp!C374</f>
        <v/>
      </c>
      <c r="D374" s="68" t="str">
        <f>ASTemp!D374</f>
        <v/>
      </c>
      <c r="E374" s="65" t="str">
        <f>ASTemp!E374</f>
        <v/>
      </c>
      <c r="F374" s="69" t="str">
        <f>TEXT(ASTemp!F374,Decimals)</f>
        <v/>
      </c>
      <c r="G374" s="69" t="str">
        <f>TEXT(ASTemp!G374,Decimals)</f>
        <v/>
      </c>
      <c r="H374" s="69" t="str">
        <f>TEXT(ASTemp!H374,Decimals)</f>
        <v/>
      </c>
      <c r="I374" s="69" t="str">
        <f>TEXT(ASTemp!I374,Decimals)</f>
        <v/>
      </c>
      <c r="J374" s="69" t="str">
        <f>TEXT(ASTemp!J374,Decimals)</f>
        <v/>
      </c>
      <c r="K374" s="69" t="str">
        <f>TEXT(ASTemp!K374,Decimals)</f>
        <v/>
      </c>
      <c r="L374" s="69" t="str">
        <f>TEXT(ASTemp!L374,Decimals)</f>
        <v/>
      </c>
      <c r="M374" s="71" t="str">
        <f>TEXT(ASTemp!M374,Percentages)</f>
        <v/>
      </c>
      <c r="N374" s="72" t="str">
        <f>TEXT(ASTemp!N374,Percentages)</f>
        <v/>
      </c>
    </row>
    <row r="375" ht="14.25" customHeight="1">
      <c r="B375" s="66" t="str">
        <f>ASTemp!B375</f>
        <v/>
      </c>
      <c r="C375" s="67" t="str">
        <f>ASTemp!C375</f>
        <v/>
      </c>
      <c r="D375" s="68" t="str">
        <f>ASTemp!D375</f>
        <v/>
      </c>
      <c r="E375" s="65" t="str">
        <f>ASTemp!E375</f>
        <v/>
      </c>
      <c r="F375" s="69" t="str">
        <f>TEXT(ASTemp!F375,Decimals)</f>
        <v/>
      </c>
      <c r="G375" s="69" t="str">
        <f>TEXT(ASTemp!G375,Decimals)</f>
        <v/>
      </c>
      <c r="H375" s="69" t="str">
        <f>TEXT(ASTemp!H375,Decimals)</f>
        <v/>
      </c>
      <c r="I375" s="69" t="str">
        <f>TEXT(ASTemp!I375,Decimals)</f>
        <v/>
      </c>
      <c r="J375" s="69" t="str">
        <f>TEXT(ASTemp!J375,Decimals)</f>
        <v/>
      </c>
      <c r="K375" s="69" t="str">
        <f>TEXT(ASTemp!K375,Decimals)</f>
        <v/>
      </c>
      <c r="L375" s="69" t="str">
        <f>TEXT(ASTemp!L375,Decimals)</f>
        <v/>
      </c>
      <c r="M375" s="71" t="str">
        <f>TEXT(ASTemp!M375,Percentages)</f>
        <v/>
      </c>
      <c r="N375" s="72" t="str">
        <f>TEXT(ASTemp!N375,Percentages)</f>
        <v/>
      </c>
    </row>
    <row r="376" ht="14.25" customHeight="1">
      <c r="B376" s="66" t="str">
        <f>ASTemp!B376</f>
        <v/>
      </c>
      <c r="C376" s="67" t="str">
        <f>ASTemp!C376</f>
        <v/>
      </c>
      <c r="D376" s="68" t="str">
        <f>ASTemp!D376</f>
        <v/>
      </c>
      <c r="E376" s="65" t="str">
        <f>ASTemp!E376</f>
        <v/>
      </c>
      <c r="F376" s="69" t="str">
        <f>TEXT(ASTemp!F376,Decimals)</f>
        <v/>
      </c>
      <c r="G376" s="69" t="str">
        <f>TEXT(ASTemp!G376,Decimals)</f>
        <v/>
      </c>
      <c r="H376" s="69" t="str">
        <f>TEXT(ASTemp!H376,Decimals)</f>
        <v/>
      </c>
      <c r="I376" s="69" t="str">
        <f>TEXT(ASTemp!I376,Decimals)</f>
        <v/>
      </c>
      <c r="J376" s="69" t="str">
        <f>TEXT(ASTemp!J376,Decimals)</f>
        <v/>
      </c>
      <c r="K376" s="69" t="str">
        <f>TEXT(ASTemp!K376,Decimals)</f>
        <v/>
      </c>
      <c r="L376" s="69" t="str">
        <f>TEXT(ASTemp!L376,Decimals)</f>
        <v/>
      </c>
      <c r="M376" s="71" t="str">
        <f>TEXT(ASTemp!M376,Percentages)</f>
        <v/>
      </c>
      <c r="N376" s="72" t="str">
        <f>TEXT(ASTemp!N376,Percentages)</f>
        <v/>
      </c>
    </row>
    <row r="377" ht="14.25" customHeight="1">
      <c r="B377" s="66" t="str">
        <f>ASTemp!B377</f>
        <v/>
      </c>
      <c r="C377" s="67" t="str">
        <f>ASTemp!C377</f>
        <v/>
      </c>
      <c r="D377" s="68" t="str">
        <f>ASTemp!D377</f>
        <v/>
      </c>
      <c r="E377" s="65" t="str">
        <f>ASTemp!E377</f>
        <v/>
      </c>
      <c r="F377" s="69" t="str">
        <f>TEXT(ASTemp!F377,Decimals)</f>
        <v/>
      </c>
      <c r="G377" s="69" t="str">
        <f>TEXT(ASTemp!G377,Decimals)</f>
        <v/>
      </c>
      <c r="H377" s="69" t="str">
        <f>TEXT(ASTemp!H377,Decimals)</f>
        <v/>
      </c>
      <c r="I377" s="69" t="str">
        <f>TEXT(ASTemp!I377,Decimals)</f>
        <v/>
      </c>
      <c r="J377" s="69" t="str">
        <f>TEXT(ASTemp!J377,Decimals)</f>
        <v/>
      </c>
      <c r="K377" s="69" t="str">
        <f>TEXT(ASTemp!K377,Decimals)</f>
        <v/>
      </c>
      <c r="L377" s="69" t="str">
        <f>TEXT(ASTemp!L377,Decimals)</f>
        <v/>
      </c>
      <c r="M377" s="71" t="str">
        <f>TEXT(ASTemp!M377,Percentages)</f>
        <v/>
      </c>
      <c r="N377" s="72" t="str">
        <f>TEXT(ASTemp!N377,Percentages)</f>
        <v/>
      </c>
    </row>
    <row r="378" ht="14.25" customHeight="1">
      <c r="B378" s="66" t="str">
        <f>ASTemp!B378</f>
        <v/>
      </c>
      <c r="C378" s="67" t="str">
        <f>ASTemp!C378</f>
        <v/>
      </c>
      <c r="D378" s="68" t="str">
        <f>ASTemp!D378</f>
        <v/>
      </c>
      <c r="E378" s="65" t="str">
        <f>ASTemp!E378</f>
        <v/>
      </c>
      <c r="F378" s="69" t="str">
        <f>TEXT(ASTemp!F378,Decimals)</f>
        <v/>
      </c>
      <c r="G378" s="69" t="str">
        <f>TEXT(ASTemp!G378,Decimals)</f>
        <v/>
      </c>
      <c r="H378" s="69" t="str">
        <f>TEXT(ASTemp!H378,Decimals)</f>
        <v/>
      </c>
      <c r="I378" s="69" t="str">
        <f>TEXT(ASTemp!I378,Decimals)</f>
        <v/>
      </c>
      <c r="J378" s="69" t="str">
        <f>TEXT(ASTemp!J378,Decimals)</f>
        <v/>
      </c>
      <c r="K378" s="69" t="str">
        <f>TEXT(ASTemp!K378,Decimals)</f>
        <v/>
      </c>
      <c r="L378" s="69" t="str">
        <f>TEXT(ASTemp!L378,Decimals)</f>
        <v/>
      </c>
      <c r="M378" s="71" t="str">
        <f>TEXT(ASTemp!M378,Percentages)</f>
        <v/>
      </c>
      <c r="N378" s="72" t="str">
        <f>TEXT(ASTemp!N378,Percentages)</f>
        <v/>
      </c>
    </row>
    <row r="379" ht="14.25" customHeight="1">
      <c r="B379" s="66" t="str">
        <f>ASTemp!B379</f>
        <v/>
      </c>
      <c r="C379" s="67" t="str">
        <f>ASTemp!C379</f>
        <v/>
      </c>
      <c r="D379" s="68" t="str">
        <f>ASTemp!D379</f>
        <v/>
      </c>
      <c r="E379" s="65" t="str">
        <f>ASTemp!E379</f>
        <v/>
      </c>
      <c r="F379" s="69" t="str">
        <f>TEXT(ASTemp!F379,Decimals)</f>
        <v/>
      </c>
      <c r="G379" s="69" t="str">
        <f>TEXT(ASTemp!G379,Decimals)</f>
        <v/>
      </c>
      <c r="H379" s="69" t="str">
        <f>TEXT(ASTemp!H379,Decimals)</f>
        <v/>
      </c>
      <c r="I379" s="69" t="str">
        <f>TEXT(ASTemp!I379,Decimals)</f>
        <v/>
      </c>
      <c r="J379" s="69" t="str">
        <f>TEXT(ASTemp!J379,Decimals)</f>
        <v/>
      </c>
      <c r="K379" s="69" t="str">
        <f>TEXT(ASTemp!K379,Decimals)</f>
        <v/>
      </c>
      <c r="L379" s="69" t="str">
        <f>TEXT(ASTemp!L379,Decimals)</f>
        <v/>
      </c>
      <c r="M379" s="71" t="str">
        <f>TEXT(ASTemp!M379,Percentages)</f>
        <v/>
      </c>
      <c r="N379" s="72" t="str">
        <f>TEXT(ASTemp!N379,Percentages)</f>
        <v/>
      </c>
    </row>
    <row r="380" ht="14.25" customHeight="1">
      <c r="B380" s="66" t="str">
        <f>ASTemp!B380</f>
        <v/>
      </c>
      <c r="C380" s="67" t="str">
        <f>ASTemp!C380</f>
        <v/>
      </c>
      <c r="D380" s="68" t="str">
        <f>ASTemp!D380</f>
        <v/>
      </c>
      <c r="E380" s="65" t="str">
        <f>ASTemp!E380</f>
        <v/>
      </c>
      <c r="F380" s="69" t="str">
        <f>TEXT(ASTemp!F380,Decimals)</f>
        <v/>
      </c>
      <c r="G380" s="69" t="str">
        <f>TEXT(ASTemp!G380,Decimals)</f>
        <v/>
      </c>
      <c r="H380" s="69" t="str">
        <f>TEXT(ASTemp!H380,Decimals)</f>
        <v/>
      </c>
      <c r="I380" s="69" t="str">
        <f>TEXT(ASTemp!I380,Decimals)</f>
        <v/>
      </c>
      <c r="J380" s="69" t="str">
        <f>TEXT(ASTemp!J380,Decimals)</f>
        <v/>
      </c>
      <c r="K380" s="69" t="str">
        <f>TEXT(ASTemp!K380,Decimals)</f>
        <v/>
      </c>
      <c r="L380" s="69" t="str">
        <f>TEXT(ASTemp!L380,Decimals)</f>
        <v/>
      </c>
      <c r="M380" s="71" t="str">
        <f>TEXT(ASTemp!M380,Percentages)</f>
        <v/>
      </c>
      <c r="N380" s="72" t="str">
        <f>TEXT(ASTemp!N380,Percentages)</f>
        <v/>
      </c>
    </row>
    <row r="381" ht="14.25" customHeight="1">
      <c r="B381" s="66" t="str">
        <f>ASTemp!B381</f>
        <v/>
      </c>
      <c r="C381" s="67" t="str">
        <f>ASTemp!C381</f>
        <v/>
      </c>
      <c r="D381" s="68" t="str">
        <f>ASTemp!D381</f>
        <v/>
      </c>
      <c r="E381" s="65" t="str">
        <f>ASTemp!E381</f>
        <v/>
      </c>
      <c r="F381" s="69" t="str">
        <f>TEXT(ASTemp!F381,Decimals)</f>
        <v/>
      </c>
      <c r="G381" s="69" t="str">
        <f>TEXT(ASTemp!G381,Decimals)</f>
        <v/>
      </c>
      <c r="H381" s="69" t="str">
        <f>TEXT(ASTemp!H381,Decimals)</f>
        <v/>
      </c>
      <c r="I381" s="69" t="str">
        <f>TEXT(ASTemp!I381,Decimals)</f>
        <v/>
      </c>
      <c r="J381" s="69" t="str">
        <f>TEXT(ASTemp!J381,Decimals)</f>
        <v/>
      </c>
      <c r="K381" s="69" t="str">
        <f>TEXT(ASTemp!K381,Decimals)</f>
        <v/>
      </c>
      <c r="L381" s="69" t="str">
        <f>TEXT(ASTemp!L381,Decimals)</f>
        <v/>
      </c>
      <c r="M381" s="71" t="str">
        <f>TEXT(ASTemp!M381,Percentages)</f>
        <v/>
      </c>
      <c r="N381" s="72" t="str">
        <f>TEXT(ASTemp!N381,Percentages)</f>
        <v/>
      </c>
    </row>
    <row r="382" ht="14.25" customHeight="1">
      <c r="B382" s="66" t="str">
        <f>ASTemp!B382</f>
        <v/>
      </c>
      <c r="C382" s="67" t="str">
        <f>ASTemp!C382</f>
        <v/>
      </c>
      <c r="D382" s="68" t="str">
        <f>ASTemp!D382</f>
        <v/>
      </c>
      <c r="E382" s="65" t="str">
        <f>ASTemp!E382</f>
        <v/>
      </c>
      <c r="F382" s="69" t="str">
        <f>TEXT(ASTemp!F382,Decimals)</f>
        <v/>
      </c>
      <c r="G382" s="69" t="str">
        <f>TEXT(ASTemp!G382,Decimals)</f>
        <v/>
      </c>
      <c r="H382" s="69" t="str">
        <f>TEXT(ASTemp!H382,Decimals)</f>
        <v/>
      </c>
      <c r="I382" s="69" t="str">
        <f>TEXT(ASTemp!I382,Decimals)</f>
        <v/>
      </c>
      <c r="J382" s="69" t="str">
        <f>TEXT(ASTemp!J382,Decimals)</f>
        <v/>
      </c>
      <c r="K382" s="69" t="str">
        <f>TEXT(ASTemp!K382,Decimals)</f>
        <v/>
      </c>
      <c r="L382" s="69" t="str">
        <f>TEXT(ASTemp!L382,Decimals)</f>
        <v/>
      </c>
      <c r="M382" s="71" t="str">
        <f>TEXT(ASTemp!M382,Percentages)</f>
        <v/>
      </c>
      <c r="N382" s="72" t="str">
        <f>TEXT(ASTemp!N382,Percentages)</f>
        <v/>
      </c>
    </row>
    <row r="383" ht="14.25" customHeight="1">
      <c r="B383" s="66" t="str">
        <f>ASTemp!B383</f>
        <v/>
      </c>
      <c r="C383" s="67" t="str">
        <f>ASTemp!C383</f>
        <v/>
      </c>
      <c r="D383" s="68" t="str">
        <f>ASTemp!D383</f>
        <v/>
      </c>
      <c r="E383" s="65" t="str">
        <f>ASTemp!E383</f>
        <v/>
      </c>
      <c r="F383" s="69" t="str">
        <f>TEXT(ASTemp!F383,Decimals)</f>
        <v/>
      </c>
      <c r="G383" s="69" t="str">
        <f>TEXT(ASTemp!G383,Decimals)</f>
        <v/>
      </c>
      <c r="H383" s="69" t="str">
        <f>TEXT(ASTemp!H383,Decimals)</f>
        <v/>
      </c>
      <c r="I383" s="69" t="str">
        <f>TEXT(ASTemp!I383,Decimals)</f>
        <v/>
      </c>
      <c r="J383" s="69" t="str">
        <f>TEXT(ASTemp!J383,Decimals)</f>
        <v/>
      </c>
      <c r="K383" s="69" t="str">
        <f>TEXT(ASTemp!K383,Decimals)</f>
        <v/>
      </c>
      <c r="L383" s="69" t="str">
        <f>TEXT(ASTemp!L383,Decimals)</f>
        <v/>
      </c>
      <c r="M383" s="71" t="str">
        <f>TEXT(ASTemp!M383,Percentages)</f>
        <v/>
      </c>
      <c r="N383" s="72" t="str">
        <f>TEXT(ASTemp!N383,Percentages)</f>
        <v/>
      </c>
    </row>
    <row r="384" ht="14.25" customHeight="1">
      <c r="B384" s="66" t="str">
        <f>ASTemp!B384</f>
        <v/>
      </c>
      <c r="C384" s="67" t="str">
        <f>ASTemp!C384</f>
        <v/>
      </c>
      <c r="D384" s="68" t="str">
        <f>ASTemp!D384</f>
        <v/>
      </c>
      <c r="E384" s="65" t="str">
        <f>ASTemp!E384</f>
        <v/>
      </c>
      <c r="F384" s="69" t="str">
        <f>TEXT(ASTemp!F384,Decimals)</f>
        <v/>
      </c>
      <c r="G384" s="69" t="str">
        <f>TEXT(ASTemp!G384,Decimals)</f>
        <v/>
      </c>
      <c r="H384" s="69" t="str">
        <f>TEXT(ASTemp!H384,Decimals)</f>
        <v/>
      </c>
      <c r="I384" s="69" t="str">
        <f>TEXT(ASTemp!I384,Decimals)</f>
        <v/>
      </c>
      <c r="J384" s="69" t="str">
        <f>TEXT(ASTemp!J384,Decimals)</f>
        <v/>
      </c>
      <c r="K384" s="69" t="str">
        <f>TEXT(ASTemp!K384,Decimals)</f>
        <v/>
      </c>
      <c r="L384" s="69" t="str">
        <f>TEXT(ASTemp!L384,Decimals)</f>
        <v/>
      </c>
      <c r="M384" s="71" t="str">
        <f>TEXT(ASTemp!M384,Percentages)</f>
        <v/>
      </c>
      <c r="N384" s="72" t="str">
        <f>TEXT(ASTemp!N384,Percentages)</f>
        <v/>
      </c>
    </row>
    <row r="385" ht="14.25" customHeight="1">
      <c r="B385" s="66" t="str">
        <f>ASTemp!B385</f>
        <v/>
      </c>
      <c r="C385" s="67" t="str">
        <f>ASTemp!C385</f>
        <v/>
      </c>
      <c r="D385" s="68" t="str">
        <f>ASTemp!D385</f>
        <v/>
      </c>
      <c r="E385" s="65" t="str">
        <f>ASTemp!E385</f>
        <v/>
      </c>
      <c r="F385" s="69" t="str">
        <f>TEXT(ASTemp!F385,Decimals)</f>
        <v/>
      </c>
      <c r="G385" s="69" t="str">
        <f>TEXT(ASTemp!G385,Decimals)</f>
        <v/>
      </c>
      <c r="H385" s="69" t="str">
        <f>TEXT(ASTemp!H385,Decimals)</f>
        <v/>
      </c>
      <c r="I385" s="69" t="str">
        <f>TEXT(ASTemp!I385,Decimals)</f>
        <v/>
      </c>
      <c r="J385" s="69" t="str">
        <f>TEXT(ASTemp!J385,Decimals)</f>
        <v/>
      </c>
      <c r="K385" s="69" t="str">
        <f>TEXT(ASTemp!K385,Decimals)</f>
        <v/>
      </c>
      <c r="L385" s="69" t="str">
        <f>TEXT(ASTemp!L385,Decimals)</f>
        <v/>
      </c>
      <c r="M385" s="71" t="str">
        <f>TEXT(ASTemp!M385,Percentages)</f>
        <v/>
      </c>
      <c r="N385" s="72" t="str">
        <f>TEXT(ASTemp!N385,Percentages)</f>
        <v/>
      </c>
    </row>
    <row r="386" ht="14.25" customHeight="1">
      <c r="B386" s="66" t="str">
        <f>ASTemp!B386</f>
        <v/>
      </c>
      <c r="C386" s="67" t="str">
        <f>ASTemp!C386</f>
        <v/>
      </c>
      <c r="D386" s="68" t="str">
        <f>ASTemp!D386</f>
        <v/>
      </c>
      <c r="E386" s="65" t="str">
        <f>ASTemp!E386</f>
        <v/>
      </c>
      <c r="F386" s="69" t="str">
        <f>TEXT(ASTemp!F386,Decimals)</f>
        <v/>
      </c>
      <c r="G386" s="69" t="str">
        <f>TEXT(ASTemp!G386,Decimals)</f>
        <v/>
      </c>
      <c r="H386" s="69" t="str">
        <f>TEXT(ASTemp!H386,Decimals)</f>
        <v/>
      </c>
      <c r="I386" s="69" t="str">
        <f>TEXT(ASTemp!I386,Decimals)</f>
        <v/>
      </c>
      <c r="J386" s="69" t="str">
        <f>TEXT(ASTemp!J386,Decimals)</f>
        <v/>
      </c>
      <c r="K386" s="69" t="str">
        <f>TEXT(ASTemp!K386,Decimals)</f>
        <v/>
      </c>
      <c r="L386" s="69" t="str">
        <f>TEXT(ASTemp!L386,Decimals)</f>
        <v/>
      </c>
      <c r="M386" s="71" t="str">
        <f>TEXT(ASTemp!M386,Percentages)</f>
        <v/>
      </c>
      <c r="N386" s="72" t="str">
        <f>TEXT(ASTemp!N386,Percentages)</f>
        <v/>
      </c>
    </row>
    <row r="387" ht="14.25" customHeight="1">
      <c r="B387" s="66" t="str">
        <f>ASTemp!B387</f>
        <v/>
      </c>
      <c r="C387" s="67" t="str">
        <f>ASTemp!C387</f>
        <v/>
      </c>
      <c r="D387" s="68" t="str">
        <f>ASTemp!D387</f>
        <v/>
      </c>
      <c r="E387" s="65" t="str">
        <f>ASTemp!E387</f>
        <v/>
      </c>
      <c r="F387" s="69" t="str">
        <f>TEXT(ASTemp!F387,Decimals)</f>
        <v/>
      </c>
      <c r="G387" s="69" t="str">
        <f>TEXT(ASTemp!G387,Decimals)</f>
        <v/>
      </c>
      <c r="H387" s="69" t="str">
        <f>TEXT(ASTemp!H387,Decimals)</f>
        <v/>
      </c>
      <c r="I387" s="69" t="str">
        <f>TEXT(ASTemp!I387,Decimals)</f>
        <v/>
      </c>
      <c r="J387" s="69" t="str">
        <f>TEXT(ASTemp!J387,Decimals)</f>
        <v/>
      </c>
      <c r="K387" s="69" t="str">
        <f>TEXT(ASTemp!K387,Decimals)</f>
        <v/>
      </c>
      <c r="L387" s="69" t="str">
        <f>TEXT(ASTemp!L387,Decimals)</f>
        <v/>
      </c>
      <c r="M387" s="71" t="str">
        <f>TEXT(ASTemp!M387,Percentages)</f>
        <v/>
      </c>
      <c r="N387" s="72" t="str">
        <f>TEXT(ASTemp!N387,Percentages)</f>
        <v/>
      </c>
    </row>
    <row r="388" ht="14.25" customHeight="1">
      <c r="B388" s="66" t="str">
        <f>ASTemp!B388</f>
        <v/>
      </c>
      <c r="C388" s="67" t="str">
        <f>ASTemp!C388</f>
        <v/>
      </c>
      <c r="D388" s="68" t="str">
        <f>ASTemp!D388</f>
        <v/>
      </c>
      <c r="E388" s="65" t="str">
        <f>ASTemp!E388</f>
        <v/>
      </c>
      <c r="F388" s="69" t="str">
        <f>TEXT(ASTemp!F388,Decimals)</f>
        <v/>
      </c>
      <c r="G388" s="69" t="str">
        <f>TEXT(ASTemp!G388,Decimals)</f>
        <v/>
      </c>
      <c r="H388" s="69" t="str">
        <f>TEXT(ASTemp!H388,Decimals)</f>
        <v/>
      </c>
      <c r="I388" s="69" t="str">
        <f>TEXT(ASTemp!I388,Decimals)</f>
        <v/>
      </c>
      <c r="J388" s="69" t="str">
        <f>TEXT(ASTemp!J388,Decimals)</f>
        <v/>
      </c>
      <c r="K388" s="69" t="str">
        <f>TEXT(ASTemp!K388,Decimals)</f>
        <v/>
      </c>
      <c r="L388" s="69" t="str">
        <f>TEXT(ASTemp!L388,Decimals)</f>
        <v/>
      </c>
      <c r="M388" s="71" t="str">
        <f>TEXT(ASTemp!M388,Percentages)</f>
        <v/>
      </c>
      <c r="N388" s="72" t="str">
        <f>TEXT(ASTemp!N388,Percentages)</f>
        <v/>
      </c>
    </row>
    <row r="389" ht="14.25" customHeight="1">
      <c r="B389" s="66" t="str">
        <f>ASTemp!B389</f>
        <v/>
      </c>
      <c r="C389" s="67" t="str">
        <f>ASTemp!C389</f>
        <v/>
      </c>
      <c r="D389" s="68" t="str">
        <f>ASTemp!D389</f>
        <v/>
      </c>
      <c r="E389" s="65" t="str">
        <f>ASTemp!E389</f>
        <v/>
      </c>
      <c r="F389" s="69" t="str">
        <f>TEXT(ASTemp!F389,Decimals)</f>
        <v/>
      </c>
      <c r="G389" s="69" t="str">
        <f>TEXT(ASTemp!G389,Decimals)</f>
        <v/>
      </c>
      <c r="H389" s="69" t="str">
        <f>TEXT(ASTemp!H389,Decimals)</f>
        <v/>
      </c>
      <c r="I389" s="69" t="str">
        <f>TEXT(ASTemp!I389,Decimals)</f>
        <v/>
      </c>
      <c r="J389" s="69" t="str">
        <f>TEXT(ASTemp!J389,Decimals)</f>
        <v/>
      </c>
      <c r="K389" s="69" t="str">
        <f>TEXT(ASTemp!K389,Decimals)</f>
        <v/>
      </c>
      <c r="L389" s="69" t="str">
        <f>TEXT(ASTemp!L389,Decimals)</f>
        <v/>
      </c>
      <c r="M389" s="71" t="str">
        <f>TEXT(ASTemp!M389,Percentages)</f>
        <v/>
      </c>
      <c r="N389" s="72" t="str">
        <f>TEXT(ASTemp!N389,Percentages)</f>
        <v/>
      </c>
    </row>
    <row r="390" ht="14.25" customHeight="1">
      <c r="B390" s="66" t="str">
        <f>ASTemp!B390</f>
        <v/>
      </c>
      <c r="C390" s="67" t="str">
        <f>ASTemp!C390</f>
        <v/>
      </c>
      <c r="D390" s="68" t="str">
        <f>ASTemp!D390</f>
        <v/>
      </c>
      <c r="E390" s="65" t="str">
        <f>ASTemp!E390</f>
        <v/>
      </c>
      <c r="F390" s="69" t="str">
        <f>TEXT(ASTemp!F390,Decimals)</f>
        <v/>
      </c>
      <c r="G390" s="69" t="str">
        <f>TEXT(ASTemp!G390,Decimals)</f>
        <v/>
      </c>
      <c r="H390" s="69" t="str">
        <f>TEXT(ASTemp!H390,Decimals)</f>
        <v/>
      </c>
      <c r="I390" s="69" t="str">
        <f>TEXT(ASTemp!I390,Decimals)</f>
        <v/>
      </c>
      <c r="J390" s="69" t="str">
        <f>TEXT(ASTemp!J390,Decimals)</f>
        <v/>
      </c>
      <c r="K390" s="69" t="str">
        <f>TEXT(ASTemp!K390,Decimals)</f>
        <v/>
      </c>
      <c r="L390" s="69" t="str">
        <f>TEXT(ASTemp!L390,Decimals)</f>
        <v/>
      </c>
      <c r="M390" s="71" t="str">
        <f>TEXT(ASTemp!M390,Percentages)</f>
        <v/>
      </c>
      <c r="N390" s="72" t="str">
        <f>TEXT(ASTemp!N390,Percentages)</f>
        <v/>
      </c>
    </row>
    <row r="391" ht="14.25" customHeight="1">
      <c r="B391" s="66" t="str">
        <f>ASTemp!B391</f>
        <v/>
      </c>
      <c r="C391" s="67" t="str">
        <f>ASTemp!C391</f>
        <v/>
      </c>
      <c r="D391" s="68" t="str">
        <f>ASTemp!D391</f>
        <v/>
      </c>
      <c r="E391" s="65" t="str">
        <f>ASTemp!E391</f>
        <v/>
      </c>
      <c r="F391" s="69" t="str">
        <f>TEXT(ASTemp!F391,Decimals)</f>
        <v/>
      </c>
      <c r="G391" s="69" t="str">
        <f>TEXT(ASTemp!G391,Decimals)</f>
        <v/>
      </c>
      <c r="H391" s="69" t="str">
        <f>TEXT(ASTemp!H391,Decimals)</f>
        <v/>
      </c>
      <c r="I391" s="69" t="str">
        <f>TEXT(ASTemp!I391,Decimals)</f>
        <v/>
      </c>
      <c r="J391" s="69" t="str">
        <f>TEXT(ASTemp!J391,Decimals)</f>
        <v/>
      </c>
      <c r="K391" s="69" t="str">
        <f>TEXT(ASTemp!K391,Decimals)</f>
        <v/>
      </c>
      <c r="L391" s="69" t="str">
        <f>TEXT(ASTemp!L391,Decimals)</f>
        <v/>
      </c>
      <c r="M391" s="71" t="str">
        <f>TEXT(ASTemp!M391,Percentages)</f>
        <v/>
      </c>
      <c r="N391" s="72" t="str">
        <f>TEXT(ASTemp!N391,Percentages)</f>
        <v/>
      </c>
    </row>
    <row r="392" ht="14.25" customHeight="1">
      <c r="B392" s="66" t="str">
        <f>ASTemp!B392</f>
        <v/>
      </c>
      <c r="C392" s="67" t="str">
        <f>ASTemp!C392</f>
        <v/>
      </c>
      <c r="D392" s="68" t="str">
        <f>ASTemp!D392</f>
        <v/>
      </c>
      <c r="E392" s="65" t="str">
        <f>ASTemp!E392</f>
        <v/>
      </c>
      <c r="F392" s="69" t="str">
        <f>TEXT(ASTemp!F392,Decimals)</f>
        <v/>
      </c>
      <c r="G392" s="69" t="str">
        <f>TEXT(ASTemp!G392,Decimals)</f>
        <v/>
      </c>
      <c r="H392" s="69" t="str">
        <f>TEXT(ASTemp!H392,Decimals)</f>
        <v/>
      </c>
      <c r="I392" s="69" t="str">
        <f>TEXT(ASTemp!I392,Decimals)</f>
        <v/>
      </c>
      <c r="J392" s="69" t="str">
        <f>TEXT(ASTemp!J392,Decimals)</f>
        <v/>
      </c>
      <c r="K392" s="69" t="str">
        <f>TEXT(ASTemp!K392,Decimals)</f>
        <v/>
      </c>
      <c r="L392" s="69" t="str">
        <f>TEXT(ASTemp!L392,Decimals)</f>
        <v/>
      </c>
      <c r="M392" s="71" t="str">
        <f>TEXT(ASTemp!M392,Percentages)</f>
        <v/>
      </c>
      <c r="N392" s="72" t="str">
        <f>TEXT(ASTemp!N392,Percentages)</f>
        <v/>
      </c>
    </row>
    <row r="393" ht="14.25" customHeight="1">
      <c r="B393" s="66" t="str">
        <f>ASTemp!B393</f>
        <v/>
      </c>
      <c r="C393" s="67" t="str">
        <f>ASTemp!C393</f>
        <v/>
      </c>
      <c r="D393" s="68" t="str">
        <f>ASTemp!D393</f>
        <v/>
      </c>
      <c r="E393" s="65" t="str">
        <f>ASTemp!E393</f>
        <v/>
      </c>
      <c r="F393" s="69" t="str">
        <f>TEXT(ASTemp!F393,Decimals)</f>
        <v/>
      </c>
      <c r="G393" s="69" t="str">
        <f>TEXT(ASTemp!G393,Decimals)</f>
        <v/>
      </c>
      <c r="H393" s="69" t="str">
        <f>TEXT(ASTemp!H393,Decimals)</f>
        <v/>
      </c>
      <c r="I393" s="69" t="str">
        <f>TEXT(ASTemp!I393,Decimals)</f>
        <v/>
      </c>
      <c r="J393" s="69" t="str">
        <f>TEXT(ASTemp!J393,Decimals)</f>
        <v/>
      </c>
      <c r="K393" s="69" t="str">
        <f>TEXT(ASTemp!K393,Decimals)</f>
        <v/>
      </c>
      <c r="L393" s="69" t="str">
        <f>TEXT(ASTemp!L393,Decimals)</f>
        <v/>
      </c>
      <c r="M393" s="71" t="str">
        <f>TEXT(ASTemp!M393,Percentages)</f>
        <v/>
      </c>
      <c r="N393" s="72" t="str">
        <f>TEXT(ASTemp!N393,Percentages)</f>
        <v/>
      </c>
    </row>
    <row r="394" ht="14.25" customHeight="1">
      <c r="B394" s="66" t="str">
        <f>ASTemp!B394</f>
        <v/>
      </c>
      <c r="C394" s="67" t="str">
        <f>ASTemp!C394</f>
        <v/>
      </c>
      <c r="D394" s="68" t="str">
        <f>ASTemp!D394</f>
        <v/>
      </c>
      <c r="E394" s="65" t="str">
        <f>ASTemp!E394</f>
        <v/>
      </c>
      <c r="F394" s="69" t="str">
        <f>TEXT(ASTemp!F394,Decimals)</f>
        <v/>
      </c>
      <c r="G394" s="69" t="str">
        <f>TEXT(ASTemp!G394,Decimals)</f>
        <v/>
      </c>
      <c r="H394" s="69" t="str">
        <f>TEXT(ASTemp!H394,Decimals)</f>
        <v/>
      </c>
      <c r="I394" s="69" t="str">
        <f>TEXT(ASTemp!I394,Decimals)</f>
        <v/>
      </c>
      <c r="J394" s="69" t="str">
        <f>TEXT(ASTemp!J394,Decimals)</f>
        <v/>
      </c>
      <c r="K394" s="69" t="str">
        <f>TEXT(ASTemp!K394,Decimals)</f>
        <v/>
      </c>
      <c r="L394" s="69" t="str">
        <f>TEXT(ASTemp!L394,Decimals)</f>
        <v/>
      </c>
      <c r="M394" s="71" t="str">
        <f>TEXT(ASTemp!M394,Percentages)</f>
        <v/>
      </c>
      <c r="N394" s="72" t="str">
        <f>TEXT(ASTemp!N394,Percentages)</f>
        <v/>
      </c>
    </row>
    <row r="395" ht="14.25" customHeight="1">
      <c r="B395" s="66" t="str">
        <f>ASTemp!B395</f>
        <v/>
      </c>
      <c r="C395" s="67" t="str">
        <f>ASTemp!C395</f>
        <v/>
      </c>
      <c r="D395" s="68" t="str">
        <f>ASTemp!D395</f>
        <v/>
      </c>
      <c r="E395" s="65" t="str">
        <f>ASTemp!E395</f>
        <v/>
      </c>
      <c r="F395" s="69" t="str">
        <f>TEXT(ASTemp!F395,Decimals)</f>
        <v/>
      </c>
      <c r="G395" s="69" t="str">
        <f>TEXT(ASTemp!G395,Decimals)</f>
        <v/>
      </c>
      <c r="H395" s="69" t="str">
        <f>TEXT(ASTemp!H395,Decimals)</f>
        <v/>
      </c>
      <c r="I395" s="69" t="str">
        <f>TEXT(ASTemp!I395,Decimals)</f>
        <v/>
      </c>
      <c r="J395" s="69" t="str">
        <f>TEXT(ASTemp!J395,Decimals)</f>
        <v/>
      </c>
      <c r="K395" s="69" t="str">
        <f>TEXT(ASTemp!K395,Decimals)</f>
        <v/>
      </c>
      <c r="L395" s="69" t="str">
        <f>TEXT(ASTemp!L395,Decimals)</f>
        <v/>
      </c>
      <c r="M395" s="71" t="str">
        <f>TEXT(ASTemp!M395,Percentages)</f>
        <v/>
      </c>
      <c r="N395" s="72" t="str">
        <f>TEXT(ASTemp!N395,Percentages)</f>
        <v/>
      </c>
    </row>
    <row r="396" ht="14.25" customHeight="1">
      <c r="B396" s="66" t="str">
        <f>ASTemp!B396</f>
        <v/>
      </c>
      <c r="C396" s="67" t="str">
        <f>ASTemp!C396</f>
        <v/>
      </c>
      <c r="D396" s="68" t="str">
        <f>ASTemp!D396</f>
        <v/>
      </c>
      <c r="E396" s="65" t="str">
        <f>ASTemp!E396</f>
        <v/>
      </c>
      <c r="F396" s="69" t="str">
        <f>TEXT(ASTemp!F396,Decimals)</f>
        <v/>
      </c>
      <c r="G396" s="69" t="str">
        <f>TEXT(ASTemp!G396,Decimals)</f>
        <v/>
      </c>
      <c r="H396" s="69" t="str">
        <f>TEXT(ASTemp!H396,Decimals)</f>
        <v/>
      </c>
      <c r="I396" s="69" t="str">
        <f>TEXT(ASTemp!I396,Decimals)</f>
        <v/>
      </c>
      <c r="J396" s="69" t="str">
        <f>TEXT(ASTemp!J396,Decimals)</f>
        <v/>
      </c>
      <c r="K396" s="69" t="str">
        <f>TEXT(ASTemp!K396,Decimals)</f>
        <v/>
      </c>
      <c r="L396" s="69" t="str">
        <f>TEXT(ASTemp!L396,Decimals)</f>
        <v/>
      </c>
      <c r="M396" s="71" t="str">
        <f>TEXT(ASTemp!M396,Percentages)</f>
        <v/>
      </c>
      <c r="N396" s="72" t="str">
        <f>TEXT(ASTemp!N396,Percentages)</f>
        <v/>
      </c>
    </row>
    <row r="397" ht="14.25" customHeight="1">
      <c r="B397" s="66" t="str">
        <f>ASTemp!B397</f>
        <v/>
      </c>
      <c r="C397" s="67" t="str">
        <f>ASTemp!C397</f>
        <v/>
      </c>
      <c r="D397" s="68" t="str">
        <f>ASTemp!D397</f>
        <v/>
      </c>
      <c r="E397" s="65" t="str">
        <f>ASTemp!E397</f>
        <v/>
      </c>
      <c r="F397" s="69" t="str">
        <f>TEXT(ASTemp!F397,Decimals)</f>
        <v/>
      </c>
      <c r="G397" s="69" t="str">
        <f>TEXT(ASTemp!G397,Decimals)</f>
        <v/>
      </c>
      <c r="H397" s="69" t="str">
        <f>TEXT(ASTemp!H397,Decimals)</f>
        <v/>
      </c>
      <c r="I397" s="69" t="str">
        <f>TEXT(ASTemp!I397,Decimals)</f>
        <v/>
      </c>
      <c r="J397" s="69" t="str">
        <f>TEXT(ASTemp!J397,Decimals)</f>
        <v/>
      </c>
      <c r="K397" s="69" t="str">
        <f>TEXT(ASTemp!K397,Decimals)</f>
        <v/>
      </c>
      <c r="L397" s="69" t="str">
        <f>TEXT(ASTemp!L397,Decimals)</f>
        <v/>
      </c>
      <c r="M397" s="71" t="str">
        <f>TEXT(ASTemp!M397,Percentages)</f>
        <v/>
      </c>
      <c r="N397" s="72" t="str">
        <f>TEXT(ASTemp!N397,Percentages)</f>
        <v/>
      </c>
    </row>
    <row r="398" ht="14.25" customHeight="1">
      <c r="B398" s="66" t="str">
        <f>ASTemp!B398</f>
        <v/>
      </c>
      <c r="C398" s="67" t="str">
        <f>ASTemp!C398</f>
        <v/>
      </c>
      <c r="D398" s="68" t="str">
        <f>ASTemp!D398</f>
        <v/>
      </c>
      <c r="E398" s="65" t="str">
        <f>ASTemp!E398</f>
        <v/>
      </c>
      <c r="F398" s="69" t="str">
        <f>TEXT(ASTemp!F398,Decimals)</f>
        <v/>
      </c>
      <c r="G398" s="69" t="str">
        <f>TEXT(ASTemp!G398,Decimals)</f>
        <v/>
      </c>
      <c r="H398" s="69" t="str">
        <f>TEXT(ASTemp!H398,Decimals)</f>
        <v/>
      </c>
      <c r="I398" s="69" t="str">
        <f>TEXT(ASTemp!I398,Decimals)</f>
        <v/>
      </c>
      <c r="J398" s="69" t="str">
        <f>TEXT(ASTemp!J398,Decimals)</f>
        <v/>
      </c>
      <c r="K398" s="69" t="str">
        <f>TEXT(ASTemp!K398,Decimals)</f>
        <v/>
      </c>
      <c r="L398" s="69" t="str">
        <f>TEXT(ASTemp!L398,Decimals)</f>
        <v/>
      </c>
      <c r="M398" s="71" t="str">
        <f>TEXT(ASTemp!M398,Percentages)</f>
        <v/>
      </c>
      <c r="N398" s="72" t="str">
        <f>TEXT(ASTemp!N398,Percentages)</f>
        <v/>
      </c>
    </row>
    <row r="399" ht="14.25" customHeight="1">
      <c r="B399" s="66" t="str">
        <f>ASTemp!B399</f>
        <v/>
      </c>
      <c r="C399" s="67" t="str">
        <f>ASTemp!C399</f>
        <v/>
      </c>
      <c r="D399" s="68" t="str">
        <f>ASTemp!D399</f>
        <v/>
      </c>
      <c r="E399" s="65" t="str">
        <f>ASTemp!E399</f>
        <v/>
      </c>
      <c r="F399" s="69" t="str">
        <f>TEXT(ASTemp!F399,Decimals)</f>
        <v/>
      </c>
      <c r="G399" s="69" t="str">
        <f>TEXT(ASTemp!G399,Decimals)</f>
        <v/>
      </c>
      <c r="H399" s="69" t="str">
        <f>TEXT(ASTemp!H399,Decimals)</f>
        <v/>
      </c>
      <c r="I399" s="69" t="str">
        <f>TEXT(ASTemp!I399,Decimals)</f>
        <v/>
      </c>
      <c r="J399" s="69" t="str">
        <f>TEXT(ASTemp!J399,Decimals)</f>
        <v/>
      </c>
      <c r="K399" s="69" t="str">
        <f>TEXT(ASTemp!K399,Decimals)</f>
        <v/>
      </c>
      <c r="L399" s="69" t="str">
        <f>TEXT(ASTemp!L399,Decimals)</f>
        <v/>
      </c>
      <c r="M399" s="71" t="str">
        <f>TEXT(ASTemp!M399,Percentages)</f>
        <v/>
      </c>
      <c r="N399" s="72" t="str">
        <f>TEXT(ASTemp!N399,Percentages)</f>
        <v/>
      </c>
    </row>
    <row r="400" ht="14.25" customHeight="1">
      <c r="B400" s="66" t="str">
        <f>ASTemp!B400</f>
        <v/>
      </c>
      <c r="C400" s="67" t="str">
        <f>ASTemp!C400</f>
        <v/>
      </c>
      <c r="D400" s="68" t="str">
        <f>ASTemp!D400</f>
        <v/>
      </c>
      <c r="E400" s="65" t="str">
        <f>ASTemp!E400</f>
        <v/>
      </c>
      <c r="F400" s="69" t="str">
        <f>TEXT(ASTemp!F400,Decimals)</f>
        <v/>
      </c>
      <c r="G400" s="69" t="str">
        <f>TEXT(ASTemp!G400,Decimals)</f>
        <v/>
      </c>
      <c r="H400" s="69" t="str">
        <f>TEXT(ASTemp!H400,Decimals)</f>
        <v/>
      </c>
      <c r="I400" s="69" t="str">
        <f>TEXT(ASTemp!I400,Decimals)</f>
        <v/>
      </c>
      <c r="J400" s="69" t="str">
        <f>TEXT(ASTemp!J400,Decimals)</f>
        <v/>
      </c>
      <c r="K400" s="69" t="str">
        <f>TEXT(ASTemp!K400,Decimals)</f>
        <v/>
      </c>
      <c r="L400" s="69" t="str">
        <f>TEXT(ASTemp!L400,Decimals)</f>
        <v/>
      </c>
      <c r="M400" s="71" t="str">
        <f>TEXT(ASTemp!M400,Percentages)</f>
        <v/>
      </c>
      <c r="N400" s="72" t="str">
        <f>TEXT(ASTemp!N400,Percentages)</f>
        <v/>
      </c>
    </row>
    <row r="401" ht="14.25" customHeight="1">
      <c r="B401" s="66" t="str">
        <f>ASTemp!B401</f>
        <v/>
      </c>
      <c r="C401" s="67" t="str">
        <f>ASTemp!C401</f>
        <v/>
      </c>
      <c r="D401" s="68" t="str">
        <f>ASTemp!D401</f>
        <v/>
      </c>
      <c r="E401" s="65" t="str">
        <f>ASTemp!E401</f>
        <v/>
      </c>
      <c r="F401" s="69" t="str">
        <f>TEXT(ASTemp!F401,Decimals)</f>
        <v/>
      </c>
      <c r="G401" s="69" t="str">
        <f>TEXT(ASTemp!G401,Decimals)</f>
        <v/>
      </c>
      <c r="H401" s="69" t="str">
        <f>TEXT(ASTemp!H401,Decimals)</f>
        <v/>
      </c>
      <c r="I401" s="69" t="str">
        <f>TEXT(ASTemp!I401,Decimals)</f>
        <v/>
      </c>
      <c r="J401" s="69" t="str">
        <f>TEXT(ASTemp!J401,Decimals)</f>
        <v/>
      </c>
      <c r="K401" s="69" t="str">
        <f>TEXT(ASTemp!K401,Decimals)</f>
        <v/>
      </c>
      <c r="L401" s="69" t="str">
        <f>TEXT(ASTemp!L401,Decimals)</f>
        <v/>
      </c>
      <c r="M401" s="71" t="str">
        <f>TEXT(ASTemp!M401,Percentages)</f>
        <v/>
      </c>
      <c r="N401" s="72" t="str">
        <f>TEXT(ASTemp!N401,Percentages)</f>
        <v/>
      </c>
    </row>
    <row r="402" ht="14.25" customHeight="1">
      <c r="B402" s="66" t="str">
        <f>ASTemp!B402</f>
        <v/>
      </c>
      <c r="C402" s="67" t="str">
        <f>ASTemp!C402</f>
        <v/>
      </c>
      <c r="D402" s="68" t="str">
        <f>ASTemp!D402</f>
        <v/>
      </c>
      <c r="E402" s="65" t="str">
        <f>ASTemp!E402</f>
        <v/>
      </c>
      <c r="F402" s="69" t="str">
        <f>TEXT(ASTemp!F402,Decimals)</f>
        <v/>
      </c>
      <c r="G402" s="69" t="str">
        <f>TEXT(ASTemp!G402,Decimals)</f>
        <v/>
      </c>
      <c r="H402" s="69" t="str">
        <f>TEXT(ASTemp!H402,Decimals)</f>
        <v/>
      </c>
      <c r="I402" s="69" t="str">
        <f>TEXT(ASTemp!I402,Decimals)</f>
        <v/>
      </c>
      <c r="J402" s="69" t="str">
        <f>TEXT(ASTemp!J402,Decimals)</f>
        <v/>
      </c>
      <c r="K402" s="69" t="str">
        <f>TEXT(ASTemp!K402,Decimals)</f>
        <v/>
      </c>
      <c r="L402" s="69" t="str">
        <f>TEXT(ASTemp!L402,Decimals)</f>
        <v/>
      </c>
      <c r="M402" s="71" t="str">
        <f>TEXT(ASTemp!M402,Percentages)</f>
        <v/>
      </c>
      <c r="N402" s="72" t="str">
        <f>TEXT(ASTemp!N402,Percentages)</f>
        <v/>
      </c>
    </row>
    <row r="403" ht="14.25" customHeight="1">
      <c r="B403" s="66" t="str">
        <f>ASTemp!B403</f>
        <v/>
      </c>
      <c r="C403" s="67" t="str">
        <f>ASTemp!C403</f>
        <v/>
      </c>
      <c r="D403" s="68" t="str">
        <f>ASTemp!D403</f>
        <v/>
      </c>
      <c r="E403" s="65" t="str">
        <f>ASTemp!E403</f>
        <v/>
      </c>
      <c r="F403" s="69" t="str">
        <f>TEXT(ASTemp!F403,Decimals)</f>
        <v/>
      </c>
      <c r="G403" s="69" t="str">
        <f>TEXT(ASTemp!G403,Decimals)</f>
        <v/>
      </c>
      <c r="H403" s="69" t="str">
        <f>TEXT(ASTemp!H403,Decimals)</f>
        <v/>
      </c>
      <c r="I403" s="69" t="str">
        <f>TEXT(ASTemp!I403,Decimals)</f>
        <v/>
      </c>
      <c r="J403" s="69" t="str">
        <f>TEXT(ASTemp!J403,Decimals)</f>
        <v/>
      </c>
      <c r="K403" s="69" t="str">
        <f>TEXT(ASTemp!K403,Decimals)</f>
        <v/>
      </c>
      <c r="L403" s="69" t="str">
        <f>TEXT(ASTemp!L403,Decimals)</f>
        <v/>
      </c>
      <c r="M403" s="71" t="str">
        <f>TEXT(ASTemp!M403,Percentages)</f>
        <v/>
      </c>
      <c r="N403" s="72" t="str">
        <f>TEXT(ASTemp!N403,Percentages)</f>
        <v/>
      </c>
    </row>
    <row r="404" ht="14.25" customHeight="1">
      <c r="B404" s="66" t="str">
        <f>ASTemp!B404</f>
        <v/>
      </c>
      <c r="C404" s="67" t="str">
        <f>ASTemp!C404</f>
        <v/>
      </c>
      <c r="D404" s="68" t="str">
        <f>ASTemp!D404</f>
        <v/>
      </c>
      <c r="E404" s="65" t="str">
        <f>ASTemp!E404</f>
        <v/>
      </c>
      <c r="F404" s="69" t="str">
        <f>TEXT(ASTemp!F404,Decimals)</f>
        <v/>
      </c>
      <c r="G404" s="69" t="str">
        <f>TEXT(ASTemp!G404,Decimals)</f>
        <v/>
      </c>
      <c r="H404" s="69" t="str">
        <f>TEXT(ASTemp!H404,Decimals)</f>
        <v/>
      </c>
      <c r="I404" s="69" t="str">
        <f>TEXT(ASTemp!I404,Decimals)</f>
        <v/>
      </c>
      <c r="J404" s="69" t="str">
        <f>TEXT(ASTemp!J404,Decimals)</f>
        <v/>
      </c>
      <c r="K404" s="69" t="str">
        <f>TEXT(ASTemp!K404,Decimals)</f>
        <v/>
      </c>
      <c r="L404" s="69" t="str">
        <f>TEXT(ASTemp!L404,Decimals)</f>
        <v/>
      </c>
      <c r="M404" s="71" t="str">
        <f>TEXT(ASTemp!M404,Percentages)</f>
        <v/>
      </c>
      <c r="N404" s="72" t="str">
        <f>TEXT(ASTemp!N404,Percentages)</f>
        <v/>
      </c>
    </row>
    <row r="405" ht="14.25" customHeight="1">
      <c r="B405" s="66" t="str">
        <f>ASTemp!B405</f>
        <v/>
      </c>
      <c r="C405" s="67" t="str">
        <f>ASTemp!C405</f>
        <v/>
      </c>
      <c r="D405" s="68" t="str">
        <f>ASTemp!D405</f>
        <v/>
      </c>
      <c r="E405" s="65" t="str">
        <f>ASTemp!E405</f>
        <v/>
      </c>
      <c r="F405" s="69" t="str">
        <f>TEXT(ASTemp!F405,Decimals)</f>
        <v/>
      </c>
      <c r="G405" s="69" t="str">
        <f>TEXT(ASTemp!G405,Decimals)</f>
        <v/>
      </c>
      <c r="H405" s="69" t="str">
        <f>TEXT(ASTemp!H405,Decimals)</f>
        <v/>
      </c>
      <c r="I405" s="69" t="str">
        <f>TEXT(ASTemp!I405,Decimals)</f>
        <v/>
      </c>
      <c r="J405" s="69" t="str">
        <f>TEXT(ASTemp!J405,Decimals)</f>
        <v/>
      </c>
      <c r="K405" s="69" t="str">
        <f>TEXT(ASTemp!K405,Decimals)</f>
        <v/>
      </c>
      <c r="L405" s="69" t="str">
        <f>TEXT(ASTemp!L405,Decimals)</f>
        <v/>
      </c>
      <c r="M405" s="71" t="str">
        <f>TEXT(ASTemp!M405,Percentages)</f>
        <v/>
      </c>
      <c r="N405" s="72" t="str">
        <f>TEXT(ASTemp!N405,Percentages)</f>
        <v/>
      </c>
    </row>
    <row r="406" ht="14.25" customHeight="1">
      <c r="B406" s="66" t="str">
        <f>ASTemp!B406</f>
        <v/>
      </c>
      <c r="C406" s="67" t="str">
        <f>ASTemp!C406</f>
        <v/>
      </c>
      <c r="D406" s="68" t="str">
        <f>ASTemp!D406</f>
        <v/>
      </c>
      <c r="E406" s="65" t="str">
        <f>ASTemp!E406</f>
        <v/>
      </c>
      <c r="F406" s="69" t="str">
        <f>TEXT(ASTemp!F406,Decimals)</f>
        <v/>
      </c>
      <c r="G406" s="69" t="str">
        <f>TEXT(ASTemp!G406,Decimals)</f>
        <v/>
      </c>
      <c r="H406" s="69" t="str">
        <f>TEXT(ASTemp!H406,Decimals)</f>
        <v/>
      </c>
      <c r="I406" s="69" t="str">
        <f>TEXT(ASTemp!I406,Decimals)</f>
        <v/>
      </c>
      <c r="J406" s="69" t="str">
        <f>TEXT(ASTemp!J406,Decimals)</f>
        <v/>
      </c>
      <c r="K406" s="69" t="str">
        <f>TEXT(ASTemp!K406,Decimals)</f>
        <v/>
      </c>
      <c r="L406" s="69" t="str">
        <f>TEXT(ASTemp!L406,Decimals)</f>
        <v/>
      </c>
      <c r="M406" s="71" t="str">
        <f>TEXT(ASTemp!M406,Percentages)</f>
        <v/>
      </c>
      <c r="N406" s="72" t="str">
        <f>TEXT(ASTemp!N406,Percentages)</f>
        <v/>
      </c>
    </row>
    <row r="407" ht="14.25" customHeight="1">
      <c r="B407" s="66" t="str">
        <f>ASTemp!B407</f>
        <v/>
      </c>
      <c r="C407" s="67" t="str">
        <f>ASTemp!C407</f>
        <v/>
      </c>
      <c r="D407" s="68" t="str">
        <f>ASTemp!D407</f>
        <v/>
      </c>
      <c r="E407" s="65" t="str">
        <f>ASTemp!E407</f>
        <v/>
      </c>
      <c r="F407" s="69" t="str">
        <f>TEXT(ASTemp!F407,Decimals)</f>
        <v/>
      </c>
      <c r="G407" s="69" t="str">
        <f>TEXT(ASTemp!G407,Decimals)</f>
        <v/>
      </c>
      <c r="H407" s="69" t="str">
        <f>TEXT(ASTemp!H407,Decimals)</f>
        <v/>
      </c>
      <c r="I407" s="69" t="str">
        <f>TEXT(ASTemp!I407,Decimals)</f>
        <v/>
      </c>
      <c r="J407" s="69" t="str">
        <f>TEXT(ASTemp!J407,Decimals)</f>
        <v/>
      </c>
      <c r="K407" s="69" t="str">
        <f>TEXT(ASTemp!K407,Decimals)</f>
        <v/>
      </c>
      <c r="L407" s="69" t="str">
        <f>TEXT(ASTemp!L407,Decimals)</f>
        <v/>
      </c>
      <c r="M407" s="71" t="str">
        <f>TEXT(ASTemp!M407,Percentages)</f>
        <v/>
      </c>
      <c r="N407" s="72" t="str">
        <f>TEXT(ASTemp!N407,Percentages)</f>
        <v/>
      </c>
    </row>
    <row r="408" ht="14.25" customHeight="1">
      <c r="B408" s="66" t="str">
        <f>ASTemp!B408</f>
        <v/>
      </c>
      <c r="C408" s="67" t="str">
        <f>ASTemp!C408</f>
        <v/>
      </c>
      <c r="D408" s="68" t="str">
        <f>ASTemp!D408</f>
        <v/>
      </c>
      <c r="E408" s="65" t="str">
        <f>ASTemp!E408</f>
        <v/>
      </c>
      <c r="F408" s="69" t="str">
        <f>TEXT(ASTemp!F408,Decimals)</f>
        <v/>
      </c>
      <c r="G408" s="69" t="str">
        <f>TEXT(ASTemp!G408,Decimals)</f>
        <v/>
      </c>
      <c r="H408" s="69" t="str">
        <f>TEXT(ASTemp!H408,Decimals)</f>
        <v/>
      </c>
      <c r="I408" s="69" t="str">
        <f>TEXT(ASTemp!I408,Decimals)</f>
        <v/>
      </c>
      <c r="J408" s="69" t="str">
        <f>TEXT(ASTemp!J408,Decimals)</f>
        <v/>
      </c>
      <c r="K408" s="69" t="str">
        <f>TEXT(ASTemp!K408,Decimals)</f>
        <v/>
      </c>
      <c r="L408" s="69" t="str">
        <f>TEXT(ASTemp!L408,Decimals)</f>
        <v/>
      </c>
      <c r="M408" s="71" t="str">
        <f>TEXT(ASTemp!M408,Percentages)</f>
        <v/>
      </c>
      <c r="N408" s="72" t="str">
        <f>TEXT(ASTemp!N408,Percentages)</f>
        <v/>
      </c>
    </row>
    <row r="409" ht="14.25" customHeight="1">
      <c r="B409" s="66" t="str">
        <f>ASTemp!B409</f>
        <v/>
      </c>
      <c r="C409" s="67" t="str">
        <f>ASTemp!C409</f>
        <v/>
      </c>
      <c r="D409" s="68" t="str">
        <f>ASTemp!D409</f>
        <v/>
      </c>
      <c r="E409" s="65" t="str">
        <f>ASTemp!E409</f>
        <v/>
      </c>
      <c r="F409" s="69" t="str">
        <f>TEXT(ASTemp!F409,Decimals)</f>
        <v/>
      </c>
      <c r="G409" s="69" t="str">
        <f>TEXT(ASTemp!G409,Decimals)</f>
        <v/>
      </c>
      <c r="H409" s="69" t="str">
        <f>TEXT(ASTemp!H409,Decimals)</f>
        <v/>
      </c>
      <c r="I409" s="69" t="str">
        <f>TEXT(ASTemp!I409,Decimals)</f>
        <v/>
      </c>
      <c r="J409" s="69" t="str">
        <f>TEXT(ASTemp!J409,Decimals)</f>
        <v/>
      </c>
      <c r="K409" s="69" t="str">
        <f>TEXT(ASTemp!K409,Decimals)</f>
        <v/>
      </c>
      <c r="L409" s="69" t="str">
        <f>TEXT(ASTemp!L409,Decimals)</f>
        <v/>
      </c>
      <c r="M409" s="71" t="str">
        <f>TEXT(ASTemp!M409,Percentages)</f>
        <v/>
      </c>
      <c r="N409" s="72" t="str">
        <f>TEXT(ASTemp!N409,Percentages)</f>
        <v/>
      </c>
    </row>
    <row r="410" ht="14.25" customHeight="1">
      <c r="B410" s="66" t="str">
        <f>ASTemp!B410</f>
        <v/>
      </c>
      <c r="C410" s="67" t="str">
        <f>ASTemp!C410</f>
        <v/>
      </c>
      <c r="D410" s="68" t="str">
        <f>ASTemp!D410</f>
        <v/>
      </c>
      <c r="E410" s="65" t="str">
        <f>ASTemp!E410</f>
        <v/>
      </c>
      <c r="F410" s="69" t="str">
        <f>TEXT(ASTemp!F410,Decimals)</f>
        <v/>
      </c>
      <c r="G410" s="69" t="str">
        <f>TEXT(ASTemp!G410,Decimals)</f>
        <v/>
      </c>
      <c r="H410" s="69" t="str">
        <f>TEXT(ASTemp!H410,Decimals)</f>
        <v/>
      </c>
      <c r="I410" s="69" t="str">
        <f>TEXT(ASTemp!I410,Decimals)</f>
        <v/>
      </c>
      <c r="J410" s="69" t="str">
        <f>TEXT(ASTemp!J410,Decimals)</f>
        <v/>
      </c>
      <c r="K410" s="69" t="str">
        <f>TEXT(ASTemp!K410,Decimals)</f>
        <v/>
      </c>
      <c r="L410" s="69" t="str">
        <f>TEXT(ASTemp!L410,Decimals)</f>
        <v/>
      </c>
      <c r="M410" s="71" t="str">
        <f>TEXT(ASTemp!M410,Percentages)</f>
        <v/>
      </c>
      <c r="N410" s="72" t="str">
        <f>TEXT(ASTemp!N410,Percentages)</f>
        <v/>
      </c>
    </row>
    <row r="411" ht="14.25" customHeight="1">
      <c r="B411" s="66" t="str">
        <f>ASTemp!B411</f>
        <v/>
      </c>
      <c r="C411" s="67" t="str">
        <f>ASTemp!C411</f>
        <v/>
      </c>
      <c r="D411" s="68" t="str">
        <f>ASTemp!D411</f>
        <v/>
      </c>
      <c r="E411" s="65" t="str">
        <f>ASTemp!E411</f>
        <v/>
      </c>
      <c r="F411" s="69" t="str">
        <f>TEXT(ASTemp!F411,Decimals)</f>
        <v/>
      </c>
      <c r="G411" s="69" t="str">
        <f>TEXT(ASTemp!G411,Decimals)</f>
        <v/>
      </c>
      <c r="H411" s="69" t="str">
        <f>TEXT(ASTemp!H411,Decimals)</f>
        <v/>
      </c>
      <c r="I411" s="69" t="str">
        <f>TEXT(ASTemp!I411,Decimals)</f>
        <v/>
      </c>
      <c r="J411" s="69" t="str">
        <f>TEXT(ASTemp!J411,Decimals)</f>
        <v/>
      </c>
      <c r="K411" s="69" t="str">
        <f>TEXT(ASTemp!K411,Decimals)</f>
        <v/>
      </c>
      <c r="L411" s="69" t="str">
        <f>TEXT(ASTemp!L411,Decimals)</f>
        <v/>
      </c>
      <c r="M411" s="71" t="str">
        <f>TEXT(ASTemp!M411,Percentages)</f>
        <v/>
      </c>
      <c r="N411" s="72" t="str">
        <f>TEXT(ASTemp!N411,Percentages)</f>
        <v/>
      </c>
    </row>
    <row r="412" ht="14.25" customHeight="1">
      <c r="B412" s="66" t="str">
        <f>ASTemp!B412</f>
        <v/>
      </c>
      <c r="C412" s="67" t="str">
        <f>ASTemp!C412</f>
        <v/>
      </c>
      <c r="D412" s="68" t="str">
        <f>ASTemp!D412</f>
        <v/>
      </c>
      <c r="E412" s="65" t="str">
        <f>ASTemp!E412</f>
        <v/>
      </c>
      <c r="F412" s="69" t="str">
        <f>TEXT(ASTemp!F412,Decimals)</f>
        <v/>
      </c>
      <c r="G412" s="69" t="str">
        <f>TEXT(ASTemp!G412,Decimals)</f>
        <v/>
      </c>
      <c r="H412" s="69" t="str">
        <f>TEXT(ASTemp!H412,Decimals)</f>
        <v/>
      </c>
      <c r="I412" s="69" t="str">
        <f>TEXT(ASTemp!I412,Decimals)</f>
        <v/>
      </c>
      <c r="J412" s="69" t="str">
        <f>TEXT(ASTemp!J412,Decimals)</f>
        <v/>
      </c>
      <c r="K412" s="69" t="str">
        <f>TEXT(ASTemp!K412,Decimals)</f>
        <v/>
      </c>
      <c r="L412" s="69" t="str">
        <f>TEXT(ASTemp!L412,Decimals)</f>
        <v/>
      </c>
      <c r="M412" s="71" t="str">
        <f>TEXT(ASTemp!M412,Percentages)</f>
        <v/>
      </c>
      <c r="N412" s="72" t="str">
        <f>TEXT(ASTemp!N412,Percentages)</f>
        <v/>
      </c>
    </row>
    <row r="413" ht="14.25" customHeight="1">
      <c r="B413" s="66" t="str">
        <f>ASTemp!B413</f>
        <v/>
      </c>
      <c r="C413" s="67" t="str">
        <f>ASTemp!C413</f>
        <v/>
      </c>
      <c r="D413" s="68" t="str">
        <f>ASTemp!D413</f>
        <v/>
      </c>
      <c r="E413" s="65" t="str">
        <f>ASTemp!E413</f>
        <v/>
      </c>
      <c r="F413" s="69" t="str">
        <f>TEXT(ASTemp!F413,Decimals)</f>
        <v/>
      </c>
      <c r="G413" s="69" t="str">
        <f>TEXT(ASTemp!G413,Decimals)</f>
        <v/>
      </c>
      <c r="H413" s="69" t="str">
        <f>TEXT(ASTemp!H413,Decimals)</f>
        <v/>
      </c>
      <c r="I413" s="69" t="str">
        <f>TEXT(ASTemp!I413,Decimals)</f>
        <v/>
      </c>
      <c r="J413" s="69" t="str">
        <f>TEXT(ASTemp!J413,Decimals)</f>
        <v/>
      </c>
      <c r="K413" s="69" t="str">
        <f>TEXT(ASTemp!K413,Decimals)</f>
        <v/>
      </c>
      <c r="L413" s="69" t="str">
        <f>TEXT(ASTemp!L413,Decimals)</f>
        <v/>
      </c>
      <c r="M413" s="71" t="str">
        <f>TEXT(ASTemp!M413,Percentages)</f>
        <v/>
      </c>
      <c r="N413" s="72" t="str">
        <f>TEXT(ASTemp!N413,Percentages)</f>
        <v/>
      </c>
    </row>
    <row r="414" ht="14.25" customHeight="1">
      <c r="B414" s="66" t="str">
        <f>ASTemp!B414</f>
        <v/>
      </c>
      <c r="C414" s="67" t="str">
        <f>ASTemp!C414</f>
        <v/>
      </c>
      <c r="D414" s="68" t="str">
        <f>ASTemp!D414</f>
        <v/>
      </c>
      <c r="E414" s="65" t="str">
        <f>ASTemp!E414</f>
        <v/>
      </c>
      <c r="F414" s="69" t="str">
        <f>TEXT(ASTemp!F414,Decimals)</f>
        <v/>
      </c>
      <c r="G414" s="69" t="str">
        <f>TEXT(ASTemp!G414,Decimals)</f>
        <v/>
      </c>
      <c r="H414" s="69" t="str">
        <f>TEXT(ASTemp!H414,Decimals)</f>
        <v/>
      </c>
      <c r="I414" s="69" t="str">
        <f>TEXT(ASTemp!I414,Decimals)</f>
        <v/>
      </c>
      <c r="J414" s="69" t="str">
        <f>TEXT(ASTemp!J414,Decimals)</f>
        <v/>
      </c>
      <c r="K414" s="69" t="str">
        <f>TEXT(ASTemp!K414,Decimals)</f>
        <v/>
      </c>
      <c r="L414" s="69" t="str">
        <f>TEXT(ASTemp!L414,Decimals)</f>
        <v/>
      </c>
      <c r="M414" s="71" t="str">
        <f>TEXT(ASTemp!M414,Percentages)</f>
        <v/>
      </c>
      <c r="N414" s="72" t="str">
        <f>TEXT(ASTemp!N414,Percentages)</f>
        <v/>
      </c>
    </row>
    <row r="415" ht="14.25" customHeight="1">
      <c r="B415" s="66" t="str">
        <f>ASTemp!B415</f>
        <v/>
      </c>
      <c r="C415" s="67" t="str">
        <f>ASTemp!C415</f>
        <v/>
      </c>
      <c r="D415" s="68" t="str">
        <f>ASTemp!D415</f>
        <v/>
      </c>
      <c r="E415" s="65" t="str">
        <f>ASTemp!E415</f>
        <v/>
      </c>
      <c r="F415" s="69" t="str">
        <f>TEXT(ASTemp!F415,Decimals)</f>
        <v/>
      </c>
      <c r="G415" s="69" t="str">
        <f>TEXT(ASTemp!G415,Decimals)</f>
        <v/>
      </c>
      <c r="H415" s="69" t="str">
        <f>TEXT(ASTemp!H415,Decimals)</f>
        <v/>
      </c>
      <c r="I415" s="69" t="str">
        <f>TEXT(ASTemp!I415,Decimals)</f>
        <v/>
      </c>
      <c r="J415" s="69" t="str">
        <f>TEXT(ASTemp!J415,Decimals)</f>
        <v/>
      </c>
      <c r="K415" s="69" t="str">
        <f>TEXT(ASTemp!K415,Decimals)</f>
        <v/>
      </c>
      <c r="L415" s="69" t="str">
        <f>TEXT(ASTemp!L415,Decimals)</f>
        <v/>
      </c>
      <c r="M415" s="71" t="str">
        <f>TEXT(ASTemp!M415,Percentages)</f>
        <v/>
      </c>
      <c r="N415" s="72" t="str">
        <f>TEXT(ASTemp!N415,Percentages)</f>
        <v/>
      </c>
    </row>
    <row r="416" ht="14.25" customHeight="1">
      <c r="B416" s="66" t="str">
        <f>ASTemp!B416</f>
        <v/>
      </c>
      <c r="C416" s="67" t="str">
        <f>ASTemp!C416</f>
        <v/>
      </c>
      <c r="D416" s="68" t="str">
        <f>ASTemp!D416</f>
        <v/>
      </c>
      <c r="E416" s="65" t="str">
        <f>ASTemp!E416</f>
        <v/>
      </c>
      <c r="F416" s="69" t="str">
        <f>TEXT(ASTemp!F416,Decimals)</f>
        <v/>
      </c>
      <c r="G416" s="69" t="str">
        <f>TEXT(ASTemp!G416,Decimals)</f>
        <v/>
      </c>
      <c r="H416" s="69" t="str">
        <f>TEXT(ASTemp!H416,Decimals)</f>
        <v/>
      </c>
      <c r="I416" s="69" t="str">
        <f>TEXT(ASTemp!I416,Decimals)</f>
        <v/>
      </c>
      <c r="J416" s="69" t="str">
        <f>TEXT(ASTemp!J416,Decimals)</f>
        <v/>
      </c>
      <c r="K416" s="69" t="str">
        <f>TEXT(ASTemp!K416,Decimals)</f>
        <v/>
      </c>
      <c r="L416" s="69" t="str">
        <f>TEXT(ASTemp!L416,Decimals)</f>
        <v/>
      </c>
      <c r="M416" s="71" t="str">
        <f>TEXT(ASTemp!M416,Percentages)</f>
        <v/>
      </c>
      <c r="N416" s="72" t="str">
        <f>TEXT(ASTemp!N416,Percentages)</f>
        <v/>
      </c>
    </row>
    <row r="417" ht="14.25" customHeight="1">
      <c r="B417" s="66" t="str">
        <f>ASTemp!B417</f>
        <v/>
      </c>
      <c r="C417" s="67" t="str">
        <f>ASTemp!C417</f>
        <v/>
      </c>
      <c r="D417" s="68" t="str">
        <f>ASTemp!D417</f>
        <v/>
      </c>
      <c r="E417" s="65" t="str">
        <f>ASTemp!E417</f>
        <v/>
      </c>
      <c r="F417" s="69" t="str">
        <f>TEXT(ASTemp!F417,Decimals)</f>
        <v/>
      </c>
      <c r="G417" s="69" t="str">
        <f>TEXT(ASTemp!G417,Decimals)</f>
        <v/>
      </c>
      <c r="H417" s="69" t="str">
        <f>TEXT(ASTemp!H417,Decimals)</f>
        <v/>
      </c>
      <c r="I417" s="69" t="str">
        <f>TEXT(ASTemp!I417,Decimals)</f>
        <v/>
      </c>
      <c r="J417" s="69" t="str">
        <f>TEXT(ASTemp!J417,Decimals)</f>
        <v/>
      </c>
      <c r="K417" s="69" t="str">
        <f>TEXT(ASTemp!K417,Decimals)</f>
        <v/>
      </c>
      <c r="L417" s="69" t="str">
        <f>TEXT(ASTemp!L417,Decimals)</f>
        <v/>
      </c>
      <c r="M417" s="71" t="str">
        <f>TEXT(ASTemp!M417,Percentages)</f>
        <v/>
      </c>
      <c r="N417" s="72" t="str">
        <f>TEXT(ASTemp!N417,Percentages)</f>
        <v/>
      </c>
    </row>
    <row r="418" ht="14.25" customHeight="1">
      <c r="B418" s="66" t="str">
        <f>ASTemp!B418</f>
        <v/>
      </c>
      <c r="C418" s="67" t="str">
        <f>ASTemp!C418</f>
        <v/>
      </c>
      <c r="D418" s="68" t="str">
        <f>ASTemp!D418</f>
        <v/>
      </c>
      <c r="E418" s="65" t="str">
        <f>ASTemp!E418</f>
        <v/>
      </c>
      <c r="F418" s="69" t="str">
        <f>TEXT(ASTemp!F418,Decimals)</f>
        <v/>
      </c>
      <c r="G418" s="69" t="str">
        <f>TEXT(ASTemp!G418,Decimals)</f>
        <v/>
      </c>
      <c r="H418" s="69" t="str">
        <f>TEXT(ASTemp!H418,Decimals)</f>
        <v/>
      </c>
      <c r="I418" s="69" t="str">
        <f>TEXT(ASTemp!I418,Decimals)</f>
        <v/>
      </c>
      <c r="J418" s="69" t="str">
        <f>TEXT(ASTemp!J418,Decimals)</f>
        <v/>
      </c>
      <c r="K418" s="69" t="str">
        <f>TEXT(ASTemp!K418,Decimals)</f>
        <v/>
      </c>
      <c r="L418" s="69" t="str">
        <f>TEXT(ASTemp!L418,Decimals)</f>
        <v/>
      </c>
      <c r="M418" s="71" t="str">
        <f>TEXT(ASTemp!M418,Percentages)</f>
        <v/>
      </c>
      <c r="N418" s="72" t="str">
        <f>TEXT(ASTemp!N418,Percentages)</f>
        <v/>
      </c>
    </row>
    <row r="419" ht="14.25" customHeight="1">
      <c r="B419" s="66" t="str">
        <f>ASTemp!B419</f>
        <v/>
      </c>
      <c r="C419" s="67" t="str">
        <f>ASTemp!C419</f>
        <v/>
      </c>
      <c r="D419" s="68" t="str">
        <f>ASTemp!D419</f>
        <v/>
      </c>
      <c r="E419" s="65" t="str">
        <f>ASTemp!E419</f>
        <v/>
      </c>
      <c r="F419" s="69" t="str">
        <f>TEXT(ASTemp!F419,Decimals)</f>
        <v/>
      </c>
      <c r="G419" s="69" t="str">
        <f>TEXT(ASTemp!G419,Decimals)</f>
        <v/>
      </c>
      <c r="H419" s="69" t="str">
        <f>TEXT(ASTemp!H419,Decimals)</f>
        <v/>
      </c>
      <c r="I419" s="69" t="str">
        <f>TEXT(ASTemp!I419,Decimals)</f>
        <v/>
      </c>
      <c r="J419" s="69" t="str">
        <f>TEXT(ASTemp!J419,Decimals)</f>
        <v/>
      </c>
      <c r="K419" s="69" t="str">
        <f>TEXT(ASTemp!K419,Decimals)</f>
        <v/>
      </c>
      <c r="L419" s="69" t="str">
        <f>TEXT(ASTemp!L419,Decimals)</f>
        <v/>
      </c>
      <c r="M419" s="71" t="str">
        <f>TEXT(ASTemp!M419,Percentages)</f>
        <v/>
      </c>
      <c r="N419" s="72" t="str">
        <f>TEXT(ASTemp!N419,Percentages)</f>
        <v/>
      </c>
    </row>
    <row r="420" ht="14.25" customHeight="1">
      <c r="B420" s="66" t="str">
        <f>ASTemp!B420</f>
        <v/>
      </c>
      <c r="C420" s="67" t="str">
        <f>ASTemp!C420</f>
        <v/>
      </c>
      <c r="D420" s="68" t="str">
        <f>ASTemp!D420</f>
        <v/>
      </c>
      <c r="E420" s="65" t="str">
        <f>ASTemp!E420</f>
        <v/>
      </c>
      <c r="F420" s="69" t="str">
        <f>TEXT(ASTemp!F420,Decimals)</f>
        <v/>
      </c>
      <c r="G420" s="69" t="str">
        <f>TEXT(ASTemp!G420,Decimals)</f>
        <v/>
      </c>
      <c r="H420" s="69" t="str">
        <f>TEXT(ASTemp!H420,Decimals)</f>
        <v/>
      </c>
      <c r="I420" s="69" t="str">
        <f>TEXT(ASTemp!I420,Decimals)</f>
        <v/>
      </c>
      <c r="J420" s="69" t="str">
        <f>TEXT(ASTemp!J420,Decimals)</f>
        <v/>
      </c>
      <c r="K420" s="69" t="str">
        <f>TEXT(ASTemp!K420,Decimals)</f>
        <v/>
      </c>
      <c r="L420" s="69" t="str">
        <f>TEXT(ASTemp!L420,Decimals)</f>
        <v/>
      </c>
      <c r="M420" s="71" t="str">
        <f>TEXT(ASTemp!M420,Percentages)</f>
        <v/>
      </c>
      <c r="N420" s="72" t="str">
        <f>TEXT(ASTemp!N420,Percentages)</f>
        <v/>
      </c>
    </row>
    <row r="421" ht="14.25" customHeight="1">
      <c r="B421" s="66" t="str">
        <f>ASTemp!B421</f>
        <v/>
      </c>
      <c r="C421" s="67" t="str">
        <f>ASTemp!C421</f>
        <v/>
      </c>
      <c r="D421" s="68" t="str">
        <f>ASTemp!D421</f>
        <v/>
      </c>
      <c r="E421" s="65" t="str">
        <f>ASTemp!E421</f>
        <v/>
      </c>
      <c r="F421" s="69" t="str">
        <f>TEXT(ASTemp!F421,Decimals)</f>
        <v/>
      </c>
      <c r="G421" s="69" t="str">
        <f>TEXT(ASTemp!G421,Decimals)</f>
        <v/>
      </c>
      <c r="H421" s="69" t="str">
        <f>TEXT(ASTemp!H421,Decimals)</f>
        <v/>
      </c>
      <c r="I421" s="69" t="str">
        <f>TEXT(ASTemp!I421,Decimals)</f>
        <v/>
      </c>
      <c r="J421" s="69" t="str">
        <f>TEXT(ASTemp!J421,Decimals)</f>
        <v/>
      </c>
      <c r="K421" s="69" t="str">
        <f>TEXT(ASTemp!K421,Decimals)</f>
        <v/>
      </c>
      <c r="L421" s="69" t="str">
        <f>TEXT(ASTemp!L421,Decimals)</f>
        <v/>
      </c>
      <c r="M421" s="71" t="str">
        <f>TEXT(ASTemp!M421,Percentages)</f>
        <v/>
      </c>
      <c r="N421" s="72" t="str">
        <f>TEXT(ASTemp!N421,Percentages)</f>
        <v/>
      </c>
    </row>
    <row r="422" ht="14.25" customHeight="1">
      <c r="B422" s="66" t="str">
        <f>ASTemp!B422</f>
        <v/>
      </c>
      <c r="C422" s="67" t="str">
        <f>ASTemp!C422</f>
        <v/>
      </c>
      <c r="D422" s="68" t="str">
        <f>ASTemp!D422</f>
        <v/>
      </c>
      <c r="E422" s="65" t="str">
        <f>ASTemp!E422</f>
        <v/>
      </c>
      <c r="F422" s="69" t="str">
        <f>TEXT(ASTemp!F422,Decimals)</f>
        <v/>
      </c>
      <c r="G422" s="69" t="str">
        <f>TEXT(ASTemp!G422,Decimals)</f>
        <v/>
      </c>
      <c r="H422" s="69" t="str">
        <f>TEXT(ASTemp!H422,Decimals)</f>
        <v/>
      </c>
      <c r="I422" s="69" t="str">
        <f>TEXT(ASTemp!I422,Decimals)</f>
        <v/>
      </c>
      <c r="J422" s="69" t="str">
        <f>TEXT(ASTemp!J422,Decimals)</f>
        <v/>
      </c>
      <c r="K422" s="69" t="str">
        <f>TEXT(ASTemp!K422,Decimals)</f>
        <v/>
      </c>
      <c r="L422" s="69" t="str">
        <f>TEXT(ASTemp!L422,Decimals)</f>
        <v/>
      </c>
      <c r="M422" s="71" t="str">
        <f>TEXT(ASTemp!M422,Percentages)</f>
        <v/>
      </c>
      <c r="N422" s="72" t="str">
        <f>TEXT(ASTemp!N422,Percentages)</f>
        <v/>
      </c>
    </row>
    <row r="423" ht="14.25" customHeight="1">
      <c r="B423" s="66" t="str">
        <f>ASTemp!B423</f>
        <v/>
      </c>
      <c r="C423" s="67" t="str">
        <f>ASTemp!C423</f>
        <v/>
      </c>
      <c r="D423" s="68" t="str">
        <f>ASTemp!D423</f>
        <v/>
      </c>
      <c r="E423" s="65" t="str">
        <f>ASTemp!E423</f>
        <v/>
      </c>
      <c r="F423" s="69" t="str">
        <f>TEXT(ASTemp!F423,Decimals)</f>
        <v/>
      </c>
      <c r="G423" s="69" t="str">
        <f>TEXT(ASTemp!G423,Decimals)</f>
        <v/>
      </c>
      <c r="H423" s="69" t="str">
        <f>TEXT(ASTemp!H423,Decimals)</f>
        <v/>
      </c>
      <c r="I423" s="69" t="str">
        <f>TEXT(ASTemp!I423,Decimals)</f>
        <v/>
      </c>
      <c r="J423" s="69" t="str">
        <f>TEXT(ASTemp!J423,Decimals)</f>
        <v/>
      </c>
      <c r="K423" s="69" t="str">
        <f>TEXT(ASTemp!K423,Decimals)</f>
        <v/>
      </c>
      <c r="L423" s="69" t="str">
        <f>TEXT(ASTemp!L423,Decimals)</f>
        <v/>
      </c>
      <c r="M423" s="71" t="str">
        <f>TEXT(ASTemp!M423,Percentages)</f>
        <v/>
      </c>
      <c r="N423" s="72" t="str">
        <f>TEXT(ASTemp!N423,Percentages)</f>
        <v/>
      </c>
    </row>
    <row r="424" ht="14.25" customHeight="1">
      <c r="B424" s="66" t="str">
        <f>ASTemp!B424</f>
        <v/>
      </c>
      <c r="C424" s="67" t="str">
        <f>ASTemp!C424</f>
        <v/>
      </c>
      <c r="D424" s="68" t="str">
        <f>ASTemp!D424</f>
        <v/>
      </c>
      <c r="E424" s="65" t="str">
        <f>ASTemp!E424</f>
        <v/>
      </c>
      <c r="F424" s="69" t="str">
        <f>TEXT(ASTemp!F424,Decimals)</f>
        <v/>
      </c>
      <c r="G424" s="69" t="str">
        <f>TEXT(ASTemp!G424,Decimals)</f>
        <v/>
      </c>
      <c r="H424" s="69" t="str">
        <f>TEXT(ASTemp!H424,Decimals)</f>
        <v/>
      </c>
      <c r="I424" s="69" t="str">
        <f>TEXT(ASTemp!I424,Decimals)</f>
        <v/>
      </c>
      <c r="J424" s="69" t="str">
        <f>TEXT(ASTemp!J424,Decimals)</f>
        <v/>
      </c>
      <c r="K424" s="69" t="str">
        <f>TEXT(ASTemp!K424,Decimals)</f>
        <v/>
      </c>
      <c r="L424" s="69" t="str">
        <f>TEXT(ASTemp!L424,Decimals)</f>
        <v/>
      </c>
      <c r="M424" s="71" t="str">
        <f>TEXT(ASTemp!M424,Percentages)</f>
        <v/>
      </c>
      <c r="N424" s="72" t="str">
        <f>TEXT(ASTemp!N424,Percentages)</f>
        <v/>
      </c>
    </row>
    <row r="425" ht="14.25" customHeight="1">
      <c r="B425" s="66" t="str">
        <f>ASTemp!B425</f>
        <v/>
      </c>
      <c r="C425" s="67" t="str">
        <f>ASTemp!C425</f>
        <v/>
      </c>
      <c r="D425" s="68" t="str">
        <f>ASTemp!D425</f>
        <v/>
      </c>
      <c r="E425" s="65" t="str">
        <f>ASTemp!E425</f>
        <v/>
      </c>
      <c r="F425" s="69" t="str">
        <f>TEXT(ASTemp!F425,Decimals)</f>
        <v/>
      </c>
      <c r="G425" s="69" t="str">
        <f>TEXT(ASTemp!G425,Decimals)</f>
        <v/>
      </c>
      <c r="H425" s="69" t="str">
        <f>TEXT(ASTemp!H425,Decimals)</f>
        <v/>
      </c>
      <c r="I425" s="69" t="str">
        <f>TEXT(ASTemp!I425,Decimals)</f>
        <v/>
      </c>
      <c r="J425" s="69" t="str">
        <f>TEXT(ASTemp!J425,Decimals)</f>
        <v/>
      </c>
      <c r="K425" s="69" t="str">
        <f>TEXT(ASTemp!K425,Decimals)</f>
        <v/>
      </c>
      <c r="L425" s="69" t="str">
        <f>TEXT(ASTemp!L425,Decimals)</f>
        <v/>
      </c>
      <c r="M425" s="71" t="str">
        <f>TEXT(ASTemp!M425,Percentages)</f>
        <v/>
      </c>
      <c r="N425" s="72" t="str">
        <f>TEXT(ASTemp!N425,Percentages)</f>
        <v/>
      </c>
    </row>
    <row r="426" ht="14.25" customHeight="1">
      <c r="B426" s="66" t="str">
        <f>ASTemp!B426</f>
        <v/>
      </c>
      <c r="C426" s="67" t="str">
        <f>ASTemp!C426</f>
        <v/>
      </c>
      <c r="D426" s="68" t="str">
        <f>ASTemp!D426</f>
        <v/>
      </c>
      <c r="E426" s="65" t="str">
        <f>ASTemp!E426</f>
        <v/>
      </c>
      <c r="F426" s="69" t="str">
        <f>TEXT(ASTemp!F426,Decimals)</f>
        <v/>
      </c>
      <c r="G426" s="69" t="str">
        <f>TEXT(ASTemp!G426,Decimals)</f>
        <v/>
      </c>
      <c r="H426" s="69" t="str">
        <f>TEXT(ASTemp!H426,Decimals)</f>
        <v/>
      </c>
      <c r="I426" s="69" t="str">
        <f>TEXT(ASTemp!I426,Decimals)</f>
        <v/>
      </c>
      <c r="J426" s="69" t="str">
        <f>TEXT(ASTemp!J426,Decimals)</f>
        <v/>
      </c>
      <c r="K426" s="69" t="str">
        <f>TEXT(ASTemp!K426,Decimals)</f>
        <v/>
      </c>
      <c r="L426" s="69" t="str">
        <f>TEXT(ASTemp!L426,Decimals)</f>
        <v/>
      </c>
      <c r="M426" s="71" t="str">
        <f>TEXT(ASTemp!M426,Percentages)</f>
        <v/>
      </c>
      <c r="N426" s="72" t="str">
        <f>TEXT(ASTemp!N426,Percentages)</f>
        <v/>
      </c>
    </row>
    <row r="427" ht="14.25" customHeight="1">
      <c r="B427" s="66" t="str">
        <f>ASTemp!B427</f>
        <v/>
      </c>
      <c r="C427" s="67" t="str">
        <f>ASTemp!C427</f>
        <v/>
      </c>
      <c r="D427" s="68" t="str">
        <f>ASTemp!D427</f>
        <v/>
      </c>
      <c r="E427" s="65" t="str">
        <f>ASTemp!E427</f>
        <v/>
      </c>
      <c r="F427" s="69" t="str">
        <f>TEXT(ASTemp!F427,Decimals)</f>
        <v/>
      </c>
      <c r="G427" s="69" t="str">
        <f>TEXT(ASTemp!G427,Decimals)</f>
        <v/>
      </c>
      <c r="H427" s="69" t="str">
        <f>TEXT(ASTemp!H427,Decimals)</f>
        <v/>
      </c>
      <c r="I427" s="69" t="str">
        <f>TEXT(ASTemp!I427,Decimals)</f>
        <v/>
      </c>
      <c r="J427" s="69" t="str">
        <f>TEXT(ASTemp!J427,Decimals)</f>
        <v/>
      </c>
      <c r="K427" s="69" t="str">
        <f>TEXT(ASTemp!K427,Decimals)</f>
        <v/>
      </c>
      <c r="L427" s="69" t="str">
        <f>TEXT(ASTemp!L427,Decimals)</f>
        <v/>
      </c>
      <c r="M427" s="71" t="str">
        <f>TEXT(ASTemp!M427,Percentages)</f>
        <v/>
      </c>
      <c r="N427" s="72" t="str">
        <f>TEXT(ASTemp!N427,Percentages)</f>
        <v/>
      </c>
    </row>
    <row r="428" ht="14.25" customHeight="1">
      <c r="B428" s="66" t="str">
        <f>ASTemp!B428</f>
        <v/>
      </c>
      <c r="C428" s="67" t="str">
        <f>ASTemp!C428</f>
        <v/>
      </c>
      <c r="D428" s="68" t="str">
        <f>ASTemp!D428</f>
        <v/>
      </c>
      <c r="E428" s="65" t="str">
        <f>ASTemp!E428</f>
        <v/>
      </c>
      <c r="F428" s="69" t="str">
        <f>TEXT(ASTemp!F428,Decimals)</f>
        <v/>
      </c>
      <c r="G428" s="69" t="str">
        <f>TEXT(ASTemp!G428,Decimals)</f>
        <v/>
      </c>
      <c r="H428" s="69" t="str">
        <f>TEXT(ASTemp!H428,Decimals)</f>
        <v/>
      </c>
      <c r="I428" s="69" t="str">
        <f>TEXT(ASTemp!I428,Decimals)</f>
        <v/>
      </c>
      <c r="J428" s="69" t="str">
        <f>TEXT(ASTemp!J428,Decimals)</f>
        <v/>
      </c>
      <c r="K428" s="69" t="str">
        <f>TEXT(ASTemp!K428,Decimals)</f>
        <v/>
      </c>
      <c r="L428" s="69" t="str">
        <f>TEXT(ASTemp!L428,Decimals)</f>
        <v/>
      </c>
      <c r="M428" s="71" t="str">
        <f>TEXT(ASTemp!M428,Percentages)</f>
        <v/>
      </c>
      <c r="N428" s="72" t="str">
        <f>TEXT(ASTemp!N428,Percentages)</f>
        <v/>
      </c>
    </row>
    <row r="429" ht="14.25" customHeight="1">
      <c r="B429" s="66" t="str">
        <f>ASTemp!B429</f>
        <v/>
      </c>
      <c r="C429" s="67" t="str">
        <f>ASTemp!C429</f>
        <v/>
      </c>
      <c r="D429" s="68" t="str">
        <f>ASTemp!D429</f>
        <v/>
      </c>
      <c r="E429" s="65" t="str">
        <f>ASTemp!E429</f>
        <v/>
      </c>
      <c r="F429" s="69" t="str">
        <f>TEXT(ASTemp!F429,Decimals)</f>
        <v/>
      </c>
      <c r="G429" s="69" t="str">
        <f>TEXT(ASTemp!G429,Decimals)</f>
        <v/>
      </c>
      <c r="H429" s="69" t="str">
        <f>TEXT(ASTemp!H429,Decimals)</f>
        <v/>
      </c>
      <c r="I429" s="69" t="str">
        <f>TEXT(ASTemp!I429,Decimals)</f>
        <v/>
      </c>
      <c r="J429" s="69" t="str">
        <f>TEXT(ASTemp!J429,Decimals)</f>
        <v/>
      </c>
      <c r="K429" s="69" t="str">
        <f>TEXT(ASTemp!K429,Decimals)</f>
        <v/>
      </c>
      <c r="L429" s="69" t="str">
        <f>TEXT(ASTemp!L429,Decimals)</f>
        <v/>
      </c>
      <c r="M429" s="71" t="str">
        <f>TEXT(ASTemp!M429,Percentages)</f>
        <v/>
      </c>
      <c r="N429" s="72" t="str">
        <f>TEXT(ASTemp!N429,Percentages)</f>
        <v/>
      </c>
    </row>
    <row r="430" ht="14.25" customHeight="1">
      <c r="B430" s="66" t="str">
        <f>ASTemp!B430</f>
        <v/>
      </c>
      <c r="C430" s="67" t="str">
        <f>ASTemp!C430</f>
        <v/>
      </c>
      <c r="D430" s="68" t="str">
        <f>ASTemp!D430</f>
        <v/>
      </c>
      <c r="E430" s="65" t="str">
        <f>ASTemp!E430</f>
        <v/>
      </c>
      <c r="F430" s="69" t="str">
        <f>TEXT(ASTemp!F430,Decimals)</f>
        <v/>
      </c>
      <c r="G430" s="69" t="str">
        <f>TEXT(ASTemp!G430,Decimals)</f>
        <v/>
      </c>
      <c r="H430" s="69" t="str">
        <f>TEXT(ASTemp!H430,Decimals)</f>
        <v/>
      </c>
      <c r="I430" s="69" t="str">
        <f>TEXT(ASTemp!I430,Decimals)</f>
        <v/>
      </c>
      <c r="J430" s="69" t="str">
        <f>TEXT(ASTemp!J430,Decimals)</f>
        <v/>
      </c>
      <c r="K430" s="69" t="str">
        <f>TEXT(ASTemp!K430,Decimals)</f>
        <v/>
      </c>
      <c r="L430" s="69" t="str">
        <f>TEXT(ASTemp!L430,Decimals)</f>
        <v/>
      </c>
      <c r="M430" s="71" t="str">
        <f>TEXT(ASTemp!M430,Percentages)</f>
        <v/>
      </c>
      <c r="N430" s="72" t="str">
        <f>TEXT(ASTemp!N430,Percentages)</f>
        <v/>
      </c>
    </row>
    <row r="431" ht="14.25" customHeight="1">
      <c r="B431" s="66" t="str">
        <f>ASTemp!B431</f>
        <v/>
      </c>
      <c r="C431" s="67" t="str">
        <f>ASTemp!C431</f>
        <v/>
      </c>
      <c r="D431" s="68" t="str">
        <f>ASTemp!D431</f>
        <v/>
      </c>
      <c r="E431" s="65" t="str">
        <f>ASTemp!E431</f>
        <v/>
      </c>
      <c r="F431" s="69" t="str">
        <f>TEXT(ASTemp!F431,Decimals)</f>
        <v/>
      </c>
      <c r="G431" s="69" t="str">
        <f>TEXT(ASTemp!G431,Decimals)</f>
        <v/>
      </c>
      <c r="H431" s="69" t="str">
        <f>TEXT(ASTemp!H431,Decimals)</f>
        <v/>
      </c>
      <c r="I431" s="69" t="str">
        <f>TEXT(ASTemp!I431,Decimals)</f>
        <v/>
      </c>
      <c r="J431" s="69" t="str">
        <f>TEXT(ASTemp!J431,Decimals)</f>
        <v/>
      </c>
      <c r="K431" s="69" t="str">
        <f>TEXT(ASTemp!K431,Decimals)</f>
        <v/>
      </c>
      <c r="L431" s="69" t="str">
        <f>TEXT(ASTemp!L431,Decimals)</f>
        <v/>
      </c>
      <c r="M431" s="71" t="str">
        <f>TEXT(ASTemp!M431,Percentages)</f>
        <v/>
      </c>
      <c r="N431" s="72" t="str">
        <f>TEXT(ASTemp!N431,Percentages)</f>
        <v/>
      </c>
    </row>
    <row r="432" ht="14.25" customHeight="1">
      <c r="B432" s="66" t="str">
        <f>ASTemp!B432</f>
        <v/>
      </c>
      <c r="C432" s="67" t="str">
        <f>ASTemp!C432</f>
        <v/>
      </c>
      <c r="D432" s="68" t="str">
        <f>ASTemp!D432</f>
        <v/>
      </c>
      <c r="E432" s="65" t="str">
        <f>ASTemp!E432</f>
        <v/>
      </c>
      <c r="F432" s="69" t="str">
        <f>TEXT(ASTemp!F432,Decimals)</f>
        <v/>
      </c>
      <c r="G432" s="69" t="str">
        <f>TEXT(ASTemp!G432,Decimals)</f>
        <v/>
      </c>
      <c r="H432" s="69" t="str">
        <f>TEXT(ASTemp!H432,Decimals)</f>
        <v/>
      </c>
      <c r="I432" s="69" t="str">
        <f>TEXT(ASTemp!I432,Decimals)</f>
        <v/>
      </c>
      <c r="J432" s="69" t="str">
        <f>TEXT(ASTemp!J432,Decimals)</f>
        <v/>
      </c>
      <c r="K432" s="69" t="str">
        <f>TEXT(ASTemp!K432,Decimals)</f>
        <v/>
      </c>
      <c r="L432" s="69" t="str">
        <f>TEXT(ASTemp!L432,Decimals)</f>
        <v/>
      </c>
      <c r="M432" s="71" t="str">
        <f>TEXT(ASTemp!M432,Percentages)</f>
        <v/>
      </c>
      <c r="N432" s="72" t="str">
        <f>TEXT(ASTemp!N432,Percentages)</f>
        <v/>
      </c>
    </row>
    <row r="433" ht="14.25" customHeight="1">
      <c r="B433" s="66" t="str">
        <f>ASTemp!B433</f>
        <v/>
      </c>
      <c r="C433" s="67" t="str">
        <f>ASTemp!C433</f>
        <v/>
      </c>
      <c r="D433" s="68" t="str">
        <f>ASTemp!D433</f>
        <v/>
      </c>
      <c r="E433" s="65" t="str">
        <f>ASTemp!E433</f>
        <v/>
      </c>
      <c r="F433" s="69" t="str">
        <f>TEXT(ASTemp!F433,Decimals)</f>
        <v/>
      </c>
      <c r="G433" s="69" t="str">
        <f>TEXT(ASTemp!G433,Decimals)</f>
        <v/>
      </c>
      <c r="H433" s="69" t="str">
        <f>TEXT(ASTemp!H433,Decimals)</f>
        <v/>
      </c>
      <c r="I433" s="69" t="str">
        <f>TEXT(ASTemp!I433,Decimals)</f>
        <v/>
      </c>
      <c r="J433" s="69" t="str">
        <f>TEXT(ASTemp!J433,Decimals)</f>
        <v/>
      </c>
      <c r="K433" s="69" t="str">
        <f>TEXT(ASTemp!K433,Decimals)</f>
        <v/>
      </c>
      <c r="L433" s="69" t="str">
        <f>TEXT(ASTemp!L433,Decimals)</f>
        <v/>
      </c>
      <c r="M433" s="71" t="str">
        <f>TEXT(ASTemp!M433,Percentages)</f>
        <v/>
      </c>
      <c r="N433" s="72" t="str">
        <f>TEXT(ASTemp!N433,Percentages)</f>
        <v/>
      </c>
    </row>
    <row r="434" ht="14.25" customHeight="1">
      <c r="B434" s="66" t="str">
        <f>ASTemp!B434</f>
        <v/>
      </c>
      <c r="C434" s="67" t="str">
        <f>ASTemp!C434</f>
        <v/>
      </c>
      <c r="D434" s="68" t="str">
        <f>ASTemp!D434</f>
        <v/>
      </c>
      <c r="E434" s="65" t="str">
        <f>ASTemp!E434</f>
        <v/>
      </c>
      <c r="F434" s="69" t="str">
        <f>TEXT(ASTemp!F434,Decimals)</f>
        <v/>
      </c>
      <c r="G434" s="69" t="str">
        <f>TEXT(ASTemp!G434,Decimals)</f>
        <v/>
      </c>
      <c r="H434" s="69" t="str">
        <f>TEXT(ASTemp!H434,Decimals)</f>
        <v/>
      </c>
      <c r="I434" s="69" t="str">
        <f>TEXT(ASTemp!I434,Decimals)</f>
        <v/>
      </c>
      <c r="J434" s="69" t="str">
        <f>TEXT(ASTemp!J434,Decimals)</f>
        <v/>
      </c>
      <c r="K434" s="69" t="str">
        <f>TEXT(ASTemp!K434,Decimals)</f>
        <v/>
      </c>
      <c r="L434" s="69" t="str">
        <f>TEXT(ASTemp!L434,Decimals)</f>
        <v/>
      </c>
      <c r="M434" s="71" t="str">
        <f>TEXT(ASTemp!M434,Percentages)</f>
        <v/>
      </c>
      <c r="N434" s="72" t="str">
        <f>TEXT(ASTemp!N434,Percentages)</f>
        <v/>
      </c>
    </row>
    <row r="435" ht="14.25" customHeight="1">
      <c r="B435" s="66" t="str">
        <f>ASTemp!B435</f>
        <v/>
      </c>
      <c r="C435" s="67" t="str">
        <f>ASTemp!C435</f>
        <v/>
      </c>
      <c r="D435" s="68" t="str">
        <f>ASTemp!D435</f>
        <v/>
      </c>
      <c r="E435" s="65" t="str">
        <f>ASTemp!E435</f>
        <v/>
      </c>
      <c r="F435" s="69" t="str">
        <f>TEXT(ASTemp!F435,Decimals)</f>
        <v/>
      </c>
      <c r="G435" s="69" t="str">
        <f>TEXT(ASTemp!G435,Decimals)</f>
        <v/>
      </c>
      <c r="H435" s="69" t="str">
        <f>TEXT(ASTemp!H435,Decimals)</f>
        <v/>
      </c>
      <c r="I435" s="69" t="str">
        <f>TEXT(ASTemp!I435,Decimals)</f>
        <v/>
      </c>
      <c r="J435" s="69" t="str">
        <f>TEXT(ASTemp!J435,Decimals)</f>
        <v/>
      </c>
      <c r="K435" s="69" t="str">
        <f>TEXT(ASTemp!K435,Decimals)</f>
        <v/>
      </c>
      <c r="L435" s="69" t="str">
        <f>TEXT(ASTemp!L435,Decimals)</f>
        <v/>
      </c>
      <c r="M435" s="71" t="str">
        <f>TEXT(ASTemp!M435,Percentages)</f>
        <v/>
      </c>
      <c r="N435" s="72" t="str">
        <f>TEXT(ASTemp!N435,Percentages)</f>
        <v/>
      </c>
    </row>
    <row r="436" ht="14.25" customHeight="1">
      <c r="B436" s="66" t="str">
        <f>ASTemp!B436</f>
        <v/>
      </c>
      <c r="C436" s="67" t="str">
        <f>ASTemp!C436</f>
        <v/>
      </c>
      <c r="D436" s="68" t="str">
        <f>ASTemp!D436</f>
        <v/>
      </c>
      <c r="E436" s="65" t="str">
        <f>ASTemp!E436</f>
        <v/>
      </c>
      <c r="F436" s="69" t="str">
        <f>TEXT(ASTemp!F436,Decimals)</f>
        <v/>
      </c>
      <c r="G436" s="69" t="str">
        <f>TEXT(ASTemp!G436,Decimals)</f>
        <v/>
      </c>
      <c r="H436" s="69" t="str">
        <f>TEXT(ASTemp!H436,Decimals)</f>
        <v/>
      </c>
      <c r="I436" s="69" t="str">
        <f>TEXT(ASTemp!I436,Decimals)</f>
        <v/>
      </c>
      <c r="J436" s="69" t="str">
        <f>TEXT(ASTemp!J436,Decimals)</f>
        <v/>
      </c>
      <c r="K436" s="69" t="str">
        <f>TEXT(ASTemp!K436,Decimals)</f>
        <v/>
      </c>
      <c r="L436" s="69" t="str">
        <f>TEXT(ASTemp!L436,Decimals)</f>
        <v/>
      </c>
      <c r="M436" s="71" t="str">
        <f>TEXT(ASTemp!M436,Percentages)</f>
        <v/>
      </c>
      <c r="N436" s="72" t="str">
        <f>TEXT(ASTemp!N436,Percentages)</f>
        <v/>
      </c>
    </row>
    <row r="437" ht="14.25" customHeight="1">
      <c r="B437" s="66" t="str">
        <f>ASTemp!B437</f>
        <v/>
      </c>
      <c r="C437" s="67" t="str">
        <f>ASTemp!C437</f>
        <v/>
      </c>
      <c r="D437" s="68" t="str">
        <f>ASTemp!D437</f>
        <v/>
      </c>
      <c r="E437" s="65" t="str">
        <f>ASTemp!E437</f>
        <v/>
      </c>
      <c r="F437" s="69" t="str">
        <f>TEXT(ASTemp!F437,Decimals)</f>
        <v/>
      </c>
      <c r="G437" s="69" t="str">
        <f>TEXT(ASTemp!G437,Decimals)</f>
        <v/>
      </c>
      <c r="H437" s="69" t="str">
        <f>TEXT(ASTemp!H437,Decimals)</f>
        <v/>
      </c>
      <c r="I437" s="69" t="str">
        <f>TEXT(ASTemp!I437,Decimals)</f>
        <v/>
      </c>
      <c r="J437" s="69" t="str">
        <f>TEXT(ASTemp!J437,Decimals)</f>
        <v/>
      </c>
      <c r="K437" s="69" t="str">
        <f>TEXT(ASTemp!K437,Decimals)</f>
        <v/>
      </c>
      <c r="L437" s="69" t="str">
        <f>TEXT(ASTemp!L437,Decimals)</f>
        <v/>
      </c>
      <c r="M437" s="71" t="str">
        <f>TEXT(ASTemp!M437,Percentages)</f>
        <v/>
      </c>
      <c r="N437" s="72" t="str">
        <f>TEXT(ASTemp!N437,Percentages)</f>
        <v/>
      </c>
    </row>
    <row r="438" ht="14.25" customHeight="1">
      <c r="B438" s="66" t="str">
        <f>ASTemp!B438</f>
        <v/>
      </c>
      <c r="C438" s="67" t="str">
        <f>ASTemp!C438</f>
        <v/>
      </c>
      <c r="D438" s="68" t="str">
        <f>ASTemp!D438</f>
        <v/>
      </c>
      <c r="E438" s="65" t="str">
        <f>ASTemp!E438</f>
        <v/>
      </c>
      <c r="F438" s="69" t="str">
        <f>TEXT(ASTemp!F438,Decimals)</f>
        <v/>
      </c>
      <c r="G438" s="69" t="str">
        <f>TEXT(ASTemp!G438,Decimals)</f>
        <v/>
      </c>
      <c r="H438" s="69" t="str">
        <f>TEXT(ASTemp!H438,Decimals)</f>
        <v/>
      </c>
      <c r="I438" s="69" t="str">
        <f>TEXT(ASTemp!I438,Decimals)</f>
        <v/>
      </c>
      <c r="J438" s="69" t="str">
        <f>TEXT(ASTemp!J438,Decimals)</f>
        <v/>
      </c>
      <c r="K438" s="69" t="str">
        <f>TEXT(ASTemp!K438,Decimals)</f>
        <v/>
      </c>
      <c r="L438" s="69" t="str">
        <f>TEXT(ASTemp!L438,Decimals)</f>
        <v/>
      </c>
      <c r="M438" s="71" t="str">
        <f>TEXT(ASTemp!M438,Percentages)</f>
        <v/>
      </c>
      <c r="N438" s="72" t="str">
        <f>TEXT(ASTemp!N438,Percentages)</f>
        <v/>
      </c>
    </row>
    <row r="439" ht="14.25" customHeight="1">
      <c r="B439" s="66" t="str">
        <f>ASTemp!B439</f>
        <v/>
      </c>
      <c r="C439" s="67" t="str">
        <f>ASTemp!C439</f>
        <v/>
      </c>
      <c r="D439" s="68" t="str">
        <f>ASTemp!D439</f>
        <v/>
      </c>
      <c r="E439" s="65" t="str">
        <f>ASTemp!E439</f>
        <v/>
      </c>
      <c r="F439" s="69" t="str">
        <f>TEXT(ASTemp!F439,Decimals)</f>
        <v/>
      </c>
      <c r="G439" s="69" t="str">
        <f>TEXT(ASTemp!G439,Decimals)</f>
        <v/>
      </c>
      <c r="H439" s="69" t="str">
        <f>TEXT(ASTemp!H439,Decimals)</f>
        <v/>
      </c>
      <c r="I439" s="69" t="str">
        <f>TEXT(ASTemp!I439,Decimals)</f>
        <v/>
      </c>
      <c r="J439" s="69" t="str">
        <f>TEXT(ASTemp!J439,Decimals)</f>
        <v/>
      </c>
      <c r="K439" s="69" t="str">
        <f>TEXT(ASTemp!K439,Decimals)</f>
        <v/>
      </c>
      <c r="L439" s="69" t="str">
        <f>TEXT(ASTemp!L439,Decimals)</f>
        <v/>
      </c>
      <c r="M439" s="71" t="str">
        <f>TEXT(ASTemp!M439,Percentages)</f>
        <v/>
      </c>
      <c r="N439" s="72" t="str">
        <f>TEXT(ASTemp!N439,Percentages)</f>
        <v/>
      </c>
    </row>
    <row r="440" ht="14.25" customHeight="1">
      <c r="B440" s="66" t="str">
        <f>ASTemp!B440</f>
        <v/>
      </c>
      <c r="C440" s="67" t="str">
        <f>ASTemp!C440</f>
        <v/>
      </c>
      <c r="D440" s="68" t="str">
        <f>ASTemp!D440</f>
        <v/>
      </c>
      <c r="E440" s="65" t="str">
        <f>ASTemp!E440</f>
        <v/>
      </c>
      <c r="F440" s="69" t="str">
        <f>TEXT(ASTemp!F440,Decimals)</f>
        <v/>
      </c>
      <c r="G440" s="69" t="str">
        <f>TEXT(ASTemp!G440,Decimals)</f>
        <v/>
      </c>
      <c r="H440" s="69" t="str">
        <f>TEXT(ASTemp!H440,Decimals)</f>
        <v/>
      </c>
      <c r="I440" s="69" t="str">
        <f>TEXT(ASTemp!I440,Decimals)</f>
        <v/>
      </c>
      <c r="J440" s="69" t="str">
        <f>TEXT(ASTemp!J440,Decimals)</f>
        <v/>
      </c>
      <c r="K440" s="69" t="str">
        <f>TEXT(ASTemp!K440,Decimals)</f>
        <v/>
      </c>
      <c r="L440" s="69" t="str">
        <f>TEXT(ASTemp!L440,Decimals)</f>
        <v/>
      </c>
      <c r="M440" s="71" t="str">
        <f>TEXT(ASTemp!M440,Percentages)</f>
        <v/>
      </c>
      <c r="N440" s="72" t="str">
        <f>TEXT(ASTemp!N440,Percentages)</f>
        <v/>
      </c>
    </row>
    <row r="441" ht="14.25" customHeight="1">
      <c r="B441" s="66" t="str">
        <f>ASTemp!B441</f>
        <v/>
      </c>
      <c r="C441" s="67" t="str">
        <f>ASTemp!C441</f>
        <v/>
      </c>
      <c r="D441" s="68" t="str">
        <f>ASTemp!D441</f>
        <v/>
      </c>
      <c r="E441" s="65" t="str">
        <f>ASTemp!E441</f>
        <v/>
      </c>
      <c r="F441" s="69" t="str">
        <f>TEXT(ASTemp!F441,Decimals)</f>
        <v/>
      </c>
      <c r="G441" s="69" t="str">
        <f>TEXT(ASTemp!G441,Decimals)</f>
        <v/>
      </c>
      <c r="H441" s="69" t="str">
        <f>TEXT(ASTemp!H441,Decimals)</f>
        <v/>
      </c>
      <c r="I441" s="69" t="str">
        <f>TEXT(ASTemp!I441,Decimals)</f>
        <v/>
      </c>
      <c r="J441" s="69" t="str">
        <f>TEXT(ASTemp!J441,Decimals)</f>
        <v/>
      </c>
      <c r="K441" s="69" t="str">
        <f>TEXT(ASTemp!K441,Decimals)</f>
        <v/>
      </c>
      <c r="L441" s="69" t="str">
        <f>TEXT(ASTemp!L441,Decimals)</f>
        <v/>
      </c>
      <c r="M441" s="71" t="str">
        <f>TEXT(ASTemp!M441,Percentages)</f>
        <v/>
      </c>
      <c r="N441" s="72" t="str">
        <f>TEXT(ASTemp!N441,Percentages)</f>
        <v/>
      </c>
    </row>
    <row r="442" ht="14.25" customHeight="1">
      <c r="B442" s="66" t="str">
        <f>ASTemp!B442</f>
        <v/>
      </c>
      <c r="C442" s="67" t="str">
        <f>ASTemp!C442</f>
        <v/>
      </c>
      <c r="D442" s="68" t="str">
        <f>ASTemp!D442</f>
        <v/>
      </c>
      <c r="E442" s="65" t="str">
        <f>ASTemp!E442</f>
        <v/>
      </c>
      <c r="F442" s="69" t="str">
        <f>TEXT(ASTemp!F442,Decimals)</f>
        <v/>
      </c>
      <c r="G442" s="69" t="str">
        <f>TEXT(ASTemp!G442,Decimals)</f>
        <v/>
      </c>
      <c r="H442" s="69" t="str">
        <f>TEXT(ASTemp!H442,Decimals)</f>
        <v/>
      </c>
      <c r="I442" s="69" t="str">
        <f>TEXT(ASTemp!I442,Decimals)</f>
        <v/>
      </c>
      <c r="J442" s="69" t="str">
        <f>TEXT(ASTemp!J442,Decimals)</f>
        <v/>
      </c>
      <c r="K442" s="69" t="str">
        <f>TEXT(ASTemp!K442,Decimals)</f>
        <v/>
      </c>
      <c r="L442" s="69" t="str">
        <f>TEXT(ASTemp!L442,Decimals)</f>
        <v/>
      </c>
      <c r="M442" s="71" t="str">
        <f>TEXT(ASTemp!M442,Percentages)</f>
        <v/>
      </c>
      <c r="N442" s="72" t="str">
        <f>TEXT(ASTemp!N442,Percentages)</f>
        <v/>
      </c>
    </row>
    <row r="443" ht="14.25" customHeight="1">
      <c r="B443" s="66" t="str">
        <f>ASTemp!B443</f>
        <v/>
      </c>
      <c r="C443" s="67" t="str">
        <f>ASTemp!C443</f>
        <v/>
      </c>
      <c r="D443" s="68" t="str">
        <f>ASTemp!D443</f>
        <v/>
      </c>
      <c r="E443" s="65" t="str">
        <f>ASTemp!E443</f>
        <v/>
      </c>
      <c r="F443" s="69" t="str">
        <f>TEXT(ASTemp!F443,Decimals)</f>
        <v/>
      </c>
      <c r="G443" s="69" t="str">
        <f>TEXT(ASTemp!G443,Decimals)</f>
        <v/>
      </c>
      <c r="H443" s="69" t="str">
        <f>TEXT(ASTemp!H443,Decimals)</f>
        <v/>
      </c>
      <c r="I443" s="69" t="str">
        <f>TEXT(ASTemp!I443,Decimals)</f>
        <v/>
      </c>
      <c r="J443" s="69" t="str">
        <f>TEXT(ASTemp!J443,Decimals)</f>
        <v/>
      </c>
      <c r="K443" s="69" t="str">
        <f>TEXT(ASTemp!K443,Decimals)</f>
        <v/>
      </c>
      <c r="L443" s="69" t="str">
        <f>TEXT(ASTemp!L443,Decimals)</f>
        <v/>
      </c>
      <c r="M443" s="71" t="str">
        <f>TEXT(ASTemp!M443,Percentages)</f>
        <v/>
      </c>
      <c r="N443" s="72" t="str">
        <f>TEXT(ASTemp!N443,Percentages)</f>
        <v/>
      </c>
    </row>
    <row r="444" ht="14.25" customHeight="1">
      <c r="B444" s="66" t="str">
        <f>ASTemp!B444</f>
        <v/>
      </c>
      <c r="C444" s="67" t="str">
        <f>ASTemp!C444</f>
        <v/>
      </c>
      <c r="D444" s="68" t="str">
        <f>ASTemp!D444</f>
        <v/>
      </c>
      <c r="E444" s="65" t="str">
        <f>ASTemp!E444</f>
        <v/>
      </c>
      <c r="F444" s="69" t="str">
        <f>TEXT(ASTemp!F444,Decimals)</f>
        <v/>
      </c>
      <c r="G444" s="69" t="str">
        <f>TEXT(ASTemp!G444,Decimals)</f>
        <v/>
      </c>
      <c r="H444" s="69" t="str">
        <f>TEXT(ASTemp!H444,Decimals)</f>
        <v/>
      </c>
      <c r="I444" s="69" t="str">
        <f>TEXT(ASTemp!I444,Decimals)</f>
        <v/>
      </c>
      <c r="J444" s="69" t="str">
        <f>TEXT(ASTemp!J444,Decimals)</f>
        <v/>
      </c>
      <c r="K444" s="69" t="str">
        <f>TEXT(ASTemp!K444,Decimals)</f>
        <v/>
      </c>
      <c r="L444" s="69" t="str">
        <f>TEXT(ASTemp!L444,Decimals)</f>
        <v/>
      </c>
      <c r="M444" s="71" t="str">
        <f>TEXT(ASTemp!M444,Percentages)</f>
        <v/>
      </c>
      <c r="N444" s="72" t="str">
        <f>TEXT(ASTemp!N444,Percentages)</f>
        <v/>
      </c>
    </row>
    <row r="445" ht="14.25" customHeight="1">
      <c r="B445" s="66" t="str">
        <f>ASTemp!B445</f>
        <v/>
      </c>
      <c r="C445" s="67" t="str">
        <f>ASTemp!C445</f>
        <v/>
      </c>
      <c r="D445" s="68" t="str">
        <f>ASTemp!D445</f>
        <v/>
      </c>
      <c r="E445" s="65" t="str">
        <f>ASTemp!E445</f>
        <v/>
      </c>
      <c r="F445" s="69" t="str">
        <f>TEXT(ASTemp!F445,Decimals)</f>
        <v/>
      </c>
      <c r="G445" s="69" t="str">
        <f>TEXT(ASTemp!G445,Decimals)</f>
        <v/>
      </c>
      <c r="H445" s="69" t="str">
        <f>TEXT(ASTemp!H445,Decimals)</f>
        <v/>
      </c>
      <c r="I445" s="69" t="str">
        <f>TEXT(ASTemp!I445,Decimals)</f>
        <v/>
      </c>
      <c r="J445" s="69" t="str">
        <f>TEXT(ASTemp!J445,Decimals)</f>
        <v/>
      </c>
      <c r="K445" s="69" t="str">
        <f>TEXT(ASTemp!K445,Decimals)</f>
        <v/>
      </c>
      <c r="L445" s="69" t="str">
        <f>TEXT(ASTemp!L445,Decimals)</f>
        <v/>
      </c>
      <c r="M445" s="71" t="str">
        <f>TEXT(ASTemp!M445,Percentages)</f>
        <v/>
      </c>
      <c r="N445" s="72" t="str">
        <f>TEXT(ASTemp!N445,Percentages)</f>
        <v/>
      </c>
    </row>
    <row r="446" ht="14.25" customHeight="1">
      <c r="B446" s="66" t="str">
        <f>ASTemp!B446</f>
        <v/>
      </c>
      <c r="C446" s="67" t="str">
        <f>ASTemp!C446</f>
        <v/>
      </c>
      <c r="D446" s="68" t="str">
        <f>ASTemp!D446</f>
        <v/>
      </c>
      <c r="E446" s="65" t="str">
        <f>ASTemp!E446</f>
        <v/>
      </c>
      <c r="F446" s="69" t="str">
        <f>TEXT(ASTemp!F446,Decimals)</f>
        <v/>
      </c>
      <c r="G446" s="69" t="str">
        <f>TEXT(ASTemp!G446,Decimals)</f>
        <v/>
      </c>
      <c r="H446" s="69" t="str">
        <f>TEXT(ASTemp!H446,Decimals)</f>
        <v/>
      </c>
      <c r="I446" s="69" t="str">
        <f>TEXT(ASTemp!I446,Decimals)</f>
        <v/>
      </c>
      <c r="J446" s="69" t="str">
        <f>TEXT(ASTemp!J446,Decimals)</f>
        <v/>
      </c>
      <c r="K446" s="69" t="str">
        <f>TEXT(ASTemp!K446,Decimals)</f>
        <v/>
      </c>
      <c r="L446" s="69" t="str">
        <f>TEXT(ASTemp!L446,Decimals)</f>
        <v/>
      </c>
      <c r="M446" s="71" t="str">
        <f>TEXT(ASTemp!M446,Percentages)</f>
        <v/>
      </c>
      <c r="N446" s="72" t="str">
        <f>TEXT(ASTemp!N446,Percentages)</f>
        <v/>
      </c>
    </row>
    <row r="447" ht="14.25" customHeight="1">
      <c r="B447" s="66" t="str">
        <f>ASTemp!B447</f>
        <v/>
      </c>
      <c r="C447" s="67" t="str">
        <f>ASTemp!C447</f>
        <v/>
      </c>
      <c r="D447" s="68" t="str">
        <f>ASTemp!D447</f>
        <v/>
      </c>
      <c r="E447" s="65" t="str">
        <f>ASTemp!E447</f>
        <v/>
      </c>
      <c r="F447" s="69" t="str">
        <f>TEXT(ASTemp!F447,Decimals)</f>
        <v/>
      </c>
      <c r="G447" s="69" t="str">
        <f>TEXT(ASTemp!G447,Decimals)</f>
        <v/>
      </c>
      <c r="H447" s="69" t="str">
        <f>TEXT(ASTemp!H447,Decimals)</f>
        <v/>
      </c>
      <c r="I447" s="69" t="str">
        <f>TEXT(ASTemp!I447,Decimals)</f>
        <v/>
      </c>
      <c r="J447" s="69" t="str">
        <f>TEXT(ASTemp!J447,Decimals)</f>
        <v/>
      </c>
      <c r="K447" s="69" t="str">
        <f>TEXT(ASTemp!K447,Decimals)</f>
        <v/>
      </c>
      <c r="L447" s="69" t="str">
        <f>TEXT(ASTemp!L447,Decimals)</f>
        <v/>
      </c>
      <c r="M447" s="71" t="str">
        <f>TEXT(ASTemp!M447,Percentages)</f>
        <v/>
      </c>
      <c r="N447" s="72" t="str">
        <f>TEXT(ASTemp!N447,Percentages)</f>
        <v/>
      </c>
    </row>
    <row r="448" ht="14.25" customHeight="1">
      <c r="B448" s="66" t="str">
        <f>ASTemp!B448</f>
        <v/>
      </c>
      <c r="C448" s="67" t="str">
        <f>ASTemp!C448</f>
        <v/>
      </c>
      <c r="D448" s="68" t="str">
        <f>ASTemp!D448</f>
        <v/>
      </c>
      <c r="E448" s="65" t="str">
        <f>ASTemp!E448</f>
        <v/>
      </c>
      <c r="F448" s="69" t="str">
        <f>TEXT(ASTemp!F448,Decimals)</f>
        <v/>
      </c>
      <c r="G448" s="69" t="str">
        <f>TEXT(ASTemp!G448,Decimals)</f>
        <v/>
      </c>
      <c r="H448" s="69" t="str">
        <f>TEXT(ASTemp!H448,Decimals)</f>
        <v/>
      </c>
      <c r="I448" s="69" t="str">
        <f>TEXT(ASTemp!I448,Decimals)</f>
        <v/>
      </c>
      <c r="J448" s="69" t="str">
        <f>TEXT(ASTemp!J448,Decimals)</f>
        <v/>
      </c>
      <c r="K448" s="69" t="str">
        <f>TEXT(ASTemp!K448,Decimals)</f>
        <v/>
      </c>
      <c r="L448" s="69" t="str">
        <f>TEXT(ASTemp!L448,Decimals)</f>
        <v/>
      </c>
      <c r="M448" s="71" t="str">
        <f>TEXT(ASTemp!M448,Percentages)</f>
        <v/>
      </c>
      <c r="N448" s="72" t="str">
        <f>TEXT(ASTemp!N448,Percentages)</f>
        <v/>
      </c>
    </row>
    <row r="449" ht="14.25" customHeight="1">
      <c r="B449" s="66" t="str">
        <f>ASTemp!B449</f>
        <v/>
      </c>
      <c r="C449" s="67" t="str">
        <f>ASTemp!C449</f>
        <v/>
      </c>
      <c r="D449" s="68" t="str">
        <f>ASTemp!D449</f>
        <v/>
      </c>
      <c r="E449" s="65" t="str">
        <f>ASTemp!E449</f>
        <v/>
      </c>
      <c r="F449" s="69" t="str">
        <f>TEXT(ASTemp!F449,Decimals)</f>
        <v/>
      </c>
      <c r="G449" s="69" t="str">
        <f>TEXT(ASTemp!G449,Decimals)</f>
        <v/>
      </c>
      <c r="H449" s="69" t="str">
        <f>TEXT(ASTemp!H449,Decimals)</f>
        <v/>
      </c>
      <c r="I449" s="69" t="str">
        <f>TEXT(ASTemp!I449,Decimals)</f>
        <v/>
      </c>
      <c r="J449" s="69" t="str">
        <f>TEXT(ASTemp!J449,Decimals)</f>
        <v/>
      </c>
      <c r="K449" s="69" t="str">
        <f>TEXT(ASTemp!K449,Decimals)</f>
        <v/>
      </c>
      <c r="L449" s="69" t="str">
        <f>TEXT(ASTemp!L449,Decimals)</f>
        <v/>
      </c>
      <c r="M449" s="71" t="str">
        <f>TEXT(ASTemp!M449,Percentages)</f>
        <v/>
      </c>
      <c r="N449" s="72" t="str">
        <f>TEXT(ASTemp!N449,Percentages)</f>
        <v/>
      </c>
    </row>
    <row r="450" ht="14.25" customHeight="1">
      <c r="B450" s="66" t="str">
        <f>ASTemp!B450</f>
        <v/>
      </c>
      <c r="C450" s="67" t="str">
        <f>ASTemp!C450</f>
        <v/>
      </c>
      <c r="D450" s="68" t="str">
        <f>ASTemp!D450</f>
        <v/>
      </c>
      <c r="E450" s="65" t="str">
        <f>ASTemp!E450</f>
        <v/>
      </c>
      <c r="F450" s="69" t="str">
        <f>TEXT(ASTemp!F450,Decimals)</f>
        <v/>
      </c>
      <c r="G450" s="69" t="str">
        <f>TEXT(ASTemp!G450,Decimals)</f>
        <v/>
      </c>
      <c r="H450" s="69" t="str">
        <f>TEXT(ASTemp!H450,Decimals)</f>
        <v/>
      </c>
      <c r="I450" s="69" t="str">
        <f>TEXT(ASTemp!I450,Decimals)</f>
        <v/>
      </c>
      <c r="J450" s="69" t="str">
        <f>TEXT(ASTemp!J450,Decimals)</f>
        <v/>
      </c>
      <c r="K450" s="69" t="str">
        <f>TEXT(ASTemp!K450,Decimals)</f>
        <v/>
      </c>
      <c r="L450" s="69" t="str">
        <f>TEXT(ASTemp!L450,Decimals)</f>
        <v/>
      </c>
      <c r="M450" s="71" t="str">
        <f>TEXT(ASTemp!M450,Percentages)</f>
        <v/>
      </c>
      <c r="N450" s="72" t="str">
        <f>TEXT(ASTemp!N450,Percentages)</f>
        <v/>
      </c>
    </row>
    <row r="451" ht="14.25" customHeight="1">
      <c r="B451" s="66" t="str">
        <f>ASTemp!B451</f>
        <v/>
      </c>
      <c r="C451" s="67" t="str">
        <f>ASTemp!C451</f>
        <v/>
      </c>
      <c r="D451" s="68" t="str">
        <f>ASTemp!D451</f>
        <v/>
      </c>
      <c r="E451" s="65" t="str">
        <f>ASTemp!E451</f>
        <v/>
      </c>
      <c r="F451" s="69" t="str">
        <f>TEXT(ASTemp!F451,Decimals)</f>
        <v/>
      </c>
      <c r="G451" s="69" t="str">
        <f>TEXT(ASTemp!G451,Decimals)</f>
        <v/>
      </c>
      <c r="H451" s="69" t="str">
        <f>TEXT(ASTemp!H451,Decimals)</f>
        <v/>
      </c>
      <c r="I451" s="69" t="str">
        <f>TEXT(ASTemp!I451,Decimals)</f>
        <v/>
      </c>
      <c r="J451" s="69" t="str">
        <f>TEXT(ASTemp!J451,Decimals)</f>
        <v/>
      </c>
      <c r="K451" s="69" t="str">
        <f>TEXT(ASTemp!K451,Decimals)</f>
        <v/>
      </c>
      <c r="L451" s="69" t="str">
        <f>TEXT(ASTemp!L451,Decimals)</f>
        <v/>
      </c>
      <c r="M451" s="71" t="str">
        <f>TEXT(ASTemp!M451,Percentages)</f>
        <v/>
      </c>
      <c r="N451" s="72" t="str">
        <f>TEXT(ASTemp!N451,Percentages)</f>
        <v/>
      </c>
    </row>
    <row r="452" ht="14.25" customHeight="1">
      <c r="B452" s="66" t="str">
        <f>ASTemp!B452</f>
        <v/>
      </c>
      <c r="C452" s="67" t="str">
        <f>ASTemp!C452</f>
        <v/>
      </c>
      <c r="D452" s="68" t="str">
        <f>ASTemp!D452</f>
        <v/>
      </c>
      <c r="E452" s="65" t="str">
        <f>ASTemp!E452</f>
        <v/>
      </c>
      <c r="F452" s="69" t="str">
        <f>TEXT(ASTemp!F452,Decimals)</f>
        <v/>
      </c>
      <c r="G452" s="69" t="str">
        <f>TEXT(ASTemp!G452,Decimals)</f>
        <v/>
      </c>
      <c r="H452" s="69" t="str">
        <f>TEXT(ASTemp!H452,Decimals)</f>
        <v/>
      </c>
      <c r="I452" s="69" t="str">
        <f>TEXT(ASTemp!I452,Decimals)</f>
        <v/>
      </c>
      <c r="J452" s="69" t="str">
        <f>TEXT(ASTemp!J452,Decimals)</f>
        <v/>
      </c>
      <c r="K452" s="69" t="str">
        <f>TEXT(ASTemp!K452,Decimals)</f>
        <v/>
      </c>
      <c r="L452" s="69" t="str">
        <f>TEXT(ASTemp!L452,Decimals)</f>
        <v/>
      </c>
      <c r="M452" s="71" t="str">
        <f>TEXT(ASTemp!M452,Percentages)</f>
        <v/>
      </c>
      <c r="N452" s="72" t="str">
        <f>TEXT(ASTemp!N452,Percentages)</f>
        <v/>
      </c>
    </row>
    <row r="453" ht="14.25" customHeight="1">
      <c r="B453" s="66" t="str">
        <f>ASTemp!B453</f>
        <v/>
      </c>
      <c r="C453" s="67" t="str">
        <f>ASTemp!C453</f>
        <v/>
      </c>
      <c r="D453" s="68" t="str">
        <f>ASTemp!D453</f>
        <v/>
      </c>
      <c r="E453" s="65" t="str">
        <f>ASTemp!E453</f>
        <v/>
      </c>
      <c r="F453" s="69" t="str">
        <f>TEXT(ASTemp!F453,Decimals)</f>
        <v/>
      </c>
      <c r="G453" s="69" t="str">
        <f>TEXT(ASTemp!G453,Decimals)</f>
        <v/>
      </c>
      <c r="H453" s="69" t="str">
        <f>TEXT(ASTemp!H453,Decimals)</f>
        <v/>
      </c>
      <c r="I453" s="69" t="str">
        <f>TEXT(ASTemp!I453,Decimals)</f>
        <v/>
      </c>
      <c r="J453" s="69" t="str">
        <f>TEXT(ASTemp!J453,Decimals)</f>
        <v/>
      </c>
      <c r="K453" s="69" t="str">
        <f>TEXT(ASTemp!K453,Decimals)</f>
        <v/>
      </c>
      <c r="L453" s="69" t="str">
        <f>TEXT(ASTemp!L453,Decimals)</f>
        <v/>
      </c>
      <c r="M453" s="71" t="str">
        <f>TEXT(ASTemp!M453,Percentages)</f>
        <v/>
      </c>
      <c r="N453" s="72" t="str">
        <f>TEXT(ASTemp!N453,Percentages)</f>
        <v/>
      </c>
    </row>
    <row r="454" ht="14.25" customHeight="1">
      <c r="B454" s="66" t="str">
        <f>ASTemp!B454</f>
        <v/>
      </c>
      <c r="C454" s="67" t="str">
        <f>ASTemp!C454</f>
        <v/>
      </c>
      <c r="D454" s="68" t="str">
        <f>ASTemp!D454</f>
        <v/>
      </c>
      <c r="E454" s="65" t="str">
        <f>ASTemp!E454</f>
        <v/>
      </c>
      <c r="F454" s="69" t="str">
        <f>TEXT(ASTemp!F454,Decimals)</f>
        <v/>
      </c>
      <c r="G454" s="69" t="str">
        <f>TEXT(ASTemp!G454,Decimals)</f>
        <v/>
      </c>
      <c r="H454" s="69" t="str">
        <f>TEXT(ASTemp!H454,Decimals)</f>
        <v/>
      </c>
      <c r="I454" s="69" t="str">
        <f>TEXT(ASTemp!I454,Decimals)</f>
        <v/>
      </c>
      <c r="J454" s="69" t="str">
        <f>TEXT(ASTemp!J454,Decimals)</f>
        <v/>
      </c>
      <c r="K454" s="69" t="str">
        <f>TEXT(ASTemp!K454,Decimals)</f>
        <v/>
      </c>
      <c r="L454" s="69" t="str">
        <f>TEXT(ASTemp!L454,Decimals)</f>
        <v/>
      </c>
      <c r="M454" s="71" t="str">
        <f>TEXT(ASTemp!M454,Percentages)</f>
        <v/>
      </c>
      <c r="N454" s="72" t="str">
        <f>TEXT(ASTemp!N454,Percentages)</f>
        <v/>
      </c>
    </row>
    <row r="455" ht="14.25" customHeight="1">
      <c r="B455" s="66" t="str">
        <f>ASTemp!B455</f>
        <v/>
      </c>
      <c r="C455" s="67" t="str">
        <f>ASTemp!C455</f>
        <v/>
      </c>
      <c r="D455" s="68" t="str">
        <f>ASTemp!D455</f>
        <v/>
      </c>
      <c r="E455" s="65" t="str">
        <f>ASTemp!E455</f>
        <v/>
      </c>
      <c r="F455" s="69" t="str">
        <f>TEXT(ASTemp!F455,Decimals)</f>
        <v/>
      </c>
      <c r="G455" s="69" t="str">
        <f>TEXT(ASTemp!G455,Decimals)</f>
        <v/>
      </c>
      <c r="H455" s="69" t="str">
        <f>TEXT(ASTemp!H455,Decimals)</f>
        <v/>
      </c>
      <c r="I455" s="69" t="str">
        <f>TEXT(ASTemp!I455,Decimals)</f>
        <v/>
      </c>
      <c r="J455" s="69" t="str">
        <f>TEXT(ASTemp!J455,Decimals)</f>
        <v/>
      </c>
      <c r="K455" s="69" t="str">
        <f>TEXT(ASTemp!K455,Decimals)</f>
        <v/>
      </c>
      <c r="L455" s="69" t="str">
        <f>TEXT(ASTemp!L455,Decimals)</f>
        <v/>
      </c>
      <c r="M455" s="71" t="str">
        <f>TEXT(ASTemp!M455,Percentages)</f>
        <v/>
      </c>
      <c r="N455" s="72" t="str">
        <f>TEXT(ASTemp!N455,Percentages)</f>
        <v/>
      </c>
    </row>
    <row r="456" ht="14.25" customHeight="1">
      <c r="B456" s="66" t="str">
        <f>ASTemp!B456</f>
        <v/>
      </c>
      <c r="C456" s="67" t="str">
        <f>ASTemp!C456</f>
        <v/>
      </c>
      <c r="D456" s="68" t="str">
        <f>ASTemp!D456</f>
        <v/>
      </c>
      <c r="E456" s="65" t="str">
        <f>ASTemp!E456</f>
        <v/>
      </c>
      <c r="F456" s="69" t="str">
        <f>TEXT(ASTemp!F456,Decimals)</f>
        <v/>
      </c>
      <c r="G456" s="69" t="str">
        <f>TEXT(ASTemp!G456,Decimals)</f>
        <v/>
      </c>
      <c r="H456" s="69" t="str">
        <f>TEXT(ASTemp!H456,Decimals)</f>
        <v/>
      </c>
      <c r="I456" s="69" t="str">
        <f>TEXT(ASTemp!I456,Decimals)</f>
        <v/>
      </c>
      <c r="J456" s="69" t="str">
        <f>TEXT(ASTemp!J456,Decimals)</f>
        <v/>
      </c>
      <c r="K456" s="69" t="str">
        <f>TEXT(ASTemp!K456,Decimals)</f>
        <v/>
      </c>
      <c r="L456" s="69" t="str">
        <f>TEXT(ASTemp!L456,Decimals)</f>
        <v/>
      </c>
      <c r="M456" s="71" t="str">
        <f>TEXT(ASTemp!M456,Percentages)</f>
        <v/>
      </c>
      <c r="N456" s="72" t="str">
        <f>TEXT(ASTemp!N456,Percentages)</f>
        <v/>
      </c>
    </row>
    <row r="457" ht="14.25" customHeight="1">
      <c r="B457" s="66" t="str">
        <f>ASTemp!B457</f>
        <v/>
      </c>
      <c r="C457" s="67" t="str">
        <f>ASTemp!C457</f>
        <v/>
      </c>
      <c r="D457" s="68" t="str">
        <f>ASTemp!D457</f>
        <v/>
      </c>
      <c r="E457" s="65" t="str">
        <f>ASTemp!E457</f>
        <v/>
      </c>
      <c r="F457" s="69" t="str">
        <f>TEXT(ASTemp!F457,Decimals)</f>
        <v/>
      </c>
      <c r="G457" s="69" t="str">
        <f>TEXT(ASTemp!G457,Decimals)</f>
        <v/>
      </c>
      <c r="H457" s="69" t="str">
        <f>TEXT(ASTemp!H457,Decimals)</f>
        <v/>
      </c>
      <c r="I457" s="69" t="str">
        <f>TEXT(ASTemp!I457,Decimals)</f>
        <v/>
      </c>
      <c r="J457" s="69" t="str">
        <f>TEXT(ASTemp!J457,Decimals)</f>
        <v/>
      </c>
      <c r="K457" s="69" t="str">
        <f>TEXT(ASTemp!K457,Decimals)</f>
        <v/>
      </c>
      <c r="L457" s="69" t="str">
        <f>TEXT(ASTemp!L457,Decimals)</f>
        <v/>
      </c>
      <c r="M457" s="71" t="str">
        <f>TEXT(ASTemp!M457,Percentages)</f>
        <v/>
      </c>
      <c r="N457" s="72" t="str">
        <f>TEXT(ASTemp!N457,Percentages)</f>
        <v/>
      </c>
    </row>
    <row r="458" ht="14.25" customHeight="1">
      <c r="B458" s="66" t="str">
        <f>ASTemp!B458</f>
        <v/>
      </c>
      <c r="C458" s="67" t="str">
        <f>ASTemp!C458</f>
        <v/>
      </c>
      <c r="D458" s="68" t="str">
        <f>ASTemp!D458</f>
        <v/>
      </c>
      <c r="E458" s="65" t="str">
        <f>ASTemp!E458</f>
        <v/>
      </c>
      <c r="F458" s="69" t="str">
        <f>TEXT(ASTemp!F458,Decimals)</f>
        <v/>
      </c>
      <c r="G458" s="69" t="str">
        <f>TEXT(ASTemp!G458,Decimals)</f>
        <v/>
      </c>
      <c r="H458" s="69" t="str">
        <f>TEXT(ASTemp!H458,Decimals)</f>
        <v/>
      </c>
      <c r="I458" s="69" t="str">
        <f>TEXT(ASTemp!I458,Decimals)</f>
        <v/>
      </c>
      <c r="J458" s="69" t="str">
        <f>TEXT(ASTemp!J458,Decimals)</f>
        <v/>
      </c>
      <c r="K458" s="69" t="str">
        <f>TEXT(ASTemp!K458,Decimals)</f>
        <v/>
      </c>
      <c r="L458" s="69" t="str">
        <f>TEXT(ASTemp!L458,Decimals)</f>
        <v/>
      </c>
      <c r="M458" s="71" t="str">
        <f>TEXT(ASTemp!M458,Percentages)</f>
        <v/>
      </c>
      <c r="N458" s="72" t="str">
        <f>TEXT(ASTemp!N458,Percentages)</f>
        <v/>
      </c>
    </row>
    <row r="459" ht="14.25" customHeight="1">
      <c r="B459" s="66" t="str">
        <f>ASTemp!B459</f>
        <v/>
      </c>
      <c r="C459" s="67" t="str">
        <f>ASTemp!C459</f>
        <v/>
      </c>
      <c r="D459" s="68" t="str">
        <f>ASTemp!D459</f>
        <v/>
      </c>
      <c r="E459" s="65" t="str">
        <f>ASTemp!E459</f>
        <v/>
      </c>
      <c r="F459" s="69" t="str">
        <f>TEXT(ASTemp!F459,Decimals)</f>
        <v/>
      </c>
      <c r="G459" s="69" t="str">
        <f>TEXT(ASTemp!G459,Decimals)</f>
        <v/>
      </c>
      <c r="H459" s="69" t="str">
        <f>TEXT(ASTemp!H459,Decimals)</f>
        <v/>
      </c>
      <c r="I459" s="69" t="str">
        <f>TEXT(ASTemp!I459,Decimals)</f>
        <v/>
      </c>
      <c r="J459" s="69" t="str">
        <f>TEXT(ASTemp!J459,Decimals)</f>
        <v/>
      </c>
      <c r="K459" s="69" t="str">
        <f>TEXT(ASTemp!K459,Decimals)</f>
        <v/>
      </c>
      <c r="L459" s="69" t="str">
        <f>TEXT(ASTemp!L459,Decimals)</f>
        <v/>
      </c>
      <c r="M459" s="71" t="str">
        <f>TEXT(ASTemp!M459,Percentages)</f>
        <v/>
      </c>
      <c r="N459" s="72" t="str">
        <f>TEXT(ASTemp!N459,Percentages)</f>
        <v/>
      </c>
    </row>
    <row r="460" ht="14.25" customHeight="1">
      <c r="B460" s="66" t="str">
        <f>ASTemp!B460</f>
        <v/>
      </c>
      <c r="C460" s="67" t="str">
        <f>ASTemp!C460</f>
        <v/>
      </c>
      <c r="D460" s="68" t="str">
        <f>ASTemp!D460</f>
        <v/>
      </c>
      <c r="E460" s="65" t="str">
        <f>ASTemp!E460</f>
        <v/>
      </c>
      <c r="F460" s="69" t="str">
        <f>TEXT(ASTemp!F460,Decimals)</f>
        <v/>
      </c>
      <c r="G460" s="69" t="str">
        <f>TEXT(ASTemp!G460,Decimals)</f>
        <v/>
      </c>
      <c r="H460" s="69" t="str">
        <f>TEXT(ASTemp!H460,Decimals)</f>
        <v/>
      </c>
      <c r="I460" s="69" t="str">
        <f>TEXT(ASTemp!I460,Decimals)</f>
        <v/>
      </c>
      <c r="J460" s="69" t="str">
        <f>TEXT(ASTemp!J460,Decimals)</f>
        <v/>
      </c>
      <c r="K460" s="69" t="str">
        <f>TEXT(ASTemp!K460,Decimals)</f>
        <v/>
      </c>
      <c r="L460" s="69" t="str">
        <f>TEXT(ASTemp!L460,Decimals)</f>
        <v/>
      </c>
      <c r="M460" s="71" t="str">
        <f>TEXT(ASTemp!M460,Percentages)</f>
        <v/>
      </c>
      <c r="N460" s="72" t="str">
        <f>TEXT(ASTemp!N460,Percentages)</f>
        <v/>
      </c>
    </row>
    <row r="461" ht="14.25" customHeight="1">
      <c r="B461" s="66" t="str">
        <f>ASTemp!B461</f>
        <v/>
      </c>
      <c r="C461" s="67" t="str">
        <f>ASTemp!C461</f>
        <v/>
      </c>
      <c r="D461" s="68" t="str">
        <f>ASTemp!D461</f>
        <v/>
      </c>
      <c r="E461" s="65" t="str">
        <f>ASTemp!E461</f>
        <v/>
      </c>
      <c r="F461" s="69" t="str">
        <f>TEXT(ASTemp!F461,Decimals)</f>
        <v/>
      </c>
      <c r="G461" s="69" t="str">
        <f>TEXT(ASTemp!G461,Decimals)</f>
        <v/>
      </c>
      <c r="H461" s="69" t="str">
        <f>TEXT(ASTemp!H461,Decimals)</f>
        <v/>
      </c>
      <c r="I461" s="69" t="str">
        <f>TEXT(ASTemp!I461,Decimals)</f>
        <v/>
      </c>
      <c r="J461" s="69" t="str">
        <f>TEXT(ASTemp!J461,Decimals)</f>
        <v/>
      </c>
      <c r="K461" s="69" t="str">
        <f>TEXT(ASTemp!K461,Decimals)</f>
        <v/>
      </c>
      <c r="L461" s="69" t="str">
        <f>TEXT(ASTemp!L461,Decimals)</f>
        <v/>
      </c>
      <c r="M461" s="71" t="str">
        <f>TEXT(ASTemp!M461,Percentages)</f>
        <v/>
      </c>
      <c r="N461" s="72" t="str">
        <f>TEXT(ASTemp!N461,Percentages)</f>
        <v/>
      </c>
    </row>
    <row r="462" ht="14.25" customHeight="1">
      <c r="B462" s="66" t="str">
        <f>ASTemp!B462</f>
        <v/>
      </c>
      <c r="C462" s="67" t="str">
        <f>ASTemp!C462</f>
        <v/>
      </c>
      <c r="D462" s="68" t="str">
        <f>ASTemp!D462</f>
        <v/>
      </c>
      <c r="E462" s="65" t="str">
        <f>ASTemp!E462</f>
        <v/>
      </c>
      <c r="F462" s="69" t="str">
        <f>TEXT(ASTemp!F462,Decimals)</f>
        <v/>
      </c>
      <c r="G462" s="69" t="str">
        <f>TEXT(ASTemp!G462,Decimals)</f>
        <v/>
      </c>
      <c r="H462" s="69" t="str">
        <f>TEXT(ASTemp!H462,Decimals)</f>
        <v/>
      </c>
      <c r="I462" s="69" t="str">
        <f>TEXT(ASTemp!I462,Decimals)</f>
        <v/>
      </c>
      <c r="J462" s="69" t="str">
        <f>TEXT(ASTemp!J462,Decimals)</f>
        <v/>
      </c>
      <c r="K462" s="69" t="str">
        <f>TEXT(ASTemp!K462,Decimals)</f>
        <v/>
      </c>
      <c r="L462" s="69" t="str">
        <f>TEXT(ASTemp!L462,Decimals)</f>
        <v/>
      </c>
      <c r="M462" s="71" t="str">
        <f>TEXT(ASTemp!M462,Percentages)</f>
        <v/>
      </c>
      <c r="N462" s="72" t="str">
        <f>TEXT(ASTemp!N462,Percentages)</f>
        <v/>
      </c>
    </row>
    <row r="463" ht="14.25" customHeight="1">
      <c r="B463" s="66" t="str">
        <f>ASTemp!B463</f>
        <v/>
      </c>
      <c r="C463" s="67" t="str">
        <f>ASTemp!C463</f>
        <v/>
      </c>
      <c r="D463" s="68" t="str">
        <f>ASTemp!D463</f>
        <v/>
      </c>
      <c r="E463" s="65" t="str">
        <f>ASTemp!E463</f>
        <v/>
      </c>
      <c r="F463" s="69" t="str">
        <f>TEXT(ASTemp!F463,Decimals)</f>
        <v/>
      </c>
      <c r="G463" s="69" t="str">
        <f>TEXT(ASTemp!G463,Decimals)</f>
        <v/>
      </c>
      <c r="H463" s="69" t="str">
        <f>TEXT(ASTemp!H463,Decimals)</f>
        <v/>
      </c>
      <c r="I463" s="69" t="str">
        <f>TEXT(ASTemp!I463,Decimals)</f>
        <v/>
      </c>
      <c r="J463" s="69" t="str">
        <f>TEXT(ASTemp!J463,Decimals)</f>
        <v/>
      </c>
      <c r="K463" s="69" t="str">
        <f>TEXT(ASTemp!K463,Decimals)</f>
        <v/>
      </c>
      <c r="L463" s="69" t="str">
        <f>TEXT(ASTemp!L463,Decimals)</f>
        <v/>
      </c>
      <c r="M463" s="71" t="str">
        <f>TEXT(ASTemp!M463,Percentages)</f>
        <v/>
      </c>
      <c r="N463" s="72" t="str">
        <f>TEXT(ASTemp!N463,Percentages)</f>
        <v/>
      </c>
    </row>
    <row r="464" ht="14.25" customHeight="1">
      <c r="B464" s="66" t="str">
        <f>ASTemp!B464</f>
        <v/>
      </c>
      <c r="C464" s="67" t="str">
        <f>ASTemp!C464</f>
        <v/>
      </c>
      <c r="D464" s="68" t="str">
        <f>ASTemp!D464</f>
        <v/>
      </c>
      <c r="E464" s="65" t="str">
        <f>ASTemp!E464</f>
        <v/>
      </c>
      <c r="F464" s="69" t="str">
        <f>TEXT(ASTemp!F464,Decimals)</f>
        <v/>
      </c>
      <c r="G464" s="69" t="str">
        <f>TEXT(ASTemp!G464,Decimals)</f>
        <v/>
      </c>
      <c r="H464" s="69" t="str">
        <f>TEXT(ASTemp!H464,Decimals)</f>
        <v/>
      </c>
      <c r="I464" s="69" t="str">
        <f>TEXT(ASTemp!I464,Decimals)</f>
        <v/>
      </c>
      <c r="J464" s="69" t="str">
        <f>TEXT(ASTemp!J464,Decimals)</f>
        <v/>
      </c>
      <c r="K464" s="69" t="str">
        <f>TEXT(ASTemp!K464,Decimals)</f>
        <v/>
      </c>
      <c r="L464" s="69" t="str">
        <f>TEXT(ASTemp!L464,Decimals)</f>
        <v/>
      </c>
      <c r="M464" s="71" t="str">
        <f>TEXT(ASTemp!M464,Percentages)</f>
        <v/>
      </c>
      <c r="N464" s="72" t="str">
        <f>TEXT(ASTemp!N464,Percentages)</f>
        <v/>
      </c>
    </row>
    <row r="465" ht="14.25" customHeight="1">
      <c r="B465" s="66" t="str">
        <f>ASTemp!B465</f>
        <v/>
      </c>
      <c r="C465" s="67" t="str">
        <f>ASTemp!C465</f>
        <v/>
      </c>
      <c r="D465" s="68" t="str">
        <f>ASTemp!D465</f>
        <v/>
      </c>
      <c r="E465" s="65" t="str">
        <f>ASTemp!E465</f>
        <v/>
      </c>
      <c r="F465" s="69" t="str">
        <f>TEXT(ASTemp!F465,Decimals)</f>
        <v/>
      </c>
      <c r="G465" s="69" t="str">
        <f>TEXT(ASTemp!G465,Decimals)</f>
        <v/>
      </c>
      <c r="H465" s="69" t="str">
        <f>TEXT(ASTemp!H465,Decimals)</f>
        <v/>
      </c>
      <c r="I465" s="69" t="str">
        <f>TEXT(ASTemp!I465,Decimals)</f>
        <v/>
      </c>
      <c r="J465" s="69" t="str">
        <f>TEXT(ASTemp!J465,Decimals)</f>
        <v/>
      </c>
      <c r="K465" s="69" t="str">
        <f>TEXT(ASTemp!K465,Decimals)</f>
        <v/>
      </c>
      <c r="L465" s="69" t="str">
        <f>TEXT(ASTemp!L465,Decimals)</f>
        <v/>
      </c>
      <c r="M465" s="71" t="str">
        <f>TEXT(ASTemp!M465,Percentages)</f>
        <v/>
      </c>
      <c r="N465" s="72" t="str">
        <f>TEXT(ASTemp!N465,Percentages)</f>
        <v/>
      </c>
    </row>
    <row r="466" ht="14.25" customHeight="1">
      <c r="B466" s="66" t="str">
        <f>ASTemp!B466</f>
        <v/>
      </c>
      <c r="C466" s="67" t="str">
        <f>ASTemp!C466</f>
        <v/>
      </c>
      <c r="D466" s="68" t="str">
        <f>ASTemp!D466</f>
        <v/>
      </c>
      <c r="E466" s="65" t="str">
        <f>ASTemp!E466</f>
        <v/>
      </c>
      <c r="F466" s="69" t="str">
        <f>TEXT(ASTemp!F466,Decimals)</f>
        <v/>
      </c>
      <c r="G466" s="69" t="str">
        <f>TEXT(ASTemp!G466,Decimals)</f>
        <v/>
      </c>
      <c r="H466" s="69" t="str">
        <f>TEXT(ASTemp!H466,Decimals)</f>
        <v/>
      </c>
      <c r="I466" s="69" t="str">
        <f>TEXT(ASTemp!I466,Decimals)</f>
        <v/>
      </c>
      <c r="J466" s="69" t="str">
        <f>TEXT(ASTemp!J466,Decimals)</f>
        <v/>
      </c>
      <c r="K466" s="69" t="str">
        <f>TEXT(ASTemp!K466,Decimals)</f>
        <v/>
      </c>
      <c r="L466" s="69" t="str">
        <f>TEXT(ASTemp!L466,Decimals)</f>
        <v/>
      </c>
      <c r="M466" s="71" t="str">
        <f>TEXT(ASTemp!M466,Percentages)</f>
        <v/>
      </c>
      <c r="N466" s="72" t="str">
        <f>TEXT(ASTemp!N466,Percentages)</f>
        <v/>
      </c>
    </row>
    <row r="467" ht="14.25" customHeight="1">
      <c r="B467" s="66" t="str">
        <f>ASTemp!B467</f>
        <v/>
      </c>
      <c r="C467" s="67" t="str">
        <f>ASTemp!C467</f>
        <v/>
      </c>
      <c r="D467" s="68" t="str">
        <f>ASTemp!D467</f>
        <v/>
      </c>
      <c r="E467" s="65" t="str">
        <f>ASTemp!E467</f>
        <v/>
      </c>
      <c r="F467" s="69" t="str">
        <f>TEXT(ASTemp!F467,Decimals)</f>
        <v/>
      </c>
      <c r="G467" s="69" t="str">
        <f>TEXT(ASTemp!G467,Decimals)</f>
        <v/>
      </c>
      <c r="H467" s="69" t="str">
        <f>TEXT(ASTemp!H467,Decimals)</f>
        <v/>
      </c>
      <c r="I467" s="69" t="str">
        <f>TEXT(ASTemp!I467,Decimals)</f>
        <v/>
      </c>
      <c r="J467" s="69" t="str">
        <f>TEXT(ASTemp!J467,Decimals)</f>
        <v/>
      </c>
      <c r="K467" s="69" t="str">
        <f>TEXT(ASTemp!K467,Decimals)</f>
        <v/>
      </c>
      <c r="L467" s="69" t="str">
        <f>TEXT(ASTemp!L467,Decimals)</f>
        <v/>
      </c>
      <c r="M467" s="71" t="str">
        <f>TEXT(ASTemp!M467,Percentages)</f>
        <v/>
      </c>
      <c r="N467" s="72" t="str">
        <f>TEXT(ASTemp!N467,Percentages)</f>
        <v/>
      </c>
    </row>
    <row r="468" ht="14.25" customHeight="1">
      <c r="B468" s="66" t="str">
        <f>ASTemp!B468</f>
        <v/>
      </c>
      <c r="C468" s="67" t="str">
        <f>ASTemp!C468</f>
        <v/>
      </c>
      <c r="D468" s="68" t="str">
        <f>ASTemp!D468</f>
        <v/>
      </c>
      <c r="E468" s="65" t="str">
        <f>ASTemp!E468</f>
        <v/>
      </c>
      <c r="F468" s="69" t="str">
        <f>TEXT(ASTemp!F468,Decimals)</f>
        <v/>
      </c>
      <c r="G468" s="69" t="str">
        <f>TEXT(ASTemp!G468,Decimals)</f>
        <v/>
      </c>
      <c r="H468" s="69" t="str">
        <f>TEXT(ASTemp!H468,Decimals)</f>
        <v/>
      </c>
      <c r="I468" s="69" t="str">
        <f>TEXT(ASTemp!I468,Decimals)</f>
        <v/>
      </c>
      <c r="J468" s="69" t="str">
        <f>TEXT(ASTemp!J468,Decimals)</f>
        <v/>
      </c>
      <c r="K468" s="69" t="str">
        <f>TEXT(ASTemp!K468,Decimals)</f>
        <v/>
      </c>
      <c r="L468" s="69" t="str">
        <f>TEXT(ASTemp!L468,Decimals)</f>
        <v/>
      </c>
      <c r="M468" s="71" t="str">
        <f>TEXT(ASTemp!M468,Percentages)</f>
        <v/>
      </c>
      <c r="N468" s="72" t="str">
        <f>TEXT(ASTemp!N468,Percentages)</f>
        <v/>
      </c>
    </row>
    <row r="469" ht="14.25" customHeight="1">
      <c r="B469" s="66" t="str">
        <f>ASTemp!B469</f>
        <v/>
      </c>
      <c r="C469" s="67" t="str">
        <f>ASTemp!C469</f>
        <v/>
      </c>
      <c r="D469" s="68" t="str">
        <f>ASTemp!D469</f>
        <v/>
      </c>
      <c r="E469" s="65" t="str">
        <f>ASTemp!E469</f>
        <v/>
      </c>
      <c r="F469" s="69" t="str">
        <f>TEXT(ASTemp!F469,Decimals)</f>
        <v/>
      </c>
      <c r="G469" s="69" t="str">
        <f>TEXT(ASTemp!G469,Decimals)</f>
        <v/>
      </c>
      <c r="H469" s="69" t="str">
        <f>TEXT(ASTemp!H469,Decimals)</f>
        <v/>
      </c>
      <c r="I469" s="69" t="str">
        <f>TEXT(ASTemp!I469,Decimals)</f>
        <v/>
      </c>
      <c r="J469" s="69" t="str">
        <f>TEXT(ASTemp!J469,Decimals)</f>
        <v/>
      </c>
      <c r="K469" s="69" t="str">
        <f>TEXT(ASTemp!K469,Decimals)</f>
        <v/>
      </c>
      <c r="L469" s="69" t="str">
        <f>TEXT(ASTemp!L469,Decimals)</f>
        <v/>
      </c>
      <c r="M469" s="71" t="str">
        <f>TEXT(ASTemp!M469,Percentages)</f>
        <v/>
      </c>
      <c r="N469" s="72" t="str">
        <f>TEXT(ASTemp!N469,Percentages)</f>
        <v/>
      </c>
    </row>
    <row r="470" ht="14.25" customHeight="1">
      <c r="B470" s="66" t="str">
        <f>ASTemp!B470</f>
        <v/>
      </c>
      <c r="C470" s="67" t="str">
        <f>ASTemp!C470</f>
        <v/>
      </c>
      <c r="D470" s="68" t="str">
        <f>ASTemp!D470</f>
        <v/>
      </c>
      <c r="E470" s="65" t="str">
        <f>ASTemp!E470</f>
        <v/>
      </c>
      <c r="F470" s="69" t="str">
        <f>TEXT(ASTemp!F470,Decimals)</f>
        <v/>
      </c>
      <c r="G470" s="69" t="str">
        <f>TEXT(ASTemp!G470,Decimals)</f>
        <v/>
      </c>
      <c r="H470" s="69" t="str">
        <f>TEXT(ASTemp!H470,Decimals)</f>
        <v/>
      </c>
      <c r="I470" s="69" t="str">
        <f>TEXT(ASTemp!I470,Decimals)</f>
        <v/>
      </c>
      <c r="J470" s="69" t="str">
        <f>TEXT(ASTemp!J470,Decimals)</f>
        <v/>
      </c>
      <c r="K470" s="69" t="str">
        <f>TEXT(ASTemp!K470,Decimals)</f>
        <v/>
      </c>
      <c r="L470" s="69" t="str">
        <f>TEXT(ASTemp!L470,Decimals)</f>
        <v/>
      </c>
      <c r="M470" s="71" t="str">
        <f>TEXT(ASTemp!M470,Percentages)</f>
        <v/>
      </c>
      <c r="N470" s="72" t="str">
        <f>TEXT(ASTemp!N470,Percentages)</f>
        <v/>
      </c>
    </row>
    <row r="471" ht="14.25" customHeight="1">
      <c r="B471" s="66" t="str">
        <f>ASTemp!B471</f>
        <v/>
      </c>
      <c r="C471" s="67" t="str">
        <f>ASTemp!C471</f>
        <v/>
      </c>
      <c r="D471" s="68" t="str">
        <f>ASTemp!D471</f>
        <v/>
      </c>
      <c r="E471" s="65" t="str">
        <f>ASTemp!E471</f>
        <v/>
      </c>
      <c r="F471" s="69" t="str">
        <f>TEXT(ASTemp!F471,Decimals)</f>
        <v/>
      </c>
      <c r="G471" s="69" t="str">
        <f>TEXT(ASTemp!G471,Decimals)</f>
        <v/>
      </c>
      <c r="H471" s="69" t="str">
        <f>TEXT(ASTemp!H471,Decimals)</f>
        <v/>
      </c>
      <c r="I471" s="69" t="str">
        <f>TEXT(ASTemp!I471,Decimals)</f>
        <v/>
      </c>
      <c r="J471" s="69" t="str">
        <f>TEXT(ASTemp!J471,Decimals)</f>
        <v/>
      </c>
      <c r="K471" s="69" t="str">
        <f>TEXT(ASTemp!K471,Decimals)</f>
        <v/>
      </c>
      <c r="L471" s="69" t="str">
        <f>TEXT(ASTemp!L471,Decimals)</f>
        <v/>
      </c>
      <c r="M471" s="71" t="str">
        <f>TEXT(ASTemp!M471,Percentages)</f>
        <v/>
      </c>
      <c r="N471" s="72" t="str">
        <f>TEXT(ASTemp!N471,Percentages)</f>
        <v/>
      </c>
    </row>
    <row r="472" ht="14.25" customHeight="1">
      <c r="B472" s="66" t="str">
        <f>ASTemp!B472</f>
        <v/>
      </c>
      <c r="C472" s="67" t="str">
        <f>ASTemp!C472</f>
        <v/>
      </c>
      <c r="D472" s="68" t="str">
        <f>ASTemp!D472</f>
        <v/>
      </c>
      <c r="E472" s="65" t="str">
        <f>ASTemp!E472</f>
        <v/>
      </c>
      <c r="F472" s="69" t="str">
        <f>TEXT(ASTemp!F472,Decimals)</f>
        <v/>
      </c>
      <c r="G472" s="69" t="str">
        <f>TEXT(ASTemp!G472,Decimals)</f>
        <v/>
      </c>
      <c r="H472" s="69" t="str">
        <f>TEXT(ASTemp!H472,Decimals)</f>
        <v/>
      </c>
      <c r="I472" s="69" t="str">
        <f>TEXT(ASTemp!I472,Decimals)</f>
        <v/>
      </c>
      <c r="J472" s="69" t="str">
        <f>TEXT(ASTemp!J472,Decimals)</f>
        <v/>
      </c>
      <c r="K472" s="69" t="str">
        <f>TEXT(ASTemp!K472,Decimals)</f>
        <v/>
      </c>
      <c r="L472" s="69" t="str">
        <f>TEXT(ASTemp!L472,Decimals)</f>
        <v/>
      </c>
      <c r="M472" s="71" t="str">
        <f>TEXT(ASTemp!M472,Percentages)</f>
        <v/>
      </c>
      <c r="N472" s="72" t="str">
        <f>TEXT(ASTemp!N472,Percentages)</f>
        <v/>
      </c>
    </row>
    <row r="473" ht="14.25" customHeight="1">
      <c r="B473" s="66" t="str">
        <f>ASTemp!B473</f>
        <v/>
      </c>
      <c r="C473" s="67" t="str">
        <f>ASTemp!C473</f>
        <v/>
      </c>
      <c r="D473" s="68" t="str">
        <f>ASTemp!D473</f>
        <v/>
      </c>
      <c r="E473" s="65" t="str">
        <f>ASTemp!E473</f>
        <v/>
      </c>
      <c r="F473" s="69" t="str">
        <f>TEXT(ASTemp!F473,Decimals)</f>
        <v/>
      </c>
      <c r="G473" s="69" t="str">
        <f>TEXT(ASTemp!G473,Decimals)</f>
        <v/>
      </c>
      <c r="H473" s="69" t="str">
        <f>TEXT(ASTemp!H473,Decimals)</f>
        <v/>
      </c>
      <c r="I473" s="69" t="str">
        <f>TEXT(ASTemp!I473,Decimals)</f>
        <v/>
      </c>
      <c r="J473" s="69" t="str">
        <f>TEXT(ASTemp!J473,Decimals)</f>
        <v/>
      </c>
      <c r="K473" s="69" t="str">
        <f>TEXT(ASTemp!K473,Decimals)</f>
        <v/>
      </c>
      <c r="L473" s="69" t="str">
        <f>TEXT(ASTemp!L473,Decimals)</f>
        <v/>
      </c>
      <c r="M473" s="71" t="str">
        <f>TEXT(ASTemp!M473,Percentages)</f>
        <v/>
      </c>
      <c r="N473" s="72" t="str">
        <f>TEXT(ASTemp!N473,Percentages)</f>
        <v/>
      </c>
    </row>
    <row r="474" ht="14.25" customHeight="1">
      <c r="B474" s="66" t="str">
        <f>ASTemp!B474</f>
        <v/>
      </c>
      <c r="C474" s="67" t="str">
        <f>ASTemp!C474</f>
        <v/>
      </c>
      <c r="D474" s="68" t="str">
        <f>ASTemp!D474</f>
        <v/>
      </c>
      <c r="E474" s="65" t="str">
        <f>ASTemp!E474</f>
        <v/>
      </c>
      <c r="F474" s="69" t="str">
        <f>TEXT(ASTemp!F474,Decimals)</f>
        <v/>
      </c>
      <c r="G474" s="69" t="str">
        <f>TEXT(ASTemp!G474,Decimals)</f>
        <v/>
      </c>
      <c r="H474" s="69" t="str">
        <f>TEXT(ASTemp!H474,Decimals)</f>
        <v/>
      </c>
      <c r="I474" s="69" t="str">
        <f>TEXT(ASTemp!I474,Decimals)</f>
        <v/>
      </c>
      <c r="J474" s="69" t="str">
        <f>TEXT(ASTemp!J474,Decimals)</f>
        <v/>
      </c>
      <c r="K474" s="69" t="str">
        <f>TEXT(ASTemp!K474,Decimals)</f>
        <v/>
      </c>
      <c r="L474" s="69" t="str">
        <f>TEXT(ASTemp!L474,Decimals)</f>
        <v/>
      </c>
      <c r="M474" s="71" t="str">
        <f>TEXT(ASTemp!M474,Percentages)</f>
        <v/>
      </c>
      <c r="N474" s="72" t="str">
        <f>TEXT(ASTemp!N474,Percentages)</f>
        <v/>
      </c>
    </row>
    <row r="475" ht="14.25" customHeight="1">
      <c r="B475" s="66" t="str">
        <f>ASTemp!B475</f>
        <v/>
      </c>
      <c r="C475" s="67" t="str">
        <f>ASTemp!C475</f>
        <v/>
      </c>
      <c r="D475" s="68" t="str">
        <f>ASTemp!D475</f>
        <v/>
      </c>
      <c r="E475" s="65" t="str">
        <f>ASTemp!E475</f>
        <v/>
      </c>
      <c r="F475" s="69" t="str">
        <f>TEXT(ASTemp!F475,Decimals)</f>
        <v/>
      </c>
      <c r="G475" s="69" t="str">
        <f>TEXT(ASTemp!G475,Decimals)</f>
        <v/>
      </c>
      <c r="H475" s="69" t="str">
        <f>TEXT(ASTemp!H475,Decimals)</f>
        <v/>
      </c>
      <c r="I475" s="69" t="str">
        <f>TEXT(ASTemp!I475,Decimals)</f>
        <v/>
      </c>
      <c r="J475" s="69" t="str">
        <f>TEXT(ASTemp!J475,Decimals)</f>
        <v/>
      </c>
      <c r="K475" s="69" t="str">
        <f>TEXT(ASTemp!K475,Decimals)</f>
        <v/>
      </c>
      <c r="L475" s="69" t="str">
        <f>TEXT(ASTemp!L475,Decimals)</f>
        <v/>
      </c>
      <c r="M475" s="71" t="str">
        <f>TEXT(ASTemp!M475,Percentages)</f>
        <v/>
      </c>
      <c r="N475" s="72" t="str">
        <f>TEXT(ASTemp!N475,Percentages)</f>
        <v/>
      </c>
    </row>
    <row r="476" ht="14.25" customHeight="1">
      <c r="B476" s="66" t="str">
        <f>ASTemp!B476</f>
        <v/>
      </c>
      <c r="C476" s="67" t="str">
        <f>ASTemp!C476</f>
        <v/>
      </c>
      <c r="D476" s="68" t="str">
        <f>ASTemp!D476</f>
        <v/>
      </c>
      <c r="E476" s="65" t="str">
        <f>ASTemp!E476</f>
        <v/>
      </c>
      <c r="F476" s="69" t="str">
        <f>TEXT(ASTemp!F476,Decimals)</f>
        <v/>
      </c>
      <c r="G476" s="69" t="str">
        <f>TEXT(ASTemp!G476,Decimals)</f>
        <v/>
      </c>
      <c r="H476" s="69" t="str">
        <f>TEXT(ASTemp!H476,Decimals)</f>
        <v/>
      </c>
      <c r="I476" s="69" t="str">
        <f>TEXT(ASTemp!I476,Decimals)</f>
        <v/>
      </c>
      <c r="J476" s="69" t="str">
        <f>TEXT(ASTemp!J476,Decimals)</f>
        <v/>
      </c>
      <c r="K476" s="69" t="str">
        <f>TEXT(ASTemp!K476,Decimals)</f>
        <v/>
      </c>
      <c r="L476" s="69" t="str">
        <f>TEXT(ASTemp!L476,Decimals)</f>
        <v/>
      </c>
      <c r="M476" s="71" t="str">
        <f>TEXT(ASTemp!M476,Percentages)</f>
        <v/>
      </c>
      <c r="N476" s="72" t="str">
        <f>TEXT(ASTemp!N476,Percentages)</f>
        <v/>
      </c>
    </row>
    <row r="477" ht="14.25" customHeight="1">
      <c r="B477" s="66" t="str">
        <f>ASTemp!B477</f>
        <v/>
      </c>
      <c r="C477" s="67" t="str">
        <f>ASTemp!C477</f>
        <v/>
      </c>
      <c r="D477" s="68" t="str">
        <f>ASTemp!D477</f>
        <v/>
      </c>
      <c r="E477" s="65" t="str">
        <f>ASTemp!E477</f>
        <v/>
      </c>
      <c r="F477" s="69" t="str">
        <f>TEXT(ASTemp!F477,Decimals)</f>
        <v/>
      </c>
      <c r="G477" s="69" t="str">
        <f>TEXT(ASTemp!G477,Decimals)</f>
        <v/>
      </c>
      <c r="H477" s="69" t="str">
        <f>TEXT(ASTemp!H477,Decimals)</f>
        <v/>
      </c>
      <c r="I477" s="69" t="str">
        <f>TEXT(ASTemp!I477,Decimals)</f>
        <v/>
      </c>
      <c r="J477" s="69" t="str">
        <f>TEXT(ASTemp!J477,Decimals)</f>
        <v/>
      </c>
      <c r="K477" s="69" t="str">
        <f>TEXT(ASTemp!K477,Decimals)</f>
        <v/>
      </c>
      <c r="L477" s="69" t="str">
        <f>TEXT(ASTemp!L477,Decimals)</f>
        <v/>
      </c>
      <c r="M477" s="71" t="str">
        <f>TEXT(ASTemp!M477,Percentages)</f>
        <v/>
      </c>
      <c r="N477" s="72" t="str">
        <f>TEXT(ASTemp!N477,Percentages)</f>
        <v/>
      </c>
    </row>
    <row r="478" ht="14.25" customHeight="1">
      <c r="B478" s="66" t="str">
        <f>ASTemp!B478</f>
        <v/>
      </c>
      <c r="C478" s="67" t="str">
        <f>ASTemp!C478</f>
        <v/>
      </c>
      <c r="D478" s="68" t="str">
        <f>ASTemp!D478</f>
        <v/>
      </c>
      <c r="E478" s="65" t="str">
        <f>ASTemp!E478</f>
        <v/>
      </c>
      <c r="F478" s="69" t="str">
        <f>TEXT(ASTemp!F478,Decimals)</f>
        <v/>
      </c>
      <c r="G478" s="69" t="str">
        <f>TEXT(ASTemp!G478,Decimals)</f>
        <v/>
      </c>
      <c r="H478" s="69" t="str">
        <f>TEXT(ASTemp!H478,Decimals)</f>
        <v/>
      </c>
      <c r="I478" s="69" t="str">
        <f>TEXT(ASTemp!I478,Decimals)</f>
        <v/>
      </c>
      <c r="J478" s="69" t="str">
        <f>TEXT(ASTemp!J478,Decimals)</f>
        <v/>
      </c>
      <c r="K478" s="69" t="str">
        <f>TEXT(ASTemp!K478,Decimals)</f>
        <v/>
      </c>
      <c r="L478" s="69" t="str">
        <f>TEXT(ASTemp!L478,Decimals)</f>
        <v/>
      </c>
      <c r="M478" s="71" t="str">
        <f>TEXT(ASTemp!M478,Percentages)</f>
        <v/>
      </c>
      <c r="N478" s="72" t="str">
        <f>TEXT(ASTemp!N478,Percentages)</f>
        <v/>
      </c>
    </row>
    <row r="479" ht="14.25" customHeight="1">
      <c r="B479" s="66" t="str">
        <f>ASTemp!B479</f>
        <v/>
      </c>
      <c r="C479" s="67" t="str">
        <f>ASTemp!C479</f>
        <v/>
      </c>
      <c r="D479" s="68" t="str">
        <f>ASTemp!D479</f>
        <v/>
      </c>
      <c r="E479" s="65" t="str">
        <f>ASTemp!E479</f>
        <v/>
      </c>
      <c r="F479" s="69" t="str">
        <f>TEXT(ASTemp!F479,Decimals)</f>
        <v/>
      </c>
      <c r="G479" s="69" t="str">
        <f>TEXT(ASTemp!G479,Decimals)</f>
        <v/>
      </c>
      <c r="H479" s="69" t="str">
        <f>TEXT(ASTemp!H479,Decimals)</f>
        <v/>
      </c>
      <c r="I479" s="69" t="str">
        <f>TEXT(ASTemp!I479,Decimals)</f>
        <v/>
      </c>
      <c r="J479" s="69" t="str">
        <f>TEXT(ASTemp!J479,Decimals)</f>
        <v/>
      </c>
      <c r="K479" s="69" t="str">
        <f>TEXT(ASTemp!K479,Decimals)</f>
        <v/>
      </c>
      <c r="L479" s="69" t="str">
        <f>TEXT(ASTemp!L479,Decimals)</f>
        <v/>
      </c>
      <c r="M479" s="71" t="str">
        <f>TEXT(ASTemp!M479,Percentages)</f>
        <v/>
      </c>
      <c r="N479" s="72" t="str">
        <f>TEXT(ASTemp!N479,Percentages)</f>
        <v/>
      </c>
    </row>
    <row r="480" ht="14.25" customHeight="1">
      <c r="B480" s="66" t="str">
        <f>ASTemp!B480</f>
        <v/>
      </c>
      <c r="C480" s="67" t="str">
        <f>ASTemp!C480</f>
        <v/>
      </c>
      <c r="D480" s="68" t="str">
        <f>ASTemp!D480</f>
        <v/>
      </c>
      <c r="E480" s="65" t="str">
        <f>ASTemp!E480</f>
        <v/>
      </c>
      <c r="F480" s="69" t="str">
        <f>TEXT(ASTemp!F480,Decimals)</f>
        <v/>
      </c>
      <c r="G480" s="69" t="str">
        <f>TEXT(ASTemp!G480,Decimals)</f>
        <v/>
      </c>
      <c r="H480" s="69" t="str">
        <f>TEXT(ASTemp!H480,Decimals)</f>
        <v/>
      </c>
      <c r="I480" s="69" t="str">
        <f>TEXT(ASTemp!I480,Decimals)</f>
        <v/>
      </c>
      <c r="J480" s="69" t="str">
        <f>TEXT(ASTemp!J480,Decimals)</f>
        <v/>
      </c>
      <c r="K480" s="69" t="str">
        <f>TEXT(ASTemp!K480,Decimals)</f>
        <v/>
      </c>
      <c r="L480" s="69" t="str">
        <f>TEXT(ASTemp!L480,Decimals)</f>
        <v/>
      </c>
      <c r="M480" s="71" t="str">
        <f>TEXT(ASTemp!M480,Percentages)</f>
        <v/>
      </c>
      <c r="N480" s="72" t="str">
        <f>TEXT(ASTemp!N480,Percentages)</f>
        <v/>
      </c>
    </row>
    <row r="481" ht="14.25" customHeight="1">
      <c r="B481" s="66" t="str">
        <f>ASTemp!B481</f>
        <v/>
      </c>
      <c r="C481" s="67" t="str">
        <f>ASTemp!C481</f>
        <v/>
      </c>
      <c r="D481" s="68" t="str">
        <f>ASTemp!D481</f>
        <v/>
      </c>
      <c r="E481" s="65" t="str">
        <f>ASTemp!E481</f>
        <v/>
      </c>
      <c r="F481" s="69" t="str">
        <f>TEXT(ASTemp!F481,Decimals)</f>
        <v/>
      </c>
      <c r="G481" s="69" t="str">
        <f>TEXT(ASTemp!G481,Decimals)</f>
        <v/>
      </c>
      <c r="H481" s="69" t="str">
        <f>TEXT(ASTemp!H481,Decimals)</f>
        <v/>
      </c>
      <c r="I481" s="69" t="str">
        <f>TEXT(ASTemp!I481,Decimals)</f>
        <v/>
      </c>
      <c r="J481" s="69" t="str">
        <f>TEXT(ASTemp!J481,Decimals)</f>
        <v/>
      </c>
      <c r="K481" s="69" t="str">
        <f>TEXT(ASTemp!K481,Decimals)</f>
        <v/>
      </c>
      <c r="L481" s="69" t="str">
        <f>TEXT(ASTemp!L481,Decimals)</f>
        <v/>
      </c>
      <c r="M481" s="71" t="str">
        <f>TEXT(ASTemp!M481,Percentages)</f>
        <v/>
      </c>
      <c r="N481" s="72" t="str">
        <f>TEXT(ASTemp!N481,Percentages)</f>
        <v/>
      </c>
    </row>
    <row r="482" ht="14.25" customHeight="1">
      <c r="B482" s="66" t="str">
        <f>ASTemp!B482</f>
        <v/>
      </c>
      <c r="C482" s="67" t="str">
        <f>ASTemp!C482</f>
        <v/>
      </c>
      <c r="D482" s="68" t="str">
        <f>ASTemp!D482</f>
        <v/>
      </c>
      <c r="E482" s="65" t="str">
        <f>ASTemp!E482</f>
        <v/>
      </c>
      <c r="F482" s="69" t="str">
        <f>TEXT(ASTemp!F482,Decimals)</f>
        <v/>
      </c>
      <c r="G482" s="69" t="str">
        <f>TEXT(ASTemp!G482,Decimals)</f>
        <v/>
      </c>
      <c r="H482" s="69" t="str">
        <f>TEXT(ASTemp!H482,Decimals)</f>
        <v/>
      </c>
      <c r="I482" s="69" t="str">
        <f>TEXT(ASTemp!I482,Decimals)</f>
        <v/>
      </c>
      <c r="J482" s="69" t="str">
        <f>TEXT(ASTemp!J482,Decimals)</f>
        <v/>
      </c>
      <c r="K482" s="69" t="str">
        <f>TEXT(ASTemp!K482,Decimals)</f>
        <v/>
      </c>
      <c r="L482" s="69" t="str">
        <f>TEXT(ASTemp!L482,Decimals)</f>
        <v/>
      </c>
      <c r="M482" s="71" t="str">
        <f>TEXT(ASTemp!M482,Percentages)</f>
        <v/>
      </c>
      <c r="N482" s="72" t="str">
        <f>TEXT(ASTemp!N482,Percentages)</f>
        <v/>
      </c>
    </row>
    <row r="483" ht="14.25" customHeight="1">
      <c r="B483" s="66" t="str">
        <f>ASTemp!B483</f>
        <v/>
      </c>
      <c r="C483" s="67" t="str">
        <f>ASTemp!C483</f>
        <v/>
      </c>
      <c r="D483" s="68" t="str">
        <f>ASTemp!D483</f>
        <v/>
      </c>
      <c r="E483" s="65" t="str">
        <f>ASTemp!E483</f>
        <v/>
      </c>
      <c r="F483" s="69" t="str">
        <f>TEXT(ASTemp!F483,Decimals)</f>
        <v/>
      </c>
      <c r="G483" s="69" t="str">
        <f>TEXT(ASTemp!G483,Decimals)</f>
        <v/>
      </c>
      <c r="H483" s="69" t="str">
        <f>TEXT(ASTemp!H483,Decimals)</f>
        <v/>
      </c>
      <c r="I483" s="69" t="str">
        <f>TEXT(ASTemp!I483,Decimals)</f>
        <v/>
      </c>
      <c r="J483" s="69" t="str">
        <f>TEXT(ASTemp!J483,Decimals)</f>
        <v/>
      </c>
      <c r="K483" s="69" t="str">
        <f>TEXT(ASTemp!K483,Decimals)</f>
        <v/>
      </c>
      <c r="L483" s="69" t="str">
        <f>TEXT(ASTemp!L483,Decimals)</f>
        <v/>
      </c>
      <c r="M483" s="71" t="str">
        <f>TEXT(ASTemp!M483,Percentages)</f>
        <v/>
      </c>
      <c r="N483" s="72" t="str">
        <f>TEXT(ASTemp!N483,Percentages)</f>
        <v/>
      </c>
    </row>
    <row r="484" ht="14.25" customHeight="1">
      <c r="B484" s="66" t="str">
        <f>ASTemp!B484</f>
        <v/>
      </c>
      <c r="C484" s="67" t="str">
        <f>ASTemp!C484</f>
        <v/>
      </c>
      <c r="D484" s="68" t="str">
        <f>ASTemp!D484</f>
        <v/>
      </c>
      <c r="E484" s="65" t="str">
        <f>ASTemp!E484</f>
        <v/>
      </c>
      <c r="F484" s="69" t="str">
        <f>TEXT(ASTemp!F484,Decimals)</f>
        <v/>
      </c>
      <c r="G484" s="69" t="str">
        <f>TEXT(ASTemp!G484,Decimals)</f>
        <v/>
      </c>
      <c r="H484" s="69" t="str">
        <f>TEXT(ASTemp!H484,Decimals)</f>
        <v/>
      </c>
      <c r="I484" s="69" t="str">
        <f>TEXT(ASTemp!I484,Decimals)</f>
        <v/>
      </c>
      <c r="J484" s="69" t="str">
        <f>TEXT(ASTemp!J484,Decimals)</f>
        <v/>
      </c>
      <c r="K484" s="69" t="str">
        <f>TEXT(ASTemp!K484,Decimals)</f>
        <v/>
      </c>
      <c r="L484" s="69" t="str">
        <f>TEXT(ASTemp!L484,Decimals)</f>
        <v/>
      </c>
      <c r="M484" s="71" t="str">
        <f>TEXT(ASTemp!M484,Percentages)</f>
        <v/>
      </c>
      <c r="N484" s="72" t="str">
        <f>TEXT(ASTemp!N484,Percentages)</f>
        <v/>
      </c>
    </row>
    <row r="485" ht="14.25" customHeight="1">
      <c r="B485" s="66" t="str">
        <f>ASTemp!B485</f>
        <v/>
      </c>
      <c r="C485" s="67" t="str">
        <f>ASTemp!C485</f>
        <v/>
      </c>
      <c r="D485" s="68" t="str">
        <f>ASTemp!D485</f>
        <v/>
      </c>
      <c r="E485" s="65" t="str">
        <f>ASTemp!E485</f>
        <v/>
      </c>
      <c r="F485" s="69" t="str">
        <f>TEXT(ASTemp!F485,Decimals)</f>
        <v/>
      </c>
      <c r="G485" s="69" t="str">
        <f>TEXT(ASTemp!G485,Decimals)</f>
        <v/>
      </c>
      <c r="H485" s="69" t="str">
        <f>TEXT(ASTemp!H485,Decimals)</f>
        <v/>
      </c>
      <c r="I485" s="69" t="str">
        <f>TEXT(ASTemp!I485,Decimals)</f>
        <v/>
      </c>
      <c r="J485" s="69" t="str">
        <f>TEXT(ASTemp!J485,Decimals)</f>
        <v/>
      </c>
      <c r="K485" s="69" t="str">
        <f>TEXT(ASTemp!K485,Decimals)</f>
        <v/>
      </c>
      <c r="L485" s="69" t="str">
        <f>TEXT(ASTemp!L485,Decimals)</f>
        <v/>
      </c>
      <c r="M485" s="71" t="str">
        <f>TEXT(ASTemp!M485,Percentages)</f>
        <v/>
      </c>
      <c r="N485" s="72" t="str">
        <f>TEXT(ASTemp!N485,Percentages)</f>
        <v/>
      </c>
    </row>
    <row r="486" ht="14.25" customHeight="1">
      <c r="B486" s="66" t="str">
        <f>ASTemp!B486</f>
        <v/>
      </c>
      <c r="C486" s="67" t="str">
        <f>ASTemp!C486</f>
        <v/>
      </c>
      <c r="D486" s="68" t="str">
        <f>ASTemp!D486</f>
        <v/>
      </c>
      <c r="E486" s="65" t="str">
        <f>ASTemp!E486</f>
        <v/>
      </c>
      <c r="F486" s="69" t="str">
        <f>TEXT(ASTemp!F486,Decimals)</f>
        <v/>
      </c>
      <c r="G486" s="69" t="str">
        <f>TEXT(ASTemp!G486,Decimals)</f>
        <v/>
      </c>
      <c r="H486" s="69" t="str">
        <f>TEXT(ASTemp!H486,Decimals)</f>
        <v/>
      </c>
      <c r="I486" s="69" t="str">
        <f>TEXT(ASTemp!I486,Decimals)</f>
        <v/>
      </c>
      <c r="J486" s="69" t="str">
        <f>TEXT(ASTemp!J486,Decimals)</f>
        <v/>
      </c>
      <c r="K486" s="69" t="str">
        <f>TEXT(ASTemp!K486,Decimals)</f>
        <v/>
      </c>
      <c r="L486" s="69" t="str">
        <f>TEXT(ASTemp!L486,Decimals)</f>
        <v/>
      </c>
      <c r="M486" s="71" t="str">
        <f>TEXT(ASTemp!M486,Percentages)</f>
        <v/>
      </c>
      <c r="N486" s="72" t="str">
        <f>TEXT(ASTemp!N486,Percentages)</f>
        <v/>
      </c>
    </row>
    <row r="487" ht="14.25" customHeight="1">
      <c r="B487" s="66" t="str">
        <f>ASTemp!B487</f>
        <v/>
      </c>
      <c r="C487" s="67" t="str">
        <f>ASTemp!C487</f>
        <v/>
      </c>
      <c r="D487" s="68" t="str">
        <f>ASTemp!D487</f>
        <v/>
      </c>
      <c r="E487" s="65" t="str">
        <f>ASTemp!E487</f>
        <v/>
      </c>
      <c r="F487" s="69" t="str">
        <f>TEXT(ASTemp!F487,Decimals)</f>
        <v/>
      </c>
      <c r="G487" s="69" t="str">
        <f>TEXT(ASTemp!G487,Decimals)</f>
        <v/>
      </c>
      <c r="H487" s="69" t="str">
        <f>TEXT(ASTemp!H487,Decimals)</f>
        <v/>
      </c>
      <c r="I487" s="69" t="str">
        <f>TEXT(ASTemp!I487,Decimals)</f>
        <v/>
      </c>
      <c r="J487" s="69" t="str">
        <f>TEXT(ASTemp!J487,Decimals)</f>
        <v/>
      </c>
      <c r="K487" s="69" t="str">
        <f>TEXT(ASTemp!K487,Decimals)</f>
        <v/>
      </c>
      <c r="L487" s="69" t="str">
        <f>TEXT(ASTemp!L487,Decimals)</f>
        <v/>
      </c>
      <c r="M487" s="71" t="str">
        <f>TEXT(ASTemp!M487,Percentages)</f>
        <v/>
      </c>
      <c r="N487" s="72" t="str">
        <f>TEXT(ASTemp!N487,Percentages)</f>
        <v/>
      </c>
    </row>
    <row r="488" ht="14.25" customHeight="1">
      <c r="B488" s="66" t="str">
        <f>ASTemp!B488</f>
        <v/>
      </c>
      <c r="C488" s="67" t="str">
        <f>ASTemp!C488</f>
        <v/>
      </c>
      <c r="D488" s="68" t="str">
        <f>ASTemp!D488</f>
        <v/>
      </c>
      <c r="E488" s="65" t="str">
        <f>ASTemp!E488</f>
        <v/>
      </c>
      <c r="F488" s="69" t="str">
        <f>TEXT(ASTemp!F488,Decimals)</f>
        <v/>
      </c>
      <c r="G488" s="69" t="str">
        <f>TEXT(ASTemp!G488,Decimals)</f>
        <v/>
      </c>
      <c r="H488" s="69" t="str">
        <f>TEXT(ASTemp!H488,Decimals)</f>
        <v/>
      </c>
      <c r="I488" s="69" t="str">
        <f>TEXT(ASTemp!I488,Decimals)</f>
        <v/>
      </c>
      <c r="J488" s="69" t="str">
        <f>TEXT(ASTemp!J488,Decimals)</f>
        <v/>
      </c>
      <c r="K488" s="69" t="str">
        <f>TEXT(ASTemp!K488,Decimals)</f>
        <v/>
      </c>
      <c r="L488" s="69" t="str">
        <f>TEXT(ASTemp!L488,Decimals)</f>
        <v/>
      </c>
      <c r="M488" s="71" t="str">
        <f>TEXT(ASTemp!M488,Percentages)</f>
        <v/>
      </c>
      <c r="N488" s="72" t="str">
        <f>TEXT(ASTemp!N488,Percentages)</f>
        <v/>
      </c>
    </row>
    <row r="489" ht="14.25" customHeight="1">
      <c r="B489" s="66" t="str">
        <f>ASTemp!B489</f>
        <v/>
      </c>
      <c r="C489" s="67" t="str">
        <f>ASTemp!C489</f>
        <v/>
      </c>
      <c r="D489" s="68" t="str">
        <f>ASTemp!D489</f>
        <v/>
      </c>
      <c r="E489" s="65" t="str">
        <f>ASTemp!E489</f>
        <v/>
      </c>
      <c r="F489" s="69" t="str">
        <f>TEXT(ASTemp!F489,Decimals)</f>
        <v/>
      </c>
      <c r="G489" s="69" t="str">
        <f>TEXT(ASTemp!G489,Decimals)</f>
        <v/>
      </c>
      <c r="H489" s="69" t="str">
        <f>TEXT(ASTemp!H489,Decimals)</f>
        <v/>
      </c>
      <c r="I489" s="69" t="str">
        <f>TEXT(ASTemp!I489,Decimals)</f>
        <v/>
      </c>
      <c r="J489" s="69" t="str">
        <f>TEXT(ASTemp!J489,Decimals)</f>
        <v/>
      </c>
      <c r="K489" s="69" t="str">
        <f>TEXT(ASTemp!K489,Decimals)</f>
        <v/>
      </c>
      <c r="L489" s="69" t="str">
        <f>TEXT(ASTemp!L489,Decimals)</f>
        <v/>
      </c>
      <c r="M489" s="71" t="str">
        <f>TEXT(ASTemp!M489,Percentages)</f>
        <v/>
      </c>
      <c r="N489" s="72" t="str">
        <f>TEXT(ASTemp!N489,Percentages)</f>
        <v/>
      </c>
    </row>
    <row r="490" ht="14.25" customHeight="1">
      <c r="B490" s="66" t="str">
        <f>ASTemp!B490</f>
        <v/>
      </c>
      <c r="C490" s="67" t="str">
        <f>ASTemp!C490</f>
        <v/>
      </c>
      <c r="D490" s="68" t="str">
        <f>ASTemp!D490</f>
        <v/>
      </c>
      <c r="E490" s="65" t="str">
        <f>ASTemp!E490</f>
        <v/>
      </c>
      <c r="F490" s="69" t="str">
        <f>TEXT(ASTemp!F490,Decimals)</f>
        <v/>
      </c>
      <c r="G490" s="69" t="str">
        <f>TEXT(ASTemp!G490,Decimals)</f>
        <v/>
      </c>
      <c r="H490" s="69" t="str">
        <f>TEXT(ASTemp!H490,Decimals)</f>
        <v/>
      </c>
      <c r="I490" s="69" t="str">
        <f>TEXT(ASTemp!I490,Decimals)</f>
        <v/>
      </c>
      <c r="J490" s="69" t="str">
        <f>TEXT(ASTemp!J490,Decimals)</f>
        <v/>
      </c>
      <c r="K490" s="69" t="str">
        <f>TEXT(ASTemp!K490,Decimals)</f>
        <v/>
      </c>
      <c r="L490" s="69" t="str">
        <f>TEXT(ASTemp!L490,Decimals)</f>
        <v/>
      </c>
      <c r="M490" s="71" t="str">
        <f>TEXT(ASTemp!M490,Percentages)</f>
        <v/>
      </c>
      <c r="N490" s="72" t="str">
        <f>TEXT(ASTemp!N490,Percentages)</f>
        <v/>
      </c>
    </row>
    <row r="491" ht="14.25" customHeight="1">
      <c r="B491" s="66" t="str">
        <f>ASTemp!B491</f>
        <v/>
      </c>
      <c r="C491" s="67" t="str">
        <f>ASTemp!C491</f>
        <v/>
      </c>
      <c r="D491" s="68" t="str">
        <f>ASTemp!D491</f>
        <v/>
      </c>
      <c r="E491" s="65" t="str">
        <f>ASTemp!E491</f>
        <v/>
      </c>
      <c r="F491" s="69" t="str">
        <f>TEXT(ASTemp!F491,Decimals)</f>
        <v/>
      </c>
      <c r="G491" s="69" t="str">
        <f>TEXT(ASTemp!G491,Decimals)</f>
        <v/>
      </c>
      <c r="H491" s="69" t="str">
        <f>TEXT(ASTemp!H491,Decimals)</f>
        <v/>
      </c>
      <c r="I491" s="69" t="str">
        <f>TEXT(ASTemp!I491,Decimals)</f>
        <v/>
      </c>
      <c r="J491" s="69" t="str">
        <f>TEXT(ASTemp!J491,Decimals)</f>
        <v/>
      </c>
      <c r="K491" s="69" t="str">
        <f>TEXT(ASTemp!K491,Decimals)</f>
        <v/>
      </c>
      <c r="L491" s="69" t="str">
        <f>TEXT(ASTemp!L491,Decimals)</f>
        <v/>
      </c>
      <c r="M491" s="71" t="str">
        <f>TEXT(ASTemp!M491,Percentages)</f>
        <v/>
      </c>
      <c r="N491" s="72" t="str">
        <f>TEXT(ASTemp!N491,Percentages)</f>
        <v/>
      </c>
    </row>
    <row r="492" ht="14.25" customHeight="1">
      <c r="B492" s="66" t="str">
        <f>ASTemp!B492</f>
        <v/>
      </c>
      <c r="C492" s="67" t="str">
        <f>ASTemp!C492</f>
        <v/>
      </c>
      <c r="D492" s="68" t="str">
        <f>ASTemp!D492</f>
        <v/>
      </c>
      <c r="E492" s="65" t="str">
        <f>ASTemp!E492</f>
        <v/>
      </c>
      <c r="F492" s="69" t="str">
        <f>TEXT(ASTemp!F492,Decimals)</f>
        <v/>
      </c>
      <c r="G492" s="69" t="str">
        <f>TEXT(ASTemp!G492,Decimals)</f>
        <v/>
      </c>
      <c r="H492" s="69" t="str">
        <f>TEXT(ASTemp!H492,Decimals)</f>
        <v/>
      </c>
      <c r="I492" s="69" t="str">
        <f>TEXT(ASTemp!I492,Decimals)</f>
        <v/>
      </c>
      <c r="J492" s="69" t="str">
        <f>TEXT(ASTemp!J492,Decimals)</f>
        <v/>
      </c>
      <c r="K492" s="69" t="str">
        <f>TEXT(ASTemp!K492,Decimals)</f>
        <v/>
      </c>
      <c r="L492" s="69" t="str">
        <f>TEXT(ASTemp!L492,Decimals)</f>
        <v/>
      </c>
      <c r="M492" s="71" t="str">
        <f>TEXT(ASTemp!M492,Percentages)</f>
        <v/>
      </c>
      <c r="N492" s="72" t="str">
        <f>TEXT(ASTemp!N492,Percentages)</f>
        <v/>
      </c>
    </row>
    <row r="493" ht="14.25" customHeight="1">
      <c r="B493" s="66" t="str">
        <f>ASTemp!B493</f>
        <v/>
      </c>
      <c r="C493" s="67" t="str">
        <f>ASTemp!C493</f>
        <v/>
      </c>
      <c r="D493" s="68" t="str">
        <f>ASTemp!D493</f>
        <v/>
      </c>
      <c r="E493" s="65" t="str">
        <f>ASTemp!E493</f>
        <v/>
      </c>
      <c r="F493" s="69" t="str">
        <f>TEXT(ASTemp!F493,Decimals)</f>
        <v/>
      </c>
      <c r="G493" s="69" t="str">
        <f>TEXT(ASTemp!G493,Decimals)</f>
        <v/>
      </c>
      <c r="H493" s="69" t="str">
        <f>TEXT(ASTemp!H493,Decimals)</f>
        <v/>
      </c>
      <c r="I493" s="69" t="str">
        <f>TEXT(ASTemp!I493,Decimals)</f>
        <v/>
      </c>
      <c r="J493" s="69" t="str">
        <f>TEXT(ASTemp!J493,Decimals)</f>
        <v/>
      </c>
      <c r="K493" s="69" t="str">
        <f>TEXT(ASTemp!K493,Decimals)</f>
        <v/>
      </c>
      <c r="L493" s="69" t="str">
        <f>TEXT(ASTemp!L493,Decimals)</f>
        <v/>
      </c>
      <c r="M493" s="71" t="str">
        <f>TEXT(ASTemp!M493,Percentages)</f>
        <v/>
      </c>
      <c r="N493" s="72" t="str">
        <f>TEXT(ASTemp!N493,Percentages)</f>
        <v/>
      </c>
    </row>
    <row r="494" ht="14.25" customHeight="1">
      <c r="B494" s="66" t="str">
        <f>ASTemp!B494</f>
        <v/>
      </c>
      <c r="C494" s="67" t="str">
        <f>ASTemp!C494</f>
        <v/>
      </c>
      <c r="D494" s="68" t="str">
        <f>ASTemp!D494</f>
        <v/>
      </c>
      <c r="E494" s="65" t="str">
        <f>ASTemp!E494</f>
        <v/>
      </c>
      <c r="F494" s="69" t="str">
        <f>TEXT(ASTemp!F494,Decimals)</f>
        <v/>
      </c>
      <c r="G494" s="69" t="str">
        <f>TEXT(ASTemp!G494,Decimals)</f>
        <v/>
      </c>
      <c r="H494" s="69" t="str">
        <f>TEXT(ASTemp!H494,Decimals)</f>
        <v/>
      </c>
      <c r="I494" s="69" t="str">
        <f>TEXT(ASTemp!I494,Decimals)</f>
        <v/>
      </c>
      <c r="J494" s="69" t="str">
        <f>TEXT(ASTemp!J494,Decimals)</f>
        <v/>
      </c>
      <c r="K494" s="69" t="str">
        <f>TEXT(ASTemp!K494,Decimals)</f>
        <v/>
      </c>
      <c r="L494" s="69" t="str">
        <f>TEXT(ASTemp!L494,Decimals)</f>
        <v/>
      </c>
      <c r="M494" s="71" t="str">
        <f>TEXT(ASTemp!M494,Percentages)</f>
        <v/>
      </c>
      <c r="N494" s="72" t="str">
        <f>TEXT(ASTemp!N494,Percentages)</f>
        <v/>
      </c>
    </row>
    <row r="495" ht="14.25" customHeight="1">
      <c r="B495" s="66" t="str">
        <f>ASTemp!B495</f>
        <v/>
      </c>
      <c r="C495" s="67" t="str">
        <f>ASTemp!C495</f>
        <v/>
      </c>
      <c r="D495" s="68" t="str">
        <f>ASTemp!D495</f>
        <v/>
      </c>
      <c r="E495" s="65" t="str">
        <f>ASTemp!E495</f>
        <v/>
      </c>
      <c r="F495" s="69" t="str">
        <f>TEXT(ASTemp!F495,Decimals)</f>
        <v/>
      </c>
      <c r="G495" s="69" t="str">
        <f>TEXT(ASTemp!G495,Decimals)</f>
        <v/>
      </c>
      <c r="H495" s="69" t="str">
        <f>TEXT(ASTemp!H495,Decimals)</f>
        <v/>
      </c>
      <c r="I495" s="69" t="str">
        <f>TEXT(ASTemp!I495,Decimals)</f>
        <v/>
      </c>
      <c r="J495" s="69" t="str">
        <f>TEXT(ASTemp!J495,Decimals)</f>
        <v/>
      </c>
      <c r="K495" s="69" t="str">
        <f>TEXT(ASTemp!K495,Decimals)</f>
        <v/>
      </c>
      <c r="L495" s="69" t="str">
        <f>TEXT(ASTemp!L495,Decimals)</f>
        <v/>
      </c>
      <c r="M495" s="71" t="str">
        <f>TEXT(ASTemp!M495,Percentages)</f>
        <v/>
      </c>
      <c r="N495" s="72" t="str">
        <f>TEXT(ASTemp!N495,Percentages)</f>
        <v/>
      </c>
    </row>
    <row r="496" ht="14.25" customHeight="1">
      <c r="B496" s="66" t="str">
        <f>ASTemp!B496</f>
        <v/>
      </c>
      <c r="C496" s="67" t="str">
        <f>ASTemp!C496</f>
        <v/>
      </c>
      <c r="D496" s="68" t="str">
        <f>ASTemp!D496</f>
        <v/>
      </c>
      <c r="E496" s="65" t="str">
        <f>ASTemp!E496</f>
        <v/>
      </c>
      <c r="F496" s="69" t="str">
        <f>TEXT(ASTemp!F496,Decimals)</f>
        <v/>
      </c>
      <c r="G496" s="69" t="str">
        <f>TEXT(ASTemp!G496,Decimals)</f>
        <v/>
      </c>
      <c r="H496" s="69" t="str">
        <f>TEXT(ASTemp!H496,Decimals)</f>
        <v/>
      </c>
      <c r="I496" s="69" t="str">
        <f>TEXT(ASTemp!I496,Decimals)</f>
        <v/>
      </c>
      <c r="J496" s="69" t="str">
        <f>TEXT(ASTemp!J496,Decimals)</f>
        <v/>
      </c>
      <c r="K496" s="69" t="str">
        <f>TEXT(ASTemp!K496,Decimals)</f>
        <v/>
      </c>
      <c r="L496" s="69" t="str">
        <f>TEXT(ASTemp!L496,Decimals)</f>
        <v/>
      </c>
      <c r="M496" s="71" t="str">
        <f>TEXT(ASTemp!M496,Percentages)</f>
        <v/>
      </c>
      <c r="N496" s="72" t="str">
        <f>TEXT(ASTemp!N496,Percentages)</f>
        <v/>
      </c>
    </row>
    <row r="497" ht="14.25" customHeight="1">
      <c r="B497" s="66" t="str">
        <f>ASTemp!B497</f>
        <v/>
      </c>
      <c r="C497" s="67" t="str">
        <f>ASTemp!C497</f>
        <v/>
      </c>
      <c r="D497" s="68" t="str">
        <f>ASTemp!D497</f>
        <v/>
      </c>
      <c r="E497" s="65" t="str">
        <f>ASTemp!E497</f>
        <v/>
      </c>
      <c r="F497" s="69" t="str">
        <f>TEXT(ASTemp!F497,Decimals)</f>
        <v/>
      </c>
      <c r="G497" s="69" t="str">
        <f>TEXT(ASTemp!G497,Decimals)</f>
        <v/>
      </c>
      <c r="H497" s="69" t="str">
        <f>TEXT(ASTemp!H497,Decimals)</f>
        <v/>
      </c>
      <c r="I497" s="69" t="str">
        <f>TEXT(ASTemp!I497,Decimals)</f>
        <v/>
      </c>
      <c r="J497" s="69" t="str">
        <f>TEXT(ASTemp!J497,Decimals)</f>
        <v/>
      </c>
      <c r="K497" s="69" t="str">
        <f>TEXT(ASTemp!K497,Decimals)</f>
        <v/>
      </c>
      <c r="L497" s="69" t="str">
        <f>TEXT(ASTemp!L497,Decimals)</f>
        <v/>
      </c>
      <c r="M497" s="71" t="str">
        <f>TEXT(ASTemp!M497,Percentages)</f>
        <v/>
      </c>
      <c r="N497" s="72" t="str">
        <f>TEXT(ASTemp!N497,Percentages)</f>
        <v/>
      </c>
    </row>
    <row r="498" ht="14.25" customHeight="1">
      <c r="B498" s="66" t="str">
        <f>ASTemp!B498</f>
        <v/>
      </c>
      <c r="C498" s="67" t="str">
        <f>ASTemp!C498</f>
        <v/>
      </c>
      <c r="D498" s="68" t="str">
        <f>ASTemp!D498</f>
        <v/>
      </c>
      <c r="E498" s="65" t="str">
        <f>ASTemp!E498</f>
        <v/>
      </c>
      <c r="F498" s="69" t="str">
        <f>TEXT(ASTemp!F498,Decimals)</f>
        <v/>
      </c>
      <c r="G498" s="69" t="str">
        <f>TEXT(ASTemp!G498,Decimals)</f>
        <v/>
      </c>
      <c r="H498" s="69" t="str">
        <f>TEXT(ASTemp!H498,Decimals)</f>
        <v/>
      </c>
      <c r="I498" s="69" t="str">
        <f>TEXT(ASTemp!I498,Decimals)</f>
        <v/>
      </c>
      <c r="J498" s="69" t="str">
        <f>TEXT(ASTemp!J498,Decimals)</f>
        <v/>
      </c>
      <c r="K498" s="69" t="str">
        <f>TEXT(ASTemp!K498,Decimals)</f>
        <v/>
      </c>
      <c r="L498" s="69" t="str">
        <f>TEXT(ASTemp!L498,Decimals)</f>
        <v/>
      </c>
      <c r="M498" s="71" t="str">
        <f>TEXT(ASTemp!M498,Percentages)</f>
        <v/>
      </c>
      <c r="N498" s="72" t="str">
        <f>TEXT(ASTemp!N498,Percentages)</f>
        <v/>
      </c>
    </row>
    <row r="499" ht="14.25" customHeight="1">
      <c r="B499" s="66" t="str">
        <f>ASTemp!B499</f>
        <v/>
      </c>
      <c r="C499" s="67" t="str">
        <f>ASTemp!C499</f>
        <v/>
      </c>
      <c r="D499" s="68" t="str">
        <f>ASTemp!D499</f>
        <v/>
      </c>
      <c r="E499" s="65" t="str">
        <f>ASTemp!E499</f>
        <v/>
      </c>
      <c r="F499" s="69" t="str">
        <f>TEXT(ASTemp!F499,Decimals)</f>
        <v/>
      </c>
      <c r="G499" s="69" t="str">
        <f>TEXT(ASTemp!G499,Decimals)</f>
        <v/>
      </c>
      <c r="H499" s="69" t="str">
        <f>TEXT(ASTemp!H499,Decimals)</f>
        <v/>
      </c>
      <c r="I499" s="69" t="str">
        <f>TEXT(ASTemp!I499,Decimals)</f>
        <v/>
      </c>
      <c r="J499" s="69" t="str">
        <f>TEXT(ASTemp!J499,Decimals)</f>
        <v/>
      </c>
      <c r="K499" s="69" t="str">
        <f>TEXT(ASTemp!K499,Decimals)</f>
        <v/>
      </c>
      <c r="L499" s="69" t="str">
        <f>TEXT(ASTemp!L499,Decimals)</f>
        <v/>
      </c>
      <c r="M499" s="71" t="str">
        <f>TEXT(ASTemp!M499,Percentages)</f>
        <v/>
      </c>
      <c r="N499" s="72" t="str">
        <f>TEXT(ASTemp!N499,Percentages)</f>
        <v/>
      </c>
    </row>
    <row r="500" ht="14.25" customHeight="1">
      <c r="B500" s="66" t="str">
        <f>ASTemp!B500</f>
        <v/>
      </c>
      <c r="C500" s="67" t="str">
        <f>ASTemp!C500</f>
        <v/>
      </c>
      <c r="D500" s="68" t="str">
        <f>ASTemp!D500</f>
        <v/>
      </c>
      <c r="E500" s="65" t="str">
        <f>ASTemp!E500</f>
        <v/>
      </c>
      <c r="F500" s="69" t="str">
        <f>TEXT(ASTemp!F500,Decimals)</f>
        <v/>
      </c>
      <c r="G500" s="69" t="str">
        <f>TEXT(ASTemp!G500,Decimals)</f>
        <v/>
      </c>
      <c r="H500" s="69" t="str">
        <f>TEXT(ASTemp!H500,Decimals)</f>
        <v/>
      </c>
      <c r="I500" s="69" t="str">
        <f>TEXT(ASTemp!I500,Decimals)</f>
        <v/>
      </c>
      <c r="J500" s="69" t="str">
        <f>TEXT(ASTemp!J500,Decimals)</f>
        <v/>
      </c>
      <c r="K500" s="69" t="str">
        <f>TEXT(ASTemp!K500,Decimals)</f>
        <v/>
      </c>
      <c r="L500" s="69" t="str">
        <f>TEXT(ASTemp!L500,Decimals)</f>
        <v/>
      </c>
      <c r="M500" s="71" t="str">
        <f>TEXT(ASTemp!M500,Percentages)</f>
        <v/>
      </c>
      <c r="N500" s="72" t="str">
        <f>TEXT(ASTemp!N500,Percentages)</f>
        <v/>
      </c>
    </row>
    <row r="501" ht="14.25" customHeight="1">
      <c r="B501" s="66" t="str">
        <f>ASTemp!B501</f>
        <v/>
      </c>
      <c r="C501" s="67" t="str">
        <f>ASTemp!C501</f>
        <v/>
      </c>
      <c r="D501" s="68" t="str">
        <f>ASTemp!D501</f>
        <v/>
      </c>
      <c r="E501" s="65" t="str">
        <f>ASTemp!E501</f>
        <v/>
      </c>
      <c r="F501" s="69" t="str">
        <f>TEXT(ASTemp!F501,Decimals)</f>
        <v/>
      </c>
      <c r="G501" s="69" t="str">
        <f>TEXT(ASTemp!G501,Decimals)</f>
        <v/>
      </c>
      <c r="H501" s="69" t="str">
        <f>TEXT(ASTemp!H501,Decimals)</f>
        <v/>
      </c>
      <c r="I501" s="69" t="str">
        <f>TEXT(ASTemp!I501,Decimals)</f>
        <v/>
      </c>
      <c r="J501" s="69" t="str">
        <f>TEXT(ASTemp!J501,Decimals)</f>
        <v/>
      </c>
      <c r="K501" s="69" t="str">
        <f>TEXT(ASTemp!K501,Decimals)</f>
        <v/>
      </c>
      <c r="L501" s="69" t="str">
        <f>TEXT(ASTemp!L501,Decimals)</f>
        <v/>
      </c>
      <c r="M501" s="71" t="str">
        <f>TEXT(ASTemp!M501,Percentages)</f>
        <v/>
      </c>
      <c r="N501" s="72" t="str">
        <f>TEXT(ASTemp!N501,Percentages)</f>
        <v/>
      </c>
    </row>
    <row r="502" ht="14.25" customHeight="1">
      <c r="B502" s="66" t="str">
        <f>ASTemp!B502</f>
        <v/>
      </c>
      <c r="C502" s="67" t="str">
        <f>ASTemp!C502</f>
        <v/>
      </c>
      <c r="D502" s="68" t="str">
        <f>ASTemp!D502</f>
        <v/>
      </c>
      <c r="E502" s="65" t="str">
        <f>ASTemp!E502</f>
        <v/>
      </c>
      <c r="F502" s="69" t="str">
        <f>TEXT(ASTemp!F502,Decimals)</f>
        <v/>
      </c>
      <c r="G502" s="69" t="str">
        <f>TEXT(ASTemp!G502,Decimals)</f>
        <v/>
      </c>
      <c r="H502" s="69" t="str">
        <f>TEXT(ASTemp!H502,Decimals)</f>
        <v/>
      </c>
      <c r="I502" s="69" t="str">
        <f>TEXT(ASTemp!I502,Decimals)</f>
        <v/>
      </c>
      <c r="J502" s="69" t="str">
        <f>TEXT(ASTemp!J502,Decimals)</f>
        <v/>
      </c>
      <c r="K502" s="69" t="str">
        <f>TEXT(ASTemp!K502,Decimals)</f>
        <v/>
      </c>
      <c r="L502" s="69" t="str">
        <f>TEXT(ASTemp!L502,Decimals)</f>
        <v/>
      </c>
      <c r="M502" s="71" t="str">
        <f>TEXT(ASTemp!M502,Percentages)</f>
        <v/>
      </c>
      <c r="N502" s="72" t="str">
        <f>TEXT(ASTemp!N502,Percentages)</f>
        <v/>
      </c>
    </row>
    <row r="503" ht="14.25" customHeight="1">
      <c r="B503" s="66" t="str">
        <f>ASTemp!B503</f>
        <v/>
      </c>
      <c r="C503" s="67" t="str">
        <f>ASTemp!C503</f>
        <v/>
      </c>
      <c r="D503" s="68" t="str">
        <f>ASTemp!D503</f>
        <v/>
      </c>
      <c r="E503" s="65" t="str">
        <f>ASTemp!E503</f>
        <v/>
      </c>
      <c r="F503" s="69" t="str">
        <f>TEXT(ASTemp!F503,Decimals)</f>
        <v/>
      </c>
      <c r="G503" s="69" t="str">
        <f>TEXT(ASTemp!G503,Decimals)</f>
        <v/>
      </c>
      <c r="H503" s="69" t="str">
        <f>TEXT(ASTemp!H503,Decimals)</f>
        <v/>
      </c>
      <c r="I503" s="69" t="str">
        <f>TEXT(ASTemp!I503,Decimals)</f>
        <v/>
      </c>
      <c r="J503" s="69" t="str">
        <f>TEXT(ASTemp!J503,Decimals)</f>
        <v/>
      </c>
      <c r="K503" s="69" t="str">
        <f>TEXT(ASTemp!K503,Decimals)</f>
        <v/>
      </c>
      <c r="L503" s="69" t="str">
        <f>TEXT(ASTemp!L503,Decimals)</f>
        <v/>
      </c>
      <c r="M503" s="71" t="str">
        <f>TEXT(ASTemp!M503,Percentages)</f>
        <v/>
      </c>
      <c r="N503" s="72" t="str">
        <f>TEXT(ASTemp!N503,Percentages)</f>
        <v/>
      </c>
    </row>
    <row r="504" ht="14.25" customHeight="1">
      <c r="B504" s="66" t="str">
        <f>ASTemp!B504</f>
        <v/>
      </c>
      <c r="C504" s="67" t="str">
        <f>ASTemp!C504</f>
        <v/>
      </c>
      <c r="D504" s="68" t="str">
        <f>ASTemp!D504</f>
        <v/>
      </c>
      <c r="E504" s="65" t="str">
        <f>ASTemp!E504</f>
        <v/>
      </c>
      <c r="F504" s="69" t="str">
        <f>TEXT(ASTemp!F504,Decimals)</f>
        <v/>
      </c>
      <c r="G504" s="69" t="str">
        <f>TEXT(ASTemp!G504,Decimals)</f>
        <v/>
      </c>
      <c r="H504" s="69" t="str">
        <f>TEXT(ASTemp!H504,Decimals)</f>
        <v/>
      </c>
      <c r="I504" s="69" t="str">
        <f>TEXT(ASTemp!I504,Decimals)</f>
        <v/>
      </c>
      <c r="J504" s="69" t="str">
        <f>TEXT(ASTemp!J504,Decimals)</f>
        <v/>
      </c>
      <c r="K504" s="69" t="str">
        <f>TEXT(ASTemp!K504,Decimals)</f>
        <v/>
      </c>
      <c r="L504" s="69" t="str">
        <f>TEXT(ASTemp!L504,Decimals)</f>
        <v/>
      </c>
      <c r="M504" s="71" t="str">
        <f>TEXT(ASTemp!M504,Percentages)</f>
        <v/>
      </c>
      <c r="N504" s="72" t="str">
        <f>TEXT(ASTemp!N504,Percentages)</f>
        <v/>
      </c>
    </row>
    <row r="505" ht="14.25" customHeight="1">
      <c r="B505" s="66" t="str">
        <f>ASTemp!B505</f>
        <v/>
      </c>
      <c r="C505" s="67" t="str">
        <f>ASTemp!C505</f>
        <v/>
      </c>
      <c r="D505" s="68" t="str">
        <f>ASTemp!D505</f>
        <v/>
      </c>
      <c r="E505" s="65" t="str">
        <f>ASTemp!E505</f>
        <v/>
      </c>
      <c r="F505" s="69" t="str">
        <f>TEXT(ASTemp!F505,Decimals)</f>
        <v/>
      </c>
      <c r="G505" s="69" t="str">
        <f>TEXT(ASTemp!G505,Decimals)</f>
        <v/>
      </c>
      <c r="H505" s="69" t="str">
        <f>TEXT(ASTemp!H505,Decimals)</f>
        <v/>
      </c>
      <c r="I505" s="69" t="str">
        <f>TEXT(ASTemp!I505,Decimals)</f>
        <v/>
      </c>
      <c r="J505" s="69" t="str">
        <f>TEXT(ASTemp!J505,Decimals)</f>
        <v/>
      </c>
      <c r="K505" s="69" t="str">
        <f>TEXT(ASTemp!K505,Decimals)</f>
        <v/>
      </c>
      <c r="L505" s="69" t="str">
        <f>TEXT(ASTemp!L505,Decimals)</f>
        <v/>
      </c>
      <c r="M505" s="71" t="str">
        <f>TEXT(ASTemp!M505,Percentages)</f>
        <v/>
      </c>
      <c r="N505" s="72" t="str">
        <f>TEXT(ASTemp!N505,Percentages)</f>
        <v/>
      </c>
    </row>
    <row r="506" ht="14.25" customHeight="1">
      <c r="B506" s="66" t="str">
        <f>ASTemp!B506</f>
        <v/>
      </c>
      <c r="C506" s="67" t="str">
        <f>ASTemp!C506</f>
        <v/>
      </c>
      <c r="D506" s="68" t="str">
        <f>ASTemp!D506</f>
        <v/>
      </c>
      <c r="E506" s="65" t="str">
        <f>ASTemp!E506</f>
        <v/>
      </c>
      <c r="F506" s="69" t="str">
        <f>TEXT(ASTemp!F506,Decimals)</f>
        <v/>
      </c>
      <c r="G506" s="69" t="str">
        <f>TEXT(ASTemp!G506,Decimals)</f>
        <v/>
      </c>
      <c r="H506" s="69" t="str">
        <f>TEXT(ASTemp!H506,Decimals)</f>
        <v/>
      </c>
      <c r="I506" s="69" t="str">
        <f>TEXT(ASTemp!I506,Decimals)</f>
        <v/>
      </c>
      <c r="J506" s="69" t="str">
        <f>TEXT(ASTemp!J506,Decimals)</f>
        <v/>
      </c>
      <c r="K506" s="69" t="str">
        <f>TEXT(ASTemp!K506,Decimals)</f>
        <v/>
      </c>
      <c r="L506" s="69" t="str">
        <f>TEXT(ASTemp!L506,Decimals)</f>
        <v/>
      </c>
      <c r="M506" s="71" t="str">
        <f>TEXT(ASTemp!M506,Percentages)</f>
        <v/>
      </c>
      <c r="N506" s="72" t="str">
        <f>TEXT(ASTemp!N506,Percentages)</f>
        <v/>
      </c>
    </row>
    <row r="507" ht="14.25" customHeight="1">
      <c r="B507" s="66" t="str">
        <f>ASTemp!B507</f>
        <v/>
      </c>
      <c r="C507" s="67" t="str">
        <f>ASTemp!C507</f>
        <v/>
      </c>
      <c r="D507" s="68" t="str">
        <f>ASTemp!D507</f>
        <v/>
      </c>
      <c r="E507" s="65" t="str">
        <f>ASTemp!E507</f>
        <v/>
      </c>
      <c r="F507" s="69" t="str">
        <f>TEXT(ASTemp!F507,Decimals)</f>
        <v/>
      </c>
      <c r="G507" s="69" t="str">
        <f>TEXT(ASTemp!G507,Decimals)</f>
        <v/>
      </c>
      <c r="H507" s="69" t="str">
        <f>TEXT(ASTemp!H507,Decimals)</f>
        <v/>
      </c>
      <c r="I507" s="69" t="str">
        <f>TEXT(ASTemp!I507,Decimals)</f>
        <v/>
      </c>
      <c r="J507" s="69" t="str">
        <f>TEXT(ASTemp!J507,Decimals)</f>
        <v/>
      </c>
      <c r="K507" s="69" t="str">
        <f>TEXT(ASTemp!K507,Decimals)</f>
        <v/>
      </c>
      <c r="L507" s="69" t="str">
        <f>TEXT(ASTemp!L507,Decimals)</f>
        <v/>
      </c>
      <c r="M507" s="71" t="str">
        <f>TEXT(ASTemp!M507,Percentages)</f>
        <v/>
      </c>
      <c r="N507" s="72" t="str">
        <f>TEXT(ASTemp!N507,Percentages)</f>
        <v/>
      </c>
    </row>
    <row r="508" ht="14.25" customHeight="1">
      <c r="B508" s="66" t="str">
        <f>ASTemp!B508</f>
        <v/>
      </c>
      <c r="C508" s="67" t="str">
        <f>ASTemp!C508</f>
        <v/>
      </c>
      <c r="D508" s="68" t="str">
        <f>ASTemp!D508</f>
        <v/>
      </c>
      <c r="E508" s="65" t="str">
        <f>ASTemp!E508</f>
        <v/>
      </c>
      <c r="F508" s="69" t="str">
        <f>TEXT(ASTemp!F508,Decimals)</f>
        <v/>
      </c>
      <c r="G508" s="69" t="str">
        <f>TEXT(ASTemp!G508,Decimals)</f>
        <v/>
      </c>
      <c r="H508" s="69" t="str">
        <f>TEXT(ASTemp!H508,Decimals)</f>
        <v/>
      </c>
      <c r="I508" s="69" t="str">
        <f>TEXT(ASTemp!I508,Decimals)</f>
        <v/>
      </c>
      <c r="J508" s="69" t="str">
        <f>TEXT(ASTemp!J508,Decimals)</f>
        <v/>
      </c>
      <c r="K508" s="69" t="str">
        <f>TEXT(ASTemp!K508,Decimals)</f>
        <v/>
      </c>
      <c r="L508" s="69" t="str">
        <f>TEXT(ASTemp!L508,Decimals)</f>
        <v/>
      </c>
      <c r="M508" s="71" t="str">
        <f>TEXT(ASTemp!M508,Percentages)</f>
        <v/>
      </c>
      <c r="N508" s="72" t="str">
        <f>TEXT(ASTemp!N508,Percentages)</f>
        <v/>
      </c>
    </row>
    <row r="509" ht="14.25" customHeight="1">
      <c r="B509" s="66" t="str">
        <f>ASTemp!B509</f>
        <v/>
      </c>
      <c r="C509" s="67" t="str">
        <f>ASTemp!C509</f>
        <v/>
      </c>
      <c r="D509" s="68" t="str">
        <f>ASTemp!D509</f>
        <v/>
      </c>
      <c r="E509" s="65" t="str">
        <f>ASTemp!E509</f>
        <v/>
      </c>
      <c r="F509" s="69" t="str">
        <f>TEXT(ASTemp!F509,Decimals)</f>
        <v/>
      </c>
      <c r="G509" s="69" t="str">
        <f>TEXT(ASTemp!G509,Decimals)</f>
        <v/>
      </c>
      <c r="H509" s="69" t="str">
        <f>TEXT(ASTemp!H509,Decimals)</f>
        <v/>
      </c>
      <c r="I509" s="69" t="str">
        <f>TEXT(ASTemp!I509,Decimals)</f>
        <v/>
      </c>
      <c r="J509" s="69" t="str">
        <f>TEXT(ASTemp!J509,Decimals)</f>
        <v/>
      </c>
      <c r="K509" s="69" t="str">
        <f>TEXT(ASTemp!K509,Decimals)</f>
        <v/>
      </c>
      <c r="L509" s="69" t="str">
        <f>TEXT(ASTemp!L509,Decimals)</f>
        <v/>
      </c>
      <c r="M509" s="71" t="str">
        <f>TEXT(ASTemp!M509,Percentages)</f>
        <v/>
      </c>
      <c r="N509" s="72" t="str">
        <f>TEXT(ASTemp!N509,Percentages)</f>
        <v/>
      </c>
    </row>
    <row r="510" ht="14.25" customHeight="1">
      <c r="B510" s="66" t="str">
        <f>ASTemp!B510</f>
        <v/>
      </c>
      <c r="C510" s="67" t="str">
        <f>ASTemp!C510</f>
        <v/>
      </c>
      <c r="D510" s="68" t="str">
        <f>ASTemp!D510</f>
        <v/>
      </c>
      <c r="E510" s="65" t="str">
        <f>ASTemp!E510</f>
        <v/>
      </c>
      <c r="F510" s="69" t="str">
        <f>TEXT(ASTemp!F510,Decimals)</f>
        <v/>
      </c>
      <c r="G510" s="69" t="str">
        <f>TEXT(ASTemp!G510,Decimals)</f>
        <v/>
      </c>
      <c r="H510" s="69" t="str">
        <f>TEXT(ASTemp!H510,Decimals)</f>
        <v/>
      </c>
      <c r="I510" s="69" t="str">
        <f>TEXT(ASTemp!I510,Decimals)</f>
        <v/>
      </c>
      <c r="J510" s="69" t="str">
        <f>TEXT(ASTemp!J510,Decimals)</f>
        <v/>
      </c>
      <c r="K510" s="69" t="str">
        <f>TEXT(ASTemp!K510,Decimals)</f>
        <v/>
      </c>
      <c r="L510" s="69" t="str">
        <f>TEXT(ASTemp!L510,Decimals)</f>
        <v/>
      </c>
      <c r="M510" s="71" t="str">
        <f>TEXT(ASTemp!M510,Percentages)</f>
        <v/>
      </c>
      <c r="N510" s="72" t="str">
        <f>TEXT(ASTemp!N510,Percentages)</f>
        <v/>
      </c>
    </row>
    <row r="511" ht="14.25" customHeight="1">
      <c r="B511" s="66" t="str">
        <f>ASTemp!B511</f>
        <v/>
      </c>
      <c r="C511" s="67" t="str">
        <f>ASTemp!C511</f>
        <v/>
      </c>
      <c r="D511" s="68" t="str">
        <f>ASTemp!D511</f>
        <v/>
      </c>
      <c r="E511" s="65" t="str">
        <f>ASTemp!E511</f>
        <v/>
      </c>
      <c r="F511" s="69" t="str">
        <f>TEXT(ASTemp!F511,Decimals)</f>
        <v/>
      </c>
      <c r="G511" s="69" t="str">
        <f>TEXT(ASTemp!G511,Decimals)</f>
        <v/>
      </c>
      <c r="H511" s="69" t="str">
        <f>TEXT(ASTemp!H511,Decimals)</f>
        <v/>
      </c>
      <c r="I511" s="69" t="str">
        <f>TEXT(ASTemp!I511,Decimals)</f>
        <v/>
      </c>
      <c r="J511" s="69" t="str">
        <f>TEXT(ASTemp!J511,Decimals)</f>
        <v/>
      </c>
      <c r="K511" s="69" t="str">
        <f>TEXT(ASTemp!K511,Decimals)</f>
        <v/>
      </c>
      <c r="L511" s="69" t="str">
        <f>TEXT(ASTemp!L511,Decimals)</f>
        <v/>
      </c>
      <c r="M511" s="71" t="str">
        <f>TEXT(ASTemp!M511,Percentages)</f>
        <v/>
      </c>
      <c r="N511" s="72" t="str">
        <f>TEXT(ASTemp!N511,Percentages)</f>
        <v/>
      </c>
    </row>
    <row r="512" ht="14.25" customHeight="1">
      <c r="B512" s="66" t="str">
        <f>ASTemp!B512</f>
        <v/>
      </c>
      <c r="C512" s="67" t="str">
        <f>ASTemp!C512</f>
        <v/>
      </c>
      <c r="D512" s="68" t="str">
        <f>ASTemp!D512</f>
        <v/>
      </c>
      <c r="E512" s="65" t="str">
        <f>ASTemp!E512</f>
        <v/>
      </c>
      <c r="F512" s="69" t="str">
        <f>TEXT(ASTemp!F512,Decimals)</f>
        <v/>
      </c>
      <c r="G512" s="69" t="str">
        <f>TEXT(ASTemp!G512,Decimals)</f>
        <v/>
      </c>
      <c r="H512" s="69" t="str">
        <f>TEXT(ASTemp!H512,Decimals)</f>
        <v/>
      </c>
      <c r="I512" s="69" t="str">
        <f>TEXT(ASTemp!I512,Decimals)</f>
        <v/>
      </c>
      <c r="J512" s="69" t="str">
        <f>TEXT(ASTemp!J512,Decimals)</f>
        <v/>
      </c>
      <c r="K512" s="69" t="str">
        <f>TEXT(ASTemp!K512,Decimals)</f>
        <v/>
      </c>
      <c r="L512" s="69" t="str">
        <f>TEXT(ASTemp!L512,Decimals)</f>
        <v/>
      </c>
      <c r="M512" s="71" t="str">
        <f>TEXT(ASTemp!M512,Percentages)</f>
        <v/>
      </c>
      <c r="N512" s="72" t="str">
        <f>TEXT(ASTemp!N512,Percentages)</f>
        <v/>
      </c>
    </row>
    <row r="513" ht="14.25" customHeight="1">
      <c r="B513" s="66" t="str">
        <f>ASTemp!B513</f>
        <v/>
      </c>
      <c r="C513" s="67" t="str">
        <f>ASTemp!C513</f>
        <v/>
      </c>
      <c r="D513" s="68" t="str">
        <f>ASTemp!D513</f>
        <v/>
      </c>
      <c r="E513" s="65" t="str">
        <f>ASTemp!E513</f>
        <v/>
      </c>
      <c r="F513" s="69" t="str">
        <f>TEXT(ASTemp!F513,Decimals)</f>
        <v/>
      </c>
      <c r="G513" s="69" t="str">
        <f>TEXT(ASTemp!G513,Decimals)</f>
        <v/>
      </c>
      <c r="H513" s="69" t="str">
        <f>TEXT(ASTemp!H513,Decimals)</f>
        <v/>
      </c>
      <c r="I513" s="69" t="str">
        <f>TEXT(ASTemp!I513,Decimals)</f>
        <v/>
      </c>
      <c r="J513" s="69" t="str">
        <f>TEXT(ASTemp!J513,Decimals)</f>
        <v/>
      </c>
      <c r="K513" s="69" t="str">
        <f>TEXT(ASTemp!K513,Decimals)</f>
        <v/>
      </c>
      <c r="L513" s="69" t="str">
        <f>TEXT(ASTemp!L513,Decimals)</f>
        <v/>
      </c>
      <c r="M513" s="71" t="str">
        <f>TEXT(ASTemp!M513,Percentages)</f>
        <v/>
      </c>
      <c r="N513" s="72" t="str">
        <f>TEXT(ASTemp!N513,Percentages)</f>
        <v/>
      </c>
    </row>
    <row r="514" ht="14.25" customHeight="1">
      <c r="B514" s="66" t="str">
        <f>ASTemp!B514</f>
        <v/>
      </c>
      <c r="C514" s="67" t="str">
        <f>ASTemp!C514</f>
        <v/>
      </c>
      <c r="D514" s="68" t="str">
        <f>ASTemp!D514</f>
        <v/>
      </c>
      <c r="E514" s="65" t="str">
        <f>ASTemp!E514</f>
        <v/>
      </c>
      <c r="F514" s="69" t="str">
        <f>TEXT(ASTemp!F514,Decimals)</f>
        <v/>
      </c>
      <c r="G514" s="69" t="str">
        <f>TEXT(ASTemp!G514,Decimals)</f>
        <v/>
      </c>
      <c r="H514" s="69" t="str">
        <f>TEXT(ASTemp!H514,Decimals)</f>
        <v/>
      </c>
      <c r="I514" s="69" t="str">
        <f>TEXT(ASTemp!I514,Decimals)</f>
        <v/>
      </c>
      <c r="J514" s="69" t="str">
        <f>TEXT(ASTemp!J514,Decimals)</f>
        <v/>
      </c>
      <c r="K514" s="69" t="str">
        <f>TEXT(ASTemp!K514,Decimals)</f>
        <v/>
      </c>
      <c r="L514" s="69" t="str">
        <f>TEXT(ASTemp!L514,Decimals)</f>
        <v/>
      </c>
      <c r="M514" s="71" t="str">
        <f>TEXT(ASTemp!M514,Percentages)</f>
        <v/>
      </c>
      <c r="N514" s="72" t="str">
        <f>TEXT(ASTemp!N514,Percentages)</f>
        <v/>
      </c>
    </row>
    <row r="515" ht="14.25" customHeight="1">
      <c r="B515" s="66" t="str">
        <f>ASTemp!B515</f>
        <v/>
      </c>
      <c r="C515" s="67" t="str">
        <f>ASTemp!C515</f>
        <v/>
      </c>
      <c r="D515" s="68" t="str">
        <f>ASTemp!D515</f>
        <v/>
      </c>
      <c r="E515" s="65" t="str">
        <f>ASTemp!E515</f>
        <v/>
      </c>
      <c r="F515" s="69" t="str">
        <f>TEXT(ASTemp!F515,Decimals)</f>
        <v/>
      </c>
      <c r="G515" s="69" t="str">
        <f>TEXT(ASTemp!G515,Decimals)</f>
        <v/>
      </c>
      <c r="H515" s="69" t="str">
        <f>TEXT(ASTemp!H515,Decimals)</f>
        <v/>
      </c>
      <c r="I515" s="69" t="str">
        <f>TEXT(ASTemp!I515,Decimals)</f>
        <v/>
      </c>
      <c r="J515" s="69" t="str">
        <f>TEXT(ASTemp!J515,Decimals)</f>
        <v/>
      </c>
      <c r="K515" s="69" t="str">
        <f>TEXT(ASTemp!K515,Decimals)</f>
        <v/>
      </c>
      <c r="L515" s="69" t="str">
        <f>TEXT(ASTemp!L515,Decimals)</f>
        <v/>
      </c>
      <c r="M515" s="71" t="str">
        <f>TEXT(ASTemp!M515,Percentages)</f>
        <v/>
      </c>
      <c r="N515" s="72" t="str">
        <f>TEXT(ASTemp!N515,Percentages)</f>
        <v/>
      </c>
    </row>
    <row r="516" ht="14.25" customHeight="1">
      <c r="B516" s="66" t="str">
        <f>ASTemp!B516</f>
        <v/>
      </c>
      <c r="C516" s="67" t="str">
        <f>ASTemp!C516</f>
        <v/>
      </c>
      <c r="D516" s="68" t="str">
        <f>ASTemp!D516</f>
        <v/>
      </c>
      <c r="E516" s="65" t="str">
        <f>ASTemp!E516</f>
        <v/>
      </c>
      <c r="F516" s="69" t="str">
        <f>TEXT(ASTemp!F516,Decimals)</f>
        <v/>
      </c>
      <c r="G516" s="69" t="str">
        <f>TEXT(ASTemp!G516,Decimals)</f>
        <v/>
      </c>
      <c r="H516" s="69" t="str">
        <f>TEXT(ASTemp!H516,Decimals)</f>
        <v/>
      </c>
      <c r="I516" s="69" t="str">
        <f>TEXT(ASTemp!I516,Decimals)</f>
        <v/>
      </c>
      <c r="J516" s="69" t="str">
        <f>TEXT(ASTemp!J516,Decimals)</f>
        <v/>
      </c>
      <c r="K516" s="69" t="str">
        <f>TEXT(ASTemp!K516,Decimals)</f>
        <v/>
      </c>
      <c r="L516" s="69" t="str">
        <f>TEXT(ASTemp!L516,Decimals)</f>
        <v/>
      </c>
      <c r="M516" s="71" t="str">
        <f>TEXT(ASTemp!M516,Percentages)</f>
        <v/>
      </c>
      <c r="N516" s="72" t="str">
        <f>TEXT(ASTemp!N516,Percentages)</f>
        <v/>
      </c>
    </row>
    <row r="517" ht="14.25" customHeight="1">
      <c r="B517" s="66" t="str">
        <f>ASTemp!B517</f>
        <v/>
      </c>
      <c r="C517" s="67" t="str">
        <f>ASTemp!C517</f>
        <v/>
      </c>
      <c r="D517" s="68" t="str">
        <f>ASTemp!D517</f>
        <v/>
      </c>
      <c r="E517" s="65" t="str">
        <f>ASTemp!E517</f>
        <v/>
      </c>
      <c r="F517" s="69" t="str">
        <f>TEXT(ASTemp!F517,Decimals)</f>
        <v/>
      </c>
      <c r="G517" s="69" t="str">
        <f>TEXT(ASTemp!G517,Decimals)</f>
        <v/>
      </c>
      <c r="H517" s="69" t="str">
        <f>TEXT(ASTemp!H517,Decimals)</f>
        <v/>
      </c>
      <c r="I517" s="69" t="str">
        <f>TEXT(ASTemp!I517,Decimals)</f>
        <v/>
      </c>
      <c r="J517" s="69" t="str">
        <f>TEXT(ASTemp!J517,Decimals)</f>
        <v/>
      </c>
      <c r="K517" s="69" t="str">
        <f>TEXT(ASTemp!K517,Decimals)</f>
        <v/>
      </c>
      <c r="L517" s="69" t="str">
        <f>TEXT(ASTemp!L517,Decimals)</f>
        <v/>
      </c>
      <c r="M517" s="71" t="str">
        <f>TEXT(ASTemp!M517,Percentages)</f>
        <v/>
      </c>
      <c r="N517" s="72" t="str">
        <f>TEXT(ASTemp!N517,Percentages)</f>
        <v/>
      </c>
    </row>
    <row r="518" ht="14.25" customHeight="1">
      <c r="B518" s="66" t="str">
        <f>ASTemp!B518</f>
        <v/>
      </c>
      <c r="C518" s="67" t="str">
        <f>ASTemp!C518</f>
        <v/>
      </c>
      <c r="D518" s="68" t="str">
        <f>ASTemp!D518</f>
        <v/>
      </c>
      <c r="E518" s="65" t="str">
        <f>ASTemp!E518</f>
        <v/>
      </c>
      <c r="F518" s="69" t="str">
        <f>TEXT(ASTemp!F518,Decimals)</f>
        <v/>
      </c>
      <c r="G518" s="69" t="str">
        <f>TEXT(ASTemp!G518,Decimals)</f>
        <v/>
      </c>
      <c r="H518" s="69" t="str">
        <f>TEXT(ASTemp!H518,Decimals)</f>
        <v/>
      </c>
      <c r="I518" s="69" t="str">
        <f>TEXT(ASTemp!I518,Decimals)</f>
        <v/>
      </c>
      <c r="J518" s="69" t="str">
        <f>TEXT(ASTemp!J518,Decimals)</f>
        <v/>
      </c>
      <c r="K518" s="69" t="str">
        <f>TEXT(ASTemp!K518,Decimals)</f>
        <v/>
      </c>
      <c r="L518" s="69" t="str">
        <f>TEXT(ASTemp!L518,Decimals)</f>
        <v/>
      </c>
      <c r="M518" s="71" t="str">
        <f>TEXT(ASTemp!M518,Percentages)</f>
        <v/>
      </c>
      <c r="N518" s="72" t="str">
        <f>TEXT(ASTemp!N518,Percentages)</f>
        <v/>
      </c>
    </row>
    <row r="519" ht="14.25" customHeight="1">
      <c r="B519" s="66" t="str">
        <f>ASTemp!B519</f>
        <v/>
      </c>
      <c r="C519" s="67" t="str">
        <f>ASTemp!C519</f>
        <v/>
      </c>
      <c r="D519" s="68" t="str">
        <f>ASTemp!D519</f>
        <v/>
      </c>
      <c r="E519" s="65" t="str">
        <f>ASTemp!E519</f>
        <v/>
      </c>
      <c r="F519" s="69" t="str">
        <f>TEXT(ASTemp!F519,Decimals)</f>
        <v/>
      </c>
      <c r="G519" s="69" t="str">
        <f>TEXT(ASTemp!G519,Decimals)</f>
        <v/>
      </c>
      <c r="H519" s="69" t="str">
        <f>TEXT(ASTemp!H519,Decimals)</f>
        <v/>
      </c>
      <c r="I519" s="69" t="str">
        <f>TEXT(ASTemp!I519,Decimals)</f>
        <v/>
      </c>
      <c r="J519" s="69" t="str">
        <f>TEXT(ASTemp!J519,Decimals)</f>
        <v/>
      </c>
      <c r="K519" s="69" t="str">
        <f>TEXT(ASTemp!K519,Decimals)</f>
        <v/>
      </c>
      <c r="L519" s="69" t="str">
        <f>TEXT(ASTemp!L519,Decimals)</f>
        <v/>
      </c>
      <c r="M519" s="71" t="str">
        <f>TEXT(ASTemp!M519,Percentages)</f>
        <v/>
      </c>
      <c r="N519" s="72" t="str">
        <f>TEXT(ASTemp!N519,Percentages)</f>
        <v/>
      </c>
    </row>
    <row r="520" ht="14.25" customHeight="1">
      <c r="B520" s="66" t="str">
        <f>ASTemp!B520</f>
        <v/>
      </c>
      <c r="C520" s="67" t="str">
        <f>ASTemp!C520</f>
        <v/>
      </c>
      <c r="D520" s="68" t="str">
        <f>ASTemp!D520</f>
        <v/>
      </c>
      <c r="E520" s="65" t="str">
        <f>ASTemp!E520</f>
        <v/>
      </c>
      <c r="F520" s="69" t="str">
        <f>TEXT(ASTemp!F520,Decimals)</f>
        <v/>
      </c>
      <c r="G520" s="69" t="str">
        <f>TEXT(ASTemp!G520,Decimals)</f>
        <v/>
      </c>
      <c r="H520" s="69" t="str">
        <f>TEXT(ASTemp!H520,Decimals)</f>
        <v/>
      </c>
      <c r="I520" s="69" t="str">
        <f>TEXT(ASTemp!I520,Decimals)</f>
        <v/>
      </c>
      <c r="J520" s="69" t="str">
        <f>TEXT(ASTemp!J520,Decimals)</f>
        <v/>
      </c>
      <c r="K520" s="69" t="str">
        <f>TEXT(ASTemp!K520,Decimals)</f>
        <v/>
      </c>
      <c r="L520" s="69" t="str">
        <f>TEXT(ASTemp!L520,Decimals)</f>
        <v/>
      </c>
      <c r="M520" s="71" t="str">
        <f>TEXT(ASTemp!M520,Percentages)</f>
        <v/>
      </c>
      <c r="N520" s="72" t="str">
        <f>TEXT(ASTemp!N520,Percentages)</f>
        <v/>
      </c>
    </row>
    <row r="521" ht="14.25" customHeight="1">
      <c r="B521" s="66" t="str">
        <f>ASTemp!B521</f>
        <v/>
      </c>
      <c r="C521" s="67" t="str">
        <f>ASTemp!C521</f>
        <v/>
      </c>
      <c r="D521" s="68" t="str">
        <f>ASTemp!D521</f>
        <v/>
      </c>
      <c r="E521" s="65" t="str">
        <f>ASTemp!E521</f>
        <v/>
      </c>
      <c r="F521" s="69" t="str">
        <f>TEXT(ASTemp!F521,Decimals)</f>
        <v/>
      </c>
      <c r="G521" s="69" t="str">
        <f>TEXT(ASTemp!G521,Decimals)</f>
        <v/>
      </c>
      <c r="H521" s="69" t="str">
        <f>TEXT(ASTemp!H521,Decimals)</f>
        <v/>
      </c>
      <c r="I521" s="69" t="str">
        <f>TEXT(ASTemp!I521,Decimals)</f>
        <v/>
      </c>
      <c r="J521" s="69" t="str">
        <f>TEXT(ASTemp!J521,Decimals)</f>
        <v/>
      </c>
      <c r="K521" s="69" t="str">
        <f>TEXT(ASTemp!K521,Decimals)</f>
        <v/>
      </c>
      <c r="L521" s="69" t="str">
        <f>TEXT(ASTemp!L521,Decimals)</f>
        <v/>
      </c>
      <c r="M521" s="71" t="str">
        <f>TEXT(ASTemp!M521,Percentages)</f>
        <v/>
      </c>
      <c r="N521" s="72" t="str">
        <f>TEXT(ASTemp!N521,Percentages)</f>
        <v/>
      </c>
    </row>
    <row r="522" ht="14.25" customHeight="1">
      <c r="B522" s="66" t="str">
        <f>ASTemp!B522</f>
        <v/>
      </c>
      <c r="C522" s="67" t="str">
        <f>ASTemp!C522</f>
        <v/>
      </c>
      <c r="D522" s="68" t="str">
        <f>ASTemp!D522</f>
        <v/>
      </c>
      <c r="E522" s="65" t="str">
        <f>ASTemp!E522</f>
        <v/>
      </c>
      <c r="F522" s="69" t="str">
        <f>TEXT(ASTemp!F522,Decimals)</f>
        <v/>
      </c>
      <c r="G522" s="69" t="str">
        <f>TEXT(ASTemp!G522,Decimals)</f>
        <v/>
      </c>
      <c r="H522" s="69" t="str">
        <f>TEXT(ASTemp!H522,Decimals)</f>
        <v/>
      </c>
      <c r="I522" s="69" t="str">
        <f>TEXT(ASTemp!I522,Decimals)</f>
        <v/>
      </c>
      <c r="J522" s="69" t="str">
        <f>TEXT(ASTemp!J522,Decimals)</f>
        <v/>
      </c>
      <c r="K522" s="69" t="str">
        <f>TEXT(ASTemp!K522,Decimals)</f>
        <v/>
      </c>
      <c r="L522" s="69" t="str">
        <f>TEXT(ASTemp!L522,Decimals)</f>
        <v/>
      </c>
      <c r="M522" s="71" t="str">
        <f>TEXT(ASTemp!M522,Percentages)</f>
        <v/>
      </c>
      <c r="N522" s="72" t="str">
        <f>TEXT(ASTemp!N522,Percentages)</f>
        <v/>
      </c>
    </row>
    <row r="523" ht="14.25" customHeight="1">
      <c r="B523" s="66" t="str">
        <f>ASTemp!B523</f>
        <v/>
      </c>
      <c r="C523" s="67" t="str">
        <f>ASTemp!C523</f>
        <v/>
      </c>
      <c r="D523" s="68" t="str">
        <f>ASTemp!D523</f>
        <v/>
      </c>
      <c r="E523" s="65" t="str">
        <f>ASTemp!E523</f>
        <v/>
      </c>
      <c r="F523" s="69" t="str">
        <f>TEXT(ASTemp!F523,Decimals)</f>
        <v/>
      </c>
      <c r="G523" s="69" t="str">
        <f>TEXT(ASTemp!G523,Decimals)</f>
        <v/>
      </c>
      <c r="H523" s="69" t="str">
        <f>TEXT(ASTemp!H523,Decimals)</f>
        <v/>
      </c>
      <c r="I523" s="69" t="str">
        <f>TEXT(ASTemp!I523,Decimals)</f>
        <v/>
      </c>
      <c r="J523" s="69" t="str">
        <f>TEXT(ASTemp!J523,Decimals)</f>
        <v/>
      </c>
      <c r="K523" s="69" t="str">
        <f>TEXT(ASTemp!K523,Decimals)</f>
        <v/>
      </c>
      <c r="L523" s="69" t="str">
        <f>TEXT(ASTemp!L523,Decimals)</f>
        <v/>
      </c>
      <c r="M523" s="71" t="str">
        <f>TEXT(ASTemp!M523,Percentages)</f>
        <v/>
      </c>
      <c r="N523" s="72" t="str">
        <f>TEXT(ASTemp!N523,Percentages)</f>
        <v/>
      </c>
    </row>
    <row r="524" ht="14.25" customHeight="1">
      <c r="B524" s="66" t="str">
        <f>ASTemp!B524</f>
        <v/>
      </c>
      <c r="C524" s="67" t="str">
        <f>ASTemp!C524</f>
        <v/>
      </c>
      <c r="D524" s="68" t="str">
        <f>ASTemp!D524</f>
        <v/>
      </c>
      <c r="E524" s="65" t="str">
        <f>ASTemp!E524</f>
        <v/>
      </c>
      <c r="F524" s="69" t="str">
        <f>TEXT(ASTemp!F524,Decimals)</f>
        <v/>
      </c>
      <c r="G524" s="69" t="str">
        <f>TEXT(ASTemp!G524,Decimals)</f>
        <v/>
      </c>
      <c r="H524" s="69" t="str">
        <f>TEXT(ASTemp!H524,Decimals)</f>
        <v/>
      </c>
      <c r="I524" s="69" t="str">
        <f>TEXT(ASTemp!I524,Decimals)</f>
        <v/>
      </c>
      <c r="J524" s="69" t="str">
        <f>TEXT(ASTemp!J524,Decimals)</f>
        <v/>
      </c>
      <c r="K524" s="69" t="str">
        <f>TEXT(ASTemp!K524,Decimals)</f>
        <v/>
      </c>
      <c r="L524" s="69" t="str">
        <f>TEXT(ASTemp!L524,Decimals)</f>
        <v/>
      </c>
      <c r="M524" s="71" t="str">
        <f>TEXT(ASTemp!M524,Percentages)</f>
        <v/>
      </c>
      <c r="N524" s="72" t="str">
        <f>TEXT(ASTemp!N524,Percentages)</f>
        <v/>
      </c>
    </row>
    <row r="525" ht="14.25" customHeight="1">
      <c r="B525" s="66" t="str">
        <f>ASTemp!B525</f>
        <v/>
      </c>
      <c r="C525" s="67" t="str">
        <f>ASTemp!C525</f>
        <v/>
      </c>
      <c r="D525" s="68" t="str">
        <f>ASTemp!D525</f>
        <v/>
      </c>
      <c r="E525" s="65" t="str">
        <f>ASTemp!E525</f>
        <v/>
      </c>
      <c r="F525" s="69" t="str">
        <f>TEXT(ASTemp!F525,Decimals)</f>
        <v/>
      </c>
      <c r="G525" s="69" t="str">
        <f>TEXT(ASTemp!G525,Decimals)</f>
        <v/>
      </c>
      <c r="H525" s="69" t="str">
        <f>TEXT(ASTemp!H525,Decimals)</f>
        <v/>
      </c>
      <c r="I525" s="69" t="str">
        <f>TEXT(ASTemp!I525,Decimals)</f>
        <v/>
      </c>
      <c r="J525" s="69" t="str">
        <f>TEXT(ASTemp!J525,Decimals)</f>
        <v/>
      </c>
      <c r="K525" s="69" t="str">
        <f>TEXT(ASTemp!K525,Decimals)</f>
        <v/>
      </c>
      <c r="L525" s="69" t="str">
        <f>TEXT(ASTemp!L525,Decimals)</f>
        <v/>
      </c>
      <c r="M525" s="71" t="str">
        <f>TEXT(ASTemp!M525,Percentages)</f>
        <v/>
      </c>
      <c r="N525" s="72" t="str">
        <f>TEXT(ASTemp!N525,Percentages)</f>
        <v/>
      </c>
    </row>
    <row r="526" ht="14.25" customHeight="1">
      <c r="B526" s="66" t="str">
        <f>ASTemp!B526</f>
        <v/>
      </c>
      <c r="C526" s="67" t="str">
        <f>ASTemp!C526</f>
        <v/>
      </c>
      <c r="D526" s="68" t="str">
        <f>ASTemp!D526</f>
        <v/>
      </c>
      <c r="E526" s="65" t="str">
        <f>ASTemp!E526</f>
        <v/>
      </c>
      <c r="F526" s="69" t="str">
        <f>TEXT(ASTemp!F526,Decimals)</f>
        <v/>
      </c>
      <c r="G526" s="69" t="str">
        <f>TEXT(ASTemp!G526,Decimals)</f>
        <v/>
      </c>
      <c r="H526" s="69" t="str">
        <f>TEXT(ASTemp!H526,Decimals)</f>
        <v/>
      </c>
      <c r="I526" s="69" t="str">
        <f>TEXT(ASTemp!I526,Decimals)</f>
        <v/>
      </c>
      <c r="J526" s="69" t="str">
        <f>TEXT(ASTemp!J526,Decimals)</f>
        <v/>
      </c>
      <c r="K526" s="69" t="str">
        <f>TEXT(ASTemp!K526,Decimals)</f>
        <v/>
      </c>
      <c r="L526" s="69" t="str">
        <f>TEXT(ASTemp!L526,Decimals)</f>
        <v/>
      </c>
      <c r="M526" s="71" t="str">
        <f>TEXT(ASTemp!M526,Percentages)</f>
        <v/>
      </c>
      <c r="N526" s="72" t="str">
        <f>TEXT(ASTemp!N526,Percentages)</f>
        <v/>
      </c>
    </row>
    <row r="527" ht="14.25" customHeight="1">
      <c r="B527" s="66" t="str">
        <f>ASTemp!B527</f>
        <v/>
      </c>
      <c r="C527" s="67" t="str">
        <f>ASTemp!C527</f>
        <v/>
      </c>
      <c r="D527" s="68" t="str">
        <f>ASTemp!D527</f>
        <v/>
      </c>
      <c r="E527" s="65" t="str">
        <f>ASTemp!E527</f>
        <v/>
      </c>
      <c r="F527" s="69" t="str">
        <f>TEXT(ASTemp!F527,Decimals)</f>
        <v/>
      </c>
      <c r="G527" s="69" t="str">
        <f>TEXT(ASTemp!G527,Decimals)</f>
        <v/>
      </c>
      <c r="H527" s="69" t="str">
        <f>TEXT(ASTemp!H527,Decimals)</f>
        <v/>
      </c>
      <c r="I527" s="69" t="str">
        <f>TEXT(ASTemp!I527,Decimals)</f>
        <v/>
      </c>
      <c r="J527" s="69" t="str">
        <f>TEXT(ASTemp!J527,Decimals)</f>
        <v/>
      </c>
      <c r="K527" s="69" t="str">
        <f>TEXT(ASTemp!K527,Decimals)</f>
        <v/>
      </c>
      <c r="L527" s="69" t="str">
        <f>TEXT(ASTemp!L527,Decimals)</f>
        <v/>
      </c>
      <c r="M527" s="71" t="str">
        <f>TEXT(ASTemp!M527,Percentages)</f>
        <v/>
      </c>
      <c r="N527" s="72" t="str">
        <f>TEXT(ASTemp!N527,Percentages)</f>
        <v/>
      </c>
    </row>
    <row r="528" ht="14.25" customHeight="1">
      <c r="B528" s="66" t="str">
        <f>ASTemp!B528</f>
        <v/>
      </c>
      <c r="C528" s="67" t="str">
        <f>ASTemp!C528</f>
        <v/>
      </c>
      <c r="D528" s="68" t="str">
        <f>ASTemp!D528</f>
        <v/>
      </c>
      <c r="E528" s="65" t="str">
        <f>ASTemp!E528</f>
        <v/>
      </c>
      <c r="F528" s="69" t="str">
        <f>TEXT(ASTemp!F528,Decimals)</f>
        <v/>
      </c>
      <c r="G528" s="69" t="str">
        <f>TEXT(ASTemp!G528,Decimals)</f>
        <v/>
      </c>
      <c r="H528" s="69" t="str">
        <f>TEXT(ASTemp!H528,Decimals)</f>
        <v/>
      </c>
      <c r="I528" s="69" t="str">
        <f>TEXT(ASTemp!I528,Decimals)</f>
        <v/>
      </c>
      <c r="J528" s="69" t="str">
        <f>TEXT(ASTemp!J528,Decimals)</f>
        <v/>
      </c>
      <c r="K528" s="69" t="str">
        <f>TEXT(ASTemp!K528,Decimals)</f>
        <v/>
      </c>
      <c r="L528" s="69" t="str">
        <f>TEXT(ASTemp!L528,Decimals)</f>
        <v/>
      </c>
      <c r="M528" s="71" t="str">
        <f>TEXT(ASTemp!M528,Percentages)</f>
        <v/>
      </c>
      <c r="N528" s="72" t="str">
        <f>TEXT(ASTemp!N528,Percentages)</f>
        <v/>
      </c>
    </row>
    <row r="529" ht="14.25" customHeight="1">
      <c r="B529" s="66" t="str">
        <f>ASTemp!B529</f>
        <v/>
      </c>
      <c r="C529" s="67" t="str">
        <f>ASTemp!C529</f>
        <v/>
      </c>
      <c r="D529" s="68" t="str">
        <f>ASTemp!D529</f>
        <v/>
      </c>
      <c r="E529" s="65" t="str">
        <f>ASTemp!E529</f>
        <v/>
      </c>
      <c r="F529" s="69" t="str">
        <f>TEXT(ASTemp!F529,Decimals)</f>
        <v/>
      </c>
      <c r="G529" s="69" t="str">
        <f>TEXT(ASTemp!G529,Decimals)</f>
        <v/>
      </c>
      <c r="H529" s="69" t="str">
        <f>TEXT(ASTemp!H529,Decimals)</f>
        <v/>
      </c>
      <c r="I529" s="69" t="str">
        <f>TEXT(ASTemp!I529,Decimals)</f>
        <v/>
      </c>
      <c r="J529" s="69" t="str">
        <f>TEXT(ASTemp!J529,Decimals)</f>
        <v/>
      </c>
      <c r="K529" s="69" t="str">
        <f>TEXT(ASTemp!K529,Decimals)</f>
        <v/>
      </c>
      <c r="L529" s="69" t="str">
        <f>TEXT(ASTemp!L529,Decimals)</f>
        <v/>
      </c>
      <c r="M529" s="71" t="str">
        <f>TEXT(ASTemp!M529,Percentages)</f>
        <v/>
      </c>
      <c r="N529" s="72" t="str">
        <f>TEXT(ASTemp!N529,Percentages)</f>
        <v/>
      </c>
    </row>
    <row r="530" ht="14.25" customHeight="1">
      <c r="B530" s="66" t="str">
        <f>ASTemp!B530</f>
        <v/>
      </c>
      <c r="C530" s="67" t="str">
        <f>ASTemp!C530</f>
        <v/>
      </c>
      <c r="D530" s="68" t="str">
        <f>ASTemp!D530</f>
        <v/>
      </c>
      <c r="E530" s="65" t="str">
        <f>ASTemp!E530</f>
        <v/>
      </c>
      <c r="F530" s="69" t="str">
        <f>TEXT(ASTemp!F530,Decimals)</f>
        <v/>
      </c>
      <c r="G530" s="69" t="str">
        <f>TEXT(ASTemp!G530,Decimals)</f>
        <v/>
      </c>
      <c r="H530" s="69" t="str">
        <f>TEXT(ASTemp!H530,Decimals)</f>
        <v/>
      </c>
      <c r="I530" s="69" t="str">
        <f>TEXT(ASTemp!I530,Decimals)</f>
        <v/>
      </c>
      <c r="J530" s="69" t="str">
        <f>TEXT(ASTemp!J530,Decimals)</f>
        <v/>
      </c>
      <c r="K530" s="69" t="str">
        <f>TEXT(ASTemp!K530,Decimals)</f>
        <v/>
      </c>
      <c r="L530" s="69" t="str">
        <f>TEXT(ASTemp!L530,Decimals)</f>
        <v/>
      </c>
      <c r="M530" s="71" t="str">
        <f>TEXT(ASTemp!M530,Percentages)</f>
        <v/>
      </c>
      <c r="N530" s="72" t="str">
        <f>TEXT(ASTemp!N530,Percentages)</f>
        <v/>
      </c>
    </row>
    <row r="531" ht="14.25" customHeight="1">
      <c r="B531" s="66" t="str">
        <f>ASTemp!B531</f>
        <v/>
      </c>
      <c r="C531" s="67" t="str">
        <f>ASTemp!C531</f>
        <v/>
      </c>
      <c r="D531" s="68" t="str">
        <f>ASTemp!D531</f>
        <v/>
      </c>
      <c r="E531" s="65" t="str">
        <f>ASTemp!E531</f>
        <v/>
      </c>
      <c r="F531" s="69" t="str">
        <f>TEXT(ASTemp!F531,Decimals)</f>
        <v/>
      </c>
      <c r="G531" s="69" t="str">
        <f>TEXT(ASTemp!G531,Decimals)</f>
        <v/>
      </c>
      <c r="H531" s="69" t="str">
        <f>TEXT(ASTemp!H531,Decimals)</f>
        <v/>
      </c>
      <c r="I531" s="69" t="str">
        <f>TEXT(ASTemp!I531,Decimals)</f>
        <v/>
      </c>
      <c r="J531" s="69" t="str">
        <f>TEXT(ASTemp!J531,Decimals)</f>
        <v/>
      </c>
      <c r="K531" s="69" t="str">
        <f>TEXT(ASTemp!K531,Decimals)</f>
        <v/>
      </c>
      <c r="L531" s="69" t="str">
        <f>TEXT(ASTemp!L531,Decimals)</f>
        <v/>
      </c>
      <c r="M531" s="71" t="str">
        <f>TEXT(ASTemp!M531,Percentages)</f>
        <v/>
      </c>
      <c r="N531" s="72" t="str">
        <f>TEXT(ASTemp!N531,Percentages)</f>
        <v/>
      </c>
    </row>
    <row r="532" ht="14.25" customHeight="1">
      <c r="B532" s="66" t="str">
        <f>ASTemp!B532</f>
        <v/>
      </c>
      <c r="C532" s="67" t="str">
        <f>ASTemp!C532</f>
        <v/>
      </c>
      <c r="D532" s="68" t="str">
        <f>ASTemp!D532</f>
        <v/>
      </c>
      <c r="E532" s="65" t="str">
        <f>ASTemp!E532</f>
        <v/>
      </c>
      <c r="F532" s="69" t="str">
        <f>TEXT(ASTemp!F532,Decimals)</f>
        <v/>
      </c>
      <c r="G532" s="69" t="str">
        <f>TEXT(ASTemp!G532,Decimals)</f>
        <v/>
      </c>
      <c r="H532" s="69" t="str">
        <f>TEXT(ASTemp!H532,Decimals)</f>
        <v/>
      </c>
      <c r="I532" s="69" t="str">
        <f>TEXT(ASTemp!I532,Decimals)</f>
        <v/>
      </c>
      <c r="J532" s="69" t="str">
        <f>TEXT(ASTemp!J532,Decimals)</f>
        <v/>
      </c>
      <c r="K532" s="69" t="str">
        <f>TEXT(ASTemp!K532,Decimals)</f>
        <v/>
      </c>
      <c r="L532" s="69" t="str">
        <f>TEXT(ASTemp!L532,Decimals)</f>
        <v/>
      </c>
      <c r="M532" s="71" t="str">
        <f>TEXT(ASTemp!M532,Percentages)</f>
        <v/>
      </c>
      <c r="N532" s="72" t="str">
        <f>TEXT(ASTemp!N532,Percentages)</f>
        <v/>
      </c>
    </row>
    <row r="533" ht="14.25" customHeight="1">
      <c r="B533" s="66" t="str">
        <f>ASTemp!B533</f>
        <v/>
      </c>
      <c r="C533" s="67" t="str">
        <f>ASTemp!C533</f>
        <v/>
      </c>
      <c r="D533" s="68" t="str">
        <f>ASTemp!D533</f>
        <v/>
      </c>
      <c r="E533" s="65" t="str">
        <f>ASTemp!E533</f>
        <v/>
      </c>
      <c r="F533" s="69" t="str">
        <f>TEXT(ASTemp!F533,Decimals)</f>
        <v/>
      </c>
      <c r="G533" s="69" t="str">
        <f>TEXT(ASTemp!G533,Decimals)</f>
        <v/>
      </c>
      <c r="H533" s="69" t="str">
        <f>TEXT(ASTemp!H533,Decimals)</f>
        <v/>
      </c>
      <c r="I533" s="69" t="str">
        <f>TEXT(ASTemp!I533,Decimals)</f>
        <v/>
      </c>
      <c r="J533" s="69" t="str">
        <f>TEXT(ASTemp!J533,Decimals)</f>
        <v/>
      </c>
      <c r="K533" s="69" t="str">
        <f>TEXT(ASTemp!K533,Decimals)</f>
        <v/>
      </c>
      <c r="L533" s="69" t="str">
        <f>TEXT(ASTemp!L533,Decimals)</f>
        <v/>
      </c>
      <c r="M533" s="71" t="str">
        <f>TEXT(ASTemp!M533,Percentages)</f>
        <v/>
      </c>
      <c r="N533" s="72" t="str">
        <f>TEXT(ASTemp!N533,Percentages)</f>
        <v/>
      </c>
    </row>
    <row r="534" ht="14.25" customHeight="1">
      <c r="B534" s="66" t="str">
        <f>ASTemp!B534</f>
        <v/>
      </c>
      <c r="C534" s="67" t="str">
        <f>ASTemp!C534</f>
        <v/>
      </c>
      <c r="D534" s="68" t="str">
        <f>ASTemp!D534</f>
        <v/>
      </c>
      <c r="E534" s="65" t="str">
        <f>ASTemp!E534</f>
        <v/>
      </c>
      <c r="F534" s="69" t="str">
        <f>TEXT(ASTemp!F534,Decimals)</f>
        <v/>
      </c>
      <c r="G534" s="69" t="str">
        <f>TEXT(ASTemp!G534,Decimals)</f>
        <v/>
      </c>
      <c r="H534" s="69" t="str">
        <f>TEXT(ASTemp!H534,Decimals)</f>
        <v/>
      </c>
      <c r="I534" s="69" t="str">
        <f>TEXT(ASTemp!I534,Decimals)</f>
        <v/>
      </c>
      <c r="J534" s="69" t="str">
        <f>TEXT(ASTemp!J534,Decimals)</f>
        <v/>
      </c>
      <c r="K534" s="69" t="str">
        <f>TEXT(ASTemp!K534,Decimals)</f>
        <v/>
      </c>
      <c r="L534" s="69" t="str">
        <f>TEXT(ASTemp!L534,Decimals)</f>
        <v/>
      </c>
      <c r="M534" s="71" t="str">
        <f>TEXT(ASTemp!M534,Percentages)</f>
        <v/>
      </c>
      <c r="N534" s="72" t="str">
        <f>TEXT(ASTemp!N534,Percentages)</f>
        <v/>
      </c>
    </row>
    <row r="535" ht="14.25" customHeight="1">
      <c r="B535" s="66" t="str">
        <f>ASTemp!B535</f>
        <v/>
      </c>
      <c r="C535" s="67" t="str">
        <f>ASTemp!C535</f>
        <v/>
      </c>
      <c r="D535" s="68" t="str">
        <f>ASTemp!D535</f>
        <v/>
      </c>
      <c r="E535" s="65" t="str">
        <f>ASTemp!E535</f>
        <v/>
      </c>
      <c r="F535" s="69" t="str">
        <f>TEXT(ASTemp!F535,Decimals)</f>
        <v/>
      </c>
      <c r="G535" s="69" t="str">
        <f>TEXT(ASTemp!G535,Decimals)</f>
        <v/>
      </c>
      <c r="H535" s="69" t="str">
        <f>TEXT(ASTemp!H535,Decimals)</f>
        <v/>
      </c>
      <c r="I535" s="69" t="str">
        <f>TEXT(ASTemp!I535,Decimals)</f>
        <v/>
      </c>
      <c r="J535" s="69" t="str">
        <f>TEXT(ASTemp!J535,Decimals)</f>
        <v/>
      </c>
      <c r="K535" s="69" t="str">
        <f>TEXT(ASTemp!K535,Decimals)</f>
        <v/>
      </c>
      <c r="L535" s="69" t="str">
        <f>TEXT(ASTemp!L535,Decimals)</f>
        <v/>
      </c>
      <c r="M535" s="71" t="str">
        <f>TEXT(ASTemp!M535,Percentages)</f>
        <v/>
      </c>
      <c r="N535" s="72" t="str">
        <f>TEXT(ASTemp!N535,Percentages)</f>
        <v/>
      </c>
    </row>
    <row r="536" ht="14.25" customHeight="1">
      <c r="B536" s="66" t="str">
        <f>ASTemp!B536</f>
        <v/>
      </c>
      <c r="C536" s="67" t="str">
        <f>ASTemp!C536</f>
        <v/>
      </c>
      <c r="D536" s="68" t="str">
        <f>ASTemp!D536</f>
        <v/>
      </c>
      <c r="E536" s="65" t="str">
        <f>ASTemp!E536</f>
        <v/>
      </c>
      <c r="F536" s="69" t="str">
        <f>TEXT(ASTemp!F536,Decimals)</f>
        <v/>
      </c>
      <c r="G536" s="69" t="str">
        <f>TEXT(ASTemp!G536,Decimals)</f>
        <v/>
      </c>
      <c r="H536" s="69" t="str">
        <f>TEXT(ASTemp!H536,Decimals)</f>
        <v/>
      </c>
      <c r="I536" s="69" t="str">
        <f>TEXT(ASTemp!I536,Decimals)</f>
        <v/>
      </c>
      <c r="J536" s="69" t="str">
        <f>TEXT(ASTemp!J536,Decimals)</f>
        <v/>
      </c>
      <c r="K536" s="69" t="str">
        <f>TEXT(ASTemp!K536,Decimals)</f>
        <v/>
      </c>
      <c r="L536" s="69" t="str">
        <f>TEXT(ASTemp!L536,Decimals)</f>
        <v/>
      </c>
      <c r="M536" s="71" t="str">
        <f>TEXT(ASTemp!M536,Percentages)</f>
        <v/>
      </c>
      <c r="N536" s="72" t="str">
        <f>TEXT(ASTemp!N536,Percentages)</f>
        <v/>
      </c>
    </row>
    <row r="537" ht="14.25" customHeight="1">
      <c r="B537" s="66" t="str">
        <f>ASTemp!B537</f>
        <v/>
      </c>
      <c r="C537" s="67" t="str">
        <f>ASTemp!C537</f>
        <v/>
      </c>
      <c r="D537" s="68" t="str">
        <f>ASTemp!D537</f>
        <v/>
      </c>
      <c r="E537" s="65" t="str">
        <f>ASTemp!E537</f>
        <v/>
      </c>
      <c r="F537" s="69" t="str">
        <f>TEXT(ASTemp!F537,Decimals)</f>
        <v/>
      </c>
      <c r="G537" s="69" t="str">
        <f>TEXT(ASTemp!G537,Decimals)</f>
        <v/>
      </c>
      <c r="H537" s="69" t="str">
        <f>TEXT(ASTemp!H537,Decimals)</f>
        <v/>
      </c>
      <c r="I537" s="69" t="str">
        <f>TEXT(ASTemp!I537,Decimals)</f>
        <v/>
      </c>
      <c r="J537" s="69" t="str">
        <f>TEXT(ASTemp!J537,Decimals)</f>
        <v/>
      </c>
      <c r="K537" s="69" t="str">
        <f>TEXT(ASTemp!K537,Decimals)</f>
        <v/>
      </c>
      <c r="L537" s="69" t="str">
        <f>TEXT(ASTemp!L537,Decimals)</f>
        <v/>
      </c>
      <c r="M537" s="71" t="str">
        <f>TEXT(ASTemp!M537,Percentages)</f>
        <v/>
      </c>
      <c r="N537" s="72" t="str">
        <f>TEXT(ASTemp!N537,Percentages)</f>
        <v/>
      </c>
    </row>
    <row r="538" ht="14.25" customHeight="1">
      <c r="B538" s="66" t="str">
        <f>ASTemp!B538</f>
        <v/>
      </c>
      <c r="C538" s="67" t="str">
        <f>ASTemp!C538</f>
        <v/>
      </c>
      <c r="D538" s="68" t="str">
        <f>ASTemp!D538</f>
        <v/>
      </c>
      <c r="E538" s="65" t="str">
        <f>ASTemp!E538</f>
        <v/>
      </c>
      <c r="F538" s="69" t="str">
        <f>TEXT(ASTemp!F538,Decimals)</f>
        <v/>
      </c>
      <c r="G538" s="69" t="str">
        <f>TEXT(ASTemp!G538,Decimals)</f>
        <v/>
      </c>
      <c r="H538" s="69" t="str">
        <f>TEXT(ASTemp!H538,Decimals)</f>
        <v/>
      </c>
      <c r="I538" s="69" t="str">
        <f>TEXT(ASTemp!I538,Decimals)</f>
        <v/>
      </c>
      <c r="J538" s="69" t="str">
        <f>TEXT(ASTemp!J538,Decimals)</f>
        <v/>
      </c>
      <c r="K538" s="69" t="str">
        <f>TEXT(ASTemp!K538,Decimals)</f>
        <v/>
      </c>
      <c r="L538" s="69" t="str">
        <f>TEXT(ASTemp!L538,Decimals)</f>
        <v/>
      </c>
      <c r="M538" s="71" t="str">
        <f>TEXT(ASTemp!M538,Percentages)</f>
        <v/>
      </c>
      <c r="N538" s="72" t="str">
        <f>TEXT(ASTemp!N538,Percentages)</f>
        <v/>
      </c>
    </row>
    <row r="539" ht="14.25" customHeight="1">
      <c r="B539" s="66" t="str">
        <f>ASTemp!B539</f>
        <v/>
      </c>
      <c r="C539" s="67" t="str">
        <f>ASTemp!C539</f>
        <v/>
      </c>
      <c r="D539" s="68" t="str">
        <f>ASTemp!D539</f>
        <v/>
      </c>
      <c r="E539" s="65" t="str">
        <f>ASTemp!E539</f>
        <v/>
      </c>
      <c r="F539" s="69" t="str">
        <f>TEXT(ASTemp!F539,Decimals)</f>
        <v/>
      </c>
      <c r="G539" s="69" t="str">
        <f>TEXT(ASTemp!G539,Decimals)</f>
        <v/>
      </c>
      <c r="H539" s="69" t="str">
        <f>TEXT(ASTemp!H539,Decimals)</f>
        <v/>
      </c>
      <c r="I539" s="69" t="str">
        <f>TEXT(ASTemp!I539,Decimals)</f>
        <v/>
      </c>
      <c r="J539" s="69" t="str">
        <f>TEXT(ASTemp!J539,Decimals)</f>
        <v/>
      </c>
      <c r="K539" s="69" t="str">
        <f>TEXT(ASTemp!K539,Decimals)</f>
        <v/>
      </c>
      <c r="L539" s="69" t="str">
        <f>TEXT(ASTemp!L539,Decimals)</f>
        <v/>
      </c>
      <c r="M539" s="71" t="str">
        <f>TEXT(ASTemp!M539,Percentages)</f>
        <v/>
      </c>
      <c r="N539" s="72" t="str">
        <f>TEXT(ASTemp!N539,Percentages)</f>
        <v/>
      </c>
    </row>
    <row r="540" ht="14.25" customHeight="1">
      <c r="B540" s="66" t="str">
        <f>ASTemp!B540</f>
        <v/>
      </c>
      <c r="C540" s="67" t="str">
        <f>ASTemp!C540</f>
        <v/>
      </c>
      <c r="D540" s="68" t="str">
        <f>ASTemp!D540</f>
        <v/>
      </c>
      <c r="E540" s="65" t="str">
        <f>ASTemp!E540</f>
        <v/>
      </c>
      <c r="F540" s="69" t="str">
        <f>TEXT(ASTemp!F540,Decimals)</f>
        <v/>
      </c>
      <c r="G540" s="69" t="str">
        <f>TEXT(ASTemp!G540,Decimals)</f>
        <v/>
      </c>
      <c r="H540" s="69" t="str">
        <f>TEXT(ASTemp!H540,Decimals)</f>
        <v/>
      </c>
      <c r="I540" s="69" t="str">
        <f>TEXT(ASTemp!I540,Decimals)</f>
        <v/>
      </c>
      <c r="J540" s="69" t="str">
        <f>TEXT(ASTemp!J540,Decimals)</f>
        <v/>
      </c>
      <c r="K540" s="69" t="str">
        <f>TEXT(ASTemp!K540,Decimals)</f>
        <v/>
      </c>
      <c r="L540" s="69" t="str">
        <f>TEXT(ASTemp!L540,Decimals)</f>
        <v/>
      </c>
      <c r="M540" s="71" t="str">
        <f>TEXT(ASTemp!M540,Percentages)</f>
        <v/>
      </c>
      <c r="N540" s="72" t="str">
        <f>TEXT(ASTemp!N540,Percentages)</f>
        <v/>
      </c>
    </row>
    <row r="541" ht="14.25" customHeight="1">
      <c r="B541" s="66" t="str">
        <f>ASTemp!B541</f>
        <v/>
      </c>
      <c r="C541" s="67" t="str">
        <f>ASTemp!C541</f>
        <v/>
      </c>
      <c r="D541" s="68" t="str">
        <f>ASTemp!D541</f>
        <v/>
      </c>
      <c r="E541" s="65" t="str">
        <f>ASTemp!E541</f>
        <v/>
      </c>
      <c r="F541" s="69" t="str">
        <f>TEXT(ASTemp!F541,Decimals)</f>
        <v/>
      </c>
      <c r="G541" s="69" t="str">
        <f>TEXT(ASTemp!G541,Decimals)</f>
        <v/>
      </c>
      <c r="H541" s="69" t="str">
        <f>TEXT(ASTemp!H541,Decimals)</f>
        <v/>
      </c>
      <c r="I541" s="69" t="str">
        <f>TEXT(ASTemp!I541,Decimals)</f>
        <v/>
      </c>
      <c r="J541" s="69" t="str">
        <f>TEXT(ASTemp!J541,Decimals)</f>
        <v/>
      </c>
      <c r="K541" s="69" t="str">
        <f>TEXT(ASTemp!K541,Decimals)</f>
        <v/>
      </c>
      <c r="L541" s="69" t="str">
        <f>TEXT(ASTemp!L541,Decimals)</f>
        <v/>
      </c>
      <c r="M541" s="71" t="str">
        <f>TEXT(ASTemp!M541,Percentages)</f>
        <v/>
      </c>
      <c r="N541" s="72" t="str">
        <f>TEXT(ASTemp!N541,Percentages)</f>
        <v/>
      </c>
    </row>
    <row r="542" ht="14.25" customHeight="1">
      <c r="B542" s="66" t="str">
        <f>ASTemp!B542</f>
        <v/>
      </c>
      <c r="C542" s="67" t="str">
        <f>ASTemp!C542</f>
        <v/>
      </c>
      <c r="D542" s="68" t="str">
        <f>ASTemp!D542</f>
        <v/>
      </c>
      <c r="E542" s="65" t="str">
        <f>ASTemp!E542</f>
        <v/>
      </c>
      <c r="F542" s="69" t="str">
        <f>TEXT(ASTemp!F542,Decimals)</f>
        <v/>
      </c>
      <c r="G542" s="69" t="str">
        <f>TEXT(ASTemp!G542,Decimals)</f>
        <v/>
      </c>
      <c r="H542" s="69" t="str">
        <f>TEXT(ASTemp!H542,Decimals)</f>
        <v/>
      </c>
      <c r="I542" s="69" t="str">
        <f>TEXT(ASTemp!I542,Decimals)</f>
        <v/>
      </c>
      <c r="J542" s="69" t="str">
        <f>TEXT(ASTemp!J542,Decimals)</f>
        <v/>
      </c>
      <c r="K542" s="69" t="str">
        <f>TEXT(ASTemp!K542,Decimals)</f>
        <v/>
      </c>
      <c r="L542" s="69" t="str">
        <f>TEXT(ASTemp!L542,Decimals)</f>
        <v/>
      </c>
      <c r="M542" s="71" t="str">
        <f>TEXT(ASTemp!M542,Percentages)</f>
        <v/>
      </c>
      <c r="N542" s="72" t="str">
        <f>TEXT(ASTemp!N542,Percentages)</f>
        <v/>
      </c>
    </row>
    <row r="543" ht="14.25" customHeight="1">
      <c r="B543" s="66" t="str">
        <f>ASTemp!B543</f>
        <v/>
      </c>
      <c r="C543" s="67" t="str">
        <f>ASTemp!C543</f>
        <v/>
      </c>
      <c r="D543" s="68" t="str">
        <f>ASTemp!D543</f>
        <v/>
      </c>
      <c r="E543" s="65" t="str">
        <f>ASTemp!E543</f>
        <v/>
      </c>
      <c r="F543" s="69" t="str">
        <f>TEXT(ASTemp!F543,Decimals)</f>
        <v/>
      </c>
      <c r="G543" s="69" t="str">
        <f>TEXT(ASTemp!G543,Decimals)</f>
        <v/>
      </c>
      <c r="H543" s="69" t="str">
        <f>TEXT(ASTemp!H543,Decimals)</f>
        <v/>
      </c>
      <c r="I543" s="69" t="str">
        <f>TEXT(ASTemp!I543,Decimals)</f>
        <v/>
      </c>
      <c r="J543" s="69" t="str">
        <f>TEXT(ASTemp!J543,Decimals)</f>
        <v/>
      </c>
      <c r="K543" s="69" t="str">
        <f>TEXT(ASTemp!K543,Decimals)</f>
        <v/>
      </c>
      <c r="L543" s="69" t="str">
        <f>TEXT(ASTemp!L543,Decimals)</f>
        <v/>
      </c>
      <c r="M543" s="71" t="str">
        <f>TEXT(ASTemp!M543,Percentages)</f>
        <v/>
      </c>
      <c r="N543" s="72" t="str">
        <f>TEXT(ASTemp!N543,Percentages)</f>
        <v/>
      </c>
    </row>
    <row r="544" ht="14.25" customHeight="1">
      <c r="B544" s="66" t="str">
        <f>ASTemp!B544</f>
        <v/>
      </c>
      <c r="C544" s="67" t="str">
        <f>ASTemp!C544</f>
        <v/>
      </c>
      <c r="D544" s="68" t="str">
        <f>ASTemp!D544</f>
        <v/>
      </c>
      <c r="E544" s="65" t="str">
        <f>ASTemp!E544</f>
        <v/>
      </c>
      <c r="F544" s="69" t="str">
        <f>TEXT(ASTemp!F544,Decimals)</f>
        <v/>
      </c>
      <c r="G544" s="69" t="str">
        <f>TEXT(ASTemp!G544,Decimals)</f>
        <v/>
      </c>
      <c r="H544" s="69" t="str">
        <f>TEXT(ASTemp!H544,Decimals)</f>
        <v/>
      </c>
      <c r="I544" s="69" t="str">
        <f>TEXT(ASTemp!I544,Decimals)</f>
        <v/>
      </c>
      <c r="J544" s="69" t="str">
        <f>TEXT(ASTemp!J544,Decimals)</f>
        <v/>
      </c>
      <c r="K544" s="69" t="str">
        <f>TEXT(ASTemp!K544,Decimals)</f>
        <v/>
      </c>
      <c r="L544" s="69" t="str">
        <f>TEXT(ASTemp!L544,Decimals)</f>
        <v/>
      </c>
      <c r="M544" s="71" t="str">
        <f>TEXT(ASTemp!M544,Percentages)</f>
        <v/>
      </c>
      <c r="N544" s="72" t="str">
        <f>TEXT(ASTemp!N544,Percentages)</f>
        <v/>
      </c>
    </row>
    <row r="545" ht="14.25" customHeight="1">
      <c r="B545" s="66" t="str">
        <f>ASTemp!B545</f>
        <v/>
      </c>
      <c r="C545" s="67" t="str">
        <f>ASTemp!C545</f>
        <v/>
      </c>
      <c r="D545" s="68" t="str">
        <f>ASTemp!D545</f>
        <v/>
      </c>
      <c r="E545" s="65" t="str">
        <f>ASTemp!E545</f>
        <v/>
      </c>
      <c r="F545" s="69" t="str">
        <f>TEXT(ASTemp!F545,Decimals)</f>
        <v/>
      </c>
      <c r="G545" s="69" t="str">
        <f>TEXT(ASTemp!G545,Decimals)</f>
        <v/>
      </c>
      <c r="H545" s="69" t="str">
        <f>TEXT(ASTemp!H545,Decimals)</f>
        <v/>
      </c>
      <c r="I545" s="69" t="str">
        <f>TEXT(ASTemp!I545,Decimals)</f>
        <v/>
      </c>
      <c r="J545" s="69" t="str">
        <f>TEXT(ASTemp!J545,Decimals)</f>
        <v/>
      </c>
      <c r="K545" s="69" t="str">
        <f>TEXT(ASTemp!K545,Decimals)</f>
        <v/>
      </c>
      <c r="L545" s="69" t="str">
        <f>TEXT(ASTemp!L545,Decimals)</f>
        <v/>
      </c>
      <c r="M545" s="71" t="str">
        <f>TEXT(ASTemp!M545,Percentages)</f>
        <v/>
      </c>
      <c r="N545" s="72" t="str">
        <f>TEXT(ASTemp!N545,Percentages)</f>
        <v/>
      </c>
    </row>
    <row r="546" ht="14.25" customHeight="1">
      <c r="B546" s="66" t="str">
        <f>ASTemp!B546</f>
        <v/>
      </c>
      <c r="C546" s="67" t="str">
        <f>ASTemp!C546</f>
        <v/>
      </c>
      <c r="D546" s="68" t="str">
        <f>ASTemp!D546</f>
        <v/>
      </c>
      <c r="E546" s="65" t="str">
        <f>ASTemp!E546</f>
        <v/>
      </c>
      <c r="F546" s="69" t="str">
        <f>TEXT(ASTemp!F546,Decimals)</f>
        <v/>
      </c>
      <c r="G546" s="69" t="str">
        <f>TEXT(ASTemp!G546,Decimals)</f>
        <v/>
      </c>
      <c r="H546" s="69" t="str">
        <f>TEXT(ASTemp!H546,Decimals)</f>
        <v/>
      </c>
      <c r="I546" s="69" t="str">
        <f>TEXT(ASTemp!I546,Decimals)</f>
        <v/>
      </c>
      <c r="J546" s="69" t="str">
        <f>TEXT(ASTemp!J546,Decimals)</f>
        <v/>
      </c>
      <c r="K546" s="69" t="str">
        <f>TEXT(ASTemp!K546,Decimals)</f>
        <v/>
      </c>
      <c r="L546" s="69" t="str">
        <f>TEXT(ASTemp!L546,Decimals)</f>
        <v/>
      </c>
      <c r="M546" s="71" t="str">
        <f>TEXT(ASTemp!M546,Percentages)</f>
        <v/>
      </c>
      <c r="N546" s="72" t="str">
        <f>TEXT(ASTemp!N546,Percentages)</f>
        <v/>
      </c>
    </row>
    <row r="547" ht="14.25" customHeight="1">
      <c r="B547" s="66" t="str">
        <f>ASTemp!B547</f>
        <v/>
      </c>
      <c r="C547" s="67" t="str">
        <f>ASTemp!C547</f>
        <v/>
      </c>
      <c r="D547" s="68" t="str">
        <f>ASTemp!D547</f>
        <v/>
      </c>
      <c r="E547" s="65" t="str">
        <f>ASTemp!E547</f>
        <v/>
      </c>
      <c r="F547" s="69" t="str">
        <f>TEXT(ASTemp!F547,Decimals)</f>
        <v/>
      </c>
      <c r="G547" s="69" t="str">
        <f>TEXT(ASTemp!G547,Decimals)</f>
        <v/>
      </c>
      <c r="H547" s="69" t="str">
        <f>TEXT(ASTemp!H547,Decimals)</f>
        <v/>
      </c>
      <c r="I547" s="69" t="str">
        <f>TEXT(ASTemp!I547,Decimals)</f>
        <v/>
      </c>
      <c r="J547" s="69" t="str">
        <f>TEXT(ASTemp!J547,Decimals)</f>
        <v/>
      </c>
      <c r="K547" s="69" t="str">
        <f>TEXT(ASTemp!K547,Decimals)</f>
        <v/>
      </c>
      <c r="L547" s="69" t="str">
        <f>TEXT(ASTemp!L547,Decimals)</f>
        <v/>
      </c>
      <c r="M547" s="71" t="str">
        <f>TEXT(ASTemp!M547,Percentages)</f>
        <v/>
      </c>
      <c r="N547" s="72" t="str">
        <f>TEXT(ASTemp!N547,Percentages)</f>
        <v/>
      </c>
    </row>
    <row r="548" ht="14.25" customHeight="1">
      <c r="B548" s="66" t="str">
        <f>ASTemp!B548</f>
        <v/>
      </c>
      <c r="C548" s="67" t="str">
        <f>ASTemp!C548</f>
        <v/>
      </c>
      <c r="D548" s="68" t="str">
        <f>ASTemp!D548</f>
        <v/>
      </c>
      <c r="E548" s="65" t="str">
        <f>ASTemp!E548</f>
        <v/>
      </c>
      <c r="F548" s="69" t="str">
        <f>TEXT(ASTemp!F548,Decimals)</f>
        <v/>
      </c>
      <c r="G548" s="69" t="str">
        <f>TEXT(ASTemp!G548,Decimals)</f>
        <v/>
      </c>
      <c r="H548" s="69" t="str">
        <f>TEXT(ASTemp!H548,Decimals)</f>
        <v/>
      </c>
      <c r="I548" s="69" t="str">
        <f>TEXT(ASTemp!I548,Decimals)</f>
        <v/>
      </c>
      <c r="J548" s="69" t="str">
        <f>TEXT(ASTemp!J548,Decimals)</f>
        <v/>
      </c>
      <c r="K548" s="69" t="str">
        <f>TEXT(ASTemp!K548,Decimals)</f>
        <v/>
      </c>
      <c r="L548" s="69" t="str">
        <f>TEXT(ASTemp!L548,Decimals)</f>
        <v/>
      </c>
      <c r="M548" s="71" t="str">
        <f>TEXT(ASTemp!M548,Percentages)</f>
        <v/>
      </c>
      <c r="N548" s="72" t="str">
        <f>TEXT(ASTemp!N548,Percentages)</f>
        <v/>
      </c>
    </row>
    <row r="549" ht="14.25" customHeight="1">
      <c r="B549" s="66" t="str">
        <f>ASTemp!B549</f>
        <v/>
      </c>
      <c r="C549" s="67" t="str">
        <f>ASTemp!C549</f>
        <v/>
      </c>
      <c r="D549" s="68" t="str">
        <f>ASTemp!D549</f>
        <v/>
      </c>
      <c r="E549" s="65" t="str">
        <f>ASTemp!E549</f>
        <v/>
      </c>
      <c r="F549" s="69" t="str">
        <f>TEXT(ASTemp!F549,Decimals)</f>
        <v/>
      </c>
      <c r="G549" s="69" t="str">
        <f>TEXT(ASTemp!G549,Decimals)</f>
        <v/>
      </c>
      <c r="H549" s="69" t="str">
        <f>TEXT(ASTemp!H549,Decimals)</f>
        <v/>
      </c>
      <c r="I549" s="69" t="str">
        <f>TEXT(ASTemp!I549,Decimals)</f>
        <v/>
      </c>
      <c r="J549" s="69" t="str">
        <f>TEXT(ASTemp!J549,Decimals)</f>
        <v/>
      </c>
      <c r="K549" s="69" t="str">
        <f>TEXT(ASTemp!K549,Decimals)</f>
        <v/>
      </c>
      <c r="L549" s="69" t="str">
        <f>TEXT(ASTemp!L549,Decimals)</f>
        <v/>
      </c>
      <c r="M549" s="71" t="str">
        <f>TEXT(ASTemp!M549,Percentages)</f>
        <v/>
      </c>
      <c r="N549" s="72" t="str">
        <f>TEXT(ASTemp!N549,Percentages)</f>
        <v/>
      </c>
    </row>
    <row r="550" ht="14.25" customHeight="1">
      <c r="B550" s="66" t="str">
        <f>ASTemp!B550</f>
        <v/>
      </c>
      <c r="C550" s="67" t="str">
        <f>ASTemp!C550</f>
        <v/>
      </c>
      <c r="D550" s="68" t="str">
        <f>ASTemp!D550</f>
        <v/>
      </c>
      <c r="E550" s="65" t="str">
        <f>ASTemp!E550</f>
        <v/>
      </c>
      <c r="F550" s="69" t="str">
        <f>TEXT(ASTemp!F550,Decimals)</f>
        <v/>
      </c>
      <c r="G550" s="69" t="str">
        <f>TEXT(ASTemp!G550,Decimals)</f>
        <v/>
      </c>
      <c r="H550" s="69" t="str">
        <f>TEXT(ASTemp!H550,Decimals)</f>
        <v/>
      </c>
      <c r="I550" s="69" t="str">
        <f>TEXT(ASTemp!I550,Decimals)</f>
        <v/>
      </c>
      <c r="J550" s="69" t="str">
        <f>TEXT(ASTemp!J550,Decimals)</f>
        <v/>
      </c>
      <c r="K550" s="69" t="str">
        <f>TEXT(ASTemp!K550,Decimals)</f>
        <v/>
      </c>
      <c r="L550" s="69" t="str">
        <f>TEXT(ASTemp!L550,Decimals)</f>
        <v/>
      </c>
      <c r="M550" s="71" t="str">
        <f>TEXT(ASTemp!M550,Percentages)</f>
        <v/>
      </c>
      <c r="N550" s="72" t="str">
        <f>TEXT(ASTemp!N550,Percentages)</f>
        <v/>
      </c>
    </row>
    <row r="551" ht="14.25" customHeight="1">
      <c r="B551" s="66" t="str">
        <f>ASTemp!B551</f>
        <v/>
      </c>
      <c r="C551" s="67" t="str">
        <f>ASTemp!C551</f>
        <v/>
      </c>
      <c r="D551" s="68" t="str">
        <f>ASTemp!D551</f>
        <v/>
      </c>
      <c r="E551" s="65" t="str">
        <f>ASTemp!E551</f>
        <v/>
      </c>
      <c r="F551" s="69" t="str">
        <f>TEXT(ASTemp!F551,Decimals)</f>
        <v/>
      </c>
      <c r="G551" s="69" t="str">
        <f>TEXT(ASTemp!G551,Decimals)</f>
        <v/>
      </c>
      <c r="H551" s="69" t="str">
        <f>TEXT(ASTemp!H551,Decimals)</f>
        <v/>
      </c>
      <c r="I551" s="69" t="str">
        <f>TEXT(ASTemp!I551,Decimals)</f>
        <v/>
      </c>
      <c r="J551" s="69" t="str">
        <f>TEXT(ASTemp!J551,Decimals)</f>
        <v/>
      </c>
      <c r="K551" s="69" t="str">
        <f>TEXT(ASTemp!K551,Decimals)</f>
        <v/>
      </c>
      <c r="L551" s="69" t="str">
        <f>TEXT(ASTemp!L551,Decimals)</f>
        <v/>
      </c>
      <c r="M551" s="71" t="str">
        <f>TEXT(ASTemp!M551,Percentages)</f>
        <v/>
      </c>
      <c r="N551" s="72" t="str">
        <f>TEXT(ASTemp!N551,Percentages)</f>
        <v/>
      </c>
    </row>
    <row r="552" ht="14.25" customHeight="1">
      <c r="B552" s="66" t="str">
        <f>ASTemp!B552</f>
        <v/>
      </c>
      <c r="C552" s="67" t="str">
        <f>ASTemp!C552</f>
        <v/>
      </c>
      <c r="D552" s="68" t="str">
        <f>ASTemp!D552</f>
        <v/>
      </c>
      <c r="E552" s="65" t="str">
        <f>ASTemp!E552</f>
        <v/>
      </c>
      <c r="F552" s="69" t="str">
        <f>TEXT(ASTemp!F552,Decimals)</f>
        <v/>
      </c>
      <c r="G552" s="69" t="str">
        <f>TEXT(ASTemp!G552,Decimals)</f>
        <v/>
      </c>
      <c r="H552" s="69" t="str">
        <f>TEXT(ASTemp!H552,Decimals)</f>
        <v/>
      </c>
      <c r="I552" s="69" t="str">
        <f>TEXT(ASTemp!I552,Decimals)</f>
        <v/>
      </c>
      <c r="J552" s="69" t="str">
        <f>TEXT(ASTemp!J552,Decimals)</f>
        <v/>
      </c>
      <c r="K552" s="69" t="str">
        <f>TEXT(ASTemp!K552,Decimals)</f>
        <v/>
      </c>
      <c r="L552" s="69" t="str">
        <f>TEXT(ASTemp!L552,Decimals)</f>
        <v/>
      </c>
      <c r="M552" s="71" t="str">
        <f>TEXT(ASTemp!M552,Percentages)</f>
        <v/>
      </c>
      <c r="N552" s="72" t="str">
        <f>TEXT(ASTemp!N552,Percentages)</f>
        <v/>
      </c>
    </row>
    <row r="553" ht="14.25" customHeight="1">
      <c r="B553" s="66" t="str">
        <f>ASTemp!B553</f>
        <v/>
      </c>
      <c r="C553" s="67" t="str">
        <f>ASTemp!C553</f>
        <v/>
      </c>
      <c r="D553" s="68" t="str">
        <f>ASTemp!D553</f>
        <v/>
      </c>
      <c r="E553" s="65" t="str">
        <f>ASTemp!E553</f>
        <v/>
      </c>
      <c r="F553" s="69" t="str">
        <f>TEXT(ASTemp!F553,Decimals)</f>
        <v/>
      </c>
      <c r="G553" s="69" t="str">
        <f>TEXT(ASTemp!G553,Decimals)</f>
        <v/>
      </c>
      <c r="H553" s="69" t="str">
        <f>TEXT(ASTemp!H553,Decimals)</f>
        <v/>
      </c>
      <c r="I553" s="69" t="str">
        <f>TEXT(ASTemp!I553,Decimals)</f>
        <v/>
      </c>
      <c r="J553" s="69" t="str">
        <f>TEXT(ASTemp!J553,Decimals)</f>
        <v/>
      </c>
      <c r="K553" s="69" t="str">
        <f>TEXT(ASTemp!K553,Decimals)</f>
        <v/>
      </c>
      <c r="L553" s="69" t="str">
        <f>TEXT(ASTemp!L553,Decimals)</f>
        <v/>
      </c>
      <c r="M553" s="71" t="str">
        <f>TEXT(ASTemp!M553,Percentages)</f>
        <v/>
      </c>
      <c r="N553" s="72" t="str">
        <f>TEXT(ASTemp!N553,Percentages)</f>
        <v/>
      </c>
    </row>
    <row r="554" ht="14.25" customHeight="1">
      <c r="B554" s="66" t="str">
        <f>ASTemp!B554</f>
        <v/>
      </c>
      <c r="C554" s="67" t="str">
        <f>ASTemp!C554</f>
        <v/>
      </c>
      <c r="D554" s="68" t="str">
        <f>ASTemp!D554</f>
        <v/>
      </c>
      <c r="E554" s="65" t="str">
        <f>ASTemp!E554</f>
        <v/>
      </c>
      <c r="F554" s="69" t="str">
        <f>TEXT(ASTemp!F554,Decimals)</f>
        <v/>
      </c>
      <c r="G554" s="69" t="str">
        <f>TEXT(ASTemp!G554,Decimals)</f>
        <v/>
      </c>
      <c r="H554" s="69" t="str">
        <f>TEXT(ASTemp!H554,Decimals)</f>
        <v/>
      </c>
      <c r="I554" s="69" t="str">
        <f>TEXT(ASTemp!I554,Decimals)</f>
        <v/>
      </c>
      <c r="J554" s="69" t="str">
        <f>TEXT(ASTemp!J554,Decimals)</f>
        <v/>
      </c>
      <c r="K554" s="69" t="str">
        <f>TEXT(ASTemp!K554,Decimals)</f>
        <v/>
      </c>
      <c r="L554" s="69" t="str">
        <f>TEXT(ASTemp!L554,Decimals)</f>
        <v/>
      </c>
      <c r="M554" s="71" t="str">
        <f>TEXT(ASTemp!M554,Percentages)</f>
        <v/>
      </c>
      <c r="N554" s="72" t="str">
        <f>TEXT(ASTemp!N554,Percentages)</f>
        <v/>
      </c>
    </row>
    <row r="555" ht="14.25" customHeight="1">
      <c r="B555" s="66" t="str">
        <f>ASTemp!B555</f>
        <v/>
      </c>
      <c r="C555" s="67" t="str">
        <f>ASTemp!C555</f>
        <v/>
      </c>
      <c r="D555" s="68" t="str">
        <f>ASTemp!D555</f>
        <v/>
      </c>
      <c r="E555" s="65" t="str">
        <f>ASTemp!E555</f>
        <v/>
      </c>
      <c r="F555" s="69" t="str">
        <f>TEXT(ASTemp!F555,Decimals)</f>
        <v/>
      </c>
      <c r="G555" s="69" t="str">
        <f>TEXT(ASTemp!G555,Decimals)</f>
        <v/>
      </c>
      <c r="H555" s="69" t="str">
        <f>TEXT(ASTemp!H555,Decimals)</f>
        <v/>
      </c>
      <c r="I555" s="69" t="str">
        <f>TEXT(ASTemp!I555,Decimals)</f>
        <v/>
      </c>
      <c r="J555" s="69" t="str">
        <f>TEXT(ASTemp!J555,Decimals)</f>
        <v/>
      </c>
      <c r="K555" s="69" t="str">
        <f>TEXT(ASTemp!K555,Decimals)</f>
        <v/>
      </c>
      <c r="L555" s="69" t="str">
        <f>TEXT(ASTemp!L555,Decimals)</f>
        <v/>
      </c>
      <c r="M555" s="71" t="str">
        <f>TEXT(ASTemp!M555,Percentages)</f>
        <v/>
      </c>
      <c r="N555" s="72" t="str">
        <f>TEXT(ASTemp!N555,Percentages)</f>
        <v/>
      </c>
    </row>
    <row r="556" ht="14.25" customHeight="1">
      <c r="B556" s="66" t="str">
        <f>ASTemp!B556</f>
        <v/>
      </c>
      <c r="C556" s="67" t="str">
        <f>ASTemp!C556</f>
        <v/>
      </c>
      <c r="D556" s="68" t="str">
        <f>ASTemp!D556</f>
        <v/>
      </c>
      <c r="E556" s="65" t="str">
        <f>ASTemp!E556</f>
        <v/>
      </c>
      <c r="F556" s="69" t="str">
        <f>TEXT(ASTemp!F556,Decimals)</f>
        <v/>
      </c>
      <c r="G556" s="69" t="str">
        <f>TEXT(ASTemp!G556,Decimals)</f>
        <v/>
      </c>
      <c r="H556" s="69" t="str">
        <f>TEXT(ASTemp!H556,Decimals)</f>
        <v/>
      </c>
      <c r="I556" s="69" t="str">
        <f>TEXT(ASTemp!I556,Decimals)</f>
        <v/>
      </c>
      <c r="J556" s="69" t="str">
        <f>TEXT(ASTemp!J556,Decimals)</f>
        <v/>
      </c>
      <c r="K556" s="69" t="str">
        <f>TEXT(ASTemp!K556,Decimals)</f>
        <v/>
      </c>
      <c r="L556" s="69" t="str">
        <f>TEXT(ASTemp!L556,Decimals)</f>
        <v/>
      </c>
      <c r="M556" s="71" t="str">
        <f>TEXT(ASTemp!M556,Percentages)</f>
        <v/>
      </c>
      <c r="N556" s="72" t="str">
        <f>TEXT(ASTemp!N556,Percentages)</f>
        <v/>
      </c>
    </row>
    <row r="557" ht="14.25" customHeight="1">
      <c r="B557" s="66" t="str">
        <f>ASTemp!B557</f>
        <v/>
      </c>
      <c r="C557" s="67" t="str">
        <f>ASTemp!C557</f>
        <v/>
      </c>
      <c r="D557" s="68" t="str">
        <f>ASTemp!D557</f>
        <v/>
      </c>
      <c r="E557" s="65" t="str">
        <f>ASTemp!E557</f>
        <v/>
      </c>
      <c r="F557" s="69" t="str">
        <f>TEXT(ASTemp!F557,Decimals)</f>
        <v/>
      </c>
      <c r="G557" s="69" t="str">
        <f>TEXT(ASTemp!G557,Decimals)</f>
        <v/>
      </c>
      <c r="H557" s="69" t="str">
        <f>TEXT(ASTemp!H557,Decimals)</f>
        <v/>
      </c>
      <c r="I557" s="69" t="str">
        <f>TEXT(ASTemp!I557,Decimals)</f>
        <v/>
      </c>
      <c r="J557" s="69" t="str">
        <f>TEXT(ASTemp!J557,Decimals)</f>
        <v/>
      </c>
      <c r="K557" s="69" t="str">
        <f>TEXT(ASTemp!K557,Decimals)</f>
        <v/>
      </c>
      <c r="L557" s="69" t="str">
        <f>TEXT(ASTemp!L557,Decimals)</f>
        <v/>
      </c>
      <c r="M557" s="71" t="str">
        <f>TEXT(ASTemp!M557,Percentages)</f>
        <v/>
      </c>
      <c r="N557" s="72" t="str">
        <f>TEXT(ASTemp!N557,Percentages)</f>
        <v/>
      </c>
    </row>
    <row r="558" ht="14.25" customHeight="1">
      <c r="B558" s="66" t="str">
        <f>ASTemp!B558</f>
        <v/>
      </c>
      <c r="C558" s="67" t="str">
        <f>ASTemp!C558</f>
        <v/>
      </c>
      <c r="D558" s="68" t="str">
        <f>ASTemp!D558</f>
        <v/>
      </c>
      <c r="E558" s="65" t="str">
        <f>ASTemp!E558</f>
        <v/>
      </c>
      <c r="F558" s="69" t="str">
        <f>TEXT(ASTemp!F558,Decimals)</f>
        <v/>
      </c>
      <c r="G558" s="69" t="str">
        <f>TEXT(ASTemp!G558,Decimals)</f>
        <v/>
      </c>
      <c r="H558" s="69" t="str">
        <f>TEXT(ASTemp!H558,Decimals)</f>
        <v/>
      </c>
      <c r="I558" s="69" t="str">
        <f>TEXT(ASTemp!I558,Decimals)</f>
        <v/>
      </c>
      <c r="J558" s="69" t="str">
        <f>TEXT(ASTemp!J558,Decimals)</f>
        <v/>
      </c>
      <c r="K558" s="69" t="str">
        <f>TEXT(ASTemp!K558,Decimals)</f>
        <v/>
      </c>
      <c r="L558" s="69" t="str">
        <f>TEXT(ASTemp!L558,Decimals)</f>
        <v/>
      </c>
      <c r="M558" s="71" t="str">
        <f>TEXT(ASTemp!M558,Percentages)</f>
        <v/>
      </c>
      <c r="N558" s="72" t="str">
        <f>TEXT(ASTemp!N558,Percentages)</f>
        <v/>
      </c>
    </row>
    <row r="559" ht="14.25" customHeight="1">
      <c r="B559" s="66" t="str">
        <f>ASTemp!B559</f>
        <v/>
      </c>
      <c r="C559" s="67" t="str">
        <f>ASTemp!C559</f>
        <v/>
      </c>
      <c r="D559" s="68" t="str">
        <f>ASTemp!D559</f>
        <v/>
      </c>
      <c r="E559" s="65" t="str">
        <f>ASTemp!E559</f>
        <v/>
      </c>
      <c r="F559" s="69" t="str">
        <f>TEXT(ASTemp!F559,Decimals)</f>
        <v/>
      </c>
      <c r="G559" s="69" t="str">
        <f>TEXT(ASTemp!G559,Decimals)</f>
        <v/>
      </c>
      <c r="H559" s="69" t="str">
        <f>TEXT(ASTemp!H559,Decimals)</f>
        <v/>
      </c>
      <c r="I559" s="69" t="str">
        <f>TEXT(ASTemp!I559,Decimals)</f>
        <v/>
      </c>
      <c r="J559" s="69" t="str">
        <f>TEXT(ASTemp!J559,Decimals)</f>
        <v/>
      </c>
      <c r="K559" s="69" t="str">
        <f>TEXT(ASTemp!K559,Decimals)</f>
        <v/>
      </c>
      <c r="L559" s="69" t="str">
        <f>TEXT(ASTemp!L559,Decimals)</f>
        <v/>
      </c>
      <c r="M559" s="71" t="str">
        <f>TEXT(ASTemp!M559,Percentages)</f>
        <v/>
      </c>
      <c r="N559" s="72" t="str">
        <f>TEXT(ASTemp!N559,Percentages)</f>
        <v/>
      </c>
    </row>
    <row r="560" ht="14.25" customHeight="1">
      <c r="B560" s="66" t="str">
        <f>ASTemp!B560</f>
        <v/>
      </c>
      <c r="C560" s="67" t="str">
        <f>ASTemp!C560</f>
        <v/>
      </c>
      <c r="D560" s="68" t="str">
        <f>ASTemp!D560</f>
        <v/>
      </c>
      <c r="E560" s="65" t="str">
        <f>ASTemp!E560</f>
        <v/>
      </c>
      <c r="F560" s="69" t="str">
        <f>TEXT(ASTemp!F560,Decimals)</f>
        <v/>
      </c>
      <c r="G560" s="69" t="str">
        <f>TEXT(ASTemp!G560,Decimals)</f>
        <v/>
      </c>
      <c r="H560" s="69" t="str">
        <f>TEXT(ASTemp!H560,Decimals)</f>
        <v/>
      </c>
      <c r="I560" s="69" t="str">
        <f>TEXT(ASTemp!I560,Decimals)</f>
        <v/>
      </c>
      <c r="J560" s="69" t="str">
        <f>TEXT(ASTemp!J560,Decimals)</f>
        <v/>
      </c>
      <c r="K560" s="69" t="str">
        <f>TEXT(ASTemp!K560,Decimals)</f>
        <v/>
      </c>
      <c r="L560" s="69" t="str">
        <f>TEXT(ASTemp!L560,Decimals)</f>
        <v/>
      </c>
      <c r="M560" s="71" t="str">
        <f>TEXT(ASTemp!M560,Percentages)</f>
        <v/>
      </c>
      <c r="N560" s="72" t="str">
        <f>TEXT(ASTemp!N560,Percentages)</f>
        <v/>
      </c>
    </row>
    <row r="561" ht="14.25" customHeight="1">
      <c r="B561" s="66" t="str">
        <f>ASTemp!B561</f>
        <v/>
      </c>
      <c r="C561" s="67" t="str">
        <f>ASTemp!C561</f>
        <v/>
      </c>
      <c r="D561" s="68" t="str">
        <f>ASTemp!D561</f>
        <v/>
      </c>
      <c r="E561" s="65" t="str">
        <f>ASTemp!E561</f>
        <v/>
      </c>
      <c r="F561" s="69" t="str">
        <f>TEXT(ASTemp!F561,Decimals)</f>
        <v/>
      </c>
      <c r="G561" s="69" t="str">
        <f>TEXT(ASTemp!G561,Decimals)</f>
        <v/>
      </c>
      <c r="H561" s="69" t="str">
        <f>TEXT(ASTemp!H561,Decimals)</f>
        <v/>
      </c>
      <c r="I561" s="69" t="str">
        <f>TEXT(ASTemp!I561,Decimals)</f>
        <v/>
      </c>
      <c r="J561" s="69" t="str">
        <f>TEXT(ASTemp!J561,Decimals)</f>
        <v/>
      </c>
      <c r="K561" s="69" t="str">
        <f>TEXT(ASTemp!K561,Decimals)</f>
        <v/>
      </c>
      <c r="L561" s="69" t="str">
        <f>TEXT(ASTemp!L561,Decimals)</f>
        <v/>
      </c>
      <c r="M561" s="71" t="str">
        <f>TEXT(ASTemp!M561,Percentages)</f>
        <v/>
      </c>
      <c r="N561" s="72" t="str">
        <f>TEXT(ASTemp!N561,Percentages)</f>
        <v/>
      </c>
    </row>
    <row r="562" ht="14.25" customHeight="1">
      <c r="B562" s="66" t="str">
        <f>ASTemp!B562</f>
        <v/>
      </c>
      <c r="C562" s="67" t="str">
        <f>ASTemp!C562</f>
        <v/>
      </c>
      <c r="D562" s="68" t="str">
        <f>ASTemp!D562</f>
        <v/>
      </c>
      <c r="E562" s="65" t="str">
        <f>ASTemp!E562</f>
        <v/>
      </c>
      <c r="F562" s="69" t="str">
        <f>TEXT(ASTemp!F562,Decimals)</f>
        <v/>
      </c>
      <c r="G562" s="69" t="str">
        <f>TEXT(ASTemp!G562,Decimals)</f>
        <v/>
      </c>
      <c r="H562" s="69" t="str">
        <f>TEXT(ASTemp!H562,Decimals)</f>
        <v/>
      </c>
      <c r="I562" s="69" t="str">
        <f>TEXT(ASTemp!I562,Decimals)</f>
        <v/>
      </c>
      <c r="J562" s="69" t="str">
        <f>TEXT(ASTemp!J562,Decimals)</f>
        <v/>
      </c>
      <c r="K562" s="69" t="str">
        <f>TEXT(ASTemp!K562,Decimals)</f>
        <v/>
      </c>
      <c r="L562" s="69" t="str">
        <f>TEXT(ASTemp!L562,Decimals)</f>
        <v/>
      </c>
      <c r="M562" s="71" t="str">
        <f>TEXT(ASTemp!M562,Percentages)</f>
        <v/>
      </c>
      <c r="N562" s="72" t="str">
        <f>TEXT(ASTemp!N562,Percentages)</f>
        <v/>
      </c>
    </row>
    <row r="563" ht="14.25" customHeight="1">
      <c r="B563" s="66" t="str">
        <f>ASTemp!B563</f>
        <v/>
      </c>
      <c r="C563" s="67" t="str">
        <f>ASTemp!C563</f>
        <v/>
      </c>
      <c r="D563" s="68" t="str">
        <f>ASTemp!D563</f>
        <v/>
      </c>
      <c r="E563" s="65" t="str">
        <f>ASTemp!E563</f>
        <v/>
      </c>
      <c r="F563" s="69" t="str">
        <f>TEXT(ASTemp!F563,Decimals)</f>
        <v/>
      </c>
      <c r="G563" s="69" t="str">
        <f>TEXT(ASTemp!G563,Decimals)</f>
        <v/>
      </c>
      <c r="H563" s="69" t="str">
        <f>TEXT(ASTemp!H563,Decimals)</f>
        <v/>
      </c>
      <c r="I563" s="69" t="str">
        <f>TEXT(ASTemp!I563,Decimals)</f>
        <v/>
      </c>
      <c r="J563" s="69" t="str">
        <f>TEXT(ASTemp!J563,Decimals)</f>
        <v/>
      </c>
      <c r="K563" s="69" t="str">
        <f>TEXT(ASTemp!K563,Decimals)</f>
        <v/>
      </c>
      <c r="L563" s="69" t="str">
        <f>TEXT(ASTemp!L563,Decimals)</f>
        <v/>
      </c>
      <c r="M563" s="71" t="str">
        <f>TEXT(ASTemp!M563,Percentages)</f>
        <v/>
      </c>
      <c r="N563" s="72" t="str">
        <f>TEXT(ASTemp!N563,Percentages)</f>
        <v/>
      </c>
    </row>
    <row r="564" ht="14.25" customHeight="1">
      <c r="B564" s="66" t="str">
        <f>ASTemp!B564</f>
        <v/>
      </c>
      <c r="C564" s="67" t="str">
        <f>ASTemp!C564</f>
        <v/>
      </c>
      <c r="D564" s="68" t="str">
        <f>ASTemp!D564</f>
        <v/>
      </c>
      <c r="E564" s="65" t="str">
        <f>ASTemp!E564</f>
        <v/>
      </c>
      <c r="F564" s="69" t="str">
        <f>TEXT(ASTemp!F564,Decimals)</f>
        <v/>
      </c>
      <c r="G564" s="69" t="str">
        <f>TEXT(ASTemp!G564,Decimals)</f>
        <v/>
      </c>
      <c r="H564" s="69" t="str">
        <f>TEXT(ASTemp!H564,Decimals)</f>
        <v/>
      </c>
      <c r="I564" s="69" t="str">
        <f>TEXT(ASTemp!I564,Decimals)</f>
        <v/>
      </c>
      <c r="J564" s="69" t="str">
        <f>TEXT(ASTemp!J564,Decimals)</f>
        <v/>
      </c>
      <c r="K564" s="69" t="str">
        <f>TEXT(ASTemp!K564,Decimals)</f>
        <v/>
      </c>
      <c r="L564" s="69" t="str">
        <f>TEXT(ASTemp!L564,Decimals)</f>
        <v/>
      </c>
      <c r="M564" s="71" t="str">
        <f>TEXT(ASTemp!M564,Percentages)</f>
        <v/>
      </c>
      <c r="N564" s="72" t="str">
        <f>TEXT(ASTemp!N564,Percentages)</f>
        <v/>
      </c>
    </row>
    <row r="565" ht="14.25" customHeight="1">
      <c r="B565" s="66" t="str">
        <f>ASTemp!B565</f>
        <v/>
      </c>
      <c r="C565" s="67" t="str">
        <f>ASTemp!C565</f>
        <v/>
      </c>
      <c r="D565" s="68" t="str">
        <f>ASTemp!D565</f>
        <v/>
      </c>
      <c r="E565" s="65" t="str">
        <f>ASTemp!E565</f>
        <v/>
      </c>
      <c r="F565" s="69" t="str">
        <f>TEXT(ASTemp!F565,Decimals)</f>
        <v/>
      </c>
      <c r="G565" s="69" t="str">
        <f>TEXT(ASTemp!G565,Decimals)</f>
        <v/>
      </c>
      <c r="H565" s="69" t="str">
        <f>TEXT(ASTemp!H565,Decimals)</f>
        <v/>
      </c>
      <c r="I565" s="69" t="str">
        <f>TEXT(ASTemp!I565,Decimals)</f>
        <v/>
      </c>
      <c r="J565" s="69" t="str">
        <f>TEXT(ASTemp!J565,Decimals)</f>
        <v/>
      </c>
      <c r="K565" s="69" t="str">
        <f>TEXT(ASTemp!K565,Decimals)</f>
        <v/>
      </c>
      <c r="L565" s="69" t="str">
        <f>TEXT(ASTemp!L565,Decimals)</f>
        <v/>
      </c>
      <c r="M565" s="71" t="str">
        <f>TEXT(ASTemp!M565,Percentages)</f>
        <v/>
      </c>
      <c r="N565" s="72" t="str">
        <f>TEXT(ASTemp!N565,Percentages)</f>
        <v/>
      </c>
    </row>
    <row r="566" ht="14.25" customHeight="1">
      <c r="B566" s="66" t="str">
        <f>ASTemp!B566</f>
        <v/>
      </c>
      <c r="C566" s="67" t="str">
        <f>ASTemp!C566</f>
        <v/>
      </c>
      <c r="D566" s="68" t="str">
        <f>ASTemp!D566</f>
        <v/>
      </c>
      <c r="E566" s="65" t="str">
        <f>ASTemp!E566</f>
        <v/>
      </c>
      <c r="F566" s="69" t="str">
        <f>TEXT(ASTemp!F566,Decimals)</f>
        <v/>
      </c>
      <c r="G566" s="69" t="str">
        <f>TEXT(ASTemp!G566,Decimals)</f>
        <v/>
      </c>
      <c r="H566" s="69" t="str">
        <f>TEXT(ASTemp!H566,Decimals)</f>
        <v/>
      </c>
      <c r="I566" s="69" t="str">
        <f>TEXT(ASTemp!I566,Decimals)</f>
        <v/>
      </c>
      <c r="J566" s="69" t="str">
        <f>TEXT(ASTemp!J566,Decimals)</f>
        <v/>
      </c>
      <c r="K566" s="69" t="str">
        <f>TEXT(ASTemp!K566,Decimals)</f>
        <v/>
      </c>
      <c r="L566" s="69" t="str">
        <f>TEXT(ASTemp!L566,Decimals)</f>
        <v/>
      </c>
      <c r="M566" s="71" t="str">
        <f>TEXT(ASTemp!M566,Percentages)</f>
        <v/>
      </c>
      <c r="N566" s="72" t="str">
        <f>TEXT(ASTemp!N566,Percentages)</f>
        <v/>
      </c>
    </row>
    <row r="567" ht="14.25" customHeight="1">
      <c r="B567" s="66" t="str">
        <f>ASTemp!B567</f>
        <v/>
      </c>
      <c r="C567" s="67" t="str">
        <f>ASTemp!C567</f>
        <v/>
      </c>
      <c r="D567" s="68" t="str">
        <f>ASTemp!D567</f>
        <v/>
      </c>
      <c r="E567" s="65" t="str">
        <f>ASTemp!E567</f>
        <v/>
      </c>
      <c r="F567" s="69" t="str">
        <f>TEXT(ASTemp!F567,Decimals)</f>
        <v/>
      </c>
      <c r="G567" s="69" t="str">
        <f>TEXT(ASTemp!G567,Decimals)</f>
        <v/>
      </c>
      <c r="H567" s="69" t="str">
        <f>TEXT(ASTemp!H567,Decimals)</f>
        <v/>
      </c>
      <c r="I567" s="69" t="str">
        <f>TEXT(ASTemp!I567,Decimals)</f>
        <v/>
      </c>
      <c r="J567" s="69" t="str">
        <f>TEXT(ASTemp!J567,Decimals)</f>
        <v/>
      </c>
      <c r="K567" s="69" t="str">
        <f>TEXT(ASTemp!K567,Decimals)</f>
        <v/>
      </c>
      <c r="L567" s="69" t="str">
        <f>TEXT(ASTemp!L567,Decimals)</f>
        <v/>
      </c>
      <c r="M567" s="71" t="str">
        <f>TEXT(ASTemp!M567,Percentages)</f>
        <v/>
      </c>
      <c r="N567" s="72" t="str">
        <f>TEXT(ASTemp!N567,Percentages)</f>
        <v/>
      </c>
    </row>
    <row r="568" ht="14.25" customHeight="1">
      <c r="B568" s="66" t="str">
        <f>ASTemp!B568</f>
        <v/>
      </c>
      <c r="C568" s="67" t="str">
        <f>ASTemp!C568</f>
        <v/>
      </c>
      <c r="D568" s="68" t="str">
        <f>ASTemp!D568</f>
        <v/>
      </c>
      <c r="E568" s="65" t="str">
        <f>ASTemp!E568</f>
        <v/>
      </c>
      <c r="F568" s="69" t="str">
        <f>TEXT(ASTemp!F568,Decimals)</f>
        <v/>
      </c>
      <c r="G568" s="69" t="str">
        <f>TEXT(ASTemp!G568,Decimals)</f>
        <v/>
      </c>
      <c r="H568" s="69" t="str">
        <f>TEXT(ASTemp!H568,Decimals)</f>
        <v/>
      </c>
      <c r="I568" s="69" t="str">
        <f>TEXT(ASTemp!I568,Decimals)</f>
        <v/>
      </c>
      <c r="J568" s="69" t="str">
        <f>TEXT(ASTemp!J568,Decimals)</f>
        <v/>
      </c>
      <c r="K568" s="69" t="str">
        <f>TEXT(ASTemp!K568,Decimals)</f>
        <v/>
      </c>
      <c r="L568" s="69" t="str">
        <f>TEXT(ASTemp!L568,Decimals)</f>
        <v/>
      </c>
      <c r="M568" s="71" t="str">
        <f>TEXT(ASTemp!M568,Percentages)</f>
        <v/>
      </c>
      <c r="N568" s="72" t="str">
        <f>TEXT(ASTemp!N568,Percentages)</f>
        <v/>
      </c>
    </row>
    <row r="569" ht="14.25" customHeight="1">
      <c r="B569" s="66" t="str">
        <f>ASTemp!B569</f>
        <v/>
      </c>
      <c r="C569" s="67" t="str">
        <f>ASTemp!C569</f>
        <v/>
      </c>
      <c r="D569" s="68" t="str">
        <f>ASTemp!D569</f>
        <v/>
      </c>
      <c r="E569" s="65" t="str">
        <f>ASTemp!E569</f>
        <v/>
      </c>
      <c r="F569" s="69" t="str">
        <f>TEXT(ASTemp!F569,Decimals)</f>
        <v/>
      </c>
      <c r="G569" s="69" t="str">
        <f>TEXT(ASTemp!G569,Decimals)</f>
        <v/>
      </c>
      <c r="H569" s="69" t="str">
        <f>TEXT(ASTemp!H569,Decimals)</f>
        <v/>
      </c>
      <c r="I569" s="69" t="str">
        <f>TEXT(ASTemp!I569,Decimals)</f>
        <v/>
      </c>
      <c r="J569" s="69" t="str">
        <f>TEXT(ASTemp!J569,Decimals)</f>
        <v/>
      </c>
      <c r="K569" s="69" t="str">
        <f>TEXT(ASTemp!K569,Decimals)</f>
        <v/>
      </c>
      <c r="L569" s="69" t="str">
        <f>TEXT(ASTemp!L569,Decimals)</f>
        <v/>
      </c>
      <c r="M569" s="71" t="str">
        <f>TEXT(ASTemp!M569,Percentages)</f>
        <v/>
      </c>
      <c r="N569" s="72" t="str">
        <f>TEXT(ASTemp!N569,Percentages)</f>
        <v/>
      </c>
    </row>
    <row r="570" ht="14.25" customHeight="1">
      <c r="B570" s="66" t="str">
        <f>ASTemp!B570</f>
        <v/>
      </c>
      <c r="C570" s="67" t="str">
        <f>ASTemp!C570</f>
        <v/>
      </c>
      <c r="D570" s="68" t="str">
        <f>ASTemp!D570</f>
        <v/>
      </c>
      <c r="E570" s="65" t="str">
        <f>ASTemp!E570</f>
        <v/>
      </c>
      <c r="F570" s="69" t="str">
        <f>TEXT(ASTemp!F570,Decimals)</f>
        <v/>
      </c>
      <c r="G570" s="69" t="str">
        <f>TEXT(ASTemp!G570,Decimals)</f>
        <v/>
      </c>
      <c r="H570" s="69" t="str">
        <f>TEXT(ASTemp!H570,Decimals)</f>
        <v/>
      </c>
      <c r="I570" s="69" t="str">
        <f>TEXT(ASTemp!I570,Decimals)</f>
        <v/>
      </c>
      <c r="J570" s="69" t="str">
        <f>TEXT(ASTemp!J570,Decimals)</f>
        <v/>
      </c>
      <c r="K570" s="69" t="str">
        <f>TEXT(ASTemp!K570,Decimals)</f>
        <v/>
      </c>
      <c r="L570" s="69" t="str">
        <f>TEXT(ASTemp!L570,Decimals)</f>
        <v/>
      </c>
      <c r="M570" s="71" t="str">
        <f>TEXT(ASTemp!M570,Percentages)</f>
        <v/>
      </c>
      <c r="N570" s="72" t="str">
        <f>TEXT(ASTemp!N570,Percentages)</f>
        <v/>
      </c>
    </row>
    <row r="571" ht="14.25" customHeight="1">
      <c r="B571" s="66" t="str">
        <f>ASTemp!B571</f>
        <v/>
      </c>
      <c r="C571" s="67" t="str">
        <f>ASTemp!C571</f>
        <v/>
      </c>
      <c r="D571" s="68" t="str">
        <f>ASTemp!D571</f>
        <v/>
      </c>
      <c r="E571" s="65" t="str">
        <f>ASTemp!E571</f>
        <v/>
      </c>
      <c r="F571" s="69" t="str">
        <f>TEXT(ASTemp!F571,Decimals)</f>
        <v/>
      </c>
      <c r="G571" s="69" t="str">
        <f>TEXT(ASTemp!G571,Decimals)</f>
        <v/>
      </c>
      <c r="H571" s="69" t="str">
        <f>TEXT(ASTemp!H571,Decimals)</f>
        <v/>
      </c>
      <c r="I571" s="69" t="str">
        <f>TEXT(ASTemp!I571,Decimals)</f>
        <v/>
      </c>
      <c r="J571" s="69" t="str">
        <f>TEXT(ASTemp!J571,Decimals)</f>
        <v/>
      </c>
      <c r="K571" s="69" t="str">
        <f>TEXT(ASTemp!K571,Decimals)</f>
        <v/>
      </c>
      <c r="L571" s="69" t="str">
        <f>TEXT(ASTemp!L571,Decimals)</f>
        <v/>
      </c>
      <c r="M571" s="71" t="str">
        <f>TEXT(ASTemp!M571,Percentages)</f>
        <v/>
      </c>
      <c r="N571" s="72" t="str">
        <f>TEXT(ASTemp!N571,Percentages)</f>
        <v/>
      </c>
    </row>
    <row r="572" ht="14.25" customHeight="1">
      <c r="B572" s="66" t="str">
        <f>ASTemp!B572</f>
        <v/>
      </c>
      <c r="C572" s="67" t="str">
        <f>ASTemp!C572</f>
        <v/>
      </c>
      <c r="D572" s="68" t="str">
        <f>ASTemp!D572</f>
        <v/>
      </c>
      <c r="E572" s="65" t="str">
        <f>ASTemp!E572</f>
        <v/>
      </c>
      <c r="F572" s="69" t="str">
        <f>TEXT(ASTemp!F572,Decimals)</f>
        <v/>
      </c>
      <c r="G572" s="69" t="str">
        <f>TEXT(ASTemp!G572,Decimals)</f>
        <v/>
      </c>
      <c r="H572" s="69" t="str">
        <f>TEXT(ASTemp!H572,Decimals)</f>
        <v/>
      </c>
      <c r="I572" s="69" t="str">
        <f>TEXT(ASTemp!I572,Decimals)</f>
        <v/>
      </c>
      <c r="J572" s="69" t="str">
        <f>TEXT(ASTemp!J572,Decimals)</f>
        <v/>
      </c>
      <c r="K572" s="69" t="str">
        <f>TEXT(ASTemp!K572,Decimals)</f>
        <v/>
      </c>
      <c r="L572" s="69" t="str">
        <f>TEXT(ASTemp!L572,Decimals)</f>
        <v/>
      </c>
      <c r="M572" s="71" t="str">
        <f>TEXT(ASTemp!M572,Percentages)</f>
        <v/>
      </c>
      <c r="N572" s="72" t="str">
        <f>TEXT(ASTemp!N572,Percentages)</f>
        <v/>
      </c>
    </row>
    <row r="573" ht="14.25" customHeight="1">
      <c r="B573" s="66" t="str">
        <f>ASTemp!B573</f>
        <v/>
      </c>
      <c r="C573" s="67" t="str">
        <f>ASTemp!C573</f>
        <v/>
      </c>
      <c r="D573" s="68" t="str">
        <f>ASTemp!D573</f>
        <v/>
      </c>
      <c r="E573" s="65" t="str">
        <f>ASTemp!E573</f>
        <v/>
      </c>
      <c r="F573" s="69" t="str">
        <f>TEXT(ASTemp!F573,Decimals)</f>
        <v/>
      </c>
      <c r="G573" s="69" t="str">
        <f>TEXT(ASTemp!G573,Decimals)</f>
        <v/>
      </c>
      <c r="H573" s="69" t="str">
        <f>TEXT(ASTemp!H573,Decimals)</f>
        <v/>
      </c>
      <c r="I573" s="69" t="str">
        <f>TEXT(ASTemp!I573,Decimals)</f>
        <v/>
      </c>
      <c r="J573" s="69" t="str">
        <f>TEXT(ASTemp!J573,Decimals)</f>
        <v/>
      </c>
      <c r="K573" s="69" t="str">
        <f>TEXT(ASTemp!K573,Decimals)</f>
        <v/>
      </c>
      <c r="L573" s="69" t="str">
        <f>TEXT(ASTemp!L573,Decimals)</f>
        <v/>
      </c>
      <c r="M573" s="71" t="str">
        <f>TEXT(ASTemp!M573,Percentages)</f>
        <v/>
      </c>
      <c r="N573" s="72" t="str">
        <f>TEXT(ASTemp!N573,Percentages)</f>
        <v/>
      </c>
    </row>
    <row r="574" ht="14.25" customHeight="1">
      <c r="B574" s="66" t="str">
        <f>ASTemp!B574</f>
        <v/>
      </c>
      <c r="C574" s="67" t="str">
        <f>ASTemp!C574</f>
        <v/>
      </c>
      <c r="D574" s="68" t="str">
        <f>ASTemp!D574</f>
        <v/>
      </c>
      <c r="E574" s="65" t="str">
        <f>ASTemp!E574</f>
        <v/>
      </c>
      <c r="F574" s="69" t="str">
        <f>TEXT(ASTemp!F574,Decimals)</f>
        <v/>
      </c>
      <c r="G574" s="69" t="str">
        <f>TEXT(ASTemp!G574,Decimals)</f>
        <v/>
      </c>
      <c r="H574" s="69" t="str">
        <f>TEXT(ASTemp!H574,Decimals)</f>
        <v/>
      </c>
      <c r="I574" s="69" t="str">
        <f>TEXT(ASTemp!I574,Decimals)</f>
        <v/>
      </c>
      <c r="J574" s="69" t="str">
        <f>TEXT(ASTemp!J574,Decimals)</f>
        <v/>
      </c>
      <c r="K574" s="69" t="str">
        <f>TEXT(ASTemp!K574,Decimals)</f>
        <v/>
      </c>
      <c r="L574" s="69" t="str">
        <f>TEXT(ASTemp!L574,Decimals)</f>
        <v/>
      </c>
      <c r="M574" s="71" t="str">
        <f>TEXT(ASTemp!M574,Percentages)</f>
        <v/>
      </c>
      <c r="N574" s="72" t="str">
        <f>TEXT(ASTemp!N574,Percentages)</f>
        <v/>
      </c>
    </row>
    <row r="575" ht="14.25" customHeight="1">
      <c r="B575" s="66" t="str">
        <f>ASTemp!B575</f>
        <v/>
      </c>
      <c r="C575" s="67" t="str">
        <f>ASTemp!C575</f>
        <v/>
      </c>
      <c r="D575" s="68" t="str">
        <f>ASTemp!D575</f>
        <v/>
      </c>
      <c r="E575" s="65" t="str">
        <f>ASTemp!E575</f>
        <v/>
      </c>
      <c r="F575" s="69" t="str">
        <f>TEXT(ASTemp!F575,Decimals)</f>
        <v/>
      </c>
      <c r="G575" s="69" t="str">
        <f>TEXT(ASTemp!G575,Decimals)</f>
        <v/>
      </c>
      <c r="H575" s="69" t="str">
        <f>TEXT(ASTemp!H575,Decimals)</f>
        <v/>
      </c>
      <c r="I575" s="69" t="str">
        <f>TEXT(ASTemp!I575,Decimals)</f>
        <v/>
      </c>
      <c r="J575" s="69" t="str">
        <f>TEXT(ASTemp!J575,Decimals)</f>
        <v/>
      </c>
      <c r="K575" s="69" t="str">
        <f>TEXT(ASTemp!K575,Decimals)</f>
        <v/>
      </c>
      <c r="L575" s="69" t="str">
        <f>TEXT(ASTemp!L575,Decimals)</f>
        <v/>
      </c>
      <c r="M575" s="71" t="str">
        <f>TEXT(ASTemp!M575,Percentages)</f>
        <v/>
      </c>
      <c r="N575" s="72" t="str">
        <f>TEXT(ASTemp!N575,Percentages)</f>
        <v/>
      </c>
    </row>
    <row r="576" ht="14.25" customHeight="1">
      <c r="B576" s="66" t="str">
        <f>ASTemp!B576</f>
        <v/>
      </c>
      <c r="C576" s="67" t="str">
        <f>ASTemp!C576</f>
        <v/>
      </c>
      <c r="D576" s="68" t="str">
        <f>ASTemp!D576</f>
        <v/>
      </c>
      <c r="E576" s="65" t="str">
        <f>ASTemp!E576</f>
        <v/>
      </c>
      <c r="F576" s="69" t="str">
        <f>TEXT(ASTemp!F576,Decimals)</f>
        <v/>
      </c>
      <c r="G576" s="69" t="str">
        <f>TEXT(ASTemp!G576,Decimals)</f>
        <v/>
      </c>
      <c r="H576" s="69" t="str">
        <f>TEXT(ASTemp!H576,Decimals)</f>
        <v/>
      </c>
      <c r="I576" s="69" t="str">
        <f>TEXT(ASTemp!I576,Decimals)</f>
        <v/>
      </c>
      <c r="J576" s="69" t="str">
        <f>TEXT(ASTemp!J576,Decimals)</f>
        <v/>
      </c>
      <c r="K576" s="69" t="str">
        <f>TEXT(ASTemp!K576,Decimals)</f>
        <v/>
      </c>
      <c r="L576" s="69" t="str">
        <f>TEXT(ASTemp!L576,Decimals)</f>
        <v/>
      </c>
      <c r="M576" s="71" t="str">
        <f>TEXT(ASTemp!M576,Percentages)</f>
        <v/>
      </c>
      <c r="N576" s="72" t="str">
        <f>TEXT(ASTemp!N576,Percentages)</f>
        <v/>
      </c>
    </row>
    <row r="577" ht="14.25" customHeight="1">
      <c r="B577" s="66" t="str">
        <f>ASTemp!B577</f>
        <v/>
      </c>
      <c r="C577" s="67" t="str">
        <f>ASTemp!C577</f>
        <v/>
      </c>
      <c r="D577" s="68" t="str">
        <f>ASTemp!D577</f>
        <v/>
      </c>
      <c r="E577" s="65" t="str">
        <f>ASTemp!E577</f>
        <v/>
      </c>
      <c r="F577" s="69" t="str">
        <f>TEXT(ASTemp!F577,Decimals)</f>
        <v/>
      </c>
      <c r="G577" s="69" t="str">
        <f>TEXT(ASTemp!G577,Decimals)</f>
        <v/>
      </c>
      <c r="H577" s="69" t="str">
        <f>TEXT(ASTemp!H577,Decimals)</f>
        <v/>
      </c>
      <c r="I577" s="69" t="str">
        <f>TEXT(ASTemp!I577,Decimals)</f>
        <v/>
      </c>
      <c r="J577" s="69" t="str">
        <f>TEXT(ASTemp!J577,Decimals)</f>
        <v/>
      </c>
      <c r="K577" s="69" t="str">
        <f>TEXT(ASTemp!K577,Decimals)</f>
        <v/>
      </c>
      <c r="L577" s="69" t="str">
        <f>TEXT(ASTemp!L577,Decimals)</f>
        <v/>
      </c>
      <c r="M577" s="71" t="str">
        <f>TEXT(ASTemp!M577,Percentages)</f>
        <v/>
      </c>
      <c r="N577" s="72" t="str">
        <f>TEXT(ASTemp!N577,Percentages)</f>
        <v/>
      </c>
    </row>
    <row r="578" ht="14.25" customHeight="1">
      <c r="B578" s="66" t="str">
        <f>ASTemp!B578</f>
        <v/>
      </c>
      <c r="C578" s="67" t="str">
        <f>ASTemp!C578</f>
        <v/>
      </c>
      <c r="D578" s="68" t="str">
        <f>ASTemp!D578</f>
        <v/>
      </c>
      <c r="E578" s="65" t="str">
        <f>ASTemp!E578</f>
        <v/>
      </c>
      <c r="F578" s="69" t="str">
        <f>TEXT(ASTemp!F578,Decimals)</f>
        <v/>
      </c>
      <c r="G578" s="69" t="str">
        <f>TEXT(ASTemp!G578,Decimals)</f>
        <v/>
      </c>
      <c r="H578" s="69" t="str">
        <f>TEXT(ASTemp!H578,Decimals)</f>
        <v/>
      </c>
      <c r="I578" s="69" t="str">
        <f>TEXT(ASTemp!I578,Decimals)</f>
        <v/>
      </c>
      <c r="J578" s="69" t="str">
        <f>TEXT(ASTemp!J578,Decimals)</f>
        <v/>
      </c>
      <c r="K578" s="69" t="str">
        <f>TEXT(ASTemp!K578,Decimals)</f>
        <v/>
      </c>
      <c r="L578" s="69" t="str">
        <f>TEXT(ASTemp!L578,Decimals)</f>
        <v/>
      </c>
      <c r="M578" s="71" t="str">
        <f>TEXT(ASTemp!M578,Percentages)</f>
        <v/>
      </c>
      <c r="N578" s="72" t="str">
        <f>TEXT(ASTemp!N578,Percentages)</f>
        <v/>
      </c>
    </row>
    <row r="579" ht="14.25" customHeight="1">
      <c r="B579" s="66" t="str">
        <f>ASTemp!B579</f>
        <v/>
      </c>
      <c r="C579" s="67" t="str">
        <f>ASTemp!C579</f>
        <v/>
      </c>
      <c r="D579" s="68" t="str">
        <f>ASTemp!D579</f>
        <v/>
      </c>
      <c r="E579" s="65" t="str">
        <f>ASTemp!E579</f>
        <v/>
      </c>
      <c r="F579" s="69" t="str">
        <f>TEXT(ASTemp!F579,Decimals)</f>
        <v/>
      </c>
      <c r="G579" s="69" t="str">
        <f>TEXT(ASTemp!G579,Decimals)</f>
        <v/>
      </c>
      <c r="H579" s="69" t="str">
        <f>TEXT(ASTemp!H579,Decimals)</f>
        <v/>
      </c>
      <c r="I579" s="69" t="str">
        <f>TEXT(ASTemp!I579,Decimals)</f>
        <v/>
      </c>
      <c r="J579" s="69" t="str">
        <f>TEXT(ASTemp!J579,Decimals)</f>
        <v/>
      </c>
      <c r="K579" s="69" t="str">
        <f>TEXT(ASTemp!K579,Decimals)</f>
        <v/>
      </c>
      <c r="L579" s="69" t="str">
        <f>TEXT(ASTemp!L579,Decimals)</f>
        <v/>
      </c>
      <c r="M579" s="71" t="str">
        <f>TEXT(ASTemp!M579,Percentages)</f>
        <v/>
      </c>
      <c r="N579" s="72" t="str">
        <f>TEXT(ASTemp!N579,Percentages)</f>
        <v/>
      </c>
    </row>
    <row r="580" ht="14.25" customHeight="1">
      <c r="B580" s="66" t="str">
        <f>ASTemp!B580</f>
        <v/>
      </c>
      <c r="C580" s="67" t="str">
        <f>ASTemp!C580</f>
        <v/>
      </c>
      <c r="D580" s="68" t="str">
        <f>ASTemp!D580</f>
        <v/>
      </c>
      <c r="E580" s="65" t="str">
        <f>ASTemp!E580</f>
        <v/>
      </c>
      <c r="F580" s="69" t="str">
        <f>TEXT(ASTemp!F580,Decimals)</f>
        <v/>
      </c>
      <c r="G580" s="69" t="str">
        <f>TEXT(ASTemp!G580,Decimals)</f>
        <v/>
      </c>
      <c r="H580" s="69" t="str">
        <f>TEXT(ASTemp!H580,Decimals)</f>
        <v/>
      </c>
      <c r="I580" s="69" t="str">
        <f>TEXT(ASTemp!I580,Decimals)</f>
        <v/>
      </c>
      <c r="J580" s="69" t="str">
        <f>TEXT(ASTemp!J580,Decimals)</f>
        <v/>
      </c>
      <c r="K580" s="69" t="str">
        <f>TEXT(ASTemp!K580,Decimals)</f>
        <v/>
      </c>
      <c r="L580" s="69" t="str">
        <f>TEXT(ASTemp!L580,Decimals)</f>
        <v/>
      </c>
      <c r="M580" s="71" t="str">
        <f>TEXT(ASTemp!M580,Percentages)</f>
        <v/>
      </c>
      <c r="N580" s="72" t="str">
        <f>TEXT(ASTemp!N580,Percentages)</f>
        <v/>
      </c>
    </row>
    <row r="581" ht="14.25" customHeight="1">
      <c r="B581" s="66" t="str">
        <f>ASTemp!B581</f>
        <v/>
      </c>
      <c r="C581" s="67" t="str">
        <f>ASTemp!C581</f>
        <v/>
      </c>
      <c r="D581" s="68" t="str">
        <f>ASTemp!D581</f>
        <v/>
      </c>
      <c r="E581" s="65" t="str">
        <f>ASTemp!E581</f>
        <v/>
      </c>
      <c r="F581" s="69" t="str">
        <f>TEXT(ASTemp!F581,Decimals)</f>
        <v/>
      </c>
      <c r="G581" s="69" t="str">
        <f>TEXT(ASTemp!G581,Decimals)</f>
        <v/>
      </c>
      <c r="H581" s="69" t="str">
        <f>TEXT(ASTemp!H581,Decimals)</f>
        <v/>
      </c>
      <c r="I581" s="69" t="str">
        <f>TEXT(ASTemp!I581,Decimals)</f>
        <v/>
      </c>
      <c r="J581" s="69" t="str">
        <f>TEXT(ASTemp!J581,Decimals)</f>
        <v/>
      </c>
      <c r="K581" s="69" t="str">
        <f>TEXT(ASTemp!K581,Decimals)</f>
        <v/>
      </c>
      <c r="L581" s="69" t="str">
        <f>TEXT(ASTemp!L581,Decimals)</f>
        <v/>
      </c>
      <c r="M581" s="71" t="str">
        <f>TEXT(ASTemp!M581,Percentages)</f>
        <v/>
      </c>
      <c r="N581" s="72" t="str">
        <f>TEXT(ASTemp!N581,Percentages)</f>
        <v/>
      </c>
    </row>
    <row r="582" ht="14.25" customHeight="1">
      <c r="B582" s="66" t="str">
        <f>ASTemp!B582</f>
        <v/>
      </c>
      <c r="C582" s="67" t="str">
        <f>ASTemp!C582</f>
        <v/>
      </c>
      <c r="D582" s="68" t="str">
        <f>ASTemp!D582</f>
        <v/>
      </c>
      <c r="E582" s="65" t="str">
        <f>ASTemp!E582</f>
        <v/>
      </c>
      <c r="F582" s="69" t="str">
        <f>TEXT(ASTemp!F582,Decimals)</f>
        <v/>
      </c>
      <c r="G582" s="69" t="str">
        <f>TEXT(ASTemp!G582,Decimals)</f>
        <v/>
      </c>
      <c r="H582" s="69" t="str">
        <f>TEXT(ASTemp!H582,Decimals)</f>
        <v/>
      </c>
      <c r="I582" s="69" t="str">
        <f>TEXT(ASTemp!I582,Decimals)</f>
        <v/>
      </c>
      <c r="J582" s="69" t="str">
        <f>TEXT(ASTemp!J582,Decimals)</f>
        <v/>
      </c>
      <c r="K582" s="69" t="str">
        <f>TEXT(ASTemp!K582,Decimals)</f>
        <v/>
      </c>
      <c r="L582" s="69" t="str">
        <f>TEXT(ASTemp!L582,Decimals)</f>
        <v/>
      </c>
      <c r="M582" s="71" t="str">
        <f>TEXT(ASTemp!M582,Percentages)</f>
        <v/>
      </c>
      <c r="N582" s="72" t="str">
        <f>TEXT(ASTemp!N582,Percentages)</f>
        <v/>
      </c>
    </row>
    <row r="583" ht="14.25" customHeight="1">
      <c r="B583" s="66" t="str">
        <f>ASTemp!B583</f>
        <v/>
      </c>
      <c r="C583" s="67" t="str">
        <f>ASTemp!C583</f>
        <v/>
      </c>
      <c r="D583" s="68" t="str">
        <f>ASTemp!D583</f>
        <v/>
      </c>
      <c r="E583" s="65" t="str">
        <f>ASTemp!E583</f>
        <v/>
      </c>
      <c r="F583" s="69" t="str">
        <f>TEXT(ASTemp!F583,Decimals)</f>
        <v/>
      </c>
      <c r="G583" s="69" t="str">
        <f>TEXT(ASTemp!G583,Decimals)</f>
        <v/>
      </c>
      <c r="H583" s="69" t="str">
        <f>TEXT(ASTemp!H583,Decimals)</f>
        <v/>
      </c>
      <c r="I583" s="69" t="str">
        <f>TEXT(ASTemp!I583,Decimals)</f>
        <v/>
      </c>
      <c r="J583" s="69" t="str">
        <f>TEXT(ASTemp!J583,Decimals)</f>
        <v/>
      </c>
      <c r="K583" s="69" t="str">
        <f>TEXT(ASTemp!K583,Decimals)</f>
        <v/>
      </c>
      <c r="L583" s="69" t="str">
        <f>TEXT(ASTemp!L583,Decimals)</f>
        <v/>
      </c>
      <c r="M583" s="71" t="str">
        <f>TEXT(ASTemp!M583,Percentages)</f>
        <v/>
      </c>
      <c r="N583" s="72" t="str">
        <f>TEXT(ASTemp!N583,Percentages)</f>
        <v/>
      </c>
    </row>
    <row r="584" ht="14.25" customHeight="1">
      <c r="B584" s="66" t="str">
        <f>ASTemp!B584</f>
        <v/>
      </c>
      <c r="C584" s="67" t="str">
        <f>ASTemp!C584</f>
        <v/>
      </c>
      <c r="D584" s="68" t="str">
        <f>ASTemp!D584</f>
        <v/>
      </c>
      <c r="E584" s="65" t="str">
        <f>ASTemp!E584</f>
        <v/>
      </c>
      <c r="F584" s="69" t="str">
        <f>TEXT(ASTemp!F584,Decimals)</f>
        <v/>
      </c>
      <c r="G584" s="69" t="str">
        <f>TEXT(ASTemp!G584,Decimals)</f>
        <v/>
      </c>
      <c r="H584" s="69" t="str">
        <f>TEXT(ASTemp!H584,Decimals)</f>
        <v/>
      </c>
      <c r="I584" s="69" t="str">
        <f>TEXT(ASTemp!I584,Decimals)</f>
        <v/>
      </c>
      <c r="J584" s="69" t="str">
        <f>TEXT(ASTemp!J584,Decimals)</f>
        <v/>
      </c>
      <c r="K584" s="69" t="str">
        <f>TEXT(ASTemp!K584,Decimals)</f>
        <v/>
      </c>
      <c r="L584" s="69" t="str">
        <f>TEXT(ASTemp!L584,Decimals)</f>
        <v/>
      </c>
      <c r="M584" s="71" t="str">
        <f>TEXT(ASTemp!M584,Percentages)</f>
        <v/>
      </c>
      <c r="N584" s="72" t="str">
        <f>TEXT(ASTemp!N584,Percentages)</f>
        <v/>
      </c>
    </row>
    <row r="585" ht="14.25" customHeight="1">
      <c r="B585" s="66" t="str">
        <f>ASTemp!B585</f>
        <v/>
      </c>
      <c r="C585" s="67" t="str">
        <f>ASTemp!C585</f>
        <v/>
      </c>
      <c r="D585" s="68" t="str">
        <f>ASTemp!D585</f>
        <v/>
      </c>
      <c r="E585" s="65" t="str">
        <f>ASTemp!E585</f>
        <v/>
      </c>
      <c r="F585" s="69" t="str">
        <f>TEXT(ASTemp!F585,Decimals)</f>
        <v/>
      </c>
      <c r="G585" s="69" t="str">
        <f>TEXT(ASTemp!G585,Decimals)</f>
        <v/>
      </c>
      <c r="H585" s="69" t="str">
        <f>TEXT(ASTemp!H585,Decimals)</f>
        <v/>
      </c>
      <c r="I585" s="69" t="str">
        <f>TEXT(ASTemp!I585,Decimals)</f>
        <v/>
      </c>
      <c r="J585" s="69" t="str">
        <f>TEXT(ASTemp!J585,Decimals)</f>
        <v/>
      </c>
      <c r="K585" s="69" t="str">
        <f>TEXT(ASTemp!K585,Decimals)</f>
        <v/>
      </c>
      <c r="L585" s="69" t="str">
        <f>TEXT(ASTemp!L585,Decimals)</f>
        <v/>
      </c>
      <c r="M585" s="71" t="str">
        <f>TEXT(ASTemp!M585,Percentages)</f>
        <v/>
      </c>
      <c r="N585" s="72" t="str">
        <f>TEXT(ASTemp!N585,Percentages)</f>
        <v/>
      </c>
    </row>
    <row r="586" ht="14.25" customHeight="1">
      <c r="B586" s="66" t="str">
        <f>ASTemp!B586</f>
        <v/>
      </c>
      <c r="C586" s="67" t="str">
        <f>ASTemp!C586</f>
        <v/>
      </c>
      <c r="D586" s="68" t="str">
        <f>ASTemp!D586</f>
        <v/>
      </c>
      <c r="E586" s="65" t="str">
        <f>ASTemp!E586</f>
        <v/>
      </c>
      <c r="F586" s="69" t="str">
        <f>TEXT(ASTemp!F586,Decimals)</f>
        <v/>
      </c>
      <c r="G586" s="69" t="str">
        <f>TEXT(ASTemp!G586,Decimals)</f>
        <v/>
      </c>
      <c r="H586" s="69" t="str">
        <f>TEXT(ASTemp!H586,Decimals)</f>
        <v/>
      </c>
      <c r="I586" s="69" t="str">
        <f>TEXT(ASTemp!I586,Decimals)</f>
        <v/>
      </c>
      <c r="J586" s="69" t="str">
        <f>TEXT(ASTemp!J586,Decimals)</f>
        <v/>
      </c>
      <c r="K586" s="69" t="str">
        <f>TEXT(ASTemp!K586,Decimals)</f>
        <v/>
      </c>
      <c r="L586" s="69" t="str">
        <f>TEXT(ASTemp!L586,Decimals)</f>
        <v/>
      </c>
      <c r="M586" s="71" t="str">
        <f>TEXT(ASTemp!M586,Percentages)</f>
        <v/>
      </c>
      <c r="N586" s="72" t="str">
        <f>TEXT(ASTemp!N586,Percentages)</f>
        <v/>
      </c>
    </row>
    <row r="587" ht="14.25" customHeight="1">
      <c r="B587" s="66" t="str">
        <f>ASTemp!B587</f>
        <v/>
      </c>
      <c r="C587" s="67" t="str">
        <f>ASTemp!C587</f>
        <v/>
      </c>
      <c r="D587" s="68" t="str">
        <f>ASTemp!D587</f>
        <v/>
      </c>
      <c r="E587" s="65" t="str">
        <f>ASTemp!E587</f>
        <v/>
      </c>
      <c r="F587" s="69" t="str">
        <f>TEXT(ASTemp!F587,Decimals)</f>
        <v/>
      </c>
      <c r="G587" s="69" t="str">
        <f>TEXT(ASTemp!G587,Decimals)</f>
        <v/>
      </c>
      <c r="H587" s="69" t="str">
        <f>TEXT(ASTemp!H587,Decimals)</f>
        <v/>
      </c>
      <c r="I587" s="69" t="str">
        <f>TEXT(ASTemp!I587,Decimals)</f>
        <v/>
      </c>
      <c r="J587" s="69" t="str">
        <f>TEXT(ASTemp!J587,Decimals)</f>
        <v/>
      </c>
      <c r="K587" s="69" t="str">
        <f>TEXT(ASTemp!K587,Decimals)</f>
        <v/>
      </c>
      <c r="L587" s="69" t="str">
        <f>TEXT(ASTemp!L587,Decimals)</f>
        <v/>
      </c>
      <c r="M587" s="71" t="str">
        <f>TEXT(ASTemp!M587,Percentages)</f>
        <v/>
      </c>
      <c r="N587" s="72" t="str">
        <f>TEXT(ASTemp!N587,Percentages)</f>
        <v/>
      </c>
    </row>
    <row r="588" ht="14.25" customHeight="1">
      <c r="B588" s="66" t="str">
        <f>ASTemp!B588</f>
        <v/>
      </c>
      <c r="C588" s="67" t="str">
        <f>ASTemp!C588</f>
        <v/>
      </c>
      <c r="D588" s="68" t="str">
        <f>ASTemp!D588</f>
        <v/>
      </c>
      <c r="E588" s="65" t="str">
        <f>ASTemp!E588</f>
        <v/>
      </c>
      <c r="F588" s="69" t="str">
        <f>TEXT(ASTemp!F588,Decimals)</f>
        <v/>
      </c>
      <c r="G588" s="69" t="str">
        <f>TEXT(ASTemp!G588,Decimals)</f>
        <v/>
      </c>
      <c r="H588" s="69" t="str">
        <f>TEXT(ASTemp!H588,Decimals)</f>
        <v/>
      </c>
      <c r="I588" s="69" t="str">
        <f>TEXT(ASTemp!I588,Decimals)</f>
        <v/>
      </c>
      <c r="J588" s="69" t="str">
        <f>TEXT(ASTemp!J588,Decimals)</f>
        <v/>
      </c>
      <c r="K588" s="69" t="str">
        <f>TEXT(ASTemp!K588,Decimals)</f>
        <v/>
      </c>
      <c r="L588" s="69" t="str">
        <f>TEXT(ASTemp!L588,Decimals)</f>
        <v/>
      </c>
      <c r="M588" s="71" t="str">
        <f>TEXT(ASTemp!M588,Percentages)</f>
        <v/>
      </c>
      <c r="N588" s="72" t="str">
        <f>TEXT(ASTemp!N588,Percentages)</f>
        <v/>
      </c>
    </row>
    <row r="589" ht="14.25" customHeight="1">
      <c r="B589" s="66" t="str">
        <f>ASTemp!B589</f>
        <v/>
      </c>
      <c r="C589" s="67" t="str">
        <f>ASTemp!C589</f>
        <v/>
      </c>
      <c r="D589" s="68" t="str">
        <f>ASTemp!D589</f>
        <v/>
      </c>
      <c r="E589" s="65" t="str">
        <f>ASTemp!E589</f>
        <v/>
      </c>
      <c r="F589" s="69" t="str">
        <f>TEXT(ASTemp!F589,Decimals)</f>
        <v/>
      </c>
      <c r="G589" s="69" t="str">
        <f>TEXT(ASTemp!G589,Decimals)</f>
        <v/>
      </c>
      <c r="H589" s="69" t="str">
        <f>TEXT(ASTemp!H589,Decimals)</f>
        <v/>
      </c>
      <c r="I589" s="69" t="str">
        <f>TEXT(ASTemp!I589,Decimals)</f>
        <v/>
      </c>
      <c r="J589" s="69" t="str">
        <f>TEXT(ASTemp!J589,Decimals)</f>
        <v/>
      </c>
      <c r="K589" s="69" t="str">
        <f>TEXT(ASTemp!K589,Decimals)</f>
        <v/>
      </c>
      <c r="L589" s="69" t="str">
        <f>TEXT(ASTemp!L589,Decimals)</f>
        <v/>
      </c>
      <c r="M589" s="71" t="str">
        <f>TEXT(ASTemp!M589,Percentages)</f>
        <v/>
      </c>
      <c r="N589" s="72" t="str">
        <f>TEXT(ASTemp!N589,Percentages)</f>
        <v/>
      </c>
    </row>
    <row r="590" ht="14.25" customHeight="1">
      <c r="B590" s="66" t="str">
        <f>ASTemp!B590</f>
        <v/>
      </c>
      <c r="C590" s="67" t="str">
        <f>ASTemp!C590</f>
        <v/>
      </c>
      <c r="D590" s="68" t="str">
        <f>ASTemp!D590</f>
        <v/>
      </c>
      <c r="E590" s="65" t="str">
        <f>ASTemp!E590</f>
        <v/>
      </c>
      <c r="F590" s="69" t="str">
        <f>TEXT(ASTemp!F590,Decimals)</f>
        <v/>
      </c>
      <c r="G590" s="69" t="str">
        <f>TEXT(ASTemp!G590,Decimals)</f>
        <v/>
      </c>
      <c r="H590" s="69" t="str">
        <f>TEXT(ASTemp!H590,Decimals)</f>
        <v/>
      </c>
      <c r="I590" s="69" t="str">
        <f>TEXT(ASTemp!I590,Decimals)</f>
        <v/>
      </c>
      <c r="J590" s="69" t="str">
        <f>TEXT(ASTemp!J590,Decimals)</f>
        <v/>
      </c>
      <c r="K590" s="69" t="str">
        <f>TEXT(ASTemp!K590,Decimals)</f>
        <v/>
      </c>
      <c r="L590" s="69" t="str">
        <f>TEXT(ASTemp!L590,Decimals)</f>
        <v/>
      </c>
      <c r="M590" s="71" t="str">
        <f>TEXT(ASTemp!M590,Percentages)</f>
        <v/>
      </c>
      <c r="N590" s="72" t="str">
        <f>TEXT(ASTemp!N590,Percentages)</f>
        <v/>
      </c>
    </row>
    <row r="591" ht="14.25" customHeight="1">
      <c r="B591" s="66" t="str">
        <f>ASTemp!B591</f>
        <v/>
      </c>
      <c r="C591" s="67" t="str">
        <f>ASTemp!C591</f>
        <v/>
      </c>
      <c r="D591" s="68" t="str">
        <f>ASTemp!D591</f>
        <v/>
      </c>
      <c r="E591" s="65" t="str">
        <f>ASTemp!E591</f>
        <v/>
      </c>
      <c r="F591" s="69" t="str">
        <f>TEXT(ASTemp!F591,Decimals)</f>
        <v/>
      </c>
      <c r="G591" s="69" t="str">
        <f>TEXT(ASTemp!G591,Decimals)</f>
        <v/>
      </c>
      <c r="H591" s="69" t="str">
        <f>TEXT(ASTemp!H591,Decimals)</f>
        <v/>
      </c>
      <c r="I591" s="69" t="str">
        <f>TEXT(ASTemp!I591,Decimals)</f>
        <v/>
      </c>
      <c r="J591" s="69" t="str">
        <f>TEXT(ASTemp!J591,Decimals)</f>
        <v/>
      </c>
      <c r="K591" s="69" t="str">
        <f>TEXT(ASTemp!K591,Decimals)</f>
        <v/>
      </c>
      <c r="L591" s="69" t="str">
        <f>TEXT(ASTemp!L591,Decimals)</f>
        <v/>
      </c>
      <c r="M591" s="71" t="str">
        <f>TEXT(ASTemp!M591,Percentages)</f>
        <v/>
      </c>
      <c r="N591" s="72" t="str">
        <f>TEXT(ASTemp!N591,Percentages)</f>
        <v/>
      </c>
    </row>
    <row r="592" ht="14.25" customHeight="1">
      <c r="B592" s="66" t="str">
        <f>ASTemp!B592</f>
        <v/>
      </c>
      <c r="C592" s="67" t="str">
        <f>ASTemp!C592</f>
        <v/>
      </c>
      <c r="D592" s="68" t="str">
        <f>ASTemp!D592</f>
        <v/>
      </c>
      <c r="E592" s="65" t="str">
        <f>ASTemp!E592</f>
        <v/>
      </c>
      <c r="F592" s="69" t="str">
        <f>TEXT(ASTemp!F592,Decimals)</f>
        <v/>
      </c>
      <c r="G592" s="69" t="str">
        <f>TEXT(ASTemp!G592,Decimals)</f>
        <v/>
      </c>
      <c r="H592" s="69" t="str">
        <f>TEXT(ASTemp!H592,Decimals)</f>
        <v/>
      </c>
      <c r="I592" s="69" t="str">
        <f>TEXT(ASTemp!I592,Decimals)</f>
        <v/>
      </c>
      <c r="J592" s="69" t="str">
        <f>TEXT(ASTemp!J592,Decimals)</f>
        <v/>
      </c>
      <c r="K592" s="69" t="str">
        <f>TEXT(ASTemp!K592,Decimals)</f>
        <v/>
      </c>
      <c r="L592" s="69" t="str">
        <f>TEXT(ASTemp!L592,Decimals)</f>
        <v/>
      </c>
      <c r="M592" s="71" t="str">
        <f>TEXT(ASTemp!M592,Percentages)</f>
        <v/>
      </c>
      <c r="N592" s="72" t="str">
        <f>TEXT(ASTemp!N592,Percentages)</f>
        <v/>
      </c>
    </row>
    <row r="593" ht="14.25" customHeight="1">
      <c r="B593" s="66" t="str">
        <f>ASTemp!B593</f>
        <v/>
      </c>
      <c r="C593" s="67" t="str">
        <f>ASTemp!C593</f>
        <v/>
      </c>
      <c r="D593" s="68" t="str">
        <f>ASTemp!D593</f>
        <v/>
      </c>
      <c r="E593" s="65" t="str">
        <f>ASTemp!E593</f>
        <v/>
      </c>
      <c r="F593" s="69" t="str">
        <f>TEXT(ASTemp!F593,Decimals)</f>
        <v/>
      </c>
      <c r="G593" s="69" t="str">
        <f>TEXT(ASTemp!G593,Decimals)</f>
        <v/>
      </c>
      <c r="H593" s="69" t="str">
        <f>TEXT(ASTemp!H593,Decimals)</f>
        <v/>
      </c>
      <c r="I593" s="69" t="str">
        <f>TEXT(ASTemp!I593,Decimals)</f>
        <v/>
      </c>
      <c r="J593" s="69" t="str">
        <f>TEXT(ASTemp!J593,Decimals)</f>
        <v/>
      </c>
      <c r="K593" s="69" t="str">
        <f>TEXT(ASTemp!K593,Decimals)</f>
        <v/>
      </c>
      <c r="L593" s="69" t="str">
        <f>TEXT(ASTemp!L593,Decimals)</f>
        <v/>
      </c>
      <c r="M593" s="71" t="str">
        <f>TEXT(ASTemp!M593,Percentages)</f>
        <v/>
      </c>
      <c r="N593" s="72" t="str">
        <f>TEXT(ASTemp!N593,Percentages)</f>
        <v/>
      </c>
    </row>
    <row r="594" ht="14.25" customHeight="1">
      <c r="B594" s="66" t="str">
        <f>ASTemp!B594</f>
        <v/>
      </c>
      <c r="C594" s="67" t="str">
        <f>ASTemp!C594</f>
        <v/>
      </c>
      <c r="D594" s="68" t="str">
        <f>ASTemp!D594</f>
        <v/>
      </c>
      <c r="E594" s="65" t="str">
        <f>ASTemp!E594</f>
        <v/>
      </c>
      <c r="F594" s="69" t="str">
        <f>TEXT(ASTemp!F594,Decimals)</f>
        <v/>
      </c>
      <c r="G594" s="69" t="str">
        <f>TEXT(ASTemp!G594,Decimals)</f>
        <v/>
      </c>
      <c r="H594" s="69" t="str">
        <f>TEXT(ASTemp!H594,Decimals)</f>
        <v/>
      </c>
      <c r="I594" s="69" t="str">
        <f>TEXT(ASTemp!I594,Decimals)</f>
        <v/>
      </c>
      <c r="J594" s="69" t="str">
        <f>TEXT(ASTemp!J594,Decimals)</f>
        <v/>
      </c>
      <c r="K594" s="69" t="str">
        <f>TEXT(ASTemp!K594,Decimals)</f>
        <v/>
      </c>
      <c r="L594" s="69" t="str">
        <f>TEXT(ASTemp!L594,Decimals)</f>
        <v/>
      </c>
      <c r="M594" s="71" t="str">
        <f>TEXT(ASTemp!M594,Percentages)</f>
        <v/>
      </c>
      <c r="N594" s="72" t="str">
        <f>TEXT(ASTemp!N594,Percentages)</f>
        <v/>
      </c>
    </row>
    <row r="595" ht="14.25" customHeight="1">
      <c r="B595" s="66" t="str">
        <f>ASTemp!B595</f>
        <v/>
      </c>
      <c r="C595" s="67" t="str">
        <f>ASTemp!C595</f>
        <v/>
      </c>
      <c r="D595" s="68" t="str">
        <f>ASTemp!D595</f>
        <v/>
      </c>
      <c r="E595" s="65" t="str">
        <f>ASTemp!E595</f>
        <v/>
      </c>
      <c r="F595" s="69" t="str">
        <f>TEXT(ASTemp!F595,Decimals)</f>
        <v/>
      </c>
      <c r="G595" s="69" t="str">
        <f>TEXT(ASTemp!G595,Decimals)</f>
        <v/>
      </c>
      <c r="H595" s="69" t="str">
        <f>TEXT(ASTemp!H595,Decimals)</f>
        <v/>
      </c>
      <c r="I595" s="69" t="str">
        <f>TEXT(ASTemp!I595,Decimals)</f>
        <v/>
      </c>
      <c r="J595" s="69" t="str">
        <f>TEXT(ASTemp!J595,Decimals)</f>
        <v/>
      </c>
      <c r="K595" s="69" t="str">
        <f>TEXT(ASTemp!K595,Decimals)</f>
        <v/>
      </c>
      <c r="L595" s="69" t="str">
        <f>TEXT(ASTemp!L595,Decimals)</f>
        <v/>
      </c>
      <c r="M595" s="71" t="str">
        <f>TEXT(ASTemp!M595,Percentages)</f>
        <v/>
      </c>
      <c r="N595" s="72" t="str">
        <f>TEXT(ASTemp!N595,Percentages)</f>
        <v/>
      </c>
    </row>
    <row r="596" ht="14.25" customHeight="1">
      <c r="B596" s="66" t="str">
        <f>ASTemp!B596</f>
        <v/>
      </c>
      <c r="C596" s="67" t="str">
        <f>ASTemp!C596</f>
        <v/>
      </c>
      <c r="D596" s="68" t="str">
        <f>ASTemp!D596</f>
        <v/>
      </c>
      <c r="E596" s="65" t="str">
        <f>ASTemp!E596</f>
        <v/>
      </c>
      <c r="F596" s="69" t="str">
        <f>TEXT(ASTemp!F596,Decimals)</f>
        <v/>
      </c>
      <c r="G596" s="69" t="str">
        <f>TEXT(ASTemp!G596,Decimals)</f>
        <v/>
      </c>
      <c r="H596" s="69" t="str">
        <f>TEXT(ASTemp!H596,Decimals)</f>
        <v/>
      </c>
      <c r="I596" s="69" t="str">
        <f>TEXT(ASTemp!I596,Decimals)</f>
        <v/>
      </c>
      <c r="J596" s="69" t="str">
        <f>TEXT(ASTemp!J596,Decimals)</f>
        <v/>
      </c>
      <c r="K596" s="69" t="str">
        <f>TEXT(ASTemp!K596,Decimals)</f>
        <v/>
      </c>
      <c r="L596" s="69" t="str">
        <f>TEXT(ASTemp!L596,Decimals)</f>
        <v/>
      </c>
      <c r="M596" s="71" t="str">
        <f>TEXT(ASTemp!M596,Percentages)</f>
        <v/>
      </c>
      <c r="N596" s="72" t="str">
        <f>TEXT(ASTemp!N596,Percentages)</f>
        <v/>
      </c>
    </row>
    <row r="597" ht="14.25" customHeight="1">
      <c r="B597" s="66" t="str">
        <f>ASTemp!B597</f>
        <v/>
      </c>
      <c r="C597" s="67" t="str">
        <f>ASTemp!C597</f>
        <v/>
      </c>
      <c r="D597" s="68" t="str">
        <f>ASTemp!D597</f>
        <v/>
      </c>
      <c r="E597" s="65" t="str">
        <f>ASTemp!E597</f>
        <v/>
      </c>
      <c r="F597" s="69" t="str">
        <f>TEXT(ASTemp!F597,Decimals)</f>
        <v/>
      </c>
      <c r="G597" s="69" t="str">
        <f>TEXT(ASTemp!G597,Decimals)</f>
        <v/>
      </c>
      <c r="H597" s="69" t="str">
        <f>TEXT(ASTemp!H597,Decimals)</f>
        <v/>
      </c>
      <c r="I597" s="69" t="str">
        <f>TEXT(ASTemp!I597,Decimals)</f>
        <v/>
      </c>
      <c r="J597" s="69" t="str">
        <f>TEXT(ASTemp!J597,Decimals)</f>
        <v/>
      </c>
      <c r="K597" s="69" t="str">
        <f>TEXT(ASTemp!K597,Decimals)</f>
        <v/>
      </c>
      <c r="L597" s="69" t="str">
        <f>TEXT(ASTemp!L597,Decimals)</f>
        <v/>
      </c>
      <c r="M597" s="71" t="str">
        <f>TEXT(ASTemp!M597,Percentages)</f>
        <v/>
      </c>
      <c r="N597" s="72" t="str">
        <f>TEXT(ASTemp!N597,Percentages)</f>
        <v/>
      </c>
    </row>
    <row r="598" ht="14.25" customHeight="1">
      <c r="B598" s="66" t="str">
        <f>ASTemp!B598</f>
        <v/>
      </c>
      <c r="C598" s="67" t="str">
        <f>ASTemp!C598</f>
        <v/>
      </c>
      <c r="D598" s="68" t="str">
        <f>ASTemp!D598</f>
        <v/>
      </c>
      <c r="E598" s="65" t="str">
        <f>ASTemp!E598</f>
        <v/>
      </c>
      <c r="F598" s="69" t="str">
        <f>TEXT(ASTemp!F598,Decimals)</f>
        <v/>
      </c>
      <c r="G598" s="69" t="str">
        <f>TEXT(ASTemp!G598,Decimals)</f>
        <v/>
      </c>
      <c r="H598" s="69" t="str">
        <f>TEXT(ASTemp!H598,Decimals)</f>
        <v/>
      </c>
      <c r="I598" s="69" t="str">
        <f>TEXT(ASTemp!I598,Decimals)</f>
        <v/>
      </c>
      <c r="J598" s="69" t="str">
        <f>TEXT(ASTemp!J598,Decimals)</f>
        <v/>
      </c>
      <c r="K598" s="69" t="str">
        <f>TEXT(ASTemp!K598,Decimals)</f>
        <v/>
      </c>
      <c r="L598" s="69" t="str">
        <f>TEXT(ASTemp!L598,Decimals)</f>
        <v/>
      </c>
      <c r="M598" s="71" t="str">
        <f>TEXT(ASTemp!M598,Percentages)</f>
        <v/>
      </c>
      <c r="N598" s="72" t="str">
        <f>TEXT(ASTemp!N598,Percentages)</f>
        <v/>
      </c>
    </row>
    <row r="599" ht="14.25" customHeight="1">
      <c r="B599" s="66" t="str">
        <f>ASTemp!B599</f>
        <v/>
      </c>
      <c r="C599" s="67" t="str">
        <f>ASTemp!C599</f>
        <v/>
      </c>
      <c r="D599" s="68" t="str">
        <f>ASTemp!D599</f>
        <v/>
      </c>
      <c r="E599" s="65" t="str">
        <f>ASTemp!E599</f>
        <v/>
      </c>
      <c r="F599" s="69" t="str">
        <f>TEXT(ASTemp!F599,Decimals)</f>
        <v/>
      </c>
      <c r="G599" s="69" t="str">
        <f>TEXT(ASTemp!G599,Decimals)</f>
        <v/>
      </c>
      <c r="H599" s="69" t="str">
        <f>TEXT(ASTemp!H599,Decimals)</f>
        <v/>
      </c>
      <c r="I599" s="69" t="str">
        <f>TEXT(ASTemp!I599,Decimals)</f>
        <v/>
      </c>
      <c r="J599" s="69" t="str">
        <f>TEXT(ASTemp!J599,Decimals)</f>
        <v/>
      </c>
      <c r="K599" s="69" t="str">
        <f>TEXT(ASTemp!K599,Decimals)</f>
        <v/>
      </c>
      <c r="L599" s="69" t="str">
        <f>TEXT(ASTemp!L599,Decimals)</f>
        <v/>
      </c>
      <c r="M599" s="71" t="str">
        <f>TEXT(ASTemp!M599,Percentages)</f>
        <v/>
      </c>
      <c r="N599" s="72" t="str">
        <f>TEXT(ASTemp!N599,Percentages)</f>
        <v/>
      </c>
    </row>
    <row r="600" ht="14.25" customHeight="1">
      <c r="B600" s="66" t="str">
        <f>ASTemp!B600</f>
        <v/>
      </c>
      <c r="C600" s="67" t="str">
        <f>ASTemp!C600</f>
        <v/>
      </c>
      <c r="D600" s="68" t="str">
        <f>ASTemp!D600</f>
        <v/>
      </c>
      <c r="E600" s="65" t="str">
        <f>ASTemp!E600</f>
        <v/>
      </c>
      <c r="F600" s="69" t="str">
        <f>TEXT(ASTemp!F600,Decimals)</f>
        <v/>
      </c>
      <c r="G600" s="69" t="str">
        <f>TEXT(ASTemp!G600,Decimals)</f>
        <v/>
      </c>
      <c r="H600" s="69" t="str">
        <f>TEXT(ASTemp!H600,Decimals)</f>
        <v/>
      </c>
      <c r="I600" s="69" t="str">
        <f>TEXT(ASTemp!I600,Decimals)</f>
        <v/>
      </c>
      <c r="J600" s="69" t="str">
        <f>TEXT(ASTemp!J600,Decimals)</f>
        <v/>
      </c>
      <c r="K600" s="69" t="str">
        <f>TEXT(ASTemp!K600,Decimals)</f>
        <v/>
      </c>
      <c r="L600" s="69" t="str">
        <f>TEXT(ASTemp!L600,Decimals)</f>
        <v/>
      </c>
      <c r="M600" s="71" t="str">
        <f>TEXT(ASTemp!M600,Percentages)</f>
        <v/>
      </c>
      <c r="N600" s="72" t="str">
        <f>TEXT(ASTemp!N600,Percentages)</f>
        <v/>
      </c>
    </row>
    <row r="601" ht="14.25" customHeight="1">
      <c r="B601" s="66" t="str">
        <f>ASTemp!B601</f>
        <v/>
      </c>
      <c r="C601" s="67" t="str">
        <f>ASTemp!C601</f>
        <v/>
      </c>
      <c r="D601" s="68" t="str">
        <f>ASTemp!D601</f>
        <v/>
      </c>
      <c r="E601" s="65" t="str">
        <f>ASTemp!E601</f>
        <v/>
      </c>
      <c r="F601" s="69" t="str">
        <f>TEXT(ASTemp!F601,Decimals)</f>
        <v/>
      </c>
      <c r="G601" s="69" t="str">
        <f>TEXT(ASTemp!G601,Decimals)</f>
        <v/>
      </c>
      <c r="H601" s="69" t="str">
        <f>TEXT(ASTemp!H601,Decimals)</f>
        <v/>
      </c>
      <c r="I601" s="69" t="str">
        <f>TEXT(ASTemp!I601,Decimals)</f>
        <v/>
      </c>
      <c r="J601" s="69" t="str">
        <f>TEXT(ASTemp!J601,Decimals)</f>
        <v/>
      </c>
      <c r="K601" s="69" t="str">
        <f>TEXT(ASTemp!K601,Decimals)</f>
        <v/>
      </c>
      <c r="L601" s="69" t="str">
        <f>TEXT(ASTemp!L601,Decimals)</f>
        <v/>
      </c>
      <c r="M601" s="71" t="str">
        <f>TEXT(ASTemp!M601,Percentages)</f>
        <v/>
      </c>
      <c r="N601" s="72" t="str">
        <f>TEXT(ASTemp!N601,Percentages)</f>
        <v/>
      </c>
    </row>
    <row r="602" ht="14.25" customHeight="1">
      <c r="B602" s="66" t="str">
        <f>ASTemp!B602</f>
        <v/>
      </c>
      <c r="C602" s="67" t="str">
        <f>ASTemp!C602</f>
        <v/>
      </c>
      <c r="D602" s="68" t="str">
        <f>ASTemp!D602</f>
        <v/>
      </c>
      <c r="E602" s="65" t="str">
        <f>ASTemp!E602</f>
        <v/>
      </c>
      <c r="F602" s="69" t="str">
        <f>TEXT(ASTemp!F602,Decimals)</f>
        <v/>
      </c>
      <c r="G602" s="69" t="str">
        <f>TEXT(ASTemp!G602,Decimals)</f>
        <v/>
      </c>
      <c r="H602" s="69" t="str">
        <f>TEXT(ASTemp!H602,Decimals)</f>
        <v/>
      </c>
      <c r="I602" s="69" t="str">
        <f>TEXT(ASTemp!I602,Decimals)</f>
        <v/>
      </c>
      <c r="J602" s="69" t="str">
        <f>TEXT(ASTemp!J602,Decimals)</f>
        <v/>
      </c>
      <c r="K602" s="69" t="str">
        <f>TEXT(ASTemp!K602,Decimals)</f>
        <v/>
      </c>
      <c r="L602" s="69" t="str">
        <f>TEXT(ASTemp!L602,Decimals)</f>
        <v/>
      </c>
      <c r="M602" s="71" t="str">
        <f>TEXT(ASTemp!M602,Percentages)</f>
        <v/>
      </c>
      <c r="N602" s="72" t="str">
        <f>TEXT(ASTemp!N602,Percentages)</f>
        <v/>
      </c>
    </row>
    <row r="603" ht="14.25" customHeight="1">
      <c r="B603" s="66" t="str">
        <f>ASTemp!B603</f>
        <v/>
      </c>
      <c r="C603" s="67" t="str">
        <f>ASTemp!C603</f>
        <v/>
      </c>
      <c r="D603" s="68" t="str">
        <f>ASTemp!D603</f>
        <v/>
      </c>
      <c r="E603" s="65" t="str">
        <f>ASTemp!E603</f>
        <v/>
      </c>
      <c r="F603" s="69" t="str">
        <f>TEXT(ASTemp!F603,Decimals)</f>
        <v/>
      </c>
      <c r="G603" s="69" t="str">
        <f>TEXT(ASTemp!G603,Decimals)</f>
        <v/>
      </c>
      <c r="H603" s="69" t="str">
        <f>TEXT(ASTemp!H603,Decimals)</f>
        <v/>
      </c>
      <c r="I603" s="69" t="str">
        <f>TEXT(ASTemp!I603,Decimals)</f>
        <v/>
      </c>
      <c r="J603" s="69" t="str">
        <f>TEXT(ASTemp!J603,Decimals)</f>
        <v/>
      </c>
      <c r="K603" s="69" t="str">
        <f>TEXT(ASTemp!K603,Decimals)</f>
        <v/>
      </c>
      <c r="L603" s="69" t="str">
        <f>TEXT(ASTemp!L603,Decimals)</f>
        <v/>
      </c>
      <c r="M603" s="71" t="str">
        <f>TEXT(ASTemp!M603,Percentages)</f>
        <v/>
      </c>
      <c r="N603" s="72" t="str">
        <f>TEXT(ASTemp!N603,Percentages)</f>
        <v/>
      </c>
    </row>
    <row r="604" ht="14.25" customHeight="1">
      <c r="B604" s="66" t="str">
        <f>ASTemp!B604</f>
        <v/>
      </c>
      <c r="C604" s="67" t="str">
        <f>ASTemp!C604</f>
        <v/>
      </c>
      <c r="D604" s="68" t="str">
        <f>ASTemp!D604</f>
        <v/>
      </c>
      <c r="E604" s="65" t="str">
        <f>ASTemp!E604</f>
        <v/>
      </c>
      <c r="F604" s="69" t="str">
        <f>TEXT(ASTemp!F604,Decimals)</f>
        <v/>
      </c>
      <c r="G604" s="69" t="str">
        <f>TEXT(ASTemp!G604,Decimals)</f>
        <v/>
      </c>
      <c r="H604" s="69" t="str">
        <f>TEXT(ASTemp!H604,Decimals)</f>
        <v/>
      </c>
      <c r="I604" s="69" t="str">
        <f>TEXT(ASTemp!I604,Decimals)</f>
        <v/>
      </c>
      <c r="J604" s="69" t="str">
        <f>TEXT(ASTemp!J604,Decimals)</f>
        <v/>
      </c>
      <c r="K604" s="69" t="str">
        <f>TEXT(ASTemp!K604,Decimals)</f>
        <v/>
      </c>
      <c r="L604" s="69" t="str">
        <f>TEXT(ASTemp!L604,Decimals)</f>
        <v/>
      </c>
      <c r="M604" s="71" t="str">
        <f>TEXT(ASTemp!M604,Percentages)</f>
        <v/>
      </c>
      <c r="N604" s="72" t="str">
        <f>TEXT(ASTemp!N604,Percentages)</f>
        <v/>
      </c>
    </row>
    <row r="605" ht="14.25" customHeight="1">
      <c r="B605" s="66" t="str">
        <f>ASTemp!B605</f>
        <v/>
      </c>
      <c r="C605" s="67" t="str">
        <f>ASTemp!C605</f>
        <v/>
      </c>
      <c r="D605" s="68" t="str">
        <f>ASTemp!D605</f>
        <v/>
      </c>
      <c r="E605" s="65" t="str">
        <f>ASTemp!E605</f>
        <v/>
      </c>
      <c r="F605" s="69" t="str">
        <f>TEXT(ASTemp!F605,Decimals)</f>
        <v/>
      </c>
      <c r="G605" s="69" t="str">
        <f>TEXT(ASTemp!G605,Decimals)</f>
        <v/>
      </c>
      <c r="H605" s="69" t="str">
        <f>TEXT(ASTemp!H605,Decimals)</f>
        <v/>
      </c>
      <c r="I605" s="69" t="str">
        <f>TEXT(ASTemp!I605,Decimals)</f>
        <v/>
      </c>
      <c r="J605" s="69" t="str">
        <f>TEXT(ASTemp!J605,Decimals)</f>
        <v/>
      </c>
      <c r="K605" s="69" t="str">
        <f>TEXT(ASTemp!K605,Decimals)</f>
        <v/>
      </c>
      <c r="L605" s="69" t="str">
        <f>TEXT(ASTemp!L605,Decimals)</f>
        <v/>
      </c>
      <c r="M605" s="71" t="str">
        <f>TEXT(ASTemp!M605,Percentages)</f>
        <v/>
      </c>
      <c r="N605" s="72" t="str">
        <f>TEXT(ASTemp!N605,Percentages)</f>
        <v/>
      </c>
    </row>
    <row r="606" ht="14.25" customHeight="1">
      <c r="B606" s="66" t="str">
        <f>ASTemp!B606</f>
        <v/>
      </c>
      <c r="C606" s="67" t="str">
        <f>ASTemp!C606</f>
        <v/>
      </c>
      <c r="D606" s="68" t="str">
        <f>ASTemp!D606</f>
        <v/>
      </c>
      <c r="E606" s="65" t="str">
        <f>ASTemp!E606</f>
        <v/>
      </c>
      <c r="F606" s="69" t="str">
        <f>TEXT(ASTemp!F606,Decimals)</f>
        <v/>
      </c>
      <c r="G606" s="69" t="str">
        <f>TEXT(ASTemp!G606,Decimals)</f>
        <v/>
      </c>
      <c r="H606" s="69" t="str">
        <f>TEXT(ASTemp!H606,Decimals)</f>
        <v/>
      </c>
      <c r="I606" s="69" t="str">
        <f>TEXT(ASTemp!I606,Decimals)</f>
        <v/>
      </c>
      <c r="J606" s="69" t="str">
        <f>TEXT(ASTemp!J606,Decimals)</f>
        <v/>
      </c>
      <c r="K606" s="69" t="str">
        <f>TEXT(ASTemp!K606,Decimals)</f>
        <v/>
      </c>
      <c r="L606" s="69" t="str">
        <f>TEXT(ASTemp!L606,Decimals)</f>
        <v/>
      </c>
      <c r="M606" s="71" t="str">
        <f>TEXT(ASTemp!M606,Percentages)</f>
        <v/>
      </c>
      <c r="N606" s="72" t="str">
        <f>TEXT(ASTemp!N606,Percentages)</f>
        <v/>
      </c>
    </row>
    <row r="607" ht="14.25" customHeight="1">
      <c r="B607" s="66" t="str">
        <f>ASTemp!B607</f>
        <v/>
      </c>
      <c r="C607" s="67" t="str">
        <f>ASTemp!C607</f>
        <v/>
      </c>
      <c r="D607" s="68" t="str">
        <f>ASTemp!D607</f>
        <v/>
      </c>
      <c r="E607" s="65" t="str">
        <f>ASTemp!E607</f>
        <v/>
      </c>
      <c r="F607" s="69" t="str">
        <f>TEXT(ASTemp!F607,Decimals)</f>
        <v/>
      </c>
      <c r="G607" s="69" t="str">
        <f>TEXT(ASTemp!G607,Decimals)</f>
        <v/>
      </c>
      <c r="H607" s="69" t="str">
        <f>TEXT(ASTemp!H607,Decimals)</f>
        <v/>
      </c>
      <c r="I607" s="69" t="str">
        <f>TEXT(ASTemp!I607,Decimals)</f>
        <v/>
      </c>
      <c r="J607" s="69" t="str">
        <f>TEXT(ASTemp!J607,Decimals)</f>
        <v/>
      </c>
      <c r="K607" s="69" t="str">
        <f>TEXT(ASTemp!K607,Decimals)</f>
        <v/>
      </c>
      <c r="L607" s="69" t="str">
        <f>TEXT(ASTemp!L607,Decimals)</f>
        <v/>
      </c>
      <c r="M607" s="71" t="str">
        <f>TEXT(ASTemp!M607,Percentages)</f>
        <v/>
      </c>
      <c r="N607" s="72" t="str">
        <f>TEXT(ASTemp!N607,Percentages)</f>
        <v/>
      </c>
    </row>
    <row r="608" ht="14.25" customHeight="1">
      <c r="B608" s="66" t="str">
        <f>ASTemp!B608</f>
        <v/>
      </c>
      <c r="C608" s="67" t="str">
        <f>ASTemp!C608</f>
        <v/>
      </c>
      <c r="D608" s="68" t="str">
        <f>ASTemp!D608</f>
        <v/>
      </c>
      <c r="E608" s="65" t="str">
        <f>ASTemp!E608</f>
        <v/>
      </c>
      <c r="F608" s="69" t="str">
        <f>TEXT(ASTemp!F608,Decimals)</f>
        <v/>
      </c>
      <c r="G608" s="69" t="str">
        <f>TEXT(ASTemp!G608,Decimals)</f>
        <v/>
      </c>
      <c r="H608" s="69" t="str">
        <f>TEXT(ASTemp!H608,Decimals)</f>
        <v/>
      </c>
      <c r="I608" s="69" t="str">
        <f>TEXT(ASTemp!I608,Decimals)</f>
        <v/>
      </c>
      <c r="J608" s="69" t="str">
        <f>TEXT(ASTemp!J608,Decimals)</f>
        <v/>
      </c>
      <c r="K608" s="69" t="str">
        <f>TEXT(ASTemp!K608,Decimals)</f>
        <v/>
      </c>
      <c r="L608" s="69" t="str">
        <f>TEXT(ASTemp!L608,Decimals)</f>
        <v/>
      </c>
      <c r="M608" s="71" t="str">
        <f>TEXT(ASTemp!M608,Percentages)</f>
        <v/>
      </c>
      <c r="N608" s="72" t="str">
        <f>TEXT(ASTemp!N608,Percentages)</f>
        <v/>
      </c>
    </row>
    <row r="609" ht="14.25" customHeight="1">
      <c r="B609" s="66" t="str">
        <f>ASTemp!B609</f>
        <v/>
      </c>
      <c r="C609" s="67" t="str">
        <f>ASTemp!C609</f>
        <v/>
      </c>
      <c r="D609" s="68" t="str">
        <f>ASTemp!D609</f>
        <v/>
      </c>
      <c r="E609" s="65" t="str">
        <f>ASTemp!E609</f>
        <v/>
      </c>
      <c r="F609" s="69" t="str">
        <f>TEXT(ASTemp!F609,Decimals)</f>
        <v/>
      </c>
      <c r="G609" s="69" t="str">
        <f>TEXT(ASTemp!G609,Decimals)</f>
        <v/>
      </c>
      <c r="H609" s="69" t="str">
        <f>TEXT(ASTemp!H609,Decimals)</f>
        <v/>
      </c>
      <c r="I609" s="69" t="str">
        <f>TEXT(ASTemp!I609,Decimals)</f>
        <v/>
      </c>
      <c r="J609" s="69" t="str">
        <f>TEXT(ASTemp!J609,Decimals)</f>
        <v/>
      </c>
      <c r="K609" s="69" t="str">
        <f>TEXT(ASTemp!K609,Decimals)</f>
        <v/>
      </c>
      <c r="L609" s="69" t="str">
        <f>TEXT(ASTemp!L609,Decimals)</f>
        <v/>
      </c>
      <c r="M609" s="71" t="str">
        <f>TEXT(ASTemp!M609,Percentages)</f>
        <v/>
      </c>
      <c r="N609" s="72" t="str">
        <f>TEXT(ASTemp!N609,Percentages)</f>
        <v/>
      </c>
    </row>
    <row r="610" ht="14.25" customHeight="1">
      <c r="B610" s="66" t="str">
        <f>ASTemp!B610</f>
        <v/>
      </c>
      <c r="C610" s="67" t="str">
        <f>ASTemp!C610</f>
        <v/>
      </c>
      <c r="D610" s="68" t="str">
        <f>ASTemp!D610</f>
        <v/>
      </c>
      <c r="E610" s="65" t="str">
        <f>ASTemp!E610</f>
        <v/>
      </c>
      <c r="F610" s="69" t="str">
        <f>TEXT(ASTemp!F610,Decimals)</f>
        <v/>
      </c>
      <c r="G610" s="69" t="str">
        <f>TEXT(ASTemp!G610,Decimals)</f>
        <v/>
      </c>
      <c r="H610" s="69" t="str">
        <f>TEXT(ASTemp!H610,Decimals)</f>
        <v/>
      </c>
      <c r="I610" s="69" t="str">
        <f>TEXT(ASTemp!I610,Decimals)</f>
        <v/>
      </c>
      <c r="J610" s="69" t="str">
        <f>TEXT(ASTemp!J610,Decimals)</f>
        <v/>
      </c>
      <c r="K610" s="69" t="str">
        <f>TEXT(ASTemp!K610,Decimals)</f>
        <v/>
      </c>
      <c r="L610" s="69" t="str">
        <f>TEXT(ASTemp!L610,Decimals)</f>
        <v/>
      </c>
      <c r="M610" s="71" t="str">
        <f>TEXT(ASTemp!M610,Percentages)</f>
        <v/>
      </c>
      <c r="N610" s="72" t="str">
        <f>TEXT(ASTemp!N610,Percentages)</f>
        <v/>
      </c>
    </row>
    <row r="611" ht="14.25" customHeight="1">
      <c r="B611" s="66" t="str">
        <f>ASTemp!B611</f>
        <v/>
      </c>
      <c r="C611" s="67" t="str">
        <f>ASTemp!C611</f>
        <v/>
      </c>
      <c r="D611" s="68" t="str">
        <f>ASTemp!D611</f>
        <v/>
      </c>
      <c r="E611" s="65" t="str">
        <f>ASTemp!E611</f>
        <v/>
      </c>
      <c r="F611" s="69" t="str">
        <f>TEXT(ASTemp!F611,Decimals)</f>
        <v/>
      </c>
      <c r="G611" s="69" t="str">
        <f>TEXT(ASTemp!G611,Decimals)</f>
        <v/>
      </c>
      <c r="H611" s="69" t="str">
        <f>TEXT(ASTemp!H611,Decimals)</f>
        <v/>
      </c>
      <c r="I611" s="69" t="str">
        <f>TEXT(ASTemp!I611,Decimals)</f>
        <v/>
      </c>
      <c r="J611" s="69" t="str">
        <f>TEXT(ASTemp!J611,Decimals)</f>
        <v/>
      </c>
      <c r="K611" s="69" t="str">
        <f>TEXT(ASTemp!K611,Decimals)</f>
        <v/>
      </c>
      <c r="L611" s="69" t="str">
        <f>TEXT(ASTemp!L611,Decimals)</f>
        <v/>
      </c>
      <c r="M611" s="71" t="str">
        <f>TEXT(ASTemp!M611,Percentages)</f>
        <v/>
      </c>
      <c r="N611" s="72" t="str">
        <f>TEXT(ASTemp!N611,Percentages)</f>
        <v/>
      </c>
    </row>
    <row r="612" ht="14.25" customHeight="1">
      <c r="B612" s="66" t="str">
        <f>ASTemp!B612</f>
        <v/>
      </c>
      <c r="C612" s="67" t="str">
        <f>ASTemp!C612</f>
        <v/>
      </c>
      <c r="D612" s="68" t="str">
        <f>ASTemp!D612</f>
        <v/>
      </c>
      <c r="E612" s="65" t="str">
        <f>ASTemp!E612</f>
        <v/>
      </c>
      <c r="F612" s="69" t="str">
        <f>TEXT(ASTemp!F612,Decimals)</f>
        <v/>
      </c>
      <c r="G612" s="69" t="str">
        <f>TEXT(ASTemp!G612,Decimals)</f>
        <v/>
      </c>
      <c r="H612" s="69" t="str">
        <f>TEXT(ASTemp!H612,Decimals)</f>
        <v/>
      </c>
      <c r="I612" s="69" t="str">
        <f>TEXT(ASTemp!I612,Decimals)</f>
        <v/>
      </c>
      <c r="J612" s="69" t="str">
        <f>TEXT(ASTemp!J612,Decimals)</f>
        <v/>
      </c>
      <c r="K612" s="69" t="str">
        <f>TEXT(ASTemp!K612,Decimals)</f>
        <v/>
      </c>
      <c r="L612" s="69" t="str">
        <f>TEXT(ASTemp!L612,Decimals)</f>
        <v/>
      </c>
      <c r="M612" s="71" t="str">
        <f>TEXT(ASTemp!M612,Percentages)</f>
        <v/>
      </c>
      <c r="N612" s="72" t="str">
        <f>TEXT(ASTemp!N612,Percentages)</f>
        <v/>
      </c>
    </row>
    <row r="613" ht="14.25" customHeight="1">
      <c r="B613" s="66" t="str">
        <f>ASTemp!B613</f>
        <v/>
      </c>
      <c r="C613" s="67" t="str">
        <f>ASTemp!C613</f>
        <v/>
      </c>
      <c r="D613" s="68" t="str">
        <f>ASTemp!D613</f>
        <v/>
      </c>
      <c r="E613" s="65" t="str">
        <f>ASTemp!E613</f>
        <v/>
      </c>
      <c r="F613" s="69" t="str">
        <f>TEXT(ASTemp!F613,Decimals)</f>
        <v/>
      </c>
      <c r="G613" s="69" t="str">
        <f>TEXT(ASTemp!G613,Decimals)</f>
        <v/>
      </c>
      <c r="H613" s="69" t="str">
        <f>TEXT(ASTemp!H613,Decimals)</f>
        <v/>
      </c>
      <c r="I613" s="69" t="str">
        <f>TEXT(ASTemp!I613,Decimals)</f>
        <v/>
      </c>
      <c r="J613" s="69" t="str">
        <f>TEXT(ASTemp!J613,Decimals)</f>
        <v/>
      </c>
      <c r="K613" s="69" t="str">
        <f>TEXT(ASTemp!K613,Decimals)</f>
        <v/>
      </c>
      <c r="L613" s="69" t="str">
        <f>TEXT(ASTemp!L613,Decimals)</f>
        <v/>
      </c>
      <c r="M613" s="71" t="str">
        <f>TEXT(ASTemp!M613,Percentages)</f>
        <v/>
      </c>
      <c r="N613" s="72" t="str">
        <f>TEXT(ASTemp!N613,Percentages)</f>
        <v/>
      </c>
    </row>
    <row r="614" ht="14.25" customHeight="1">
      <c r="B614" s="66" t="str">
        <f>ASTemp!B614</f>
        <v/>
      </c>
      <c r="C614" s="67" t="str">
        <f>ASTemp!C614</f>
        <v/>
      </c>
      <c r="D614" s="68" t="str">
        <f>ASTemp!D614</f>
        <v/>
      </c>
      <c r="E614" s="65" t="str">
        <f>ASTemp!E614</f>
        <v/>
      </c>
      <c r="F614" s="69" t="str">
        <f>TEXT(ASTemp!F614,Decimals)</f>
        <v/>
      </c>
      <c r="G614" s="69" t="str">
        <f>TEXT(ASTemp!G614,Decimals)</f>
        <v/>
      </c>
      <c r="H614" s="69" t="str">
        <f>TEXT(ASTemp!H614,Decimals)</f>
        <v/>
      </c>
      <c r="I614" s="69" t="str">
        <f>TEXT(ASTemp!I614,Decimals)</f>
        <v/>
      </c>
      <c r="J614" s="69" t="str">
        <f>TEXT(ASTemp!J614,Decimals)</f>
        <v/>
      </c>
      <c r="K614" s="69" t="str">
        <f>TEXT(ASTemp!K614,Decimals)</f>
        <v/>
      </c>
      <c r="L614" s="69" t="str">
        <f>TEXT(ASTemp!L614,Decimals)</f>
        <v/>
      </c>
      <c r="M614" s="71" t="str">
        <f>TEXT(ASTemp!M614,Percentages)</f>
        <v/>
      </c>
      <c r="N614" s="72" t="str">
        <f>TEXT(ASTemp!N614,Percentages)</f>
        <v/>
      </c>
    </row>
    <row r="615" ht="14.25" customHeight="1">
      <c r="B615" s="66" t="str">
        <f>ASTemp!B615</f>
        <v/>
      </c>
      <c r="C615" s="67" t="str">
        <f>ASTemp!C615</f>
        <v/>
      </c>
      <c r="D615" s="68" t="str">
        <f>ASTemp!D615</f>
        <v/>
      </c>
      <c r="E615" s="65" t="str">
        <f>ASTemp!E615</f>
        <v/>
      </c>
      <c r="F615" s="69" t="str">
        <f>TEXT(ASTemp!F615,Decimals)</f>
        <v/>
      </c>
      <c r="G615" s="69" t="str">
        <f>TEXT(ASTemp!G615,Decimals)</f>
        <v/>
      </c>
      <c r="H615" s="69" t="str">
        <f>TEXT(ASTemp!H615,Decimals)</f>
        <v/>
      </c>
      <c r="I615" s="69" t="str">
        <f>TEXT(ASTemp!I615,Decimals)</f>
        <v/>
      </c>
      <c r="J615" s="69" t="str">
        <f>TEXT(ASTemp!J615,Decimals)</f>
        <v/>
      </c>
      <c r="K615" s="69" t="str">
        <f>TEXT(ASTemp!K615,Decimals)</f>
        <v/>
      </c>
      <c r="L615" s="69" t="str">
        <f>TEXT(ASTemp!L615,Decimals)</f>
        <v/>
      </c>
      <c r="M615" s="71" t="str">
        <f>TEXT(ASTemp!M615,Percentages)</f>
        <v/>
      </c>
      <c r="N615" s="72" t="str">
        <f>TEXT(ASTemp!N615,Percentages)</f>
        <v/>
      </c>
    </row>
    <row r="616" ht="14.25" customHeight="1">
      <c r="B616" s="66" t="str">
        <f>ASTemp!B616</f>
        <v/>
      </c>
      <c r="C616" s="67" t="str">
        <f>ASTemp!C616</f>
        <v/>
      </c>
      <c r="D616" s="68" t="str">
        <f>ASTemp!D616</f>
        <v/>
      </c>
      <c r="E616" s="65" t="str">
        <f>ASTemp!E616</f>
        <v/>
      </c>
      <c r="F616" s="69" t="str">
        <f>TEXT(ASTemp!F616,Decimals)</f>
        <v/>
      </c>
      <c r="G616" s="69" t="str">
        <f>TEXT(ASTemp!G616,Decimals)</f>
        <v/>
      </c>
      <c r="H616" s="69" t="str">
        <f>TEXT(ASTemp!H616,Decimals)</f>
        <v/>
      </c>
      <c r="I616" s="69" t="str">
        <f>TEXT(ASTemp!I616,Decimals)</f>
        <v/>
      </c>
      <c r="J616" s="69" t="str">
        <f>TEXT(ASTemp!J616,Decimals)</f>
        <v/>
      </c>
      <c r="K616" s="69" t="str">
        <f>TEXT(ASTemp!K616,Decimals)</f>
        <v/>
      </c>
      <c r="L616" s="69" t="str">
        <f>TEXT(ASTemp!L616,Decimals)</f>
        <v/>
      </c>
      <c r="M616" s="71" t="str">
        <f>TEXT(ASTemp!M616,Percentages)</f>
        <v/>
      </c>
      <c r="N616" s="72" t="str">
        <f>TEXT(ASTemp!N616,Percentages)</f>
        <v/>
      </c>
    </row>
    <row r="617" ht="14.25" customHeight="1">
      <c r="B617" s="66" t="str">
        <f>ASTemp!B617</f>
        <v/>
      </c>
      <c r="C617" s="67" t="str">
        <f>ASTemp!C617</f>
        <v/>
      </c>
      <c r="D617" s="68" t="str">
        <f>ASTemp!D617</f>
        <v/>
      </c>
      <c r="E617" s="65" t="str">
        <f>ASTemp!E617</f>
        <v/>
      </c>
      <c r="F617" s="69" t="str">
        <f>TEXT(ASTemp!F617,Decimals)</f>
        <v/>
      </c>
      <c r="G617" s="69" t="str">
        <f>TEXT(ASTemp!G617,Decimals)</f>
        <v/>
      </c>
      <c r="H617" s="69" t="str">
        <f>TEXT(ASTemp!H617,Decimals)</f>
        <v/>
      </c>
      <c r="I617" s="69" t="str">
        <f>TEXT(ASTemp!I617,Decimals)</f>
        <v/>
      </c>
      <c r="J617" s="69" t="str">
        <f>TEXT(ASTemp!J617,Decimals)</f>
        <v/>
      </c>
      <c r="K617" s="69" t="str">
        <f>TEXT(ASTemp!K617,Decimals)</f>
        <v/>
      </c>
      <c r="L617" s="69" t="str">
        <f>TEXT(ASTemp!L617,Decimals)</f>
        <v/>
      </c>
      <c r="M617" s="71" t="str">
        <f>TEXT(ASTemp!M617,Percentages)</f>
        <v/>
      </c>
      <c r="N617" s="72" t="str">
        <f>TEXT(ASTemp!N617,Percentages)</f>
        <v/>
      </c>
    </row>
    <row r="618" ht="14.25" customHeight="1">
      <c r="B618" s="66" t="str">
        <f>ASTemp!B618</f>
        <v/>
      </c>
      <c r="C618" s="67" t="str">
        <f>ASTemp!C618</f>
        <v/>
      </c>
      <c r="D618" s="68" t="str">
        <f>ASTemp!D618</f>
        <v/>
      </c>
      <c r="E618" s="65" t="str">
        <f>ASTemp!E618</f>
        <v/>
      </c>
      <c r="F618" s="69" t="str">
        <f>TEXT(ASTemp!F618,Decimals)</f>
        <v/>
      </c>
      <c r="G618" s="69" t="str">
        <f>TEXT(ASTemp!G618,Decimals)</f>
        <v/>
      </c>
      <c r="H618" s="69" t="str">
        <f>TEXT(ASTemp!H618,Decimals)</f>
        <v/>
      </c>
      <c r="I618" s="69" t="str">
        <f>TEXT(ASTemp!I618,Decimals)</f>
        <v/>
      </c>
      <c r="J618" s="69" t="str">
        <f>TEXT(ASTemp!J618,Decimals)</f>
        <v/>
      </c>
      <c r="K618" s="69" t="str">
        <f>TEXT(ASTemp!K618,Decimals)</f>
        <v/>
      </c>
      <c r="L618" s="69" t="str">
        <f>TEXT(ASTemp!L618,Decimals)</f>
        <v/>
      </c>
      <c r="M618" s="71" t="str">
        <f>TEXT(ASTemp!M618,Percentages)</f>
        <v/>
      </c>
      <c r="N618" s="72" t="str">
        <f>TEXT(ASTemp!N618,Percentages)</f>
        <v/>
      </c>
    </row>
    <row r="619" ht="14.25" customHeight="1">
      <c r="B619" s="66" t="str">
        <f>ASTemp!B619</f>
        <v/>
      </c>
      <c r="C619" s="67" t="str">
        <f>ASTemp!C619</f>
        <v/>
      </c>
      <c r="D619" s="68" t="str">
        <f>ASTemp!D619</f>
        <v/>
      </c>
      <c r="E619" s="65" t="str">
        <f>ASTemp!E619</f>
        <v/>
      </c>
      <c r="F619" s="69" t="str">
        <f>TEXT(ASTemp!F619,Decimals)</f>
        <v/>
      </c>
      <c r="G619" s="69" t="str">
        <f>TEXT(ASTemp!G619,Decimals)</f>
        <v/>
      </c>
      <c r="H619" s="69" t="str">
        <f>TEXT(ASTemp!H619,Decimals)</f>
        <v/>
      </c>
      <c r="I619" s="69" t="str">
        <f>TEXT(ASTemp!I619,Decimals)</f>
        <v/>
      </c>
      <c r="J619" s="69" t="str">
        <f>TEXT(ASTemp!J619,Decimals)</f>
        <v/>
      </c>
      <c r="K619" s="69" t="str">
        <f>TEXT(ASTemp!K619,Decimals)</f>
        <v/>
      </c>
      <c r="L619" s="69" t="str">
        <f>TEXT(ASTemp!L619,Decimals)</f>
        <v/>
      </c>
      <c r="M619" s="71" t="str">
        <f>TEXT(ASTemp!M619,Percentages)</f>
        <v/>
      </c>
      <c r="N619" s="72" t="str">
        <f>TEXT(ASTemp!N619,Percentages)</f>
        <v/>
      </c>
    </row>
    <row r="620" ht="14.25" customHeight="1">
      <c r="B620" s="66" t="str">
        <f>ASTemp!B620</f>
        <v/>
      </c>
      <c r="C620" s="67" t="str">
        <f>ASTemp!C620</f>
        <v/>
      </c>
      <c r="D620" s="68" t="str">
        <f>ASTemp!D620</f>
        <v/>
      </c>
      <c r="E620" s="65" t="str">
        <f>ASTemp!E620</f>
        <v/>
      </c>
      <c r="F620" s="69" t="str">
        <f>TEXT(ASTemp!F620,Decimals)</f>
        <v/>
      </c>
      <c r="G620" s="69" t="str">
        <f>TEXT(ASTemp!G620,Decimals)</f>
        <v/>
      </c>
      <c r="H620" s="69" t="str">
        <f>TEXT(ASTemp!H620,Decimals)</f>
        <v/>
      </c>
      <c r="I620" s="69" t="str">
        <f>TEXT(ASTemp!I620,Decimals)</f>
        <v/>
      </c>
      <c r="J620" s="69" t="str">
        <f>TEXT(ASTemp!J620,Decimals)</f>
        <v/>
      </c>
      <c r="K620" s="69" t="str">
        <f>TEXT(ASTemp!K620,Decimals)</f>
        <v/>
      </c>
      <c r="L620" s="69" t="str">
        <f>TEXT(ASTemp!L620,Decimals)</f>
        <v/>
      </c>
      <c r="M620" s="71" t="str">
        <f>TEXT(ASTemp!M620,Percentages)</f>
        <v/>
      </c>
      <c r="N620" s="72" t="str">
        <f>TEXT(ASTemp!N620,Percentages)</f>
        <v/>
      </c>
    </row>
    <row r="621" ht="14.25" customHeight="1">
      <c r="B621" s="66" t="str">
        <f>ASTemp!B621</f>
        <v/>
      </c>
      <c r="C621" s="67" t="str">
        <f>ASTemp!C621</f>
        <v/>
      </c>
      <c r="D621" s="68" t="str">
        <f>ASTemp!D621</f>
        <v/>
      </c>
      <c r="E621" s="65" t="str">
        <f>ASTemp!E621</f>
        <v/>
      </c>
      <c r="F621" s="69" t="str">
        <f>TEXT(ASTemp!F621,Decimals)</f>
        <v/>
      </c>
      <c r="G621" s="69" t="str">
        <f>TEXT(ASTemp!G621,Decimals)</f>
        <v/>
      </c>
      <c r="H621" s="69" t="str">
        <f>TEXT(ASTemp!H621,Decimals)</f>
        <v/>
      </c>
      <c r="I621" s="69" t="str">
        <f>TEXT(ASTemp!I621,Decimals)</f>
        <v/>
      </c>
      <c r="J621" s="69" t="str">
        <f>TEXT(ASTemp!J621,Decimals)</f>
        <v/>
      </c>
      <c r="K621" s="69" t="str">
        <f>TEXT(ASTemp!K621,Decimals)</f>
        <v/>
      </c>
      <c r="L621" s="69" t="str">
        <f>TEXT(ASTemp!L621,Decimals)</f>
        <v/>
      </c>
      <c r="M621" s="71" t="str">
        <f>TEXT(ASTemp!M621,Percentages)</f>
        <v/>
      </c>
      <c r="N621" s="72" t="str">
        <f>TEXT(ASTemp!N621,Percentages)</f>
        <v/>
      </c>
    </row>
    <row r="622" ht="14.25" customHeight="1">
      <c r="B622" s="66" t="str">
        <f>ASTemp!B622</f>
        <v/>
      </c>
      <c r="C622" s="67" t="str">
        <f>ASTemp!C622</f>
        <v/>
      </c>
      <c r="D622" s="68" t="str">
        <f>ASTemp!D622</f>
        <v/>
      </c>
      <c r="E622" s="65" t="str">
        <f>ASTemp!E622</f>
        <v/>
      </c>
      <c r="F622" s="69" t="str">
        <f>TEXT(ASTemp!F622,Decimals)</f>
        <v/>
      </c>
      <c r="G622" s="69" t="str">
        <f>TEXT(ASTemp!G622,Decimals)</f>
        <v/>
      </c>
      <c r="H622" s="69" t="str">
        <f>TEXT(ASTemp!H622,Decimals)</f>
        <v/>
      </c>
      <c r="I622" s="69" t="str">
        <f>TEXT(ASTemp!I622,Decimals)</f>
        <v/>
      </c>
      <c r="J622" s="69" t="str">
        <f>TEXT(ASTemp!J622,Decimals)</f>
        <v/>
      </c>
      <c r="K622" s="69" t="str">
        <f>TEXT(ASTemp!K622,Decimals)</f>
        <v/>
      </c>
      <c r="L622" s="69" t="str">
        <f>TEXT(ASTemp!L622,Decimals)</f>
        <v/>
      </c>
      <c r="M622" s="71" t="str">
        <f>TEXT(ASTemp!M622,Percentages)</f>
        <v/>
      </c>
      <c r="N622" s="72" t="str">
        <f>TEXT(ASTemp!N622,Percentages)</f>
        <v/>
      </c>
    </row>
    <row r="623" ht="14.25" customHeight="1">
      <c r="B623" s="66" t="str">
        <f>ASTemp!B623</f>
        <v/>
      </c>
      <c r="C623" s="67" t="str">
        <f>ASTemp!C623</f>
        <v/>
      </c>
      <c r="D623" s="68" t="str">
        <f>ASTemp!D623</f>
        <v/>
      </c>
      <c r="E623" s="65" t="str">
        <f>ASTemp!E623</f>
        <v/>
      </c>
      <c r="F623" s="69" t="str">
        <f>TEXT(ASTemp!F623,Decimals)</f>
        <v/>
      </c>
      <c r="G623" s="69" t="str">
        <f>TEXT(ASTemp!G623,Decimals)</f>
        <v/>
      </c>
      <c r="H623" s="69" t="str">
        <f>TEXT(ASTemp!H623,Decimals)</f>
        <v/>
      </c>
      <c r="I623" s="69" t="str">
        <f>TEXT(ASTemp!I623,Decimals)</f>
        <v/>
      </c>
      <c r="J623" s="69" t="str">
        <f>TEXT(ASTemp!J623,Decimals)</f>
        <v/>
      </c>
      <c r="K623" s="69" t="str">
        <f>TEXT(ASTemp!K623,Decimals)</f>
        <v/>
      </c>
      <c r="L623" s="69" t="str">
        <f>TEXT(ASTemp!L623,Decimals)</f>
        <v/>
      </c>
      <c r="M623" s="71" t="str">
        <f>TEXT(ASTemp!M623,Percentages)</f>
        <v/>
      </c>
      <c r="N623" s="72" t="str">
        <f>TEXT(ASTemp!N623,Percentages)</f>
        <v/>
      </c>
    </row>
    <row r="624" ht="14.25" customHeight="1">
      <c r="B624" s="66" t="str">
        <f>ASTemp!B624</f>
        <v/>
      </c>
      <c r="C624" s="67" t="str">
        <f>ASTemp!C624</f>
        <v/>
      </c>
      <c r="D624" s="68" t="str">
        <f>ASTemp!D624</f>
        <v/>
      </c>
      <c r="E624" s="65" t="str">
        <f>ASTemp!E624</f>
        <v/>
      </c>
      <c r="F624" s="69" t="str">
        <f>TEXT(ASTemp!F624,Decimals)</f>
        <v/>
      </c>
      <c r="G624" s="69" t="str">
        <f>TEXT(ASTemp!G624,Decimals)</f>
        <v/>
      </c>
      <c r="H624" s="69" t="str">
        <f>TEXT(ASTemp!H624,Decimals)</f>
        <v/>
      </c>
      <c r="I624" s="69" t="str">
        <f>TEXT(ASTemp!I624,Decimals)</f>
        <v/>
      </c>
      <c r="J624" s="69" t="str">
        <f>TEXT(ASTemp!J624,Decimals)</f>
        <v/>
      </c>
      <c r="K624" s="69" t="str">
        <f>TEXT(ASTemp!K624,Decimals)</f>
        <v/>
      </c>
      <c r="L624" s="69" t="str">
        <f>TEXT(ASTemp!L624,Decimals)</f>
        <v/>
      </c>
      <c r="M624" s="71" t="str">
        <f>TEXT(ASTemp!M624,Percentages)</f>
        <v/>
      </c>
      <c r="N624" s="72" t="str">
        <f>TEXT(ASTemp!N624,Percentages)</f>
        <v/>
      </c>
    </row>
    <row r="625" ht="14.25" customHeight="1">
      <c r="B625" s="66" t="str">
        <f>ASTemp!B625</f>
        <v/>
      </c>
      <c r="C625" s="67" t="str">
        <f>ASTemp!C625</f>
        <v/>
      </c>
      <c r="D625" s="68" t="str">
        <f>ASTemp!D625</f>
        <v/>
      </c>
      <c r="E625" s="65" t="str">
        <f>ASTemp!E625</f>
        <v/>
      </c>
      <c r="F625" s="69" t="str">
        <f>TEXT(ASTemp!F625,Decimals)</f>
        <v/>
      </c>
      <c r="G625" s="69" t="str">
        <f>TEXT(ASTemp!G625,Decimals)</f>
        <v/>
      </c>
      <c r="H625" s="69" t="str">
        <f>TEXT(ASTemp!H625,Decimals)</f>
        <v/>
      </c>
      <c r="I625" s="69" t="str">
        <f>TEXT(ASTemp!I625,Decimals)</f>
        <v/>
      </c>
      <c r="J625" s="69" t="str">
        <f>TEXT(ASTemp!J625,Decimals)</f>
        <v/>
      </c>
      <c r="K625" s="69" t="str">
        <f>TEXT(ASTemp!K625,Decimals)</f>
        <v/>
      </c>
      <c r="L625" s="69" t="str">
        <f>TEXT(ASTemp!L625,Decimals)</f>
        <v/>
      </c>
      <c r="M625" s="71" t="str">
        <f>TEXT(ASTemp!M625,Percentages)</f>
        <v/>
      </c>
      <c r="N625" s="72" t="str">
        <f>TEXT(ASTemp!N625,Percentages)</f>
        <v/>
      </c>
    </row>
    <row r="626" ht="14.25" customHeight="1">
      <c r="B626" s="66" t="str">
        <f>ASTemp!B626</f>
        <v/>
      </c>
      <c r="C626" s="67" t="str">
        <f>ASTemp!C626</f>
        <v/>
      </c>
      <c r="D626" s="68" t="str">
        <f>ASTemp!D626</f>
        <v/>
      </c>
      <c r="E626" s="65" t="str">
        <f>ASTemp!E626</f>
        <v/>
      </c>
      <c r="F626" s="69" t="str">
        <f>TEXT(ASTemp!F626,Decimals)</f>
        <v/>
      </c>
      <c r="G626" s="69" t="str">
        <f>TEXT(ASTemp!G626,Decimals)</f>
        <v/>
      </c>
      <c r="H626" s="69" t="str">
        <f>TEXT(ASTemp!H626,Decimals)</f>
        <v/>
      </c>
      <c r="I626" s="69" t="str">
        <f>TEXT(ASTemp!I626,Decimals)</f>
        <v/>
      </c>
      <c r="J626" s="69" t="str">
        <f>TEXT(ASTemp!J626,Decimals)</f>
        <v/>
      </c>
      <c r="K626" s="69" t="str">
        <f>TEXT(ASTemp!K626,Decimals)</f>
        <v/>
      </c>
      <c r="L626" s="69" t="str">
        <f>TEXT(ASTemp!L626,Decimals)</f>
        <v/>
      </c>
      <c r="M626" s="71" t="str">
        <f>TEXT(ASTemp!M626,Percentages)</f>
        <v/>
      </c>
      <c r="N626" s="72" t="str">
        <f>TEXT(ASTemp!N626,Percentages)</f>
        <v/>
      </c>
    </row>
    <row r="627" ht="14.25" customHeight="1">
      <c r="B627" s="66" t="str">
        <f>ASTemp!B627</f>
        <v/>
      </c>
      <c r="C627" s="67" t="str">
        <f>ASTemp!C627</f>
        <v/>
      </c>
      <c r="D627" s="68" t="str">
        <f>ASTemp!D627</f>
        <v/>
      </c>
      <c r="E627" s="65" t="str">
        <f>ASTemp!E627</f>
        <v/>
      </c>
      <c r="F627" s="69" t="str">
        <f>TEXT(ASTemp!F627,Decimals)</f>
        <v/>
      </c>
      <c r="G627" s="69" t="str">
        <f>TEXT(ASTemp!G627,Decimals)</f>
        <v/>
      </c>
      <c r="H627" s="69" t="str">
        <f>TEXT(ASTemp!H627,Decimals)</f>
        <v/>
      </c>
      <c r="I627" s="69" t="str">
        <f>TEXT(ASTemp!I627,Decimals)</f>
        <v/>
      </c>
      <c r="J627" s="69" t="str">
        <f>TEXT(ASTemp!J627,Decimals)</f>
        <v/>
      </c>
      <c r="K627" s="69" t="str">
        <f>TEXT(ASTemp!K627,Decimals)</f>
        <v/>
      </c>
      <c r="L627" s="69" t="str">
        <f>TEXT(ASTemp!L627,Decimals)</f>
        <v/>
      </c>
      <c r="M627" s="71" t="str">
        <f>TEXT(ASTemp!M627,Percentages)</f>
        <v/>
      </c>
      <c r="N627" s="72" t="str">
        <f>TEXT(ASTemp!N627,Percentages)</f>
        <v/>
      </c>
    </row>
    <row r="628" ht="14.25" customHeight="1">
      <c r="B628" s="66" t="str">
        <f>ASTemp!B628</f>
        <v/>
      </c>
      <c r="C628" s="67" t="str">
        <f>ASTemp!C628</f>
        <v/>
      </c>
      <c r="D628" s="68" t="str">
        <f>ASTemp!D628</f>
        <v/>
      </c>
      <c r="E628" s="65" t="str">
        <f>ASTemp!E628</f>
        <v/>
      </c>
      <c r="F628" s="69" t="str">
        <f>TEXT(ASTemp!F628,Decimals)</f>
        <v/>
      </c>
      <c r="G628" s="69" t="str">
        <f>TEXT(ASTemp!G628,Decimals)</f>
        <v/>
      </c>
      <c r="H628" s="69" t="str">
        <f>TEXT(ASTemp!H628,Decimals)</f>
        <v/>
      </c>
      <c r="I628" s="69" t="str">
        <f>TEXT(ASTemp!I628,Decimals)</f>
        <v/>
      </c>
      <c r="J628" s="69" t="str">
        <f>TEXT(ASTemp!J628,Decimals)</f>
        <v/>
      </c>
      <c r="K628" s="69" t="str">
        <f>TEXT(ASTemp!K628,Decimals)</f>
        <v/>
      </c>
      <c r="L628" s="69" t="str">
        <f>TEXT(ASTemp!L628,Decimals)</f>
        <v/>
      </c>
      <c r="M628" s="71" t="str">
        <f>TEXT(ASTemp!M628,Percentages)</f>
        <v/>
      </c>
      <c r="N628" s="72" t="str">
        <f>TEXT(ASTemp!N628,Percentages)</f>
        <v/>
      </c>
    </row>
    <row r="629" ht="14.25" customHeight="1">
      <c r="B629" s="66" t="str">
        <f>ASTemp!B629</f>
        <v/>
      </c>
      <c r="C629" s="67" t="str">
        <f>ASTemp!C629</f>
        <v/>
      </c>
      <c r="D629" s="68" t="str">
        <f>ASTemp!D629</f>
        <v/>
      </c>
      <c r="E629" s="65" t="str">
        <f>ASTemp!E629</f>
        <v/>
      </c>
      <c r="F629" s="69" t="str">
        <f>TEXT(ASTemp!F629,Decimals)</f>
        <v/>
      </c>
      <c r="G629" s="69" t="str">
        <f>TEXT(ASTemp!G629,Decimals)</f>
        <v/>
      </c>
      <c r="H629" s="69" t="str">
        <f>TEXT(ASTemp!H629,Decimals)</f>
        <v/>
      </c>
      <c r="I629" s="69" t="str">
        <f>TEXT(ASTemp!I629,Decimals)</f>
        <v/>
      </c>
      <c r="J629" s="69" t="str">
        <f>TEXT(ASTemp!J629,Decimals)</f>
        <v/>
      </c>
      <c r="K629" s="69" t="str">
        <f>TEXT(ASTemp!K629,Decimals)</f>
        <v/>
      </c>
      <c r="L629" s="69" t="str">
        <f>TEXT(ASTemp!L629,Decimals)</f>
        <v/>
      </c>
      <c r="M629" s="71" t="str">
        <f>TEXT(ASTemp!M629,Percentages)</f>
        <v/>
      </c>
      <c r="N629" s="72" t="str">
        <f>TEXT(ASTemp!N629,Percentages)</f>
        <v/>
      </c>
    </row>
    <row r="630" ht="14.25" customHeight="1">
      <c r="B630" s="66" t="str">
        <f>ASTemp!B630</f>
        <v/>
      </c>
      <c r="C630" s="67" t="str">
        <f>ASTemp!C630</f>
        <v/>
      </c>
      <c r="D630" s="68" t="str">
        <f>ASTemp!D630</f>
        <v/>
      </c>
      <c r="E630" s="65" t="str">
        <f>ASTemp!E630</f>
        <v/>
      </c>
      <c r="F630" s="69" t="str">
        <f>TEXT(ASTemp!F630,Decimals)</f>
        <v/>
      </c>
      <c r="G630" s="69" t="str">
        <f>TEXT(ASTemp!G630,Decimals)</f>
        <v/>
      </c>
      <c r="H630" s="69" t="str">
        <f>TEXT(ASTemp!H630,Decimals)</f>
        <v/>
      </c>
      <c r="I630" s="69" t="str">
        <f>TEXT(ASTemp!I630,Decimals)</f>
        <v/>
      </c>
      <c r="J630" s="69" t="str">
        <f>TEXT(ASTemp!J630,Decimals)</f>
        <v/>
      </c>
      <c r="K630" s="69" t="str">
        <f>TEXT(ASTemp!K630,Decimals)</f>
        <v/>
      </c>
      <c r="L630" s="69" t="str">
        <f>TEXT(ASTemp!L630,Decimals)</f>
        <v/>
      </c>
      <c r="M630" s="71" t="str">
        <f>TEXT(ASTemp!M630,Percentages)</f>
        <v/>
      </c>
      <c r="N630" s="72" t="str">
        <f>TEXT(ASTemp!N630,Percentages)</f>
        <v/>
      </c>
    </row>
    <row r="631" ht="14.25" customHeight="1">
      <c r="B631" s="66" t="str">
        <f>ASTemp!B631</f>
        <v/>
      </c>
      <c r="C631" s="67" t="str">
        <f>ASTemp!C631</f>
        <v/>
      </c>
      <c r="D631" s="68" t="str">
        <f>ASTemp!D631</f>
        <v/>
      </c>
      <c r="E631" s="65" t="str">
        <f>ASTemp!E631</f>
        <v/>
      </c>
      <c r="F631" s="69" t="str">
        <f>TEXT(ASTemp!F631,Decimals)</f>
        <v/>
      </c>
      <c r="G631" s="69" t="str">
        <f>TEXT(ASTemp!G631,Decimals)</f>
        <v/>
      </c>
      <c r="H631" s="69" t="str">
        <f>TEXT(ASTemp!H631,Decimals)</f>
        <v/>
      </c>
      <c r="I631" s="69" t="str">
        <f>TEXT(ASTemp!I631,Decimals)</f>
        <v/>
      </c>
      <c r="J631" s="69" t="str">
        <f>TEXT(ASTemp!J631,Decimals)</f>
        <v/>
      </c>
      <c r="K631" s="69" t="str">
        <f>TEXT(ASTemp!K631,Decimals)</f>
        <v/>
      </c>
      <c r="L631" s="69" t="str">
        <f>TEXT(ASTemp!L631,Decimals)</f>
        <v/>
      </c>
      <c r="M631" s="71" t="str">
        <f>TEXT(ASTemp!M631,Percentages)</f>
        <v/>
      </c>
      <c r="N631" s="72" t="str">
        <f>TEXT(ASTemp!N631,Percentages)</f>
        <v/>
      </c>
    </row>
    <row r="632" ht="14.25" customHeight="1">
      <c r="B632" s="66" t="str">
        <f>ASTemp!B632</f>
        <v/>
      </c>
      <c r="C632" s="67" t="str">
        <f>ASTemp!C632</f>
        <v/>
      </c>
      <c r="D632" s="68" t="str">
        <f>ASTemp!D632</f>
        <v/>
      </c>
      <c r="E632" s="65" t="str">
        <f>ASTemp!E632</f>
        <v/>
      </c>
      <c r="F632" s="69" t="str">
        <f>TEXT(ASTemp!F632,Decimals)</f>
        <v/>
      </c>
      <c r="G632" s="69" t="str">
        <f>TEXT(ASTemp!G632,Decimals)</f>
        <v/>
      </c>
      <c r="H632" s="69" t="str">
        <f>TEXT(ASTemp!H632,Decimals)</f>
        <v/>
      </c>
      <c r="I632" s="69" t="str">
        <f>TEXT(ASTemp!I632,Decimals)</f>
        <v/>
      </c>
      <c r="J632" s="69" t="str">
        <f>TEXT(ASTemp!J632,Decimals)</f>
        <v/>
      </c>
      <c r="K632" s="69" t="str">
        <f>TEXT(ASTemp!K632,Decimals)</f>
        <v/>
      </c>
      <c r="L632" s="69" t="str">
        <f>TEXT(ASTemp!L632,Decimals)</f>
        <v/>
      </c>
      <c r="M632" s="71" t="str">
        <f>TEXT(ASTemp!M632,Percentages)</f>
        <v/>
      </c>
      <c r="N632" s="72" t="str">
        <f>TEXT(ASTemp!N632,Percentages)</f>
        <v/>
      </c>
    </row>
    <row r="633" ht="14.25" customHeight="1">
      <c r="B633" s="66" t="str">
        <f>ASTemp!B633</f>
        <v/>
      </c>
      <c r="C633" s="67" t="str">
        <f>ASTemp!C633</f>
        <v/>
      </c>
      <c r="D633" s="68" t="str">
        <f>ASTemp!D633</f>
        <v/>
      </c>
      <c r="E633" s="65" t="str">
        <f>ASTemp!E633</f>
        <v/>
      </c>
      <c r="F633" s="69" t="str">
        <f>TEXT(ASTemp!F633,Decimals)</f>
        <v/>
      </c>
      <c r="G633" s="69" t="str">
        <f>TEXT(ASTemp!G633,Decimals)</f>
        <v/>
      </c>
      <c r="H633" s="69" t="str">
        <f>TEXT(ASTemp!H633,Decimals)</f>
        <v/>
      </c>
      <c r="I633" s="69" t="str">
        <f>TEXT(ASTemp!I633,Decimals)</f>
        <v/>
      </c>
      <c r="J633" s="69" t="str">
        <f>TEXT(ASTemp!J633,Decimals)</f>
        <v/>
      </c>
      <c r="K633" s="69" t="str">
        <f>TEXT(ASTemp!K633,Decimals)</f>
        <v/>
      </c>
      <c r="L633" s="69" t="str">
        <f>TEXT(ASTemp!L633,Decimals)</f>
        <v/>
      </c>
      <c r="M633" s="71" t="str">
        <f>TEXT(ASTemp!M633,Percentages)</f>
        <v/>
      </c>
      <c r="N633" s="72" t="str">
        <f>TEXT(ASTemp!N633,Percentages)</f>
        <v/>
      </c>
    </row>
    <row r="634" ht="14.25" customHeight="1">
      <c r="B634" s="66" t="str">
        <f>ASTemp!B634</f>
        <v/>
      </c>
      <c r="C634" s="67" t="str">
        <f>ASTemp!C634</f>
        <v/>
      </c>
      <c r="D634" s="68" t="str">
        <f>ASTemp!D634</f>
        <v/>
      </c>
      <c r="E634" s="65" t="str">
        <f>ASTemp!E634</f>
        <v/>
      </c>
      <c r="F634" s="69" t="str">
        <f>TEXT(ASTemp!F634,Decimals)</f>
        <v/>
      </c>
      <c r="G634" s="69" t="str">
        <f>TEXT(ASTemp!G634,Decimals)</f>
        <v/>
      </c>
      <c r="H634" s="69" t="str">
        <f>TEXT(ASTemp!H634,Decimals)</f>
        <v/>
      </c>
      <c r="I634" s="69" t="str">
        <f>TEXT(ASTemp!I634,Decimals)</f>
        <v/>
      </c>
      <c r="J634" s="69" t="str">
        <f>TEXT(ASTemp!J634,Decimals)</f>
        <v/>
      </c>
      <c r="K634" s="69" t="str">
        <f>TEXT(ASTemp!K634,Decimals)</f>
        <v/>
      </c>
      <c r="L634" s="69" t="str">
        <f>TEXT(ASTemp!L634,Decimals)</f>
        <v/>
      </c>
      <c r="M634" s="71" t="str">
        <f>TEXT(ASTemp!M634,Percentages)</f>
        <v/>
      </c>
      <c r="N634" s="72" t="str">
        <f>TEXT(ASTemp!N634,Percentages)</f>
        <v/>
      </c>
    </row>
    <row r="635" ht="14.25" customHeight="1">
      <c r="B635" s="66" t="str">
        <f>ASTemp!B635</f>
        <v/>
      </c>
      <c r="C635" s="67" t="str">
        <f>ASTemp!C635</f>
        <v/>
      </c>
      <c r="D635" s="68" t="str">
        <f>ASTemp!D635</f>
        <v/>
      </c>
      <c r="E635" s="65" t="str">
        <f>ASTemp!E635</f>
        <v/>
      </c>
      <c r="F635" s="69" t="str">
        <f>TEXT(ASTemp!F635,Decimals)</f>
        <v/>
      </c>
      <c r="G635" s="69" t="str">
        <f>TEXT(ASTemp!G635,Decimals)</f>
        <v/>
      </c>
      <c r="H635" s="69" t="str">
        <f>TEXT(ASTemp!H635,Decimals)</f>
        <v/>
      </c>
      <c r="I635" s="69" t="str">
        <f>TEXT(ASTemp!I635,Decimals)</f>
        <v/>
      </c>
      <c r="J635" s="69" t="str">
        <f>TEXT(ASTemp!J635,Decimals)</f>
        <v/>
      </c>
      <c r="K635" s="69" t="str">
        <f>TEXT(ASTemp!K635,Decimals)</f>
        <v/>
      </c>
      <c r="L635" s="69" t="str">
        <f>TEXT(ASTemp!L635,Decimals)</f>
        <v/>
      </c>
      <c r="M635" s="71" t="str">
        <f>TEXT(ASTemp!M635,Percentages)</f>
        <v/>
      </c>
      <c r="N635" s="72" t="str">
        <f>TEXT(ASTemp!N635,Percentages)</f>
        <v/>
      </c>
    </row>
    <row r="636" ht="14.25" customHeight="1">
      <c r="B636" s="66" t="str">
        <f>ASTemp!B636</f>
        <v/>
      </c>
      <c r="C636" s="67" t="str">
        <f>ASTemp!C636</f>
        <v/>
      </c>
      <c r="D636" s="68" t="str">
        <f>ASTemp!D636</f>
        <v/>
      </c>
      <c r="E636" s="65" t="str">
        <f>ASTemp!E636</f>
        <v/>
      </c>
      <c r="F636" s="69" t="str">
        <f>TEXT(ASTemp!F636,Decimals)</f>
        <v/>
      </c>
      <c r="G636" s="69" t="str">
        <f>TEXT(ASTemp!G636,Decimals)</f>
        <v/>
      </c>
      <c r="H636" s="69" t="str">
        <f>TEXT(ASTemp!H636,Decimals)</f>
        <v/>
      </c>
      <c r="I636" s="69" t="str">
        <f>TEXT(ASTemp!I636,Decimals)</f>
        <v/>
      </c>
      <c r="J636" s="69" t="str">
        <f>TEXT(ASTemp!J636,Decimals)</f>
        <v/>
      </c>
      <c r="K636" s="69" t="str">
        <f>TEXT(ASTemp!K636,Decimals)</f>
        <v/>
      </c>
      <c r="L636" s="69" t="str">
        <f>TEXT(ASTemp!L636,Decimals)</f>
        <v/>
      </c>
      <c r="M636" s="71" t="str">
        <f>TEXT(ASTemp!M636,Percentages)</f>
        <v/>
      </c>
      <c r="N636" s="72" t="str">
        <f>TEXT(ASTemp!N636,Percentages)</f>
        <v/>
      </c>
    </row>
    <row r="637" ht="14.25" customHeight="1">
      <c r="B637" s="66" t="str">
        <f>ASTemp!B637</f>
        <v/>
      </c>
      <c r="C637" s="67" t="str">
        <f>ASTemp!C637</f>
        <v/>
      </c>
      <c r="D637" s="68" t="str">
        <f>ASTemp!D637</f>
        <v/>
      </c>
      <c r="E637" s="65" t="str">
        <f>ASTemp!E637</f>
        <v/>
      </c>
      <c r="F637" s="69" t="str">
        <f>TEXT(ASTemp!F637,Decimals)</f>
        <v/>
      </c>
      <c r="G637" s="69" t="str">
        <f>TEXT(ASTemp!G637,Decimals)</f>
        <v/>
      </c>
      <c r="H637" s="69" t="str">
        <f>TEXT(ASTemp!H637,Decimals)</f>
        <v/>
      </c>
      <c r="I637" s="69" t="str">
        <f>TEXT(ASTemp!I637,Decimals)</f>
        <v/>
      </c>
      <c r="J637" s="69" t="str">
        <f>TEXT(ASTemp!J637,Decimals)</f>
        <v/>
      </c>
      <c r="K637" s="69" t="str">
        <f>TEXT(ASTemp!K637,Decimals)</f>
        <v/>
      </c>
      <c r="L637" s="69" t="str">
        <f>TEXT(ASTemp!L637,Decimals)</f>
        <v/>
      </c>
      <c r="M637" s="71" t="str">
        <f>TEXT(ASTemp!M637,Percentages)</f>
        <v/>
      </c>
      <c r="N637" s="72" t="str">
        <f>TEXT(ASTemp!N637,Percentages)</f>
        <v/>
      </c>
    </row>
    <row r="638" ht="14.25" customHeight="1">
      <c r="B638" s="66" t="str">
        <f>ASTemp!B638</f>
        <v/>
      </c>
      <c r="C638" s="67" t="str">
        <f>ASTemp!C638</f>
        <v/>
      </c>
      <c r="D638" s="68" t="str">
        <f>ASTemp!D638</f>
        <v/>
      </c>
      <c r="E638" s="65" t="str">
        <f>ASTemp!E638</f>
        <v/>
      </c>
      <c r="F638" s="69" t="str">
        <f>TEXT(ASTemp!F638,Decimals)</f>
        <v/>
      </c>
      <c r="G638" s="69" t="str">
        <f>TEXT(ASTemp!G638,Decimals)</f>
        <v/>
      </c>
      <c r="H638" s="69" t="str">
        <f>TEXT(ASTemp!H638,Decimals)</f>
        <v/>
      </c>
      <c r="I638" s="69" t="str">
        <f>TEXT(ASTemp!I638,Decimals)</f>
        <v/>
      </c>
      <c r="J638" s="69" t="str">
        <f>TEXT(ASTemp!J638,Decimals)</f>
        <v/>
      </c>
      <c r="K638" s="69" t="str">
        <f>TEXT(ASTemp!K638,Decimals)</f>
        <v/>
      </c>
      <c r="L638" s="69" t="str">
        <f>TEXT(ASTemp!L638,Decimals)</f>
        <v/>
      </c>
      <c r="M638" s="71" t="str">
        <f>TEXT(ASTemp!M638,Percentages)</f>
        <v/>
      </c>
      <c r="N638" s="72" t="str">
        <f>TEXT(ASTemp!N638,Percentages)</f>
        <v/>
      </c>
    </row>
    <row r="639" ht="14.25" customHeight="1">
      <c r="B639" s="66" t="str">
        <f>ASTemp!B639</f>
        <v/>
      </c>
      <c r="C639" s="67" t="str">
        <f>ASTemp!C639</f>
        <v/>
      </c>
      <c r="D639" s="68" t="str">
        <f>ASTemp!D639</f>
        <v/>
      </c>
      <c r="E639" s="65" t="str">
        <f>ASTemp!E639</f>
        <v/>
      </c>
      <c r="F639" s="69" t="str">
        <f>TEXT(ASTemp!F639,Decimals)</f>
        <v/>
      </c>
      <c r="G639" s="69" t="str">
        <f>TEXT(ASTemp!G639,Decimals)</f>
        <v/>
      </c>
      <c r="H639" s="69" t="str">
        <f>TEXT(ASTemp!H639,Decimals)</f>
        <v/>
      </c>
      <c r="I639" s="69" t="str">
        <f>TEXT(ASTemp!I639,Decimals)</f>
        <v/>
      </c>
      <c r="J639" s="69" t="str">
        <f>TEXT(ASTemp!J639,Decimals)</f>
        <v/>
      </c>
      <c r="K639" s="69" t="str">
        <f>TEXT(ASTemp!K639,Decimals)</f>
        <v/>
      </c>
      <c r="L639" s="69" t="str">
        <f>TEXT(ASTemp!L639,Decimals)</f>
        <v/>
      </c>
      <c r="M639" s="71" t="str">
        <f>TEXT(ASTemp!M639,Percentages)</f>
        <v/>
      </c>
      <c r="N639" s="72" t="str">
        <f>TEXT(ASTemp!N639,Percentages)</f>
        <v/>
      </c>
    </row>
    <row r="640" ht="14.25" customHeight="1">
      <c r="B640" s="66" t="str">
        <f>ASTemp!B640</f>
        <v/>
      </c>
      <c r="C640" s="67" t="str">
        <f>ASTemp!C640</f>
        <v/>
      </c>
      <c r="D640" s="68" t="str">
        <f>ASTemp!D640</f>
        <v/>
      </c>
      <c r="E640" s="65" t="str">
        <f>ASTemp!E640</f>
        <v/>
      </c>
      <c r="F640" s="69" t="str">
        <f>TEXT(ASTemp!F640,Decimals)</f>
        <v/>
      </c>
      <c r="G640" s="69" t="str">
        <f>TEXT(ASTemp!G640,Decimals)</f>
        <v/>
      </c>
      <c r="H640" s="69" t="str">
        <f>TEXT(ASTemp!H640,Decimals)</f>
        <v/>
      </c>
      <c r="I640" s="69" t="str">
        <f>TEXT(ASTemp!I640,Decimals)</f>
        <v/>
      </c>
      <c r="J640" s="69" t="str">
        <f>TEXT(ASTemp!J640,Decimals)</f>
        <v/>
      </c>
      <c r="K640" s="69" t="str">
        <f>TEXT(ASTemp!K640,Decimals)</f>
        <v/>
      </c>
      <c r="L640" s="69" t="str">
        <f>TEXT(ASTemp!L640,Decimals)</f>
        <v/>
      </c>
      <c r="M640" s="71" t="str">
        <f>TEXT(ASTemp!M640,Percentages)</f>
        <v/>
      </c>
      <c r="N640" s="72" t="str">
        <f>TEXT(ASTemp!N640,Percentages)</f>
        <v/>
      </c>
    </row>
    <row r="641" ht="14.25" customHeight="1">
      <c r="B641" s="66" t="str">
        <f>ASTemp!B641</f>
        <v/>
      </c>
      <c r="C641" s="67" t="str">
        <f>ASTemp!C641</f>
        <v/>
      </c>
      <c r="D641" s="68" t="str">
        <f>ASTemp!D641</f>
        <v/>
      </c>
      <c r="E641" s="65" t="str">
        <f>ASTemp!E641</f>
        <v/>
      </c>
      <c r="F641" s="69" t="str">
        <f>TEXT(ASTemp!F641,Decimals)</f>
        <v/>
      </c>
      <c r="G641" s="69" t="str">
        <f>TEXT(ASTemp!G641,Decimals)</f>
        <v/>
      </c>
      <c r="H641" s="69" t="str">
        <f>TEXT(ASTemp!H641,Decimals)</f>
        <v/>
      </c>
      <c r="I641" s="69" t="str">
        <f>TEXT(ASTemp!I641,Decimals)</f>
        <v/>
      </c>
      <c r="J641" s="69" t="str">
        <f>TEXT(ASTemp!J641,Decimals)</f>
        <v/>
      </c>
      <c r="K641" s="69" t="str">
        <f>TEXT(ASTemp!K641,Decimals)</f>
        <v/>
      </c>
      <c r="L641" s="69" t="str">
        <f>TEXT(ASTemp!L641,Decimals)</f>
        <v/>
      </c>
      <c r="M641" s="71" t="str">
        <f>TEXT(ASTemp!M641,Percentages)</f>
        <v/>
      </c>
      <c r="N641" s="72" t="str">
        <f>TEXT(ASTemp!N641,Percentages)</f>
        <v/>
      </c>
    </row>
    <row r="642" ht="14.25" customHeight="1">
      <c r="B642" s="66" t="str">
        <f>ASTemp!B642</f>
        <v/>
      </c>
      <c r="C642" s="67" t="str">
        <f>ASTemp!C642</f>
        <v/>
      </c>
      <c r="D642" s="68" t="str">
        <f>ASTemp!D642</f>
        <v/>
      </c>
      <c r="E642" s="65" t="str">
        <f>ASTemp!E642</f>
        <v/>
      </c>
      <c r="F642" s="69" t="str">
        <f>TEXT(ASTemp!F642,Decimals)</f>
        <v/>
      </c>
      <c r="G642" s="69" t="str">
        <f>TEXT(ASTemp!G642,Decimals)</f>
        <v/>
      </c>
      <c r="H642" s="69" t="str">
        <f>TEXT(ASTemp!H642,Decimals)</f>
        <v/>
      </c>
      <c r="I642" s="69" t="str">
        <f>TEXT(ASTemp!I642,Decimals)</f>
        <v/>
      </c>
      <c r="J642" s="69" t="str">
        <f>TEXT(ASTemp!J642,Decimals)</f>
        <v/>
      </c>
      <c r="K642" s="69" t="str">
        <f>TEXT(ASTemp!K642,Decimals)</f>
        <v/>
      </c>
      <c r="L642" s="69" t="str">
        <f>TEXT(ASTemp!L642,Decimals)</f>
        <v/>
      </c>
      <c r="M642" s="71" t="str">
        <f>TEXT(ASTemp!M642,Percentages)</f>
        <v/>
      </c>
      <c r="N642" s="72" t="str">
        <f>TEXT(ASTemp!N642,Percentages)</f>
        <v/>
      </c>
    </row>
    <row r="643" ht="14.25" customHeight="1">
      <c r="B643" s="66" t="str">
        <f>ASTemp!B643</f>
        <v/>
      </c>
      <c r="C643" s="67" t="str">
        <f>ASTemp!C643</f>
        <v/>
      </c>
      <c r="D643" s="68" t="str">
        <f>ASTemp!D643</f>
        <v/>
      </c>
      <c r="E643" s="65" t="str">
        <f>ASTemp!E643</f>
        <v/>
      </c>
      <c r="F643" s="69" t="str">
        <f>TEXT(ASTemp!F643,Decimals)</f>
        <v/>
      </c>
      <c r="G643" s="69" t="str">
        <f>TEXT(ASTemp!G643,Decimals)</f>
        <v/>
      </c>
      <c r="H643" s="69" t="str">
        <f>TEXT(ASTemp!H643,Decimals)</f>
        <v/>
      </c>
      <c r="I643" s="69" t="str">
        <f>TEXT(ASTemp!I643,Decimals)</f>
        <v/>
      </c>
      <c r="J643" s="69" t="str">
        <f>TEXT(ASTemp!J643,Decimals)</f>
        <v/>
      </c>
      <c r="K643" s="69" t="str">
        <f>TEXT(ASTemp!K643,Decimals)</f>
        <v/>
      </c>
      <c r="L643" s="69" t="str">
        <f>TEXT(ASTemp!L643,Decimals)</f>
        <v/>
      </c>
      <c r="M643" s="71" t="str">
        <f>TEXT(ASTemp!M643,Percentages)</f>
        <v/>
      </c>
      <c r="N643" s="72" t="str">
        <f>TEXT(ASTemp!N643,Percentages)</f>
        <v/>
      </c>
    </row>
    <row r="644" ht="14.25" customHeight="1">
      <c r="B644" s="66" t="str">
        <f>ASTemp!B644</f>
        <v/>
      </c>
      <c r="C644" s="67" t="str">
        <f>ASTemp!C644</f>
        <v/>
      </c>
      <c r="D644" s="68" t="str">
        <f>ASTemp!D644</f>
        <v/>
      </c>
      <c r="E644" s="65" t="str">
        <f>ASTemp!E644</f>
        <v/>
      </c>
      <c r="F644" s="69" t="str">
        <f>TEXT(ASTemp!F644,Decimals)</f>
        <v/>
      </c>
      <c r="G644" s="69" t="str">
        <f>TEXT(ASTemp!G644,Decimals)</f>
        <v/>
      </c>
      <c r="H644" s="69" t="str">
        <f>TEXT(ASTemp!H644,Decimals)</f>
        <v/>
      </c>
      <c r="I644" s="69" t="str">
        <f>TEXT(ASTemp!I644,Decimals)</f>
        <v/>
      </c>
      <c r="J644" s="69" t="str">
        <f>TEXT(ASTemp!J644,Decimals)</f>
        <v/>
      </c>
      <c r="K644" s="69" t="str">
        <f>TEXT(ASTemp!K644,Decimals)</f>
        <v/>
      </c>
      <c r="L644" s="69" t="str">
        <f>TEXT(ASTemp!L644,Decimals)</f>
        <v/>
      </c>
      <c r="M644" s="71" t="str">
        <f>TEXT(ASTemp!M644,Percentages)</f>
        <v/>
      </c>
      <c r="N644" s="72" t="str">
        <f>TEXT(ASTemp!N644,Percentages)</f>
        <v/>
      </c>
    </row>
    <row r="645" ht="14.25" customHeight="1">
      <c r="B645" s="66" t="str">
        <f>ASTemp!B645</f>
        <v/>
      </c>
      <c r="C645" s="67" t="str">
        <f>ASTemp!C645</f>
        <v/>
      </c>
      <c r="D645" s="68" t="str">
        <f>ASTemp!D645</f>
        <v/>
      </c>
      <c r="E645" s="65" t="str">
        <f>ASTemp!E645</f>
        <v/>
      </c>
      <c r="F645" s="69" t="str">
        <f>TEXT(ASTemp!F645,Decimals)</f>
        <v/>
      </c>
      <c r="G645" s="69" t="str">
        <f>TEXT(ASTemp!G645,Decimals)</f>
        <v/>
      </c>
      <c r="H645" s="69" t="str">
        <f>TEXT(ASTemp!H645,Decimals)</f>
        <v/>
      </c>
      <c r="I645" s="69" t="str">
        <f>TEXT(ASTemp!I645,Decimals)</f>
        <v/>
      </c>
      <c r="J645" s="69" t="str">
        <f>TEXT(ASTemp!J645,Decimals)</f>
        <v/>
      </c>
      <c r="K645" s="69" t="str">
        <f>TEXT(ASTemp!K645,Decimals)</f>
        <v/>
      </c>
      <c r="L645" s="69" t="str">
        <f>TEXT(ASTemp!L645,Decimals)</f>
        <v/>
      </c>
      <c r="M645" s="71" t="str">
        <f>TEXT(ASTemp!M645,Percentages)</f>
        <v/>
      </c>
      <c r="N645" s="72" t="str">
        <f>TEXT(ASTemp!N645,Percentages)</f>
        <v/>
      </c>
    </row>
    <row r="646" ht="14.25" customHeight="1">
      <c r="B646" s="66" t="str">
        <f>ASTemp!B646</f>
        <v/>
      </c>
      <c r="C646" s="67" t="str">
        <f>ASTemp!C646</f>
        <v/>
      </c>
      <c r="D646" s="68" t="str">
        <f>ASTemp!D646</f>
        <v/>
      </c>
      <c r="E646" s="65" t="str">
        <f>ASTemp!E646</f>
        <v/>
      </c>
      <c r="F646" s="69" t="str">
        <f>TEXT(ASTemp!F646,Decimals)</f>
        <v/>
      </c>
      <c r="G646" s="69" t="str">
        <f>TEXT(ASTemp!G646,Decimals)</f>
        <v/>
      </c>
      <c r="H646" s="69" t="str">
        <f>TEXT(ASTemp!H646,Decimals)</f>
        <v/>
      </c>
      <c r="I646" s="69" t="str">
        <f>TEXT(ASTemp!I646,Decimals)</f>
        <v/>
      </c>
      <c r="J646" s="69" t="str">
        <f>TEXT(ASTemp!J646,Decimals)</f>
        <v/>
      </c>
      <c r="K646" s="69" t="str">
        <f>TEXT(ASTemp!K646,Decimals)</f>
        <v/>
      </c>
      <c r="L646" s="69" t="str">
        <f>TEXT(ASTemp!L646,Decimals)</f>
        <v/>
      </c>
      <c r="M646" s="71" t="str">
        <f>TEXT(ASTemp!M646,Percentages)</f>
        <v/>
      </c>
      <c r="N646" s="72" t="str">
        <f>TEXT(ASTemp!N646,Percentages)</f>
        <v/>
      </c>
    </row>
    <row r="647" ht="14.25" customHeight="1">
      <c r="B647" s="66" t="str">
        <f>ASTemp!B647</f>
        <v/>
      </c>
      <c r="C647" s="67" t="str">
        <f>ASTemp!C647</f>
        <v/>
      </c>
      <c r="D647" s="68" t="str">
        <f>ASTemp!D647</f>
        <v/>
      </c>
      <c r="E647" s="65" t="str">
        <f>ASTemp!E647</f>
        <v/>
      </c>
      <c r="F647" s="69" t="str">
        <f>TEXT(ASTemp!F647,Decimals)</f>
        <v/>
      </c>
      <c r="G647" s="69" t="str">
        <f>TEXT(ASTemp!G647,Decimals)</f>
        <v/>
      </c>
      <c r="H647" s="69" t="str">
        <f>TEXT(ASTemp!H647,Decimals)</f>
        <v/>
      </c>
      <c r="I647" s="69" t="str">
        <f>TEXT(ASTemp!I647,Decimals)</f>
        <v/>
      </c>
      <c r="J647" s="69" t="str">
        <f>TEXT(ASTemp!J647,Decimals)</f>
        <v/>
      </c>
      <c r="K647" s="69" t="str">
        <f>TEXT(ASTemp!K647,Decimals)</f>
        <v/>
      </c>
      <c r="L647" s="69" t="str">
        <f>TEXT(ASTemp!L647,Decimals)</f>
        <v/>
      </c>
      <c r="M647" s="71" t="str">
        <f>TEXT(ASTemp!M647,Percentages)</f>
        <v/>
      </c>
      <c r="N647" s="72" t="str">
        <f>TEXT(ASTemp!N647,Percentages)</f>
        <v/>
      </c>
    </row>
    <row r="648" ht="14.25" customHeight="1">
      <c r="B648" s="66" t="str">
        <f>ASTemp!B648</f>
        <v/>
      </c>
      <c r="C648" s="67" t="str">
        <f>ASTemp!C648</f>
        <v/>
      </c>
      <c r="D648" s="68" t="str">
        <f>ASTemp!D648</f>
        <v/>
      </c>
      <c r="E648" s="65" t="str">
        <f>ASTemp!E648</f>
        <v/>
      </c>
      <c r="F648" s="69" t="str">
        <f>TEXT(ASTemp!F648,Decimals)</f>
        <v/>
      </c>
      <c r="G648" s="69" t="str">
        <f>TEXT(ASTemp!G648,Decimals)</f>
        <v/>
      </c>
      <c r="H648" s="69" t="str">
        <f>TEXT(ASTemp!H648,Decimals)</f>
        <v/>
      </c>
      <c r="I648" s="69" t="str">
        <f>TEXT(ASTemp!I648,Decimals)</f>
        <v/>
      </c>
      <c r="J648" s="69" t="str">
        <f>TEXT(ASTemp!J648,Decimals)</f>
        <v/>
      </c>
      <c r="K648" s="69" t="str">
        <f>TEXT(ASTemp!K648,Decimals)</f>
        <v/>
      </c>
      <c r="L648" s="69" t="str">
        <f>TEXT(ASTemp!L648,Decimals)</f>
        <v/>
      </c>
      <c r="M648" s="71" t="str">
        <f>TEXT(ASTemp!M648,Percentages)</f>
        <v/>
      </c>
      <c r="N648" s="72" t="str">
        <f>TEXT(ASTemp!N648,Percentages)</f>
        <v/>
      </c>
    </row>
    <row r="649" ht="14.25" customHeight="1">
      <c r="B649" s="66" t="str">
        <f>ASTemp!B649</f>
        <v/>
      </c>
      <c r="C649" s="67" t="str">
        <f>ASTemp!C649</f>
        <v/>
      </c>
      <c r="D649" s="68" t="str">
        <f>ASTemp!D649</f>
        <v/>
      </c>
      <c r="E649" s="65" t="str">
        <f>ASTemp!E649</f>
        <v/>
      </c>
      <c r="F649" s="69" t="str">
        <f>TEXT(ASTemp!F649,Decimals)</f>
        <v/>
      </c>
      <c r="G649" s="69" t="str">
        <f>TEXT(ASTemp!G649,Decimals)</f>
        <v/>
      </c>
      <c r="H649" s="69" t="str">
        <f>TEXT(ASTemp!H649,Decimals)</f>
        <v/>
      </c>
      <c r="I649" s="69" t="str">
        <f>TEXT(ASTemp!I649,Decimals)</f>
        <v/>
      </c>
      <c r="J649" s="69" t="str">
        <f>TEXT(ASTemp!J649,Decimals)</f>
        <v/>
      </c>
      <c r="K649" s="69" t="str">
        <f>TEXT(ASTemp!K649,Decimals)</f>
        <v/>
      </c>
      <c r="L649" s="69" t="str">
        <f>TEXT(ASTemp!L649,Decimals)</f>
        <v/>
      </c>
      <c r="M649" s="71" t="str">
        <f>TEXT(ASTemp!M649,Percentages)</f>
        <v/>
      </c>
      <c r="N649" s="72" t="str">
        <f>TEXT(ASTemp!N649,Percentages)</f>
        <v/>
      </c>
    </row>
    <row r="650" ht="14.25" customHeight="1">
      <c r="B650" s="66" t="str">
        <f>ASTemp!B650</f>
        <v/>
      </c>
      <c r="C650" s="67" t="str">
        <f>ASTemp!C650</f>
        <v/>
      </c>
      <c r="D650" s="68" t="str">
        <f>ASTemp!D650</f>
        <v/>
      </c>
      <c r="E650" s="65" t="str">
        <f>ASTemp!E650</f>
        <v/>
      </c>
      <c r="F650" s="69" t="str">
        <f>TEXT(ASTemp!F650,Decimals)</f>
        <v/>
      </c>
      <c r="G650" s="69" t="str">
        <f>TEXT(ASTemp!G650,Decimals)</f>
        <v/>
      </c>
      <c r="H650" s="69" t="str">
        <f>TEXT(ASTemp!H650,Decimals)</f>
        <v/>
      </c>
      <c r="I650" s="69" t="str">
        <f>TEXT(ASTemp!I650,Decimals)</f>
        <v/>
      </c>
      <c r="J650" s="69" t="str">
        <f>TEXT(ASTemp!J650,Decimals)</f>
        <v/>
      </c>
      <c r="K650" s="69" t="str">
        <f>TEXT(ASTemp!K650,Decimals)</f>
        <v/>
      </c>
      <c r="L650" s="69" t="str">
        <f>TEXT(ASTemp!L650,Decimals)</f>
        <v/>
      </c>
      <c r="M650" s="71" t="str">
        <f>TEXT(ASTemp!M650,Percentages)</f>
        <v/>
      </c>
      <c r="N650" s="72" t="str">
        <f>TEXT(ASTemp!N650,Percentages)</f>
        <v/>
      </c>
    </row>
    <row r="651" ht="14.25" customHeight="1">
      <c r="B651" s="66" t="str">
        <f>ASTemp!B651</f>
        <v/>
      </c>
      <c r="C651" s="67" t="str">
        <f>ASTemp!C651</f>
        <v/>
      </c>
      <c r="D651" s="68" t="str">
        <f>ASTemp!D651</f>
        <v/>
      </c>
      <c r="E651" s="65" t="str">
        <f>ASTemp!E651</f>
        <v/>
      </c>
      <c r="F651" s="69" t="str">
        <f>TEXT(ASTemp!F651,Decimals)</f>
        <v/>
      </c>
      <c r="G651" s="69" t="str">
        <f>TEXT(ASTemp!G651,Decimals)</f>
        <v/>
      </c>
      <c r="H651" s="69" t="str">
        <f>TEXT(ASTemp!H651,Decimals)</f>
        <v/>
      </c>
      <c r="I651" s="69" t="str">
        <f>TEXT(ASTemp!I651,Decimals)</f>
        <v/>
      </c>
      <c r="J651" s="69" t="str">
        <f>TEXT(ASTemp!J651,Decimals)</f>
        <v/>
      </c>
      <c r="K651" s="69" t="str">
        <f>TEXT(ASTemp!K651,Decimals)</f>
        <v/>
      </c>
      <c r="L651" s="69" t="str">
        <f>TEXT(ASTemp!L651,Decimals)</f>
        <v/>
      </c>
      <c r="M651" s="71" t="str">
        <f>TEXT(ASTemp!M651,Percentages)</f>
        <v/>
      </c>
      <c r="N651" s="72" t="str">
        <f>TEXT(ASTemp!N651,Percentages)</f>
        <v/>
      </c>
    </row>
    <row r="652" ht="14.25" customHeight="1">
      <c r="B652" s="66" t="str">
        <f>ASTemp!B652</f>
        <v/>
      </c>
      <c r="C652" s="67" t="str">
        <f>ASTemp!C652</f>
        <v/>
      </c>
      <c r="D652" s="68" t="str">
        <f>ASTemp!D652</f>
        <v/>
      </c>
      <c r="E652" s="65" t="str">
        <f>ASTemp!E652</f>
        <v/>
      </c>
      <c r="F652" s="69" t="str">
        <f>TEXT(ASTemp!F652,Decimals)</f>
        <v/>
      </c>
      <c r="G652" s="69" t="str">
        <f>TEXT(ASTemp!G652,Decimals)</f>
        <v/>
      </c>
      <c r="H652" s="69" t="str">
        <f>TEXT(ASTemp!H652,Decimals)</f>
        <v/>
      </c>
      <c r="I652" s="69" t="str">
        <f>TEXT(ASTemp!I652,Decimals)</f>
        <v/>
      </c>
      <c r="J652" s="69" t="str">
        <f>TEXT(ASTemp!J652,Decimals)</f>
        <v/>
      </c>
      <c r="K652" s="69" t="str">
        <f>TEXT(ASTemp!K652,Decimals)</f>
        <v/>
      </c>
      <c r="L652" s="69" t="str">
        <f>TEXT(ASTemp!L652,Decimals)</f>
        <v/>
      </c>
      <c r="M652" s="71" t="str">
        <f>TEXT(ASTemp!M652,Percentages)</f>
        <v/>
      </c>
      <c r="N652" s="72" t="str">
        <f>TEXT(ASTemp!N652,Percentages)</f>
        <v/>
      </c>
    </row>
    <row r="653" ht="14.25" customHeight="1">
      <c r="B653" s="66" t="str">
        <f>ASTemp!B653</f>
        <v/>
      </c>
      <c r="C653" s="67" t="str">
        <f>ASTemp!C653</f>
        <v/>
      </c>
      <c r="D653" s="68" t="str">
        <f>ASTemp!D653</f>
        <v/>
      </c>
      <c r="E653" s="65" t="str">
        <f>ASTemp!E653</f>
        <v/>
      </c>
      <c r="F653" s="69" t="str">
        <f>TEXT(ASTemp!F653,Decimals)</f>
        <v/>
      </c>
      <c r="G653" s="69" t="str">
        <f>TEXT(ASTemp!G653,Decimals)</f>
        <v/>
      </c>
      <c r="H653" s="69" t="str">
        <f>TEXT(ASTemp!H653,Decimals)</f>
        <v/>
      </c>
      <c r="I653" s="69" t="str">
        <f>TEXT(ASTemp!I653,Decimals)</f>
        <v/>
      </c>
      <c r="J653" s="69" t="str">
        <f>TEXT(ASTemp!J653,Decimals)</f>
        <v/>
      </c>
      <c r="K653" s="69" t="str">
        <f>TEXT(ASTemp!K653,Decimals)</f>
        <v/>
      </c>
      <c r="L653" s="69" t="str">
        <f>TEXT(ASTemp!L653,Decimals)</f>
        <v/>
      </c>
      <c r="M653" s="71" t="str">
        <f>TEXT(ASTemp!M653,Percentages)</f>
        <v/>
      </c>
      <c r="N653" s="72" t="str">
        <f>TEXT(ASTemp!N653,Percentages)</f>
        <v/>
      </c>
    </row>
    <row r="654" ht="14.25" customHeight="1">
      <c r="B654" s="66" t="str">
        <f>ASTemp!B654</f>
        <v/>
      </c>
      <c r="C654" s="67" t="str">
        <f>ASTemp!C654</f>
        <v/>
      </c>
      <c r="D654" s="68" t="str">
        <f>ASTemp!D654</f>
        <v/>
      </c>
      <c r="E654" s="65" t="str">
        <f>ASTemp!E654</f>
        <v/>
      </c>
      <c r="F654" s="69" t="str">
        <f>TEXT(ASTemp!F654,Decimals)</f>
        <v/>
      </c>
      <c r="G654" s="69" t="str">
        <f>TEXT(ASTemp!G654,Decimals)</f>
        <v/>
      </c>
      <c r="H654" s="69" t="str">
        <f>TEXT(ASTemp!H654,Decimals)</f>
        <v/>
      </c>
      <c r="I654" s="69" t="str">
        <f>TEXT(ASTemp!I654,Decimals)</f>
        <v/>
      </c>
      <c r="J654" s="69" t="str">
        <f>TEXT(ASTemp!J654,Decimals)</f>
        <v/>
      </c>
      <c r="K654" s="69" t="str">
        <f>TEXT(ASTemp!K654,Decimals)</f>
        <v/>
      </c>
      <c r="L654" s="69" t="str">
        <f>TEXT(ASTemp!L654,Decimals)</f>
        <v/>
      </c>
      <c r="M654" s="71" t="str">
        <f>TEXT(ASTemp!M654,Percentages)</f>
        <v/>
      </c>
      <c r="N654" s="72" t="str">
        <f>TEXT(ASTemp!N654,Percentages)</f>
        <v/>
      </c>
    </row>
    <row r="655" ht="14.25" customHeight="1">
      <c r="B655" s="66" t="str">
        <f>ASTemp!B655</f>
        <v/>
      </c>
      <c r="C655" s="67" t="str">
        <f>ASTemp!C655</f>
        <v/>
      </c>
      <c r="D655" s="68" t="str">
        <f>ASTemp!D655</f>
        <v/>
      </c>
      <c r="E655" s="65" t="str">
        <f>ASTemp!E655</f>
        <v/>
      </c>
      <c r="F655" s="69" t="str">
        <f>TEXT(ASTemp!F655,Decimals)</f>
        <v/>
      </c>
      <c r="G655" s="69" t="str">
        <f>TEXT(ASTemp!G655,Decimals)</f>
        <v/>
      </c>
      <c r="H655" s="69" t="str">
        <f>TEXT(ASTemp!H655,Decimals)</f>
        <v/>
      </c>
      <c r="I655" s="69" t="str">
        <f>TEXT(ASTemp!I655,Decimals)</f>
        <v/>
      </c>
      <c r="J655" s="69" t="str">
        <f>TEXT(ASTemp!J655,Decimals)</f>
        <v/>
      </c>
      <c r="K655" s="69" t="str">
        <f>TEXT(ASTemp!K655,Decimals)</f>
        <v/>
      </c>
      <c r="L655" s="69" t="str">
        <f>TEXT(ASTemp!L655,Decimals)</f>
        <v/>
      </c>
      <c r="M655" s="71" t="str">
        <f>TEXT(ASTemp!M655,Percentages)</f>
        <v/>
      </c>
      <c r="N655" s="72" t="str">
        <f>TEXT(ASTemp!N655,Percentages)</f>
        <v/>
      </c>
    </row>
    <row r="656" ht="14.25" customHeight="1">
      <c r="B656" s="66" t="str">
        <f>ASTemp!B656</f>
        <v/>
      </c>
      <c r="C656" s="67" t="str">
        <f>ASTemp!C656</f>
        <v/>
      </c>
      <c r="D656" s="68" t="str">
        <f>ASTemp!D656</f>
        <v/>
      </c>
      <c r="E656" s="65" t="str">
        <f>ASTemp!E656</f>
        <v/>
      </c>
      <c r="F656" s="69" t="str">
        <f>TEXT(ASTemp!F656,Decimals)</f>
        <v/>
      </c>
      <c r="G656" s="69" t="str">
        <f>TEXT(ASTemp!G656,Decimals)</f>
        <v/>
      </c>
      <c r="H656" s="69" t="str">
        <f>TEXT(ASTemp!H656,Decimals)</f>
        <v/>
      </c>
      <c r="I656" s="69" t="str">
        <f>TEXT(ASTemp!I656,Decimals)</f>
        <v/>
      </c>
      <c r="J656" s="69" t="str">
        <f>TEXT(ASTemp!J656,Decimals)</f>
        <v/>
      </c>
      <c r="K656" s="69" t="str">
        <f>TEXT(ASTemp!K656,Decimals)</f>
        <v/>
      </c>
      <c r="L656" s="69" t="str">
        <f>TEXT(ASTemp!L656,Decimals)</f>
        <v/>
      </c>
      <c r="M656" s="71" t="str">
        <f>TEXT(ASTemp!M656,Percentages)</f>
        <v/>
      </c>
      <c r="N656" s="72" t="str">
        <f>TEXT(ASTemp!N656,Percentages)</f>
        <v/>
      </c>
    </row>
    <row r="657" ht="14.25" customHeight="1">
      <c r="B657" s="66" t="str">
        <f>ASTemp!B657</f>
        <v/>
      </c>
      <c r="C657" s="67" t="str">
        <f>ASTemp!C657</f>
        <v/>
      </c>
      <c r="D657" s="68" t="str">
        <f>ASTemp!D657</f>
        <v/>
      </c>
      <c r="E657" s="65" t="str">
        <f>ASTemp!E657</f>
        <v/>
      </c>
      <c r="F657" s="69" t="str">
        <f>TEXT(ASTemp!F657,Decimals)</f>
        <v/>
      </c>
      <c r="G657" s="69" t="str">
        <f>TEXT(ASTemp!G657,Decimals)</f>
        <v/>
      </c>
      <c r="H657" s="69" t="str">
        <f>TEXT(ASTemp!H657,Decimals)</f>
        <v/>
      </c>
      <c r="I657" s="69" t="str">
        <f>TEXT(ASTemp!I657,Decimals)</f>
        <v/>
      </c>
      <c r="J657" s="69" t="str">
        <f>TEXT(ASTemp!J657,Decimals)</f>
        <v/>
      </c>
      <c r="K657" s="69" t="str">
        <f>TEXT(ASTemp!K657,Decimals)</f>
        <v/>
      </c>
      <c r="L657" s="69" t="str">
        <f>TEXT(ASTemp!L657,Decimals)</f>
        <v/>
      </c>
      <c r="M657" s="71" t="str">
        <f>TEXT(ASTemp!M657,Percentages)</f>
        <v/>
      </c>
      <c r="N657" s="72" t="str">
        <f>TEXT(ASTemp!N657,Percentages)</f>
        <v/>
      </c>
    </row>
    <row r="658" ht="14.25" customHeight="1">
      <c r="B658" s="66" t="str">
        <f>ASTemp!B658</f>
        <v/>
      </c>
      <c r="C658" s="67" t="str">
        <f>ASTemp!C658</f>
        <v/>
      </c>
      <c r="D658" s="68" t="str">
        <f>ASTemp!D658</f>
        <v/>
      </c>
      <c r="E658" s="65" t="str">
        <f>ASTemp!E658</f>
        <v/>
      </c>
      <c r="F658" s="69" t="str">
        <f>TEXT(ASTemp!F658,Decimals)</f>
        <v/>
      </c>
      <c r="G658" s="69" t="str">
        <f>TEXT(ASTemp!G658,Decimals)</f>
        <v/>
      </c>
      <c r="H658" s="69" t="str">
        <f>TEXT(ASTemp!H658,Decimals)</f>
        <v/>
      </c>
      <c r="I658" s="69" t="str">
        <f>TEXT(ASTemp!I658,Decimals)</f>
        <v/>
      </c>
      <c r="J658" s="69" t="str">
        <f>TEXT(ASTemp!J658,Decimals)</f>
        <v/>
      </c>
      <c r="K658" s="69" t="str">
        <f>TEXT(ASTemp!K658,Decimals)</f>
        <v/>
      </c>
      <c r="L658" s="69" t="str">
        <f>TEXT(ASTemp!L658,Decimals)</f>
        <v/>
      </c>
      <c r="M658" s="71" t="str">
        <f>TEXT(ASTemp!M658,Percentages)</f>
        <v/>
      </c>
      <c r="N658" s="72" t="str">
        <f>TEXT(ASTemp!N658,Percentages)</f>
        <v/>
      </c>
    </row>
    <row r="659" ht="14.25" customHeight="1">
      <c r="B659" s="66" t="str">
        <f>ASTemp!B659</f>
        <v/>
      </c>
      <c r="C659" s="67" t="str">
        <f>ASTemp!C659</f>
        <v/>
      </c>
      <c r="D659" s="68" t="str">
        <f>ASTemp!D659</f>
        <v/>
      </c>
      <c r="E659" s="65" t="str">
        <f>ASTemp!E659</f>
        <v/>
      </c>
      <c r="F659" s="69" t="str">
        <f>TEXT(ASTemp!F659,Decimals)</f>
        <v/>
      </c>
      <c r="G659" s="69" t="str">
        <f>TEXT(ASTemp!G659,Decimals)</f>
        <v/>
      </c>
      <c r="H659" s="69" t="str">
        <f>TEXT(ASTemp!H659,Decimals)</f>
        <v/>
      </c>
      <c r="I659" s="69" t="str">
        <f>TEXT(ASTemp!I659,Decimals)</f>
        <v/>
      </c>
      <c r="J659" s="69" t="str">
        <f>TEXT(ASTemp!J659,Decimals)</f>
        <v/>
      </c>
      <c r="K659" s="69" t="str">
        <f>TEXT(ASTemp!K659,Decimals)</f>
        <v/>
      </c>
      <c r="L659" s="69" t="str">
        <f>TEXT(ASTemp!L659,Decimals)</f>
        <v/>
      </c>
      <c r="M659" s="71" t="str">
        <f>TEXT(ASTemp!M659,Percentages)</f>
        <v/>
      </c>
      <c r="N659" s="72" t="str">
        <f>TEXT(ASTemp!N659,Percentages)</f>
        <v/>
      </c>
    </row>
    <row r="660" ht="14.25" customHeight="1">
      <c r="B660" s="66" t="str">
        <f>ASTemp!B660</f>
        <v/>
      </c>
      <c r="C660" s="67" t="str">
        <f>ASTemp!C660</f>
        <v/>
      </c>
      <c r="D660" s="68" t="str">
        <f>ASTemp!D660</f>
        <v/>
      </c>
      <c r="E660" s="65" t="str">
        <f>ASTemp!E660</f>
        <v/>
      </c>
      <c r="F660" s="69" t="str">
        <f>TEXT(ASTemp!F660,Decimals)</f>
        <v/>
      </c>
      <c r="G660" s="69" t="str">
        <f>TEXT(ASTemp!G660,Decimals)</f>
        <v/>
      </c>
      <c r="H660" s="69" t="str">
        <f>TEXT(ASTemp!H660,Decimals)</f>
        <v/>
      </c>
      <c r="I660" s="69" t="str">
        <f>TEXT(ASTemp!I660,Decimals)</f>
        <v/>
      </c>
      <c r="J660" s="69" t="str">
        <f>TEXT(ASTemp!J660,Decimals)</f>
        <v/>
      </c>
      <c r="K660" s="69" t="str">
        <f>TEXT(ASTemp!K660,Decimals)</f>
        <v/>
      </c>
      <c r="L660" s="69" t="str">
        <f>TEXT(ASTemp!L660,Decimals)</f>
        <v/>
      </c>
      <c r="M660" s="71" t="str">
        <f>TEXT(ASTemp!M660,Percentages)</f>
        <v/>
      </c>
      <c r="N660" s="72" t="str">
        <f>TEXT(ASTemp!N660,Percentages)</f>
        <v/>
      </c>
    </row>
    <row r="661" ht="14.25" customHeight="1">
      <c r="B661" s="66" t="str">
        <f>ASTemp!B661</f>
        <v/>
      </c>
      <c r="C661" s="67" t="str">
        <f>ASTemp!C661</f>
        <v/>
      </c>
      <c r="D661" s="68" t="str">
        <f>ASTemp!D661</f>
        <v/>
      </c>
      <c r="E661" s="65" t="str">
        <f>ASTemp!E661</f>
        <v/>
      </c>
      <c r="F661" s="69" t="str">
        <f>TEXT(ASTemp!F661,Decimals)</f>
        <v/>
      </c>
      <c r="G661" s="69" t="str">
        <f>TEXT(ASTemp!G661,Decimals)</f>
        <v/>
      </c>
      <c r="H661" s="69" t="str">
        <f>TEXT(ASTemp!H661,Decimals)</f>
        <v/>
      </c>
      <c r="I661" s="69" t="str">
        <f>TEXT(ASTemp!I661,Decimals)</f>
        <v/>
      </c>
      <c r="J661" s="69" t="str">
        <f>TEXT(ASTemp!J661,Decimals)</f>
        <v/>
      </c>
      <c r="K661" s="69" t="str">
        <f>TEXT(ASTemp!K661,Decimals)</f>
        <v/>
      </c>
      <c r="L661" s="69" t="str">
        <f>TEXT(ASTemp!L661,Decimals)</f>
        <v/>
      </c>
      <c r="M661" s="71" t="str">
        <f>TEXT(ASTemp!M661,Percentages)</f>
        <v/>
      </c>
      <c r="N661" s="72" t="str">
        <f>TEXT(ASTemp!N661,Percentages)</f>
        <v/>
      </c>
    </row>
    <row r="662" ht="14.25" customHeight="1">
      <c r="B662" s="66" t="str">
        <f>ASTemp!B662</f>
        <v/>
      </c>
      <c r="C662" s="67" t="str">
        <f>ASTemp!C662</f>
        <v/>
      </c>
      <c r="D662" s="68" t="str">
        <f>ASTemp!D662</f>
        <v/>
      </c>
      <c r="E662" s="65" t="str">
        <f>ASTemp!E662</f>
        <v/>
      </c>
      <c r="F662" s="69" t="str">
        <f>TEXT(ASTemp!F662,Decimals)</f>
        <v/>
      </c>
      <c r="G662" s="69" t="str">
        <f>TEXT(ASTemp!G662,Decimals)</f>
        <v/>
      </c>
      <c r="H662" s="69" t="str">
        <f>TEXT(ASTemp!H662,Decimals)</f>
        <v/>
      </c>
      <c r="I662" s="69" t="str">
        <f>TEXT(ASTemp!I662,Decimals)</f>
        <v/>
      </c>
      <c r="J662" s="69" t="str">
        <f>TEXT(ASTemp!J662,Decimals)</f>
        <v/>
      </c>
      <c r="K662" s="69" t="str">
        <f>TEXT(ASTemp!K662,Decimals)</f>
        <v/>
      </c>
      <c r="L662" s="69" t="str">
        <f>TEXT(ASTemp!L662,Decimals)</f>
        <v/>
      </c>
      <c r="M662" s="71" t="str">
        <f>TEXT(ASTemp!M662,Percentages)</f>
        <v/>
      </c>
      <c r="N662" s="72" t="str">
        <f>TEXT(ASTemp!N662,Percentages)</f>
        <v/>
      </c>
    </row>
    <row r="663" ht="14.25" customHeight="1">
      <c r="B663" s="66" t="str">
        <f>ASTemp!B663</f>
        <v/>
      </c>
      <c r="C663" s="67" t="str">
        <f>ASTemp!C663</f>
        <v/>
      </c>
      <c r="D663" s="68" t="str">
        <f>ASTemp!D663</f>
        <v/>
      </c>
      <c r="E663" s="65" t="str">
        <f>ASTemp!E663</f>
        <v/>
      </c>
      <c r="F663" s="69" t="str">
        <f>TEXT(ASTemp!F663,Decimals)</f>
        <v/>
      </c>
      <c r="G663" s="69" t="str">
        <f>TEXT(ASTemp!G663,Decimals)</f>
        <v/>
      </c>
      <c r="H663" s="69" t="str">
        <f>TEXT(ASTemp!H663,Decimals)</f>
        <v/>
      </c>
      <c r="I663" s="69" t="str">
        <f>TEXT(ASTemp!I663,Decimals)</f>
        <v/>
      </c>
      <c r="J663" s="69" t="str">
        <f>TEXT(ASTemp!J663,Decimals)</f>
        <v/>
      </c>
      <c r="K663" s="69" t="str">
        <f>TEXT(ASTemp!K663,Decimals)</f>
        <v/>
      </c>
      <c r="L663" s="69" t="str">
        <f>TEXT(ASTemp!L663,Decimals)</f>
        <v/>
      </c>
      <c r="M663" s="71" t="str">
        <f>TEXT(ASTemp!M663,Percentages)</f>
        <v/>
      </c>
      <c r="N663" s="72" t="str">
        <f>TEXT(ASTemp!N663,Percentages)</f>
        <v/>
      </c>
    </row>
    <row r="664" ht="14.25" customHeight="1">
      <c r="B664" s="66" t="str">
        <f>ASTemp!B664</f>
        <v/>
      </c>
      <c r="C664" s="67" t="str">
        <f>ASTemp!C664</f>
        <v/>
      </c>
      <c r="D664" s="68" t="str">
        <f>ASTemp!D664</f>
        <v/>
      </c>
      <c r="E664" s="65" t="str">
        <f>ASTemp!E664</f>
        <v/>
      </c>
      <c r="F664" s="69" t="str">
        <f>TEXT(ASTemp!F664,Decimals)</f>
        <v/>
      </c>
      <c r="G664" s="69" t="str">
        <f>TEXT(ASTemp!G664,Decimals)</f>
        <v/>
      </c>
      <c r="H664" s="69" t="str">
        <f>TEXT(ASTemp!H664,Decimals)</f>
        <v/>
      </c>
      <c r="I664" s="69" t="str">
        <f>TEXT(ASTemp!I664,Decimals)</f>
        <v/>
      </c>
      <c r="J664" s="69" t="str">
        <f>TEXT(ASTemp!J664,Decimals)</f>
        <v/>
      </c>
      <c r="K664" s="69" t="str">
        <f>TEXT(ASTemp!K664,Decimals)</f>
        <v/>
      </c>
      <c r="L664" s="69" t="str">
        <f>TEXT(ASTemp!L664,Decimals)</f>
        <v/>
      </c>
      <c r="M664" s="71" t="str">
        <f>TEXT(ASTemp!M664,Percentages)</f>
        <v/>
      </c>
      <c r="N664" s="72" t="str">
        <f>TEXT(ASTemp!N664,Percentages)</f>
        <v/>
      </c>
    </row>
    <row r="665" ht="14.25" customHeight="1">
      <c r="B665" s="66" t="str">
        <f>ASTemp!B665</f>
        <v/>
      </c>
      <c r="C665" s="67" t="str">
        <f>ASTemp!C665</f>
        <v/>
      </c>
      <c r="D665" s="68" t="str">
        <f>ASTemp!D665</f>
        <v/>
      </c>
      <c r="E665" s="65" t="str">
        <f>ASTemp!E665</f>
        <v/>
      </c>
      <c r="F665" s="69" t="str">
        <f>TEXT(ASTemp!F665,Decimals)</f>
        <v/>
      </c>
      <c r="G665" s="69" t="str">
        <f>TEXT(ASTemp!G665,Decimals)</f>
        <v/>
      </c>
      <c r="H665" s="69" t="str">
        <f>TEXT(ASTemp!H665,Decimals)</f>
        <v/>
      </c>
      <c r="I665" s="69" t="str">
        <f>TEXT(ASTemp!I665,Decimals)</f>
        <v/>
      </c>
      <c r="J665" s="69" t="str">
        <f>TEXT(ASTemp!J665,Decimals)</f>
        <v/>
      </c>
      <c r="K665" s="69" t="str">
        <f>TEXT(ASTemp!K665,Decimals)</f>
        <v/>
      </c>
      <c r="L665" s="69" t="str">
        <f>TEXT(ASTemp!L665,Decimals)</f>
        <v/>
      </c>
      <c r="M665" s="71" t="str">
        <f>TEXT(ASTemp!M665,Percentages)</f>
        <v/>
      </c>
      <c r="N665" s="72" t="str">
        <f>TEXT(ASTemp!N665,Percentages)</f>
        <v/>
      </c>
    </row>
    <row r="666" ht="14.25" customHeight="1">
      <c r="B666" s="66" t="str">
        <f>ASTemp!B666</f>
        <v/>
      </c>
      <c r="C666" s="67" t="str">
        <f>ASTemp!C666</f>
        <v/>
      </c>
      <c r="D666" s="68" t="str">
        <f>ASTemp!D666</f>
        <v/>
      </c>
      <c r="E666" s="65" t="str">
        <f>ASTemp!E666</f>
        <v/>
      </c>
      <c r="F666" s="69" t="str">
        <f>TEXT(ASTemp!F666,Decimals)</f>
        <v/>
      </c>
      <c r="G666" s="69" t="str">
        <f>TEXT(ASTemp!G666,Decimals)</f>
        <v/>
      </c>
      <c r="H666" s="69" t="str">
        <f>TEXT(ASTemp!H666,Decimals)</f>
        <v/>
      </c>
      <c r="I666" s="69" t="str">
        <f>TEXT(ASTemp!I666,Decimals)</f>
        <v/>
      </c>
      <c r="J666" s="69" t="str">
        <f>TEXT(ASTemp!J666,Decimals)</f>
        <v/>
      </c>
      <c r="K666" s="69" t="str">
        <f>TEXT(ASTemp!K666,Decimals)</f>
        <v/>
      </c>
      <c r="L666" s="69" t="str">
        <f>TEXT(ASTemp!L666,Decimals)</f>
        <v/>
      </c>
      <c r="M666" s="71" t="str">
        <f>TEXT(ASTemp!M666,Percentages)</f>
        <v/>
      </c>
      <c r="N666" s="72" t="str">
        <f>TEXT(ASTemp!N666,Percentages)</f>
        <v/>
      </c>
    </row>
    <row r="667" ht="14.25" customHeight="1">
      <c r="B667" s="66" t="str">
        <f>ASTemp!B667</f>
        <v/>
      </c>
      <c r="C667" s="67" t="str">
        <f>ASTemp!C667</f>
        <v/>
      </c>
      <c r="D667" s="68" t="str">
        <f>ASTemp!D667</f>
        <v/>
      </c>
      <c r="E667" s="65" t="str">
        <f>ASTemp!E667</f>
        <v/>
      </c>
      <c r="F667" s="69" t="str">
        <f>TEXT(ASTemp!F667,Decimals)</f>
        <v/>
      </c>
      <c r="G667" s="69" t="str">
        <f>TEXT(ASTemp!G667,Decimals)</f>
        <v/>
      </c>
      <c r="H667" s="69" t="str">
        <f>TEXT(ASTemp!H667,Decimals)</f>
        <v/>
      </c>
      <c r="I667" s="69" t="str">
        <f>TEXT(ASTemp!I667,Decimals)</f>
        <v/>
      </c>
      <c r="J667" s="69" t="str">
        <f>TEXT(ASTemp!J667,Decimals)</f>
        <v/>
      </c>
      <c r="K667" s="69" t="str">
        <f>TEXT(ASTemp!K667,Decimals)</f>
        <v/>
      </c>
      <c r="L667" s="69" t="str">
        <f>TEXT(ASTemp!L667,Decimals)</f>
        <v/>
      </c>
      <c r="M667" s="71" t="str">
        <f>TEXT(ASTemp!M667,Percentages)</f>
        <v/>
      </c>
      <c r="N667" s="72" t="str">
        <f>TEXT(ASTemp!N667,Percentages)</f>
        <v/>
      </c>
    </row>
    <row r="668" ht="14.25" customHeight="1">
      <c r="B668" s="66" t="str">
        <f>ASTemp!B668</f>
        <v/>
      </c>
      <c r="C668" s="67" t="str">
        <f>ASTemp!C668</f>
        <v/>
      </c>
      <c r="D668" s="68" t="str">
        <f>ASTemp!D668</f>
        <v/>
      </c>
      <c r="E668" s="65" t="str">
        <f>ASTemp!E668</f>
        <v/>
      </c>
      <c r="F668" s="69" t="str">
        <f>TEXT(ASTemp!F668,Decimals)</f>
        <v/>
      </c>
      <c r="G668" s="69" t="str">
        <f>TEXT(ASTemp!G668,Decimals)</f>
        <v/>
      </c>
      <c r="H668" s="69" t="str">
        <f>TEXT(ASTemp!H668,Decimals)</f>
        <v/>
      </c>
      <c r="I668" s="69" t="str">
        <f>TEXT(ASTemp!I668,Decimals)</f>
        <v/>
      </c>
      <c r="J668" s="69" t="str">
        <f>TEXT(ASTemp!J668,Decimals)</f>
        <v/>
      </c>
      <c r="K668" s="69" t="str">
        <f>TEXT(ASTemp!K668,Decimals)</f>
        <v/>
      </c>
      <c r="L668" s="69" t="str">
        <f>TEXT(ASTemp!L668,Decimals)</f>
        <v/>
      </c>
      <c r="M668" s="71" t="str">
        <f>TEXT(ASTemp!M668,Percentages)</f>
        <v/>
      </c>
      <c r="N668" s="72" t="str">
        <f>TEXT(ASTemp!N668,Percentages)</f>
        <v/>
      </c>
    </row>
    <row r="669" ht="14.25" customHeight="1">
      <c r="B669" s="66" t="str">
        <f>ASTemp!B669</f>
        <v/>
      </c>
      <c r="C669" s="67" t="str">
        <f>ASTemp!C669</f>
        <v/>
      </c>
      <c r="D669" s="68" t="str">
        <f>ASTemp!D669</f>
        <v/>
      </c>
      <c r="E669" s="65" t="str">
        <f>ASTemp!E669</f>
        <v/>
      </c>
      <c r="F669" s="69" t="str">
        <f>TEXT(ASTemp!F669,Decimals)</f>
        <v/>
      </c>
      <c r="G669" s="69" t="str">
        <f>TEXT(ASTemp!G669,Decimals)</f>
        <v/>
      </c>
      <c r="H669" s="69" t="str">
        <f>TEXT(ASTemp!H669,Decimals)</f>
        <v/>
      </c>
      <c r="I669" s="69" t="str">
        <f>TEXT(ASTemp!I669,Decimals)</f>
        <v/>
      </c>
      <c r="J669" s="69" t="str">
        <f>TEXT(ASTemp!J669,Decimals)</f>
        <v/>
      </c>
      <c r="K669" s="69" t="str">
        <f>TEXT(ASTemp!K669,Decimals)</f>
        <v/>
      </c>
      <c r="L669" s="69" t="str">
        <f>TEXT(ASTemp!L669,Decimals)</f>
        <v/>
      </c>
      <c r="M669" s="71" t="str">
        <f>TEXT(ASTemp!M669,Percentages)</f>
        <v/>
      </c>
      <c r="N669" s="72" t="str">
        <f>TEXT(ASTemp!N669,Percentages)</f>
        <v/>
      </c>
    </row>
    <row r="670" ht="14.25" customHeight="1">
      <c r="B670" s="66" t="str">
        <f>ASTemp!B670</f>
        <v/>
      </c>
      <c r="C670" s="67" t="str">
        <f>ASTemp!C670</f>
        <v/>
      </c>
      <c r="D670" s="68" t="str">
        <f>ASTemp!D670</f>
        <v/>
      </c>
      <c r="E670" s="65" t="str">
        <f>ASTemp!E670</f>
        <v/>
      </c>
      <c r="F670" s="69" t="str">
        <f>TEXT(ASTemp!F670,Decimals)</f>
        <v/>
      </c>
      <c r="G670" s="69" t="str">
        <f>TEXT(ASTemp!G670,Decimals)</f>
        <v/>
      </c>
      <c r="H670" s="69" t="str">
        <f>TEXT(ASTemp!H670,Decimals)</f>
        <v/>
      </c>
      <c r="I670" s="69" t="str">
        <f>TEXT(ASTemp!I670,Decimals)</f>
        <v/>
      </c>
      <c r="J670" s="69" t="str">
        <f>TEXT(ASTemp!J670,Decimals)</f>
        <v/>
      </c>
      <c r="K670" s="69" t="str">
        <f>TEXT(ASTemp!K670,Decimals)</f>
        <v/>
      </c>
      <c r="L670" s="69" t="str">
        <f>TEXT(ASTemp!L670,Decimals)</f>
        <v/>
      </c>
      <c r="M670" s="71" t="str">
        <f>TEXT(ASTemp!M670,Percentages)</f>
        <v/>
      </c>
      <c r="N670" s="72" t="str">
        <f>TEXT(ASTemp!N670,Percentages)</f>
        <v/>
      </c>
    </row>
    <row r="671" ht="14.25" customHeight="1">
      <c r="B671" s="66" t="str">
        <f>ASTemp!B671</f>
        <v/>
      </c>
      <c r="C671" s="67" t="str">
        <f>ASTemp!C671</f>
        <v/>
      </c>
      <c r="D671" s="68" t="str">
        <f>ASTemp!D671</f>
        <v/>
      </c>
      <c r="E671" s="65" t="str">
        <f>ASTemp!E671</f>
        <v/>
      </c>
      <c r="F671" s="69" t="str">
        <f>TEXT(ASTemp!F671,Decimals)</f>
        <v/>
      </c>
      <c r="G671" s="69" t="str">
        <f>TEXT(ASTemp!G671,Decimals)</f>
        <v/>
      </c>
      <c r="H671" s="69" t="str">
        <f>TEXT(ASTemp!H671,Decimals)</f>
        <v/>
      </c>
      <c r="I671" s="69" t="str">
        <f>TEXT(ASTemp!I671,Decimals)</f>
        <v/>
      </c>
      <c r="J671" s="69" t="str">
        <f>TEXT(ASTemp!J671,Decimals)</f>
        <v/>
      </c>
      <c r="K671" s="69" t="str">
        <f>TEXT(ASTemp!K671,Decimals)</f>
        <v/>
      </c>
      <c r="L671" s="69" t="str">
        <f>TEXT(ASTemp!L671,Decimals)</f>
        <v/>
      </c>
      <c r="M671" s="71" t="str">
        <f>TEXT(ASTemp!M671,Percentages)</f>
        <v/>
      </c>
      <c r="N671" s="72" t="str">
        <f>TEXT(ASTemp!N671,Percentages)</f>
        <v/>
      </c>
    </row>
    <row r="672" ht="14.25" customHeight="1">
      <c r="B672" s="66" t="str">
        <f>ASTemp!B672</f>
        <v/>
      </c>
      <c r="C672" s="67" t="str">
        <f>ASTemp!C672</f>
        <v/>
      </c>
      <c r="D672" s="68" t="str">
        <f>ASTemp!D672</f>
        <v/>
      </c>
      <c r="E672" s="65" t="str">
        <f>ASTemp!E672</f>
        <v/>
      </c>
      <c r="F672" s="69" t="str">
        <f>TEXT(ASTemp!F672,Decimals)</f>
        <v/>
      </c>
      <c r="G672" s="69" t="str">
        <f>TEXT(ASTemp!G672,Decimals)</f>
        <v/>
      </c>
      <c r="H672" s="69" t="str">
        <f>TEXT(ASTemp!H672,Decimals)</f>
        <v/>
      </c>
      <c r="I672" s="69" t="str">
        <f>TEXT(ASTemp!I672,Decimals)</f>
        <v/>
      </c>
      <c r="J672" s="69" t="str">
        <f>TEXT(ASTemp!J672,Decimals)</f>
        <v/>
      </c>
      <c r="K672" s="69" t="str">
        <f>TEXT(ASTemp!K672,Decimals)</f>
        <v/>
      </c>
      <c r="L672" s="69" t="str">
        <f>TEXT(ASTemp!L672,Decimals)</f>
        <v/>
      </c>
      <c r="M672" s="71" t="str">
        <f>TEXT(ASTemp!M672,Percentages)</f>
        <v/>
      </c>
      <c r="N672" s="72" t="str">
        <f>TEXT(ASTemp!N672,Percentages)</f>
        <v/>
      </c>
    </row>
    <row r="673" ht="14.25" customHeight="1">
      <c r="B673" s="66" t="str">
        <f>ASTemp!B673</f>
        <v/>
      </c>
      <c r="C673" s="67" t="str">
        <f>ASTemp!C673</f>
        <v/>
      </c>
      <c r="D673" s="68" t="str">
        <f>ASTemp!D673</f>
        <v/>
      </c>
      <c r="E673" s="65" t="str">
        <f>ASTemp!E673</f>
        <v/>
      </c>
      <c r="F673" s="69" t="str">
        <f>TEXT(ASTemp!F673,Decimals)</f>
        <v/>
      </c>
      <c r="G673" s="69" t="str">
        <f>TEXT(ASTemp!G673,Decimals)</f>
        <v/>
      </c>
      <c r="H673" s="69" t="str">
        <f>TEXT(ASTemp!H673,Decimals)</f>
        <v/>
      </c>
      <c r="I673" s="69" t="str">
        <f>TEXT(ASTemp!I673,Decimals)</f>
        <v/>
      </c>
      <c r="J673" s="69" t="str">
        <f>TEXT(ASTemp!J673,Decimals)</f>
        <v/>
      </c>
      <c r="K673" s="69" t="str">
        <f>TEXT(ASTemp!K673,Decimals)</f>
        <v/>
      </c>
      <c r="L673" s="69" t="str">
        <f>TEXT(ASTemp!L673,Decimals)</f>
        <v/>
      </c>
      <c r="M673" s="71" t="str">
        <f>TEXT(ASTemp!M673,Percentages)</f>
        <v/>
      </c>
      <c r="N673" s="72" t="str">
        <f>TEXT(ASTemp!N673,Percentages)</f>
        <v/>
      </c>
    </row>
    <row r="674" ht="14.25" customHeight="1">
      <c r="B674" s="66" t="str">
        <f>ASTemp!B674</f>
        <v/>
      </c>
      <c r="C674" s="67" t="str">
        <f>ASTemp!C674</f>
        <v/>
      </c>
      <c r="D674" s="68" t="str">
        <f>ASTemp!D674</f>
        <v/>
      </c>
      <c r="E674" s="65" t="str">
        <f>ASTemp!E674</f>
        <v/>
      </c>
      <c r="F674" s="69" t="str">
        <f>TEXT(ASTemp!F674,Decimals)</f>
        <v/>
      </c>
      <c r="G674" s="69" t="str">
        <f>TEXT(ASTemp!G674,Decimals)</f>
        <v/>
      </c>
      <c r="H674" s="69" t="str">
        <f>TEXT(ASTemp!H674,Decimals)</f>
        <v/>
      </c>
      <c r="I674" s="69" t="str">
        <f>TEXT(ASTemp!I674,Decimals)</f>
        <v/>
      </c>
      <c r="J674" s="69" t="str">
        <f>TEXT(ASTemp!J674,Decimals)</f>
        <v/>
      </c>
      <c r="K674" s="69" t="str">
        <f>TEXT(ASTemp!K674,Decimals)</f>
        <v/>
      </c>
      <c r="L674" s="69" t="str">
        <f>TEXT(ASTemp!L674,Decimals)</f>
        <v/>
      </c>
      <c r="M674" s="71" t="str">
        <f>TEXT(ASTemp!M674,Percentages)</f>
        <v/>
      </c>
      <c r="N674" s="72" t="str">
        <f>TEXT(ASTemp!N674,Percentages)</f>
        <v/>
      </c>
    </row>
    <row r="675" ht="14.25" customHeight="1">
      <c r="B675" s="66" t="str">
        <f>ASTemp!B675</f>
        <v/>
      </c>
      <c r="C675" s="67" t="str">
        <f>ASTemp!C675</f>
        <v/>
      </c>
      <c r="D675" s="68" t="str">
        <f>ASTemp!D675</f>
        <v/>
      </c>
      <c r="E675" s="65" t="str">
        <f>ASTemp!E675</f>
        <v/>
      </c>
      <c r="F675" s="69" t="str">
        <f>TEXT(ASTemp!F675,Decimals)</f>
        <v/>
      </c>
      <c r="G675" s="69" t="str">
        <f>TEXT(ASTemp!G675,Decimals)</f>
        <v/>
      </c>
      <c r="H675" s="69" t="str">
        <f>TEXT(ASTemp!H675,Decimals)</f>
        <v/>
      </c>
      <c r="I675" s="69" t="str">
        <f>TEXT(ASTemp!I675,Decimals)</f>
        <v/>
      </c>
      <c r="J675" s="69" t="str">
        <f>TEXT(ASTemp!J675,Decimals)</f>
        <v/>
      </c>
      <c r="K675" s="69" t="str">
        <f>TEXT(ASTemp!K675,Decimals)</f>
        <v/>
      </c>
      <c r="L675" s="69" t="str">
        <f>TEXT(ASTemp!L675,Decimals)</f>
        <v/>
      </c>
      <c r="M675" s="71" t="str">
        <f>TEXT(ASTemp!M675,Percentages)</f>
        <v/>
      </c>
      <c r="N675" s="72" t="str">
        <f>TEXT(ASTemp!N675,Percentages)</f>
        <v/>
      </c>
    </row>
    <row r="676" ht="14.25" customHeight="1">
      <c r="B676" s="66" t="str">
        <f>ASTemp!B676</f>
        <v/>
      </c>
      <c r="C676" s="67" t="str">
        <f>ASTemp!C676</f>
        <v/>
      </c>
      <c r="D676" s="68" t="str">
        <f>ASTemp!D676</f>
        <v/>
      </c>
      <c r="E676" s="65" t="str">
        <f>ASTemp!E676</f>
        <v/>
      </c>
      <c r="F676" s="69" t="str">
        <f>TEXT(ASTemp!F676,Decimals)</f>
        <v/>
      </c>
      <c r="G676" s="69" t="str">
        <f>TEXT(ASTemp!G676,Decimals)</f>
        <v/>
      </c>
      <c r="H676" s="69" t="str">
        <f>TEXT(ASTemp!H676,Decimals)</f>
        <v/>
      </c>
      <c r="I676" s="69" t="str">
        <f>TEXT(ASTemp!I676,Decimals)</f>
        <v/>
      </c>
      <c r="J676" s="69" t="str">
        <f>TEXT(ASTemp!J676,Decimals)</f>
        <v/>
      </c>
      <c r="K676" s="69" t="str">
        <f>TEXT(ASTemp!K676,Decimals)</f>
        <v/>
      </c>
      <c r="L676" s="69" t="str">
        <f>TEXT(ASTemp!L676,Decimals)</f>
        <v/>
      </c>
      <c r="M676" s="71" t="str">
        <f>TEXT(ASTemp!M676,Percentages)</f>
        <v/>
      </c>
      <c r="N676" s="72" t="str">
        <f>TEXT(ASTemp!N676,Percentages)</f>
        <v/>
      </c>
    </row>
    <row r="677" ht="14.25" customHeight="1">
      <c r="B677" s="66" t="str">
        <f>ASTemp!B677</f>
        <v/>
      </c>
      <c r="C677" s="67" t="str">
        <f>ASTemp!C677</f>
        <v/>
      </c>
      <c r="D677" s="68" t="str">
        <f>ASTemp!D677</f>
        <v/>
      </c>
      <c r="E677" s="65" t="str">
        <f>ASTemp!E677</f>
        <v/>
      </c>
      <c r="F677" s="69" t="str">
        <f>TEXT(ASTemp!F677,Decimals)</f>
        <v/>
      </c>
      <c r="G677" s="69" t="str">
        <f>TEXT(ASTemp!G677,Decimals)</f>
        <v/>
      </c>
      <c r="H677" s="69" t="str">
        <f>TEXT(ASTemp!H677,Decimals)</f>
        <v/>
      </c>
      <c r="I677" s="69" t="str">
        <f>TEXT(ASTemp!I677,Decimals)</f>
        <v/>
      </c>
      <c r="J677" s="69" t="str">
        <f>TEXT(ASTemp!J677,Decimals)</f>
        <v/>
      </c>
      <c r="K677" s="69" t="str">
        <f>TEXT(ASTemp!K677,Decimals)</f>
        <v/>
      </c>
      <c r="L677" s="69" t="str">
        <f>TEXT(ASTemp!L677,Decimals)</f>
        <v/>
      </c>
      <c r="M677" s="71" t="str">
        <f>TEXT(ASTemp!M677,Percentages)</f>
        <v/>
      </c>
      <c r="N677" s="72" t="str">
        <f>TEXT(ASTemp!N677,Percentages)</f>
        <v/>
      </c>
    </row>
    <row r="678" ht="14.25" customHeight="1">
      <c r="B678" s="66" t="str">
        <f>ASTemp!B678</f>
        <v/>
      </c>
      <c r="C678" s="67" t="str">
        <f>ASTemp!C678</f>
        <v/>
      </c>
      <c r="D678" s="68" t="str">
        <f>ASTemp!D678</f>
        <v/>
      </c>
      <c r="E678" s="65" t="str">
        <f>ASTemp!E678</f>
        <v/>
      </c>
      <c r="F678" s="69" t="str">
        <f>TEXT(ASTemp!F678,Decimals)</f>
        <v/>
      </c>
      <c r="G678" s="69" t="str">
        <f>TEXT(ASTemp!G678,Decimals)</f>
        <v/>
      </c>
      <c r="H678" s="69" t="str">
        <f>TEXT(ASTemp!H678,Decimals)</f>
        <v/>
      </c>
      <c r="I678" s="69" t="str">
        <f>TEXT(ASTemp!I678,Decimals)</f>
        <v/>
      </c>
      <c r="J678" s="69" t="str">
        <f>TEXT(ASTemp!J678,Decimals)</f>
        <v/>
      </c>
      <c r="K678" s="69" t="str">
        <f>TEXT(ASTemp!K678,Decimals)</f>
        <v/>
      </c>
      <c r="L678" s="69" t="str">
        <f>TEXT(ASTemp!L678,Decimals)</f>
        <v/>
      </c>
      <c r="M678" s="71" t="str">
        <f>TEXT(ASTemp!M678,Percentages)</f>
        <v/>
      </c>
      <c r="N678" s="72" t="str">
        <f>TEXT(ASTemp!N678,Percentages)</f>
        <v/>
      </c>
    </row>
    <row r="679" ht="14.25" customHeight="1">
      <c r="B679" s="66" t="str">
        <f>ASTemp!B679</f>
        <v/>
      </c>
      <c r="C679" s="67" t="str">
        <f>ASTemp!C679</f>
        <v/>
      </c>
      <c r="D679" s="68" t="str">
        <f>ASTemp!D679</f>
        <v/>
      </c>
      <c r="E679" s="65" t="str">
        <f>ASTemp!E679</f>
        <v/>
      </c>
      <c r="F679" s="69" t="str">
        <f>TEXT(ASTemp!F679,Decimals)</f>
        <v/>
      </c>
      <c r="G679" s="69" t="str">
        <f>TEXT(ASTemp!G679,Decimals)</f>
        <v/>
      </c>
      <c r="H679" s="69" t="str">
        <f>TEXT(ASTemp!H679,Decimals)</f>
        <v/>
      </c>
      <c r="I679" s="69" t="str">
        <f>TEXT(ASTemp!I679,Decimals)</f>
        <v/>
      </c>
      <c r="J679" s="69" t="str">
        <f>TEXT(ASTemp!J679,Decimals)</f>
        <v/>
      </c>
      <c r="K679" s="69" t="str">
        <f>TEXT(ASTemp!K679,Decimals)</f>
        <v/>
      </c>
      <c r="L679" s="69" t="str">
        <f>TEXT(ASTemp!L679,Decimals)</f>
        <v/>
      </c>
      <c r="M679" s="71" t="str">
        <f>TEXT(ASTemp!M679,Percentages)</f>
        <v/>
      </c>
      <c r="N679" s="72" t="str">
        <f>TEXT(ASTemp!N679,Percentages)</f>
        <v/>
      </c>
    </row>
    <row r="680" ht="14.25" customHeight="1">
      <c r="B680" s="66" t="str">
        <f>ASTemp!B680</f>
        <v/>
      </c>
      <c r="C680" s="67" t="str">
        <f>ASTemp!C680</f>
        <v/>
      </c>
      <c r="D680" s="68" t="str">
        <f>ASTemp!D680</f>
        <v/>
      </c>
      <c r="E680" s="65" t="str">
        <f>ASTemp!E680</f>
        <v/>
      </c>
      <c r="F680" s="69" t="str">
        <f>TEXT(ASTemp!F680,Decimals)</f>
        <v/>
      </c>
      <c r="G680" s="69" t="str">
        <f>TEXT(ASTemp!G680,Decimals)</f>
        <v/>
      </c>
      <c r="H680" s="69" t="str">
        <f>TEXT(ASTemp!H680,Decimals)</f>
        <v/>
      </c>
      <c r="I680" s="69" t="str">
        <f>TEXT(ASTemp!I680,Decimals)</f>
        <v/>
      </c>
      <c r="J680" s="69" t="str">
        <f>TEXT(ASTemp!J680,Decimals)</f>
        <v/>
      </c>
      <c r="K680" s="69" t="str">
        <f>TEXT(ASTemp!K680,Decimals)</f>
        <v/>
      </c>
      <c r="L680" s="69" t="str">
        <f>TEXT(ASTemp!L680,Decimals)</f>
        <v/>
      </c>
      <c r="M680" s="71" t="str">
        <f>TEXT(ASTemp!M680,Percentages)</f>
        <v/>
      </c>
      <c r="N680" s="72" t="str">
        <f>TEXT(ASTemp!N680,Percentages)</f>
        <v/>
      </c>
    </row>
    <row r="681" ht="14.25" customHeight="1">
      <c r="B681" s="66" t="str">
        <f>ASTemp!B681</f>
        <v/>
      </c>
      <c r="C681" s="67" t="str">
        <f>ASTemp!C681</f>
        <v/>
      </c>
      <c r="D681" s="68" t="str">
        <f>ASTemp!D681</f>
        <v/>
      </c>
      <c r="E681" s="65" t="str">
        <f>ASTemp!E681</f>
        <v/>
      </c>
      <c r="F681" s="69" t="str">
        <f>TEXT(ASTemp!F681,Decimals)</f>
        <v/>
      </c>
      <c r="G681" s="69" t="str">
        <f>TEXT(ASTemp!G681,Decimals)</f>
        <v/>
      </c>
      <c r="H681" s="69" t="str">
        <f>TEXT(ASTemp!H681,Decimals)</f>
        <v/>
      </c>
      <c r="I681" s="69" t="str">
        <f>TEXT(ASTemp!I681,Decimals)</f>
        <v/>
      </c>
      <c r="J681" s="69" t="str">
        <f>TEXT(ASTemp!J681,Decimals)</f>
        <v/>
      </c>
      <c r="K681" s="69" t="str">
        <f>TEXT(ASTemp!K681,Decimals)</f>
        <v/>
      </c>
      <c r="L681" s="69" t="str">
        <f>TEXT(ASTemp!L681,Decimals)</f>
        <v/>
      </c>
      <c r="M681" s="71" t="str">
        <f>TEXT(ASTemp!M681,Percentages)</f>
        <v/>
      </c>
      <c r="N681" s="72" t="str">
        <f>TEXT(ASTemp!N681,Percentages)</f>
        <v/>
      </c>
    </row>
    <row r="682" ht="14.25" customHeight="1">
      <c r="B682" s="66" t="str">
        <f>ASTemp!B682</f>
        <v/>
      </c>
      <c r="C682" s="67" t="str">
        <f>ASTemp!C682</f>
        <v/>
      </c>
      <c r="D682" s="68" t="str">
        <f>ASTemp!D682</f>
        <v/>
      </c>
      <c r="E682" s="65" t="str">
        <f>ASTemp!E682</f>
        <v/>
      </c>
      <c r="F682" s="69" t="str">
        <f>TEXT(ASTemp!F682,Decimals)</f>
        <v/>
      </c>
      <c r="G682" s="69" t="str">
        <f>TEXT(ASTemp!G682,Decimals)</f>
        <v/>
      </c>
      <c r="H682" s="69" t="str">
        <f>TEXT(ASTemp!H682,Decimals)</f>
        <v/>
      </c>
      <c r="I682" s="69" t="str">
        <f>TEXT(ASTemp!I682,Decimals)</f>
        <v/>
      </c>
      <c r="J682" s="69" t="str">
        <f>TEXT(ASTemp!J682,Decimals)</f>
        <v/>
      </c>
      <c r="K682" s="69" t="str">
        <f>TEXT(ASTemp!K682,Decimals)</f>
        <v/>
      </c>
      <c r="L682" s="69" t="str">
        <f>TEXT(ASTemp!L682,Decimals)</f>
        <v/>
      </c>
      <c r="M682" s="71" t="str">
        <f>TEXT(ASTemp!M682,Percentages)</f>
        <v/>
      </c>
      <c r="N682" s="72" t="str">
        <f>TEXT(ASTemp!N682,Percentages)</f>
        <v/>
      </c>
    </row>
    <row r="683" ht="14.25" customHeight="1">
      <c r="B683" s="66" t="str">
        <f>ASTemp!B683</f>
        <v/>
      </c>
      <c r="C683" s="67" t="str">
        <f>ASTemp!C683</f>
        <v/>
      </c>
      <c r="D683" s="68" t="str">
        <f>ASTemp!D683</f>
        <v/>
      </c>
      <c r="E683" s="65" t="str">
        <f>ASTemp!E683</f>
        <v/>
      </c>
      <c r="F683" s="69" t="str">
        <f>TEXT(ASTemp!F683,Decimals)</f>
        <v/>
      </c>
      <c r="G683" s="69" t="str">
        <f>TEXT(ASTemp!G683,Decimals)</f>
        <v/>
      </c>
      <c r="H683" s="69" t="str">
        <f>TEXT(ASTemp!H683,Decimals)</f>
        <v/>
      </c>
      <c r="I683" s="69" t="str">
        <f>TEXT(ASTemp!I683,Decimals)</f>
        <v/>
      </c>
      <c r="J683" s="69" t="str">
        <f>TEXT(ASTemp!J683,Decimals)</f>
        <v/>
      </c>
      <c r="K683" s="69" t="str">
        <f>TEXT(ASTemp!K683,Decimals)</f>
        <v/>
      </c>
      <c r="L683" s="69" t="str">
        <f>TEXT(ASTemp!L683,Decimals)</f>
        <v/>
      </c>
      <c r="M683" s="71" t="str">
        <f>TEXT(ASTemp!M683,Percentages)</f>
        <v/>
      </c>
      <c r="N683" s="72" t="str">
        <f>TEXT(ASTemp!N683,Percentages)</f>
        <v/>
      </c>
    </row>
    <row r="684" ht="14.25" customHeight="1">
      <c r="B684" s="66" t="str">
        <f>ASTemp!B684</f>
        <v/>
      </c>
      <c r="C684" s="67" t="str">
        <f>ASTemp!C684</f>
        <v/>
      </c>
      <c r="D684" s="68" t="str">
        <f>ASTemp!D684</f>
        <v/>
      </c>
      <c r="E684" s="65" t="str">
        <f>ASTemp!E684</f>
        <v/>
      </c>
      <c r="F684" s="69" t="str">
        <f>TEXT(ASTemp!F684,Decimals)</f>
        <v/>
      </c>
      <c r="G684" s="69" t="str">
        <f>TEXT(ASTemp!G684,Decimals)</f>
        <v/>
      </c>
      <c r="H684" s="69" t="str">
        <f>TEXT(ASTemp!H684,Decimals)</f>
        <v/>
      </c>
      <c r="I684" s="69" t="str">
        <f>TEXT(ASTemp!I684,Decimals)</f>
        <v/>
      </c>
      <c r="J684" s="69" t="str">
        <f>TEXT(ASTemp!J684,Decimals)</f>
        <v/>
      </c>
      <c r="K684" s="69" t="str">
        <f>TEXT(ASTemp!K684,Decimals)</f>
        <v/>
      </c>
      <c r="L684" s="69" t="str">
        <f>TEXT(ASTemp!L684,Decimals)</f>
        <v/>
      </c>
      <c r="M684" s="71" t="str">
        <f>TEXT(ASTemp!M684,Percentages)</f>
        <v/>
      </c>
      <c r="N684" s="72" t="str">
        <f>TEXT(ASTemp!N684,Percentages)</f>
        <v/>
      </c>
    </row>
    <row r="685" ht="14.25" customHeight="1">
      <c r="B685" s="66" t="str">
        <f>ASTemp!B685</f>
        <v/>
      </c>
      <c r="C685" s="67" t="str">
        <f>ASTemp!C685</f>
        <v/>
      </c>
      <c r="D685" s="68" t="str">
        <f>ASTemp!D685</f>
        <v/>
      </c>
      <c r="E685" s="65" t="str">
        <f>ASTemp!E685</f>
        <v/>
      </c>
      <c r="F685" s="69" t="str">
        <f>TEXT(ASTemp!F685,Decimals)</f>
        <v/>
      </c>
      <c r="G685" s="69" t="str">
        <f>TEXT(ASTemp!G685,Decimals)</f>
        <v/>
      </c>
      <c r="H685" s="69" t="str">
        <f>TEXT(ASTemp!H685,Decimals)</f>
        <v/>
      </c>
      <c r="I685" s="69" t="str">
        <f>TEXT(ASTemp!I685,Decimals)</f>
        <v/>
      </c>
      <c r="J685" s="69" t="str">
        <f>TEXT(ASTemp!J685,Decimals)</f>
        <v/>
      </c>
      <c r="K685" s="69" t="str">
        <f>TEXT(ASTemp!K685,Decimals)</f>
        <v/>
      </c>
      <c r="L685" s="69" t="str">
        <f>TEXT(ASTemp!L685,Decimals)</f>
        <v/>
      </c>
      <c r="M685" s="71" t="str">
        <f>TEXT(ASTemp!M685,Percentages)</f>
        <v/>
      </c>
      <c r="N685" s="72" t="str">
        <f>TEXT(ASTemp!N685,Percentages)</f>
        <v/>
      </c>
    </row>
    <row r="686" ht="14.25" customHeight="1">
      <c r="B686" s="66" t="str">
        <f>ASTemp!B686</f>
        <v/>
      </c>
      <c r="C686" s="67" t="str">
        <f>ASTemp!C686</f>
        <v/>
      </c>
      <c r="D686" s="68" t="str">
        <f>ASTemp!D686</f>
        <v/>
      </c>
      <c r="E686" s="65" t="str">
        <f>ASTemp!E686</f>
        <v/>
      </c>
      <c r="F686" s="69" t="str">
        <f>TEXT(ASTemp!F686,Decimals)</f>
        <v/>
      </c>
      <c r="G686" s="69" t="str">
        <f>TEXT(ASTemp!G686,Decimals)</f>
        <v/>
      </c>
      <c r="H686" s="69" t="str">
        <f>TEXT(ASTemp!H686,Decimals)</f>
        <v/>
      </c>
      <c r="I686" s="69" t="str">
        <f>TEXT(ASTemp!I686,Decimals)</f>
        <v/>
      </c>
      <c r="J686" s="69" t="str">
        <f>TEXT(ASTemp!J686,Decimals)</f>
        <v/>
      </c>
      <c r="K686" s="69" t="str">
        <f>TEXT(ASTemp!K686,Decimals)</f>
        <v/>
      </c>
      <c r="L686" s="69" t="str">
        <f>TEXT(ASTemp!L686,Decimals)</f>
        <v/>
      </c>
      <c r="M686" s="71" t="str">
        <f>TEXT(ASTemp!M686,Percentages)</f>
        <v/>
      </c>
      <c r="N686" s="72" t="str">
        <f>TEXT(ASTemp!N686,Percentages)</f>
        <v/>
      </c>
    </row>
    <row r="687" ht="14.25" customHeight="1">
      <c r="B687" s="66" t="str">
        <f>ASTemp!B687</f>
        <v/>
      </c>
      <c r="C687" s="67" t="str">
        <f>ASTemp!C687</f>
        <v/>
      </c>
      <c r="D687" s="68" t="str">
        <f>ASTemp!D687</f>
        <v/>
      </c>
      <c r="E687" s="65" t="str">
        <f>ASTemp!E687</f>
        <v/>
      </c>
      <c r="F687" s="69" t="str">
        <f>TEXT(ASTemp!F687,Decimals)</f>
        <v/>
      </c>
      <c r="G687" s="69" t="str">
        <f>TEXT(ASTemp!G687,Decimals)</f>
        <v/>
      </c>
      <c r="H687" s="69" t="str">
        <f>TEXT(ASTemp!H687,Decimals)</f>
        <v/>
      </c>
      <c r="I687" s="69" t="str">
        <f>TEXT(ASTemp!I687,Decimals)</f>
        <v/>
      </c>
      <c r="J687" s="69" t="str">
        <f>TEXT(ASTemp!J687,Decimals)</f>
        <v/>
      </c>
      <c r="K687" s="69" t="str">
        <f>TEXT(ASTemp!K687,Decimals)</f>
        <v/>
      </c>
      <c r="L687" s="69" t="str">
        <f>TEXT(ASTemp!L687,Decimals)</f>
        <v/>
      </c>
      <c r="M687" s="71" t="str">
        <f>TEXT(ASTemp!M687,Percentages)</f>
        <v/>
      </c>
      <c r="N687" s="72" t="str">
        <f>TEXT(ASTemp!N687,Percentages)</f>
        <v/>
      </c>
    </row>
    <row r="688" ht="14.25" customHeight="1">
      <c r="B688" s="66" t="str">
        <f>ASTemp!B688</f>
        <v/>
      </c>
      <c r="C688" s="67" t="str">
        <f>ASTemp!C688</f>
        <v/>
      </c>
      <c r="D688" s="68" t="str">
        <f>ASTemp!D688</f>
        <v/>
      </c>
      <c r="E688" s="65" t="str">
        <f>ASTemp!E688</f>
        <v/>
      </c>
      <c r="F688" s="69" t="str">
        <f>TEXT(ASTemp!F688,Decimals)</f>
        <v/>
      </c>
      <c r="G688" s="69" t="str">
        <f>TEXT(ASTemp!G688,Decimals)</f>
        <v/>
      </c>
      <c r="H688" s="69" t="str">
        <f>TEXT(ASTemp!H688,Decimals)</f>
        <v/>
      </c>
      <c r="I688" s="69" t="str">
        <f>TEXT(ASTemp!I688,Decimals)</f>
        <v/>
      </c>
      <c r="J688" s="69" t="str">
        <f>TEXT(ASTemp!J688,Decimals)</f>
        <v/>
      </c>
      <c r="K688" s="69" t="str">
        <f>TEXT(ASTemp!K688,Decimals)</f>
        <v/>
      </c>
      <c r="L688" s="69" t="str">
        <f>TEXT(ASTemp!L688,Decimals)</f>
        <v/>
      </c>
      <c r="M688" s="71" t="str">
        <f>TEXT(ASTemp!M688,Percentages)</f>
        <v/>
      </c>
      <c r="N688" s="72" t="str">
        <f>TEXT(ASTemp!N688,Percentages)</f>
        <v/>
      </c>
    </row>
    <row r="689" ht="14.25" customHeight="1">
      <c r="B689" s="66" t="str">
        <f>ASTemp!B689</f>
        <v/>
      </c>
      <c r="C689" s="67" t="str">
        <f>ASTemp!C689</f>
        <v/>
      </c>
      <c r="D689" s="68" t="str">
        <f>ASTemp!D689</f>
        <v/>
      </c>
      <c r="E689" s="65" t="str">
        <f>ASTemp!E689</f>
        <v/>
      </c>
      <c r="F689" s="69" t="str">
        <f>TEXT(ASTemp!F689,Decimals)</f>
        <v/>
      </c>
      <c r="G689" s="69" t="str">
        <f>TEXT(ASTemp!G689,Decimals)</f>
        <v/>
      </c>
      <c r="H689" s="69" t="str">
        <f>TEXT(ASTemp!H689,Decimals)</f>
        <v/>
      </c>
      <c r="I689" s="69" t="str">
        <f>TEXT(ASTemp!I689,Decimals)</f>
        <v/>
      </c>
      <c r="J689" s="69" t="str">
        <f>TEXT(ASTemp!J689,Decimals)</f>
        <v/>
      </c>
      <c r="K689" s="69" t="str">
        <f>TEXT(ASTemp!K689,Decimals)</f>
        <v/>
      </c>
      <c r="L689" s="69" t="str">
        <f>TEXT(ASTemp!L689,Decimals)</f>
        <v/>
      </c>
      <c r="M689" s="71" t="str">
        <f>TEXT(ASTemp!M689,Percentages)</f>
        <v/>
      </c>
      <c r="N689" s="72" t="str">
        <f>TEXT(ASTemp!N689,Percentages)</f>
        <v/>
      </c>
    </row>
    <row r="690" ht="14.25" customHeight="1">
      <c r="B690" s="66" t="str">
        <f>ASTemp!B690</f>
        <v/>
      </c>
      <c r="C690" s="67" t="str">
        <f>ASTemp!C690</f>
        <v/>
      </c>
      <c r="D690" s="68" t="str">
        <f>ASTemp!D690</f>
        <v/>
      </c>
      <c r="E690" s="65" t="str">
        <f>ASTemp!E690</f>
        <v/>
      </c>
      <c r="F690" s="69" t="str">
        <f>TEXT(ASTemp!F690,Decimals)</f>
        <v/>
      </c>
      <c r="G690" s="69" t="str">
        <f>TEXT(ASTemp!G690,Decimals)</f>
        <v/>
      </c>
      <c r="H690" s="69" t="str">
        <f>TEXT(ASTemp!H690,Decimals)</f>
        <v/>
      </c>
      <c r="I690" s="69" t="str">
        <f>TEXT(ASTemp!I690,Decimals)</f>
        <v/>
      </c>
      <c r="J690" s="69" t="str">
        <f>TEXT(ASTemp!J690,Decimals)</f>
        <v/>
      </c>
      <c r="K690" s="69" t="str">
        <f>TEXT(ASTemp!K690,Decimals)</f>
        <v/>
      </c>
      <c r="L690" s="69" t="str">
        <f>TEXT(ASTemp!L690,Decimals)</f>
        <v/>
      </c>
      <c r="M690" s="71" t="str">
        <f>TEXT(ASTemp!M690,Percentages)</f>
        <v/>
      </c>
      <c r="N690" s="72" t="str">
        <f>TEXT(ASTemp!N690,Percentages)</f>
        <v/>
      </c>
    </row>
    <row r="691" ht="14.25" customHeight="1">
      <c r="B691" s="66" t="str">
        <f>ASTemp!B691</f>
        <v/>
      </c>
      <c r="C691" s="67" t="str">
        <f>ASTemp!C691</f>
        <v/>
      </c>
      <c r="D691" s="68" t="str">
        <f>ASTemp!D691</f>
        <v/>
      </c>
      <c r="E691" s="65" t="str">
        <f>ASTemp!E691</f>
        <v/>
      </c>
      <c r="F691" s="69" t="str">
        <f>TEXT(ASTemp!F691,Decimals)</f>
        <v/>
      </c>
      <c r="G691" s="69" t="str">
        <f>TEXT(ASTemp!G691,Decimals)</f>
        <v/>
      </c>
      <c r="H691" s="69" t="str">
        <f>TEXT(ASTemp!H691,Decimals)</f>
        <v/>
      </c>
      <c r="I691" s="69" t="str">
        <f>TEXT(ASTemp!I691,Decimals)</f>
        <v/>
      </c>
      <c r="J691" s="69" t="str">
        <f>TEXT(ASTemp!J691,Decimals)</f>
        <v/>
      </c>
      <c r="K691" s="69" t="str">
        <f>TEXT(ASTemp!K691,Decimals)</f>
        <v/>
      </c>
      <c r="L691" s="69" t="str">
        <f>TEXT(ASTemp!L691,Decimals)</f>
        <v/>
      </c>
      <c r="M691" s="71" t="str">
        <f>TEXT(ASTemp!M691,Percentages)</f>
        <v/>
      </c>
      <c r="N691" s="72" t="str">
        <f>TEXT(ASTemp!N691,Percentages)</f>
        <v/>
      </c>
    </row>
    <row r="692" ht="14.25" customHeight="1">
      <c r="B692" s="66" t="str">
        <f>ASTemp!B692</f>
        <v/>
      </c>
      <c r="C692" s="67" t="str">
        <f>ASTemp!C692</f>
        <v/>
      </c>
      <c r="D692" s="68" t="str">
        <f>ASTemp!D692</f>
        <v/>
      </c>
      <c r="E692" s="65" t="str">
        <f>ASTemp!E692</f>
        <v/>
      </c>
      <c r="F692" s="69" t="str">
        <f>TEXT(ASTemp!F692,Decimals)</f>
        <v/>
      </c>
      <c r="G692" s="69" t="str">
        <f>TEXT(ASTemp!G692,Decimals)</f>
        <v/>
      </c>
      <c r="H692" s="69" t="str">
        <f>TEXT(ASTemp!H692,Decimals)</f>
        <v/>
      </c>
      <c r="I692" s="69" t="str">
        <f>TEXT(ASTemp!I692,Decimals)</f>
        <v/>
      </c>
      <c r="J692" s="69" t="str">
        <f>TEXT(ASTemp!J692,Decimals)</f>
        <v/>
      </c>
      <c r="K692" s="69" t="str">
        <f>TEXT(ASTemp!K692,Decimals)</f>
        <v/>
      </c>
      <c r="L692" s="69" t="str">
        <f>TEXT(ASTemp!L692,Decimals)</f>
        <v/>
      </c>
      <c r="M692" s="71" t="str">
        <f>TEXT(ASTemp!M692,Percentages)</f>
        <v/>
      </c>
      <c r="N692" s="72" t="str">
        <f>TEXT(ASTemp!N692,Percentages)</f>
        <v/>
      </c>
    </row>
    <row r="693" ht="14.25" customHeight="1">
      <c r="B693" s="66" t="str">
        <f>ASTemp!B693</f>
        <v/>
      </c>
      <c r="C693" s="67" t="str">
        <f>ASTemp!C693</f>
        <v/>
      </c>
      <c r="D693" s="68" t="str">
        <f>ASTemp!D693</f>
        <v/>
      </c>
      <c r="E693" s="65" t="str">
        <f>ASTemp!E693</f>
        <v/>
      </c>
      <c r="F693" s="69" t="str">
        <f>TEXT(ASTemp!F693,Decimals)</f>
        <v/>
      </c>
      <c r="G693" s="69" t="str">
        <f>TEXT(ASTemp!G693,Decimals)</f>
        <v/>
      </c>
      <c r="H693" s="69" t="str">
        <f>TEXT(ASTemp!H693,Decimals)</f>
        <v/>
      </c>
      <c r="I693" s="69" t="str">
        <f>TEXT(ASTemp!I693,Decimals)</f>
        <v/>
      </c>
      <c r="J693" s="69" t="str">
        <f>TEXT(ASTemp!J693,Decimals)</f>
        <v/>
      </c>
      <c r="K693" s="69" t="str">
        <f>TEXT(ASTemp!K693,Decimals)</f>
        <v/>
      </c>
      <c r="L693" s="69" t="str">
        <f>TEXT(ASTemp!L693,Decimals)</f>
        <v/>
      </c>
      <c r="M693" s="71" t="str">
        <f>TEXT(ASTemp!M693,Percentages)</f>
        <v/>
      </c>
      <c r="N693" s="72" t="str">
        <f>TEXT(ASTemp!N693,Percentages)</f>
        <v/>
      </c>
    </row>
    <row r="694" ht="14.25" customHeight="1">
      <c r="B694" s="66" t="str">
        <f>ASTemp!B694</f>
        <v/>
      </c>
      <c r="C694" s="67" t="str">
        <f>ASTemp!C694</f>
        <v/>
      </c>
      <c r="D694" s="68" t="str">
        <f>ASTemp!D694</f>
        <v/>
      </c>
      <c r="E694" s="65" t="str">
        <f>ASTemp!E694</f>
        <v/>
      </c>
      <c r="F694" s="69" t="str">
        <f>TEXT(ASTemp!F694,Decimals)</f>
        <v/>
      </c>
      <c r="G694" s="69" t="str">
        <f>TEXT(ASTemp!G694,Decimals)</f>
        <v/>
      </c>
      <c r="H694" s="69" t="str">
        <f>TEXT(ASTemp!H694,Decimals)</f>
        <v/>
      </c>
      <c r="I694" s="69" t="str">
        <f>TEXT(ASTemp!I694,Decimals)</f>
        <v/>
      </c>
      <c r="J694" s="69" t="str">
        <f>TEXT(ASTemp!J694,Decimals)</f>
        <v/>
      </c>
      <c r="K694" s="69" t="str">
        <f>TEXT(ASTemp!K694,Decimals)</f>
        <v/>
      </c>
      <c r="L694" s="69" t="str">
        <f>TEXT(ASTemp!L694,Decimals)</f>
        <v/>
      </c>
      <c r="M694" s="71" t="str">
        <f>TEXT(ASTemp!M694,Percentages)</f>
        <v/>
      </c>
      <c r="N694" s="72" t="str">
        <f>TEXT(ASTemp!N694,Percentages)</f>
        <v/>
      </c>
    </row>
    <row r="695" ht="14.25" customHeight="1">
      <c r="B695" s="66" t="str">
        <f>ASTemp!B695</f>
        <v/>
      </c>
      <c r="C695" s="67" t="str">
        <f>ASTemp!C695</f>
        <v/>
      </c>
      <c r="D695" s="68" t="str">
        <f>ASTemp!D695</f>
        <v/>
      </c>
      <c r="E695" s="65" t="str">
        <f>ASTemp!E695</f>
        <v/>
      </c>
      <c r="F695" s="69" t="str">
        <f>TEXT(ASTemp!F695,Decimals)</f>
        <v/>
      </c>
      <c r="G695" s="69" t="str">
        <f>TEXT(ASTemp!G695,Decimals)</f>
        <v/>
      </c>
      <c r="H695" s="69" t="str">
        <f>TEXT(ASTemp!H695,Decimals)</f>
        <v/>
      </c>
      <c r="I695" s="69" t="str">
        <f>TEXT(ASTemp!I695,Decimals)</f>
        <v/>
      </c>
      <c r="J695" s="69" t="str">
        <f>TEXT(ASTemp!J695,Decimals)</f>
        <v/>
      </c>
      <c r="K695" s="69" t="str">
        <f>TEXT(ASTemp!K695,Decimals)</f>
        <v/>
      </c>
      <c r="L695" s="69" t="str">
        <f>TEXT(ASTemp!L695,Decimals)</f>
        <v/>
      </c>
      <c r="M695" s="71" t="str">
        <f>TEXT(ASTemp!M695,Percentages)</f>
        <v/>
      </c>
      <c r="N695" s="72" t="str">
        <f>TEXT(ASTemp!N695,Percentages)</f>
        <v/>
      </c>
    </row>
    <row r="696" ht="14.25" customHeight="1">
      <c r="B696" s="66" t="str">
        <f>ASTemp!B696</f>
        <v/>
      </c>
      <c r="C696" s="67" t="str">
        <f>ASTemp!C696</f>
        <v/>
      </c>
      <c r="D696" s="68" t="str">
        <f>ASTemp!D696</f>
        <v/>
      </c>
      <c r="E696" s="65" t="str">
        <f>ASTemp!E696</f>
        <v/>
      </c>
      <c r="F696" s="69" t="str">
        <f>TEXT(ASTemp!F696,Decimals)</f>
        <v/>
      </c>
      <c r="G696" s="69" t="str">
        <f>TEXT(ASTemp!G696,Decimals)</f>
        <v/>
      </c>
      <c r="H696" s="69" t="str">
        <f>TEXT(ASTemp!H696,Decimals)</f>
        <v/>
      </c>
      <c r="I696" s="69" t="str">
        <f>TEXT(ASTemp!I696,Decimals)</f>
        <v/>
      </c>
      <c r="J696" s="69" t="str">
        <f>TEXT(ASTemp!J696,Decimals)</f>
        <v/>
      </c>
      <c r="K696" s="69" t="str">
        <f>TEXT(ASTemp!K696,Decimals)</f>
        <v/>
      </c>
      <c r="L696" s="69" t="str">
        <f>TEXT(ASTemp!L696,Decimals)</f>
        <v/>
      </c>
      <c r="M696" s="71" t="str">
        <f>TEXT(ASTemp!M696,Percentages)</f>
        <v/>
      </c>
      <c r="N696" s="72" t="str">
        <f>TEXT(ASTemp!N696,Percentages)</f>
        <v/>
      </c>
    </row>
    <row r="697" ht="14.25" customHeight="1">
      <c r="B697" s="66" t="str">
        <f>ASTemp!B697</f>
        <v/>
      </c>
      <c r="C697" s="67" t="str">
        <f>ASTemp!C697</f>
        <v/>
      </c>
      <c r="D697" s="68" t="str">
        <f>ASTemp!D697</f>
        <v/>
      </c>
      <c r="E697" s="65" t="str">
        <f>ASTemp!E697</f>
        <v/>
      </c>
      <c r="F697" s="69" t="str">
        <f>TEXT(ASTemp!F697,Decimals)</f>
        <v/>
      </c>
      <c r="G697" s="69" t="str">
        <f>TEXT(ASTemp!G697,Decimals)</f>
        <v/>
      </c>
      <c r="H697" s="69" t="str">
        <f>TEXT(ASTemp!H697,Decimals)</f>
        <v/>
      </c>
      <c r="I697" s="69" t="str">
        <f>TEXT(ASTemp!I697,Decimals)</f>
        <v/>
      </c>
      <c r="J697" s="69" t="str">
        <f>TEXT(ASTemp!J697,Decimals)</f>
        <v/>
      </c>
      <c r="K697" s="69" t="str">
        <f>TEXT(ASTemp!K697,Decimals)</f>
        <v/>
      </c>
      <c r="L697" s="69" t="str">
        <f>TEXT(ASTemp!L697,Decimals)</f>
        <v/>
      </c>
      <c r="M697" s="71" t="str">
        <f>TEXT(ASTemp!M697,Percentages)</f>
        <v/>
      </c>
      <c r="N697" s="72" t="str">
        <f>TEXT(ASTemp!N697,Percentages)</f>
        <v/>
      </c>
    </row>
    <row r="698" ht="14.25" customHeight="1">
      <c r="B698" s="66" t="str">
        <f>ASTemp!B698</f>
        <v/>
      </c>
      <c r="C698" s="67" t="str">
        <f>ASTemp!C698</f>
        <v/>
      </c>
      <c r="D698" s="68" t="str">
        <f>ASTemp!D698</f>
        <v/>
      </c>
      <c r="E698" s="65" t="str">
        <f>ASTemp!E698</f>
        <v/>
      </c>
      <c r="F698" s="69" t="str">
        <f>TEXT(ASTemp!F698,Decimals)</f>
        <v/>
      </c>
      <c r="G698" s="69" t="str">
        <f>TEXT(ASTemp!G698,Decimals)</f>
        <v/>
      </c>
      <c r="H698" s="69" t="str">
        <f>TEXT(ASTemp!H698,Decimals)</f>
        <v/>
      </c>
      <c r="I698" s="69" t="str">
        <f>TEXT(ASTemp!I698,Decimals)</f>
        <v/>
      </c>
      <c r="J698" s="69" t="str">
        <f>TEXT(ASTemp!J698,Decimals)</f>
        <v/>
      </c>
      <c r="K698" s="69" t="str">
        <f>TEXT(ASTemp!K698,Decimals)</f>
        <v/>
      </c>
      <c r="L698" s="69" t="str">
        <f>TEXT(ASTemp!L698,Decimals)</f>
        <v/>
      </c>
      <c r="M698" s="71" t="str">
        <f>TEXT(ASTemp!M698,Percentages)</f>
        <v/>
      </c>
      <c r="N698" s="72" t="str">
        <f>TEXT(ASTemp!N698,Percentages)</f>
        <v/>
      </c>
    </row>
    <row r="699" ht="14.25" customHeight="1">
      <c r="B699" s="66" t="str">
        <f>ASTemp!B699</f>
        <v/>
      </c>
      <c r="C699" s="67" t="str">
        <f>ASTemp!C699</f>
        <v/>
      </c>
      <c r="D699" s="68" t="str">
        <f>ASTemp!D699</f>
        <v/>
      </c>
      <c r="E699" s="65" t="str">
        <f>ASTemp!E699</f>
        <v/>
      </c>
      <c r="F699" s="69" t="str">
        <f>TEXT(ASTemp!F699,Decimals)</f>
        <v/>
      </c>
      <c r="G699" s="69" t="str">
        <f>TEXT(ASTemp!G699,Decimals)</f>
        <v/>
      </c>
      <c r="H699" s="69" t="str">
        <f>TEXT(ASTemp!H699,Decimals)</f>
        <v/>
      </c>
      <c r="I699" s="69" t="str">
        <f>TEXT(ASTemp!I699,Decimals)</f>
        <v/>
      </c>
      <c r="J699" s="69" t="str">
        <f>TEXT(ASTemp!J699,Decimals)</f>
        <v/>
      </c>
      <c r="K699" s="69" t="str">
        <f>TEXT(ASTemp!K699,Decimals)</f>
        <v/>
      </c>
      <c r="L699" s="69" t="str">
        <f>TEXT(ASTemp!L699,Decimals)</f>
        <v/>
      </c>
      <c r="M699" s="71" t="str">
        <f>TEXT(ASTemp!M699,Percentages)</f>
        <v/>
      </c>
      <c r="N699" s="72" t="str">
        <f>TEXT(ASTemp!N699,Percentages)</f>
        <v/>
      </c>
    </row>
    <row r="700" ht="14.25" customHeight="1">
      <c r="B700" s="66" t="str">
        <f>ASTemp!B700</f>
        <v/>
      </c>
      <c r="C700" s="67" t="str">
        <f>ASTemp!C700</f>
        <v/>
      </c>
      <c r="D700" s="68" t="str">
        <f>ASTemp!D700</f>
        <v/>
      </c>
      <c r="E700" s="65" t="str">
        <f>ASTemp!E700</f>
        <v/>
      </c>
      <c r="F700" s="69" t="str">
        <f>TEXT(ASTemp!F700,Decimals)</f>
        <v/>
      </c>
      <c r="G700" s="69" t="str">
        <f>TEXT(ASTemp!G700,Decimals)</f>
        <v/>
      </c>
      <c r="H700" s="69" t="str">
        <f>TEXT(ASTemp!H700,Decimals)</f>
        <v/>
      </c>
      <c r="I700" s="69" t="str">
        <f>TEXT(ASTemp!I700,Decimals)</f>
        <v/>
      </c>
      <c r="J700" s="69" t="str">
        <f>TEXT(ASTemp!J700,Decimals)</f>
        <v/>
      </c>
      <c r="K700" s="69" t="str">
        <f>TEXT(ASTemp!K700,Decimals)</f>
        <v/>
      </c>
      <c r="L700" s="69" t="str">
        <f>TEXT(ASTemp!L700,Decimals)</f>
        <v/>
      </c>
      <c r="M700" s="71" t="str">
        <f>TEXT(ASTemp!M700,Percentages)</f>
        <v/>
      </c>
      <c r="N700" s="72" t="str">
        <f>TEXT(ASTemp!N700,Percentages)</f>
        <v/>
      </c>
    </row>
    <row r="701" ht="14.25" customHeight="1">
      <c r="B701" s="66" t="str">
        <f>ASTemp!B701</f>
        <v/>
      </c>
      <c r="C701" s="67" t="str">
        <f>ASTemp!C701</f>
        <v/>
      </c>
      <c r="D701" s="68" t="str">
        <f>ASTemp!D701</f>
        <v/>
      </c>
      <c r="E701" s="65" t="str">
        <f>ASTemp!E701</f>
        <v/>
      </c>
      <c r="F701" s="69" t="str">
        <f>TEXT(ASTemp!F701,Decimals)</f>
        <v/>
      </c>
      <c r="G701" s="69" t="str">
        <f>TEXT(ASTemp!G701,Decimals)</f>
        <v/>
      </c>
      <c r="H701" s="69" t="str">
        <f>TEXT(ASTemp!H701,Decimals)</f>
        <v/>
      </c>
      <c r="I701" s="69" t="str">
        <f>TEXT(ASTemp!I701,Decimals)</f>
        <v/>
      </c>
      <c r="J701" s="69" t="str">
        <f>TEXT(ASTemp!J701,Decimals)</f>
        <v/>
      </c>
      <c r="K701" s="69" t="str">
        <f>TEXT(ASTemp!K701,Decimals)</f>
        <v/>
      </c>
      <c r="L701" s="69" t="str">
        <f>TEXT(ASTemp!L701,Decimals)</f>
        <v/>
      </c>
      <c r="M701" s="71" t="str">
        <f>TEXT(ASTemp!M701,Percentages)</f>
        <v/>
      </c>
      <c r="N701" s="72" t="str">
        <f>TEXT(ASTemp!N701,Percentages)</f>
        <v/>
      </c>
    </row>
    <row r="702" ht="14.25" customHeight="1">
      <c r="B702" s="66" t="str">
        <f>ASTemp!B702</f>
        <v/>
      </c>
      <c r="C702" s="67" t="str">
        <f>ASTemp!C702</f>
        <v/>
      </c>
      <c r="D702" s="68" t="str">
        <f>ASTemp!D702</f>
        <v/>
      </c>
      <c r="E702" s="65" t="str">
        <f>ASTemp!E702</f>
        <v/>
      </c>
      <c r="F702" s="69" t="str">
        <f>TEXT(ASTemp!F702,Decimals)</f>
        <v/>
      </c>
      <c r="G702" s="69" t="str">
        <f>TEXT(ASTemp!G702,Decimals)</f>
        <v/>
      </c>
      <c r="H702" s="69" t="str">
        <f>TEXT(ASTemp!H702,Decimals)</f>
        <v/>
      </c>
      <c r="I702" s="69" t="str">
        <f>TEXT(ASTemp!I702,Decimals)</f>
        <v/>
      </c>
      <c r="J702" s="69" t="str">
        <f>TEXT(ASTemp!J702,Decimals)</f>
        <v/>
      </c>
      <c r="K702" s="69" t="str">
        <f>TEXT(ASTemp!K702,Decimals)</f>
        <v/>
      </c>
      <c r="L702" s="69" t="str">
        <f>TEXT(ASTemp!L702,Decimals)</f>
        <v/>
      </c>
      <c r="M702" s="71" t="str">
        <f>TEXT(ASTemp!M702,Percentages)</f>
        <v/>
      </c>
      <c r="N702" s="72" t="str">
        <f>TEXT(ASTemp!N702,Percentages)</f>
        <v/>
      </c>
    </row>
    <row r="703" ht="14.25" customHeight="1">
      <c r="B703" s="66" t="str">
        <f>ASTemp!B703</f>
        <v/>
      </c>
      <c r="C703" s="67" t="str">
        <f>ASTemp!C703</f>
        <v/>
      </c>
      <c r="D703" s="68" t="str">
        <f>ASTemp!D703</f>
        <v/>
      </c>
      <c r="E703" s="65" t="str">
        <f>ASTemp!E703</f>
        <v/>
      </c>
      <c r="F703" s="69" t="str">
        <f>TEXT(ASTemp!F703,Decimals)</f>
        <v/>
      </c>
      <c r="G703" s="69" t="str">
        <f>TEXT(ASTemp!G703,Decimals)</f>
        <v/>
      </c>
      <c r="H703" s="69" t="str">
        <f>TEXT(ASTemp!H703,Decimals)</f>
        <v/>
      </c>
      <c r="I703" s="69" t="str">
        <f>TEXT(ASTemp!I703,Decimals)</f>
        <v/>
      </c>
      <c r="J703" s="69" t="str">
        <f>TEXT(ASTemp!J703,Decimals)</f>
        <v/>
      </c>
      <c r="K703" s="69" t="str">
        <f>TEXT(ASTemp!K703,Decimals)</f>
        <v/>
      </c>
      <c r="L703" s="69" t="str">
        <f>TEXT(ASTemp!L703,Decimals)</f>
        <v/>
      </c>
      <c r="M703" s="71" t="str">
        <f>TEXT(ASTemp!M703,Percentages)</f>
        <v/>
      </c>
      <c r="N703" s="72" t="str">
        <f>TEXT(ASTemp!N703,Percentages)</f>
        <v/>
      </c>
    </row>
    <row r="704" ht="14.25" customHeight="1">
      <c r="B704" s="66" t="str">
        <f>ASTemp!B704</f>
        <v/>
      </c>
      <c r="C704" s="67" t="str">
        <f>ASTemp!C704</f>
        <v/>
      </c>
      <c r="D704" s="68" t="str">
        <f>ASTemp!D704</f>
        <v/>
      </c>
      <c r="E704" s="65" t="str">
        <f>ASTemp!E704</f>
        <v/>
      </c>
      <c r="F704" s="69" t="str">
        <f>TEXT(ASTemp!F704,Decimals)</f>
        <v/>
      </c>
      <c r="G704" s="69" t="str">
        <f>TEXT(ASTemp!G704,Decimals)</f>
        <v/>
      </c>
      <c r="H704" s="69" t="str">
        <f>TEXT(ASTemp!H704,Decimals)</f>
        <v/>
      </c>
      <c r="I704" s="69" t="str">
        <f>TEXT(ASTemp!I704,Decimals)</f>
        <v/>
      </c>
      <c r="J704" s="69" t="str">
        <f>TEXT(ASTemp!J704,Decimals)</f>
        <v/>
      </c>
      <c r="K704" s="69" t="str">
        <f>TEXT(ASTemp!K704,Decimals)</f>
        <v/>
      </c>
      <c r="L704" s="69" t="str">
        <f>TEXT(ASTemp!L704,Decimals)</f>
        <v/>
      </c>
      <c r="M704" s="71" t="str">
        <f>TEXT(ASTemp!M704,Percentages)</f>
        <v/>
      </c>
      <c r="N704" s="72" t="str">
        <f>TEXT(ASTemp!N704,Percentages)</f>
        <v/>
      </c>
    </row>
    <row r="705" ht="14.25" customHeight="1">
      <c r="B705" s="66" t="str">
        <f>ASTemp!B705</f>
        <v/>
      </c>
      <c r="C705" s="67" t="str">
        <f>ASTemp!C705</f>
        <v/>
      </c>
      <c r="D705" s="68" t="str">
        <f>ASTemp!D705</f>
        <v/>
      </c>
      <c r="E705" s="65" t="str">
        <f>ASTemp!E705</f>
        <v/>
      </c>
      <c r="F705" s="69" t="str">
        <f>TEXT(ASTemp!F705,Decimals)</f>
        <v/>
      </c>
      <c r="G705" s="69" t="str">
        <f>TEXT(ASTemp!G705,Decimals)</f>
        <v/>
      </c>
      <c r="H705" s="69" t="str">
        <f>TEXT(ASTemp!H705,Decimals)</f>
        <v/>
      </c>
      <c r="I705" s="69" t="str">
        <f>TEXT(ASTemp!I705,Decimals)</f>
        <v/>
      </c>
      <c r="J705" s="69" t="str">
        <f>TEXT(ASTemp!J705,Decimals)</f>
        <v/>
      </c>
      <c r="K705" s="69" t="str">
        <f>TEXT(ASTemp!K705,Decimals)</f>
        <v/>
      </c>
      <c r="L705" s="69" t="str">
        <f>TEXT(ASTemp!L705,Decimals)</f>
        <v/>
      </c>
      <c r="M705" s="71" t="str">
        <f>TEXT(ASTemp!M705,Percentages)</f>
        <v/>
      </c>
      <c r="N705" s="72" t="str">
        <f>TEXT(ASTemp!N705,Percentages)</f>
        <v/>
      </c>
    </row>
    <row r="706" ht="14.25" customHeight="1">
      <c r="B706" s="66" t="str">
        <f>ASTemp!B706</f>
        <v/>
      </c>
      <c r="C706" s="67" t="str">
        <f>ASTemp!C706</f>
        <v/>
      </c>
      <c r="D706" s="68" t="str">
        <f>ASTemp!D706</f>
        <v/>
      </c>
      <c r="E706" s="65" t="str">
        <f>ASTemp!E706</f>
        <v/>
      </c>
      <c r="F706" s="69" t="str">
        <f>TEXT(ASTemp!F706,Decimals)</f>
        <v/>
      </c>
      <c r="G706" s="69" t="str">
        <f>TEXT(ASTemp!G706,Decimals)</f>
        <v/>
      </c>
      <c r="H706" s="69" t="str">
        <f>TEXT(ASTemp!H706,Decimals)</f>
        <v/>
      </c>
      <c r="I706" s="69" t="str">
        <f>TEXT(ASTemp!I706,Decimals)</f>
        <v/>
      </c>
      <c r="J706" s="69" t="str">
        <f>TEXT(ASTemp!J706,Decimals)</f>
        <v/>
      </c>
      <c r="K706" s="69" t="str">
        <f>TEXT(ASTemp!K706,Decimals)</f>
        <v/>
      </c>
      <c r="L706" s="69" t="str">
        <f>TEXT(ASTemp!L706,Decimals)</f>
        <v/>
      </c>
      <c r="M706" s="71" t="str">
        <f>TEXT(ASTemp!M706,Percentages)</f>
        <v/>
      </c>
      <c r="N706" s="72" t="str">
        <f>TEXT(ASTemp!N706,Percentages)</f>
        <v/>
      </c>
    </row>
    <row r="707" ht="14.25" customHeight="1">
      <c r="B707" s="66" t="str">
        <f>ASTemp!B707</f>
        <v/>
      </c>
      <c r="C707" s="67" t="str">
        <f>ASTemp!C707</f>
        <v/>
      </c>
      <c r="D707" s="68" t="str">
        <f>ASTemp!D707</f>
        <v/>
      </c>
      <c r="E707" s="65" t="str">
        <f>ASTemp!E707</f>
        <v/>
      </c>
      <c r="F707" s="69" t="str">
        <f>TEXT(ASTemp!F707,Decimals)</f>
        <v/>
      </c>
      <c r="G707" s="69" t="str">
        <f>TEXT(ASTemp!G707,Decimals)</f>
        <v/>
      </c>
      <c r="H707" s="69" t="str">
        <f>TEXT(ASTemp!H707,Decimals)</f>
        <v/>
      </c>
      <c r="I707" s="69" t="str">
        <f>TEXT(ASTemp!I707,Decimals)</f>
        <v/>
      </c>
      <c r="J707" s="69" t="str">
        <f>TEXT(ASTemp!J707,Decimals)</f>
        <v/>
      </c>
      <c r="K707" s="69" t="str">
        <f>TEXT(ASTemp!K707,Decimals)</f>
        <v/>
      </c>
      <c r="L707" s="69" t="str">
        <f>TEXT(ASTemp!L707,Decimals)</f>
        <v/>
      </c>
      <c r="M707" s="71" t="str">
        <f>TEXT(ASTemp!M707,Percentages)</f>
        <v/>
      </c>
      <c r="N707" s="72" t="str">
        <f>TEXT(ASTemp!N707,Percentages)</f>
        <v/>
      </c>
    </row>
    <row r="708" ht="14.25" customHeight="1">
      <c r="B708" s="66" t="str">
        <f>ASTemp!B708</f>
        <v/>
      </c>
      <c r="C708" s="67" t="str">
        <f>ASTemp!C708</f>
        <v/>
      </c>
      <c r="D708" s="68" t="str">
        <f>ASTemp!D708</f>
        <v/>
      </c>
      <c r="E708" s="65" t="str">
        <f>ASTemp!E708</f>
        <v/>
      </c>
      <c r="F708" s="69" t="str">
        <f>TEXT(ASTemp!F708,Decimals)</f>
        <v/>
      </c>
      <c r="G708" s="69" t="str">
        <f>TEXT(ASTemp!G708,Decimals)</f>
        <v/>
      </c>
      <c r="H708" s="69" t="str">
        <f>TEXT(ASTemp!H708,Decimals)</f>
        <v/>
      </c>
      <c r="I708" s="69" t="str">
        <f>TEXT(ASTemp!I708,Decimals)</f>
        <v/>
      </c>
      <c r="J708" s="69" t="str">
        <f>TEXT(ASTemp!J708,Decimals)</f>
        <v/>
      </c>
      <c r="K708" s="69" t="str">
        <f>TEXT(ASTemp!K708,Decimals)</f>
        <v/>
      </c>
      <c r="L708" s="69" t="str">
        <f>TEXT(ASTemp!L708,Decimals)</f>
        <v/>
      </c>
      <c r="M708" s="71" t="str">
        <f>TEXT(ASTemp!M708,Percentages)</f>
        <v/>
      </c>
      <c r="N708" s="72" t="str">
        <f>TEXT(ASTemp!N708,Percentages)</f>
        <v/>
      </c>
    </row>
    <row r="709" ht="14.25" customHeight="1">
      <c r="B709" s="66" t="str">
        <f>ASTemp!B709</f>
        <v/>
      </c>
      <c r="C709" s="67" t="str">
        <f>ASTemp!C709</f>
        <v/>
      </c>
      <c r="D709" s="68" t="str">
        <f>ASTemp!D709</f>
        <v/>
      </c>
      <c r="E709" s="65" t="str">
        <f>ASTemp!E709</f>
        <v/>
      </c>
      <c r="F709" s="69" t="str">
        <f>TEXT(ASTemp!F709,Decimals)</f>
        <v/>
      </c>
      <c r="G709" s="69" t="str">
        <f>TEXT(ASTemp!G709,Decimals)</f>
        <v/>
      </c>
      <c r="H709" s="69" t="str">
        <f>TEXT(ASTemp!H709,Decimals)</f>
        <v/>
      </c>
      <c r="I709" s="69" t="str">
        <f>TEXT(ASTemp!I709,Decimals)</f>
        <v/>
      </c>
      <c r="J709" s="69" t="str">
        <f>TEXT(ASTemp!J709,Decimals)</f>
        <v/>
      </c>
      <c r="K709" s="69" t="str">
        <f>TEXT(ASTemp!K709,Decimals)</f>
        <v/>
      </c>
      <c r="L709" s="69" t="str">
        <f>TEXT(ASTemp!L709,Decimals)</f>
        <v/>
      </c>
      <c r="M709" s="71" t="str">
        <f>TEXT(ASTemp!M709,Percentages)</f>
        <v/>
      </c>
      <c r="N709" s="72" t="str">
        <f>TEXT(ASTemp!N709,Percentages)</f>
        <v/>
      </c>
    </row>
    <row r="710" ht="14.25" customHeight="1">
      <c r="B710" s="66" t="str">
        <f>ASTemp!B710</f>
        <v/>
      </c>
      <c r="C710" s="67" t="str">
        <f>ASTemp!C710</f>
        <v/>
      </c>
      <c r="D710" s="68" t="str">
        <f>ASTemp!D710</f>
        <v/>
      </c>
      <c r="E710" s="65" t="str">
        <f>ASTemp!E710</f>
        <v/>
      </c>
      <c r="F710" s="69" t="str">
        <f>TEXT(ASTemp!F710,Decimals)</f>
        <v/>
      </c>
      <c r="G710" s="69" t="str">
        <f>TEXT(ASTemp!G710,Decimals)</f>
        <v/>
      </c>
      <c r="H710" s="69" t="str">
        <f>TEXT(ASTemp!H710,Decimals)</f>
        <v/>
      </c>
      <c r="I710" s="69" t="str">
        <f>TEXT(ASTemp!I710,Decimals)</f>
        <v/>
      </c>
      <c r="J710" s="69" t="str">
        <f>TEXT(ASTemp!J710,Decimals)</f>
        <v/>
      </c>
      <c r="K710" s="69" t="str">
        <f>TEXT(ASTemp!K710,Decimals)</f>
        <v/>
      </c>
      <c r="L710" s="69" t="str">
        <f>TEXT(ASTemp!L710,Decimals)</f>
        <v/>
      </c>
      <c r="M710" s="71" t="str">
        <f>TEXT(ASTemp!M710,Percentages)</f>
        <v/>
      </c>
      <c r="N710" s="72" t="str">
        <f>TEXT(ASTemp!N710,Percentages)</f>
        <v/>
      </c>
    </row>
    <row r="711" ht="14.25" customHeight="1">
      <c r="B711" s="66" t="str">
        <f>ASTemp!B711</f>
        <v/>
      </c>
      <c r="C711" s="67" t="str">
        <f>ASTemp!C711</f>
        <v/>
      </c>
      <c r="D711" s="68" t="str">
        <f>ASTemp!D711</f>
        <v/>
      </c>
      <c r="E711" s="65" t="str">
        <f>ASTemp!E711</f>
        <v/>
      </c>
      <c r="F711" s="69" t="str">
        <f>TEXT(ASTemp!F711,Decimals)</f>
        <v/>
      </c>
      <c r="G711" s="69" t="str">
        <f>TEXT(ASTemp!G711,Decimals)</f>
        <v/>
      </c>
      <c r="H711" s="69" t="str">
        <f>TEXT(ASTemp!H711,Decimals)</f>
        <v/>
      </c>
      <c r="I711" s="69" t="str">
        <f>TEXT(ASTemp!I711,Decimals)</f>
        <v/>
      </c>
      <c r="J711" s="69" t="str">
        <f>TEXT(ASTemp!J711,Decimals)</f>
        <v/>
      </c>
      <c r="K711" s="69" t="str">
        <f>TEXT(ASTemp!K711,Decimals)</f>
        <v/>
      </c>
      <c r="L711" s="69" t="str">
        <f>TEXT(ASTemp!L711,Decimals)</f>
        <v/>
      </c>
      <c r="M711" s="71" t="str">
        <f>TEXT(ASTemp!M711,Percentages)</f>
        <v/>
      </c>
      <c r="N711" s="72" t="str">
        <f>TEXT(ASTemp!N711,Percentages)</f>
        <v/>
      </c>
    </row>
    <row r="712" ht="14.25" customHeight="1">
      <c r="B712" s="66" t="str">
        <f>ASTemp!B712</f>
        <v/>
      </c>
      <c r="C712" s="67" t="str">
        <f>ASTemp!C712</f>
        <v/>
      </c>
      <c r="D712" s="68" t="str">
        <f>ASTemp!D712</f>
        <v/>
      </c>
      <c r="E712" s="65" t="str">
        <f>ASTemp!E712</f>
        <v/>
      </c>
      <c r="F712" s="69" t="str">
        <f>TEXT(ASTemp!F712,Decimals)</f>
        <v/>
      </c>
      <c r="G712" s="69" t="str">
        <f>TEXT(ASTemp!G712,Decimals)</f>
        <v/>
      </c>
      <c r="H712" s="69" t="str">
        <f>TEXT(ASTemp!H712,Decimals)</f>
        <v/>
      </c>
      <c r="I712" s="69" t="str">
        <f>TEXT(ASTemp!I712,Decimals)</f>
        <v/>
      </c>
      <c r="J712" s="69" t="str">
        <f>TEXT(ASTemp!J712,Decimals)</f>
        <v/>
      </c>
      <c r="K712" s="69" t="str">
        <f>TEXT(ASTemp!K712,Decimals)</f>
        <v/>
      </c>
      <c r="L712" s="69" t="str">
        <f>TEXT(ASTemp!L712,Decimals)</f>
        <v/>
      </c>
      <c r="M712" s="71" t="str">
        <f>TEXT(ASTemp!M712,Percentages)</f>
        <v/>
      </c>
      <c r="N712" s="72" t="str">
        <f>TEXT(ASTemp!N712,Percentages)</f>
        <v/>
      </c>
    </row>
    <row r="713" ht="14.25" customHeight="1">
      <c r="B713" s="66" t="str">
        <f>ASTemp!B713</f>
        <v/>
      </c>
      <c r="C713" s="67" t="str">
        <f>ASTemp!C713</f>
        <v/>
      </c>
      <c r="D713" s="68" t="str">
        <f>ASTemp!D713</f>
        <v/>
      </c>
      <c r="E713" s="65" t="str">
        <f>ASTemp!E713</f>
        <v/>
      </c>
      <c r="F713" s="69" t="str">
        <f>TEXT(ASTemp!F713,Decimals)</f>
        <v/>
      </c>
      <c r="G713" s="69" t="str">
        <f>TEXT(ASTemp!G713,Decimals)</f>
        <v/>
      </c>
      <c r="H713" s="69" t="str">
        <f>TEXT(ASTemp!H713,Decimals)</f>
        <v/>
      </c>
      <c r="I713" s="69" t="str">
        <f>TEXT(ASTemp!I713,Decimals)</f>
        <v/>
      </c>
      <c r="J713" s="69" t="str">
        <f>TEXT(ASTemp!J713,Decimals)</f>
        <v/>
      </c>
      <c r="K713" s="69" t="str">
        <f>TEXT(ASTemp!K713,Decimals)</f>
        <v/>
      </c>
      <c r="L713" s="69" t="str">
        <f>TEXT(ASTemp!L713,Decimals)</f>
        <v/>
      </c>
      <c r="M713" s="71" t="str">
        <f>TEXT(ASTemp!M713,Percentages)</f>
        <v/>
      </c>
      <c r="N713" s="72" t="str">
        <f>TEXT(ASTemp!N713,Percentages)</f>
        <v/>
      </c>
    </row>
    <row r="714" ht="14.25" customHeight="1">
      <c r="B714" s="66" t="str">
        <f>ASTemp!B714</f>
        <v/>
      </c>
      <c r="C714" s="67" t="str">
        <f>ASTemp!C714</f>
        <v/>
      </c>
      <c r="D714" s="68" t="str">
        <f>ASTemp!D714</f>
        <v/>
      </c>
      <c r="E714" s="65" t="str">
        <f>ASTemp!E714</f>
        <v/>
      </c>
      <c r="F714" s="69" t="str">
        <f>TEXT(ASTemp!F714,Decimals)</f>
        <v/>
      </c>
      <c r="G714" s="69" t="str">
        <f>TEXT(ASTemp!G714,Decimals)</f>
        <v/>
      </c>
      <c r="H714" s="69" t="str">
        <f>TEXT(ASTemp!H714,Decimals)</f>
        <v/>
      </c>
      <c r="I714" s="69" t="str">
        <f>TEXT(ASTemp!I714,Decimals)</f>
        <v/>
      </c>
      <c r="J714" s="69" t="str">
        <f>TEXT(ASTemp!J714,Decimals)</f>
        <v/>
      </c>
      <c r="K714" s="69" t="str">
        <f>TEXT(ASTemp!K714,Decimals)</f>
        <v/>
      </c>
      <c r="L714" s="69" t="str">
        <f>TEXT(ASTemp!L714,Decimals)</f>
        <v/>
      </c>
      <c r="M714" s="71" t="str">
        <f>TEXT(ASTemp!M714,Percentages)</f>
        <v/>
      </c>
      <c r="N714" s="72" t="str">
        <f>TEXT(ASTemp!N714,Percentages)</f>
        <v/>
      </c>
    </row>
    <row r="715" ht="14.25" customHeight="1">
      <c r="B715" s="66" t="str">
        <f>ASTemp!B715</f>
        <v/>
      </c>
      <c r="C715" s="67" t="str">
        <f>ASTemp!C715</f>
        <v/>
      </c>
      <c r="D715" s="68" t="str">
        <f>ASTemp!D715</f>
        <v/>
      </c>
      <c r="E715" s="65" t="str">
        <f>ASTemp!E715</f>
        <v/>
      </c>
      <c r="F715" s="69" t="str">
        <f>TEXT(ASTemp!F715,Decimals)</f>
        <v/>
      </c>
      <c r="G715" s="69" t="str">
        <f>TEXT(ASTemp!G715,Decimals)</f>
        <v/>
      </c>
      <c r="H715" s="69" t="str">
        <f>TEXT(ASTemp!H715,Decimals)</f>
        <v/>
      </c>
      <c r="I715" s="69" t="str">
        <f>TEXT(ASTemp!I715,Decimals)</f>
        <v/>
      </c>
      <c r="J715" s="69" t="str">
        <f>TEXT(ASTemp!J715,Decimals)</f>
        <v/>
      </c>
      <c r="K715" s="69" t="str">
        <f>TEXT(ASTemp!K715,Decimals)</f>
        <v/>
      </c>
      <c r="L715" s="69" t="str">
        <f>TEXT(ASTemp!L715,Decimals)</f>
        <v/>
      </c>
      <c r="M715" s="71" t="str">
        <f>TEXT(ASTemp!M715,Percentages)</f>
        <v/>
      </c>
      <c r="N715" s="72" t="str">
        <f>TEXT(ASTemp!N715,Percentages)</f>
        <v/>
      </c>
    </row>
    <row r="716" ht="14.25" customHeight="1">
      <c r="B716" s="66" t="str">
        <f>ASTemp!B716</f>
        <v/>
      </c>
      <c r="C716" s="67" t="str">
        <f>ASTemp!C716</f>
        <v/>
      </c>
      <c r="D716" s="68" t="str">
        <f>ASTemp!D716</f>
        <v/>
      </c>
      <c r="E716" s="65" t="str">
        <f>ASTemp!E716</f>
        <v/>
      </c>
      <c r="F716" s="69" t="str">
        <f>TEXT(ASTemp!F716,Decimals)</f>
        <v/>
      </c>
      <c r="G716" s="69" t="str">
        <f>TEXT(ASTemp!G716,Decimals)</f>
        <v/>
      </c>
      <c r="H716" s="69" t="str">
        <f>TEXT(ASTemp!H716,Decimals)</f>
        <v/>
      </c>
      <c r="I716" s="69" t="str">
        <f>TEXT(ASTemp!I716,Decimals)</f>
        <v/>
      </c>
      <c r="J716" s="69" t="str">
        <f>TEXT(ASTemp!J716,Decimals)</f>
        <v/>
      </c>
      <c r="K716" s="69" t="str">
        <f>TEXT(ASTemp!K716,Decimals)</f>
        <v/>
      </c>
      <c r="L716" s="69" t="str">
        <f>TEXT(ASTemp!L716,Decimals)</f>
        <v/>
      </c>
      <c r="M716" s="71" t="str">
        <f>TEXT(ASTemp!M716,Percentages)</f>
        <v/>
      </c>
      <c r="N716" s="72" t="str">
        <f>TEXT(ASTemp!N716,Percentages)</f>
        <v/>
      </c>
    </row>
    <row r="717" ht="14.25" customHeight="1">
      <c r="B717" s="66" t="str">
        <f>ASTemp!B717</f>
        <v/>
      </c>
      <c r="C717" s="67" t="str">
        <f>ASTemp!C717</f>
        <v/>
      </c>
      <c r="D717" s="68" t="str">
        <f>ASTemp!D717</f>
        <v/>
      </c>
      <c r="E717" s="65" t="str">
        <f>ASTemp!E717</f>
        <v/>
      </c>
      <c r="F717" s="69" t="str">
        <f>TEXT(ASTemp!F717,Decimals)</f>
        <v/>
      </c>
      <c r="G717" s="69" t="str">
        <f>TEXT(ASTemp!G717,Decimals)</f>
        <v/>
      </c>
      <c r="H717" s="69" t="str">
        <f>TEXT(ASTemp!H717,Decimals)</f>
        <v/>
      </c>
      <c r="I717" s="69" t="str">
        <f>TEXT(ASTemp!I717,Decimals)</f>
        <v/>
      </c>
      <c r="J717" s="69" t="str">
        <f>TEXT(ASTemp!J717,Decimals)</f>
        <v/>
      </c>
      <c r="K717" s="69" t="str">
        <f>TEXT(ASTemp!K717,Decimals)</f>
        <v/>
      </c>
      <c r="L717" s="69" t="str">
        <f>TEXT(ASTemp!L717,Decimals)</f>
        <v/>
      </c>
      <c r="M717" s="71" t="str">
        <f>TEXT(ASTemp!M717,Percentages)</f>
        <v/>
      </c>
      <c r="N717" s="72" t="str">
        <f>TEXT(ASTemp!N717,Percentages)</f>
        <v/>
      </c>
    </row>
    <row r="718" ht="14.25" customHeight="1">
      <c r="B718" s="66" t="str">
        <f>ASTemp!B718</f>
        <v/>
      </c>
      <c r="C718" s="67" t="str">
        <f>ASTemp!C718</f>
        <v/>
      </c>
      <c r="D718" s="68" t="str">
        <f>ASTemp!D718</f>
        <v/>
      </c>
      <c r="E718" s="65" t="str">
        <f>ASTemp!E718</f>
        <v/>
      </c>
      <c r="F718" s="69" t="str">
        <f>TEXT(ASTemp!F718,Decimals)</f>
        <v/>
      </c>
      <c r="G718" s="69" t="str">
        <f>TEXT(ASTemp!G718,Decimals)</f>
        <v/>
      </c>
      <c r="H718" s="69" t="str">
        <f>TEXT(ASTemp!H718,Decimals)</f>
        <v/>
      </c>
      <c r="I718" s="69" t="str">
        <f>TEXT(ASTemp!I718,Decimals)</f>
        <v/>
      </c>
      <c r="J718" s="69" t="str">
        <f>TEXT(ASTemp!J718,Decimals)</f>
        <v/>
      </c>
      <c r="K718" s="69" t="str">
        <f>TEXT(ASTemp!K718,Decimals)</f>
        <v/>
      </c>
      <c r="L718" s="69" t="str">
        <f>TEXT(ASTemp!L718,Decimals)</f>
        <v/>
      </c>
      <c r="M718" s="71" t="str">
        <f>TEXT(ASTemp!M718,Percentages)</f>
        <v/>
      </c>
      <c r="N718" s="72" t="str">
        <f>TEXT(ASTemp!N718,Percentages)</f>
        <v/>
      </c>
    </row>
    <row r="719" ht="14.25" customHeight="1">
      <c r="B719" s="66" t="str">
        <f>ASTemp!B719</f>
        <v/>
      </c>
      <c r="C719" s="67" t="str">
        <f>ASTemp!C719</f>
        <v/>
      </c>
      <c r="D719" s="68" t="str">
        <f>ASTemp!D719</f>
        <v/>
      </c>
      <c r="E719" s="65" t="str">
        <f>ASTemp!E719</f>
        <v/>
      </c>
      <c r="F719" s="69" t="str">
        <f>TEXT(ASTemp!F719,Decimals)</f>
        <v/>
      </c>
      <c r="G719" s="69" t="str">
        <f>TEXT(ASTemp!G719,Decimals)</f>
        <v/>
      </c>
      <c r="H719" s="69" t="str">
        <f>TEXT(ASTemp!H719,Decimals)</f>
        <v/>
      </c>
      <c r="I719" s="69" t="str">
        <f>TEXT(ASTemp!I719,Decimals)</f>
        <v/>
      </c>
      <c r="J719" s="69" t="str">
        <f>TEXT(ASTemp!J719,Decimals)</f>
        <v/>
      </c>
      <c r="K719" s="69" t="str">
        <f>TEXT(ASTemp!K719,Decimals)</f>
        <v/>
      </c>
      <c r="L719" s="69" t="str">
        <f>TEXT(ASTemp!L719,Decimals)</f>
        <v/>
      </c>
      <c r="M719" s="71" t="str">
        <f>TEXT(ASTemp!M719,Percentages)</f>
        <v/>
      </c>
      <c r="N719" s="72" t="str">
        <f>TEXT(ASTemp!N719,Percentages)</f>
        <v/>
      </c>
    </row>
    <row r="720" ht="14.25" customHeight="1">
      <c r="B720" s="66" t="str">
        <f>ASTemp!B720</f>
        <v/>
      </c>
      <c r="C720" s="67" t="str">
        <f>ASTemp!C720</f>
        <v/>
      </c>
      <c r="D720" s="68" t="str">
        <f>ASTemp!D720</f>
        <v/>
      </c>
      <c r="E720" s="65" t="str">
        <f>ASTemp!E720</f>
        <v/>
      </c>
      <c r="F720" s="69" t="str">
        <f>TEXT(ASTemp!F720,Decimals)</f>
        <v/>
      </c>
      <c r="G720" s="69" t="str">
        <f>TEXT(ASTemp!G720,Decimals)</f>
        <v/>
      </c>
      <c r="H720" s="69" t="str">
        <f>TEXT(ASTemp!H720,Decimals)</f>
        <v/>
      </c>
      <c r="I720" s="69" t="str">
        <f>TEXT(ASTemp!I720,Decimals)</f>
        <v/>
      </c>
      <c r="J720" s="69" t="str">
        <f>TEXT(ASTemp!J720,Decimals)</f>
        <v/>
      </c>
      <c r="K720" s="69" t="str">
        <f>TEXT(ASTemp!K720,Decimals)</f>
        <v/>
      </c>
      <c r="L720" s="69" t="str">
        <f>TEXT(ASTemp!L720,Decimals)</f>
        <v/>
      </c>
      <c r="M720" s="71" t="str">
        <f>TEXT(ASTemp!M720,Percentages)</f>
        <v/>
      </c>
      <c r="N720" s="72" t="str">
        <f>TEXT(ASTemp!N720,Percentages)</f>
        <v/>
      </c>
    </row>
    <row r="721" ht="14.25" customHeight="1">
      <c r="B721" s="66" t="str">
        <f>ASTemp!B721</f>
        <v/>
      </c>
      <c r="C721" s="67" t="str">
        <f>ASTemp!C721</f>
        <v/>
      </c>
      <c r="D721" s="68" t="str">
        <f>ASTemp!D721</f>
        <v/>
      </c>
      <c r="E721" s="65" t="str">
        <f>ASTemp!E721</f>
        <v/>
      </c>
      <c r="F721" s="69" t="str">
        <f>TEXT(ASTemp!F721,Decimals)</f>
        <v/>
      </c>
      <c r="G721" s="69" t="str">
        <f>TEXT(ASTemp!G721,Decimals)</f>
        <v/>
      </c>
      <c r="H721" s="69" t="str">
        <f>TEXT(ASTemp!H721,Decimals)</f>
        <v/>
      </c>
      <c r="I721" s="69" t="str">
        <f>TEXT(ASTemp!I721,Decimals)</f>
        <v/>
      </c>
      <c r="J721" s="69" t="str">
        <f>TEXT(ASTemp!J721,Decimals)</f>
        <v/>
      </c>
      <c r="K721" s="69" t="str">
        <f>TEXT(ASTemp!K721,Decimals)</f>
        <v/>
      </c>
      <c r="L721" s="69" t="str">
        <f>TEXT(ASTemp!L721,Decimals)</f>
        <v/>
      </c>
      <c r="M721" s="71" t="str">
        <f>TEXT(ASTemp!M721,Percentages)</f>
        <v/>
      </c>
      <c r="N721" s="72" t="str">
        <f>TEXT(ASTemp!N721,Percentages)</f>
        <v/>
      </c>
    </row>
    <row r="722" ht="14.25" customHeight="1">
      <c r="B722" s="66" t="str">
        <f>ASTemp!B722</f>
        <v/>
      </c>
      <c r="C722" s="67" t="str">
        <f>ASTemp!C722</f>
        <v/>
      </c>
      <c r="D722" s="68" t="str">
        <f>ASTemp!D722</f>
        <v/>
      </c>
      <c r="E722" s="65" t="str">
        <f>ASTemp!E722</f>
        <v/>
      </c>
      <c r="F722" s="69" t="str">
        <f>TEXT(ASTemp!F722,Decimals)</f>
        <v/>
      </c>
      <c r="G722" s="69" t="str">
        <f>TEXT(ASTemp!G722,Decimals)</f>
        <v/>
      </c>
      <c r="H722" s="69" t="str">
        <f>TEXT(ASTemp!H722,Decimals)</f>
        <v/>
      </c>
      <c r="I722" s="69" t="str">
        <f>TEXT(ASTemp!I722,Decimals)</f>
        <v/>
      </c>
      <c r="J722" s="69" t="str">
        <f>TEXT(ASTemp!J722,Decimals)</f>
        <v/>
      </c>
      <c r="K722" s="69" t="str">
        <f>TEXT(ASTemp!K722,Decimals)</f>
        <v/>
      </c>
      <c r="L722" s="69" t="str">
        <f>TEXT(ASTemp!L722,Decimals)</f>
        <v/>
      </c>
      <c r="M722" s="71" t="str">
        <f>TEXT(ASTemp!M722,Percentages)</f>
        <v/>
      </c>
      <c r="N722" s="72" t="str">
        <f>TEXT(ASTemp!N722,Percentages)</f>
        <v/>
      </c>
    </row>
    <row r="723" ht="14.25" customHeight="1">
      <c r="B723" s="66" t="str">
        <f>ASTemp!B723</f>
        <v/>
      </c>
      <c r="C723" s="67" t="str">
        <f>ASTemp!C723</f>
        <v/>
      </c>
      <c r="D723" s="68" t="str">
        <f>ASTemp!D723</f>
        <v/>
      </c>
      <c r="E723" s="65" t="str">
        <f>ASTemp!E723</f>
        <v/>
      </c>
      <c r="F723" s="69" t="str">
        <f>TEXT(ASTemp!F723,Decimals)</f>
        <v/>
      </c>
      <c r="G723" s="69" t="str">
        <f>TEXT(ASTemp!G723,Decimals)</f>
        <v/>
      </c>
      <c r="H723" s="69" t="str">
        <f>TEXT(ASTemp!H723,Decimals)</f>
        <v/>
      </c>
      <c r="I723" s="69" t="str">
        <f>TEXT(ASTemp!I723,Decimals)</f>
        <v/>
      </c>
      <c r="J723" s="69" t="str">
        <f>TEXT(ASTemp!J723,Decimals)</f>
        <v/>
      </c>
      <c r="K723" s="69" t="str">
        <f>TEXT(ASTemp!K723,Decimals)</f>
        <v/>
      </c>
      <c r="L723" s="69" t="str">
        <f>TEXT(ASTemp!L723,Decimals)</f>
        <v/>
      </c>
      <c r="M723" s="71" t="str">
        <f>TEXT(ASTemp!M723,Percentages)</f>
        <v/>
      </c>
      <c r="N723" s="72" t="str">
        <f>TEXT(ASTemp!N723,Percentages)</f>
        <v/>
      </c>
    </row>
    <row r="724" ht="14.25" customHeight="1">
      <c r="B724" s="66" t="str">
        <f>ASTemp!B724</f>
        <v/>
      </c>
      <c r="C724" s="67" t="str">
        <f>ASTemp!C724</f>
        <v/>
      </c>
      <c r="D724" s="68" t="str">
        <f>ASTemp!D724</f>
        <v/>
      </c>
      <c r="E724" s="65" t="str">
        <f>ASTemp!E724</f>
        <v/>
      </c>
      <c r="F724" s="69" t="str">
        <f>TEXT(ASTemp!F724,Decimals)</f>
        <v/>
      </c>
      <c r="G724" s="69" t="str">
        <f>TEXT(ASTemp!G724,Decimals)</f>
        <v/>
      </c>
      <c r="H724" s="69" t="str">
        <f>TEXT(ASTemp!H724,Decimals)</f>
        <v/>
      </c>
      <c r="I724" s="69" t="str">
        <f>TEXT(ASTemp!I724,Decimals)</f>
        <v/>
      </c>
      <c r="J724" s="69" t="str">
        <f>TEXT(ASTemp!J724,Decimals)</f>
        <v/>
      </c>
      <c r="K724" s="69" t="str">
        <f>TEXT(ASTemp!K724,Decimals)</f>
        <v/>
      </c>
      <c r="L724" s="69" t="str">
        <f>TEXT(ASTemp!L724,Decimals)</f>
        <v/>
      </c>
      <c r="M724" s="71" t="str">
        <f>TEXT(ASTemp!M724,Percentages)</f>
        <v/>
      </c>
      <c r="N724" s="72" t="str">
        <f>TEXT(ASTemp!N724,Percentages)</f>
        <v/>
      </c>
    </row>
    <row r="725" ht="14.25" customHeight="1">
      <c r="B725" s="66" t="str">
        <f>ASTemp!B725</f>
        <v/>
      </c>
      <c r="C725" s="67" t="str">
        <f>ASTemp!C725</f>
        <v/>
      </c>
      <c r="D725" s="68" t="str">
        <f>ASTemp!D725</f>
        <v/>
      </c>
      <c r="E725" s="65" t="str">
        <f>ASTemp!E725</f>
        <v/>
      </c>
      <c r="F725" s="69" t="str">
        <f>TEXT(ASTemp!F725,Decimals)</f>
        <v/>
      </c>
      <c r="G725" s="69" t="str">
        <f>TEXT(ASTemp!G725,Decimals)</f>
        <v/>
      </c>
      <c r="H725" s="69" t="str">
        <f>TEXT(ASTemp!H725,Decimals)</f>
        <v/>
      </c>
      <c r="I725" s="69" t="str">
        <f>TEXT(ASTemp!I725,Decimals)</f>
        <v/>
      </c>
      <c r="J725" s="69" t="str">
        <f>TEXT(ASTemp!J725,Decimals)</f>
        <v/>
      </c>
      <c r="K725" s="69" t="str">
        <f>TEXT(ASTemp!K725,Decimals)</f>
        <v/>
      </c>
      <c r="L725" s="69" t="str">
        <f>TEXT(ASTemp!L725,Decimals)</f>
        <v/>
      </c>
      <c r="M725" s="71" t="str">
        <f>TEXT(ASTemp!M725,Percentages)</f>
        <v/>
      </c>
      <c r="N725" s="72" t="str">
        <f>TEXT(ASTemp!N725,Percentages)</f>
        <v/>
      </c>
    </row>
    <row r="726" ht="14.25" customHeight="1">
      <c r="B726" s="66" t="str">
        <f>ASTemp!B726</f>
        <v/>
      </c>
      <c r="C726" s="67" t="str">
        <f>ASTemp!C726</f>
        <v/>
      </c>
      <c r="D726" s="68" t="str">
        <f>ASTemp!D726</f>
        <v/>
      </c>
      <c r="E726" s="65" t="str">
        <f>ASTemp!E726</f>
        <v/>
      </c>
      <c r="F726" s="69" t="str">
        <f>TEXT(ASTemp!F726,Decimals)</f>
        <v/>
      </c>
      <c r="G726" s="69" t="str">
        <f>TEXT(ASTemp!G726,Decimals)</f>
        <v/>
      </c>
      <c r="H726" s="69" t="str">
        <f>TEXT(ASTemp!H726,Decimals)</f>
        <v/>
      </c>
      <c r="I726" s="69" t="str">
        <f>TEXT(ASTemp!I726,Decimals)</f>
        <v/>
      </c>
      <c r="J726" s="69" t="str">
        <f>TEXT(ASTemp!J726,Decimals)</f>
        <v/>
      </c>
      <c r="K726" s="69" t="str">
        <f>TEXT(ASTemp!K726,Decimals)</f>
        <v/>
      </c>
      <c r="L726" s="69" t="str">
        <f>TEXT(ASTemp!L726,Decimals)</f>
        <v/>
      </c>
      <c r="M726" s="71" t="str">
        <f>TEXT(ASTemp!M726,Percentages)</f>
        <v/>
      </c>
      <c r="N726" s="72" t="str">
        <f>TEXT(ASTemp!N726,Percentages)</f>
        <v/>
      </c>
    </row>
    <row r="727" ht="14.25" customHeight="1">
      <c r="B727" s="66" t="str">
        <f>ASTemp!B727</f>
        <v/>
      </c>
      <c r="C727" s="67" t="str">
        <f>ASTemp!C727</f>
        <v/>
      </c>
      <c r="D727" s="68" t="str">
        <f>ASTemp!D727</f>
        <v/>
      </c>
      <c r="E727" s="65" t="str">
        <f>ASTemp!E727</f>
        <v/>
      </c>
      <c r="F727" s="69" t="str">
        <f>TEXT(ASTemp!F727,Decimals)</f>
        <v/>
      </c>
      <c r="G727" s="69" t="str">
        <f>TEXT(ASTemp!G727,Decimals)</f>
        <v/>
      </c>
      <c r="H727" s="69" t="str">
        <f>TEXT(ASTemp!H727,Decimals)</f>
        <v/>
      </c>
      <c r="I727" s="69" t="str">
        <f>TEXT(ASTemp!I727,Decimals)</f>
        <v/>
      </c>
      <c r="J727" s="69" t="str">
        <f>TEXT(ASTemp!J727,Decimals)</f>
        <v/>
      </c>
      <c r="K727" s="69" t="str">
        <f>TEXT(ASTemp!K727,Decimals)</f>
        <v/>
      </c>
      <c r="L727" s="69" t="str">
        <f>TEXT(ASTemp!L727,Decimals)</f>
        <v/>
      </c>
      <c r="M727" s="71" t="str">
        <f>TEXT(ASTemp!M727,Percentages)</f>
        <v/>
      </c>
      <c r="N727" s="72" t="str">
        <f>TEXT(ASTemp!N727,Percentages)</f>
        <v/>
      </c>
    </row>
    <row r="728" ht="14.25" customHeight="1">
      <c r="B728" s="66" t="str">
        <f>ASTemp!B728</f>
        <v/>
      </c>
      <c r="C728" s="67" t="str">
        <f>ASTemp!C728</f>
        <v/>
      </c>
      <c r="D728" s="68" t="str">
        <f>ASTemp!D728</f>
        <v/>
      </c>
      <c r="E728" s="65" t="str">
        <f>ASTemp!E728</f>
        <v/>
      </c>
      <c r="F728" s="69" t="str">
        <f>TEXT(ASTemp!F728,Decimals)</f>
        <v/>
      </c>
      <c r="G728" s="69" t="str">
        <f>TEXT(ASTemp!G728,Decimals)</f>
        <v/>
      </c>
      <c r="H728" s="69" t="str">
        <f>TEXT(ASTemp!H728,Decimals)</f>
        <v/>
      </c>
      <c r="I728" s="69" t="str">
        <f>TEXT(ASTemp!I728,Decimals)</f>
        <v/>
      </c>
      <c r="J728" s="69" t="str">
        <f>TEXT(ASTemp!J728,Decimals)</f>
        <v/>
      </c>
      <c r="K728" s="69" t="str">
        <f>TEXT(ASTemp!K728,Decimals)</f>
        <v/>
      </c>
      <c r="L728" s="69" t="str">
        <f>TEXT(ASTemp!L728,Decimals)</f>
        <v/>
      </c>
      <c r="M728" s="71" t="str">
        <f>TEXT(ASTemp!M728,Percentages)</f>
        <v/>
      </c>
      <c r="N728" s="72" t="str">
        <f>TEXT(ASTemp!N728,Percentages)</f>
        <v/>
      </c>
    </row>
    <row r="729" ht="14.25" customHeight="1">
      <c r="B729" s="66" t="str">
        <f>ASTemp!B729</f>
        <v/>
      </c>
      <c r="C729" s="67" t="str">
        <f>ASTemp!C729</f>
        <v/>
      </c>
      <c r="D729" s="68" t="str">
        <f>ASTemp!D729</f>
        <v/>
      </c>
      <c r="E729" s="65" t="str">
        <f>ASTemp!E729</f>
        <v/>
      </c>
      <c r="F729" s="69" t="str">
        <f>TEXT(ASTemp!F729,Decimals)</f>
        <v/>
      </c>
      <c r="G729" s="69" t="str">
        <f>TEXT(ASTemp!G729,Decimals)</f>
        <v/>
      </c>
      <c r="H729" s="69" t="str">
        <f>TEXT(ASTemp!H729,Decimals)</f>
        <v/>
      </c>
      <c r="I729" s="69" t="str">
        <f>TEXT(ASTemp!I729,Decimals)</f>
        <v/>
      </c>
      <c r="J729" s="69" t="str">
        <f>TEXT(ASTemp!J729,Decimals)</f>
        <v/>
      </c>
      <c r="K729" s="69" t="str">
        <f>TEXT(ASTemp!K729,Decimals)</f>
        <v/>
      </c>
      <c r="L729" s="69" t="str">
        <f>TEXT(ASTemp!L729,Decimals)</f>
        <v/>
      </c>
      <c r="M729" s="71" t="str">
        <f>TEXT(ASTemp!M729,Percentages)</f>
        <v/>
      </c>
      <c r="N729" s="72" t="str">
        <f>TEXT(ASTemp!N729,Percentages)</f>
        <v/>
      </c>
    </row>
    <row r="730" ht="14.25" customHeight="1">
      <c r="B730" s="66" t="str">
        <f>ASTemp!B730</f>
        <v/>
      </c>
      <c r="C730" s="67" t="str">
        <f>ASTemp!C730</f>
        <v/>
      </c>
      <c r="D730" s="68" t="str">
        <f>ASTemp!D730</f>
        <v/>
      </c>
      <c r="E730" s="65" t="str">
        <f>ASTemp!E730</f>
        <v/>
      </c>
      <c r="F730" s="69" t="str">
        <f>TEXT(ASTemp!F730,Decimals)</f>
        <v/>
      </c>
      <c r="G730" s="69" t="str">
        <f>TEXT(ASTemp!G730,Decimals)</f>
        <v/>
      </c>
      <c r="H730" s="69" t="str">
        <f>TEXT(ASTemp!H730,Decimals)</f>
        <v/>
      </c>
      <c r="I730" s="69" t="str">
        <f>TEXT(ASTemp!I730,Decimals)</f>
        <v/>
      </c>
      <c r="J730" s="69" t="str">
        <f>TEXT(ASTemp!J730,Decimals)</f>
        <v/>
      </c>
      <c r="K730" s="69" t="str">
        <f>TEXT(ASTemp!K730,Decimals)</f>
        <v/>
      </c>
      <c r="L730" s="69" t="str">
        <f>TEXT(ASTemp!L730,Decimals)</f>
        <v/>
      </c>
      <c r="M730" s="71" t="str">
        <f>TEXT(ASTemp!M730,Percentages)</f>
        <v/>
      </c>
      <c r="N730" s="72" t="str">
        <f>TEXT(ASTemp!N730,Percentages)</f>
        <v/>
      </c>
    </row>
    <row r="731" ht="14.25" customHeight="1">
      <c r="B731" s="66" t="str">
        <f>ASTemp!B731</f>
        <v/>
      </c>
      <c r="C731" s="67" t="str">
        <f>ASTemp!C731</f>
        <v/>
      </c>
      <c r="D731" s="68" t="str">
        <f>ASTemp!D731</f>
        <v/>
      </c>
      <c r="E731" s="65" t="str">
        <f>ASTemp!E731</f>
        <v/>
      </c>
      <c r="F731" s="69" t="str">
        <f>TEXT(ASTemp!F731,Decimals)</f>
        <v/>
      </c>
      <c r="G731" s="69" t="str">
        <f>TEXT(ASTemp!G731,Decimals)</f>
        <v/>
      </c>
      <c r="H731" s="69" t="str">
        <f>TEXT(ASTemp!H731,Decimals)</f>
        <v/>
      </c>
      <c r="I731" s="69" t="str">
        <f>TEXT(ASTemp!I731,Decimals)</f>
        <v/>
      </c>
      <c r="J731" s="69" t="str">
        <f>TEXT(ASTemp!J731,Decimals)</f>
        <v/>
      </c>
      <c r="K731" s="69" t="str">
        <f>TEXT(ASTemp!K731,Decimals)</f>
        <v/>
      </c>
      <c r="L731" s="69" t="str">
        <f>TEXT(ASTemp!L731,Decimals)</f>
        <v/>
      </c>
      <c r="M731" s="71" t="str">
        <f>TEXT(ASTemp!M731,Percentages)</f>
        <v/>
      </c>
      <c r="N731" s="72" t="str">
        <f>TEXT(ASTemp!N731,Percentages)</f>
        <v/>
      </c>
    </row>
    <row r="732" ht="14.25" customHeight="1">
      <c r="B732" s="66" t="str">
        <f>ASTemp!B732</f>
        <v/>
      </c>
      <c r="C732" s="67" t="str">
        <f>ASTemp!C732</f>
        <v/>
      </c>
      <c r="D732" s="68" t="str">
        <f>ASTemp!D732</f>
        <v/>
      </c>
      <c r="E732" s="65" t="str">
        <f>ASTemp!E732</f>
        <v/>
      </c>
      <c r="F732" s="69" t="str">
        <f>TEXT(ASTemp!F732,Decimals)</f>
        <v/>
      </c>
      <c r="G732" s="69" t="str">
        <f>TEXT(ASTemp!G732,Decimals)</f>
        <v/>
      </c>
      <c r="H732" s="69" t="str">
        <f>TEXT(ASTemp!H732,Decimals)</f>
        <v/>
      </c>
      <c r="I732" s="69" t="str">
        <f>TEXT(ASTemp!I732,Decimals)</f>
        <v/>
      </c>
      <c r="J732" s="69" t="str">
        <f>TEXT(ASTemp!J732,Decimals)</f>
        <v/>
      </c>
      <c r="K732" s="69" t="str">
        <f>TEXT(ASTemp!K732,Decimals)</f>
        <v/>
      </c>
      <c r="L732" s="69" t="str">
        <f>TEXT(ASTemp!L732,Decimals)</f>
        <v/>
      </c>
      <c r="M732" s="71" t="str">
        <f>TEXT(ASTemp!M732,Percentages)</f>
        <v/>
      </c>
      <c r="N732" s="72" t="str">
        <f>TEXT(ASTemp!N732,Percentages)</f>
        <v/>
      </c>
    </row>
    <row r="733" ht="14.25" customHeight="1">
      <c r="B733" s="66" t="str">
        <f>ASTemp!B733</f>
        <v/>
      </c>
      <c r="C733" s="67" t="str">
        <f>ASTemp!C733</f>
        <v/>
      </c>
      <c r="D733" s="68" t="str">
        <f>ASTemp!D733</f>
        <v/>
      </c>
      <c r="E733" s="65" t="str">
        <f>ASTemp!E733</f>
        <v/>
      </c>
      <c r="F733" s="69" t="str">
        <f>TEXT(ASTemp!F733,Decimals)</f>
        <v/>
      </c>
      <c r="G733" s="69" t="str">
        <f>TEXT(ASTemp!G733,Decimals)</f>
        <v/>
      </c>
      <c r="H733" s="69" t="str">
        <f>TEXT(ASTemp!H733,Decimals)</f>
        <v/>
      </c>
      <c r="I733" s="69" t="str">
        <f>TEXT(ASTemp!I733,Decimals)</f>
        <v/>
      </c>
      <c r="J733" s="69" t="str">
        <f>TEXT(ASTemp!J733,Decimals)</f>
        <v/>
      </c>
      <c r="K733" s="69" t="str">
        <f>TEXT(ASTemp!K733,Decimals)</f>
        <v/>
      </c>
      <c r="L733" s="69" t="str">
        <f>TEXT(ASTemp!L733,Decimals)</f>
        <v/>
      </c>
      <c r="M733" s="71" t="str">
        <f>TEXT(ASTemp!M733,Percentages)</f>
        <v/>
      </c>
      <c r="N733" s="72" t="str">
        <f>TEXT(ASTemp!N733,Percentages)</f>
        <v/>
      </c>
    </row>
    <row r="734" ht="14.25" customHeight="1">
      <c r="B734" s="66" t="str">
        <f>ASTemp!B734</f>
        <v/>
      </c>
      <c r="C734" s="67" t="str">
        <f>ASTemp!C734</f>
        <v/>
      </c>
      <c r="D734" s="68" t="str">
        <f>ASTemp!D734</f>
        <v/>
      </c>
      <c r="E734" s="65" t="str">
        <f>ASTemp!E734</f>
        <v/>
      </c>
      <c r="F734" s="69" t="str">
        <f>TEXT(ASTemp!F734,Decimals)</f>
        <v/>
      </c>
      <c r="G734" s="69" t="str">
        <f>TEXT(ASTemp!G734,Decimals)</f>
        <v/>
      </c>
      <c r="H734" s="69" t="str">
        <f>TEXT(ASTemp!H734,Decimals)</f>
        <v/>
      </c>
      <c r="I734" s="69" t="str">
        <f>TEXT(ASTemp!I734,Decimals)</f>
        <v/>
      </c>
      <c r="J734" s="69" t="str">
        <f>TEXT(ASTemp!J734,Decimals)</f>
        <v/>
      </c>
      <c r="K734" s="69" t="str">
        <f>TEXT(ASTemp!K734,Decimals)</f>
        <v/>
      </c>
      <c r="L734" s="69" t="str">
        <f>TEXT(ASTemp!L734,Decimals)</f>
        <v/>
      </c>
      <c r="M734" s="71" t="str">
        <f>TEXT(ASTemp!M734,Percentages)</f>
        <v/>
      </c>
      <c r="N734" s="72" t="str">
        <f>TEXT(ASTemp!N734,Percentages)</f>
        <v/>
      </c>
    </row>
    <row r="735" ht="14.25" customHeight="1">
      <c r="B735" s="66" t="str">
        <f>ASTemp!B735</f>
        <v/>
      </c>
      <c r="C735" s="67" t="str">
        <f>ASTemp!C735</f>
        <v/>
      </c>
      <c r="D735" s="68" t="str">
        <f>ASTemp!D735</f>
        <v/>
      </c>
      <c r="E735" s="65" t="str">
        <f>ASTemp!E735</f>
        <v/>
      </c>
      <c r="F735" s="69" t="str">
        <f>TEXT(ASTemp!F735,Decimals)</f>
        <v/>
      </c>
      <c r="G735" s="69" t="str">
        <f>TEXT(ASTemp!G735,Decimals)</f>
        <v/>
      </c>
      <c r="H735" s="69" t="str">
        <f>TEXT(ASTemp!H735,Decimals)</f>
        <v/>
      </c>
      <c r="I735" s="69" t="str">
        <f>TEXT(ASTemp!I735,Decimals)</f>
        <v/>
      </c>
      <c r="J735" s="69" t="str">
        <f>TEXT(ASTemp!J735,Decimals)</f>
        <v/>
      </c>
      <c r="K735" s="69" t="str">
        <f>TEXT(ASTemp!K735,Decimals)</f>
        <v/>
      </c>
      <c r="L735" s="69" t="str">
        <f>TEXT(ASTemp!L735,Decimals)</f>
        <v/>
      </c>
      <c r="M735" s="71" t="str">
        <f>TEXT(ASTemp!M735,Percentages)</f>
        <v/>
      </c>
      <c r="N735" s="72" t="str">
        <f>TEXT(ASTemp!N735,Percentages)</f>
        <v/>
      </c>
    </row>
    <row r="736" ht="14.25" customHeight="1">
      <c r="B736" s="66" t="str">
        <f>ASTemp!B736</f>
        <v/>
      </c>
      <c r="C736" s="67" t="str">
        <f>ASTemp!C736</f>
        <v/>
      </c>
      <c r="D736" s="68" t="str">
        <f>ASTemp!D736</f>
        <v/>
      </c>
      <c r="E736" s="65" t="str">
        <f>ASTemp!E736</f>
        <v/>
      </c>
      <c r="F736" s="69" t="str">
        <f>TEXT(ASTemp!F736,Decimals)</f>
        <v/>
      </c>
      <c r="G736" s="69" t="str">
        <f>TEXT(ASTemp!G736,Decimals)</f>
        <v/>
      </c>
      <c r="H736" s="69" t="str">
        <f>TEXT(ASTemp!H736,Decimals)</f>
        <v/>
      </c>
      <c r="I736" s="69" t="str">
        <f>TEXT(ASTemp!I736,Decimals)</f>
        <v/>
      </c>
      <c r="J736" s="69" t="str">
        <f>TEXT(ASTemp!J736,Decimals)</f>
        <v/>
      </c>
      <c r="K736" s="69" t="str">
        <f>TEXT(ASTemp!K736,Decimals)</f>
        <v/>
      </c>
      <c r="L736" s="69" t="str">
        <f>TEXT(ASTemp!L736,Decimals)</f>
        <v/>
      </c>
      <c r="M736" s="71" t="str">
        <f>TEXT(ASTemp!M736,Percentages)</f>
        <v/>
      </c>
      <c r="N736" s="72" t="str">
        <f>TEXT(ASTemp!N736,Percentages)</f>
        <v/>
      </c>
    </row>
    <row r="737" ht="14.25" customHeight="1">
      <c r="B737" s="66" t="str">
        <f>ASTemp!B737</f>
        <v/>
      </c>
      <c r="C737" s="67" t="str">
        <f>ASTemp!C737</f>
        <v/>
      </c>
      <c r="D737" s="68" t="str">
        <f>ASTemp!D737</f>
        <v/>
      </c>
      <c r="E737" s="65" t="str">
        <f>ASTemp!E737</f>
        <v/>
      </c>
      <c r="F737" s="69" t="str">
        <f>TEXT(ASTemp!F737,Decimals)</f>
        <v/>
      </c>
      <c r="G737" s="69" t="str">
        <f>TEXT(ASTemp!G737,Decimals)</f>
        <v/>
      </c>
      <c r="H737" s="69" t="str">
        <f>TEXT(ASTemp!H737,Decimals)</f>
        <v/>
      </c>
      <c r="I737" s="69" t="str">
        <f>TEXT(ASTemp!I737,Decimals)</f>
        <v/>
      </c>
      <c r="J737" s="69" t="str">
        <f>TEXT(ASTemp!J737,Decimals)</f>
        <v/>
      </c>
      <c r="K737" s="69" t="str">
        <f>TEXT(ASTemp!K737,Decimals)</f>
        <v/>
      </c>
      <c r="L737" s="69" t="str">
        <f>TEXT(ASTemp!L737,Decimals)</f>
        <v/>
      </c>
      <c r="M737" s="71" t="str">
        <f>TEXT(ASTemp!M737,Percentages)</f>
        <v/>
      </c>
      <c r="N737" s="72" t="str">
        <f>TEXT(ASTemp!N737,Percentages)</f>
        <v/>
      </c>
    </row>
    <row r="738" ht="14.25" customHeight="1">
      <c r="B738" s="66" t="str">
        <f>ASTemp!B738</f>
        <v/>
      </c>
      <c r="C738" s="67" t="str">
        <f>ASTemp!C738</f>
        <v/>
      </c>
      <c r="D738" s="68" t="str">
        <f>ASTemp!D738</f>
        <v/>
      </c>
      <c r="E738" s="65" t="str">
        <f>ASTemp!E738</f>
        <v/>
      </c>
      <c r="F738" s="69" t="str">
        <f>TEXT(ASTemp!F738,Decimals)</f>
        <v/>
      </c>
      <c r="G738" s="69" t="str">
        <f>TEXT(ASTemp!G738,Decimals)</f>
        <v/>
      </c>
      <c r="H738" s="69" t="str">
        <f>TEXT(ASTemp!H738,Decimals)</f>
        <v/>
      </c>
      <c r="I738" s="69" t="str">
        <f>TEXT(ASTemp!I738,Decimals)</f>
        <v/>
      </c>
      <c r="J738" s="69" t="str">
        <f>TEXT(ASTemp!J738,Decimals)</f>
        <v/>
      </c>
      <c r="K738" s="69" t="str">
        <f>TEXT(ASTemp!K738,Decimals)</f>
        <v/>
      </c>
      <c r="L738" s="69" t="str">
        <f>TEXT(ASTemp!L738,Decimals)</f>
        <v/>
      </c>
      <c r="M738" s="71" t="str">
        <f>TEXT(ASTemp!M738,Percentages)</f>
        <v/>
      </c>
      <c r="N738" s="72" t="str">
        <f>TEXT(ASTemp!N738,Percentages)</f>
        <v/>
      </c>
    </row>
    <row r="739" ht="14.25" customHeight="1">
      <c r="B739" s="66" t="str">
        <f>ASTemp!B739</f>
        <v/>
      </c>
      <c r="C739" s="67" t="str">
        <f>ASTemp!C739</f>
        <v/>
      </c>
      <c r="D739" s="68" t="str">
        <f>ASTemp!D739</f>
        <v/>
      </c>
      <c r="E739" s="65" t="str">
        <f>ASTemp!E739</f>
        <v/>
      </c>
      <c r="F739" s="69" t="str">
        <f>TEXT(ASTemp!F739,Decimals)</f>
        <v/>
      </c>
      <c r="G739" s="69" t="str">
        <f>TEXT(ASTemp!G739,Decimals)</f>
        <v/>
      </c>
      <c r="H739" s="69" t="str">
        <f>TEXT(ASTemp!H739,Decimals)</f>
        <v/>
      </c>
      <c r="I739" s="69" t="str">
        <f>TEXT(ASTemp!I739,Decimals)</f>
        <v/>
      </c>
      <c r="J739" s="69" t="str">
        <f>TEXT(ASTemp!J739,Decimals)</f>
        <v/>
      </c>
      <c r="K739" s="69" t="str">
        <f>TEXT(ASTemp!K739,Decimals)</f>
        <v/>
      </c>
      <c r="L739" s="69" t="str">
        <f>TEXT(ASTemp!L739,Decimals)</f>
        <v/>
      </c>
      <c r="M739" s="71" t="str">
        <f>TEXT(ASTemp!M739,Percentages)</f>
        <v/>
      </c>
      <c r="N739" s="72" t="str">
        <f>TEXT(ASTemp!N739,Percentages)</f>
        <v/>
      </c>
    </row>
    <row r="740" ht="14.25" customHeight="1">
      <c r="B740" s="66" t="str">
        <f>ASTemp!B740</f>
        <v/>
      </c>
      <c r="C740" s="67" t="str">
        <f>ASTemp!C740</f>
        <v/>
      </c>
      <c r="D740" s="68" t="str">
        <f>ASTemp!D740</f>
        <v/>
      </c>
      <c r="E740" s="65" t="str">
        <f>ASTemp!E740</f>
        <v/>
      </c>
      <c r="F740" s="69" t="str">
        <f>TEXT(ASTemp!F740,Decimals)</f>
        <v/>
      </c>
      <c r="G740" s="69" t="str">
        <f>TEXT(ASTemp!G740,Decimals)</f>
        <v/>
      </c>
      <c r="H740" s="69" t="str">
        <f>TEXT(ASTemp!H740,Decimals)</f>
        <v/>
      </c>
      <c r="I740" s="69" t="str">
        <f>TEXT(ASTemp!I740,Decimals)</f>
        <v/>
      </c>
      <c r="J740" s="69" t="str">
        <f>TEXT(ASTemp!J740,Decimals)</f>
        <v/>
      </c>
      <c r="K740" s="69" t="str">
        <f>TEXT(ASTemp!K740,Decimals)</f>
        <v/>
      </c>
      <c r="L740" s="69" t="str">
        <f>TEXT(ASTemp!L740,Decimals)</f>
        <v/>
      </c>
      <c r="M740" s="71" t="str">
        <f>TEXT(ASTemp!M740,Percentages)</f>
        <v/>
      </c>
      <c r="N740" s="72" t="str">
        <f>TEXT(ASTemp!N740,Percentages)</f>
        <v/>
      </c>
    </row>
    <row r="741" ht="14.25" customHeight="1">
      <c r="B741" s="66" t="str">
        <f>ASTemp!B741</f>
        <v/>
      </c>
      <c r="C741" s="67" t="str">
        <f>ASTemp!C741</f>
        <v/>
      </c>
      <c r="D741" s="68" t="str">
        <f>ASTemp!D741</f>
        <v/>
      </c>
      <c r="E741" s="65" t="str">
        <f>ASTemp!E741</f>
        <v/>
      </c>
      <c r="F741" s="69" t="str">
        <f>TEXT(ASTemp!F741,Decimals)</f>
        <v/>
      </c>
      <c r="G741" s="69" t="str">
        <f>TEXT(ASTemp!G741,Decimals)</f>
        <v/>
      </c>
      <c r="H741" s="69" t="str">
        <f>TEXT(ASTemp!H741,Decimals)</f>
        <v/>
      </c>
      <c r="I741" s="69" t="str">
        <f>TEXT(ASTemp!I741,Decimals)</f>
        <v/>
      </c>
      <c r="J741" s="69" t="str">
        <f>TEXT(ASTemp!J741,Decimals)</f>
        <v/>
      </c>
      <c r="K741" s="69" t="str">
        <f>TEXT(ASTemp!K741,Decimals)</f>
        <v/>
      </c>
      <c r="L741" s="69" t="str">
        <f>TEXT(ASTemp!L741,Decimals)</f>
        <v/>
      </c>
      <c r="M741" s="71" t="str">
        <f>TEXT(ASTemp!M741,Percentages)</f>
        <v/>
      </c>
      <c r="N741" s="72" t="str">
        <f>TEXT(ASTemp!N741,Percentages)</f>
        <v/>
      </c>
    </row>
    <row r="742" ht="14.25" customHeight="1">
      <c r="B742" s="66" t="str">
        <f>ASTemp!B742</f>
        <v/>
      </c>
      <c r="C742" s="67" t="str">
        <f>ASTemp!C742</f>
        <v/>
      </c>
      <c r="D742" s="68" t="str">
        <f>ASTemp!D742</f>
        <v/>
      </c>
      <c r="E742" s="65" t="str">
        <f>ASTemp!E742</f>
        <v/>
      </c>
      <c r="F742" s="69" t="str">
        <f>TEXT(ASTemp!F742,Decimals)</f>
        <v/>
      </c>
      <c r="G742" s="69" t="str">
        <f>TEXT(ASTemp!G742,Decimals)</f>
        <v/>
      </c>
      <c r="H742" s="69" t="str">
        <f>TEXT(ASTemp!H742,Decimals)</f>
        <v/>
      </c>
      <c r="I742" s="69" t="str">
        <f>TEXT(ASTemp!I742,Decimals)</f>
        <v/>
      </c>
      <c r="J742" s="69" t="str">
        <f>TEXT(ASTemp!J742,Decimals)</f>
        <v/>
      </c>
      <c r="K742" s="69" t="str">
        <f>TEXT(ASTemp!K742,Decimals)</f>
        <v/>
      </c>
      <c r="L742" s="69" t="str">
        <f>TEXT(ASTemp!L742,Decimals)</f>
        <v/>
      </c>
      <c r="M742" s="71" t="str">
        <f>TEXT(ASTemp!M742,Percentages)</f>
        <v/>
      </c>
      <c r="N742" s="72" t="str">
        <f>TEXT(ASTemp!N742,Percentages)</f>
        <v/>
      </c>
    </row>
    <row r="743" ht="14.25" customHeight="1">
      <c r="B743" s="66" t="str">
        <f>ASTemp!B743</f>
        <v/>
      </c>
      <c r="C743" s="67" t="str">
        <f>ASTemp!C743</f>
        <v/>
      </c>
      <c r="D743" s="68" t="str">
        <f>ASTemp!D743</f>
        <v/>
      </c>
      <c r="E743" s="65" t="str">
        <f>ASTemp!E743</f>
        <v/>
      </c>
      <c r="F743" s="69" t="str">
        <f>TEXT(ASTemp!F743,Decimals)</f>
        <v/>
      </c>
      <c r="G743" s="69" t="str">
        <f>TEXT(ASTemp!G743,Decimals)</f>
        <v/>
      </c>
      <c r="H743" s="69" t="str">
        <f>TEXT(ASTemp!H743,Decimals)</f>
        <v/>
      </c>
      <c r="I743" s="69" t="str">
        <f>TEXT(ASTemp!I743,Decimals)</f>
        <v/>
      </c>
      <c r="J743" s="69" t="str">
        <f>TEXT(ASTemp!J743,Decimals)</f>
        <v/>
      </c>
      <c r="K743" s="69" t="str">
        <f>TEXT(ASTemp!K743,Decimals)</f>
        <v/>
      </c>
      <c r="L743" s="69" t="str">
        <f>TEXT(ASTemp!L743,Decimals)</f>
        <v/>
      </c>
      <c r="M743" s="71" t="str">
        <f>TEXT(ASTemp!M743,Percentages)</f>
        <v/>
      </c>
      <c r="N743" s="72" t="str">
        <f>TEXT(ASTemp!N743,Percentages)</f>
        <v/>
      </c>
    </row>
    <row r="744" ht="14.25" customHeight="1">
      <c r="B744" s="66" t="str">
        <f>ASTemp!B744</f>
        <v/>
      </c>
      <c r="C744" s="67" t="str">
        <f>ASTemp!C744</f>
        <v/>
      </c>
      <c r="D744" s="68" t="str">
        <f>ASTemp!D744</f>
        <v/>
      </c>
      <c r="E744" s="65" t="str">
        <f>ASTemp!E744</f>
        <v/>
      </c>
      <c r="F744" s="69" t="str">
        <f>TEXT(ASTemp!F744,Decimals)</f>
        <v/>
      </c>
      <c r="G744" s="69" t="str">
        <f>TEXT(ASTemp!G744,Decimals)</f>
        <v/>
      </c>
      <c r="H744" s="69" t="str">
        <f>TEXT(ASTemp!H744,Decimals)</f>
        <v/>
      </c>
      <c r="I744" s="69" t="str">
        <f>TEXT(ASTemp!I744,Decimals)</f>
        <v/>
      </c>
      <c r="J744" s="69" t="str">
        <f>TEXT(ASTemp!J744,Decimals)</f>
        <v/>
      </c>
      <c r="K744" s="69" t="str">
        <f>TEXT(ASTemp!K744,Decimals)</f>
        <v/>
      </c>
      <c r="L744" s="69" t="str">
        <f>TEXT(ASTemp!L744,Decimals)</f>
        <v/>
      </c>
      <c r="M744" s="71" t="str">
        <f>TEXT(ASTemp!M744,Percentages)</f>
        <v/>
      </c>
      <c r="N744" s="72" t="str">
        <f>TEXT(ASTemp!N744,Percentages)</f>
        <v/>
      </c>
    </row>
    <row r="745" ht="14.25" customHeight="1">
      <c r="B745" s="66" t="str">
        <f>ASTemp!B745</f>
        <v/>
      </c>
      <c r="C745" s="67" t="str">
        <f>ASTemp!C745</f>
        <v/>
      </c>
      <c r="D745" s="68" t="str">
        <f>ASTemp!D745</f>
        <v/>
      </c>
      <c r="E745" s="65" t="str">
        <f>ASTemp!E745</f>
        <v/>
      </c>
      <c r="F745" s="69" t="str">
        <f>TEXT(ASTemp!F745,Decimals)</f>
        <v/>
      </c>
      <c r="G745" s="69" t="str">
        <f>TEXT(ASTemp!G745,Decimals)</f>
        <v/>
      </c>
      <c r="H745" s="69" t="str">
        <f>TEXT(ASTemp!H745,Decimals)</f>
        <v/>
      </c>
      <c r="I745" s="69" t="str">
        <f>TEXT(ASTemp!I745,Decimals)</f>
        <v/>
      </c>
      <c r="J745" s="69" t="str">
        <f>TEXT(ASTemp!J745,Decimals)</f>
        <v/>
      </c>
      <c r="K745" s="69" t="str">
        <f>TEXT(ASTemp!K745,Decimals)</f>
        <v/>
      </c>
      <c r="L745" s="69" t="str">
        <f>TEXT(ASTemp!L745,Decimals)</f>
        <v/>
      </c>
      <c r="M745" s="71" t="str">
        <f>TEXT(ASTemp!M745,Percentages)</f>
        <v/>
      </c>
      <c r="N745" s="72" t="str">
        <f>TEXT(ASTemp!N745,Percentages)</f>
        <v/>
      </c>
    </row>
    <row r="746" ht="14.25" customHeight="1">
      <c r="B746" s="66" t="str">
        <f>ASTemp!B746</f>
        <v/>
      </c>
      <c r="C746" s="67" t="str">
        <f>ASTemp!C746</f>
        <v/>
      </c>
      <c r="D746" s="68" t="str">
        <f>ASTemp!D746</f>
        <v/>
      </c>
      <c r="E746" s="65" t="str">
        <f>ASTemp!E746</f>
        <v/>
      </c>
      <c r="F746" s="69" t="str">
        <f>TEXT(ASTemp!F746,Decimals)</f>
        <v/>
      </c>
      <c r="G746" s="69" t="str">
        <f>TEXT(ASTemp!G746,Decimals)</f>
        <v/>
      </c>
      <c r="H746" s="69" t="str">
        <f>TEXT(ASTemp!H746,Decimals)</f>
        <v/>
      </c>
      <c r="I746" s="69" t="str">
        <f>TEXT(ASTemp!I746,Decimals)</f>
        <v/>
      </c>
      <c r="J746" s="69" t="str">
        <f>TEXT(ASTemp!J746,Decimals)</f>
        <v/>
      </c>
      <c r="K746" s="69" t="str">
        <f>TEXT(ASTemp!K746,Decimals)</f>
        <v/>
      </c>
      <c r="L746" s="69" t="str">
        <f>TEXT(ASTemp!L746,Decimals)</f>
        <v/>
      </c>
      <c r="M746" s="71" t="str">
        <f>TEXT(ASTemp!M746,Percentages)</f>
        <v/>
      </c>
      <c r="N746" s="72" t="str">
        <f>TEXT(ASTemp!N746,Percentages)</f>
        <v/>
      </c>
    </row>
    <row r="747" ht="14.25" customHeight="1">
      <c r="B747" s="66" t="str">
        <f>ASTemp!B747</f>
        <v/>
      </c>
      <c r="C747" s="67" t="str">
        <f>ASTemp!C747</f>
        <v/>
      </c>
      <c r="D747" s="68" t="str">
        <f>ASTemp!D747</f>
        <v/>
      </c>
      <c r="E747" s="65" t="str">
        <f>ASTemp!E747</f>
        <v/>
      </c>
      <c r="F747" s="69" t="str">
        <f>TEXT(ASTemp!F747,Decimals)</f>
        <v/>
      </c>
      <c r="G747" s="69" t="str">
        <f>TEXT(ASTemp!G747,Decimals)</f>
        <v/>
      </c>
      <c r="H747" s="69" t="str">
        <f>TEXT(ASTemp!H747,Decimals)</f>
        <v/>
      </c>
      <c r="I747" s="69" t="str">
        <f>TEXT(ASTemp!I747,Decimals)</f>
        <v/>
      </c>
      <c r="J747" s="69" t="str">
        <f>TEXT(ASTemp!J747,Decimals)</f>
        <v/>
      </c>
      <c r="K747" s="69" t="str">
        <f>TEXT(ASTemp!K747,Decimals)</f>
        <v/>
      </c>
      <c r="L747" s="69" t="str">
        <f>TEXT(ASTemp!L747,Decimals)</f>
        <v/>
      </c>
      <c r="M747" s="71" t="str">
        <f>TEXT(ASTemp!M747,Percentages)</f>
        <v/>
      </c>
      <c r="N747" s="72" t="str">
        <f>TEXT(ASTemp!N747,Percentages)</f>
        <v/>
      </c>
    </row>
    <row r="748" ht="14.25" customHeight="1">
      <c r="B748" s="66" t="str">
        <f>ASTemp!B748</f>
        <v/>
      </c>
      <c r="C748" s="67" t="str">
        <f>ASTemp!C748</f>
        <v/>
      </c>
      <c r="D748" s="68" t="str">
        <f>ASTemp!D748</f>
        <v/>
      </c>
      <c r="E748" s="65" t="str">
        <f>ASTemp!E748</f>
        <v/>
      </c>
      <c r="F748" s="69" t="str">
        <f>TEXT(ASTemp!F748,Decimals)</f>
        <v/>
      </c>
      <c r="G748" s="69" t="str">
        <f>TEXT(ASTemp!G748,Decimals)</f>
        <v/>
      </c>
      <c r="H748" s="69" t="str">
        <f>TEXT(ASTemp!H748,Decimals)</f>
        <v/>
      </c>
      <c r="I748" s="69" t="str">
        <f>TEXT(ASTemp!I748,Decimals)</f>
        <v/>
      </c>
      <c r="J748" s="69" t="str">
        <f>TEXT(ASTemp!J748,Decimals)</f>
        <v/>
      </c>
      <c r="K748" s="69" t="str">
        <f>TEXT(ASTemp!K748,Decimals)</f>
        <v/>
      </c>
      <c r="L748" s="69" t="str">
        <f>TEXT(ASTemp!L748,Decimals)</f>
        <v/>
      </c>
      <c r="M748" s="71" t="str">
        <f>TEXT(ASTemp!M748,Percentages)</f>
        <v/>
      </c>
      <c r="N748" s="72" t="str">
        <f>TEXT(ASTemp!N748,Percentages)</f>
        <v/>
      </c>
    </row>
    <row r="749" ht="14.25" customHeight="1">
      <c r="B749" s="66" t="str">
        <f>ASTemp!B749</f>
        <v/>
      </c>
      <c r="C749" s="67" t="str">
        <f>ASTemp!C749</f>
        <v/>
      </c>
      <c r="D749" s="68" t="str">
        <f>ASTemp!D749</f>
        <v/>
      </c>
      <c r="E749" s="65" t="str">
        <f>ASTemp!E749</f>
        <v/>
      </c>
      <c r="F749" s="69" t="str">
        <f>TEXT(ASTemp!F749,Decimals)</f>
        <v/>
      </c>
      <c r="G749" s="69" t="str">
        <f>TEXT(ASTemp!G749,Decimals)</f>
        <v/>
      </c>
      <c r="H749" s="69" t="str">
        <f>TEXT(ASTemp!H749,Decimals)</f>
        <v/>
      </c>
      <c r="I749" s="69" t="str">
        <f>TEXT(ASTemp!I749,Decimals)</f>
        <v/>
      </c>
      <c r="J749" s="69" t="str">
        <f>TEXT(ASTemp!J749,Decimals)</f>
        <v/>
      </c>
      <c r="K749" s="69" t="str">
        <f>TEXT(ASTemp!K749,Decimals)</f>
        <v/>
      </c>
      <c r="L749" s="69" t="str">
        <f>TEXT(ASTemp!L749,Decimals)</f>
        <v/>
      </c>
      <c r="M749" s="71" t="str">
        <f>TEXT(ASTemp!M749,Percentages)</f>
        <v/>
      </c>
      <c r="N749" s="72" t="str">
        <f>TEXT(ASTemp!N749,Percentages)</f>
        <v/>
      </c>
    </row>
    <row r="750" ht="14.25" customHeight="1">
      <c r="B750" s="66" t="str">
        <f>ASTemp!B750</f>
        <v/>
      </c>
      <c r="C750" s="67" t="str">
        <f>ASTemp!C750</f>
        <v/>
      </c>
      <c r="D750" s="68" t="str">
        <f>ASTemp!D750</f>
        <v/>
      </c>
      <c r="E750" s="65" t="str">
        <f>ASTemp!E750</f>
        <v/>
      </c>
      <c r="F750" s="69" t="str">
        <f>TEXT(ASTemp!F750,Decimals)</f>
        <v/>
      </c>
      <c r="G750" s="69" t="str">
        <f>TEXT(ASTemp!G750,Decimals)</f>
        <v/>
      </c>
      <c r="H750" s="69" t="str">
        <f>TEXT(ASTemp!H750,Decimals)</f>
        <v/>
      </c>
      <c r="I750" s="69" t="str">
        <f>TEXT(ASTemp!I750,Decimals)</f>
        <v/>
      </c>
      <c r="J750" s="69" t="str">
        <f>TEXT(ASTemp!J750,Decimals)</f>
        <v/>
      </c>
      <c r="K750" s="69" t="str">
        <f>TEXT(ASTemp!K750,Decimals)</f>
        <v/>
      </c>
      <c r="L750" s="69" t="str">
        <f>TEXT(ASTemp!L750,Decimals)</f>
        <v/>
      </c>
      <c r="M750" s="71" t="str">
        <f>TEXT(ASTemp!M750,Percentages)</f>
        <v/>
      </c>
      <c r="N750" s="72" t="str">
        <f>TEXT(ASTemp!N750,Percentages)</f>
        <v/>
      </c>
    </row>
    <row r="751" ht="14.25" customHeight="1">
      <c r="B751" s="66" t="str">
        <f>ASTemp!B751</f>
        <v/>
      </c>
      <c r="C751" s="67" t="str">
        <f>ASTemp!C751</f>
        <v/>
      </c>
      <c r="D751" s="68" t="str">
        <f>ASTemp!D751</f>
        <v/>
      </c>
      <c r="E751" s="65" t="str">
        <f>ASTemp!E751</f>
        <v/>
      </c>
      <c r="F751" s="69" t="str">
        <f>TEXT(ASTemp!F751,Decimals)</f>
        <v/>
      </c>
      <c r="G751" s="69" t="str">
        <f>TEXT(ASTemp!G751,Decimals)</f>
        <v/>
      </c>
      <c r="H751" s="69" t="str">
        <f>TEXT(ASTemp!H751,Decimals)</f>
        <v/>
      </c>
      <c r="I751" s="69" t="str">
        <f>TEXT(ASTemp!I751,Decimals)</f>
        <v/>
      </c>
      <c r="J751" s="69" t="str">
        <f>TEXT(ASTemp!J751,Decimals)</f>
        <v/>
      </c>
      <c r="K751" s="69" t="str">
        <f>TEXT(ASTemp!K751,Decimals)</f>
        <v/>
      </c>
      <c r="L751" s="69" t="str">
        <f>TEXT(ASTemp!L751,Decimals)</f>
        <v/>
      </c>
      <c r="M751" s="71" t="str">
        <f>TEXT(ASTemp!M751,Percentages)</f>
        <v/>
      </c>
      <c r="N751" s="72" t="str">
        <f>TEXT(ASTemp!N751,Percentages)</f>
        <v/>
      </c>
    </row>
    <row r="752" ht="14.25" customHeight="1">
      <c r="B752" s="66" t="str">
        <f>ASTemp!B752</f>
        <v/>
      </c>
      <c r="C752" s="67" t="str">
        <f>ASTemp!C752</f>
        <v/>
      </c>
      <c r="D752" s="68" t="str">
        <f>ASTemp!D752</f>
        <v/>
      </c>
      <c r="E752" s="65" t="str">
        <f>ASTemp!E752</f>
        <v/>
      </c>
      <c r="F752" s="69" t="str">
        <f>TEXT(ASTemp!F752,Decimals)</f>
        <v/>
      </c>
      <c r="G752" s="69" t="str">
        <f>TEXT(ASTemp!G752,Decimals)</f>
        <v/>
      </c>
      <c r="H752" s="69" t="str">
        <f>TEXT(ASTemp!H752,Decimals)</f>
        <v/>
      </c>
      <c r="I752" s="69" t="str">
        <f>TEXT(ASTemp!I752,Decimals)</f>
        <v/>
      </c>
      <c r="J752" s="69" t="str">
        <f>TEXT(ASTemp!J752,Decimals)</f>
        <v/>
      </c>
      <c r="K752" s="69" t="str">
        <f>TEXT(ASTemp!K752,Decimals)</f>
        <v/>
      </c>
      <c r="L752" s="69" t="str">
        <f>TEXT(ASTemp!L752,Decimals)</f>
        <v/>
      </c>
      <c r="M752" s="71" t="str">
        <f>TEXT(ASTemp!M752,Percentages)</f>
        <v/>
      </c>
      <c r="N752" s="72" t="str">
        <f>TEXT(ASTemp!N752,Percentages)</f>
        <v/>
      </c>
    </row>
    <row r="753" ht="14.25" customHeight="1">
      <c r="B753" s="66" t="str">
        <f>ASTemp!B753</f>
        <v/>
      </c>
      <c r="C753" s="67" t="str">
        <f>ASTemp!C753</f>
        <v/>
      </c>
      <c r="D753" s="68" t="str">
        <f>ASTemp!D753</f>
        <v/>
      </c>
      <c r="E753" s="65" t="str">
        <f>ASTemp!E753</f>
        <v/>
      </c>
      <c r="F753" s="69" t="str">
        <f>TEXT(ASTemp!F753,Decimals)</f>
        <v/>
      </c>
      <c r="G753" s="69" t="str">
        <f>TEXT(ASTemp!G753,Decimals)</f>
        <v/>
      </c>
      <c r="H753" s="69" t="str">
        <f>TEXT(ASTemp!H753,Decimals)</f>
        <v/>
      </c>
      <c r="I753" s="69" t="str">
        <f>TEXT(ASTemp!I753,Decimals)</f>
        <v/>
      </c>
      <c r="J753" s="69" t="str">
        <f>TEXT(ASTemp!J753,Decimals)</f>
        <v/>
      </c>
      <c r="K753" s="69" t="str">
        <f>TEXT(ASTemp!K753,Decimals)</f>
        <v/>
      </c>
      <c r="L753" s="69" t="str">
        <f>TEXT(ASTemp!L753,Decimals)</f>
        <v/>
      </c>
      <c r="M753" s="71" t="str">
        <f>TEXT(ASTemp!M753,Percentages)</f>
        <v/>
      </c>
      <c r="N753" s="72" t="str">
        <f>TEXT(ASTemp!N753,Percentages)</f>
        <v/>
      </c>
    </row>
    <row r="754" ht="14.25" customHeight="1">
      <c r="B754" s="66" t="str">
        <f>ASTemp!B754</f>
        <v/>
      </c>
      <c r="C754" s="67" t="str">
        <f>ASTemp!C754</f>
        <v/>
      </c>
      <c r="D754" s="68" t="str">
        <f>ASTemp!D754</f>
        <v/>
      </c>
      <c r="E754" s="65" t="str">
        <f>ASTemp!E754</f>
        <v/>
      </c>
      <c r="F754" s="69" t="str">
        <f>TEXT(ASTemp!F754,Decimals)</f>
        <v/>
      </c>
      <c r="G754" s="69" t="str">
        <f>TEXT(ASTemp!G754,Decimals)</f>
        <v/>
      </c>
      <c r="H754" s="69" t="str">
        <f>TEXT(ASTemp!H754,Decimals)</f>
        <v/>
      </c>
      <c r="I754" s="69" t="str">
        <f>TEXT(ASTemp!I754,Decimals)</f>
        <v/>
      </c>
      <c r="J754" s="69" t="str">
        <f>TEXT(ASTemp!J754,Decimals)</f>
        <v/>
      </c>
      <c r="K754" s="69" t="str">
        <f>TEXT(ASTemp!K754,Decimals)</f>
        <v/>
      </c>
      <c r="L754" s="69" t="str">
        <f>TEXT(ASTemp!L754,Decimals)</f>
        <v/>
      </c>
      <c r="M754" s="71" t="str">
        <f>TEXT(ASTemp!M754,Percentages)</f>
        <v/>
      </c>
      <c r="N754" s="72" t="str">
        <f>TEXT(ASTemp!N754,Percentages)</f>
        <v/>
      </c>
    </row>
    <row r="755" ht="14.25" customHeight="1">
      <c r="B755" s="66" t="str">
        <f>ASTemp!B755</f>
        <v/>
      </c>
      <c r="C755" s="67" t="str">
        <f>ASTemp!C755</f>
        <v/>
      </c>
      <c r="D755" s="68" t="str">
        <f>ASTemp!D755</f>
        <v/>
      </c>
      <c r="E755" s="65" t="str">
        <f>ASTemp!E755</f>
        <v/>
      </c>
      <c r="F755" s="69" t="str">
        <f>TEXT(ASTemp!F755,Decimals)</f>
        <v/>
      </c>
      <c r="G755" s="69" t="str">
        <f>TEXT(ASTemp!G755,Decimals)</f>
        <v/>
      </c>
      <c r="H755" s="69" t="str">
        <f>TEXT(ASTemp!H755,Decimals)</f>
        <v/>
      </c>
      <c r="I755" s="69" t="str">
        <f>TEXT(ASTemp!I755,Decimals)</f>
        <v/>
      </c>
      <c r="J755" s="69" t="str">
        <f>TEXT(ASTemp!J755,Decimals)</f>
        <v/>
      </c>
      <c r="K755" s="69" t="str">
        <f>TEXT(ASTemp!K755,Decimals)</f>
        <v/>
      </c>
      <c r="L755" s="69" t="str">
        <f>TEXT(ASTemp!L755,Decimals)</f>
        <v/>
      </c>
      <c r="M755" s="71" t="str">
        <f>TEXT(ASTemp!M755,Percentages)</f>
        <v/>
      </c>
      <c r="N755" s="72" t="str">
        <f>TEXT(ASTemp!N755,Percentages)</f>
        <v/>
      </c>
    </row>
    <row r="756" ht="14.25" customHeight="1">
      <c r="B756" s="66" t="str">
        <f>ASTemp!B756</f>
        <v/>
      </c>
      <c r="C756" s="67" t="str">
        <f>ASTemp!C756</f>
        <v/>
      </c>
      <c r="D756" s="68" t="str">
        <f>ASTemp!D756</f>
        <v/>
      </c>
      <c r="E756" s="65" t="str">
        <f>ASTemp!E756</f>
        <v/>
      </c>
      <c r="F756" s="69" t="str">
        <f>TEXT(ASTemp!F756,Decimals)</f>
        <v/>
      </c>
      <c r="G756" s="69" t="str">
        <f>TEXT(ASTemp!G756,Decimals)</f>
        <v/>
      </c>
      <c r="H756" s="69" t="str">
        <f>TEXT(ASTemp!H756,Decimals)</f>
        <v/>
      </c>
      <c r="I756" s="69" t="str">
        <f>TEXT(ASTemp!I756,Decimals)</f>
        <v/>
      </c>
      <c r="J756" s="69" t="str">
        <f>TEXT(ASTemp!J756,Decimals)</f>
        <v/>
      </c>
      <c r="K756" s="69" t="str">
        <f>TEXT(ASTemp!K756,Decimals)</f>
        <v/>
      </c>
      <c r="L756" s="69" t="str">
        <f>TEXT(ASTemp!L756,Decimals)</f>
        <v/>
      </c>
      <c r="M756" s="71" t="str">
        <f>TEXT(ASTemp!M756,Percentages)</f>
        <v/>
      </c>
      <c r="N756" s="72" t="str">
        <f>TEXT(ASTemp!N756,Percentages)</f>
        <v/>
      </c>
    </row>
    <row r="757" ht="14.25" customHeight="1">
      <c r="B757" s="66" t="str">
        <f>ASTemp!B757</f>
        <v/>
      </c>
      <c r="C757" s="67" t="str">
        <f>ASTemp!C757</f>
        <v/>
      </c>
      <c r="D757" s="68" t="str">
        <f>ASTemp!D757</f>
        <v/>
      </c>
      <c r="E757" s="65" t="str">
        <f>ASTemp!E757</f>
        <v/>
      </c>
      <c r="F757" s="69" t="str">
        <f>TEXT(ASTemp!F757,Decimals)</f>
        <v/>
      </c>
      <c r="G757" s="69" t="str">
        <f>TEXT(ASTemp!G757,Decimals)</f>
        <v/>
      </c>
      <c r="H757" s="69" t="str">
        <f>TEXT(ASTemp!H757,Decimals)</f>
        <v/>
      </c>
      <c r="I757" s="69" t="str">
        <f>TEXT(ASTemp!I757,Decimals)</f>
        <v/>
      </c>
      <c r="J757" s="69" t="str">
        <f>TEXT(ASTemp!J757,Decimals)</f>
        <v/>
      </c>
      <c r="K757" s="69" t="str">
        <f>TEXT(ASTemp!K757,Decimals)</f>
        <v/>
      </c>
      <c r="L757" s="69" t="str">
        <f>TEXT(ASTemp!L757,Decimals)</f>
        <v/>
      </c>
      <c r="M757" s="71" t="str">
        <f>TEXT(ASTemp!M757,Percentages)</f>
        <v/>
      </c>
      <c r="N757" s="72" t="str">
        <f>TEXT(ASTemp!N757,Percentages)</f>
        <v/>
      </c>
    </row>
    <row r="758" ht="14.25" customHeight="1">
      <c r="B758" s="66" t="str">
        <f>ASTemp!B758</f>
        <v/>
      </c>
      <c r="C758" s="67" t="str">
        <f>ASTemp!C758</f>
        <v/>
      </c>
      <c r="D758" s="68" t="str">
        <f>ASTemp!D758</f>
        <v/>
      </c>
      <c r="E758" s="65" t="str">
        <f>ASTemp!E758</f>
        <v/>
      </c>
      <c r="F758" s="69" t="str">
        <f>TEXT(ASTemp!F758,Decimals)</f>
        <v/>
      </c>
      <c r="G758" s="69" t="str">
        <f>TEXT(ASTemp!G758,Decimals)</f>
        <v/>
      </c>
      <c r="H758" s="69" t="str">
        <f>TEXT(ASTemp!H758,Decimals)</f>
        <v/>
      </c>
      <c r="I758" s="69" t="str">
        <f>TEXT(ASTemp!I758,Decimals)</f>
        <v/>
      </c>
      <c r="J758" s="69" t="str">
        <f>TEXT(ASTemp!J758,Decimals)</f>
        <v/>
      </c>
      <c r="K758" s="69" t="str">
        <f>TEXT(ASTemp!K758,Decimals)</f>
        <v/>
      </c>
      <c r="L758" s="69" t="str">
        <f>TEXT(ASTemp!L758,Decimals)</f>
        <v/>
      </c>
      <c r="M758" s="71" t="str">
        <f>TEXT(ASTemp!M758,Percentages)</f>
        <v/>
      </c>
      <c r="N758" s="72" t="str">
        <f>TEXT(ASTemp!N758,Percentages)</f>
        <v/>
      </c>
    </row>
    <row r="759" ht="14.25" customHeight="1">
      <c r="B759" s="66" t="str">
        <f>ASTemp!B759</f>
        <v/>
      </c>
      <c r="C759" s="67" t="str">
        <f>ASTemp!C759</f>
        <v/>
      </c>
      <c r="D759" s="68" t="str">
        <f>ASTemp!D759</f>
        <v/>
      </c>
      <c r="E759" s="65" t="str">
        <f>ASTemp!E759</f>
        <v/>
      </c>
      <c r="F759" s="69" t="str">
        <f>TEXT(ASTemp!F759,Decimals)</f>
        <v/>
      </c>
      <c r="G759" s="69" t="str">
        <f>TEXT(ASTemp!G759,Decimals)</f>
        <v/>
      </c>
      <c r="H759" s="69" t="str">
        <f>TEXT(ASTemp!H759,Decimals)</f>
        <v/>
      </c>
      <c r="I759" s="69" t="str">
        <f>TEXT(ASTemp!I759,Decimals)</f>
        <v/>
      </c>
      <c r="J759" s="69" t="str">
        <f>TEXT(ASTemp!J759,Decimals)</f>
        <v/>
      </c>
      <c r="K759" s="69" t="str">
        <f>TEXT(ASTemp!K759,Decimals)</f>
        <v/>
      </c>
      <c r="L759" s="69" t="str">
        <f>TEXT(ASTemp!L759,Decimals)</f>
        <v/>
      </c>
      <c r="M759" s="71" t="str">
        <f>TEXT(ASTemp!M759,Percentages)</f>
        <v/>
      </c>
      <c r="N759" s="72" t="str">
        <f>TEXT(ASTemp!N759,Percentages)</f>
        <v/>
      </c>
    </row>
    <row r="760" ht="14.25" customHeight="1">
      <c r="B760" s="66" t="str">
        <f>ASTemp!B760</f>
        <v/>
      </c>
      <c r="C760" s="67" t="str">
        <f>ASTemp!C760</f>
        <v/>
      </c>
      <c r="D760" s="68" t="str">
        <f>ASTemp!D760</f>
        <v/>
      </c>
      <c r="E760" s="65" t="str">
        <f>ASTemp!E760</f>
        <v/>
      </c>
      <c r="F760" s="69" t="str">
        <f>TEXT(ASTemp!F760,Decimals)</f>
        <v/>
      </c>
      <c r="G760" s="69" t="str">
        <f>TEXT(ASTemp!G760,Decimals)</f>
        <v/>
      </c>
      <c r="H760" s="69" t="str">
        <f>TEXT(ASTemp!H760,Decimals)</f>
        <v/>
      </c>
      <c r="I760" s="69" t="str">
        <f>TEXT(ASTemp!I760,Decimals)</f>
        <v/>
      </c>
      <c r="J760" s="69" t="str">
        <f>TEXT(ASTemp!J760,Decimals)</f>
        <v/>
      </c>
      <c r="K760" s="69" t="str">
        <f>TEXT(ASTemp!K760,Decimals)</f>
        <v/>
      </c>
      <c r="L760" s="69" t="str">
        <f>TEXT(ASTemp!L760,Decimals)</f>
        <v/>
      </c>
      <c r="M760" s="71" t="str">
        <f>TEXT(ASTemp!M760,Percentages)</f>
        <v/>
      </c>
      <c r="N760" s="72" t="str">
        <f>TEXT(ASTemp!N760,Percentages)</f>
        <v/>
      </c>
    </row>
    <row r="761" ht="14.25" customHeight="1">
      <c r="B761" s="66" t="str">
        <f>ASTemp!B761</f>
        <v/>
      </c>
      <c r="C761" s="67" t="str">
        <f>ASTemp!C761</f>
        <v/>
      </c>
      <c r="D761" s="68" t="str">
        <f>ASTemp!D761</f>
        <v/>
      </c>
      <c r="E761" s="65" t="str">
        <f>ASTemp!E761</f>
        <v/>
      </c>
      <c r="F761" s="69" t="str">
        <f>TEXT(ASTemp!F761,Decimals)</f>
        <v/>
      </c>
      <c r="G761" s="69" t="str">
        <f>TEXT(ASTemp!G761,Decimals)</f>
        <v/>
      </c>
      <c r="H761" s="69" t="str">
        <f>TEXT(ASTemp!H761,Decimals)</f>
        <v/>
      </c>
      <c r="I761" s="69" t="str">
        <f>TEXT(ASTemp!I761,Decimals)</f>
        <v/>
      </c>
      <c r="J761" s="69" t="str">
        <f>TEXT(ASTemp!J761,Decimals)</f>
        <v/>
      </c>
      <c r="K761" s="69" t="str">
        <f>TEXT(ASTemp!K761,Decimals)</f>
        <v/>
      </c>
      <c r="L761" s="69" t="str">
        <f>TEXT(ASTemp!L761,Decimals)</f>
        <v/>
      </c>
      <c r="M761" s="71" t="str">
        <f>TEXT(ASTemp!M761,Percentages)</f>
        <v/>
      </c>
      <c r="N761" s="72" t="str">
        <f>TEXT(ASTemp!N761,Percentages)</f>
        <v/>
      </c>
    </row>
    <row r="762" ht="14.25" customHeight="1">
      <c r="B762" s="66" t="str">
        <f>ASTemp!B762</f>
        <v/>
      </c>
      <c r="C762" s="67" t="str">
        <f>ASTemp!C762</f>
        <v/>
      </c>
      <c r="D762" s="68" t="str">
        <f>ASTemp!D762</f>
        <v/>
      </c>
      <c r="E762" s="65" t="str">
        <f>ASTemp!E762</f>
        <v/>
      </c>
      <c r="F762" s="69" t="str">
        <f>TEXT(ASTemp!F762,Decimals)</f>
        <v/>
      </c>
      <c r="G762" s="69" t="str">
        <f>TEXT(ASTemp!G762,Decimals)</f>
        <v/>
      </c>
      <c r="H762" s="69" t="str">
        <f>TEXT(ASTemp!H762,Decimals)</f>
        <v/>
      </c>
      <c r="I762" s="69" t="str">
        <f>TEXT(ASTemp!I762,Decimals)</f>
        <v/>
      </c>
      <c r="J762" s="69" t="str">
        <f>TEXT(ASTemp!J762,Decimals)</f>
        <v/>
      </c>
      <c r="K762" s="69" t="str">
        <f>TEXT(ASTemp!K762,Decimals)</f>
        <v/>
      </c>
      <c r="L762" s="69" t="str">
        <f>TEXT(ASTemp!L762,Decimals)</f>
        <v/>
      </c>
      <c r="M762" s="71" t="str">
        <f>TEXT(ASTemp!M762,Percentages)</f>
        <v/>
      </c>
      <c r="N762" s="72" t="str">
        <f>TEXT(ASTemp!N762,Percentages)</f>
        <v/>
      </c>
    </row>
    <row r="763" ht="14.25" customHeight="1">
      <c r="B763" s="66" t="str">
        <f>ASTemp!B763</f>
        <v/>
      </c>
      <c r="C763" s="67" t="str">
        <f>ASTemp!C763</f>
        <v/>
      </c>
      <c r="D763" s="68" t="str">
        <f>ASTemp!D763</f>
        <v/>
      </c>
      <c r="E763" s="65" t="str">
        <f>ASTemp!E763</f>
        <v/>
      </c>
      <c r="F763" s="69" t="str">
        <f>TEXT(ASTemp!F763,Decimals)</f>
        <v/>
      </c>
      <c r="G763" s="69" t="str">
        <f>TEXT(ASTemp!G763,Decimals)</f>
        <v/>
      </c>
      <c r="H763" s="69" t="str">
        <f>TEXT(ASTemp!H763,Decimals)</f>
        <v/>
      </c>
      <c r="I763" s="69" t="str">
        <f>TEXT(ASTemp!I763,Decimals)</f>
        <v/>
      </c>
      <c r="J763" s="69" t="str">
        <f>TEXT(ASTemp!J763,Decimals)</f>
        <v/>
      </c>
      <c r="K763" s="69" t="str">
        <f>TEXT(ASTemp!K763,Decimals)</f>
        <v/>
      </c>
      <c r="L763" s="69" t="str">
        <f>TEXT(ASTemp!L763,Decimals)</f>
        <v/>
      </c>
      <c r="M763" s="71" t="str">
        <f>TEXT(ASTemp!M763,Percentages)</f>
        <v/>
      </c>
      <c r="N763" s="72" t="str">
        <f>TEXT(ASTemp!N763,Percentages)</f>
        <v/>
      </c>
    </row>
    <row r="764" ht="14.25" customHeight="1">
      <c r="B764" s="66" t="str">
        <f>ASTemp!B764</f>
        <v/>
      </c>
      <c r="C764" s="67" t="str">
        <f>ASTemp!C764</f>
        <v/>
      </c>
      <c r="D764" s="68" t="str">
        <f>ASTemp!D764</f>
        <v/>
      </c>
      <c r="E764" s="65" t="str">
        <f>ASTemp!E764</f>
        <v/>
      </c>
      <c r="F764" s="69" t="str">
        <f>TEXT(ASTemp!F764,Decimals)</f>
        <v/>
      </c>
      <c r="G764" s="69" t="str">
        <f>TEXT(ASTemp!G764,Decimals)</f>
        <v/>
      </c>
      <c r="H764" s="69" t="str">
        <f>TEXT(ASTemp!H764,Decimals)</f>
        <v/>
      </c>
      <c r="I764" s="69" t="str">
        <f>TEXT(ASTemp!I764,Decimals)</f>
        <v/>
      </c>
      <c r="J764" s="69" t="str">
        <f>TEXT(ASTemp!J764,Decimals)</f>
        <v/>
      </c>
      <c r="K764" s="69" t="str">
        <f>TEXT(ASTemp!K764,Decimals)</f>
        <v/>
      </c>
      <c r="L764" s="69" t="str">
        <f>TEXT(ASTemp!L764,Decimals)</f>
        <v/>
      </c>
      <c r="M764" s="71" t="str">
        <f>TEXT(ASTemp!M764,Percentages)</f>
        <v/>
      </c>
      <c r="N764" s="72" t="str">
        <f>TEXT(ASTemp!N764,Percentages)</f>
        <v/>
      </c>
    </row>
    <row r="765" ht="14.25" customHeight="1">
      <c r="B765" s="66" t="str">
        <f>ASTemp!B765</f>
        <v/>
      </c>
      <c r="C765" s="67" t="str">
        <f>ASTemp!C765</f>
        <v/>
      </c>
      <c r="D765" s="68" t="str">
        <f>ASTemp!D765</f>
        <v/>
      </c>
      <c r="E765" s="65" t="str">
        <f>ASTemp!E765</f>
        <v/>
      </c>
      <c r="F765" s="69" t="str">
        <f>TEXT(ASTemp!F765,Decimals)</f>
        <v/>
      </c>
      <c r="G765" s="69" t="str">
        <f>TEXT(ASTemp!G765,Decimals)</f>
        <v/>
      </c>
      <c r="H765" s="69" t="str">
        <f>TEXT(ASTemp!H765,Decimals)</f>
        <v/>
      </c>
      <c r="I765" s="69" t="str">
        <f>TEXT(ASTemp!I765,Decimals)</f>
        <v/>
      </c>
      <c r="J765" s="69" t="str">
        <f>TEXT(ASTemp!J765,Decimals)</f>
        <v/>
      </c>
      <c r="K765" s="69" t="str">
        <f>TEXT(ASTemp!K765,Decimals)</f>
        <v/>
      </c>
      <c r="L765" s="69" t="str">
        <f>TEXT(ASTemp!L765,Decimals)</f>
        <v/>
      </c>
      <c r="M765" s="71" t="str">
        <f>TEXT(ASTemp!M765,Percentages)</f>
        <v/>
      </c>
      <c r="N765" s="72" t="str">
        <f>TEXT(ASTemp!N765,Percentages)</f>
        <v/>
      </c>
    </row>
    <row r="766" ht="14.25" customHeight="1">
      <c r="B766" s="66" t="str">
        <f>ASTemp!B766</f>
        <v/>
      </c>
      <c r="C766" s="67" t="str">
        <f>ASTemp!C766</f>
        <v/>
      </c>
      <c r="D766" s="68" t="str">
        <f>ASTemp!D766</f>
        <v/>
      </c>
      <c r="E766" s="65" t="str">
        <f>ASTemp!E766</f>
        <v/>
      </c>
      <c r="F766" s="69" t="str">
        <f>TEXT(ASTemp!F766,Decimals)</f>
        <v/>
      </c>
      <c r="G766" s="69" t="str">
        <f>TEXT(ASTemp!G766,Decimals)</f>
        <v/>
      </c>
      <c r="H766" s="69" t="str">
        <f>TEXT(ASTemp!H766,Decimals)</f>
        <v/>
      </c>
      <c r="I766" s="69" t="str">
        <f>TEXT(ASTemp!I766,Decimals)</f>
        <v/>
      </c>
      <c r="J766" s="69" t="str">
        <f>TEXT(ASTemp!J766,Decimals)</f>
        <v/>
      </c>
      <c r="K766" s="69" t="str">
        <f>TEXT(ASTemp!K766,Decimals)</f>
        <v/>
      </c>
      <c r="L766" s="69" t="str">
        <f>TEXT(ASTemp!L766,Decimals)</f>
        <v/>
      </c>
      <c r="M766" s="71" t="str">
        <f>TEXT(ASTemp!M766,Percentages)</f>
        <v/>
      </c>
      <c r="N766" s="72" t="str">
        <f>TEXT(ASTemp!N766,Percentages)</f>
        <v/>
      </c>
    </row>
    <row r="767" ht="14.25" customHeight="1">
      <c r="B767" s="66" t="str">
        <f>ASTemp!B767</f>
        <v/>
      </c>
      <c r="C767" s="67" t="str">
        <f>ASTemp!C767</f>
        <v/>
      </c>
      <c r="D767" s="68" t="str">
        <f>ASTemp!D767</f>
        <v/>
      </c>
      <c r="E767" s="65" t="str">
        <f>ASTemp!E767</f>
        <v/>
      </c>
      <c r="F767" s="69" t="str">
        <f>TEXT(ASTemp!F767,Decimals)</f>
        <v/>
      </c>
      <c r="G767" s="69" t="str">
        <f>TEXT(ASTemp!G767,Decimals)</f>
        <v/>
      </c>
      <c r="H767" s="69" t="str">
        <f>TEXT(ASTemp!H767,Decimals)</f>
        <v/>
      </c>
      <c r="I767" s="69" t="str">
        <f>TEXT(ASTemp!I767,Decimals)</f>
        <v/>
      </c>
      <c r="J767" s="69" t="str">
        <f>TEXT(ASTemp!J767,Decimals)</f>
        <v/>
      </c>
      <c r="K767" s="69" t="str">
        <f>TEXT(ASTemp!K767,Decimals)</f>
        <v/>
      </c>
      <c r="L767" s="69" t="str">
        <f>TEXT(ASTemp!L767,Decimals)</f>
        <v/>
      </c>
      <c r="M767" s="71" t="str">
        <f>TEXT(ASTemp!M767,Percentages)</f>
        <v/>
      </c>
      <c r="N767" s="72" t="str">
        <f>TEXT(ASTemp!N767,Percentages)</f>
        <v/>
      </c>
    </row>
    <row r="768" ht="14.25" customHeight="1">
      <c r="B768" s="66" t="str">
        <f>ASTemp!B768</f>
        <v/>
      </c>
      <c r="C768" s="67" t="str">
        <f>ASTemp!C768</f>
        <v/>
      </c>
      <c r="D768" s="68" t="str">
        <f>ASTemp!D768</f>
        <v/>
      </c>
      <c r="E768" s="65" t="str">
        <f>ASTemp!E768</f>
        <v/>
      </c>
      <c r="F768" s="69" t="str">
        <f>TEXT(ASTemp!F768,Decimals)</f>
        <v/>
      </c>
      <c r="G768" s="69" t="str">
        <f>TEXT(ASTemp!G768,Decimals)</f>
        <v/>
      </c>
      <c r="H768" s="69" t="str">
        <f>TEXT(ASTemp!H768,Decimals)</f>
        <v/>
      </c>
      <c r="I768" s="69" t="str">
        <f>TEXT(ASTemp!I768,Decimals)</f>
        <v/>
      </c>
      <c r="J768" s="69" t="str">
        <f>TEXT(ASTemp!J768,Decimals)</f>
        <v/>
      </c>
      <c r="K768" s="69" t="str">
        <f>TEXT(ASTemp!K768,Decimals)</f>
        <v/>
      </c>
      <c r="L768" s="69" t="str">
        <f>TEXT(ASTemp!L768,Decimals)</f>
        <v/>
      </c>
      <c r="M768" s="71" t="str">
        <f>TEXT(ASTemp!M768,Percentages)</f>
        <v/>
      </c>
      <c r="N768" s="72" t="str">
        <f>TEXT(ASTemp!N768,Percentages)</f>
        <v/>
      </c>
    </row>
    <row r="769" ht="14.25" customHeight="1">
      <c r="B769" s="66" t="str">
        <f>ASTemp!B769</f>
        <v/>
      </c>
      <c r="C769" s="67" t="str">
        <f>ASTemp!C769</f>
        <v/>
      </c>
      <c r="D769" s="68" t="str">
        <f>ASTemp!D769</f>
        <v/>
      </c>
      <c r="E769" s="65" t="str">
        <f>ASTemp!E769</f>
        <v/>
      </c>
      <c r="F769" s="69" t="str">
        <f>TEXT(ASTemp!F769,Decimals)</f>
        <v/>
      </c>
      <c r="G769" s="69" t="str">
        <f>TEXT(ASTemp!G769,Decimals)</f>
        <v/>
      </c>
      <c r="H769" s="69" t="str">
        <f>TEXT(ASTemp!H769,Decimals)</f>
        <v/>
      </c>
      <c r="I769" s="69" t="str">
        <f>TEXT(ASTemp!I769,Decimals)</f>
        <v/>
      </c>
      <c r="J769" s="69" t="str">
        <f>TEXT(ASTemp!J769,Decimals)</f>
        <v/>
      </c>
      <c r="K769" s="69" t="str">
        <f>TEXT(ASTemp!K769,Decimals)</f>
        <v/>
      </c>
      <c r="L769" s="69" t="str">
        <f>TEXT(ASTemp!L769,Decimals)</f>
        <v/>
      </c>
      <c r="M769" s="71" t="str">
        <f>TEXT(ASTemp!M769,Percentages)</f>
        <v/>
      </c>
      <c r="N769" s="72" t="str">
        <f>TEXT(ASTemp!N769,Percentages)</f>
        <v/>
      </c>
    </row>
    <row r="770" ht="14.25" customHeight="1">
      <c r="B770" s="66" t="str">
        <f>ASTemp!B770</f>
        <v/>
      </c>
      <c r="C770" s="67" t="str">
        <f>ASTemp!C770</f>
        <v/>
      </c>
      <c r="D770" s="68" t="str">
        <f>ASTemp!D770</f>
        <v/>
      </c>
      <c r="E770" s="65" t="str">
        <f>ASTemp!E770</f>
        <v/>
      </c>
      <c r="F770" s="69" t="str">
        <f>TEXT(ASTemp!F770,Decimals)</f>
        <v/>
      </c>
      <c r="G770" s="69" t="str">
        <f>TEXT(ASTemp!G770,Decimals)</f>
        <v/>
      </c>
      <c r="H770" s="69" t="str">
        <f>TEXT(ASTemp!H770,Decimals)</f>
        <v/>
      </c>
      <c r="I770" s="69" t="str">
        <f>TEXT(ASTemp!I770,Decimals)</f>
        <v/>
      </c>
      <c r="J770" s="69" t="str">
        <f>TEXT(ASTemp!J770,Decimals)</f>
        <v/>
      </c>
      <c r="K770" s="69" t="str">
        <f>TEXT(ASTemp!K770,Decimals)</f>
        <v/>
      </c>
      <c r="L770" s="69" t="str">
        <f>TEXT(ASTemp!L770,Decimals)</f>
        <v/>
      </c>
      <c r="M770" s="71" t="str">
        <f>TEXT(ASTemp!M770,Percentages)</f>
        <v/>
      </c>
      <c r="N770" s="72" t="str">
        <f>TEXT(ASTemp!N770,Percentages)</f>
        <v/>
      </c>
    </row>
    <row r="771" ht="14.25" customHeight="1">
      <c r="B771" s="66" t="str">
        <f>ASTemp!B771</f>
        <v/>
      </c>
      <c r="C771" s="67" t="str">
        <f>ASTemp!C771</f>
        <v/>
      </c>
      <c r="D771" s="68" t="str">
        <f>ASTemp!D771</f>
        <v/>
      </c>
      <c r="E771" s="65" t="str">
        <f>ASTemp!E771</f>
        <v/>
      </c>
      <c r="F771" s="69" t="str">
        <f>TEXT(ASTemp!F771,Decimals)</f>
        <v/>
      </c>
      <c r="G771" s="69" t="str">
        <f>TEXT(ASTemp!G771,Decimals)</f>
        <v/>
      </c>
      <c r="H771" s="69" t="str">
        <f>TEXT(ASTemp!H771,Decimals)</f>
        <v/>
      </c>
      <c r="I771" s="69" t="str">
        <f>TEXT(ASTemp!I771,Decimals)</f>
        <v/>
      </c>
      <c r="J771" s="69" t="str">
        <f>TEXT(ASTemp!J771,Decimals)</f>
        <v/>
      </c>
      <c r="K771" s="69" t="str">
        <f>TEXT(ASTemp!K771,Decimals)</f>
        <v/>
      </c>
      <c r="L771" s="69" t="str">
        <f>TEXT(ASTemp!L771,Decimals)</f>
        <v/>
      </c>
      <c r="M771" s="71" t="str">
        <f>TEXT(ASTemp!M771,Percentages)</f>
        <v/>
      </c>
      <c r="N771" s="72" t="str">
        <f>TEXT(ASTemp!N771,Percentages)</f>
        <v/>
      </c>
    </row>
    <row r="772" ht="14.25" customHeight="1">
      <c r="B772" s="66" t="str">
        <f>ASTemp!B772</f>
        <v/>
      </c>
      <c r="C772" s="67" t="str">
        <f>ASTemp!C772</f>
        <v/>
      </c>
      <c r="D772" s="68" t="str">
        <f>ASTemp!D772</f>
        <v/>
      </c>
      <c r="E772" s="65" t="str">
        <f>ASTemp!E772</f>
        <v/>
      </c>
      <c r="F772" s="69" t="str">
        <f>TEXT(ASTemp!F772,Decimals)</f>
        <v/>
      </c>
      <c r="G772" s="69" t="str">
        <f>TEXT(ASTemp!G772,Decimals)</f>
        <v/>
      </c>
      <c r="H772" s="69" t="str">
        <f>TEXT(ASTemp!H772,Decimals)</f>
        <v/>
      </c>
      <c r="I772" s="69" t="str">
        <f>TEXT(ASTemp!I772,Decimals)</f>
        <v/>
      </c>
      <c r="J772" s="69" t="str">
        <f>TEXT(ASTemp!J772,Decimals)</f>
        <v/>
      </c>
      <c r="K772" s="69" t="str">
        <f>TEXT(ASTemp!K772,Decimals)</f>
        <v/>
      </c>
      <c r="L772" s="69" t="str">
        <f>TEXT(ASTemp!L772,Decimals)</f>
        <v/>
      </c>
      <c r="M772" s="71" t="str">
        <f>TEXT(ASTemp!M772,Percentages)</f>
        <v/>
      </c>
      <c r="N772" s="72" t="str">
        <f>TEXT(ASTemp!N772,Percentages)</f>
        <v/>
      </c>
    </row>
    <row r="773" ht="14.25" customHeight="1">
      <c r="B773" s="66" t="str">
        <f>ASTemp!B773</f>
        <v/>
      </c>
      <c r="C773" s="67" t="str">
        <f>ASTemp!C773</f>
        <v/>
      </c>
      <c r="D773" s="68" t="str">
        <f>ASTemp!D773</f>
        <v/>
      </c>
      <c r="E773" s="65" t="str">
        <f>ASTemp!E773</f>
        <v/>
      </c>
      <c r="F773" s="69" t="str">
        <f>TEXT(ASTemp!F773,Decimals)</f>
        <v/>
      </c>
      <c r="G773" s="69" t="str">
        <f>TEXT(ASTemp!G773,Decimals)</f>
        <v/>
      </c>
      <c r="H773" s="69" t="str">
        <f>TEXT(ASTemp!H773,Decimals)</f>
        <v/>
      </c>
      <c r="I773" s="69" t="str">
        <f>TEXT(ASTemp!I773,Decimals)</f>
        <v/>
      </c>
      <c r="J773" s="69" t="str">
        <f>TEXT(ASTemp!J773,Decimals)</f>
        <v/>
      </c>
      <c r="K773" s="69" t="str">
        <f>TEXT(ASTemp!K773,Decimals)</f>
        <v/>
      </c>
      <c r="L773" s="69" t="str">
        <f>TEXT(ASTemp!L773,Decimals)</f>
        <v/>
      </c>
      <c r="M773" s="71" t="str">
        <f>TEXT(ASTemp!M773,Percentages)</f>
        <v/>
      </c>
      <c r="N773" s="72" t="str">
        <f>TEXT(ASTemp!N773,Percentages)</f>
        <v/>
      </c>
    </row>
    <row r="774" ht="14.25" customHeight="1">
      <c r="B774" s="66" t="str">
        <f>ASTemp!B774</f>
        <v/>
      </c>
      <c r="C774" s="67" t="str">
        <f>ASTemp!C774</f>
        <v/>
      </c>
      <c r="D774" s="68" t="str">
        <f>ASTemp!D774</f>
        <v/>
      </c>
      <c r="E774" s="65" t="str">
        <f>ASTemp!E774</f>
        <v/>
      </c>
      <c r="F774" s="69" t="str">
        <f>TEXT(ASTemp!F774,Decimals)</f>
        <v/>
      </c>
      <c r="G774" s="69" t="str">
        <f>TEXT(ASTemp!G774,Decimals)</f>
        <v/>
      </c>
      <c r="H774" s="69" t="str">
        <f>TEXT(ASTemp!H774,Decimals)</f>
        <v/>
      </c>
      <c r="I774" s="69" t="str">
        <f>TEXT(ASTemp!I774,Decimals)</f>
        <v/>
      </c>
      <c r="J774" s="69" t="str">
        <f>TEXT(ASTemp!J774,Decimals)</f>
        <v/>
      </c>
      <c r="K774" s="69" t="str">
        <f>TEXT(ASTemp!K774,Decimals)</f>
        <v/>
      </c>
      <c r="L774" s="69" t="str">
        <f>TEXT(ASTemp!L774,Decimals)</f>
        <v/>
      </c>
      <c r="M774" s="71" t="str">
        <f>TEXT(ASTemp!M774,Percentages)</f>
        <v/>
      </c>
      <c r="N774" s="72" t="str">
        <f>TEXT(ASTemp!N774,Percentages)</f>
        <v/>
      </c>
    </row>
    <row r="775" ht="14.25" customHeight="1">
      <c r="B775" s="66" t="str">
        <f>ASTemp!B775</f>
        <v/>
      </c>
      <c r="C775" s="67" t="str">
        <f>ASTemp!C775</f>
        <v/>
      </c>
      <c r="D775" s="68" t="str">
        <f>ASTemp!D775</f>
        <v/>
      </c>
      <c r="E775" s="65" t="str">
        <f>ASTemp!E775</f>
        <v/>
      </c>
      <c r="F775" s="69" t="str">
        <f>TEXT(ASTemp!F775,Decimals)</f>
        <v/>
      </c>
      <c r="G775" s="69" t="str">
        <f>TEXT(ASTemp!G775,Decimals)</f>
        <v/>
      </c>
      <c r="H775" s="69" t="str">
        <f>TEXT(ASTemp!H775,Decimals)</f>
        <v/>
      </c>
      <c r="I775" s="69" t="str">
        <f>TEXT(ASTemp!I775,Decimals)</f>
        <v/>
      </c>
      <c r="J775" s="69" t="str">
        <f>TEXT(ASTemp!J775,Decimals)</f>
        <v/>
      </c>
      <c r="K775" s="69" t="str">
        <f>TEXT(ASTemp!K775,Decimals)</f>
        <v/>
      </c>
      <c r="L775" s="69" t="str">
        <f>TEXT(ASTemp!L775,Decimals)</f>
        <v/>
      </c>
      <c r="M775" s="71" t="str">
        <f>TEXT(ASTemp!M775,Percentages)</f>
        <v/>
      </c>
      <c r="N775" s="72" t="str">
        <f>TEXT(ASTemp!N775,Percentages)</f>
        <v/>
      </c>
    </row>
    <row r="776" ht="14.25" customHeight="1">
      <c r="B776" s="66" t="str">
        <f>ASTemp!B776</f>
        <v/>
      </c>
      <c r="C776" s="67" t="str">
        <f>ASTemp!C776</f>
        <v/>
      </c>
      <c r="D776" s="68" t="str">
        <f>ASTemp!D776</f>
        <v/>
      </c>
      <c r="E776" s="65" t="str">
        <f>ASTemp!E776</f>
        <v/>
      </c>
      <c r="F776" s="69" t="str">
        <f>TEXT(ASTemp!F776,Decimals)</f>
        <v/>
      </c>
      <c r="G776" s="69" t="str">
        <f>TEXT(ASTemp!G776,Decimals)</f>
        <v/>
      </c>
      <c r="H776" s="69" t="str">
        <f>TEXT(ASTemp!H776,Decimals)</f>
        <v/>
      </c>
      <c r="I776" s="69" t="str">
        <f>TEXT(ASTemp!I776,Decimals)</f>
        <v/>
      </c>
      <c r="J776" s="69" t="str">
        <f>TEXT(ASTemp!J776,Decimals)</f>
        <v/>
      </c>
      <c r="K776" s="69" t="str">
        <f>TEXT(ASTemp!K776,Decimals)</f>
        <v/>
      </c>
      <c r="L776" s="69" t="str">
        <f>TEXT(ASTemp!L776,Decimals)</f>
        <v/>
      </c>
      <c r="M776" s="71" t="str">
        <f>TEXT(ASTemp!M776,Percentages)</f>
        <v/>
      </c>
      <c r="N776" s="72" t="str">
        <f>TEXT(ASTemp!N776,Percentages)</f>
        <v/>
      </c>
    </row>
    <row r="777" ht="14.25" customHeight="1">
      <c r="B777" s="66" t="str">
        <f>ASTemp!B777</f>
        <v/>
      </c>
      <c r="C777" s="67" t="str">
        <f>ASTemp!C777</f>
        <v/>
      </c>
      <c r="D777" s="68" t="str">
        <f>ASTemp!D777</f>
        <v/>
      </c>
      <c r="E777" s="65" t="str">
        <f>ASTemp!E777</f>
        <v/>
      </c>
      <c r="F777" s="69" t="str">
        <f>TEXT(ASTemp!F777,Decimals)</f>
        <v/>
      </c>
      <c r="G777" s="69" t="str">
        <f>TEXT(ASTemp!G777,Decimals)</f>
        <v/>
      </c>
      <c r="H777" s="69" t="str">
        <f>TEXT(ASTemp!H777,Decimals)</f>
        <v/>
      </c>
      <c r="I777" s="69" t="str">
        <f>TEXT(ASTemp!I777,Decimals)</f>
        <v/>
      </c>
      <c r="J777" s="69" t="str">
        <f>TEXT(ASTemp!J777,Decimals)</f>
        <v/>
      </c>
      <c r="K777" s="69" t="str">
        <f>TEXT(ASTemp!K777,Decimals)</f>
        <v/>
      </c>
      <c r="L777" s="69" t="str">
        <f>TEXT(ASTemp!L777,Decimals)</f>
        <v/>
      </c>
      <c r="M777" s="71" t="str">
        <f>TEXT(ASTemp!M777,Percentages)</f>
        <v/>
      </c>
      <c r="N777" s="72" t="str">
        <f>TEXT(ASTemp!N777,Percentages)</f>
        <v/>
      </c>
    </row>
    <row r="778" ht="14.25" customHeight="1">
      <c r="B778" s="66" t="str">
        <f>ASTemp!B778</f>
        <v/>
      </c>
      <c r="C778" s="67" t="str">
        <f>ASTemp!C778</f>
        <v/>
      </c>
      <c r="D778" s="68" t="str">
        <f>ASTemp!D778</f>
        <v/>
      </c>
      <c r="E778" s="65" t="str">
        <f>ASTemp!E778</f>
        <v/>
      </c>
      <c r="F778" s="69" t="str">
        <f>TEXT(ASTemp!F778,Decimals)</f>
        <v/>
      </c>
      <c r="G778" s="69" t="str">
        <f>TEXT(ASTemp!G778,Decimals)</f>
        <v/>
      </c>
      <c r="H778" s="69" t="str">
        <f>TEXT(ASTemp!H778,Decimals)</f>
        <v/>
      </c>
      <c r="I778" s="69" t="str">
        <f>TEXT(ASTemp!I778,Decimals)</f>
        <v/>
      </c>
      <c r="J778" s="69" t="str">
        <f>TEXT(ASTemp!J778,Decimals)</f>
        <v/>
      </c>
      <c r="K778" s="69" t="str">
        <f>TEXT(ASTemp!K778,Decimals)</f>
        <v/>
      </c>
      <c r="L778" s="69" t="str">
        <f>TEXT(ASTemp!L778,Decimals)</f>
        <v/>
      </c>
      <c r="M778" s="71" t="str">
        <f>TEXT(ASTemp!M778,Percentages)</f>
        <v/>
      </c>
      <c r="N778" s="72" t="str">
        <f>TEXT(ASTemp!N778,Percentages)</f>
        <v/>
      </c>
    </row>
    <row r="779" ht="14.25" customHeight="1">
      <c r="B779" s="66" t="str">
        <f>ASTemp!B779</f>
        <v/>
      </c>
      <c r="C779" s="67" t="str">
        <f>ASTemp!C779</f>
        <v/>
      </c>
      <c r="D779" s="68" t="str">
        <f>ASTemp!D779</f>
        <v/>
      </c>
      <c r="E779" s="65" t="str">
        <f>ASTemp!E779</f>
        <v/>
      </c>
      <c r="F779" s="69" t="str">
        <f>TEXT(ASTemp!F779,Decimals)</f>
        <v/>
      </c>
      <c r="G779" s="69" t="str">
        <f>TEXT(ASTemp!G779,Decimals)</f>
        <v/>
      </c>
      <c r="H779" s="69" t="str">
        <f>TEXT(ASTemp!H779,Decimals)</f>
        <v/>
      </c>
      <c r="I779" s="69" t="str">
        <f>TEXT(ASTemp!I779,Decimals)</f>
        <v/>
      </c>
      <c r="J779" s="69" t="str">
        <f>TEXT(ASTemp!J779,Decimals)</f>
        <v/>
      </c>
      <c r="K779" s="69" t="str">
        <f>TEXT(ASTemp!K779,Decimals)</f>
        <v/>
      </c>
      <c r="L779" s="69" t="str">
        <f>TEXT(ASTemp!L779,Decimals)</f>
        <v/>
      </c>
      <c r="M779" s="71" t="str">
        <f>TEXT(ASTemp!M779,Percentages)</f>
        <v/>
      </c>
      <c r="N779" s="72" t="str">
        <f>TEXT(ASTemp!N779,Percentages)</f>
        <v/>
      </c>
    </row>
    <row r="780" ht="14.25" customHeight="1">
      <c r="B780" s="66" t="str">
        <f>ASTemp!B780</f>
        <v/>
      </c>
      <c r="C780" s="67" t="str">
        <f>ASTemp!C780</f>
        <v/>
      </c>
      <c r="D780" s="68" t="str">
        <f>ASTemp!D780</f>
        <v/>
      </c>
      <c r="E780" s="65" t="str">
        <f>ASTemp!E780</f>
        <v/>
      </c>
      <c r="F780" s="69" t="str">
        <f>TEXT(ASTemp!F780,Decimals)</f>
        <v/>
      </c>
      <c r="G780" s="69" t="str">
        <f>TEXT(ASTemp!G780,Decimals)</f>
        <v/>
      </c>
      <c r="H780" s="69" t="str">
        <f>TEXT(ASTemp!H780,Decimals)</f>
        <v/>
      </c>
      <c r="I780" s="69" t="str">
        <f>TEXT(ASTemp!I780,Decimals)</f>
        <v/>
      </c>
      <c r="J780" s="69" t="str">
        <f>TEXT(ASTemp!J780,Decimals)</f>
        <v/>
      </c>
      <c r="K780" s="69" t="str">
        <f>TEXT(ASTemp!K780,Decimals)</f>
        <v/>
      </c>
      <c r="L780" s="69" t="str">
        <f>TEXT(ASTemp!L780,Decimals)</f>
        <v/>
      </c>
      <c r="M780" s="71" t="str">
        <f>TEXT(ASTemp!M780,Percentages)</f>
        <v/>
      </c>
      <c r="N780" s="72" t="str">
        <f>TEXT(ASTemp!N780,Percentages)</f>
        <v/>
      </c>
    </row>
    <row r="781" ht="14.25" customHeight="1">
      <c r="B781" s="66" t="str">
        <f>ASTemp!B781</f>
        <v/>
      </c>
      <c r="C781" s="67" t="str">
        <f>ASTemp!C781</f>
        <v/>
      </c>
      <c r="D781" s="68" t="str">
        <f>ASTemp!D781</f>
        <v/>
      </c>
      <c r="E781" s="65" t="str">
        <f>ASTemp!E781</f>
        <v/>
      </c>
      <c r="F781" s="69" t="str">
        <f>TEXT(ASTemp!F781,Decimals)</f>
        <v/>
      </c>
      <c r="G781" s="69" t="str">
        <f>TEXT(ASTemp!G781,Decimals)</f>
        <v/>
      </c>
      <c r="H781" s="69" t="str">
        <f>TEXT(ASTemp!H781,Decimals)</f>
        <v/>
      </c>
      <c r="I781" s="69" t="str">
        <f>TEXT(ASTemp!I781,Decimals)</f>
        <v/>
      </c>
      <c r="J781" s="69" t="str">
        <f>TEXT(ASTemp!J781,Decimals)</f>
        <v/>
      </c>
      <c r="K781" s="69" t="str">
        <f>TEXT(ASTemp!K781,Decimals)</f>
        <v/>
      </c>
      <c r="L781" s="69" t="str">
        <f>TEXT(ASTemp!L781,Decimals)</f>
        <v/>
      </c>
      <c r="M781" s="71" t="str">
        <f>TEXT(ASTemp!M781,Percentages)</f>
        <v/>
      </c>
      <c r="N781" s="72" t="str">
        <f>TEXT(ASTemp!N781,Percentages)</f>
        <v/>
      </c>
    </row>
    <row r="782" ht="14.25" customHeight="1">
      <c r="B782" s="66" t="str">
        <f>ASTemp!B782</f>
        <v/>
      </c>
      <c r="C782" s="67" t="str">
        <f>ASTemp!C782</f>
        <v/>
      </c>
      <c r="D782" s="68" t="str">
        <f>ASTemp!D782</f>
        <v/>
      </c>
      <c r="E782" s="65" t="str">
        <f>ASTemp!E782</f>
        <v/>
      </c>
      <c r="F782" s="69" t="str">
        <f>TEXT(ASTemp!F782,Decimals)</f>
        <v/>
      </c>
      <c r="G782" s="69" t="str">
        <f>TEXT(ASTemp!G782,Decimals)</f>
        <v/>
      </c>
      <c r="H782" s="69" t="str">
        <f>TEXT(ASTemp!H782,Decimals)</f>
        <v/>
      </c>
      <c r="I782" s="69" t="str">
        <f>TEXT(ASTemp!I782,Decimals)</f>
        <v/>
      </c>
      <c r="J782" s="69" t="str">
        <f>TEXT(ASTemp!J782,Decimals)</f>
        <v/>
      </c>
      <c r="K782" s="69" t="str">
        <f>TEXT(ASTemp!K782,Decimals)</f>
        <v/>
      </c>
      <c r="L782" s="69" t="str">
        <f>TEXT(ASTemp!L782,Decimals)</f>
        <v/>
      </c>
      <c r="M782" s="71" t="str">
        <f>TEXT(ASTemp!M782,Percentages)</f>
        <v/>
      </c>
      <c r="N782" s="72" t="str">
        <f>TEXT(ASTemp!N782,Percentages)</f>
        <v/>
      </c>
    </row>
    <row r="783" ht="14.25" customHeight="1">
      <c r="B783" s="66" t="str">
        <f>ASTemp!B783</f>
        <v/>
      </c>
      <c r="C783" s="67" t="str">
        <f>ASTemp!C783</f>
        <v/>
      </c>
      <c r="D783" s="68" t="str">
        <f>ASTemp!D783</f>
        <v/>
      </c>
      <c r="E783" s="65" t="str">
        <f>ASTemp!E783</f>
        <v/>
      </c>
      <c r="F783" s="69" t="str">
        <f>TEXT(ASTemp!F783,Decimals)</f>
        <v/>
      </c>
      <c r="G783" s="69" t="str">
        <f>TEXT(ASTemp!G783,Decimals)</f>
        <v/>
      </c>
      <c r="H783" s="69" t="str">
        <f>TEXT(ASTemp!H783,Decimals)</f>
        <v/>
      </c>
      <c r="I783" s="69" t="str">
        <f>TEXT(ASTemp!I783,Decimals)</f>
        <v/>
      </c>
      <c r="J783" s="69" t="str">
        <f>TEXT(ASTemp!J783,Decimals)</f>
        <v/>
      </c>
      <c r="K783" s="69" t="str">
        <f>TEXT(ASTemp!K783,Decimals)</f>
        <v/>
      </c>
      <c r="L783" s="69" t="str">
        <f>TEXT(ASTemp!L783,Decimals)</f>
        <v/>
      </c>
      <c r="M783" s="71" t="str">
        <f>TEXT(ASTemp!M783,Percentages)</f>
        <v/>
      </c>
      <c r="N783" s="72" t="str">
        <f>TEXT(ASTemp!N783,Percentages)</f>
        <v/>
      </c>
    </row>
    <row r="784" ht="14.25" customHeight="1">
      <c r="B784" s="66" t="str">
        <f>ASTemp!B784</f>
        <v/>
      </c>
      <c r="C784" s="67" t="str">
        <f>ASTemp!C784</f>
        <v/>
      </c>
      <c r="D784" s="68" t="str">
        <f>ASTemp!D784</f>
        <v/>
      </c>
      <c r="E784" s="65" t="str">
        <f>ASTemp!E784</f>
        <v/>
      </c>
      <c r="F784" s="69" t="str">
        <f>TEXT(ASTemp!F784,Decimals)</f>
        <v/>
      </c>
      <c r="G784" s="69" t="str">
        <f>TEXT(ASTemp!G784,Decimals)</f>
        <v/>
      </c>
      <c r="H784" s="69" t="str">
        <f>TEXT(ASTemp!H784,Decimals)</f>
        <v/>
      </c>
      <c r="I784" s="69" t="str">
        <f>TEXT(ASTemp!I784,Decimals)</f>
        <v/>
      </c>
      <c r="J784" s="69" t="str">
        <f>TEXT(ASTemp!J784,Decimals)</f>
        <v/>
      </c>
      <c r="K784" s="69" t="str">
        <f>TEXT(ASTemp!K784,Decimals)</f>
        <v/>
      </c>
      <c r="L784" s="69" t="str">
        <f>TEXT(ASTemp!L784,Decimals)</f>
        <v/>
      </c>
      <c r="M784" s="71" t="str">
        <f>TEXT(ASTemp!M784,Percentages)</f>
        <v/>
      </c>
      <c r="N784" s="72" t="str">
        <f>TEXT(ASTemp!N784,Percentages)</f>
        <v/>
      </c>
    </row>
    <row r="785" ht="14.25" customHeight="1">
      <c r="B785" s="66" t="str">
        <f>ASTemp!B785</f>
        <v/>
      </c>
      <c r="C785" s="67" t="str">
        <f>ASTemp!C785</f>
        <v/>
      </c>
      <c r="D785" s="68" t="str">
        <f>ASTemp!D785</f>
        <v/>
      </c>
      <c r="E785" s="65" t="str">
        <f>ASTemp!E785</f>
        <v/>
      </c>
      <c r="F785" s="69" t="str">
        <f>TEXT(ASTemp!F785,Decimals)</f>
        <v/>
      </c>
      <c r="G785" s="69" t="str">
        <f>TEXT(ASTemp!G785,Decimals)</f>
        <v/>
      </c>
      <c r="H785" s="69" t="str">
        <f>TEXT(ASTemp!H785,Decimals)</f>
        <v/>
      </c>
      <c r="I785" s="69" t="str">
        <f>TEXT(ASTemp!I785,Decimals)</f>
        <v/>
      </c>
      <c r="J785" s="69" t="str">
        <f>TEXT(ASTemp!J785,Decimals)</f>
        <v/>
      </c>
      <c r="K785" s="69" t="str">
        <f>TEXT(ASTemp!K785,Decimals)</f>
        <v/>
      </c>
      <c r="L785" s="69" t="str">
        <f>TEXT(ASTemp!L785,Decimals)</f>
        <v/>
      </c>
      <c r="M785" s="71" t="str">
        <f>TEXT(ASTemp!M785,Percentages)</f>
        <v/>
      </c>
      <c r="N785" s="72" t="str">
        <f>TEXT(ASTemp!N785,Percentages)</f>
        <v/>
      </c>
    </row>
    <row r="786" ht="14.25" customHeight="1">
      <c r="B786" s="66" t="str">
        <f>ASTemp!B786</f>
        <v/>
      </c>
      <c r="C786" s="67" t="str">
        <f>ASTemp!C786</f>
        <v/>
      </c>
      <c r="D786" s="68" t="str">
        <f>ASTemp!D786</f>
        <v/>
      </c>
      <c r="E786" s="65" t="str">
        <f>ASTemp!E786</f>
        <v/>
      </c>
      <c r="F786" s="69" t="str">
        <f>TEXT(ASTemp!F786,Decimals)</f>
        <v/>
      </c>
      <c r="G786" s="69" t="str">
        <f>TEXT(ASTemp!G786,Decimals)</f>
        <v/>
      </c>
      <c r="H786" s="69" t="str">
        <f>TEXT(ASTemp!H786,Decimals)</f>
        <v/>
      </c>
      <c r="I786" s="69" t="str">
        <f>TEXT(ASTemp!I786,Decimals)</f>
        <v/>
      </c>
      <c r="J786" s="69" t="str">
        <f>TEXT(ASTemp!J786,Decimals)</f>
        <v/>
      </c>
      <c r="K786" s="69" t="str">
        <f>TEXT(ASTemp!K786,Decimals)</f>
        <v/>
      </c>
      <c r="L786" s="69" t="str">
        <f>TEXT(ASTemp!L786,Decimals)</f>
        <v/>
      </c>
      <c r="M786" s="71" t="str">
        <f>TEXT(ASTemp!M786,Percentages)</f>
        <v/>
      </c>
      <c r="N786" s="72" t="str">
        <f>TEXT(ASTemp!N786,Percentages)</f>
        <v/>
      </c>
    </row>
    <row r="787" ht="14.25" customHeight="1">
      <c r="B787" s="66" t="str">
        <f>ASTemp!B787</f>
        <v/>
      </c>
      <c r="C787" s="67" t="str">
        <f>ASTemp!C787</f>
        <v/>
      </c>
      <c r="D787" s="68" t="str">
        <f>ASTemp!D787</f>
        <v/>
      </c>
      <c r="E787" s="65" t="str">
        <f>ASTemp!E787</f>
        <v/>
      </c>
      <c r="F787" s="69" t="str">
        <f>TEXT(ASTemp!F787,Decimals)</f>
        <v/>
      </c>
      <c r="G787" s="69" t="str">
        <f>TEXT(ASTemp!G787,Decimals)</f>
        <v/>
      </c>
      <c r="H787" s="69" t="str">
        <f>TEXT(ASTemp!H787,Decimals)</f>
        <v/>
      </c>
      <c r="I787" s="69" t="str">
        <f>TEXT(ASTemp!I787,Decimals)</f>
        <v/>
      </c>
      <c r="J787" s="69" t="str">
        <f>TEXT(ASTemp!J787,Decimals)</f>
        <v/>
      </c>
      <c r="K787" s="69" t="str">
        <f>TEXT(ASTemp!K787,Decimals)</f>
        <v/>
      </c>
      <c r="L787" s="69" t="str">
        <f>TEXT(ASTemp!L787,Decimals)</f>
        <v/>
      </c>
      <c r="M787" s="71" t="str">
        <f>TEXT(ASTemp!M787,Percentages)</f>
        <v/>
      </c>
      <c r="N787" s="72" t="str">
        <f>TEXT(ASTemp!N787,Percentages)</f>
        <v/>
      </c>
    </row>
    <row r="788" ht="14.25" customHeight="1">
      <c r="B788" s="66" t="str">
        <f>ASTemp!B788</f>
        <v/>
      </c>
      <c r="C788" s="67" t="str">
        <f>ASTemp!C788</f>
        <v/>
      </c>
      <c r="D788" s="68" t="str">
        <f>ASTemp!D788</f>
        <v/>
      </c>
      <c r="E788" s="65" t="str">
        <f>ASTemp!E788</f>
        <v/>
      </c>
      <c r="F788" s="69" t="str">
        <f>TEXT(ASTemp!F788,Decimals)</f>
        <v/>
      </c>
      <c r="G788" s="69" t="str">
        <f>TEXT(ASTemp!G788,Decimals)</f>
        <v/>
      </c>
      <c r="H788" s="69" t="str">
        <f>TEXT(ASTemp!H788,Decimals)</f>
        <v/>
      </c>
      <c r="I788" s="69" t="str">
        <f>TEXT(ASTemp!I788,Decimals)</f>
        <v/>
      </c>
      <c r="J788" s="69" t="str">
        <f>TEXT(ASTemp!J788,Decimals)</f>
        <v/>
      </c>
      <c r="K788" s="69" t="str">
        <f>TEXT(ASTemp!K788,Decimals)</f>
        <v/>
      </c>
      <c r="L788" s="69" t="str">
        <f>TEXT(ASTemp!L788,Decimals)</f>
        <v/>
      </c>
      <c r="M788" s="71" t="str">
        <f>TEXT(ASTemp!M788,Percentages)</f>
        <v/>
      </c>
      <c r="N788" s="72" t="str">
        <f>TEXT(ASTemp!N788,Percentages)</f>
        <v/>
      </c>
    </row>
    <row r="789" ht="14.25" customHeight="1">
      <c r="B789" s="66" t="str">
        <f>ASTemp!B789</f>
        <v/>
      </c>
      <c r="C789" s="67" t="str">
        <f>ASTemp!C789</f>
        <v/>
      </c>
      <c r="D789" s="68" t="str">
        <f>ASTemp!D789</f>
        <v/>
      </c>
      <c r="E789" s="65" t="str">
        <f>ASTemp!E789</f>
        <v/>
      </c>
      <c r="F789" s="69" t="str">
        <f>TEXT(ASTemp!F789,Decimals)</f>
        <v/>
      </c>
      <c r="G789" s="69" t="str">
        <f>TEXT(ASTemp!G789,Decimals)</f>
        <v/>
      </c>
      <c r="H789" s="69" t="str">
        <f>TEXT(ASTemp!H789,Decimals)</f>
        <v/>
      </c>
      <c r="I789" s="69" t="str">
        <f>TEXT(ASTemp!I789,Decimals)</f>
        <v/>
      </c>
      <c r="J789" s="69" t="str">
        <f>TEXT(ASTemp!J789,Decimals)</f>
        <v/>
      </c>
      <c r="K789" s="69" t="str">
        <f>TEXT(ASTemp!K789,Decimals)</f>
        <v/>
      </c>
      <c r="L789" s="69" t="str">
        <f>TEXT(ASTemp!L789,Decimals)</f>
        <v/>
      </c>
      <c r="M789" s="71" t="str">
        <f>TEXT(ASTemp!M789,Percentages)</f>
        <v/>
      </c>
      <c r="N789" s="72" t="str">
        <f>TEXT(ASTemp!N789,Percentages)</f>
        <v/>
      </c>
    </row>
    <row r="790" ht="14.25" customHeight="1">
      <c r="B790" s="66" t="str">
        <f>ASTemp!B790</f>
        <v/>
      </c>
      <c r="C790" s="67" t="str">
        <f>ASTemp!C790</f>
        <v/>
      </c>
      <c r="D790" s="68" t="str">
        <f>ASTemp!D790</f>
        <v/>
      </c>
      <c r="E790" s="65" t="str">
        <f>ASTemp!E790</f>
        <v/>
      </c>
      <c r="F790" s="69" t="str">
        <f>TEXT(ASTemp!F790,Decimals)</f>
        <v/>
      </c>
      <c r="G790" s="69" t="str">
        <f>TEXT(ASTemp!G790,Decimals)</f>
        <v/>
      </c>
      <c r="H790" s="69" t="str">
        <f>TEXT(ASTemp!H790,Decimals)</f>
        <v/>
      </c>
      <c r="I790" s="69" t="str">
        <f>TEXT(ASTemp!I790,Decimals)</f>
        <v/>
      </c>
      <c r="J790" s="69" t="str">
        <f>TEXT(ASTemp!J790,Decimals)</f>
        <v/>
      </c>
      <c r="K790" s="69" t="str">
        <f>TEXT(ASTemp!K790,Decimals)</f>
        <v/>
      </c>
      <c r="L790" s="69" t="str">
        <f>TEXT(ASTemp!L790,Decimals)</f>
        <v/>
      </c>
      <c r="M790" s="71" t="str">
        <f>TEXT(ASTemp!M790,Percentages)</f>
        <v/>
      </c>
      <c r="N790" s="72" t="str">
        <f>TEXT(ASTemp!N790,Percentages)</f>
        <v/>
      </c>
    </row>
    <row r="791" ht="14.25" customHeight="1">
      <c r="B791" s="66" t="str">
        <f>ASTemp!B791</f>
        <v/>
      </c>
      <c r="C791" s="67" t="str">
        <f>ASTemp!C791</f>
        <v/>
      </c>
      <c r="D791" s="68" t="str">
        <f>ASTemp!D791</f>
        <v/>
      </c>
      <c r="E791" s="65" t="str">
        <f>ASTemp!E791</f>
        <v/>
      </c>
      <c r="F791" s="69" t="str">
        <f>TEXT(ASTemp!F791,Decimals)</f>
        <v/>
      </c>
      <c r="G791" s="69" t="str">
        <f>TEXT(ASTemp!G791,Decimals)</f>
        <v/>
      </c>
      <c r="H791" s="69" t="str">
        <f>TEXT(ASTemp!H791,Decimals)</f>
        <v/>
      </c>
      <c r="I791" s="69" t="str">
        <f>TEXT(ASTemp!I791,Decimals)</f>
        <v/>
      </c>
      <c r="J791" s="69" t="str">
        <f>TEXT(ASTemp!J791,Decimals)</f>
        <v/>
      </c>
      <c r="K791" s="69" t="str">
        <f>TEXT(ASTemp!K791,Decimals)</f>
        <v/>
      </c>
      <c r="L791" s="69" t="str">
        <f>TEXT(ASTemp!L791,Decimals)</f>
        <v/>
      </c>
      <c r="M791" s="71" t="str">
        <f>TEXT(ASTemp!M791,Percentages)</f>
        <v/>
      </c>
      <c r="N791" s="72" t="str">
        <f>TEXT(ASTemp!N791,Percentages)</f>
        <v/>
      </c>
    </row>
    <row r="792" ht="14.25" customHeight="1">
      <c r="B792" s="66" t="str">
        <f>ASTemp!B792</f>
        <v/>
      </c>
      <c r="C792" s="67" t="str">
        <f>ASTemp!C792</f>
        <v/>
      </c>
      <c r="D792" s="68" t="str">
        <f>ASTemp!D792</f>
        <v/>
      </c>
      <c r="E792" s="65" t="str">
        <f>ASTemp!E792</f>
        <v/>
      </c>
      <c r="F792" s="69" t="str">
        <f>TEXT(ASTemp!F792,Decimals)</f>
        <v/>
      </c>
      <c r="G792" s="69" t="str">
        <f>TEXT(ASTemp!G792,Decimals)</f>
        <v/>
      </c>
      <c r="H792" s="69" t="str">
        <f>TEXT(ASTemp!H792,Decimals)</f>
        <v/>
      </c>
      <c r="I792" s="69" t="str">
        <f>TEXT(ASTemp!I792,Decimals)</f>
        <v/>
      </c>
      <c r="J792" s="69" t="str">
        <f>TEXT(ASTemp!J792,Decimals)</f>
        <v/>
      </c>
      <c r="K792" s="69" t="str">
        <f>TEXT(ASTemp!K792,Decimals)</f>
        <v/>
      </c>
      <c r="L792" s="69" t="str">
        <f>TEXT(ASTemp!L792,Decimals)</f>
        <v/>
      </c>
      <c r="M792" s="71" t="str">
        <f>TEXT(ASTemp!M792,Percentages)</f>
        <v/>
      </c>
      <c r="N792" s="72" t="str">
        <f>TEXT(ASTemp!N792,Percentages)</f>
        <v/>
      </c>
    </row>
    <row r="793" ht="14.25" customHeight="1">
      <c r="B793" s="66" t="str">
        <f>ASTemp!B793</f>
        <v/>
      </c>
      <c r="C793" s="67" t="str">
        <f>ASTemp!C793</f>
        <v/>
      </c>
      <c r="D793" s="68" t="str">
        <f>ASTemp!D793</f>
        <v/>
      </c>
      <c r="E793" s="65" t="str">
        <f>ASTemp!E793</f>
        <v/>
      </c>
      <c r="F793" s="69" t="str">
        <f>TEXT(ASTemp!F793,Decimals)</f>
        <v/>
      </c>
      <c r="G793" s="69" t="str">
        <f>TEXT(ASTemp!G793,Decimals)</f>
        <v/>
      </c>
      <c r="H793" s="69" t="str">
        <f>TEXT(ASTemp!H793,Decimals)</f>
        <v/>
      </c>
      <c r="I793" s="69" t="str">
        <f>TEXT(ASTemp!I793,Decimals)</f>
        <v/>
      </c>
      <c r="J793" s="69" t="str">
        <f>TEXT(ASTemp!J793,Decimals)</f>
        <v/>
      </c>
      <c r="K793" s="69" t="str">
        <f>TEXT(ASTemp!K793,Decimals)</f>
        <v/>
      </c>
      <c r="L793" s="69" t="str">
        <f>TEXT(ASTemp!L793,Decimals)</f>
        <v/>
      </c>
      <c r="M793" s="71" t="str">
        <f>TEXT(ASTemp!M793,Percentages)</f>
        <v/>
      </c>
      <c r="N793" s="72" t="str">
        <f>TEXT(ASTemp!N793,Percentages)</f>
        <v/>
      </c>
    </row>
    <row r="794" ht="14.25" customHeight="1">
      <c r="B794" s="66" t="str">
        <f>ASTemp!B794</f>
        <v/>
      </c>
      <c r="C794" s="67" t="str">
        <f>ASTemp!C794</f>
        <v/>
      </c>
      <c r="D794" s="68" t="str">
        <f>ASTemp!D794</f>
        <v/>
      </c>
      <c r="E794" s="65" t="str">
        <f>ASTemp!E794</f>
        <v/>
      </c>
      <c r="F794" s="69" t="str">
        <f>TEXT(ASTemp!F794,Decimals)</f>
        <v/>
      </c>
      <c r="G794" s="69" t="str">
        <f>TEXT(ASTemp!G794,Decimals)</f>
        <v/>
      </c>
      <c r="H794" s="69" t="str">
        <f>TEXT(ASTemp!H794,Decimals)</f>
        <v/>
      </c>
      <c r="I794" s="69" t="str">
        <f>TEXT(ASTemp!I794,Decimals)</f>
        <v/>
      </c>
      <c r="J794" s="69" t="str">
        <f>TEXT(ASTemp!J794,Decimals)</f>
        <v/>
      </c>
      <c r="K794" s="69" t="str">
        <f>TEXT(ASTemp!K794,Decimals)</f>
        <v/>
      </c>
      <c r="L794" s="69" t="str">
        <f>TEXT(ASTemp!L794,Decimals)</f>
        <v/>
      </c>
      <c r="M794" s="71" t="str">
        <f>TEXT(ASTemp!M794,Percentages)</f>
        <v/>
      </c>
      <c r="N794" s="72" t="str">
        <f>TEXT(ASTemp!N794,Percentages)</f>
        <v/>
      </c>
    </row>
    <row r="795" ht="14.25" customHeight="1">
      <c r="B795" s="66" t="str">
        <f>ASTemp!B795</f>
        <v/>
      </c>
      <c r="C795" s="67" t="str">
        <f>ASTemp!C795</f>
        <v/>
      </c>
      <c r="D795" s="68" t="str">
        <f>ASTemp!D795</f>
        <v/>
      </c>
      <c r="E795" s="65" t="str">
        <f>ASTemp!E795</f>
        <v/>
      </c>
      <c r="F795" s="69" t="str">
        <f>TEXT(ASTemp!F795,Decimals)</f>
        <v/>
      </c>
      <c r="G795" s="69" t="str">
        <f>TEXT(ASTemp!G795,Decimals)</f>
        <v/>
      </c>
      <c r="H795" s="69" t="str">
        <f>TEXT(ASTemp!H795,Decimals)</f>
        <v/>
      </c>
      <c r="I795" s="69" t="str">
        <f>TEXT(ASTemp!I795,Decimals)</f>
        <v/>
      </c>
      <c r="J795" s="69" t="str">
        <f>TEXT(ASTemp!J795,Decimals)</f>
        <v/>
      </c>
      <c r="K795" s="69" t="str">
        <f>TEXT(ASTemp!K795,Decimals)</f>
        <v/>
      </c>
      <c r="L795" s="69" t="str">
        <f>TEXT(ASTemp!L795,Decimals)</f>
        <v/>
      </c>
      <c r="M795" s="71" t="str">
        <f>TEXT(ASTemp!M795,Percentages)</f>
        <v/>
      </c>
      <c r="N795" s="72" t="str">
        <f>TEXT(ASTemp!N795,Percentages)</f>
        <v/>
      </c>
    </row>
    <row r="796" ht="14.25" customHeight="1">
      <c r="B796" s="66" t="str">
        <f>ASTemp!B796</f>
        <v/>
      </c>
      <c r="C796" s="67" t="str">
        <f>ASTemp!C796</f>
        <v/>
      </c>
      <c r="D796" s="68" t="str">
        <f>ASTemp!D796</f>
        <v/>
      </c>
      <c r="E796" s="65" t="str">
        <f>ASTemp!E796</f>
        <v/>
      </c>
      <c r="F796" s="69" t="str">
        <f>TEXT(ASTemp!F796,Decimals)</f>
        <v/>
      </c>
      <c r="G796" s="69" t="str">
        <f>TEXT(ASTemp!G796,Decimals)</f>
        <v/>
      </c>
      <c r="H796" s="69" t="str">
        <f>TEXT(ASTemp!H796,Decimals)</f>
        <v/>
      </c>
      <c r="I796" s="69" t="str">
        <f>TEXT(ASTemp!I796,Decimals)</f>
        <v/>
      </c>
      <c r="J796" s="69" t="str">
        <f>TEXT(ASTemp!J796,Decimals)</f>
        <v/>
      </c>
      <c r="K796" s="69" t="str">
        <f>TEXT(ASTemp!K796,Decimals)</f>
        <v/>
      </c>
      <c r="L796" s="69" t="str">
        <f>TEXT(ASTemp!L796,Decimals)</f>
        <v/>
      </c>
      <c r="M796" s="71" t="str">
        <f>TEXT(ASTemp!M796,Percentages)</f>
        <v/>
      </c>
      <c r="N796" s="72" t="str">
        <f>TEXT(ASTemp!N796,Percentages)</f>
        <v/>
      </c>
    </row>
    <row r="797" ht="14.25" customHeight="1">
      <c r="B797" s="66" t="str">
        <f>ASTemp!B797</f>
        <v/>
      </c>
      <c r="C797" s="67" t="str">
        <f>ASTemp!C797</f>
        <v/>
      </c>
      <c r="D797" s="68" t="str">
        <f>ASTemp!D797</f>
        <v/>
      </c>
      <c r="E797" s="65" t="str">
        <f>ASTemp!E797</f>
        <v/>
      </c>
      <c r="F797" s="69" t="str">
        <f>TEXT(ASTemp!F797,Decimals)</f>
        <v/>
      </c>
      <c r="G797" s="69" t="str">
        <f>TEXT(ASTemp!G797,Decimals)</f>
        <v/>
      </c>
      <c r="H797" s="69" t="str">
        <f>TEXT(ASTemp!H797,Decimals)</f>
        <v/>
      </c>
      <c r="I797" s="69" t="str">
        <f>TEXT(ASTemp!I797,Decimals)</f>
        <v/>
      </c>
      <c r="J797" s="69" t="str">
        <f>TEXT(ASTemp!J797,Decimals)</f>
        <v/>
      </c>
      <c r="K797" s="69" t="str">
        <f>TEXT(ASTemp!K797,Decimals)</f>
        <v/>
      </c>
      <c r="L797" s="69" t="str">
        <f>TEXT(ASTemp!L797,Decimals)</f>
        <v/>
      </c>
      <c r="M797" s="71" t="str">
        <f>TEXT(ASTemp!M797,Percentages)</f>
        <v/>
      </c>
      <c r="N797" s="72" t="str">
        <f>TEXT(ASTemp!N797,Percentages)</f>
        <v/>
      </c>
    </row>
    <row r="798" ht="14.25" customHeight="1">
      <c r="B798" s="66" t="str">
        <f>ASTemp!B798</f>
        <v/>
      </c>
      <c r="C798" s="67" t="str">
        <f>ASTemp!C798</f>
        <v/>
      </c>
      <c r="D798" s="68" t="str">
        <f>ASTemp!D798</f>
        <v/>
      </c>
      <c r="E798" s="65" t="str">
        <f>ASTemp!E798</f>
        <v/>
      </c>
      <c r="F798" s="69" t="str">
        <f>TEXT(ASTemp!F798,Decimals)</f>
        <v/>
      </c>
      <c r="G798" s="69" t="str">
        <f>TEXT(ASTemp!G798,Decimals)</f>
        <v/>
      </c>
      <c r="H798" s="69" t="str">
        <f>TEXT(ASTemp!H798,Decimals)</f>
        <v/>
      </c>
      <c r="I798" s="69" t="str">
        <f>TEXT(ASTemp!I798,Decimals)</f>
        <v/>
      </c>
      <c r="J798" s="69" t="str">
        <f>TEXT(ASTemp!J798,Decimals)</f>
        <v/>
      </c>
      <c r="K798" s="69" t="str">
        <f>TEXT(ASTemp!K798,Decimals)</f>
        <v/>
      </c>
      <c r="L798" s="69" t="str">
        <f>TEXT(ASTemp!L798,Decimals)</f>
        <v/>
      </c>
      <c r="M798" s="71" t="str">
        <f>TEXT(ASTemp!M798,Percentages)</f>
        <v/>
      </c>
      <c r="N798" s="72" t="str">
        <f>TEXT(ASTemp!N798,Percentages)</f>
        <v/>
      </c>
    </row>
    <row r="799" ht="14.25" customHeight="1">
      <c r="B799" s="66" t="str">
        <f>ASTemp!B799</f>
        <v/>
      </c>
      <c r="C799" s="67" t="str">
        <f>ASTemp!C799</f>
        <v/>
      </c>
      <c r="D799" s="68" t="str">
        <f>ASTemp!D799</f>
        <v/>
      </c>
      <c r="E799" s="65" t="str">
        <f>ASTemp!E799</f>
        <v/>
      </c>
      <c r="F799" s="69" t="str">
        <f>TEXT(ASTemp!F799,Decimals)</f>
        <v/>
      </c>
      <c r="G799" s="69" t="str">
        <f>TEXT(ASTemp!G799,Decimals)</f>
        <v/>
      </c>
      <c r="H799" s="69" t="str">
        <f>TEXT(ASTemp!H799,Decimals)</f>
        <v/>
      </c>
      <c r="I799" s="69" t="str">
        <f>TEXT(ASTemp!I799,Decimals)</f>
        <v/>
      </c>
      <c r="J799" s="69" t="str">
        <f>TEXT(ASTemp!J799,Decimals)</f>
        <v/>
      </c>
      <c r="K799" s="69" t="str">
        <f>TEXT(ASTemp!K799,Decimals)</f>
        <v/>
      </c>
      <c r="L799" s="69" t="str">
        <f>TEXT(ASTemp!L799,Decimals)</f>
        <v/>
      </c>
      <c r="M799" s="71" t="str">
        <f>TEXT(ASTemp!M799,Percentages)</f>
        <v/>
      </c>
      <c r="N799" s="72" t="str">
        <f>TEXT(ASTemp!N799,Percentages)</f>
        <v/>
      </c>
    </row>
    <row r="800" ht="14.25" customHeight="1">
      <c r="B800" s="66" t="str">
        <f>ASTemp!B800</f>
        <v/>
      </c>
      <c r="C800" s="67" t="str">
        <f>ASTemp!C800</f>
        <v/>
      </c>
      <c r="D800" s="68" t="str">
        <f>ASTemp!D800</f>
        <v/>
      </c>
      <c r="E800" s="65" t="str">
        <f>ASTemp!E800</f>
        <v/>
      </c>
      <c r="F800" s="69" t="str">
        <f>TEXT(ASTemp!F800,Decimals)</f>
        <v/>
      </c>
      <c r="G800" s="69" t="str">
        <f>TEXT(ASTemp!G800,Decimals)</f>
        <v/>
      </c>
      <c r="H800" s="69" t="str">
        <f>TEXT(ASTemp!H800,Decimals)</f>
        <v/>
      </c>
      <c r="I800" s="69" t="str">
        <f>TEXT(ASTemp!I800,Decimals)</f>
        <v/>
      </c>
      <c r="J800" s="69" t="str">
        <f>TEXT(ASTemp!J800,Decimals)</f>
        <v/>
      </c>
      <c r="K800" s="69" t="str">
        <f>TEXT(ASTemp!K800,Decimals)</f>
        <v/>
      </c>
      <c r="L800" s="69" t="str">
        <f>TEXT(ASTemp!L800,Decimals)</f>
        <v/>
      </c>
      <c r="M800" s="71" t="str">
        <f>TEXT(ASTemp!M800,Percentages)</f>
        <v/>
      </c>
      <c r="N800" s="72" t="str">
        <f>TEXT(ASTemp!N800,Percentages)</f>
        <v/>
      </c>
    </row>
    <row r="801" ht="14.25" customHeight="1">
      <c r="B801" s="66" t="str">
        <f>ASTemp!B801</f>
        <v/>
      </c>
      <c r="C801" s="67" t="str">
        <f>ASTemp!C801</f>
        <v/>
      </c>
      <c r="D801" s="68" t="str">
        <f>ASTemp!D801</f>
        <v/>
      </c>
      <c r="E801" s="65" t="str">
        <f>ASTemp!E801</f>
        <v/>
      </c>
      <c r="F801" s="69" t="str">
        <f>TEXT(ASTemp!F801,Decimals)</f>
        <v/>
      </c>
      <c r="G801" s="69" t="str">
        <f>TEXT(ASTemp!G801,Decimals)</f>
        <v/>
      </c>
      <c r="H801" s="69" t="str">
        <f>TEXT(ASTemp!H801,Decimals)</f>
        <v/>
      </c>
      <c r="I801" s="69" t="str">
        <f>TEXT(ASTemp!I801,Decimals)</f>
        <v/>
      </c>
      <c r="J801" s="69" t="str">
        <f>TEXT(ASTemp!J801,Decimals)</f>
        <v/>
      </c>
      <c r="K801" s="69" t="str">
        <f>TEXT(ASTemp!K801,Decimals)</f>
        <v/>
      </c>
      <c r="L801" s="69" t="str">
        <f>TEXT(ASTemp!L801,Decimals)</f>
        <v/>
      </c>
      <c r="M801" s="71" t="str">
        <f>TEXT(ASTemp!M801,Percentages)</f>
        <v/>
      </c>
      <c r="N801" s="72" t="str">
        <f>TEXT(ASTemp!N801,Percentages)</f>
        <v/>
      </c>
    </row>
    <row r="802" ht="14.25" customHeight="1">
      <c r="B802" s="66" t="str">
        <f>ASTemp!B802</f>
        <v/>
      </c>
      <c r="C802" s="67" t="str">
        <f>ASTemp!C802</f>
        <v/>
      </c>
      <c r="D802" s="68" t="str">
        <f>ASTemp!D802</f>
        <v/>
      </c>
      <c r="E802" s="65" t="str">
        <f>ASTemp!E802</f>
        <v/>
      </c>
      <c r="F802" s="69" t="str">
        <f>TEXT(ASTemp!F802,Decimals)</f>
        <v/>
      </c>
      <c r="G802" s="69" t="str">
        <f>TEXT(ASTemp!G802,Decimals)</f>
        <v/>
      </c>
      <c r="H802" s="69" t="str">
        <f>TEXT(ASTemp!H802,Decimals)</f>
        <v/>
      </c>
      <c r="I802" s="69" t="str">
        <f>TEXT(ASTemp!I802,Decimals)</f>
        <v/>
      </c>
      <c r="J802" s="69" t="str">
        <f>TEXT(ASTemp!J802,Decimals)</f>
        <v/>
      </c>
      <c r="K802" s="69" t="str">
        <f>TEXT(ASTemp!K802,Decimals)</f>
        <v/>
      </c>
      <c r="L802" s="69" t="str">
        <f>TEXT(ASTemp!L802,Decimals)</f>
        <v/>
      </c>
      <c r="M802" s="71" t="str">
        <f>TEXT(ASTemp!M802,Percentages)</f>
        <v/>
      </c>
      <c r="N802" s="72" t="str">
        <f>TEXT(ASTemp!N802,Percentages)</f>
        <v/>
      </c>
    </row>
    <row r="803" ht="14.25" customHeight="1">
      <c r="B803" s="66" t="str">
        <f>ASTemp!B803</f>
        <v/>
      </c>
      <c r="C803" s="67" t="str">
        <f>ASTemp!C803</f>
        <v/>
      </c>
      <c r="D803" s="68" t="str">
        <f>ASTemp!D803</f>
        <v/>
      </c>
      <c r="E803" s="65" t="str">
        <f>ASTemp!E803</f>
        <v/>
      </c>
      <c r="F803" s="69" t="str">
        <f>TEXT(ASTemp!F803,Decimals)</f>
        <v/>
      </c>
      <c r="G803" s="69" t="str">
        <f>TEXT(ASTemp!G803,Decimals)</f>
        <v/>
      </c>
      <c r="H803" s="69" t="str">
        <f>TEXT(ASTemp!H803,Decimals)</f>
        <v/>
      </c>
      <c r="I803" s="69" t="str">
        <f>TEXT(ASTemp!I803,Decimals)</f>
        <v/>
      </c>
      <c r="J803" s="69" t="str">
        <f>TEXT(ASTemp!J803,Decimals)</f>
        <v/>
      </c>
      <c r="K803" s="69" t="str">
        <f>TEXT(ASTemp!K803,Decimals)</f>
        <v/>
      </c>
      <c r="L803" s="69" t="str">
        <f>TEXT(ASTemp!L803,Decimals)</f>
        <v/>
      </c>
      <c r="M803" s="71" t="str">
        <f>TEXT(ASTemp!M803,Percentages)</f>
        <v/>
      </c>
      <c r="N803" s="72" t="str">
        <f>TEXT(ASTemp!N803,Percentages)</f>
        <v/>
      </c>
    </row>
    <row r="804" ht="14.25" customHeight="1">
      <c r="B804" s="66" t="str">
        <f>ASTemp!B804</f>
        <v/>
      </c>
      <c r="C804" s="67" t="str">
        <f>ASTemp!C804</f>
        <v/>
      </c>
      <c r="D804" s="68" t="str">
        <f>ASTemp!D804</f>
        <v/>
      </c>
      <c r="E804" s="65" t="str">
        <f>ASTemp!E804</f>
        <v/>
      </c>
      <c r="F804" s="69" t="str">
        <f>TEXT(ASTemp!F804,Decimals)</f>
        <v/>
      </c>
      <c r="G804" s="69" t="str">
        <f>TEXT(ASTemp!G804,Decimals)</f>
        <v/>
      </c>
      <c r="H804" s="69" t="str">
        <f>TEXT(ASTemp!H804,Decimals)</f>
        <v/>
      </c>
      <c r="I804" s="69" t="str">
        <f>TEXT(ASTemp!I804,Decimals)</f>
        <v/>
      </c>
      <c r="J804" s="69" t="str">
        <f>TEXT(ASTemp!J804,Decimals)</f>
        <v/>
      </c>
      <c r="K804" s="69" t="str">
        <f>TEXT(ASTemp!K804,Decimals)</f>
        <v/>
      </c>
      <c r="L804" s="69" t="str">
        <f>TEXT(ASTemp!L804,Decimals)</f>
        <v/>
      </c>
      <c r="M804" s="71" t="str">
        <f>TEXT(ASTemp!M804,Percentages)</f>
        <v/>
      </c>
      <c r="N804" s="72" t="str">
        <f>TEXT(ASTemp!N804,Percentages)</f>
        <v/>
      </c>
    </row>
    <row r="805" ht="14.25" customHeight="1">
      <c r="B805" s="66" t="str">
        <f>ASTemp!B805</f>
        <v/>
      </c>
      <c r="C805" s="67" t="str">
        <f>ASTemp!C805</f>
        <v/>
      </c>
      <c r="D805" s="68" t="str">
        <f>ASTemp!D805</f>
        <v/>
      </c>
      <c r="E805" s="65" t="str">
        <f>ASTemp!E805</f>
        <v/>
      </c>
      <c r="F805" s="69" t="str">
        <f>TEXT(ASTemp!F805,Decimals)</f>
        <v/>
      </c>
      <c r="G805" s="69" t="str">
        <f>TEXT(ASTemp!G805,Decimals)</f>
        <v/>
      </c>
      <c r="H805" s="69" t="str">
        <f>TEXT(ASTemp!H805,Decimals)</f>
        <v/>
      </c>
      <c r="I805" s="69" t="str">
        <f>TEXT(ASTemp!I805,Decimals)</f>
        <v/>
      </c>
      <c r="J805" s="69" t="str">
        <f>TEXT(ASTemp!J805,Decimals)</f>
        <v/>
      </c>
      <c r="K805" s="69" t="str">
        <f>TEXT(ASTemp!K805,Decimals)</f>
        <v/>
      </c>
      <c r="L805" s="69" t="str">
        <f>TEXT(ASTemp!L805,Decimals)</f>
        <v/>
      </c>
      <c r="M805" s="71" t="str">
        <f>TEXT(ASTemp!M805,Percentages)</f>
        <v/>
      </c>
      <c r="N805" s="72" t="str">
        <f>TEXT(ASTemp!N805,Percentages)</f>
        <v/>
      </c>
    </row>
    <row r="806" ht="14.25" customHeight="1">
      <c r="B806" s="66" t="str">
        <f>ASTemp!B806</f>
        <v/>
      </c>
      <c r="C806" s="67" t="str">
        <f>ASTemp!C806</f>
        <v/>
      </c>
      <c r="D806" s="68" t="str">
        <f>ASTemp!D806</f>
        <v/>
      </c>
      <c r="E806" s="65" t="str">
        <f>ASTemp!E806</f>
        <v/>
      </c>
      <c r="F806" s="69" t="str">
        <f>TEXT(ASTemp!F806,Decimals)</f>
        <v/>
      </c>
      <c r="G806" s="69" t="str">
        <f>TEXT(ASTemp!G806,Decimals)</f>
        <v/>
      </c>
      <c r="H806" s="69" t="str">
        <f>TEXT(ASTemp!H806,Decimals)</f>
        <v/>
      </c>
      <c r="I806" s="69" t="str">
        <f>TEXT(ASTemp!I806,Decimals)</f>
        <v/>
      </c>
      <c r="J806" s="69" t="str">
        <f>TEXT(ASTemp!J806,Decimals)</f>
        <v/>
      </c>
      <c r="K806" s="69" t="str">
        <f>TEXT(ASTemp!K806,Decimals)</f>
        <v/>
      </c>
      <c r="L806" s="69" t="str">
        <f>TEXT(ASTemp!L806,Decimals)</f>
        <v/>
      </c>
      <c r="M806" s="71" t="str">
        <f>TEXT(ASTemp!M806,Percentages)</f>
        <v/>
      </c>
      <c r="N806" s="72" t="str">
        <f>TEXT(ASTemp!N806,Percentages)</f>
        <v/>
      </c>
    </row>
    <row r="807" ht="14.25" customHeight="1">
      <c r="B807" s="66" t="str">
        <f>ASTemp!B807</f>
        <v/>
      </c>
      <c r="C807" s="67" t="str">
        <f>ASTemp!C807</f>
        <v/>
      </c>
      <c r="D807" s="68" t="str">
        <f>ASTemp!D807</f>
        <v/>
      </c>
      <c r="E807" s="65" t="str">
        <f>ASTemp!E807</f>
        <v/>
      </c>
      <c r="F807" s="69" t="str">
        <f>TEXT(ASTemp!F807,Decimals)</f>
        <v/>
      </c>
      <c r="G807" s="69" t="str">
        <f>TEXT(ASTemp!G807,Decimals)</f>
        <v/>
      </c>
      <c r="H807" s="69" t="str">
        <f>TEXT(ASTemp!H807,Decimals)</f>
        <v/>
      </c>
      <c r="I807" s="69" t="str">
        <f>TEXT(ASTemp!I807,Decimals)</f>
        <v/>
      </c>
      <c r="J807" s="69" t="str">
        <f>TEXT(ASTemp!J807,Decimals)</f>
        <v/>
      </c>
      <c r="K807" s="69" t="str">
        <f>TEXT(ASTemp!K807,Decimals)</f>
        <v/>
      </c>
      <c r="L807" s="69" t="str">
        <f>TEXT(ASTemp!L807,Decimals)</f>
        <v/>
      </c>
      <c r="M807" s="71" t="str">
        <f>TEXT(ASTemp!M807,Percentages)</f>
        <v/>
      </c>
      <c r="N807" s="72" t="str">
        <f>TEXT(ASTemp!N807,Percentages)</f>
        <v/>
      </c>
    </row>
    <row r="808" ht="14.25" customHeight="1">
      <c r="B808" s="66" t="str">
        <f>ASTemp!B808</f>
        <v/>
      </c>
      <c r="C808" s="67" t="str">
        <f>ASTemp!C808</f>
        <v/>
      </c>
      <c r="D808" s="68" t="str">
        <f>ASTemp!D808</f>
        <v/>
      </c>
      <c r="E808" s="65" t="str">
        <f>ASTemp!E808</f>
        <v/>
      </c>
      <c r="F808" s="69" t="str">
        <f>TEXT(ASTemp!F808,Decimals)</f>
        <v/>
      </c>
      <c r="G808" s="69" t="str">
        <f>TEXT(ASTemp!G808,Decimals)</f>
        <v/>
      </c>
      <c r="H808" s="69" t="str">
        <f>TEXT(ASTemp!H808,Decimals)</f>
        <v/>
      </c>
      <c r="I808" s="69" t="str">
        <f>TEXT(ASTemp!I808,Decimals)</f>
        <v/>
      </c>
      <c r="J808" s="69" t="str">
        <f>TEXT(ASTemp!J808,Decimals)</f>
        <v/>
      </c>
      <c r="K808" s="69" t="str">
        <f>TEXT(ASTemp!K808,Decimals)</f>
        <v/>
      </c>
      <c r="L808" s="69" t="str">
        <f>TEXT(ASTemp!L808,Decimals)</f>
        <v/>
      </c>
      <c r="M808" s="71" t="str">
        <f>TEXT(ASTemp!M808,Percentages)</f>
        <v/>
      </c>
      <c r="N808" s="72" t="str">
        <f>TEXT(ASTemp!N808,Percentages)</f>
        <v/>
      </c>
    </row>
    <row r="809" ht="14.25" customHeight="1">
      <c r="B809" s="66" t="str">
        <f>ASTemp!B809</f>
        <v/>
      </c>
      <c r="C809" s="67" t="str">
        <f>ASTemp!C809</f>
        <v/>
      </c>
      <c r="D809" s="68" t="str">
        <f>ASTemp!D809</f>
        <v/>
      </c>
      <c r="E809" s="65" t="str">
        <f>ASTemp!E809</f>
        <v/>
      </c>
      <c r="F809" s="69" t="str">
        <f>TEXT(ASTemp!F809,Decimals)</f>
        <v/>
      </c>
      <c r="G809" s="69" t="str">
        <f>TEXT(ASTemp!G809,Decimals)</f>
        <v/>
      </c>
      <c r="H809" s="69" t="str">
        <f>TEXT(ASTemp!H809,Decimals)</f>
        <v/>
      </c>
      <c r="I809" s="69" t="str">
        <f>TEXT(ASTemp!I809,Decimals)</f>
        <v/>
      </c>
      <c r="J809" s="69" t="str">
        <f>TEXT(ASTemp!J809,Decimals)</f>
        <v/>
      </c>
      <c r="K809" s="69" t="str">
        <f>TEXT(ASTemp!K809,Decimals)</f>
        <v/>
      </c>
      <c r="L809" s="69" t="str">
        <f>TEXT(ASTemp!L809,Decimals)</f>
        <v/>
      </c>
      <c r="M809" s="71" t="str">
        <f>TEXT(ASTemp!M809,Percentages)</f>
        <v/>
      </c>
      <c r="N809" s="72" t="str">
        <f>TEXT(ASTemp!N809,Percentages)</f>
        <v/>
      </c>
    </row>
    <row r="810" ht="14.25" customHeight="1">
      <c r="B810" s="66" t="str">
        <f>ASTemp!B810</f>
        <v/>
      </c>
      <c r="C810" s="67" t="str">
        <f>ASTemp!C810</f>
        <v/>
      </c>
      <c r="D810" s="68" t="str">
        <f>ASTemp!D810</f>
        <v/>
      </c>
      <c r="E810" s="65" t="str">
        <f>ASTemp!E810</f>
        <v/>
      </c>
      <c r="F810" s="69" t="str">
        <f>TEXT(ASTemp!F810,Decimals)</f>
        <v/>
      </c>
      <c r="G810" s="69" t="str">
        <f>TEXT(ASTemp!G810,Decimals)</f>
        <v/>
      </c>
      <c r="H810" s="69" t="str">
        <f>TEXT(ASTemp!H810,Decimals)</f>
        <v/>
      </c>
      <c r="I810" s="69" t="str">
        <f>TEXT(ASTemp!I810,Decimals)</f>
        <v/>
      </c>
      <c r="J810" s="69" t="str">
        <f>TEXT(ASTemp!J810,Decimals)</f>
        <v/>
      </c>
      <c r="K810" s="69" t="str">
        <f>TEXT(ASTemp!K810,Decimals)</f>
        <v/>
      </c>
      <c r="L810" s="69" t="str">
        <f>TEXT(ASTemp!L810,Decimals)</f>
        <v/>
      </c>
      <c r="M810" s="71" t="str">
        <f>TEXT(ASTemp!M810,Percentages)</f>
        <v/>
      </c>
      <c r="N810" s="72" t="str">
        <f>TEXT(ASTemp!N810,Percentages)</f>
        <v/>
      </c>
    </row>
    <row r="811" ht="14.25" customHeight="1">
      <c r="B811" s="66" t="str">
        <f>ASTemp!B811</f>
        <v/>
      </c>
      <c r="C811" s="67" t="str">
        <f>ASTemp!C811</f>
        <v/>
      </c>
      <c r="D811" s="68" t="str">
        <f>ASTemp!D811</f>
        <v/>
      </c>
      <c r="E811" s="65" t="str">
        <f>ASTemp!E811</f>
        <v/>
      </c>
      <c r="F811" s="69" t="str">
        <f>TEXT(ASTemp!F811,Decimals)</f>
        <v/>
      </c>
      <c r="G811" s="69" t="str">
        <f>TEXT(ASTemp!G811,Decimals)</f>
        <v/>
      </c>
      <c r="H811" s="69" t="str">
        <f>TEXT(ASTemp!H811,Decimals)</f>
        <v/>
      </c>
      <c r="I811" s="69" t="str">
        <f>TEXT(ASTemp!I811,Decimals)</f>
        <v/>
      </c>
      <c r="J811" s="69" t="str">
        <f>TEXT(ASTemp!J811,Decimals)</f>
        <v/>
      </c>
      <c r="K811" s="69" t="str">
        <f>TEXT(ASTemp!K811,Decimals)</f>
        <v/>
      </c>
      <c r="L811" s="69" t="str">
        <f>TEXT(ASTemp!L811,Decimals)</f>
        <v/>
      </c>
      <c r="M811" s="71" t="str">
        <f>TEXT(ASTemp!M811,Percentages)</f>
        <v/>
      </c>
      <c r="N811" s="72" t="str">
        <f>TEXT(ASTemp!N811,Percentages)</f>
        <v/>
      </c>
    </row>
    <row r="812" ht="14.25" customHeight="1">
      <c r="B812" s="66" t="str">
        <f>ASTemp!B812</f>
        <v/>
      </c>
      <c r="C812" s="67" t="str">
        <f>ASTemp!C812</f>
        <v/>
      </c>
      <c r="D812" s="68" t="str">
        <f>ASTemp!D812</f>
        <v/>
      </c>
      <c r="E812" s="65" t="str">
        <f>ASTemp!E812</f>
        <v/>
      </c>
      <c r="F812" s="69" t="str">
        <f>TEXT(ASTemp!F812,Decimals)</f>
        <v/>
      </c>
      <c r="G812" s="69" t="str">
        <f>TEXT(ASTemp!G812,Decimals)</f>
        <v/>
      </c>
      <c r="H812" s="69" t="str">
        <f>TEXT(ASTemp!H812,Decimals)</f>
        <v/>
      </c>
      <c r="I812" s="69" t="str">
        <f>TEXT(ASTemp!I812,Decimals)</f>
        <v/>
      </c>
      <c r="J812" s="69" t="str">
        <f>TEXT(ASTemp!J812,Decimals)</f>
        <v/>
      </c>
      <c r="K812" s="69" t="str">
        <f>TEXT(ASTemp!K812,Decimals)</f>
        <v/>
      </c>
      <c r="L812" s="69" t="str">
        <f>TEXT(ASTemp!L812,Decimals)</f>
        <v/>
      </c>
      <c r="M812" s="71" t="str">
        <f>TEXT(ASTemp!M812,Percentages)</f>
        <v/>
      </c>
      <c r="N812" s="72" t="str">
        <f>TEXT(ASTemp!N812,Percentages)</f>
        <v/>
      </c>
    </row>
    <row r="813" ht="14.25" customHeight="1">
      <c r="B813" s="66" t="str">
        <f>ASTemp!B813</f>
        <v/>
      </c>
      <c r="C813" s="67" t="str">
        <f>ASTemp!C813</f>
        <v/>
      </c>
      <c r="D813" s="68" t="str">
        <f>ASTemp!D813</f>
        <v/>
      </c>
      <c r="E813" s="65" t="str">
        <f>ASTemp!E813</f>
        <v/>
      </c>
      <c r="F813" s="69" t="str">
        <f>TEXT(ASTemp!F813,Decimals)</f>
        <v/>
      </c>
      <c r="G813" s="69" t="str">
        <f>TEXT(ASTemp!G813,Decimals)</f>
        <v/>
      </c>
      <c r="H813" s="69" t="str">
        <f>TEXT(ASTemp!H813,Decimals)</f>
        <v/>
      </c>
      <c r="I813" s="69" t="str">
        <f>TEXT(ASTemp!I813,Decimals)</f>
        <v/>
      </c>
      <c r="J813" s="69" t="str">
        <f>TEXT(ASTemp!J813,Decimals)</f>
        <v/>
      </c>
      <c r="K813" s="69" t="str">
        <f>TEXT(ASTemp!K813,Decimals)</f>
        <v/>
      </c>
      <c r="L813" s="69" t="str">
        <f>TEXT(ASTemp!L813,Decimals)</f>
        <v/>
      </c>
      <c r="M813" s="71" t="str">
        <f>TEXT(ASTemp!M813,Percentages)</f>
        <v/>
      </c>
      <c r="N813" s="72" t="str">
        <f>TEXT(ASTemp!N813,Percentages)</f>
        <v/>
      </c>
    </row>
    <row r="814" ht="14.25" customHeight="1">
      <c r="B814" s="66" t="str">
        <f>ASTemp!B814</f>
        <v/>
      </c>
      <c r="C814" s="67" t="str">
        <f>ASTemp!C814</f>
        <v/>
      </c>
      <c r="D814" s="68" t="str">
        <f>ASTemp!D814</f>
        <v/>
      </c>
      <c r="E814" s="65" t="str">
        <f>ASTemp!E814</f>
        <v/>
      </c>
      <c r="F814" s="69" t="str">
        <f>TEXT(ASTemp!F814,Decimals)</f>
        <v/>
      </c>
      <c r="G814" s="69" t="str">
        <f>TEXT(ASTemp!G814,Decimals)</f>
        <v/>
      </c>
      <c r="H814" s="69" t="str">
        <f>TEXT(ASTemp!H814,Decimals)</f>
        <v/>
      </c>
      <c r="I814" s="69" t="str">
        <f>TEXT(ASTemp!I814,Decimals)</f>
        <v/>
      </c>
      <c r="J814" s="69" t="str">
        <f>TEXT(ASTemp!J814,Decimals)</f>
        <v/>
      </c>
      <c r="K814" s="69" t="str">
        <f>TEXT(ASTemp!K814,Decimals)</f>
        <v/>
      </c>
      <c r="L814" s="69" t="str">
        <f>TEXT(ASTemp!L814,Decimals)</f>
        <v/>
      </c>
      <c r="M814" s="71" t="str">
        <f>TEXT(ASTemp!M814,Percentages)</f>
        <v/>
      </c>
      <c r="N814" s="72" t="str">
        <f>TEXT(ASTemp!N814,Percentages)</f>
        <v/>
      </c>
    </row>
    <row r="815" ht="14.25" customHeight="1">
      <c r="B815" s="66" t="str">
        <f>ASTemp!B815</f>
        <v/>
      </c>
      <c r="C815" s="67" t="str">
        <f>ASTemp!C815</f>
        <v/>
      </c>
      <c r="D815" s="68" t="str">
        <f>ASTemp!D815</f>
        <v/>
      </c>
      <c r="E815" s="65" t="str">
        <f>ASTemp!E815</f>
        <v/>
      </c>
      <c r="F815" s="69" t="str">
        <f>TEXT(ASTemp!F815,Decimals)</f>
        <v/>
      </c>
      <c r="G815" s="69" t="str">
        <f>TEXT(ASTemp!G815,Decimals)</f>
        <v/>
      </c>
      <c r="H815" s="69" t="str">
        <f>TEXT(ASTemp!H815,Decimals)</f>
        <v/>
      </c>
      <c r="I815" s="69" t="str">
        <f>TEXT(ASTemp!I815,Decimals)</f>
        <v/>
      </c>
      <c r="J815" s="69" t="str">
        <f>TEXT(ASTemp!J815,Decimals)</f>
        <v/>
      </c>
      <c r="K815" s="69" t="str">
        <f>TEXT(ASTemp!K815,Decimals)</f>
        <v/>
      </c>
      <c r="L815" s="69" t="str">
        <f>TEXT(ASTemp!L815,Decimals)</f>
        <v/>
      </c>
      <c r="M815" s="71" t="str">
        <f>TEXT(ASTemp!M815,Percentages)</f>
        <v/>
      </c>
      <c r="N815" s="72" t="str">
        <f>TEXT(ASTemp!N815,Percentages)</f>
        <v/>
      </c>
    </row>
    <row r="816" ht="14.25" customHeight="1">
      <c r="B816" s="66" t="str">
        <f>ASTemp!B816</f>
        <v/>
      </c>
      <c r="C816" s="67" t="str">
        <f>ASTemp!C816</f>
        <v/>
      </c>
      <c r="D816" s="68" t="str">
        <f>ASTemp!D816</f>
        <v/>
      </c>
      <c r="E816" s="65" t="str">
        <f>ASTemp!E816</f>
        <v/>
      </c>
      <c r="F816" s="69" t="str">
        <f>TEXT(ASTemp!F816,Decimals)</f>
        <v/>
      </c>
      <c r="G816" s="69" t="str">
        <f>TEXT(ASTemp!G816,Decimals)</f>
        <v/>
      </c>
      <c r="H816" s="69" t="str">
        <f>TEXT(ASTemp!H816,Decimals)</f>
        <v/>
      </c>
      <c r="I816" s="69" t="str">
        <f>TEXT(ASTemp!I816,Decimals)</f>
        <v/>
      </c>
      <c r="J816" s="69" t="str">
        <f>TEXT(ASTemp!J816,Decimals)</f>
        <v/>
      </c>
      <c r="K816" s="69" t="str">
        <f>TEXT(ASTemp!K816,Decimals)</f>
        <v/>
      </c>
      <c r="L816" s="69" t="str">
        <f>TEXT(ASTemp!L816,Decimals)</f>
        <v/>
      </c>
      <c r="M816" s="71" t="str">
        <f>TEXT(ASTemp!M816,Percentages)</f>
        <v/>
      </c>
      <c r="N816" s="72" t="str">
        <f>TEXT(ASTemp!N816,Percentages)</f>
        <v/>
      </c>
    </row>
    <row r="817" ht="14.25" customHeight="1">
      <c r="B817" s="66" t="str">
        <f>ASTemp!B817</f>
        <v/>
      </c>
      <c r="C817" s="67" t="str">
        <f>ASTemp!C817</f>
        <v/>
      </c>
      <c r="D817" s="68" t="str">
        <f>ASTemp!D817</f>
        <v/>
      </c>
      <c r="E817" s="65" t="str">
        <f>ASTemp!E817</f>
        <v/>
      </c>
      <c r="F817" s="69" t="str">
        <f>TEXT(ASTemp!F817,Decimals)</f>
        <v/>
      </c>
      <c r="G817" s="69" t="str">
        <f>TEXT(ASTemp!G817,Decimals)</f>
        <v/>
      </c>
      <c r="H817" s="69" t="str">
        <f>TEXT(ASTemp!H817,Decimals)</f>
        <v/>
      </c>
      <c r="I817" s="69" t="str">
        <f>TEXT(ASTemp!I817,Decimals)</f>
        <v/>
      </c>
      <c r="J817" s="69" t="str">
        <f>TEXT(ASTemp!J817,Decimals)</f>
        <v/>
      </c>
      <c r="K817" s="69" t="str">
        <f>TEXT(ASTemp!K817,Decimals)</f>
        <v/>
      </c>
      <c r="L817" s="69" t="str">
        <f>TEXT(ASTemp!L817,Decimals)</f>
        <v/>
      </c>
      <c r="M817" s="71" t="str">
        <f>TEXT(ASTemp!M817,Percentages)</f>
        <v/>
      </c>
      <c r="N817" s="72" t="str">
        <f>TEXT(ASTemp!N817,Percentages)</f>
        <v/>
      </c>
    </row>
    <row r="818" ht="14.25" customHeight="1">
      <c r="B818" s="66" t="str">
        <f>ASTemp!B818</f>
        <v/>
      </c>
      <c r="C818" s="67" t="str">
        <f>ASTemp!C818</f>
        <v/>
      </c>
      <c r="D818" s="68" t="str">
        <f>ASTemp!D818</f>
        <v/>
      </c>
      <c r="E818" s="65" t="str">
        <f>ASTemp!E818</f>
        <v/>
      </c>
      <c r="F818" s="69" t="str">
        <f>TEXT(ASTemp!F818,Decimals)</f>
        <v/>
      </c>
      <c r="G818" s="69" t="str">
        <f>TEXT(ASTemp!G818,Decimals)</f>
        <v/>
      </c>
      <c r="H818" s="69" t="str">
        <f>TEXT(ASTemp!H818,Decimals)</f>
        <v/>
      </c>
      <c r="I818" s="69" t="str">
        <f>TEXT(ASTemp!I818,Decimals)</f>
        <v/>
      </c>
      <c r="J818" s="69" t="str">
        <f>TEXT(ASTemp!J818,Decimals)</f>
        <v/>
      </c>
      <c r="K818" s="69" t="str">
        <f>TEXT(ASTemp!K818,Decimals)</f>
        <v/>
      </c>
      <c r="L818" s="69" t="str">
        <f>TEXT(ASTemp!L818,Decimals)</f>
        <v/>
      </c>
      <c r="M818" s="71" t="str">
        <f>TEXT(ASTemp!M818,Percentages)</f>
        <v/>
      </c>
      <c r="N818" s="72" t="str">
        <f>TEXT(ASTemp!N818,Percentages)</f>
        <v/>
      </c>
    </row>
    <row r="819" ht="14.25" customHeight="1">
      <c r="B819" s="66" t="str">
        <f>ASTemp!B819</f>
        <v/>
      </c>
      <c r="C819" s="67" t="str">
        <f>ASTemp!C819</f>
        <v/>
      </c>
      <c r="D819" s="68" t="str">
        <f>ASTemp!D819</f>
        <v/>
      </c>
      <c r="E819" s="65" t="str">
        <f>ASTemp!E819</f>
        <v/>
      </c>
      <c r="F819" s="69" t="str">
        <f>TEXT(ASTemp!F819,Decimals)</f>
        <v/>
      </c>
      <c r="G819" s="69" t="str">
        <f>TEXT(ASTemp!G819,Decimals)</f>
        <v/>
      </c>
      <c r="H819" s="69" t="str">
        <f>TEXT(ASTemp!H819,Decimals)</f>
        <v/>
      </c>
      <c r="I819" s="69" t="str">
        <f>TEXT(ASTemp!I819,Decimals)</f>
        <v/>
      </c>
      <c r="J819" s="69" t="str">
        <f>TEXT(ASTemp!J819,Decimals)</f>
        <v/>
      </c>
      <c r="K819" s="69" t="str">
        <f>TEXT(ASTemp!K819,Decimals)</f>
        <v/>
      </c>
      <c r="L819" s="69" t="str">
        <f>TEXT(ASTemp!L819,Decimals)</f>
        <v/>
      </c>
      <c r="M819" s="71" t="str">
        <f>TEXT(ASTemp!M819,Percentages)</f>
        <v/>
      </c>
      <c r="N819" s="72" t="str">
        <f>TEXT(ASTemp!N819,Percentages)</f>
        <v/>
      </c>
    </row>
    <row r="820" ht="14.25" customHeight="1">
      <c r="B820" s="66" t="str">
        <f>ASTemp!B820</f>
        <v/>
      </c>
      <c r="C820" s="67" t="str">
        <f>ASTemp!C820</f>
        <v/>
      </c>
      <c r="D820" s="68" t="str">
        <f>ASTemp!D820</f>
        <v/>
      </c>
      <c r="E820" s="65" t="str">
        <f>ASTemp!E820</f>
        <v/>
      </c>
      <c r="F820" s="69" t="str">
        <f>TEXT(ASTemp!F820,Decimals)</f>
        <v/>
      </c>
      <c r="G820" s="69" t="str">
        <f>TEXT(ASTemp!G820,Decimals)</f>
        <v/>
      </c>
      <c r="H820" s="69" t="str">
        <f>TEXT(ASTemp!H820,Decimals)</f>
        <v/>
      </c>
      <c r="I820" s="69" t="str">
        <f>TEXT(ASTemp!I820,Decimals)</f>
        <v/>
      </c>
      <c r="J820" s="69" t="str">
        <f>TEXT(ASTemp!J820,Decimals)</f>
        <v/>
      </c>
      <c r="K820" s="69" t="str">
        <f>TEXT(ASTemp!K820,Decimals)</f>
        <v/>
      </c>
      <c r="L820" s="69" t="str">
        <f>TEXT(ASTemp!L820,Decimals)</f>
        <v/>
      </c>
      <c r="M820" s="71" t="str">
        <f>TEXT(ASTemp!M820,Percentages)</f>
        <v/>
      </c>
      <c r="N820" s="72" t="str">
        <f>TEXT(ASTemp!N820,Percentages)</f>
        <v/>
      </c>
    </row>
    <row r="821" ht="14.25" customHeight="1">
      <c r="B821" s="66" t="str">
        <f>ASTemp!B821</f>
        <v/>
      </c>
      <c r="C821" s="67" t="str">
        <f>ASTemp!C821</f>
        <v/>
      </c>
      <c r="D821" s="68" t="str">
        <f>ASTemp!D821</f>
        <v/>
      </c>
      <c r="E821" s="65" t="str">
        <f>ASTemp!E821</f>
        <v/>
      </c>
      <c r="F821" s="69" t="str">
        <f>TEXT(ASTemp!F821,Decimals)</f>
        <v/>
      </c>
      <c r="G821" s="69" t="str">
        <f>TEXT(ASTemp!G821,Decimals)</f>
        <v/>
      </c>
      <c r="H821" s="69" t="str">
        <f>TEXT(ASTemp!H821,Decimals)</f>
        <v/>
      </c>
      <c r="I821" s="69" t="str">
        <f>TEXT(ASTemp!I821,Decimals)</f>
        <v/>
      </c>
      <c r="J821" s="69" t="str">
        <f>TEXT(ASTemp!J821,Decimals)</f>
        <v/>
      </c>
      <c r="K821" s="69" t="str">
        <f>TEXT(ASTemp!K821,Decimals)</f>
        <v/>
      </c>
      <c r="L821" s="69" t="str">
        <f>TEXT(ASTemp!L821,Decimals)</f>
        <v/>
      </c>
      <c r="M821" s="71" t="str">
        <f>TEXT(ASTemp!M821,Percentages)</f>
        <v/>
      </c>
      <c r="N821" s="72" t="str">
        <f>TEXT(ASTemp!N821,Percentages)</f>
        <v/>
      </c>
    </row>
    <row r="822" ht="14.25" customHeight="1">
      <c r="B822" s="66" t="str">
        <f>ASTemp!B822</f>
        <v/>
      </c>
      <c r="C822" s="67" t="str">
        <f>ASTemp!C822</f>
        <v/>
      </c>
      <c r="D822" s="68" t="str">
        <f>ASTemp!D822</f>
        <v/>
      </c>
      <c r="E822" s="65" t="str">
        <f>ASTemp!E822</f>
        <v/>
      </c>
      <c r="F822" s="69" t="str">
        <f>TEXT(ASTemp!F822,Decimals)</f>
        <v/>
      </c>
      <c r="G822" s="69" t="str">
        <f>TEXT(ASTemp!G822,Decimals)</f>
        <v/>
      </c>
      <c r="H822" s="69" t="str">
        <f>TEXT(ASTemp!H822,Decimals)</f>
        <v/>
      </c>
      <c r="I822" s="69" t="str">
        <f>TEXT(ASTemp!I822,Decimals)</f>
        <v/>
      </c>
      <c r="J822" s="69" t="str">
        <f>TEXT(ASTemp!J822,Decimals)</f>
        <v/>
      </c>
      <c r="K822" s="69" t="str">
        <f>TEXT(ASTemp!K822,Decimals)</f>
        <v/>
      </c>
      <c r="L822" s="69" t="str">
        <f>TEXT(ASTemp!L822,Decimals)</f>
        <v/>
      </c>
      <c r="M822" s="71" t="str">
        <f>TEXT(ASTemp!M822,Percentages)</f>
        <v/>
      </c>
      <c r="N822" s="72" t="str">
        <f>TEXT(ASTemp!N822,Percentages)</f>
        <v/>
      </c>
    </row>
    <row r="823" ht="14.25" customHeight="1">
      <c r="B823" s="66" t="str">
        <f>ASTemp!B823</f>
        <v/>
      </c>
      <c r="C823" s="67" t="str">
        <f>ASTemp!C823</f>
        <v/>
      </c>
      <c r="D823" s="68" t="str">
        <f>ASTemp!D823</f>
        <v/>
      </c>
      <c r="E823" s="65" t="str">
        <f>ASTemp!E823</f>
        <v/>
      </c>
      <c r="F823" s="69" t="str">
        <f>TEXT(ASTemp!F823,Decimals)</f>
        <v/>
      </c>
      <c r="G823" s="69" t="str">
        <f>TEXT(ASTemp!G823,Decimals)</f>
        <v/>
      </c>
      <c r="H823" s="69" t="str">
        <f>TEXT(ASTemp!H823,Decimals)</f>
        <v/>
      </c>
      <c r="I823" s="69" t="str">
        <f>TEXT(ASTemp!I823,Decimals)</f>
        <v/>
      </c>
      <c r="J823" s="69" t="str">
        <f>TEXT(ASTemp!J823,Decimals)</f>
        <v/>
      </c>
      <c r="K823" s="69" t="str">
        <f>TEXT(ASTemp!K823,Decimals)</f>
        <v/>
      </c>
      <c r="L823" s="69" t="str">
        <f>TEXT(ASTemp!L823,Decimals)</f>
        <v/>
      </c>
      <c r="M823" s="71" t="str">
        <f>TEXT(ASTemp!M823,Percentages)</f>
        <v/>
      </c>
      <c r="N823" s="72" t="str">
        <f>TEXT(ASTemp!N823,Percentages)</f>
        <v/>
      </c>
    </row>
    <row r="824" ht="14.25" customHeight="1">
      <c r="B824" s="66" t="str">
        <f>ASTemp!B824</f>
        <v/>
      </c>
      <c r="C824" s="67" t="str">
        <f>ASTemp!C824</f>
        <v/>
      </c>
      <c r="D824" s="68" t="str">
        <f>ASTemp!D824</f>
        <v/>
      </c>
      <c r="E824" s="65" t="str">
        <f>ASTemp!E824</f>
        <v/>
      </c>
      <c r="F824" s="69" t="str">
        <f>TEXT(ASTemp!F824,Decimals)</f>
        <v/>
      </c>
      <c r="G824" s="69" t="str">
        <f>TEXT(ASTemp!G824,Decimals)</f>
        <v/>
      </c>
      <c r="H824" s="69" t="str">
        <f>TEXT(ASTemp!H824,Decimals)</f>
        <v/>
      </c>
      <c r="I824" s="69" t="str">
        <f>TEXT(ASTemp!I824,Decimals)</f>
        <v/>
      </c>
      <c r="J824" s="69" t="str">
        <f>TEXT(ASTemp!J824,Decimals)</f>
        <v/>
      </c>
      <c r="K824" s="69" t="str">
        <f>TEXT(ASTemp!K824,Decimals)</f>
        <v/>
      </c>
      <c r="L824" s="69" t="str">
        <f>TEXT(ASTemp!L824,Decimals)</f>
        <v/>
      </c>
      <c r="M824" s="71" t="str">
        <f>TEXT(ASTemp!M824,Percentages)</f>
        <v/>
      </c>
      <c r="N824" s="72" t="str">
        <f>TEXT(ASTemp!N824,Percentages)</f>
        <v/>
      </c>
    </row>
    <row r="825" ht="14.25" customHeight="1">
      <c r="B825" s="66" t="str">
        <f>ASTemp!B825</f>
        <v/>
      </c>
      <c r="C825" s="67" t="str">
        <f>ASTemp!C825</f>
        <v/>
      </c>
      <c r="D825" s="68" t="str">
        <f>ASTemp!D825</f>
        <v/>
      </c>
      <c r="E825" s="65" t="str">
        <f>ASTemp!E825</f>
        <v/>
      </c>
      <c r="F825" s="69" t="str">
        <f>TEXT(ASTemp!F825,Decimals)</f>
        <v/>
      </c>
      <c r="G825" s="69" t="str">
        <f>TEXT(ASTemp!G825,Decimals)</f>
        <v/>
      </c>
      <c r="H825" s="69" t="str">
        <f>TEXT(ASTemp!H825,Decimals)</f>
        <v/>
      </c>
      <c r="I825" s="69" t="str">
        <f>TEXT(ASTemp!I825,Decimals)</f>
        <v/>
      </c>
      <c r="J825" s="69" t="str">
        <f>TEXT(ASTemp!J825,Decimals)</f>
        <v/>
      </c>
      <c r="K825" s="69" t="str">
        <f>TEXT(ASTemp!K825,Decimals)</f>
        <v/>
      </c>
      <c r="L825" s="69" t="str">
        <f>TEXT(ASTemp!L825,Decimals)</f>
        <v/>
      </c>
      <c r="M825" s="71" t="str">
        <f>TEXT(ASTemp!M825,Percentages)</f>
        <v/>
      </c>
      <c r="N825" s="72" t="str">
        <f>TEXT(ASTemp!N825,Percentages)</f>
        <v/>
      </c>
    </row>
    <row r="826" ht="14.25" customHeight="1">
      <c r="B826" s="66" t="str">
        <f>ASTemp!B826</f>
        <v/>
      </c>
      <c r="C826" s="67" t="str">
        <f>ASTemp!C826</f>
        <v/>
      </c>
      <c r="D826" s="68" t="str">
        <f>ASTemp!D826</f>
        <v/>
      </c>
      <c r="E826" s="65" t="str">
        <f>ASTemp!E826</f>
        <v/>
      </c>
      <c r="F826" s="69" t="str">
        <f>TEXT(ASTemp!F826,Decimals)</f>
        <v/>
      </c>
      <c r="G826" s="69" t="str">
        <f>TEXT(ASTemp!G826,Decimals)</f>
        <v/>
      </c>
      <c r="H826" s="69" t="str">
        <f>TEXT(ASTemp!H826,Decimals)</f>
        <v/>
      </c>
      <c r="I826" s="69" t="str">
        <f>TEXT(ASTemp!I826,Decimals)</f>
        <v/>
      </c>
      <c r="J826" s="69" t="str">
        <f>TEXT(ASTemp!J826,Decimals)</f>
        <v/>
      </c>
      <c r="K826" s="69" t="str">
        <f>TEXT(ASTemp!K826,Decimals)</f>
        <v/>
      </c>
      <c r="L826" s="69" t="str">
        <f>TEXT(ASTemp!L826,Decimals)</f>
        <v/>
      </c>
      <c r="M826" s="71" t="str">
        <f>TEXT(ASTemp!M826,Percentages)</f>
        <v/>
      </c>
      <c r="N826" s="72" t="str">
        <f>TEXT(ASTemp!N826,Percentages)</f>
        <v/>
      </c>
    </row>
    <row r="827" ht="14.25" customHeight="1">
      <c r="B827" s="66" t="str">
        <f>ASTemp!B827</f>
        <v/>
      </c>
      <c r="C827" s="67" t="str">
        <f>ASTemp!C827</f>
        <v/>
      </c>
      <c r="D827" s="68" t="str">
        <f>ASTemp!D827</f>
        <v/>
      </c>
      <c r="E827" s="65" t="str">
        <f>ASTemp!E827</f>
        <v/>
      </c>
      <c r="F827" s="69" t="str">
        <f>TEXT(ASTemp!F827,Decimals)</f>
        <v/>
      </c>
      <c r="G827" s="69" t="str">
        <f>TEXT(ASTemp!G827,Decimals)</f>
        <v/>
      </c>
      <c r="H827" s="69" t="str">
        <f>TEXT(ASTemp!H827,Decimals)</f>
        <v/>
      </c>
      <c r="I827" s="69" t="str">
        <f>TEXT(ASTemp!I827,Decimals)</f>
        <v/>
      </c>
      <c r="J827" s="69" t="str">
        <f>TEXT(ASTemp!J827,Decimals)</f>
        <v/>
      </c>
      <c r="K827" s="69" t="str">
        <f>TEXT(ASTemp!K827,Decimals)</f>
        <v/>
      </c>
      <c r="L827" s="69" t="str">
        <f>TEXT(ASTemp!L827,Decimals)</f>
        <v/>
      </c>
      <c r="M827" s="71" t="str">
        <f>TEXT(ASTemp!M827,Percentages)</f>
        <v/>
      </c>
      <c r="N827" s="72" t="str">
        <f>TEXT(ASTemp!N827,Percentages)</f>
        <v/>
      </c>
    </row>
    <row r="828" ht="14.25" customHeight="1">
      <c r="B828" s="66" t="str">
        <f>ASTemp!B828</f>
        <v/>
      </c>
      <c r="C828" s="67" t="str">
        <f>ASTemp!C828</f>
        <v/>
      </c>
      <c r="D828" s="68" t="str">
        <f>ASTemp!D828</f>
        <v/>
      </c>
      <c r="E828" s="65" t="str">
        <f>ASTemp!E828</f>
        <v/>
      </c>
      <c r="F828" s="69" t="str">
        <f>TEXT(ASTemp!F828,Decimals)</f>
        <v/>
      </c>
      <c r="G828" s="69" t="str">
        <f>TEXT(ASTemp!G828,Decimals)</f>
        <v/>
      </c>
      <c r="H828" s="69" t="str">
        <f>TEXT(ASTemp!H828,Decimals)</f>
        <v/>
      </c>
      <c r="I828" s="69" t="str">
        <f>TEXT(ASTemp!I828,Decimals)</f>
        <v/>
      </c>
      <c r="J828" s="69" t="str">
        <f>TEXT(ASTemp!J828,Decimals)</f>
        <v/>
      </c>
      <c r="K828" s="69" t="str">
        <f>TEXT(ASTemp!K828,Decimals)</f>
        <v/>
      </c>
      <c r="L828" s="69" t="str">
        <f>TEXT(ASTemp!L828,Decimals)</f>
        <v/>
      </c>
      <c r="M828" s="71" t="str">
        <f>TEXT(ASTemp!M828,Percentages)</f>
        <v/>
      </c>
      <c r="N828" s="72" t="str">
        <f>TEXT(ASTemp!N828,Percentages)</f>
        <v/>
      </c>
    </row>
    <row r="829" ht="14.25" customHeight="1">
      <c r="B829" s="66" t="str">
        <f>ASTemp!B829</f>
        <v/>
      </c>
      <c r="C829" s="67" t="str">
        <f>ASTemp!C829</f>
        <v/>
      </c>
      <c r="D829" s="68" t="str">
        <f>ASTemp!D829</f>
        <v/>
      </c>
      <c r="E829" s="65" t="str">
        <f>ASTemp!E829</f>
        <v/>
      </c>
      <c r="F829" s="69" t="str">
        <f>TEXT(ASTemp!F829,Decimals)</f>
        <v/>
      </c>
      <c r="G829" s="69" t="str">
        <f>TEXT(ASTemp!G829,Decimals)</f>
        <v/>
      </c>
      <c r="H829" s="69" t="str">
        <f>TEXT(ASTemp!H829,Decimals)</f>
        <v/>
      </c>
      <c r="I829" s="69" t="str">
        <f>TEXT(ASTemp!I829,Decimals)</f>
        <v/>
      </c>
      <c r="J829" s="69" t="str">
        <f>TEXT(ASTemp!J829,Decimals)</f>
        <v/>
      </c>
      <c r="K829" s="69" t="str">
        <f>TEXT(ASTemp!K829,Decimals)</f>
        <v/>
      </c>
      <c r="L829" s="69" t="str">
        <f>TEXT(ASTemp!L829,Decimals)</f>
        <v/>
      </c>
      <c r="M829" s="71" t="str">
        <f>TEXT(ASTemp!M829,Percentages)</f>
        <v/>
      </c>
      <c r="N829" s="72" t="str">
        <f>TEXT(ASTemp!N829,Percentages)</f>
        <v/>
      </c>
    </row>
    <row r="830" ht="14.25" customHeight="1">
      <c r="B830" s="66" t="str">
        <f>ASTemp!B830</f>
        <v/>
      </c>
      <c r="C830" s="67" t="str">
        <f>ASTemp!C830</f>
        <v/>
      </c>
      <c r="D830" s="68" t="str">
        <f>ASTemp!D830</f>
        <v/>
      </c>
      <c r="E830" s="65" t="str">
        <f>ASTemp!E830</f>
        <v/>
      </c>
      <c r="F830" s="69" t="str">
        <f>TEXT(ASTemp!F830,Decimals)</f>
        <v/>
      </c>
      <c r="G830" s="69" t="str">
        <f>TEXT(ASTemp!G830,Decimals)</f>
        <v/>
      </c>
      <c r="H830" s="69" t="str">
        <f>TEXT(ASTemp!H830,Decimals)</f>
        <v/>
      </c>
      <c r="I830" s="69" t="str">
        <f>TEXT(ASTemp!I830,Decimals)</f>
        <v/>
      </c>
      <c r="J830" s="69" t="str">
        <f>TEXT(ASTemp!J830,Decimals)</f>
        <v/>
      </c>
      <c r="K830" s="69" t="str">
        <f>TEXT(ASTemp!K830,Decimals)</f>
        <v/>
      </c>
      <c r="L830" s="69" t="str">
        <f>TEXT(ASTemp!L830,Decimals)</f>
        <v/>
      </c>
      <c r="M830" s="71" t="str">
        <f>TEXT(ASTemp!M830,Percentages)</f>
        <v/>
      </c>
      <c r="N830" s="72" t="str">
        <f>TEXT(ASTemp!N830,Percentages)</f>
        <v/>
      </c>
    </row>
    <row r="831" ht="14.25" customHeight="1">
      <c r="B831" s="66" t="str">
        <f>ASTemp!B831</f>
        <v/>
      </c>
      <c r="C831" s="67" t="str">
        <f>ASTemp!C831</f>
        <v/>
      </c>
      <c r="D831" s="68" t="str">
        <f>ASTemp!D831</f>
        <v/>
      </c>
      <c r="E831" s="65" t="str">
        <f>ASTemp!E831</f>
        <v/>
      </c>
      <c r="F831" s="69" t="str">
        <f>TEXT(ASTemp!F831,Decimals)</f>
        <v/>
      </c>
      <c r="G831" s="69" t="str">
        <f>TEXT(ASTemp!G831,Decimals)</f>
        <v/>
      </c>
      <c r="H831" s="69" t="str">
        <f>TEXT(ASTemp!H831,Decimals)</f>
        <v/>
      </c>
      <c r="I831" s="69" t="str">
        <f>TEXT(ASTemp!I831,Decimals)</f>
        <v/>
      </c>
      <c r="J831" s="69" t="str">
        <f>TEXT(ASTemp!J831,Decimals)</f>
        <v/>
      </c>
      <c r="K831" s="69" t="str">
        <f>TEXT(ASTemp!K831,Decimals)</f>
        <v/>
      </c>
      <c r="L831" s="69" t="str">
        <f>TEXT(ASTemp!L831,Decimals)</f>
        <v/>
      </c>
      <c r="M831" s="71" t="str">
        <f>TEXT(ASTemp!M831,Percentages)</f>
        <v/>
      </c>
      <c r="N831" s="72" t="str">
        <f>TEXT(ASTemp!N831,Percentages)</f>
        <v/>
      </c>
    </row>
    <row r="832" ht="14.25" customHeight="1">
      <c r="B832" s="66" t="str">
        <f>ASTemp!B832</f>
        <v/>
      </c>
      <c r="C832" s="67" t="str">
        <f>ASTemp!C832</f>
        <v/>
      </c>
      <c r="D832" s="68" t="str">
        <f>ASTemp!D832</f>
        <v/>
      </c>
      <c r="E832" s="65" t="str">
        <f>ASTemp!E832</f>
        <v/>
      </c>
      <c r="F832" s="69" t="str">
        <f>TEXT(ASTemp!F832,Decimals)</f>
        <v/>
      </c>
      <c r="G832" s="69" t="str">
        <f>TEXT(ASTemp!G832,Decimals)</f>
        <v/>
      </c>
      <c r="H832" s="69" t="str">
        <f>TEXT(ASTemp!H832,Decimals)</f>
        <v/>
      </c>
      <c r="I832" s="69" t="str">
        <f>TEXT(ASTemp!I832,Decimals)</f>
        <v/>
      </c>
      <c r="J832" s="69" t="str">
        <f>TEXT(ASTemp!J832,Decimals)</f>
        <v/>
      </c>
      <c r="K832" s="69" t="str">
        <f>TEXT(ASTemp!K832,Decimals)</f>
        <v/>
      </c>
      <c r="L832" s="69" t="str">
        <f>TEXT(ASTemp!L832,Decimals)</f>
        <v/>
      </c>
      <c r="M832" s="71" t="str">
        <f>TEXT(ASTemp!M832,Percentages)</f>
        <v/>
      </c>
      <c r="N832" s="72" t="str">
        <f>TEXT(ASTemp!N832,Percentages)</f>
        <v/>
      </c>
    </row>
    <row r="833" ht="14.25" customHeight="1">
      <c r="B833" s="66" t="str">
        <f>ASTemp!B833</f>
        <v/>
      </c>
      <c r="C833" s="67" t="str">
        <f>ASTemp!C833</f>
        <v/>
      </c>
      <c r="D833" s="68" t="str">
        <f>ASTemp!D833</f>
        <v/>
      </c>
      <c r="E833" s="65" t="str">
        <f>ASTemp!E833</f>
        <v/>
      </c>
      <c r="F833" s="69" t="str">
        <f>TEXT(ASTemp!F833,Decimals)</f>
        <v/>
      </c>
      <c r="G833" s="69" t="str">
        <f>TEXT(ASTemp!G833,Decimals)</f>
        <v/>
      </c>
      <c r="H833" s="69" t="str">
        <f>TEXT(ASTemp!H833,Decimals)</f>
        <v/>
      </c>
      <c r="I833" s="69" t="str">
        <f>TEXT(ASTemp!I833,Decimals)</f>
        <v/>
      </c>
      <c r="J833" s="69" t="str">
        <f>TEXT(ASTemp!J833,Decimals)</f>
        <v/>
      </c>
      <c r="K833" s="69" t="str">
        <f>TEXT(ASTemp!K833,Decimals)</f>
        <v/>
      </c>
      <c r="L833" s="69" t="str">
        <f>TEXT(ASTemp!L833,Decimals)</f>
        <v/>
      </c>
      <c r="M833" s="71" t="str">
        <f>TEXT(ASTemp!M833,Percentages)</f>
        <v/>
      </c>
      <c r="N833" s="72" t="str">
        <f>TEXT(ASTemp!N833,Percentages)</f>
        <v/>
      </c>
    </row>
    <row r="834" ht="14.25" customHeight="1">
      <c r="B834" s="66" t="str">
        <f>ASTemp!B834</f>
        <v/>
      </c>
      <c r="C834" s="67" t="str">
        <f>ASTemp!C834</f>
        <v/>
      </c>
      <c r="D834" s="68" t="str">
        <f>ASTemp!D834</f>
        <v/>
      </c>
      <c r="E834" s="65" t="str">
        <f>ASTemp!E834</f>
        <v/>
      </c>
      <c r="F834" s="69" t="str">
        <f>TEXT(ASTemp!F834,Decimals)</f>
        <v/>
      </c>
      <c r="G834" s="69" t="str">
        <f>TEXT(ASTemp!G834,Decimals)</f>
        <v/>
      </c>
      <c r="H834" s="69" t="str">
        <f>TEXT(ASTemp!H834,Decimals)</f>
        <v/>
      </c>
      <c r="I834" s="69" t="str">
        <f>TEXT(ASTemp!I834,Decimals)</f>
        <v/>
      </c>
      <c r="J834" s="69" t="str">
        <f>TEXT(ASTemp!J834,Decimals)</f>
        <v/>
      </c>
      <c r="K834" s="69" t="str">
        <f>TEXT(ASTemp!K834,Decimals)</f>
        <v/>
      </c>
      <c r="L834" s="69" t="str">
        <f>TEXT(ASTemp!L834,Decimals)</f>
        <v/>
      </c>
      <c r="M834" s="71" t="str">
        <f>TEXT(ASTemp!M834,Percentages)</f>
        <v/>
      </c>
      <c r="N834" s="72" t="str">
        <f>TEXT(ASTemp!N834,Percentages)</f>
        <v/>
      </c>
    </row>
    <row r="835" ht="14.25" customHeight="1">
      <c r="B835" s="66" t="str">
        <f>ASTemp!B835</f>
        <v/>
      </c>
      <c r="C835" s="67" t="str">
        <f>ASTemp!C835</f>
        <v/>
      </c>
      <c r="D835" s="68" t="str">
        <f>ASTemp!D835</f>
        <v/>
      </c>
      <c r="E835" s="65" t="str">
        <f>ASTemp!E835</f>
        <v/>
      </c>
      <c r="F835" s="69" t="str">
        <f>TEXT(ASTemp!F835,Decimals)</f>
        <v/>
      </c>
      <c r="G835" s="69" t="str">
        <f>TEXT(ASTemp!G835,Decimals)</f>
        <v/>
      </c>
      <c r="H835" s="69" t="str">
        <f>TEXT(ASTemp!H835,Decimals)</f>
        <v/>
      </c>
      <c r="I835" s="69" t="str">
        <f>TEXT(ASTemp!I835,Decimals)</f>
        <v/>
      </c>
      <c r="J835" s="69" t="str">
        <f>TEXT(ASTemp!J835,Decimals)</f>
        <v/>
      </c>
      <c r="K835" s="69" t="str">
        <f>TEXT(ASTemp!K835,Decimals)</f>
        <v/>
      </c>
      <c r="L835" s="69" t="str">
        <f>TEXT(ASTemp!L835,Decimals)</f>
        <v/>
      </c>
      <c r="M835" s="71" t="str">
        <f>TEXT(ASTemp!M835,Percentages)</f>
        <v/>
      </c>
      <c r="N835" s="72" t="str">
        <f>TEXT(ASTemp!N835,Percentages)</f>
        <v/>
      </c>
    </row>
    <row r="836" ht="14.25" customHeight="1">
      <c r="B836" s="66" t="str">
        <f>ASTemp!B836</f>
        <v/>
      </c>
      <c r="C836" s="67" t="str">
        <f>ASTemp!C836</f>
        <v/>
      </c>
      <c r="D836" s="68" t="str">
        <f>ASTemp!D836</f>
        <v/>
      </c>
      <c r="E836" s="65" t="str">
        <f>ASTemp!E836</f>
        <v/>
      </c>
      <c r="F836" s="69" t="str">
        <f>TEXT(ASTemp!F836,Decimals)</f>
        <v/>
      </c>
      <c r="G836" s="69" t="str">
        <f>TEXT(ASTemp!G836,Decimals)</f>
        <v/>
      </c>
      <c r="H836" s="69" t="str">
        <f>TEXT(ASTemp!H836,Decimals)</f>
        <v/>
      </c>
      <c r="I836" s="69" t="str">
        <f>TEXT(ASTemp!I836,Decimals)</f>
        <v/>
      </c>
      <c r="J836" s="69" t="str">
        <f>TEXT(ASTemp!J836,Decimals)</f>
        <v/>
      </c>
      <c r="K836" s="69" t="str">
        <f>TEXT(ASTemp!K836,Decimals)</f>
        <v/>
      </c>
      <c r="L836" s="69" t="str">
        <f>TEXT(ASTemp!L836,Decimals)</f>
        <v/>
      </c>
      <c r="M836" s="71" t="str">
        <f>TEXT(ASTemp!M836,Percentages)</f>
        <v/>
      </c>
      <c r="N836" s="72" t="str">
        <f>TEXT(ASTemp!N836,Percentages)</f>
        <v/>
      </c>
    </row>
    <row r="837" ht="14.25" customHeight="1">
      <c r="B837" s="66" t="str">
        <f>ASTemp!B837</f>
        <v/>
      </c>
      <c r="C837" s="67" t="str">
        <f>ASTemp!C837</f>
        <v/>
      </c>
      <c r="D837" s="68" t="str">
        <f>ASTemp!D837</f>
        <v/>
      </c>
      <c r="E837" s="65" t="str">
        <f>ASTemp!E837</f>
        <v/>
      </c>
      <c r="F837" s="69" t="str">
        <f>TEXT(ASTemp!F837,Decimals)</f>
        <v/>
      </c>
      <c r="G837" s="69" t="str">
        <f>TEXT(ASTemp!G837,Decimals)</f>
        <v/>
      </c>
      <c r="H837" s="69" t="str">
        <f>TEXT(ASTemp!H837,Decimals)</f>
        <v/>
      </c>
      <c r="I837" s="69" t="str">
        <f>TEXT(ASTemp!I837,Decimals)</f>
        <v/>
      </c>
      <c r="J837" s="69" t="str">
        <f>TEXT(ASTemp!J837,Decimals)</f>
        <v/>
      </c>
      <c r="K837" s="69" t="str">
        <f>TEXT(ASTemp!K837,Decimals)</f>
        <v/>
      </c>
      <c r="L837" s="69" t="str">
        <f>TEXT(ASTemp!L837,Decimals)</f>
        <v/>
      </c>
      <c r="M837" s="71" t="str">
        <f>TEXT(ASTemp!M837,Percentages)</f>
        <v/>
      </c>
      <c r="N837" s="72" t="str">
        <f>TEXT(ASTemp!N837,Percentages)</f>
        <v/>
      </c>
    </row>
    <row r="838" ht="14.25" customHeight="1">
      <c r="B838" s="66" t="str">
        <f>ASTemp!B838</f>
        <v/>
      </c>
      <c r="C838" s="67" t="str">
        <f>ASTemp!C838</f>
        <v/>
      </c>
      <c r="D838" s="68" t="str">
        <f>ASTemp!D838</f>
        <v/>
      </c>
      <c r="E838" s="65" t="str">
        <f>ASTemp!E838</f>
        <v/>
      </c>
      <c r="F838" s="69" t="str">
        <f>TEXT(ASTemp!F838,Decimals)</f>
        <v/>
      </c>
      <c r="G838" s="69" t="str">
        <f>TEXT(ASTemp!G838,Decimals)</f>
        <v/>
      </c>
      <c r="H838" s="69" t="str">
        <f>TEXT(ASTemp!H838,Decimals)</f>
        <v/>
      </c>
      <c r="I838" s="69" t="str">
        <f>TEXT(ASTemp!I838,Decimals)</f>
        <v/>
      </c>
      <c r="J838" s="69" t="str">
        <f>TEXT(ASTemp!J838,Decimals)</f>
        <v/>
      </c>
      <c r="K838" s="69" t="str">
        <f>TEXT(ASTemp!K838,Decimals)</f>
        <v/>
      </c>
      <c r="L838" s="69" t="str">
        <f>TEXT(ASTemp!L838,Decimals)</f>
        <v/>
      </c>
      <c r="M838" s="71" t="str">
        <f>TEXT(ASTemp!M838,Percentages)</f>
        <v/>
      </c>
      <c r="N838" s="72" t="str">
        <f>TEXT(ASTemp!N838,Percentages)</f>
        <v/>
      </c>
    </row>
    <row r="839" ht="14.25" customHeight="1">
      <c r="B839" s="66" t="str">
        <f>ASTemp!B839</f>
        <v/>
      </c>
      <c r="C839" s="67" t="str">
        <f>ASTemp!C839</f>
        <v/>
      </c>
      <c r="D839" s="68" t="str">
        <f>ASTemp!D839</f>
        <v/>
      </c>
      <c r="E839" s="65" t="str">
        <f>ASTemp!E839</f>
        <v/>
      </c>
      <c r="F839" s="69" t="str">
        <f>TEXT(ASTemp!F839,Decimals)</f>
        <v/>
      </c>
      <c r="G839" s="69" t="str">
        <f>TEXT(ASTemp!G839,Decimals)</f>
        <v/>
      </c>
      <c r="H839" s="69" t="str">
        <f>TEXT(ASTemp!H839,Decimals)</f>
        <v/>
      </c>
      <c r="I839" s="69" t="str">
        <f>TEXT(ASTemp!I839,Decimals)</f>
        <v/>
      </c>
      <c r="J839" s="69" t="str">
        <f>TEXT(ASTemp!J839,Decimals)</f>
        <v/>
      </c>
      <c r="K839" s="69" t="str">
        <f>TEXT(ASTemp!K839,Decimals)</f>
        <v/>
      </c>
      <c r="L839" s="69" t="str">
        <f>TEXT(ASTemp!L839,Decimals)</f>
        <v/>
      </c>
      <c r="M839" s="71" t="str">
        <f>TEXT(ASTemp!M839,Percentages)</f>
        <v/>
      </c>
      <c r="N839" s="72" t="str">
        <f>TEXT(ASTemp!N839,Percentages)</f>
        <v/>
      </c>
    </row>
    <row r="840" ht="14.25" customHeight="1">
      <c r="B840" s="66" t="str">
        <f>ASTemp!B840</f>
        <v/>
      </c>
      <c r="C840" s="67" t="str">
        <f>ASTemp!C840</f>
        <v/>
      </c>
      <c r="D840" s="68" t="str">
        <f>ASTemp!D840</f>
        <v/>
      </c>
      <c r="E840" s="65" t="str">
        <f>ASTemp!E840</f>
        <v/>
      </c>
      <c r="F840" s="69" t="str">
        <f>TEXT(ASTemp!F840,Decimals)</f>
        <v/>
      </c>
      <c r="G840" s="69" t="str">
        <f>TEXT(ASTemp!G840,Decimals)</f>
        <v/>
      </c>
      <c r="H840" s="69" t="str">
        <f>TEXT(ASTemp!H840,Decimals)</f>
        <v/>
      </c>
      <c r="I840" s="69" t="str">
        <f>TEXT(ASTemp!I840,Decimals)</f>
        <v/>
      </c>
      <c r="J840" s="69" t="str">
        <f>TEXT(ASTemp!J840,Decimals)</f>
        <v/>
      </c>
      <c r="K840" s="69" t="str">
        <f>TEXT(ASTemp!K840,Decimals)</f>
        <v/>
      </c>
      <c r="L840" s="69" t="str">
        <f>TEXT(ASTemp!L840,Decimals)</f>
        <v/>
      </c>
      <c r="M840" s="71" t="str">
        <f>TEXT(ASTemp!M840,Percentages)</f>
        <v/>
      </c>
      <c r="N840" s="72" t="str">
        <f>TEXT(ASTemp!N840,Percentages)</f>
        <v/>
      </c>
    </row>
    <row r="841" ht="14.25" customHeight="1">
      <c r="B841" s="66" t="str">
        <f>ASTemp!B841</f>
        <v/>
      </c>
      <c r="C841" s="67" t="str">
        <f>ASTemp!C841</f>
        <v/>
      </c>
      <c r="D841" s="68" t="str">
        <f>ASTemp!D841</f>
        <v/>
      </c>
      <c r="E841" s="65" t="str">
        <f>ASTemp!E841</f>
        <v/>
      </c>
      <c r="F841" s="69" t="str">
        <f>TEXT(ASTemp!F841,Decimals)</f>
        <v/>
      </c>
      <c r="G841" s="69" t="str">
        <f>TEXT(ASTemp!G841,Decimals)</f>
        <v/>
      </c>
      <c r="H841" s="69" t="str">
        <f>TEXT(ASTemp!H841,Decimals)</f>
        <v/>
      </c>
      <c r="I841" s="69" t="str">
        <f>TEXT(ASTemp!I841,Decimals)</f>
        <v/>
      </c>
      <c r="J841" s="69" t="str">
        <f>TEXT(ASTemp!J841,Decimals)</f>
        <v/>
      </c>
      <c r="K841" s="69" t="str">
        <f>TEXT(ASTemp!K841,Decimals)</f>
        <v/>
      </c>
      <c r="L841" s="69" t="str">
        <f>TEXT(ASTemp!L841,Decimals)</f>
        <v/>
      </c>
      <c r="M841" s="71" t="str">
        <f>TEXT(ASTemp!M841,Percentages)</f>
        <v/>
      </c>
      <c r="N841" s="72" t="str">
        <f>TEXT(ASTemp!N841,Percentages)</f>
        <v/>
      </c>
    </row>
    <row r="842" ht="14.25" customHeight="1">
      <c r="B842" s="66" t="str">
        <f>ASTemp!B842</f>
        <v/>
      </c>
      <c r="C842" s="67" t="str">
        <f>ASTemp!C842</f>
        <v/>
      </c>
      <c r="D842" s="68" t="str">
        <f>ASTemp!D842</f>
        <v/>
      </c>
      <c r="E842" s="65" t="str">
        <f>ASTemp!E842</f>
        <v/>
      </c>
      <c r="F842" s="69" t="str">
        <f>TEXT(ASTemp!F842,Decimals)</f>
        <v/>
      </c>
      <c r="G842" s="69" t="str">
        <f>TEXT(ASTemp!G842,Decimals)</f>
        <v/>
      </c>
      <c r="H842" s="69" t="str">
        <f>TEXT(ASTemp!H842,Decimals)</f>
        <v/>
      </c>
      <c r="I842" s="69" t="str">
        <f>TEXT(ASTemp!I842,Decimals)</f>
        <v/>
      </c>
      <c r="J842" s="69" t="str">
        <f>TEXT(ASTemp!J842,Decimals)</f>
        <v/>
      </c>
      <c r="K842" s="69" t="str">
        <f>TEXT(ASTemp!K842,Decimals)</f>
        <v/>
      </c>
      <c r="L842" s="69" t="str">
        <f>TEXT(ASTemp!L842,Decimals)</f>
        <v/>
      </c>
      <c r="M842" s="71" t="str">
        <f>TEXT(ASTemp!M842,Percentages)</f>
        <v/>
      </c>
      <c r="N842" s="72" t="str">
        <f>TEXT(ASTemp!N842,Percentages)</f>
        <v/>
      </c>
    </row>
    <row r="843" ht="14.25" customHeight="1">
      <c r="B843" s="66" t="str">
        <f>ASTemp!B843</f>
        <v/>
      </c>
      <c r="C843" s="67" t="str">
        <f>ASTemp!C843</f>
        <v/>
      </c>
      <c r="D843" s="68" t="str">
        <f>ASTemp!D843</f>
        <v/>
      </c>
      <c r="E843" s="65" t="str">
        <f>ASTemp!E843</f>
        <v/>
      </c>
      <c r="F843" s="69" t="str">
        <f>TEXT(ASTemp!F843,Decimals)</f>
        <v/>
      </c>
      <c r="G843" s="69" t="str">
        <f>TEXT(ASTemp!G843,Decimals)</f>
        <v/>
      </c>
      <c r="H843" s="69" t="str">
        <f>TEXT(ASTemp!H843,Decimals)</f>
        <v/>
      </c>
      <c r="I843" s="69" t="str">
        <f>TEXT(ASTemp!I843,Decimals)</f>
        <v/>
      </c>
      <c r="J843" s="69" t="str">
        <f>TEXT(ASTemp!J843,Decimals)</f>
        <v/>
      </c>
      <c r="K843" s="69" t="str">
        <f>TEXT(ASTemp!K843,Decimals)</f>
        <v/>
      </c>
      <c r="L843" s="69" t="str">
        <f>TEXT(ASTemp!L843,Decimals)</f>
        <v/>
      </c>
      <c r="M843" s="71" t="str">
        <f>TEXT(ASTemp!M843,Percentages)</f>
        <v/>
      </c>
      <c r="N843" s="72" t="str">
        <f>TEXT(ASTemp!N843,Percentages)</f>
        <v/>
      </c>
    </row>
    <row r="844" ht="14.25" customHeight="1">
      <c r="B844" s="66" t="str">
        <f>ASTemp!B844</f>
        <v/>
      </c>
      <c r="C844" s="67" t="str">
        <f>ASTemp!C844</f>
        <v/>
      </c>
      <c r="D844" s="68" t="str">
        <f>ASTemp!D844</f>
        <v/>
      </c>
      <c r="E844" s="65" t="str">
        <f>ASTemp!E844</f>
        <v/>
      </c>
      <c r="F844" s="69" t="str">
        <f>TEXT(ASTemp!F844,Decimals)</f>
        <v/>
      </c>
      <c r="G844" s="69" t="str">
        <f>TEXT(ASTemp!G844,Decimals)</f>
        <v/>
      </c>
      <c r="H844" s="69" t="str">
        <f>TEXT(ASTemp!H844,Decimals)</f>
        <v/>
      </c>
      <c r="I844" s="69" t="str">
        <f>TEXT(ASTemp!I844,Decimals)</f>
        <v/>
      </c>
      <c r="J844" s="69" t="str">
        <f>TEXT(ASTemp!J844,Decimals)</f>
        <v/>
      </c>
      <c r="K844" s="69" t="str">
        <f>TEXT(ASTemp!K844,Decimals)</f>
        <v/>
      </c>
      <c r="L844" s="69" t="str">
        <f>TEXT(ASTemp!L844,Decimals)</f>
        <v/>
      </c>
      <c r="M844" s="71" t="str">
        <f>TEXT(ASTemp!M844,Percentages)</f>
        <v/>
      </c>
      <c r="N844" s="72" t="str">
        <f>TEXT(ASTemp!N844,Percentages)</f>
        <v/>
      </c>
    </row>
    <row r="845" ht="14.25" customHeight="1">
      <c r="B845" s="66" t="str">
        <f>ASTemp!B845</f>
        <v/>
      </c>
      <c r="C845" s="67" t="str">
        <f>ASTemp!C845</f>
        <v/>
      </c>
      <c r="D845" s="68" t="str">
        <f>ASTemp!D845</f>
        <v/>
      </c>
      <c r="E845" s="65" t="str">
        <f>ASTemp!E845</f>
        <v/>
      </c>
      <c r="F845" s="69" t="str">
        <f>TEXT(ASTemp!F845,Decimals)</f>
        <v/>
      </c>
      <c r="G845" s="69" t="str">
        <f>TEXT(ASTemp!G845,Decimals)</f>
        <v/>
      </c>
      <c r="H845" s="69" t="str">
        <f>TEXT(ASTemp!H845,Decimals)</f>
        <v/>
      </c>
      <c r="I845" s="69" t="str">
        <f>TEXT(ASTemp!I845,Decimals)</f>
        <v/>
      </c>
      <c r="J845" s="69" t="str">
        <f>TEXT(ASTemp!J845,Decimals)</f>
        <v/>
      </c>
      <c r="K845" s="69" t="str">
        <f>TEXT(ASTemp!K845,Decimals)</f>
        <v/>
      </c>
      <c r="L845" s="69" t="str">
        <f>TEXT(ASTemp!L845,Decimals)</f>
        <v/>
      </c>
      <c r="M845" s="71" t="str">
        <f>TEXT(ASTemp!M845,Percentages)</f>
        <v/>
      </c>
      <c r="N845" s="72" t="str">
        <f>TEXT(ASTemp!N845,Percentages)</f>
        <v/>
      </c>
    </row>
    <row r="846" ht="14.25" customHeight="1">
      <c r="B846" s="66" t="str">
        <f>ASTemp!B846</f>
        <v/>
      </c>
      <c r="C846" s="67" t="str">
        <f>ASTemp!C846</f>
        <v/>
      </c>
      <c r="D846" s="68" t="str">
        <f>ASTemp!D846</f>
        <v/>
      </c>
      <c r="E846" s="65" t="str">
        <f>ASTemp!E846</f>
        <v/>
      </c>
      <c r="F846" s="69" t="str">
        <f>TEXT(ASTemp!F846,Decimals)</f>
        <v/>
      </c>
      <c r="G846" s="69" t="str">
        <f>TEXT(ASTemp!G846,Decimals)</f>
        <v/>
      </c>
      <c r="H846" s="69" t="str">
        <f>TEXT(ASTemp!H846,Decimals)</f>
        <v/>
      </c>
      <c r="I846" s="69" t="str">
        <f>TEXT(ASTemp!I846,Decimals)</f>
        <v/>
      </c>
      <c r="J846" s="69" t="str">
        <f>TEXT(ASTemp!J846,Decimals)</f>
        <v/>
      </c>
      <c r="K846" s="69" t="str">
        <f>TEXT(ASTemp!K846,Decimals)</f>
        <v/>
      </c>
      <c r="L846" s="69" t="str">
        <f>TEXT(ASTemp!L846,Decimals)</f>
        <v/>
      </c>
      <c r="M846" s="71" t="str">
        <f>TEXT(ASTemp!M846,Percentages)</f>
        <v/>
      </c>
      <c r="N846" s="72" t="str">
        <f>TEXT(ASTemp!N846,Percentages)</f>
        <v/>
      </c>
    </row>
    <row r="847" ht="14.25" customHeight="1">
      <c r="B847" s="66" t="str">
        <f>ASTemp!B847</f>
        <v/>
      </c>
      <c r="C847" s="67" t="str">
        <f>ASTemp!C847</f>
        <v/>
      </c>
      <c r="D847" s="68" t="str">
        <f>ASTemp!D847</f>
        <v/>
      </c>
      <c r="E847" s="65" t="str">
        <f>ASTemp!E847</f>
        <v/>
      </c>
      <c r="F847" s="69" t="str">
        <f>TEXT(ASTemp!F847,Decimals)</f>
        <v/>
      </c>
      <c r="G847" s="69" t="str">
        <f>TEXT(ASTemp!G847,Decimals)</f>
        <v/>
      </c>
      <c r="H847" s="69" t="str">
        <f>TEXT(ASTemp!H847,Decimals)</f>
        <v/>
      </c>
      <c r="I847" s="69" t="str">
        <f>TEXT(ASTemp!I847,Decimals)</f>
        <v/>
      </c>
      <c r="J847" s="69" t="str">
        <f>TEXT(ASTemp!J847,Decimals)</f>
        <v/>
      </c>
      <c r="K847" s="69" t="str">
        <f>TEXT(ASTemp!K847,Decimals)</f>
        <v/>
      </c>
      <c r="L847" s="69" t="str">
        <f>TEXT(ASTemp!L847,Decimals)</f>
        <v/>
      </c>
      <c r="M847" s="71" t="str">
        <f>TEXT(ASTemp!M847,Percentages)</f>
        <v/>
      </c>
      <c r="N847" s="72" t="str">
        <f>TEXT(ASTemp!N847,Percentages)</f>
        <v/>
      </c>
    </row>
    <row r="848" ht="14.25" customHeight="1">
      <c r="B848" s="66" t="str">
        <f>ASTemp!B848</f>
        <v/>
      </c>
      <c r="C848" s="67" t="str">
        <f>ASTemp!C848</f>
        <v/>
      </c>
      <c r="D848" s="68" t="str">
        <f>ASTemp!D848</f>
        <v/>
      </c>
      <c r="E848" s="65" t="str">
        <f>ASTemp!E848</f>
        <v/>
      </c>
      <c r="F848" s="69" t="str">
        <f>TEXT(ASTemp!F848,Decimals)</f>
        <v/>
      </c>
      <c r="G848" s="69" t="str">
        <f>TEXT(ASTemp!G848,Decimals)</f>
        <v/>
      </c>
      <c r="H848" s="69" t="str">
        <f>TEXT(ASTemp!H848,Decimals)</f>
        <v/>
      </c>
      <c r="I848" s="69" t="str">
        <f>TEXT(ASTemp!I848,Decimals)</f>
        <v/>
      </c>
      <c r="J848" s="69" t="str">
        <f>TEXT(ASTemp!J848,Decimals)</f>
        <v/>
      </c>
      <c r="K848" s="69" t="str">
        <f>TEXT(ASTemp!K848,Decimals)</f>
        <v/>
      </c>
      <c r="L848" s="69" t="str">
        <f>TEXT(ASTemp!L848,Decimals)</f>
        <v/>
      </c>
      <c r="M848" s="71" t="str">
        <f>TEXT(ASTemp!M848,Percentages)</f>
        <v/>
      </c>
      <c r="N848" s="72" t="str">
        <f>TEXT(ASTemp!N848,Percentages)</f>
        <v/>
      </c>
    </row>
    <row r="849" ht="14.25" customHeight="1">
      <c r="B849" s="66" t="str">
        <f>ASTemp!B849</f>
        <v/>
      </c>
      <c r="C849" s="67" t="str">
        <f>ASTemp!C849</f>
        <v/>
      </c>
      <c r="D849" s="68" t="str">
        <f>ASTemp!D849</f>
        <v/>
      </c>
      <c r="E849" s="65" t="str">
        <f>ASTemp!E849</f>
        <v/>
      </c>
      <c r="F849" s="69" t="str">
        <f>TEXT(ASTemp!F849,Decimals)</f>
        <v/>
      </c>
      <c r="G849" s="69" t="str">
        <f>TEXT(ASTemp!G849,Decimals)</f>
        <v/>
      </c>
      <c r="H849" s="69" t="str">
        <f>TEXT(ASTemp!H849,Decimals)</f>
        <v/>
      </c>
      <c r="I849" s="69" t="str">
        <f>TEXT(ASTemp!I849,Decimals)</f>
        <v/>
      </c>
      <c r="J849" s="69" t="str">
        <f>TEXT(ASTemp!J849,Decimals)</f>
        <v/>
      </c>
      <c r="K849" s="69" t="str">
        <f>TEXT(ASTemp!K849,Decimals)</f>
        <v/>
      </c>
      <c r="L849" s="69" t="str">
        <f>TEXT(ASTemp!L849,Decimals)</f>
        <v/>
      </c>
      <c r="M849" s="71" t="str">
        <f>TEXT(ASTemp!M849,Percentages)</f>
        <v/>
      </c>
      <c r="N849" s="72" t="str">
        <f>TEXT(ASTemp!N849,Percentages)</f>
        <v/>
      </c>
    </row>
    <row r="850" ht="14.25" customHeight="1">
      <c r="B850" s="66" t="str">
        <f>ASTemp!B850</f>
        <v/>
      </c>
      <c r="C850" s="67" t="str">
        <f>ASTemp!C850</f>
        <v/>
      </c>
      <c r="D850" s="68" t="str">
        <f>ASTemp!D850</f>
        <v/>
      </c>
      <c r="E850" s="65" t="str">
        <f>ASTemp!E850</f>
        <v/>
      </c>
      <c r="F850" s="69" t="str">
        <f>TEXT(ASTemp!F850,Decimals)</f>
        <v/>
      </c>
      <c r="G850" s="69" t="str">
        <f>TEXT(ASTemp!G850,Decimals)</f>
        <v/>
      </c>
      <c r="H850" s="69" t="str">
        <f>TEXT(ASTemp!H850,Decimals)</f>
        <v/>
      </c>
      <c r="I850" s="69" t="str">
        <f>TEXT(ASTemp!I850,Decimals)</f>
        <v/>
      </c>
      <c r="J850" s="69" t="str">
        <f>TEXT(ASTemp!J850,Decimals)</f>
        <v/>
      </c>
      <c r="K850" s="69" t="str">
        <f>TEXT(ASTemp!K850,Decimals)</f>
        <v/>
      </c>
      <c r="L850" s="69" t="str">
        <f>TEXT(ASTemp!L850,Decimals)</f>
        <v/>
      </c>
      <c r="M850" s="71" t="str">
        <f>TEXT(ASTemp!M850,Percentages)</f>
        <v/>
      </c>
      <c r="N850" s="72" t="str">
        <f>TEXT(ASTemp!N850,Percentages)</f>
        <v/>
      </c>
    </row>
    <row r="851" ht="14.25" customHeight="1">
      <c r="B851" s="66" t="str">
        <f>ASTemp!B851</f>
        <v/>
      </c>
      <c r="C851" s="67" t="str">
        <f>ASTemp!C851</f>
        <v/>
      </c>
      <c r="D851" s="68" t="str">
        <f>ASTemp!D851</f>
        <v/>
      </c>
      <c r="E851" s="65" t="str">
        <f>ASTemp!E851</f>
        <v/>
      </c>
      <c r="F851" s="69" t="str">
        <f>TEXT(ASTemp!F851,Decimals)</f>
        <v/>
      </c>
      <c r="G851" s="69" t="str">
        <f>TEXT(ASTemp!G851,Decimals)</f>
        <v/>
      </c>
      <c r="H851" s="69" t="str">
        <f>TEXT(ASTemp!H851,Decimals)</f>
        <v/>
      </c>
      <c r="I851" s="69" t="str">
        <f>TEXT(ASTemp!I851,Decimals)</f>
        <v/>
      </c>
      <c r="J851" s="69" t="str">
        <f>TEXT(ASTemp!J851,Decimals)</f>
        <v/>
      </c>
      <c r="K851" s="69" t="str">
        <f>TEXT(ASTemp!K851,Decimals)</f>
        <v/>
      </c>
      <c r="L851" s="69" t="str">
        <f>TEXT(ASTemp!L851,Decimals)</f>
        <v/>
      </c>
      <c r="M851" s="71" t="str">
        <f>TEXT(ASTemp!M851,Percentages)</f>
        <v/>
      </c>
      <c r="N851" s="72" t="str">
        <f>TEXT(ASTemp!N851,Percentages)</f>
        <v/>
      </c>
    </row>
    <row r="852" ht="14.25" customHeight="1">
      <c r="B852" s="66" t="str">
        <f>ASTemp!B852</f>
        <v/>
      </c>
      <c r="C852" s="67" t="str">
        <f>ASTemp!C852</f>
        <v/>
      </c>
      <c r="D852" s="68" t="str">
        <f>ASTemp!D852</f>
        <v/>
      </c>
      <c r="E852" s="65" t="str">
        <f>ASTemp!E852</f>
        <v/>
      </c>
      <c r="F852" s="69" t="str">
        <f>TEXT(ASTemp!F852,Decimals)</f>
        <v/>
      </c>
      <c r="G852" s="69" t="str">
        <f>TEXT(ASTemp!G852,Decimals)</f>
        <v/>
      </c>
      <c r="H852" s="69" t="str">
        <f>TEXT(ASTemp!H852,Decimals)</f>
        <v/>
      </c>
      <c r="I852" s="69" t="str">
        <f>TEXT(ASTemp!I852,Decimals)</f>
        <v/>
      </c>
      <c r="J852" s="69" t="str">
        <f>TEXT(ASTemp!J852,Decimals)</f>
        <v/>
      </c>
      <c r="K852" s="69" t="str">
        <f>TEXT(ASTemp!K852,Decimals)</f>
        <v/>
      </c>
      <c r="L852" s="69" t="str">
        <f>TEXT(ASTemp!L852,Decimals)</f>
        <v/>
      </c>
      <c r="M852" s="71" t="str">
        <f>TEXT(ASTemp!M852,Percentages)</f>
        <v/>
      </c>
      <c r="N852" s="72" t="str">
        <f>TEXT(ASTemp!N852,Percentages)</f>
        <v/>
      </c>
    </row>
    <row r="853" ht="14.25" customHeight="1">
      <c r="B853" s="66" t="str">
        <f>ASTemp!B853</f>
        <v/>
      </c>
      <c r="C853" s="67" t="str">
        <f>ASTemp!C853</f>
        <v/>
      </c>
      <c r="D853" s="68" t="str">
        <f>ASTemp!D853</f>
        <v/>
      </c>
      <c r="E853" s="65" t="str">
        <f>ASTemp!E853</f>
        <v/>
      </c>
      <c r="F853" s="69" t="str">
        <f>TEXT(ASTemp!F853,Decimals)</f>
        <v/>
      </c>
      <c r="G853" s="69" t="str">
        <f>TEXT(ASTemp!G853,Decimals)</f>
        <v/>
      </c>
      <c r="H853" s="69" t="str">
        <f>TEXT(ASTemp!H853,Decimals)</f>
        <v/>
      </c>
      <c r="I853" s="69" t="str">
        <f>TEXT(ASTemp!I853,Decimals)</f>
        <v/>
      </c>
      <c r="J853" s="69" t="str">
        <f>TEXT(ASTemp!J853,Decimals)</f>
        <v/>
      </c>
      <c r="K853" s="69" t="str">
        <f>TEXT(ASTemp!K853,Decimals)</f>
        <v/>
      </c>
      <c r="L853" s="69" t="str">
        <f>TEXT(ASTemp!L853,Decimals)</f>
        <v/>
      </c>
      <c r="M853" s="71" t="str">
        <f>TEXT(ASTemp!M853,Percentages)</f>
        <v/>
      </c>
      <c r="N853" s="72" t="str">
        <f>TEXT(ASTemp!N853,Percentages)</f>
        <v/>
      </c>
    </row>
    <row r="854" ht="14.25" customHeight="1">
      <c r="B854" s="66" t="str">
        <f>ASTemp!B854</f>
        <v/>
      </c>
      <c r="C854" s="67" t="str">
        <f>ASTemp!C854</f>
        <v/>
      </c>
      <c r="D854" s="68" t="str">
        <f>ASTemp!D854</f>
        <v/>
      </c>
      <c r="E854" s="65" t="str">
        <f>ASTemp!E854</f>
        <v/>
      </c>
      <c r="F854" s="69" t="str">
        <f>TEXT(ASTemp!F854,Decimals)</f>
        <v/>
      </c>
      <c r="G854" s="69" t="str">
        <f>TEXT(ASTemp!G854,Decimals)</f>
        <v/>
      </c>
      <c r="H854" s="69" t="str">
        <f>TEXT(ASTemp!H854,Decimals)</f>
        <v/>
      </c>
      <c r="I854" s="69" t="str">
        <f>TEXT(ASTemp!I854,Decimals)</f>
        <v/>
      </c>
      <c r="J854" s="69" t="str">
        <f>TEXT(ASTemp!J854,Decimals)</f>
        <v/>
      </c>
      <c r="K854" s="69" t="str">
        <f>TEXT(ASTemp!K854,Decimals)</f>
        <v/>
      </c>
      <c r="L854" s="69" t="str">
        <f>TEXT(ASTemp!L854,Decimals)</f>
        <v/>
      </c>
      <c r="M854" s="71" t="str">
        <f>TEXT(ASTemp!M854,Percentages)</f>
        <v/>
      </c>
      <c r="N854" s="72" t="str">
        <f>TEXT(ASTemp!N854,Percentages)</f>
        <v/>
      </c>
    </row>
    <row r="855" ht="14.25" customHeight="1">
      <c r="B855" s="66" t="str">
        <f>ASTemp!B855</f>
        <v/>
      </c>
      <c r="C855" s="67" t="str">
        <f>ASTemp!C855</f>
        <v/>
      </c>
      <c r="D855" s="68" t="str">
        <f>ASTemp!D855</f>
        <v/>
      </c>
      <c r="E855" s="65" t="str">
        <f>ASTemp!E855</f>
        <v/>
      </c>
      <c r="F855" s="69" t="str">
        <f>TEXT(ASTemp!F855,Decimals)</f>
        <v/>
      </c>
      <c r="G855" s="69" t="str">
        <f>TEXT(ASTemp!G855,Decimals)</f>
        <v/>
      </c>
      <c r="H855" s="69" t="str">
        <f>TEXT(ASTemp!H855,Decimals)</f>
        <v/>
      </c>
      <c r="I855" s="69" t="str">
        <f>TEXT(ASTemp!I855,Decimals)</f>
        <v/>
      </c>
      <c r="J855" s="69" t="str">
        <f>TEXT(ASTemp!J855,Decimals)</f>
        <v/>
      </c>
      <c r="K855" s="69" t="str">
        <f>TEXT(ASTemp!K855,Decimals)</f>
        <v/>
      </c>
      <c r="L855" s="69" t="str">
        <f>TEXT(ASTemp!L855,Decimals)</f>
        <v/>
      </c>
      <c r="M855" s="71" t="str">
        <f>TEXT(ASTemp!M855,Percentages)</f>
        <v/>
      </c>
      <c r="N855" s="72" t="str">
        <f>TEXT(ASTemp!N855,Percentages)</f>
        <v/>
      </c>
    </row>
    <row r="856" ht="14.25" customHeight="1">
      <c r="B856" s="66" t="str">
        <f>ASTemp!B856</f>
        <v/>
      </c>
      <c r="C856" s="67" t="str">
        <f>ASTemp!C856</f>
        <v/>
      </c>
      <c r="D856" s="68" t="str">
        <f>ASTemp!D856</f>
        <v/>
      </c>
      <c r="E856" s="65" t="str">
        <f>ASTemp!E856</f>
        <v/>
      </c>
      <c r="F856" s="69" t="str">
        <f>TEXT(ASTemp!F856,Decimals)</f>
        <v/>
      </c>
      <c r="G856" s="69" t="str">
        <f>TEXT(ASTemp!G856,Decimals)</f>
        <v/>
      </c>
      <c r="H856" s="69" t="str">
        <f>TEXT(ASTemp!H856,Decimals)</f>
        <v/>
      </c>
      <c r="I856" s="69" t="str">
        <f>TEXT(ASTemp!I856,Decimals)</f>
        <v/>
      </c>
      <c r="J856" s="69" t="str">
        <f>TEXT(ASTemp!J856,Decimals)</f>
        <v/>
      </c>
      <c r="K856" s="69" t="str">
        <f>TEXT(ASTemp!K856,Decimals)</f>
        <v/>
      </c>
      <c r="L856" s="69" t="str">
        <f>TEXT(ASTemp!L856,Decimals)</f>
        <v/>
      </c>
      <c r="M856" s="71" t="str">
        <f>TEXT(ASTemp!M856,Percentages)</f>
        <v/>
      </c>
      <c r="N856" s="72" t="str">
        <f>TEXT(ASTemp!N856,Percentages)</f>
        <v/>
      </c>
    </row>
    <row r="857" ht="14.25" customHeight="1">
      <c r="B857" s="66" t="str">
        <f>ASTemp!B857</f>
        <v/>
      </c>
      <c r="C857" s="67" t="str">
        <f>ASTemp!C857</f>
        <v/>
      </c>
      <c r="D857" s="68" t="str">
        <f>ASTemp!D857</f>
        <v/>
      </c>
      <c r="E857" s="65" t="str">
        <f>ASTemp!E857</f>
        <v/>
      </c>
      <c r="F857" s="69" t="str">
        <f>TEXT(ASTemp!F857,Decimals)</f>
        <v/>
      </c>
      <c r="G857" s="69" t="str">
        <f>TEXT(ASTemp!G857,Decimals)</f>
        <v/>
      </c>
      <c r="H857" s="69" t="str">
        <f>TEXT(ASTemp!H857,Decimals)</f>
        <v/>
      </c>
      <c r="I857" s="69" t="str">
        <f>TEXT(ASTemp!I857,Decimals)</f>
        <v/>
      </c>
      <c r="J857" s="69" t="str">
        <f>TEXT(ASTemp!J857,Decimals)</f>
        <v/>
      </c>
      <c r="K857" s="69" t="str">
        <f>TEXT(ASTemp!K857,Decimals)</f>
        <v/>
      </c>
      <c r="L857" s="69" t="str">
        <f>TEXT(ASTemp!L857,Decimals)</f>
        <v/>
      </c>
      <c r="M857" s="71" t="str">
        <f>TEXT(ASTemp!M857,Percentages)</f>
        <v/>
      </c>
      <c r="N857" s="72" t="str">
        <f>TEXT(ASTemp!N857,Percentages)</f>
        <v/>
      </c>
    </row>
    <row r="858" ht="14.25" customHeight="1">
      <c r="B858" s="66" t="str">
        <f>ASTemp!B858</f>
        <v/>
      </c>
      <c r="C858" s="67" t="str">
        <f>ASTemp!C858</f>
        <v/>
      </c>
      <c r="D858" s="68" t="str">
        <f>ASTemp!D858</f>
        <v/>
      </c>
      <c r="E858" s="65" t="str">
        <f>ASTemp!E858</f>
        <v/>
      </c>
      <c r="F858" s="69" t="str">
        <f>TEXT(ASTemp!F858,Decimals)</f>
        <v/>
      </c>
      <c r="G858" s="69" t="str">
        <f>TEXT(ASTemp!G858,Decimals)</f>
        <v/>
      </c>
      <c r="H858" s="69" t="str">
        <f>TEXT(ASTemp!H858,Decimals)</f>
        <v/>
      </c>
      <c r="I858" s="69" t="str">
        <f>TEXT(ASTemp!I858,Decimals)</f>
        <v/>
      </c>
      <c r="J858" s="69" t="str">
        <f>TEXT(ASTemp!J858,Decimals)</f>
        <v/>
      </c>
      <c r="K858" s="69" t="str">
        <f>TEXT(ASTemp!K858,Decimals)</f>
        <v/>
      </c>
      <c r="L858" s="69" t="str">
        <f>TEXT(ASTemp!L858,Decimals)</f>
        <v/>
      </c>
      <c r="M858" s="71" t="str">
        <f>TEXT(ASTemp!M858,Percentages)</f>
        <v/>
      </c>
      <c r="N858" s="72" t="str">
        <f>TEXT(ASTemp!N858,Percentages)</f>
        <v/>
      </c>
    </row>
    <row r="859" ht="14.25" customHeight="1">
      <c r="B859" s="66" t="str">
        <f>ASTemp!B859</f>
        <v/>
      </c>
      <c r="C859" s="67" t="str">
        <f>ASTemp!C859</f>
        <v/>
      </c>
      <c r="D859" s="68" t="str">
        <f>ASTemp!D859</f>
        <v/>
      </c>
      <c r="E859" s="65" t="str">
        <f>ASTemp!E859</f>
        <v/>
      </c>
      <c r="F859" s="69" t="str">
        <f>TEXT(ASTemp!F859,Decimals)</f>
        <v/>
      </c>
      <c r="G859" s="69" t="str">
        <f>TEXT(ASTemp!G859,Decimals)</f>
        <v/>
      </c>
      <c r="H859" s="69" t="str">
        <f>TEXT(ASTemp!H859,Decimals)</f>
        <v/>
      </c>
      <c r="I859" s="69" t="str">
        <f>TEXT(ASTemp!I859,Decimals)</f>
        <v/>
      </c>
      <c r="J859" s="69" t="str">
        <f>TEXT(ASTemp!J859,Decimals)</f>
        <v/>
      </c>
      <c r="K859" s="69" t="str">
        <f>TEXT(ASTemp!K859,Decimals)</f>
        <v/>
      </c>
      <c r="L859" s="69" t="str">
        <f>TEXT(ASTemp!L859,Decimals)</f>
        <v/>
      </c>
      <c r="M859" s="71" t="str">
        <f>TEXT(ASTemp!M859,Percentages)</f>
        <v/>
      </c>
      <c r="N859" s="72" t="str">
        <f>TEXT(ASTemp!N859,Percentages)</f>
        <v/>
      </c>
    </row>
    <row r="860" ht="14.25" customHeight="1">
      <c r="B860" s="66" t="str">
        <f>ASTemp!B860</f>
        <v/>
      </c>
      <c r="C860" s="67" t="str">
        <f>ASTemp!C860</f>
        <v/>
      </c>
      <c r="D860" s="68" t="str">
        <f>ASTemp!D860</f>
        <v/>
      </c>
      <c r="E860" s="65" t="str">
        <f>ASTemp!E860</f>
        <v/>
      </c>
      <c r="F860" s="69" t="str">
        <f>TEXT(ASTemp!F860,Decimals)</f>
        <v/>
      </c>
      <c r="G860" s="69" t="str">
        <f>TEXT(ASTemp!G860,Decimals)</f>
        <v/>
      </c>
      <c r="H860" s="69" t="str">
        <f>TEXT(ASTemp!H860,Decimals)</f>
        <v/>
      </c>
      <c r="I860" s="69" t="str">
        <f>TEXT(ASTemp!I860,Decimals)</f>
        <v/>
      </c>
      <c r="J860" s="69" t="str">
        <f>TEXT(ASTemp!J860,Decimals)</f>
        <v/>
      </c>
      <c r="K860" s="69" t="str">
        <f>TEXT(ASTemp!K860,Decimals)</f>
        <v/>
      </c>
      <c r="L860" s="69" t="str">
        <f>TEXT(ASTemp!L860,Decimals)</f>
        <v/>
      </c>
      <c r="M860" s="71" t="str">
        <f>TEXT(ASTemp!M860,Percentages)</f>
        <v/>
      </c>
      <c r="N860" s="72" t="str">
        <f>TEXT(ASTemp!N860,Percentages)</f>
        <v/>
      </c>
    </row>
    <row r="861" ht="14.25" customHeight="1">
      <c r="B861" s="66" t="str">
        <f>ASTemp!B861</f>
        <v/>
      </c>
      <c r="C861" s="67" t="str">
        <f>ASTemp!C861</f>
        <v/>
      </c>
      <c r="D861" s="68" t="str">
        <f>ASTemp!D861</f>
        <v/>
      </c>
      <c r="E861" s="65" t="str">
        <f>ASTemp!E861</f>
        <v/>
      </c>
      <c r="F861" s="69" t="str">
        <f>TEXT(ASTemp!F861,Decimals)</f>
        <v/>
      </c>
      <c r="G861" s="69" t="str">
        <f>TEXT(ASTemp!G861,Decimals)</f>
        <v/>
      </c>
      <c r="H861" s="69" t="str">
        <f>TEXT(ASTemp!H861,Decimals)</f>
        <v/>
      </c>
      <c r="I861" s="69" t="str">
        <f>TEXT(ASTemp!I861,Decimals)</f>
        <v/>
      </c>
      <c r="J861" s="69" t="str">
        <f>TEXT(ASTemp!J861,Decimals)</f>
        <v/>
      </c>
      <c r="K861" s="69" t="str">
        <f>TEXT(ASTemp!K861,Decimals)</f>
        <v/>
      </c>
      <c r="L861" s="69" t="str">
        <f>TEXT(ASTemp!L861,Decimals)</f>
        <v/>
      </c>
      <c r="M861" s="71" t="str">
        <f>TEXT(ASTemp!M861,Percentages)</f>
        <v/>
      </c>
      <c r="N861" s="72" t="str">
        <f>TEXT(ASTemp!N861,Percentages)</f>
        <v/>
      </c>
    </row>
    <row r="862" ht="14.25" customHeight="1">
      <c r="B862" s="66" t="str">
        <f>ASTemp!B862</f>
        <v/>
      </c>
      <c r="C862" s="67" t="str">
        <f>ASTemp!C862</f>
        <v/>
      </c>
      <c r="D862" s="68" t="str">
        <f>ASTemp!D862</f>
        <v/>
      </c>
      <c r="E862" s="65" t="str">
        <f>ASTemp!E862</f>
        <v/>
      </c>
      <c r="F862" s="69" t="str">
        <f>TEXT(ASTemp!F862,Decimals)</f>
        <v/>
      </c>
      <c r="G862" s="69" t="str">
        <f>TEXT(ASTemp!G862,Decimals)</f>
        <v/>
      </c>
      <c r="H862" s="69" t="str">
        <f>TEXT(ASTemp!H862,Decimals)</f>
        <v/>
      </c>
      <c r="I862" s="69" t="str">
        <f>TEXT(ASTemp!I862,Decimals)</f>
        <v/>
      </c>
      <c r="J862" s="69" t="str">
        <f>TEXT(ASTemp!J862,Decimals)</f>
        <v/>
      </c>
      <c r="K862" s="69" t="str">
        <f>TEXT(ASTemp!K862,Decimals)</f>
        <v/>
      </c>
      <c r="L862" s="69" t="str">
        <f>TEXT(ASTemp!L862,Decimals)</f>
        <v/>
      </c>
      <c r="M862" s="71" t="str">
        <f>TEXT(ASTemp!M862,Percentages)</f>
        <v/>
      </c>
      <c r="N862" s="72" t="str">
        <f>TEXT(ASTemp!N862,Percentages)</f>
        <v/>
      </c>
    </row>
    <row r="863" ht="14.25" customHeight="1">
      <c r="B863" s="66" t="str">
        <f>ASTemp!B863</f>
        <v/>
      </c>
      <c r="C863" s="67" t="str">
        <f>ASTemp!C863</f>
        <v/>
      </c>
      <c r="D863" s="68" t="str">
        <f>ASTemp!D863</f>
        <v/>
      </c>
      <c r="E863" s="65" t="str">
        <f>ASTemp!E863</f>
        <v/>
      </c>
      <c r="F863" s="69" t="str">
        <f>TEXT(ASTemp!F863,Decimals)</f>
        <v/>
      </c>
      <c r="G863" s="69" t="str">
        <f>TEXT(ASTemp!G863,Decimals)</f>
        <v/>
      </c>
      <c r="H863" s="69" t="str">
        <f>TEXT(ASTemp!H863,Decimals)</f>
        <v/>
      </c>
      <c r="I863" s="69" t="str">
        <f>TEXT(ASTemp!I863,Decimals)</f>
        <v/>
      </c>
      <c r="J863" s="69" t="str">
        <f>TEXT(ASTemp!J863,Decimals)</f>
        <v/>
      </c>
      <c r="K863" s="69" t="str">
        <f>TEXT(ASTemp!K863,Decimals)</f>
        <v/>
      </c>
      <c r="L863" s="69" t="str">
        <f>TEXT(ASTemp!L863,Decimals)</f>
        <v/>
      </c>
      <c r="M863" s="71" t="str">
        <f>TEXT(ASTemp!M863,Percentages)</f>
        <v/>
      </c>
      <c r="N863" s="72" t="str">
        <f>TEXT(ASTemp!N863,Percentages)</f>
        <v/>
      </c>
    </row>
    <row r="864" ht="14.25" customHeight="1">
      <c r="B864" s="66" t="str">
        <f>ASTemp!B864</f>
        <v/>
      </c>
      <c r="C864" s="67" t="str">
        <f>ASTemp!C864</f>
        <v/>
      </c>
      <c r="D864" s="68" t="str">
        <f>ASTemp!D864</f>
        <v/>
      </c>
      <c r="E864" s="65" t="str">
        <f>ASTemp!E864</f>
        <v/>
      </c>
      <c r="F864" s="69" t="str">
        <f>TEXT(ASTemp!F864,Decimals)</f>
        <v/>
      </c>
      <c r="G864" s="69" t="str">
        <f>TEXT(ASTemp!G864,Decimals)</f>
        <v/>
      </c>
      <c r="H864" s="69" t="str">
        <f>TEXT(ASTemp!H864,Decimals)</f>
        <v/>
      </c>
      <c r="I864" s="69" t="str">
        <f>TEXT(ASTemp!I864,Decimals)</f>
        <v/>
      </c>
      <c r="J864" s="69" t="str">
        <f>TEXT(ASTemp!J864,Decimals)</f>
        <v/>
      </c>
      <c r="K864" s="69" t="str">
        <f>TEXT(ASTemp!K864,Decimals)</f>
        <v/>
      </c>
      <c r="L864" s="69" t="str">
        <f>TEXT(ASTemp!L864,Decimals)</f>
        <v/>
      </c>
      <c r="M864" s="71" t="str">
        <f>TEXT(ASTemp!M864,Percentages)</f>
        <v/>
      </c>
      <c r="N864" s="72" t="str">
        <f>TEXT(ASTemp!N864,Percentages)</f>
        <v/>
      </c>
    </row>
    <row r="865" ht="14.25" customHeight="1">
      <c r="B865" s="66" t="str">
        <f>ASTemp!B865</f>
        <v/>
      </c>
      <c r="C865" s="67" t="str">
        <f>ASTemp!C865</f>
        <v/>
      </c>
      <c r="D865" s="68" t="str">
        <f>ASTemp!D865</f>
        <v/>
      </c>
      <c r="E865" s="65" t="str">
        <f>ASTemp!E865</f>
        <v/>
      </c>
      <c r="F865" s="69" t="str">
        <f>TEXT(ASTemp!F865,Decimals)</f>
        <v/>
      </c>
      <c r="G865" s="69" t="str">
        <f>TEXT(ASTemp!G865,Decimals)</f>
        <v/>
      </c>
      <c r="H865" s="69" t="str">
        <f>TEXT(ASTemp!H865,Decimals)</f>
        <v/>
      </c>
      <c r="I865" s="69" t="str">
        <f>TEXT(ASTemp!I865,Decimals)</f>
        <v/>
      </c>
      <c r="J865" s="69" t="str">
        <f>TEXT(ASTemp!J865,Decimals)</f>
        <v/>
      </c>
      <c r="K865" s="69" t="str">
        <f>TEXT(ASTemp!K865,Decimals)</f>
        <v/>
      </c>
      <c r="L865" s="69" t="str">
        <f>TEXT(ASTemp!L865,Decimals)</f>
        <v/>
      </c>
      <c r="M865" s="71" t="str">
        <f>TEXT(ASTemp!M865,Percentages)</f>
        <v/>
      </c>
      <c r="N865" s="72" t="str">
        <f>TEXT(ASTemp!N865,Percentages)</f>
        <v/>
      </c>
    </row>
    <row r="866" ht="14.25" customHeight="1">
      <c r="B866" s="66" t="str">
        <f>ASTemp!B866</f>
        <v/>
      </c>
      <c r="C866" s="67" t="str">
        <f>ASTemp!C866</f>
        <v/>
      </c>
      <c r="D866" s="68" t="str">
        <f>ASTemp!D866</f>
        <v/>
      </c>
      <c r="E866" s="65" t="str">
        <f>ASTemp!E866</f>
        <v/>
      </c>
      <c r="F866" s="69" t="str">
        <f>TEXT(ASTemp!F866,Decimals)</f>
        <v/>
      </c>
      <c r="G866" s="69" t="str">
        <f>TEXT(ASTemp!G866,Decimals)</f>
        <v/>
      </c>
      <c r="H866" s="69" t="str">
        <f>TEXT(ASTemp!H866,Decimals)</f>
        <v/>
      </c>
      <c r="I866" s="69" t="str">
        <f>TEXT(ASTemp!I866,Decimals)</f>
        <v/>
      </c>
      <c r="J866" s="69" t="str">
        <f>TEXT(ASTemp!J866,Decimals)</f>
        <v/>
      </c>
      <c r="K866" s="69" t="str">
        <f>TEXT(ASTemp!K866,Decimals)</f>
        <v/>
      </c>
      <c r="L866" s="69" t="str">
        <f>TEXT(ASTemp!L866,Decimals)</f>
        <v/>
      </c>
      <c r="M866" s="71" t="str">
        <f>TEXT(ASTemp!M866,Percentages)</f>
        <v/>
      </c>
      <c r="N866" s="72" t="str">
        <f>TEXT(ASTemp!N866,Percentages)</f>
        <v/>
      </c>
    </row>
    <row r="867" ht="14.25" customHeight="1">
      <c r="B867" s="66" t="str">
        <f>ASTemp!B867</f>
        <v/>
      </c>
      <c r="C867" s="67" t="str">
        <f>ASTemp!C867</f>
        <v/>
      </c>
      <c r="D867" s="68" t="str">
        <f>ASTemp!D867</f>
        <v/>
      </c>
      <c r="E867" s="65" t="str">
        <f>ASTemp!E867</f>
        <v/>
      </c>
      <c r="F867" s="69" t="str">
        <f>TEXT(ASTemp!F867,Decimals)</f>
        <v/>
      </c>
      <c r="G867" s="69" t="str">
        <f>TEXT(ASTemp!G867,Decimals)</f>
        <v/>
      </c>
      <c r="H867" s="69" t="str">
        <f>TEXT(ASTemp!H867,Decimals)</f>
        <v/>
      </c>
      <c r="I867" s="69" t="str">
        <f>TEXT(ASTemp!I867,Decimals)</f>
        <v/>
      </c>
      <c r="J867" s="69" t="str">
        <f>TEXT(ASTemp!J867,Decimals)</f>
        <v/>
      </c>
      <c r="K867" s="69" t="str">
        <f>TEXT(ASTemp!K867,Decimals)</f>
        <v/>
      </c>
      <c r="L867" s="69" t="str">
        <f>TEXT(ASTemp!L867,Decimals)</f>
        <v/>
      </c>
      <c r="M867" s="71" t="str">
        <f>TEXT(ASTemp!M867,Percentages)</f>
        <v/>
      </c>
      <c r="N867" s="72" t="str">
        <f>TEXT(ASTemp!N867,Percentages)</f>
        <v/>
      </c>
    </row>
    <row r="868" ht="14.25" customHeight="1">
      <c r="B868" s="66" t="str">
        <f>ASTemp!B868</f>
        <v/>
      </c>
      <c r="C868" s="67" t="str">
        <f>ASTemp!C868</f>
        <v/>
      </c>
      <c r="D868" s="68" t="str">
        <f>ASTemp!D868</f>
        <v/>
      </c>
      <c r="E868" s="65" t="str">
        <f>ASTemp!E868</f>
        <v/>
      </c>
      <c r="F868" s="69" t="str">
        <f>TEXT(ASTemp!F868,Decimals)</f>
        <v/>
      </c>
      <c r="G868" s="69" t="str">
        <f>TEXT(ASTemp!G868,Decimals)</f>
        <v/>
      </c>
      <c r="H868" s="69" t="str">
        <f>TEXT(ASTemp!H868,Decimals)</f>
        <v/>
      </c>
      <c r="I868" s="69" t="str">
        <f>TEXT(ASTemp!I868,Decimals)</f>
        <v/>
      </c>
      <c r="J868" s="69" t="str">
        <f>TEXT(ASTemp!J868,Decimals)</f>
        <v/>
      </c>
      <c r="K868" s="69" t="str">
        <f>TEXT(ASTemp!K868,Decimals)</f>
        <v/>
      </c>
      <c r="L868" s="69" t="str">
        <f>TEXT(ASTemp!L868,Decimals)</f>
        <v/>
      </c>
      <c r="M868" s="71" t="str">
        <f>TEXT(ASTemp!M868,Percentages)</f>
        <v/>
      </c>
      <c r="N868" s="72" t="str">
        <f>TEXT(ASTemp!N868,Percentages)</f>
        <v/>
      </c>
    </row>
    <row r="869" ht="14.25" customHeight="1">
      <c r="B869" s="66" t="str">
        <f>ASTemp!B869</f>
        <v/>
      </c>
      <c r="C869" s="67" t="str">
        <f>ASTemp!C869</f>
        <v/>
      </c>
      <c r="D869" s="68" t="str">
        <f>ASTemp!D869</f>
        <v/>
      </c>
      <c r="E869" s="65" t="str">
        <f>ASTemp!E869</f>
        <v/>
      </c>
      <c r="F869" s="69" t="str">
        <f>TEXT(ASTemp!F869,Decimals)</f>
        <v/>
      </c>
      <c r="G869" s="69" t="str">
        <f>TEXT(ASTemp!G869,Decimals)</f>
        <v/>
      </c>
      <c r="H869" s="69" t="str">
        <f>TEXT(ASTemp!H869,Decimals)</f>
        <v/>
      </c>
      <c r="I869" s="69" t="str">
        <f>TEXT(ASTemp!I869,Decimals)</f>
        <v/>
      </c>
      <c r="J869" s="69" t="str">
        <f>TEXT(ASTemp!J869,Decimals)</f>
        <v/>
      </c>
      <c r="K869" s="69" t="str">
        <f>TEXT(ASTemp!K869,Decimals)</f>
        <v/>
      </c>
      <c r="L869" s="69" t="str">
        <f>TEXT(ASTemp!L869,Decimals)</f>
        <v/>
      </c>
      <c r="M869" s="71" t="str">
        <f>TEXT(ASTemp!M869,Percentages)</f>
        <v/>
      </c>
      <c r="N869" s="72" t="str">
        <f>TEXT(ASTemp!N869,Percentages)</f>
        <v/>
      </c>
    </row>
    <row r="870" ht="14.25" customHeight="1">
      <c r="B870" s="66" t="str">
        <f>ASTemp!B870</f>
        <v/>
      </c>
      <c r="C870" s="67" t="str">
        <f>ASTemp!C870</f>
        <v/>
      </c>
      <c r="D870" s="68" t="str">
        <f>ASTemp!D870</f>
        <v/>
      </c>
      <c r="E870" s="65" t="str">
        <f>ASTemp!E870</f>
        <v/>
      </c>
      <c r="F870" s="69" t="str">
        <f>TEXT(ASTemp!F870,Decimals)</f>
        <v/>
      </c>
      <c r="G870" s="69" t="str">
        <f>TEXT(ASTemp!G870,Decimals)</f>
        <v/>
      </c>
      <c r="H870" s="69" t="str">
        <f>TEXT(ASTemp!H870,Decimals)</f>
        <v/>
      </c>
      <c r="I870" s="69" t="str">
        <f>TEXT(ASTemp!I870,Decimals)</f>
        <v/>
      </c>
      <c r="J870" s="69" t="str">
        <f>TEXT(ASTemp!J870,Decimals)</f>
        <v/>
      </c>
      <c r="K870" s="69" t="str">
        <f>TEXT(ASTemp!K870,Decimals)</f>
        <v/>
      </c>
      <c r="L870" s="69" t="str">
        <f>TEXT(ASTemp!L870,Decimals)</f>
        <v/>
      </c>
      <c r="M870" s="71" t="str">
        <f>TEXT(ASTemp!M870,Percentages)</f>
        <v/>
      </c>
      <c r="N870" s="72" t="str">
        <f>TEXT(ASTemp!N870,Percentages)</f>
        <v/>
      </c>
    </row>
    <row r="871" ht="14.25" customHeight="1">
      <c r="B871" s="66" t="str">
        <f>ASTemp!B871</f>
        <v/>
      </c>
      <c r="C871" s="67" t="str">
        <f>ASTemp!C871</f>
        <v/>
      </c>
      <c r="D871" s="68" t="str">
        <f>ASTemp!D871</f>
        <v/>
      </c>
      <c r="E871" s="65" t="str">
        <f>ASTemp!E871</f>
        <v/>
      </c>
      <c r="F871" s="69" t="str">
        <f>TEXT(ASTemp!F871,Decimals)</f>
        <v/>
      </c>
      <c r="G871" s="69" t="str">
        <f>TEXT(ASTemp!G871,Decimals)</f>
        <v/>
      </c>
      <c r="H871" s="69" t="str">
        <f>TEXT(ASTemp!H871,Decimals)</f>
        <v/>
      </c>
      <c r="I871" s="69" t="str">
        <f>TEXT(ASTemp!I871,Decimals)</f>
        <v/>
      </c>
      <c r="J871" s="69" t="str">
        <f>TEXT(ASTemp!J871,Decimals)</f>
        <v/>
      </c>
      <c r="K871" s="69" t="str">
        <f>TEXT(ASTemp!K871,Decimals)</f>
        <v/>
      </c>
      <c r="L871" s="69" t="str">
        <f>TEXT(ASTemp!L871,Decimals)</f>
        <v/>
      </c>
      <c r="M871" s="71" t="str">
        <f>TEXT(ASTemp!M871,Percentages)</f>
        <v/>
      </c>
      <c r="N871" s="72" t="str">
        <f>TEXT(ASTemp!N871,Percentages)</f>
        <v/>
      </c>
    </row>
    <row r="872" ht="14.25" customHeight="1">
      <c r="B872" s="66" t="str">
        <f>ASTemp!B872</f>
        <v/>
      </c>
      <c r="C872" s="67" t="str">
        <f>ASTemp!C872</f>
        <v/>
      </c>
      <c r="D872" s="68" t="str">
        <f>ASTemp!D872</f>
        <v/>
      </c>
      <c r="E872" s="65" t="str">
        <f>ASTemp!E872</f>
        <v/>
      </c>
      <c r="F872" s="69" t="str">
        <f>TEXT(ASTemp!F872,Decimals)</f>
        <v/>
      </c>
      <c r="G872" s="69" t="str">
        <f>TEXT(ASTemp!G872,Decimals)</f>
        <v/>
      </c>
      <c r="H872" s="69" t="str">
        <f>TEXT(ASTemp!H872,Decimals)</f>
        <v/>
      </c>
      <c r="I872" s="69" t="str">
        <f>TEXT(ASTemp!I872,Decimals)</f>
        <v/>
      </c>
      <c r="J872" s="69" t="str">
        <f>TEXT(ASTemp!J872,Decimals)</f>
        <v/>
      </c>
      <c r="K872" s="69" t="str">
        <f>TEXT(ASTemp!K872,Decimals)</f>
        <v/>
      </c>
      <c r="L872" s="69" t="str">
        <f>TEXT(ASTemp!L872,Decimals)</f>
        <v/>
      </c>
      <c r="M872" s="71" t="str">
        <f>TEXT(ASTemp!M872,Percentages)</f>
        <v/>
      </c>
      <c r="N872" s="72" t="str">
        <f>TEXT(ASTemp!N872,Percentages)</f>
        <v/>
      </c>
    </row>
    <row r="873" ht="14.25" customHeight="1">
      <c r="B873" s="66" t="str">
        <f>ASTemp!B873</f>
        <v/>
      </c>
      <c r="C873" s="67" t="str">
        <f>ASTemp!C873</f>
        <v/>
      </c>
      <c r="D873" s="68" t="str">
        <f>ASTemp!D873</f>
        <v/>
      </c>
      <c r="E873" s="65" t="str">
        <f>ASTemp!E873</f>
        <v/>
      </c>
      <c r="F873" s="69" t="str">
        <f>TEXT(ASTemp!F873,Decimals)</f>
        <v/>
      </c>
      <c r="G873" s="69" t="str">
        <f>TEXT(ASTemp!G873,Decimals)</f>
        <v/>
      </c>
      <c r="H873" s="69" t="str">
        <f>TEXT(ASTemp!H873,Decimals)</f>
        <v/>
      </c>
      <c r="I873" s="69" t="str">
        <f>TEXT(ASTemp!I873,Decimals)</f>
        <v/>
      </c>
      <c r="J873" s="69" t="str">
        <f>TEXT(ASTemp!J873,Decimals)</f>
        <v/>
      </c>
      <c r="K873" s="69" t="str">
        <f>TEXT(ASTemp!K873,Decimals)</f>
        <v/>
      </c>
      <c r="L873" s="69" t="str">
        <f>TEXT(ASTemp!L873,Decimals)</f>
        <v/>
      </c>
      <c r="M873" s="71" t="str">
        <f>TEXT(ASTemp!M873,Percentages)</f>
        <v/>
      </c>
      <c r="N873" s="72" t="str">
        <f>TEXT(ASTemp!N873,Percentages)</f>
        <v/>
      </c>
    </row>
    <row r="874" ht="14.25" customHeight="1">
      <c r="B874" s="66" t="str">
        <f>ASTemp!B874</f>
        <v/>
      </c>
      <c r="C874" s="67" t="str">
        <f>ASTemp!C874</f>
        <v/>
      </c>
      <c r="D874" s="68" t="str">
        <f>ASTemp!D874</f>
        <v/>
      </c>
      <c r="E874" s="65" t="str">
        <f>ASTemp!E874</f>
        <v/>
      </c>
      <c r="F874" s="69" t="str">
        <f>TEXT(ASTemp!F874,Decimals)</f>
        <v/>
      </c>
      <c r="G874" s="69" t="str">
        <f>TEXT(ASTemp!G874,Decimals)</f>
        <v/>
      </c>
      <c r="H874" s="69" t="str">
        <f>TEXT(ASTemp!H874,Decimals)</f>
        <v/>
      </c>
      <c r="I874" s="69" t="str">
        <f>TEXT(ASTemp!I874,Decimals)</f>
        <v/>
      </c>
      <c r="J874" s="69" t="str">
        <f>TEXT(ASTemp!J874,Decimals)</f>
        <v/>
      </c>
      <c r="K874" s="69" t="str">
        <f>TEXT(ASTemp!K874,Decimals)</f>
        <v/>
      </c>
      <c r="L874" s="69" t="str">
        <f>TEXT(ASTemp!L874,Decimals)</f>
        <v/>
      </c>
      <c r="M874" s="71" t="str">
        <f>TEXT(ASTemp!M874,Percentages)</f>
        <v/>
      </c>
      <c r="N874" s="72" t="str">
        <f>TEXT(ASTemp!N874,Percentages)</f>
        <v/>
      </c>
    </row>
    <row r="875" ht="14.25" customHeight="1">
      <c r="B875" s="66" t="str">
        <f>ASTemp!B875</f>
        <v/>
      </c>
      <c r="C875" s="67" t="str">
        <f>ASTemp!C875</f>
        <v/>
      </c>
      <c r="D875" s="68" t="str">
        <f>ASTemp!D875</f>
        <v/>
      </c>
      <c r="E875" s="65" t="str">
        <f>ASTemp!E875</f>
        <v/>
      </c>
      <c r="F875" s="69" t="str">
        <f>TEXT(ASTemp!F875,Decimals)</f>
        <v/>
      </c>
      <c r="G875" s="69" t="str">
        <f>TEXT(ASTemp!G875,Decimals)</f>
        <v/>
      </c>
      <c r="H875" s="69" t="str">
        <f>TEXT(ASTemp!H875,Decimals)</f>
        <v/>
      </c>
      <c r="I875" s="69" t="str">
        <f>TEXT(ASTemp!I875,Decimals)</f>
        <v/>
      </c>
      <c r="J875" s="69" t="str">
        <f>TEXT(ASTemp!J875,Decimals)</f>
        <v/>
      </c>
      <c r="K875" s="69" t="str">
        <f>TEXT(ASTemp!K875,Decimals)</f>
        <v/>
      </c>
      <c r="L875" s="69" t="str">
        <f>TEXT(ASTemp!L875,Decimals)</f>
        <v/>
      </c>
      <c r="M875" s="71" t="str">
        <f>TEXT(ASTemp!M875,Percentages)</f>
        <v/>
      </c>
      <c r="N875" s="72" t="str">
        <f>TEXT(ASTemp!N875,Percentages)</f>
        <v/>
      </c>
    </row>
    <row r="876" ht="14.25" customHeight="1">
      <c r="B876" s="66" t="str">
        <f>ASTemp!B876</f>
        <v/>
      </c>
      <c r="C876" s="67" t="str">
        <f>ASTemp!C876</f>
        <v/>
      </c>
      <c r="D876" s="68" t="str">
        <f>ASTemp!D876</f>
        <v/>
      </c>
      <c r="E876" s="65" t="str">
        <f>ASTemp!E876</f>
        <v/>
      </c>
      <c r="F876" s="69" t="str">
        <f>TEXT(ASTemp!F876,Decimals)</f>
        <v/>
      </c>
      <c r="G876" s="69" t="str">
        <f>TEXT(ASTemp!G876,Decimals)</f>
        <v/>
      </c>
      <c r="H876" s="69" t="str">
        <f>TEXT(ASTemp!H876,Decimals)</f>
        <v/>
      </c>
      <c r="I876" s="69" t="str">
        <f>TEXT(ASTemp!I876,Decimals)</f>
        <v/>
      </c>
      <c r="J876" s="69" t="str">
        <f>TEXT(ASTemp!J876,Decimals)</f>
        <v/>
      </c>
      <c r="K876" s="69" t="str">
        <f>TEXT(ASTemp!K876,Decimals)</f>
        <v/>
      </c>
      <c r="L876" s="69" t="str">
        <f>TEXT(ASTemp!L876,Decimals)</f>
        <v/>
      </c>
      <c r="M876" s="71" t="str">
        <f>TEXT(ASTemp!M876,Percentages)</f>
        <v/>
      </c>
      <c r="N876" s="72" t="str">
        <f>TEXT(ASTemp!N876,Percentages)</f>
        <v/>
      </c>
    </row>
    <row r="877" ht="14.25" customHeight="1">
      <c r="B877" s="66" t="str">
        <f>ASTemp!B877</f>
        <v/>
      </c>
      <c r="C877" s="67" t="str">
        <f>ASTemp!C877</f>
        <v/>
      </c>
      <c r="D877" s="68" t="str">
        <f>ASTemp!D877</f>
        <v/>
      </c>
      <c r="E877" s="65" t="str">
        <f>ASTemp!E877</f>
        <v/>
      </c>
      <c r="F877" s="69" t="str">
        <f>TEXT(ASTemp!F877,Decimals)</f>
        <v/>
      </c>
      <c r="G877" s="69" t="str">
        <f>TEXT(ASTemp!G877,Decimals)</f>
        <v/>
      </c>
      <c r="H877" s="69" t="str">
        <f>TEXT(ASTemp!H877,Decimals)</f>
        <v/>
      </c>
      <c r="I877" s="69" t="str">
        <f>TEXT(ASTemp!I877,Decimals)</f>
        <v/>
      </c>
      <c r="J877" s="69" t="str">
        <f>TEXT(ASTemp!J877,Decimals)</f>
        <v/>
      </c>
      <c r="K877" s="69" t="str">
        <f>TEXT(ASTemp!K877,Decimals)</f>
        <v/>
      </c>
      <c r="L877" s="69" t="str">
        <f>TEXT(ASTemp!L877,Decimals)</f>
        <v/>
      </c>
      <c r="M877" s="71" t="str">
        <f>TEXT(ASTemp!M877,Percentages)</f>
        <v/>
      </c>
      <c r="N877" s="72" t="str">
        <f>TEXT(ASTemp!N877,Percentages)</f>
        <v/>
      </c>
    </row>
    <row r="878" ht="14.25" customHeight="1">
      <c r="B878" s="66" t="str">
        <f>ASTemp!B878</f>
        <v/>
      </c>
      <c r="C878" s="67" t="str">
        <f>ASTemp!C878</f>
        <v/>
      </c>
      <c r="D878" s="68" t="str">
        <f>ASTemp!D878</f>
        <v/>
      </c>
      <c r="E878" s="65" t="str">
        <f>ASTemp!E878</f>
        <v/>
      </c>
      <c r="F878" s="69" t="str">
        <f>TEXT(ASTemp!F878,Decimals)</f>
        <v/>
      </c>
      <c r="G878" s="69" t="str">
        <f>TEXT(ASTemp!G878,Decimals)</f>
        <v/>
      </c>
      <c r="H878" s="69" t="str">
        <f>TEXT(ASTemp!H878,Decimals)</f>
        <v/>
      </c>
      <c r="I878" s="69" t="str">
        <f>TEXT(ASTemp!I878,Decimals)</f>
        <v/>
      </c>
      <c r="J878" s="69" t="str">
        <f>TEXT(ASTemp!J878,Decimals)</f>
        <v/>
      </c>
      <c r="K878" s="69" t="str">
        <f>TEXT(ASTemp!K878,Decimals)</f>
        <v/>
      </c>
      <c r="L878" s="69" t="str">
        <f>TEXT(ASTemp!L878,Decimals)</f>
        <v/>
      </c>
      <c r="M878" s="71" t="str">
        <f>TEXT(ASTemp!M878,Percentages)</f>
        <v/>
      </c>
      <c r="N878" s="72" t="str">
        <f>TEXT(ASTemp!N878,Percentages)</f>
        <v/>
      </c>
    </row>
    <row r="879" ht="14.25" customHeight="1">
      <c r="B879" s="66" t="str">
        <f>ASTemp!B879</f>
        <v/>
      </c>
      <c r="C879" s="67" t="str">
        <f>ASTemp!C879</f>
        <v/>
      </c>
      <c r="D879" s="68" t="str">
        <f>ASTemp!D879</f>
        <v/>
      </c>
      <c r="E879" s="65" t="str">
        <f>ASTemp!E879</f>
        <v/>
      </c>
      <c r="F879" s="69" t="str">
        <f>TEXT(ASTemp!F879,Decimals)</f>
        <v/>
      </c>
      <c r="G879" s="69" t="str">
        <f>TEXT(ASTemp!G879,Decimals)</f>
        <v/>
      </c>
      <c r="H879" s="69" t="str">
        <f>TEXT(ASTemp!H879,Decimals)</f>
        <v/>
      </c>
      <c r="I879" s="69" t="str">
        <f>TEXT(ASTemp!I879,Decimals)</f>
        <v/>
      </c>
      <c r="J879" s="69" t="str">
        <f>TEXT(ASTemp!J879,Decimals)</f>
        <v/>
      </c>
      <c r="K879" s="69" t="str">
        <f>TEXT(ASTemp!K879,Decimals)</f>
        <v/>
      </c>
      <c r="L879" s="69" t="str">
        <f>TEXT(ASTemp!L879,Decimals)</f>
        <v/>
      </c>
      <c r="M879" s="71" t="str">
        <f>TEXT(ASTemp!M879,Percentages)</f>
        <v/>
      </c>
      <c r="N879" s="72" t="str">
        <f>TEXT(ASTemp!N879,Percentages)</f>
        <v/>
      </c>
    </row>
    <row r="880" ht="14.25" customHeight="1">
      <c r="B880" s="66" t="str">
        <f>ASTemp!B880</f>
        <v/>
      </c>
      <c r="C880" s="67" t="str">
        <f>ASTemp!C880</f>
        <v/>
      </c>
      <c r="D880" s="68" t="str">
        <f>ASTemp!D880</f>
        <v/>
      </c>
      <c r="E880" s="65" t="str">
        <f>ASTemp!E880</f>
        <v/>
      </c>
      <c r="F880" s="69" t="str">
        <f>TEXT(ASTemp!F880,Decimals)</f>
        <v/>
      </c>
      <c r="G880" s="69" t="str">
        <f>TEXT(ASTemp!G880,Decimals)</f>
        <v/>
      </c>
      <c r="H880" s="69" t="str">
        <f>TEXT(ASTemp!H880,Decimals)</f>
        <v/>
      </c>
      <c r="I880" s="69" t="str">
        <f>TEXT(ASTemp!I880,Decimals)</f>
        <v/>
      </c>
      <c r="J880" s="69" t="str">
        <f>TEXT(ASTemp!J880,Decimals)</f>
        <v/>
      </c>
      <c r="K880" s="69" t="str">
        <f>TEXT(ASTemp!K880,Decimals)</f>
        <v/>
      </c>
      <c r="L880" s="69" t="str">
        <f>TEXT(ASTemp!L880,Decimals)</f>
        <v/>
      </c>
      <c r="M880" s="71" t="str">
        <f>TEXT(ASTemp!M880,Percentages)</f>
        <v/>
      </c>
      <c r="N880" s="72" t="str">
        <f>TEXT(ASTemp!N880,Percentages)</f>
        <v/>
      </c>
    </row>
    <row r="881" ht="14.25" customHeight="1">
      <c r="B881" s="66" t="str">
        <f>ASTemp!B881</f>
        <v/>
      </c>
      <c r="C881" s="67" t="str">
        <f>ASTemp!C881</f>
        <v/>
      </c>
      <c r="D881" s="68" t="str">
        <f>ASTemp!D881</f>
        <v/>
      </c>
      <c r="E881" s="65" t="str">
        <f>ASTemp!E881</f>
        <v/>
      </c>
      <c r="F881" s="69" t="str">
        <f>TEXT(ASTemp!F881,Decimals)</f>
        <v/>
      </c>
      <c r="G881" s="69" t="str">
        <f>TEXT(ASTemp!G881,Decimals)</f>
        <v/>
      </c>
      <c r="H881" s="69" t="str">
        <f>TEXT(ASTemp!H881,Decimals)</f>
        <v/>
      </c>
      <c r="I881" s="69" t="str">
        <f>TEXT(ASTemp!I881,Decimals)</f>
        <v/>
      </c>
      <c r="J881" s="69" t="str">
        <f>TEXT(ASTemp!J881,Decimals)</f>
        <v/>
      </c>
      <c r="K881" s="69" t="str">
        <f>TEXT(ASTemp!K881,Decimals)</f>
        <v/>
      </c>
      <c r="L881" s="69" t="str">
        <f>TEXT(ASTemp!L881,Decimals)</f>
        <v/>
      </c>
      <c r="M881" s="71" t="str">
        <f>TEXT(ASTemp!M881,Percentages)</f>
        <v/>
      </c>
      <c r="N881" s="72" t="str">
        <f>TEXT(ASTemp!N881,Percentages)</f>
        <v/>
      </c>
    </row>
    <row r="882" ht="14.25" customHeight="1">
      <c r="B882" s="66" t="str">
        <f>ASTemp!B882</f>
        <v/>
      </c>
      <c r="C882" s="67" t="str">
        <f>ASTemp!C882</f>
        <v/>
      </c>
      <c r="D882" s="68" t="str">
        <f>ASTemp!D882</f>
        <v/>
      </c>
      <c r="E882" s="65" t="str">
        <f>ASTemp!E882</f>
        <v/>
      </c>
      <c r="F882" s="69" t="str">
        <f>TEXT(ASTemp!F882,Decimals)</f>
        <v/>
      </c>
      <c r="G882" s="69" t="str">
        <f>TEXT(ASTemp!G882,Decimals)</f>
        <v/>
      </c>
      <c r="H882" s="69" t="str">
        <f>TEXT(ASTemp!H882,Decimals)</f>
        <v/>
      </c>
      <c r="I882" s="69" t="str">
        <f>TEXT(ASTemp!I882,Decimals)</f>
        <v/>
      </c>
      <c r="J882" s="69" t="str">
        <f>TEXT(ASTemp!J882,Decimals)</f>
        <v/>
      </c>
      <c r="K882" s="69" t="str">
        <f>TEXT(ASTemp!K882,Decimals)</f>
        <v/>
      </c>
      <c r="L882" s="69" t="str">
        <f>TEXT(ASTemp!L882,Decimals)</f>
        <v/>
      </c>
      <c r="M882" s="71" t="str">
        <f>TEXT(ASTemp!M882,Percentages)</f>
        <v/>
      </c>
      <c r="N882" s="72" t="str">
        <f>TEXT(ASTemp!N882,Percentages)</f>
        <v/>
      </c>
    </row>
    <row r="883" ht="14.25" customHeight="1">
      <c r="B883" s="66" t="str">
        <f>ASTemp!B883</f>
        <v/>
      </c>
      <c r="C883" s="67" t="str">
        <f>ASTemp!C883</f>
        <v/>
      </c>
      <c r="D883" s="68" t="str">
        <f>ASTemp!D883</f>
        <v/>
      </c>
      <c r="E883" s="65" t="str">
        <f>ASTemp!E883</f>
        <v/>
      </c>
      <c r="F883" s="69" t="str">
        <f>TEXT(ASTemp!F883,Decimals)</f>
        <v/>
      </c>
      <c r="G883" s="69" t="str">
        <f>TEXT(ASTemp!G883,Decimals)</f>
        <v/>
      </c>
      <c r="H883" s="69" t="str">
        <f>TEXT(ASTemp!H883,Decimals)</f>
        <v/>
      </c>
      <c r="I883" s="69" t="str">
        <f>TEXT(ASTemp!I883,Decimals)</f>
        <v/>
      </c>
      <c r="J883" s="69" t="str">
        <f>TEXT(ASTemp!J883,Decimals)</f>
        <v/>
      </c>
      <c r="K883" s="69" t="str">
        <f>TEXT(ASTemp!K883,Decimals)</f>
        <v/>
      </c>
      <c r="L883" s="69" t="str">
        <f>TEXT(ASTemp!L883,Decimals)</f>
        <v/>
      </c>
      <c r="M883" s="71" t="str">
        <f>TEXT(ASTemp!M883,Percentages)</f>
        <v/>
      </c>
      <c r="N883" s="72" t="str">
        <f>TEXT(ASTemp!N883,Percentages)</f>
        <v/>
      </c>
    </row>
    <row r="884" ht="14.25" customHeight="1">
      <c r="B884" s="66" t="str">
        <f>ASTemp!B884</f>
        <v/>
      </c>
      <c r="C884" s="67" t="str">
        <f>ASTemp!C884</f>
        <v/>
      </c>
      <c r="D884" s="68" t="str">
        <f>ASTemp!D884</f>
        <v/>
      </c>
      <c r="E884" s="65" t="str">
        <f>ASTemp!E884</f>
        <v/>
      </c>
      <c r="F884" s="69" t="str">
        <f>TEXT(ASTemp!F884,Decimals)</f>
        <v/>
      </c>
      <c r="G884" s="69" t="str">
        <f>TEXT(ASTemp!G884,Decimals)</f>
        <v/>
      </c>
      <c r="H884" s="69" t="str">
        <f>TEXT(ASTemp!H884,Decimals)</f>
        <v/>
      </c>
      <c r="I884" s="69" t="str">
        <f>TEXT(ASTemp!I884,Decimals)</f>
        <v/>
      </c>
      <c r="J884" s="69" t="str">
        <f>TEXT(ASTemp!J884,Decimals)</f>
        <v/>
      </c>
      <c r="K884" s="69" t="str">
        <f>TEXT(ASTemp!K884,Decimals)</f>
        <v/>
      </c>
      <c r="L884" s="69" t="str">
        <f>TEXT(ASTemp!L884,Decimals)</f>
        <v/>
      </c>
      <c r="M884" s="71" t="str">
        <f>TEXT(ASTemp!M884,Percentages)</f>
        <v/>
      </c>
      <c r="N884" s="72" t="str">
        <f>TEXT(ASTemp!N884,Percentages)</f>
        <v/>
      </c>
    </row>
    <row r="885" ht="14.25" customHeight="1">
      <c r="B885" s="66" t="str">
        <f>ASTemp!B885</f>
        <v/>
      </c>
      <c r="C885" s="67" t="str">
        <f>ASTemp!C885</f>
        <v/>
      </c>
      <c r="D885" s="68" t="str">
        <f>ASTemp!D885</f>
        <v/>
      </c>
      <c r="E885" s="65" t="str">
        <f>ASTemp!E885</f>
        <v/>
      </c>
      <c r="F885" s="69" t="str">
        <f>TEXT(ASTemp!F885,Decimals)</f>
        <v/>
      </c>
      <c r="G885" s="69" t="str">
        <f>TEXT(ASTemp!G885,Decimals)</f>
        <v/>
      </c>
      <c r="H885" s="69" t="str">
        <f>TEXT(ASTemp!H885,Decimals)</f>
        <v/>
      </c>
      <c r="I885" s="69" t="str">
        <f>TEXT(ASTemp!I885,Decimals)</f>
        <v/>
      </c>
      <c r="J885" s="69" t="str">
        <f>TEXT(ASTemp!J885,Decimals)</f>
        <v/>
      </c>
      <c r="K885" s="69" t="str">
        <f>TEXT(ASTemp!K885,Decimals)</f>
        <v/>
      </c>
      <c r="L885" s="69" t="str">
        <f>TEXT(ASTemp!L885,Decimals)</f>
        <v/>
      </c>
      <c r="M885" s="71" t="str">
        <f>TEXT(ASTemp!M885,Percentages)</f>
        <v/>
      </c>
      <c r="N885" s="72" t="str">
        <f>TEXT(ASTemp!N885,Percentages)</f>
        <v/>
      </c>
    </row>
    <row r="886" ht="14.25" customHeight="1">
      <c r="B886" s="66" t="str">
        <f>ASTemp!B886</f>
        <v/>
      </c>
      <c r="C886" s="67" t="str">
        <f>ASTemp!C886</f>
        <v/>
      </c>
      <c r="D886" s="68" t="str">
        <f>ASTemp!D886</f>
        <v/>
      </c>
      <c r="E886" s="65" t="str">
        <f>ASTemp!E886</f>
        <v/>
      </c>
      <c r="F886" s="69" t="str">
        <f>TEXT(ASTemp!F886,Decimals)</f>
        <v/>
      </c>
      <c r="G886" s="69" t="str">
        <f>TEXT(ASTemp!G886,Decimals)</f>
        <v/>
      </c>
      <c r="H886" s="69" t="str">
        <f>TEXT(ASTemp!H886,Decimals)</f>
        <v/>
      </c>
      <c r="I886" s="69" t="str">
        <f>TEXT(ASTemp!I886,Decimals)</f>
        <v/>
      </c>
      <c r="J886" s="69" t="str">
        <f>TEXT(ASTemp!J886,Decimals)</f>
        <v/>
      </c>
      <c r="K886" s="69" t="str">
        <f>TEXT(ASTemp!K886,Decimals)</f>
        <v/>
      </c>
      <c r="L886" s="69" t="str">
        <f>TEXT(ASTemp!L886,Decimals)</f>
        <v/>
      </c>
      <c r="M886" s="71" t="str">
        <f>TEXT(ASTemp!M886,Percentages)</f>
        <v/>
      </c>
      <c r="N886" s="72" t="str">
        <f>TEXT(ASTemp!N886,Percentages)</f>
        <v/>
      </c>
    </row>
    <row r="887" ht="14.25" customHeight="1">
      <c r="B887" s="66" t="str">
        <f>ASTemp!B887</f>
        <v/>
      </c>
      <c r="C887" s="67" t="str">
        <f>ASTemp!C887</f>
        <v/>
      </c>
      <c r="D887" s="68" t="str">
        <f>ASTemp!D887</f>
        <v/>
      </c>
      <c r="E887" s="65" t="str">
        <f>ASTemp!E887</f>
        <v/>
      </c>
      <c r="F887" s="69" t="str">
        <f>TEXT(ASTemp!F887,Decimals)</f>
        <v/>
      </c>
      <c r="G887" s="69" t="str">
        <f>TEXT(ASTemp!G887,Decimals)</f>
        <v/>
      </c>
      <c r="H887" s="69" t="str">
        <f>TEXT(ASTemp!H887,Decimals)</f>
        <v/>
      </c>
      <c r="I887" s="69" t="str">
        <f>TEXT(ASTemp!I887,Decimals)</f>
        <v/>
      </c>
      <c r="J887" s="69" t="str">
        <f>TEXT(ASTemp!J887,Decimals)</f>
        <v/>
      </c>
      <c r="K887" s="69" t="str">
        <f>TEXT(ASTemp!K887,Decimals)</f>
        <v/>
      </c>
      <c r="L887" s="69" t="str">
        <f>TEXT(ASTemp!L887,Decimals)</f>
        <v/>
      </c>
      <c r="M887" s="71" t="str">
        <f>TEXT(ASTemp!M887,Percentages)</f>
        <v/>
      </c>
      <c r="N887" s="72" t="str">
        <f>TEXT(ASTemp!N887,Percentages)</f>
        <v/>
      </c>
    </row>
    <row r="888" ht="14.25" customHeight="1">
      <c r="B888" s="66" t="str">
        <f>ASTemp!B888</f>
        <v/>
      </c>
      <c r="C888" s="67" t="str">
        <f>ASTemp!C888</f>
        <v/>
      </c>
      <c r="D888" s="68" t="str">
        <f>ASTemp!D888</f>
        <v/>
      </c>
      <c r="E888" s="65" t="str">
        <f>ASTemp!E888</f>
        <v/>
      </c>
      <c r="F888" s="69" t="str">
        <f>TEXT(ASTemp!F888,Decimals)</f>
        <v/>
      </c>
      <c r="G888" s="69" t="str">
        <f>TEXT(ASTemp!G888,Decimals)</f>
        <v/>
      </c>
      <c r="H888" s="69" t="str">
        <f>TEXT(ASTemp!H888,Decimals)</f>
        <v/>
      </c>
      <c r="I888" s="69" t="str">
        <f>TEXT(ASTemp!I888,Decimals)</f>
        <v/>
      </c>
      <c r="J888" s="69" t="str">
        <f>TEXT(ASTemp!J888,Decimals)</f>
        <v/>
      </c>
      <c r="K888" s="69" t="str">
        <f>TEXT(ASTemp!K888,Decimals)</f>
        <v/>
      </c>
      <c r="L888" s="69" t="str">
        <f>TEXT(ASTemp!L888,Decimals)</f>
        <v/>
      </c>
      <c r="M888" s="71" t="str">
        <f>TEXT(ASTemp!M888,Percentages)</f>
        <v/>
      </c>
      <c r="N888" s="72" t="str">
        <f>TEXT(ASTemp!N888,Percentages)</f>
        <v/>
      </c>
    </row>
    <row r="889" ht="14.25" customHeight="1">
      <c r="B889" s="66" t="str">
        <f>ASTemp!B889</f>
        <v/>
      </c>
      <c r="C889" s="67" t="str">
        <f>ASTemp!C889</f>
        <v/>
      </c>
      <c r="D889" s="68" t="str">
        <f>ASTemp!D889</f>
        <v/>
      </c>
      <c r="E889" s="65" t="str">
        <f>ASTemp!E889</f>
        <v/>
      </c>
      <c r="F889" s="69" t="str">
        <f>TEXT(ASTemp!F889,Decimals)</f>
        <v/>
      </c>
      <c r="G889" s="69" t="str">
        <f>TEXT(ASTemp!G889,Decimals)</f>
        <v/>
      </c>
      <c r="H889" s="69" t="str">
        <f>TEXT(ASTemp!H889,Decimals)</f>
        <v/>
      </c>
      <c r="I889" s="69" t="str">
        <f>TEXT(ASTemp!I889,Decimals)</f>
        <v/>
      </c>
      <c r="J889" s="69" t="str">
        <f>TEXT(ASTemp!J889,Decimals)</f>
        <v/>
      </c>
      <c r="K889" s="69" t="str">
        <f>TEXT(ASTemp!K889,Decimals)</f>
        <v/>
      </c>
      <c r="L889" s="69" t="str">
        <f>TEXT(ASTemp!L889,Decimals)</f>
        <v/>
      </c>
      <c r="M889" s="71" t="str">
        <f>TEXT(ASTemp!M889,Percentages)</f>
        <v/>
      </c>
      <c r="N889" s="72" t="str">
        <f>TEXT(ASTemp!N889,Percentages)</f>
        <v/>
      </c>
    </row>
    <row r="890" ht="14.25" customHeight="1">
      <c r="B890" s="66" t="str">
        <f>ASTemp!B890</f>
        <v/>
      </c>
      <c r="C890" s="67" t="str">
        <f>ASTemp!C890</f>
        <v/>
      </c>
      <c r="D890" s="68" t="str">
        <f>ASTemp!D890</f>
        <v/>
      </c>
      <c r="E890" s="65" t="str">
        <f>ASTemp!E890</f>
        <v/>
      </c>
      <c r="F890" s="69" t="str">
        <f>TEXT(ASTemp!F890,Decimals)</f>
        <v/>
      </c>
      <c r="G890" s="69" t="str">
        <f>TEXT(ASTemp!G890,Decimals)</f>
        <v/>
      </c>
      <c r="H890" s="69" t="str">
        <f>TEXT(ASTemp!H890,Decimals)</f>
        <v/>
      </c>
      <c r="I890" s="69" t="str">
        <f>TEXT(ASTemp!I890,Decimals)</f>
        <v/>
      </c>
      <c r="J890" s="69" t="str">
        <f>TEXT(ASTemp!J890,Decimals)</f>
        <v/>
      </c>
      <c r="K890" s="69" t="str">
        <f>TEXT(ASTemp!K890,Decimals)</f>
        <v/>
      </c>
      <c r="L890" s="69" t="str">
        <f>TEXT(ASTemp!L890,Decimals)</f>
        <v/>
      </c>
      <c r="M890" s="71" t="str">
        <f>TEXT(ASTemp!M890,Percentages)</f>
        <v/>
      </c>
      <c r="N890" s="72" t="str">
        <f>TEXT(ASTemp!N890,Percentages)</f>
        <v/>
      </c>
    </row>
    <row r="891" ht="14.25" customHeight="1">
      <c r="B891" s="66" t="str">
        <f>ASTemp!B891</f>
        <v/>
      </c>
      <c r="C891" s="67" t="str">
        <f>ASTemp!C891</f>
        <v/>
      </c>
      <c r="D891" s="68" t="str">
        <f>ASTemp!D891</f>
        <v/>
      </c>
      <c r="E891" s="65" t="str">
        <f>ASTemp!E891</f>
        <v/>
      </c>
      <c r="F891" s="69" t="str">
        <f>TEXT(ASTemp!F891,Decimals)</f>
        <v/>
      </c>
      <c r="G891" s="69" t="str">
        <f>TEXT(ASTemp!G891,Decimals)</f>
        <v/>
      </c>
      <c r="H891" s="69" t="str">
        <f>TEXT(ASTemp!H891,Decimals)</f>
        <v/>
      </c>
      <c r="I891" s="69" t="str">
        <f>TEXT(ASTemp!I891,Decimals)</f>
        <v/>
      </c>
      <c r="J891" s="69" t="str">
        <f>TEXT(ASTemp!J891,Decimals)</f>
        <v/>
      </c>
      <c r="K891" s="69" t="str">
        <f>TEXT(ASTemp!K891,Decimals)</f>
        <v/>
      </c>
      <c r="L891" s="69" t="str">
        <f>TEXT(ASTemp!L891,Decimals)</f>
        <v/>
      </c>
      <c r="M891" s="71" t="str">
        <f>TEXT(ASTemp!M891,Percentages)</f>
        <v/>
      </c>
      <c r="N891" s="72" t="str">
        <f>TEXT(ASTemp!N891,Percentages)</f>
        <v/>
      </c>
    </row>
    <row r="892" ht="14.25" customHeight="1">
      <c r="B892" s="66" t="str">
        <f>ASTemp!B892</f>
        <v/>
      </c>
      <c r="C892" s="67" t="str">
        <f>ASTemp!C892</f>
        <v/>
      </c>
      <c r="D892" s="68" t="str">
        <f>ASTemp!D892</f>
        <v/>
      </c>
      <c r="E892" s="65" t="str">
        <f>ASTemp!E892</f>
        <v/>
      </c>
      <c r="F892" s="69" t="str">
        <f>TEXT(ASTemp!F892,Decimals)</f>
        <v/>
      </c>
      <c r="G892" s="69" t="str">
        <f>TEXT(ASTemp!G892,Decimals)</f>
        <v/>
      </c>
      <c r="H892" s="69" t="str">
        <f>TEXT(ASTemp!H892,Decimals)</f>
        <v/>
      </c>
      <c r="I892" s="69" t="str">
        <f>TEXT(ASTemp!I892,Decimals)</f>
        <v/>
      </c>
      <c r="J892" s="69" t="str">
        <f>TEXT(ASTemp!J892,Decimals)</f>
        <v/>
      </c>
      <c r="K892" s="69" t="str">
        <f>TEXT(ASTemp!K892,Decimals)</f>
        <v/>
      </c>
      <c r="L892" s="69" t="str">
        <f>TEXT(ASTemp!L892,Decimals)</f>
        <v/>
      </c>
      <c r="M892" s="71" t="str">
        <f>TEXT(ASTemp!M892,Percentages)</f>
        <v/>
      </c>
      <c r="N892" s="72" t="str">
        <f>TEXT(ASTemp!N892,Percentages)</f>
        <v/>
      </c>
    </row>
    <row r="893" ht="14.25" customHeight="1">
      <c r="B893" s="66" t="str">
        <f>ASTemp!B893</f>
        <v/>
      </c>
      <c r="C893" s="67" t="str">
        <f>ASTemp!C893</f>
        <v/>
      </c>
      <c r="D893" s="68" t="str">
        <f>ASTemp!D893</f>
        <v/>
      </c>
      <c r="E893" s="65" t="str">
        <f>ASTemp!E893</f>
        <v/>
      </c>
      <c r="F893" s="69" t="str">
        <f>TEXT(ASTemp!F893,Decimals)</f>
        <v/>
      </c>
      <c r="G893" s="69" t="str">
        <f>TEXT(ASTemp!G893,Decimals)</f>
        <v/>
      </c>
      <c r="H893" s="69" t="str">
        <f>TEXT(ASTemp!H893,Decimals)</f>
        <v/>
      </c>
      <c r="I893" s="69" t="str">
        <f>TEXT(ASTemp!I893,Decimals)</f>
        <v/>
      </c>
      <c r="J893" s="69" t="str">
        <f>TEXT(ASTemp!J893,Decimals)</f>
        <v/>
      </c>
      <c r="K893" s="69" t="str">
        <f>TEXT(ASTemp!K893,Decimals)</f>
        <v/>
      </c>
      <c r="L893" s="69" t="str">
        <f>TEXT(ASTemp!L893,Decimals)</f>
        <v/>
      </c>
      <c r="M893" s="71" t="str">
        <f>TEXT(ASTemp!M893,Percentages)</f>
        <v/>
      </c>
      <c r="N893" s="72" t="str">
        <f>TEXT(ASTemp!N893,Percentages)</f>
        <v/>
      </c>
    </row>
    <row r="894" ht="14.25" customHeight="1">
      <c r="B894" s="66" t="str">
        <f>ASTemp!B894</f>
        <v/>
      </c>
      <c r="C894" s="67" t="str">
        <f>ASTemp!C894</f>
        <v/>
      </c>
      <c r="D894" s="68" t="str">
        <f>ASTemp!D894</f>
        <v/>
      </c>
      <c r="E894" s="65" t="str">
        <f>ASTemp!E894</f>
        <v/>
      </c>
      <c r="F894" s="69" t="str">
        <f>TEXT(ASTemp!F894,Decimals)</f>
        <v/>
      </c>
      <c r="G894" s="69" t="str">
        <f>TEXT(ASTemp!G894,Decimals)</f>
        <v/>
      </c>
      <c r="H894" s="69" t="str">
        <f>TEXT(ASTemp!H894,Decimals)</f>
        <v/>
      </c>
      <c r="I894" s="69" t="str">
        <f>TEXT(ASTemp!I894,Decimals)</f>
        <v/>
      </c>
      <c r="J894" s="69" t="str">
        <f>TEXT(ASTemp!J894,Decimals)</f>
        <v/>
      </c>
      <c r="K894" s="69" t="str">
        <f>TEXT(ASTemp!K894,Decimals)</f>
        <v/>
      </c>
      <c r="L894" s="69" t="str">
        <f>TEXT(ASTemp!L894,Decimals)</f>
        <v/>
      </c>
      <c r="M894" s="71" t="str">
        <f>TEXT(ASTemp!M894,Percentages)</f>
        <v/>
      </c>
      <c r="N894" s="72" t="str">
        <f>TEXT(ASTemp!N894,Percentages)</f>
        <v/>
      </c>
    </row>
    <row r="895" ht="14.25" customHeight="1">
      <c r="B895" s="66" t="str">
        <f>ASTemp!B895</f>
        <v/>
      </c>
      <c r="C895" s="67" t="str">
        <f>ASTemp!C895</f>
        <v/>
      </c>
      <c r="D895" s="68" t="str">
        <f>ASTemp!D895</f>
        <v/>
      </c>
      <c r="E895" s="65" t="str">
        <f>ASTemp!E895</f>
        <v/>
      </c>
      <c r="F895" s="69" t="str">
        <f>TEXT(ASTemp!F895,Decimals)</f>
        <v/>
      </c>
      <c r="G895" s="69" t="str">
        <f>TEXT(ASTemp!G895,Decimals)</f>
        <v/>
      </c>
      <c r="H895" s="69" t="str">
        <f>TEXT(ASTemp!H895,Decimals)</f>
        <v/>
      </c>
      <c r="I895" s="69" t="str">
        <f>TEXT(ASTemp!I895,Decimals)</f>
        <v/>
      </c>
      <c r="J895" s="69" t="str">
        <f>TEXT(ASTemp!J895,Decimals)</f>
        <v/>
      </c>
      <c r="K895" s="69" t="str">
        <f>TEXT(ASTemp!K895,Decimals)</f>
        <v/>
      </c>
      <c r="L895" s="69" t="str">
        <f>TEXT(ASTemp!L895,Decimals)</f>
        <v/>
      </c>
      <c r="M895" s="71" t="str">
        <f>TEXT(ASTemp!M895,Percentages)</f>
        <v/>
      </c>
      <c r="N895" s="72" t="str">
        <f>TEXT(ASTemp!N895,Percentages)</f>
        <v/>
      </c>
    </row>
    <row r="896" ht="14.25" customHeight="1">
      <c r="B896" s="66" t="str">
        <f>ASTemp!B896</f>
        <v/>
      </c>
      <c r="C896" s="67" t="str">
        <f>ASTemp!C896</f>
        <v/>
      </c>
      <c r="D896" s="68" t="str">
        <f>ASTemp!D896</f>
        <v/>
      </c>
      <c r="E896" s="65" t="str">
        <f>ASTemp!E896</f>
        <v/>
      </c>
      <c r="F896" s="69" t="str">
        <f>TEXT(ASTemp!F896,Decimals)</f>
        <v/>
      </c>
      <c r="G896" s="69" t="str">
        <f>TEXT(ASTemp!G896,Decimals)</f>
        <v/>
      </c>
      <c r="H896" s="69" t="str">
        <f>TEXT(ASTemp!H896,Decimals)</f>
        <v/>
      </c>
      <c r="I896" s="69" t="str">
        <f>TEXT(ASTemp!I896,Decimals)</f>
        <v/>
      </c>
      <c r="J896" s="69" t="str">
        <f>TEXT(ASTemp!J896,Decimals)</f>
        <v/>
      </c>
      <c r="K896" s="69" t="str">
        <f>TEXT(ASTemp!K896,Decimals)</f>
        <v/>
      </c>
      <c r="L896" s="69" t="str">
        <f>TEXT(ASTemp!L896,Decimals)</f>
        <v/>
      </c>
      <c r="M896" s="71" t="str">
        <f>TEXT(ASTemp!M896,Percentages)</f>
        <v/>
      </c>
      <c r="N896" s="72" t="str">
        <f>TEXT(ASTemp!N896,Percentages)</f>
        <v/>
      </c>
    </row>
    <row r="897" ht="14.25" customHeight="1">
      <c r="B897" s="66" t="str">
        <f>ASTemp!B897</f>
        <v/>
      </c>
      <c r="C897" s="67" t="str">
        <f>ASTemp!C897</f>
        <v/>
      </c>
      <c r="D897" s="68" t="str">
        <f>ASTemp!D897</f>
        <v/>
      </c>
      <c r="E897" s="65" t="str">
        <f>ASTemp!E897</f>
        <v/>
      </c>
      <c r="F897" s="69" t="str">
        <f>TEXT(ASTemp!F897,Decimals)</f>
        <v/>
      </c>
      <c r="G897" s="69" t="str">
        <f>TEXT(ASTemp!G897,Decimals)</f>
        <v/>
      </c>
      <c r="H897" s="69" t="str">
        <f>TEXT(ASTemp!H897,Decimals)</f>
        <v/>
      </c>
      <c r="I897" s="69" t="str">
        <f>TEXT(ASTemp!I897,Decimals)</f>
        <v/>
      </c>
      <c r="J897" s="69" t="str">
        <f>TEXT(ASTemp!J897,Decimals)</f>
        <v/>
      </c>
      <c r="K897" s="69" t="str">
        <f>TEXT(ASTemp!K897,Decimals)</f>
        <v/>
      </c>
      <c r="L897" s="69" t="str">
        <f>TEXT(ASTemp!L897,Decimals)</f>
        <v/>
      </c>
      <c r="M897" s="71" t="str">
        <f>TEXT(ASTemp!M897,Percentages)</f>
        <v/>
      </c>
      <c r="N897" s="72" t="str">
        <f>TEXT(ASTemp!N897,Percentages)</f>
        <v/>
      </c>
    </row>
    <row r="898" ht="14.25" customHeight="1">
      <c r="B898" s="66" t="str">
        <f>ASTemp!B898</f>
        <v/>
      </c>
      <c r="C898" s="67" t="str">
        <f>ASTemp!C898</f>
        <v/>
      </c>
      <c r="D898" s="68" t="str">
        <f>ASTemp!D898</f>
        <v/>
      </c>
      <c r="E898" s="65" t="str">
        <f>ASTemp!E898</f>
        <v/>
      </c>
      <c r="F898" s="69" t="str">
        <f>TEXT(ASTemp!F898,Decimals)</f>
        <v/>
      </c>
      <c r="G898" s="69" t="str">
        <f>TEXT(ASTemp!G898,Decimals)</f>
        <v/>
      </c>
      <c r="H898" s="69" t="str">
        <f>TEXT(ASTemp!H898,Decimals)</f>
        <v/>
      </c>
      <c r="I898" s="69" t="str">
        <f>TEXT(ASTemp!I898,Decimals)</f>
        <v/>
      </c>
      <c r="J898" s="69" t="str">
        <f>TEXT(ASTemp!J898,Decimals)</f>
        <v/>
      </c>
      <c r="K898" s="69" t="str">
        <f>TEXT(ASTemp!K898,Decimals)</f>
        <v/>
      </c>
      <c r="L898" s="69" t="str">
        <f>TEXT(ASTemp!L898,Decimals)</f>
        <v/>
      </c>
      <c r="M898" s="71" t="str">
        <f>TEXT(ASTemp!M898,Percentages)</f>
        <v/>
      </c>
      <c r="N898" s="72" t="str">
        <f>TEXT(ASTemp!N898,Percentages)</f>
        <v/>
      </c>
    </row>
    <row r="899" ht="14.25" customHeight="1">
      <c r="B899" s="66" t="str">
        <f>ASTemp!B899</f>
        <v/>
      </c>
      <c r="C899" s="67" t="str">
        <f>ASTemp!C899</f>
        <v/>
      </c>
      <c r="D899" s="68" t="str">
        <f>ASTemp!D899</f>
        <v/>
      </c>
      <c r="E899" s="65" t="str">
        <f>ASTemp!E899</f>
        <v/>
      </c>
      <c r="F899" s="69" t="str">
        <f>TEXT(ASTemp!F899,Decimals)</f>
        <v/>
      </c>
      <c r="G899" s="69" t="str">
        <f>TEXT(ASTemp!G899,Decimals)</f>
        <v/>
      </c>
      <c r="H899" s="69" t="str">
        <f>TEXT(ASTemp!H899,Decimals)</f>
        <v/>
      </c>
      <c r="I899" s="69" t="str">
        <f>TEXT(ASTemp!I899,Decimals)</f>
        <v/>
      </c>
      <c r="J899" s="69" t="str">
        <f>TEXT(ASTemp!J899,Decimals)</f>
        <v/>
      </c>
      <c r="K899" s="69" t="str">
        <f>TEXT(ASTemp!K899,Decimals)</f>
        <v/>
      </c>
      <c r="L899" s="69" t="str">
        <f>TEXT(ASTemp!L899,Decimals)</f>
        <v/>
      </c>
      <c r="M899" s="71" t="str">
        <f>TEXT(ASTemp!M899,Percentages)</f>
        <v/>
      </c>
      <c r="N899" s="72" t="str">
        <f>TEXT(ASTemp!N899,Percentages)</f>
        <v/>
      </c>
    </row>
    <row r="900" ht="14.25" customHeight="1">
      <c r="B900" s="66" t="str">
        <f>ASTemp!B900</f>
        <v/>
      </c>
      <c r="C900" s="67" t="str">
        <f>ASTemp!C900</f>
        <v/>
      </c>
      <c r="D900" s="68" t="str">
        <f>ASTemp!D900</f>
        <v/>
      </c>
      <c r="E900" s="65" t="str">
        <f>ASTemp!E900</f>
        <v/>
      </c>
      <c r="F900" s="69" t="str">
        <f>TEXT(ASTemp!F900,Decimals)</f>
        <v/>
      </c>
      <c r="G900" s="69" t="str">
        <f>TEXT(ASTemp!G900,Decimals)</f>
        <v/>
      </c>
      <c r="H900" s="69" t="str">
        <f>TEXT(ASTemp!H900,Decimals)</f>
        <v/>
      </c>
      <c r="I900" s="69" t="str">
        <f>TEXT(ASTemp!I900,Decimals)</f>
        <v/>
      </c>
      <c r="J900" s="69" t="str">
        <f>TEXT(ASTemp!J900,Decimals)</f>
        <v/>
      </c>
      <c r="K900" s="69" t="str">
        <f>TEXT(ASTemp!K900,Decimals)</f>
        <v/>
      </c>
      <c r="L900" s="69" t="str">
        <f>TEXT(ASTemp!L900,Decimals)</f>
        <v/>
      </c>
      <c r="M900" s="71" t="str">
        <f>TEXT(ASTemp!M900,Percentages)</f>
        <v/>
      </c>
      <c r="N900" s="72" t="str">
        <f>TEXT(ASTemp!N900,Percentages)</f>
        <v/>
      </c>
    </row>
    <row r="901" ht="14.25" customHeight="1">
      <c r="B901" s="66" t="str">
        <f>ASTemp!B901</f>
        <v/>
      </c>
      <c r="C901" s="67" t="str">
        <f>ASTemp!C901</f>
        <v/>
      </c>
      <c r="D901" s="68" t="str">
        <f>ASTemp!D901</f>
        <v/>
      </c>
      <c r="E901" s="65" t="str">
        <f>ASTemp!E901</f>
        <v/>
      </c>
      <c r="F901" s="69" t="str">
        <f>TEXT(ASTemp!F901,Decimals)</f>
        <v/>
      </c>
      <c r="G901" s="69" t="str">
        <f>TEXT(ASTemp!G901,Decimals)</f>
        <v/>
      </c>
      <c r="H901" s="69" t="str">
        <f>TEXT(ASTemp!H901,Decimals)</f>
        <v/>
      </c>
      <c r="I901" s="69" t="str">
        <f>TEXT(ASTemp!I901,Decimals)</f>
        <v/>
      </c>
      <c r="J901" s="69" t="str">
        <f>TEXT(ASTemp!J901,Decimals)</f>
        <v/>
      </c>
      <c r="K901" s="69" t="str">
        <f>TEXT(ASTemp!K901,Decimals)</f>
        <v/>
      </c>
      <c r="L901" s="69" t="str">
        <f>TEXT(ASTemp!L901,Decimals)</f>
        <v/>
      </c>
      <c r="M901" s="71" t="str">
        <f>TEXT(ASTemp!M901,Percentages)</f>
        <v/>
      </c>
      <c r="N901" s="72" t="str">
        <f>TEXT(ASTemp!N901,Percentages)</f>
        <v/>
      </c>
    </row>
    <row r="902" ht="14.25" customHeight="1">
      <c r="B902" s="66" t="str">
        <f>ASTemp!B902</f>
        <v/>
      </c>
      <c r="C902" s="67" t="str">
        <f>ASTemp!C902</f>
        <v/>
      </c>
      <c r="D902" s="68" t="str">
        <f>ASTemp!D902</f>
        <v/>
      </c>
      <c r="E902" s="65" t="str">
        <f>ASTemp!E902</f>
        <v/>
      </c>
      <c r="F902" s="69" t="str">
        <f>TEXT(ASTemp!F902,Decimals)</f>
        <v/>
      </c>
      <c r="G902" s="69" t="str">
        <f>TEXT(ASTemp!G902,Decimals)</f>
        <v/>
      </c>
      <c r="H902" s="69" t="str">
        <f>TEXT(ASTemp!H902,Decimals)</f>
        <v/>
      </c>
      <c r="I902" s="69" t="str">
        <f>TEXT(ASTemp!I902,Decimals)</f>
        <v/>
      </c>
      <c r="J902" s="69" t="str">
        <f>TEXT(ASTemp!J902,Decimals)</f>
        <v/>
      </c>
      <c r="K902" s="69" t="str">
        <f>TEXT(ASTemp!K902,Decimals)</f>
        <v/>
      </c>
      <c r="L902" s="69" t="str">
        <f>TEXT(ASTemp!L902,Decimals)</f>
        <v/>
      </c>
      <c r="M902" s="71" t="str">
        <f>TEXT(ASTemp!M902,Percentages)</f>
        <v/>
      </c>
      <c r="N902" s="72" t="str">
        <f>TEXT(ASTemp!N902,Percentages)</f>
        <v/>
      </c>
    </row>
    <row r="903" ht="14.25" customHeight="1">
      <c r="B903" s="66" t="str">
        <f>ASTemp!B903</f>
        <v/>
      </c>
      <c r="C903" s="67" t="str">
        <f>ASTemp!C903</f>
        <v/>
      </c>
      <c r="D903" s="68" t="str">
        <f>ASTemp!D903</f>
        <v/>
      </c>
      <c r="E903" s="65" t="str">
        <f>ASTemp!E903</f>
        <v/>
      </c>
      <c r="F903" s="69" t="str">
        <f>TEXT(ASTemp!F903,Decimals)</f>
        <v/>
      </c>
      <c r="G903" s="69" t="str">
        <f>TEXT(ASTemp!G903,Decimals)</f>
        <v/>
      </c>
      <c r="H903" s="69" t="str">
        <f>TEXT(ASTemp!H903,Decimals)</f>
        <v/>
      </c>
      <c r="I903" s="69" t="str">
        <f>TEXT(ASTemp!I903,Decimals)</f>
        <v/>
      </c>
      <c r="J903" s="69" t="str">
        <f>TEXT(ASTemp!J903,Decimals)</f>
        <v/>
      </c>
      <c r="K903" s="69" t="str">
        <f>TEXT(ASTemp!K903,Decimals)</f>
        <v/>
      </c>
      <c r="L903" s="69" t="str">
        <f>TEXT(ASTemp!L903,Decimals)</f>
        <v/>
      </c>
      <c r="M903" s="71" t="str">
        <f>TEXT(ASTemp!M903,Percentages)</f>
        <v/>
      </c>
      <c r="N903" s="72" t="str">
        <f>TEXT(ASTemp!N903,Percentages)</f>
        <v/>
      </c>
    </row>
    <row r="904" ht="14.25" customHeight="1">
      <c r="B904" s="66" t="str">
        <f>ASTemp!B904</f>
        <v/>
      </c>
      <c r="C904" s="67" t="str">
        <f>ASTemp!C904</f>
        <v/>
      </c>
      <c r="D904" s="68" t="str">
        <f>ASTemp!D904</f>
        <v/>
      </c>
      <c r="E904" s="65" t="str">
        <f>ASTemp!E904</f>
        <v/>
      </c>
      <c r="F904" s="69" t="str">
        <f>TEXT(ASTemp!F904,Decimals)</f>
        <v/>
      </c>
      <c r="G904" s="69" t="str">
        <f>TEXT(ASTemp!G904,Decimals)</f>
        <v/>
      </c>
      <c r="H904" s="69" t="str">
        <f>TEXT(ASTemp!H904,Decimals)</f>
        <v/>
      </c>
      <c r="I904" s="69" t="str">
        <f>TEXT(ASTemp!I904,Decimals)</f>
        <v/>
      </c>
      <c r="J904" s="69" t="str">
        <f>TEXT(ASTemp!J904,Decimals)</f>
        <v/>
      </c>
      <c r="K904" s="69" t="str">
        <f>TEXT(ASTemp!K904,Decimals)</f>
        <v/>
      </c>
      <c r="L904" s="69" t="str">
        <f>TEXT(ASTemp!L904,Decimals)</f>
        <v/>
      </c>
      <c r="M904" s="71" t="str">
        <f>TEXT(ASTemp!M904,Percentages)</f>
        <v/>
      </c>
      <c r="N904" s="72" t="str">
        <f>TEXT(ASTemp!N904,Percentages)</f>
        <v/>
      </c>
    </row>
    <row r="905" ht="14.25" customHeight="1">
      <c r="B905" s="66" t="str">
        <f>ASTemp!B905</f>
        <v/>
      </c>
      <c r="C905" s="67" t="str">
        <f>ASTemp!C905</f>
        <v/>
      </c>
      <c r="D905" s="68" t="str">
        <f>ASTemp!D905</f>
        <v/>
      </c>
      <c r="E905" s="65" t="str">
        <f>ASTemp!E905</f>
        <v/>
      </c>
      <c r="F905" s="69" t="str">
        <f>TEXT(ASTemp!F905,Decimals)</f>
        <v/>
      </c>
      <c r="G905" s="69" t="str">
        <f>TEXT(ASTemp!G905,Decimals)</f>
        <v/>
      </c>
      <c r="H905" s="69" t="str">
        <f>TEXT(ASTemp!H905,Decimals)</f>
        <v/>
      </c>
      <c r="I905" s="69" t="str">
        <f>TEXT(ASTemp!I905,Decimals)</f>
        <v/>
      </c>
      <c r="J905" s="69" t="str">
        <f>TEXT(ASTemp!J905,Decimals)</f>
        <v/>
      </c>
      <c r="K905" s="69" t="str">
        <f>TEXT(ASTemp!K905,Decimals)</f>
        <v/>
      </c>
      <c r="L905" s="69" t="str">
        <f>TEXT(ASTemp!L905,Decimals)</f>
        <v/>
      </c>
      <c r="M905" s="71" t="str">
        <f>TEXT(ASTemp!M905,Percentages)</f>
        <v/>
      </c>
      <c r="N905" s="72" t="str">
        <f>TEXT(ASTemp!N905,Percentages)</f>
        <v/>
      </c>
    </row>
    <row r="906" ht="14.25" customHeight="1">
      <c r="B906" s="66" t="str">
        <f>ASTemp!B906</f>
        <v/>
      </c>
      <c r="C906" s="67" t="str">
        <f>ASTemp!C906</f>
        <v/>
      </c>
      <c r="D906" s="68" t="str">
        <f>ASTemp!D906</f>
        <v/>
      </c>
      <c r="E906" s="65" t="str">
        <f>ASTemp!E906</f>
        <v/>
      </c>
      <c r="F906" s="69" t="str">
        <f>TEXT(ASTemp!F906,Decimals)</f>
        <v/>
      </c>
      <c r="G906" s="69" t="str">
        <f>TEXT(ASTemp!G906,Decimals)</f>
        <v/>
      </c>
      <c r="H906" s="69" t="str">
        <f>TEXT(ASTemp!H906,Decimals)</f>
        <v/>
      </c>
      <c r="I906" s="69" t="str">
        <f>TEXT(ASTemp!I906,Decimals)</f>
        <v/>
      </c>
      <c r="J906" s="69" t="str">
        <f>TEXT(ASTemp!J906,Decimals)</f>
        <v/>
      </c>
      <c r="K906" s="69" t="str">
        <f>TEXT(ASTemp!K906,Decimals)</f>
        <v/>
      </c>
      <c r="L906" s="69" t="str">
        <f>TEXT(ASTemp!L906,Decimals)</f>
        <v/>
      </c>
      <c r="M906" s="71" t="str">
        <f>TEXT(ASTemp!M906,Percentages)</f>
        <v/>
      </c>
      <c r="N906" s="72" t="str">
        <f>TEXT(ASTemp!N906,Percentages)</f>
        <v/>
      </c>
    </row>
    <row r="907" ht="14.25" customHeight="1">
      <c r="B907" s="66" t="str">
        <f>ASTemp!B907</f>
        <v/>
      </c>
      <c r="C907" s="67" t="str">
        <f>ASTemp!C907</f>
        <v/>
      </c>
      <c r="D907" s="68" t="str">
        <f>ASTemp!D907</f>
        <v/>
      </c>
      <c r="E907" s="65" t="str">
        <f>ASTemp!E907</f>
        <v/>
      </c>
      <c r="F907" s="69" t="str">
        <f>TEXT(ASTemp!F907,Decimals)</f>
        <v/>
      </c>
      <c r="G907" s="69" t="str">
        <f>TEXT(ASTemp!G907,Decimals)</f>
        <v/>
      </c>
      <c r="H907" s="69" t="str">
        <f>TEXT(ASTemp!H907,Decimals)</f>
        <v/>
      </c>
      <c r="I907" s="69" t="str">
        <f>TEXT(ASTemp!I907,Decimals)</f>
        <v/>
      </c>
      <c r="J907" s="69" t="str">
        <f>TEXT(ASTemp!J907,Decimals)</f>
        <v/>
      </c>
      <c r="K907" s="69" t="str">
        <f>TEXT(ASTemp!K907,Decimals)</f>
        <v/>
      </c>
      <c r="L907" s="69" t="str">
        <f>TEXT(ASTemp!L907,Decimals)</f>
        <v/>
      </c>
      <c r="M907" s="71" t="str">
        <f>TEXT(ASTemp!M907,Percentages)</f>
        <v/>
      </c>
      <c r="N907" s="72" t="str">
        <f>TEXT(ASTemp!N907,Percentages)</f>
        <v/>
      </c>
    </row>
    <row r="908" ht="14.25" customHeight="1">
      <c r="B908" s="66" t="str">
        <f>ASTemp!B908</f>
        <v/>
      </c>
      <c r="C908" s="67" t="str">
        <f>ASTemp!C908</f>
        <v/>
      </c>
      <c r="D908" s="68" t="str">
        <f>ASTemp!D908</f>
        <v/>
      </c>
      <c r="E908" s="65" t="str">
        <f>ASTemp!E908</f>
        <v/>
      </c>
      <c r="F908" s="69" t="str">
        <f>TEXT(ASTemp!F908,Decimals)</f>
        <v/>
      </c>
      <c r="G908" s="69" t="str">
        <f>TEXT(ASTemp!G908,Decimals)</f>
        <v/>
      </c>
      <c r="H908" s="69" t="str">
        <f>TEXT(ASTemp!H908,Decimals)</f>
        <v/>
      </c>
      <c r="I908" s="69" t="str">
        <f>TEXT(ASTemp!I908,Decimals)</f>
        <v/>
      </c>
      <c r="J908" s="69" t="str">
        <f>TEXT(ASTemp!J908,Decimals)</f>
        <v/>
      </c>
      <c r="K908" s="69" t="str">
        <f>TEXT(ASTemp!K908,Decimals)</f>
        <v/>
      </c>
      <c r="L908" s="69" t="str">
        <f>TEXT(ASTemp!L908,Decimals)</f>
        <v/>
      </c>
      <c r="M908" s="71" t="str">
        <f>TEXT(ASTemp!M908,Percentages)</f>
        <v/>
      </c>
      <c r="N908" s="72" t="str">
        <f>TEXT(ASTemp!N908,Percentages)</f>
        <v/>
      </c>
    </row>
    <row r="909" ht="14.25" customHeight="1">
      <c r="B909" s="66" t="str">
        <f>ASTemp!B909</f>
        <v/>
      </c>
      <c r="C909" s="67" t="str">
        <f>ASTemp!C909</f>
        <v/>
      </c>
      <c r="D909" s="68" t="str">
        <f>ASTemp!D909</f>
        <v/>
      </c>
      <c r="E909" s="65" t="str">
        <f>ASTemp!E909</f>
        <v/>
      </c>
      <c r="F909" s="69" t="str">
        <f>TEXT(ASTemp!F909,Decimals)</f>
        <v/>
      </c>
      <c r="G909" s="69" t="str">
        <f>TEXT(ASTemp!G909,Decimals)</f>
        <v/>
      </c>
      <c r="H909" s="69" t="str">
        <f>TEXT(ASTemp!H909,Decimals)</f>
        <v/>
      </c>
      <c r="I909" s="69" t="str">
        <f>TEXT(ASTemp!I909,Decimals)</f>
        <v/>
      </c>
      <c r="J909" s="69" t="str">
        <f>TEXT(ASTemp!J909,Decimals)</f>
        <v/>
      </c>
      <c r="K909" s="69" t="str">
        <f>TEXT(ASTemp!K909,Decimals)</f>
        <v/>
      </c>
      <c r="L909" s="69" t="str">
        <f>TEXT(ASTemp!L909,Decimals)</f>
        <v/>
      </c>
      <c r="M909" s="71" t="str">
        <f>TEXT(ASTemp!M909,Percentages)</f>
        <v/>
      </c>
      <c r="N909" s="72" t="str">
        <f>TEXT(ASTemp!N909,Percentages)</f>
        <v/>
      </c>
    </row>
    <row r="910" ht="14.25" customHeight="1">
      <c r="B910" s="66" t="str">
        <f>ASTemp!B910</f>
        <v/>
      </c>
      <c r="C910" s="67" t="str">
        <f>ASTemp!C910</f>
        <v/>
      </c>
      <c r="D910" s="68" t="str">
        <f>ASTemp!D910</f>
        <v/>
      </c>
      <c r="E910" s="65" t="str">
        <f>ASTemp!E910</f>
        <v/>
      </c>
      <c r="F910" s="69" t="str">
        <f>TEXT(ASTemp!F910,Decimals)</f>
        <v/>
      </c>
      <c r="G910" s="69" t="str">
        <f>TEXT(ASTemp!G910,Decimals)</f>
        <v/>
      </c>
      <c r="H910" s="69" t="str">
        <f>TEXT(ASTemp!H910,Decimals)</f>
        <v/>
      </c>
      <c r="I910" s="69" t="str">
        <f>TEXT(ASTemp!I910,Decimals)</f>
        <v/>
      </c>
      <c r="J910" s="69" t="str">
        <f>TEXT(ASTemp!J910,Decimals)</f>
        <v/>
      </c>
      <c r="K910" s="69" t="str">
        <f>TEXT(ASTemp!K910,Decimals)</f>
        <v/>
      </c>
      <c r="L910" s="69" t="str">
        <f>TEXT(ASTemp!L910,Decimals)</f>
        <v/>
      </c>
      <c r="M910" s="71" t="str">
        <f>TEXT(ASTemp!M910,Percentages)</f>
        <v/>
      </c>
      <c r="N910" s="72" t="str">
        <f>TEXT(ASTemp!N910,Percentages)</f>
        <v/>
      </c>
    </row>
    <row r="911" ht="14.25" customHeight="1">
      <c r="B911" s="66" t="str">
        <f>ASTemp!B911</f>
        <v/>
      </c>
      <c r="C911" s="67" t="str">
        <f>ASTemp!C911</f>
        <v/>
      </c>
      <c r="D911" s="68" t="str">
        <f>ASTemp!D911</f>
        <v/>
      </c>
      <c r="E911" s="65" t="str">
        <f>ASTemp!E911</f>
        <v/>
      </c>
      <c r="F911" s="69" t="str">
        <f>TEXT(ASTemp!F911,Decimals)</f>
        <v/>
      </c>
      <c r="G911" s="69" t="str">
        <f>TEXT(ASTemp!G911,Decimals)</f>
        <v/>
      </c>
      <c r="H911" s="69" t="str">
        <f>TEXT(ASTemp!H911,Decimals)</f>
        <v/>
      </c>
      <c r="I911" s="69" t="str">
        <f>TEXT(ASTemp!I911,Decimals)</f>
        <v/>
      </c>
      <c r="J911" s="69" t="str">
        <f>TEXT(ASTemp!J911,Decimals)</f>
        <v/>
      </c>
      <c r="K911" s="69" t="str">
        <f>TEXT(ASTemp!K911,Decimals)</f>
        <v/>
      </c>
      <c r="L911" s="69" t="str">
        <f>TEXT(ASTemp!L911,Decimals)</f>
        <v/>
      </c>
      <c r="M911" s="71" t="str">
        <f>TEXT(ASTemp!M911,Percentages)</f>
        <v/>
      </c>
      <c r="N911" s="72" t="str">
        <f>TEXT(ASTemp!N911,Percentages)</f>
        <v/>
      </c>
    </row>
    <row r="912" ht="14.25" customHeight="1">
      <c r="B912" s="66" t="str">
        <f>ASTemp!B912</f>
        <v/>
      </c>
      <c r="C912" s="67" t="str">
        <f>ASTemp!C912</f>
        <v/>
      </c>
      <c r="D912" s="68" t="str">
        <f>ASTemp!D912</f>
        <v/>
      </c>
      <c r="E912" s="65" t="str">
        <f>ASTemp!E912</f>
        <v/>
      </c>
      <c r="F912" s="69" t="str">
        <f>TEXT(ASTemp!F912,Decimals)</f>
        <v/>
      </c>
      <c r="G912" s="69" t="str">
        <f>TEXT(ASTemp!G912,Decimals)</f>
        <v/>
      </c>
      <c r="H912" s="69" t="str">
        <f>TEXT(ASTemp!H912,Decimals)</f>
        <v/>
      </c>
      <c r="I912" s="69" t="str">
        <f>TEXT(ASTemp!I912,Decimals)</f>
        <v/>
      </c>
      <c r="J912" s="69" t="str">
        <f>TEXT(ASTemp!J912,Decimals)</f>
        <v/>
      </c>
      <c r="K912" s="69" t="str">
        <f>TEXT(ASTemp!K912,Decimals)</f>
        <v/>
      </c>
      <c r="L912" s="69" t="str">
        <f>TEXT(ASTemp!L912,Decimals)</f>
        <v/>
      </c>
      <c r="M912" s="71" t="str">
        <f>TEXT(ASTemp!M912,Percentages)</f>
        <v/>
      </c>
      <c r="N912" s="72" t="str">
        <f>TEXT(ASTemp!N912,Percentages)</f>
        <v/>
      </c>
    </row>
    <row r="913" ht="14.25" customHeight="1">
      <c r="B913" s="66" t="str">
        <f>ASTemp!B913</f>
        <v/>
      </c>
      <c r="C913" s="67" t="str">
        <f>ASTemp!C913</f>
        <v/>
      </c>
      <c r="D913" s="68" t="str">
        <f>ASTemp!D913</f>
        <v/>
      </c>
      <c r="E913" s="65" t="str">
        <f>ASTemp!E913</f>
        <v/>
      </c>
      <c r="F913" s="69" t="str">
        <f>TEXT(ASTemp!F913,Decimals)</f>
        <v/>
      </c>
      <c r="G913" s="69" t="str">
        <f>TEXT(ASTemp!G913,Decimals)</f>
        <v/>
      </c>
      <c r="H913" s="69" t="str">
        <f>TEXT(ASTemp!H913,Decimals)</f>
        <v/>
      </c>
      <c r="I913" s="69" t="str">
        <f>TEXT(ASTemp!I913,Decimals)</f>
        <v/>
      </c>
      <c r="J913" s="69" t="str">
        <f>TEXT(ASTemp!J913,Decimals)</f>
        <v/>
      </c>
      <c r="K913" s="69" t="str">
        <f>TEXT(ASTemp!K913,Decimals)</f>
        <v/>
      </c>
      <c r="L913" s="69" t="str">
        <f>TEXT(ASTemp!L913,Decimals)</f>
        <v/>
      </c>
      <c r="M913" s="71" t="str">
        <f>TEXT(ASTemp!M913,Percentages)</f>
        <v/>
      </c>
      <c r="N913" s="72" t="str">
        <f>TEXT(ASTemp!N913,Percentages)</f>
        <v/>
      </c>
    </row>
    <row r="914" ht="14.25" customHeight="1">
      <c r="B914" s="66" t="str">
        <f>ASTemp!B914</f>
        <v/>
      </c>
      <c r="C914" s="67" t="str">
        <f>ASTemp!C914</f>
        <v/>
      </c>
      <c r="D914" s="68" t="str">
        <f>ASTemp!D914</f>
        <v/>
      </c>
      <c r="E914" s="65" t="str">
        <f>ASTemp!E914</f>
        <v/>
      </c>
      <c r="F914" s="69" t="str">
        <f>TEXT(ASTemp!F914,Decimals)</f>
        <v/>
      </c>
      <c r="G914" s="69" t="str">
        <f>TEXT(ASTemp!G914,Decimals)</f>
        <v/>
      </c>
      <c r="H914" s="69" t="str">
        <f>TEXT(ASTemp!H914,Decimals)</f>
        <v/>
      </c>
      <c r="I914" s="69" t="str">
        <f>TEXT(ASTemp!I914,Decimals)</f>
        <v/>
      </c>
      <c r="J914" s="69" t="str">
        <f>TEXT(ASTemp!J914,Decimals)</f>
        <v/>
      </c>
      <c r="K914" s="69" t="str">
        <f>TEXT(ASTemp!K914,Decimals)</f>
        <v/>
      </c>
      <c r="L914" s="69" t="str">
        <f>TEXT(ASTemp!L914,Decimals)</f>
        <v/>
      </c>
      <c r="M914" s="71" t="str">
        <f>TEXT(ASTemp!M914,Percentages)</f>
        <v/>
      </c>
      <c r="N914" s="72" t="str">
        <f>TEXT(ASTemp!N914,Percentages)</f>
        <v/>
      </c>
    </row>
    <row r="915" ht="14.25" customHeight="1">
      <c r="B915" s="66" t="str">
        <f>ASTemp!B915</f>
        <v/>
      </c>
      <c r="C915" s="67" t="str">
        <f>ASTemp!C915</f>
        <v/>
      </c>
      <c r="D915" s="68" t="str">
        <f>ASTemp!D915</f>
        <v/>
      </c>
      <c r="E915" s="65" t="str">
        <f>ASTemp!E915</f>
        <v/>
      </c>
      <c r="F915" s="69" t="str">
        <f>TEXT(ASTemp!F915,Decimals)</f>
        <v/>
      </c>
      <c r="G915" s="69" t="str">
        <f>TEXT(ASTemp!G915,Decimals)</f>
        <v/>
      </c>
      <c r="H915" s="69" t="str">
        <f>TEXT(ASTemp!H915,Decimals)</f>
        <v/>
      </c>
      <c r="I915" s="69" t="str">
        <f>TEXT(ASTemp!I915,Decimals)</f>
        <v/>
      </c>
      <c r="J915" s="69" t="str">
        <f>TEXT(ASTemp!J915,Decimals)</f>
        <v/>
      </c>
      <c r="K915" s="69" t="str">
        <f>TEXT(ASTemp!K915,Decimals)</f>
        <v/>
      </c>
      <c r="L915" s="69" t="str">
        <f>TEXT(ASTemp!L915,Decimals)</f>
        <v/>
      </c>
      <c r="M915" s="71" t="str">
        <f>TEXT(ASTemp!M915,Percentages)</f>
        <v/>
      </c>
      <c r="N915" s="72" t="str">
        <f>TEXT(ASTemp!N915,Percentages)</f>
        <v/>
      </c>
    </row>
    <row r="916" ht="14.25" customHeight="1">
      <c r="B916" s="66" t="str">
        <f>ASTemp!B916</f>
        <v/>
      </c>
      <c r="C916" s="67" t="str">
        <f>ASTemp!C916</f>
        <v/>
      </c>
      <c r="D916" s="68" t="str">
        <f>ASTemp!D916</f>
        <v/>
      </c>
      <c r="E916" s="65" t="str">
        <f>ASTemp!E916</f>
        <v/>
      </c>
      <c r="F916" s="69" t="str">
        <f>TEXT(ASTemp!F916,Decimals)</f>
        <v/>
      </c>
      <c r="G916" s="69" t="str">
        <f>TEXT(ASTemp!G916,Decimals)</f>
        <v/>
      </c>
      <c r="H916" s="69" t="str">
        <f>TEXT(ASTemp!H916,Decimals)</f>
        <v/>
      </c>
      <c r="I916" s="69" t="str">
        <f>TEXT(ASTemp!I916,Decimals)</f>
        <v/>
      </c>
      <c r="J916" s="69" t="str">
        <f>TEXT(ASTemp!J916,Decimals)</f>
        <v/>
      </c>
      <c r="K916" s="69" t="str">
        <f>TEXT(ASTemp!K916,Decimals)</f>
        <v/>
      </c>
      <c r="L916" s="69" t="str">
        <f>TEXT(ASTemp!L916,Decimals)</f>
        <v/>
      </c>
      <c r="M916" s="71" t="str">
        <f>TEXT(ASTemp!M916,Percentages)</f>
        <v/>
      </c>
      <c r="N916" s="72" t="str">
        <f>TEXT(ASTemp!N916,Percentages)</f>
        <v/>
      </c>
    </row>
    <row r="917" ht="14.25" customHeight="1">
      <c r="B917" s="66" t="str">
        <f>ASTemp!B917</f>
        <v/>
      </c>
      <c r="C917" s="67" t="str">
        <f>ASTemp!C917</f>
        <v/>
      </c>
      <c r="D917" s="68" t="str">
        <f>ASTemp!D917</f>
        <v/>
      </c>
      <c r="E917" s="65" t="str">
        <f>ASTemp!E917</f>
        <v/>
      </c>
      <c r="F917" s="69" t="str">
        <f>TEXT(ASTemp!F917,Decimals)</f>
        <v/>
      </c>
      <c r="G917" s="69" t="str">
        <f>TEXT(ASTemp!G917,Decimals)</f>
        <v/>
      </c>
      <c r="H917" s="69" t="str">
        <f>TEXT(ASTemp!H917,Decimals)</f>
        <v/>
      </c>
      <c r="I917" s="69" t="str">
        <f>TEXT(ASTemp!I917,Decimals)</f>
        <v/>
      </c>
      <c r="J917" s="69" t="str">
        <f>TEXT(ASTemp!J917,Decimals)</f>
        <v/>
      </c>
      <c r="K917" s="69" t="str">
        <f>TEXT(ASTemp!K917,Decimals)</f>
        <v/>
      </c>
      <c r="L917" s="69" t="str">
        <f>TEXT(ASTemp!L917,Decimals)</f>
        <v/>
      </c>
      <c r="M917" s="71" t="str">
        <f>TEXT(ASTemp!M917,Percentages)</f>
        <v/>
      </c>
      <c r="N917" s="72" t="str">
        <f>TEXT(ASTemp!N917,Percentages)</f>
        <v/>
      </c>
    </row>
    <row r="918" ht="14.25" customHeight="1">
      <c r="B918" s="66" t="str">
        <f>ASTemp!B918</f>
        <v/>
      </c>
      <c r="C918" s="67" t="str">
        <f>ASTemp!C918</f>
        <v/>
      </c>
      <c r="D918" s="68" t="str">
        <f>ASTemp!D918</f>
        <v/>
      </c>
      <c r="E918" s="65" t="str">
        <f>ASTemp!E918</f>
        <v/>
      </c>
      <c r="F918" s="69" t="str">
        <f>TEXT(ASTemp!F918,Decimals)</f>
        <v/>
      </c>
      <c r="G918" s="69" t="str">
        <f>TEXT(ASTemp!G918,Decimals)</f>
        <v/>
      </c>
      <c r="H918" s="69" t="str">
        <f>TEXT(ASTemp!H918,Decimals)</f>
        <v/>
      </c>
      <c r="I918" s="69" t="str">
        <f>TEXT(ASTemp!I918,Decimals)</f>
        <v/>
      </c>
      <c r="J918" s="69" t="str">
        <f>TEXT(ASTemp!J918,Decimals)</f>
        <v/>
      </c>
      <c r="K918" s="69" t="str">
        <f>TEXT(ASTemp!K918,Decimals)</f>
        <v/>
      </c>
      <c r="L918" s="69" t="str">
        <f>TEXT(ASTemp!L918,Decimals)</f>
        <v/>
      </c>
      <c r="M918" s="71" t="str">
        <f>TEXT(ASTemp!M918,Percentages)</f>
        <v/>
      </c>
      <c r="N918" s="72" t="str">
        <f>TEXT(ASTemp!N918,Percentages)</f>
        <v/>
      </c>
    </row>
    <row r="919" ht="14.25" customHeight="1">
      <c r="B919" s="66" t="str">
        <f>ASTemp!B919</f>
        <v/>
      </c>
      <c r="C919" s="67" t="str">
        <f>ASTemp!C919</f>
        <v/>
      </c>
      <c r="D919" s="68" t="str">
        <f>ASTemp!D919</f>
        <v/>
      </c>
      <c r="E919" s="65" t="str">
        <f>ASTemp!E919</f>
        <v/>
      </c>
      <c r="F919" s="69" t="str">
        <f>TEXT(ASTemp!F919,Decimals)</f>
        <v/>
      </c>
      <c r="G919" s="69" t="str">
        <f>TEXT(ASTemp!G919,Decimals)</f>
        <v/>
      </c>
      <c r="H919" s="69" t="str">
        <f>TEXT(ASTemp!H919,Decimals)</f>
        <v/>
      </c>
      <c r="I919" s="69" t="str">
        <f>TEXT(ASTemp!I919,Decimals)</f>
        <v/>
      </c>
      <c r="J919" s="69" t="str">
        <f>TEXT(ASTemp!J919,Decimals)</f>
        <v/>
      </c>
      <c r="K919" s="69" t="str">
        <f>TEXT(ASTemp!K919,Decimals)</f>
        <v/>
      </c>
      <c r="L919" s="69" t="str">
        <f>TEXT(ASTemp!L919,Decimals)</f>
        <v/>
      </c>
      <c r="M919" s="71" t="str">
        <f>TEXT(ASTemp!M919,Percentages)</f>
        <v/>
      </c>
      <c r="N919" s="72" t="str">
        <f>TEXT(ASTemp!N919,Percentages)</f>
        <v/>
      </c>
    </row>
    <row r="920" ht="14.25" customHeight="1">
      <c r="B920" s="66" t="str">
        <f>ASTemp!B920</f>
        <v/>
      </c>
      <c r="C920" s="67" t="str">
        <f>ASTemp!C920</f>
        <v/>
      </c>
      <c r="D920" s="68" t="str">
        <f>ASTemp!D920</f>
        <v/>
      </c>
      <c r="E920" s="65" t="str">
        <f>ASTemp!E920</f>
        <v/>
      </c>
      <c r="F920" s="69" t="str">
        <f>TEXT(ASTemp!F920,Decimals)</f>
        <v/>
      </c>
      <c r="G920" s="69" t="str">
        <f>TEXT(ASTemp!G920,Decimals)</f>
        <v/>
      </c>
      <c r="H920" s="69" t="str">
        <f>TEXT(ASTemp!H920,Decimals)</f>
        <v/>
      </c>
      <c r="I920" s="69" t="str">
        <f>TEXT(ASTemp!I920,Decimals)</f>
        <v/>
      </c>
      <c r="J920" s="69" t="str">
        <f>TEXT(ASTemp!J920,Decimals)</f>
        <v/>
      </c>
      <c r="K920" s="69" t="str">
        <f>TEXT(ASTemp!K920,Decimals)</f>
        <v/>
      </c>
      <c r="L920" s="69" t="str">
        <f>TEXT(ASTemp!L920,Decimals)</f>
        <v/>
      </c>
      <c r="M920" s="71" t="str">
        <f>TEXT(ASTemp!M920,Percentages)</f>
        <v/>
      </c>
      <c r="N920" s="72" t="str">
        <f>TEXT(ASTemp!N920,Percentages)</f>
        <v/>
      </c>
    </row>
    <row r="921" ht="14.25" customHeight="1">
      <c r="B921" s="66" t="str">
        <f>ASTemp!B921</f>
        <v/>
      </c>
      <c r="C921" s="67" t="str">
        <f>ASTemp!C921</f>
        <v/>
      </c>
      <c r="D921" s="68" t="str">
        <f>ASTemp!D921</f>
        <v/>
      </c>
      <c r="E921" s="65" t="str">
        <f>ASTemp!E921</f>
        <v/>
      </c>
      <c r="F921" s="69" t="str">
        <f>TEXT(ASTemp!F921,Decimals)</f>
        <v/>
      </c>
      <c r="G921" s="69" t="str">
        <f>TEXT(ASTemp!G921,Decimals)</f>
        <v/>
      </c>
      <c r="H921" s="69" t="str">
        <f>TEXT(ASTemp!H921,Decimals)</f>
        <v/>
      </c>
      <c r="I921" s="69" t="str">
        <f>TEXT(ASTemp!I921,Decimals)</f>
        <v/>
      </c>
      <c r="J921" s="69" t="str">
        <f>TEXT(ASTemp!J921,Decimals)</f>
        <v/>
      </c>
      <c r="K921" s="69" t="str">
        <f>TEXT(ASTemp!K921,Decimals)</f>
        <v/>
      </c>
      <c r="L921" s="69" t="str">
        <f>TEXT(ASTemp!L921,Decimals)</f>
        <v/>
      </c>
      <c r="M921" s="71" t="str">
        <f>TEXT(ASTemp!M921,Percentages)</f>
        <v/>
      </c>
      <c r="N921" s="72" t="str">
        <f>TEXT(ASTemp!N921,Percentages)</f>
        <v/>
      </c>
    </row>
    <row r="922" ht="14.25" customHeight="1">
      <c r="B922" s="66" t="str">
        <f>ASTemp!B922</f>
        <v/>
      </c>
      <c r="C922" s="67" t="str">
        <f>ASTemp!C922</f>
        <v/>
      </c>
      <c r="D922" s="68" t="str">
        <f>ASTemp!D922</f>
        <v/>
      </c>
      <c r="E922" s="65" t="str">
        <f>ASTemp!E922</f>
        <v/>
      </c>
      <c r="F922" s="69" t="str">
        <f>TEXT(ASTemp!F922,Decimals)</f>
        <v/>
      </c>
      <c r="G922" s="69" t="str">
        <f>TEXT(ASTemp!G922,Decimals)</f>
        <v/>
      </c>
      <c r="H922" s="69" t="str">
        <f>TEXT(ASTemp!H922,Decimals)</f>
        <v/>
      </c>
      <c r="I922" s="69" t="str">
        <f>TEXT(ASTemp!I922,Decimals)</f>
        <v/>
      </c>
      <c r="J922" s="69" t="str">
        <f>TEXT(ASTemp!J922,Decimals)</f>
        <v/>
      </c>
      <c r="K922" s="69" t="str">
        <f>TEXT(ASTemp!K922,Decimals)</f>
        <v/>
      </c>
      <c r="L922" s="69" t="str">
        <f>TEXT(ASTemp!L922,Decimals)</f>
        <v/>
      </c>
      <c r="M922" s="71" t="str">
        <f>TEXT(ASTemp!M922,Percentages)</f>
        <v/>
      </c>
      <c r="N922" s="72" t="str">
        <f>TEXT(ASTemp!N922,Percentages)</f>
        <v/>
      </c>
    </row>
    <row r="923" ht="14.25" customHeight="1">
      <c r="B923" s="66" t="str">
        <f>ASTemp!B923</f>
        <v/>
      </c>
      <c r="C923" s="67" t="str">
        <f>ASTemp!C923</f>
        <v/>
      </c>
      <c r="D923" s="68" t="str">
        <f>ASTemp!D923</f>
        <v/>
      </c>
      <c r="E923" s="65" t="str">
        <f>ASTemp!E923</f>
        <v/>
      </c>
      <c r="F923" s="69" t="str">
        <f>TEXT(ASTemp!F923,Decimals)</f>
        <v/>
      </c>
      <c r="G923" s="69" t="str">
        <f>TEXT(ASTemp!G923,Decimals)</f>
        <v/>
      </c>
      <c r="H923" s="69" t="str">
        <f>TEXT(ASTemp!H923,Decimals)</f>
        <v/>
      </c>
      <c r="I923" s="69" t="str">
        <f>TEXT(ASTemp!I923,Decimals)</f>
        <v/>
      </c>
      <c r="J923" s="69" t="str">
        <f>TEXT(ASTemp!J923,Decimals)</f>
        <v/>
      </c>
      <c r="K923" s="69" t="str">
        <f>TEXT(ASTemp!K923,Decimals)</f>
        <v/>
      </c>
      <c r="L923" s="69" t="str">
        <f>TEXT(ASTemp!L923,Decimals)</f>
        <v/>
      </c>
      <c r="M923" s="71" t="str">
        <f>TEXT(ASTemp!M923,Percentages)</f>
        <v/>
      </c>
      <c r="N923" s="72" t="str">
        <f>TEXT(ASTemp!N923,Percentages)</f>
        <v/>
      </c>
    </row>
    <row r="924" ht="14.25" customHeight="1">
      <c r="B924" s="66" t="str">
        <f>ASTemp!B924</f>
        <v/>
      </c>
      <c r="C924" s="67" t="str">
        <f>ASTemp!C924</f>
        <v/>
      </c>
      <c r="D924" s="68" t="str">
        <f>ASTemp!D924</f>
        <v/>
      </c>
      <c r="E924" s="65" t="str">
        <f>ASTemp!E924</f>
        <v/>
      </c>
      <c r="F924" s="69" t="str">
        <f>TEXT(ASTemp!F924,Decimals)</f>
        <v/>
      </c>
      <c r="G924" s="69" t="str">
        <f>TEXT(ASTemp!G924,Decimals)</f>
        <v/>
      </c>
      <c r="H924" s="69" t="str">
        <f>TEXT(ASTemp!H924,Decimals)</f>
        <v/>
      </c>
      <c r="I924" s="69" t="str">
        <f>TEXT(ASTemp!I924,Decimals)</f>
        <v/>
      </c>
      <c r="J924" s="69" t="str">
        <f>TEXT(ASTemp!J924,Decimals)</f>
        <v/>
      </c>
      <c r="K924" s="69" t="str">
        <f>TEXT(ASTemp!K924,Decimals)</f>
        <v/>
      </c>
      <c r="L924" s="69" t="str">
        <f>TEXT(ASTemp!L924,Decimals)</f>
        <v/>
      </c>
      <c r="M924" s="71" t="str">
        <f>TEXT(ASTemp!M924,Percentages)</f>
        <v/>
      </c>
      <c r="N924" s="72" t="str">
        <f>TEXT(ASTemp!N924,Percentages)</f>
        <v/>
      </c>
    </row>
    <row r="925" ht="14.25" customHeight="1">
      <c r="B925" s="66" t="str">
        <f>ASTemp!B925</f>
        <v/>
      </c>
      <c r="C925" s="67" t="str">
        <f>ASTemp!C925</f>
        <v/>
      </c>
      <c r="D925" s="68" t="str">
        <f>ASTemp!D925</f>
        <v/>
      </c>
      <c r="E925" s="65" t="str">
        <f>ASTemp!E925</f>
        <v/>
      </c>
      <c r="F925" s="69" t="str">
        <f>TEXT(ASTemp!F925,Decimals)</f>
        <v/>
      </c>
      <c r="G925" s="69" t="str">
        <f>TEXT(ASTemp!G925,Decimals)</f>
        <v/>
      </c>
      <c r="H925" s="69" t="str">
        <f>TEXT(ASTemp!H925,Decimals)</f>
        <v/>
      </c>
      <c r="I925" s="69" t="str">
        <f>TEXT(ASTemp!I925,Decimals)</f>
        <v/>
      </c>
      <c r="J925" s="69" t="str">
        <f>TEXT(ASTemp!J925,Decimals)</f>
        <v/>
      </c>
      <c r="K925" s="69" t="str">
        <f>TEXT(ASTemp!K925,Decimals)</f>
        <v/>
      </c>
      <c r="L925" s="69" t="str">
        <f>TEXT(ASTemp!L925,Decimals)</f>
        <v/>
      </c>
      <c r="M925" s="71" t="str">
        <f>TEXT(ASTemp!M925,Percentages)</f>
        <v/>
      </c>
      <c r="N925" s="72" t="str">
        <f>TEXT(ASTemp!N925,Percentages)</f>
        <v/>
      </c>
    </row>
    <row r="926" ht="14.25" customHeight="1">
      <c r="B926" s="66" t="str">
        <f>ASTemp!B926</f>
        <v/>
      </c>
      <c r="C926" s="67" t="str">
        <f>ASTemp!C926</f>
        <v/>
      </c>
      <c r="D926" s="68" t="str">
        <f>ASTemp!D926</f>
        <v/>
      </c>
      <c r="E926" s="65" t="str">
        <f>ASTemp!E926</f>
        <v/>
      </c>
      <c r="F926" s="69" t="str">
        <f>TEXT(ASTemp!F926,Decimals)</f>
        <v/>
      </c>
      <c r="G926" s="69" t="str">
        <f>TEXT(ASTemp!G926,Decimals)</f>
        <v/>
      </c>
      <c r="H926" s="69" t="str">
        <f>TEXT(ASTemp!H926,Decimals)</f>
        <v/>
      </c>
      <c r="I926" s="69" t="str">
        <f>TEXT(ASTemp!I926,Decimals)</f>
        <v/>
      </c>
      <c r="J926" s="69" t="str">
        <f>TEXT(ASTemp!J926,Decimals)</f>
        <v/>
      </c>
      <c r="K926" s="69" t="str">
        <f>TEXT(ASTemp!K926,Decimals)</f>
        <v/>
      </c>
      <c r="L926" s="69" t="str">
        <f>TEXT(ASTemp!L926,Decimals)</f>
        <v/>
      </c>
      <c r="M926" s="71" t="str">
        <f>TEXT(ASTemp!M926,Percentages)</f>
        <v/>
      </c>
      <c r="N926" s="72" t="str">
        <f>TEXT(ASTemp!N926,Percentages)</f>
        <v/>
      </c>
    </row>
    <row r="927" ht="14.25" customHeight="1">
      <c r="B927" s="66" t="str">
        <f>ASTemp!B927</f>
        <v/>
      </c>
      <c r="C927" s="67" t="str">
        <f>ASTemp!C927</f>
        <v/>
      </c>
      <c r="D927" s="68" t="str">
        <f>ASTemp!D927</f>
        <v/>
      </c>
      <c r="E927" s="65" t="str">
        <f>ASTemp!E927</f>
        <v/>
      </c>
      <c r="F927" s="69" t="str">
        <f>TEXT(ASTemp!F927,Decimals)</f>
        <v/>
      </c>
      <c r="G927" s="69" t="str">
        <f>TEXT(ASTemp!G927,Decimals)</f>
        <v/>
      </c>
      <c r="H927" s="69" t="str">
        <f>TEXT(ASTemp!H927,Decimals)</f>
        <v/>
      </c>
      <c r="I927" s="69" t="str">
        <f>TEXT(ASTemp!I927,Decimals)</f>
        <v/>
      </c>
      <c r="J927" s="69" t="str">
        <f>TEXT(ASTemp!J927,Decimals)</f>
        <v/>
      </c>
      <c r="K927" s="69" t="str">
        <f>TEXT(ASTemp!K927,Decimals)</f>
        <v/>
      </c>
      <c r="L927" s="69" t="str">
        <f>TEXT(ASTemp!L927,Decimals)</f>
        <v/>
      </c>
      <c r="M927" s="71" t="str">
        <f>TEXT(ASTemp!M927,Percentages)</f>
        <v/>
      </c>
      <c r="N927" s="72" t="str">
        <f>TEXT(ASTemp!N927,Percentages)</f>
        <v/>
      </c>
    </row>
    <row r="928" ht="14.25" customHeight="1">
      <c r="B928" s="66" t="str">
        <f>ASTemp!B928</f>
        <v/>
      </c>
      <c r="C928" s="67" t="str">
        <f>ASTemp!C928</f>
        <v/>
      </c>
      <c r="D928" s="68" t="str">
        <f>ASTemp!D928</f>
        <v/>
      </c>
      <c r="E928" s="65" t="str">
        <f>ASTemp!E928</f>
        <v/>
      </c>
      <c r="F928" s="69" t="str">
        <f>TEXT(ASTemp!F928,Decimals)</f>
        <v/>
      </c>
      <c r="G928" s="69" t="str">
        <f>TEXT(ASTemp!G928,Decimals)</f>
        <v/>
      </c>
      <c r="H928" s="69" t="str">
        <f>TEXT(ASTemp!H928,Decimals)</f>
        <v/>
      </c>
      <c r="I928" s="69" t="str">
        <f>TEXT(ASTemp!I928,Decimals)</f>
        <v/>
      </c>
      <c r="J928" s="69" t="str">
        <f>TEXT(ASTemp!J928,Decimals)</f>
        <v/>
      </c>
      <c r="K928" s="69" t="str">
        <f>TEXT(ASTemp!K928,Decimals)</f>
        <v/>
      </c>
      <c r="L928" s="69" t="str">
        <f>TEXT(ASTemp!L928,Decimals)</f>
        <v/>
      </c>
      <c r="M928" s="71" t="str">
        <f>TEXT(ASTemp!M928,Percentages)</f>
        <v/>
      </c>
      <c r="N928" s="72" t="str">
        <f>TEXT(ASTemp!N928,Percentages)</f>
        <v/>
      </c>
    </row>
    <row r="929" ht="14.25" customHeight="1">
      <c r="B929" s="66" t="str">
        <f>ASTemp!B929</f>
        <v/>
      </c>
      <c r="C929" s="67" t="str">
        <f>ASTemp!C929</f>
        <v/>
      </c>
      <c r="D929" s="68" t="str">
        <f>ASTemp!D929</f>
        <v/>
      </c>
      <c r="E929" s="65" t="str">
        <f>ASTemp!E929</f>
        <v/>
      </c>
      <c r="F929" s="69" t="str">
        <f>TEXT(ASTemp!F929,Decimals)</f>
        <v/>
      </c>
      <c r="G929" s="69" t="str">
        <f>TEXT(ASTemp!G929,Decimals)</f>
        <v/>
      </c>
      <c r="H929" s="69" t="str">
        <f>TEXT(ASTemp!H929,Decimals)</f>
        <v/>
      </c>
      <c r="I929" s="69" t="str">
        <f>TEXT(ASTemp!I929,Decimals)</f>
        <v/>
      </c>
      <c r="J929" s="69" t="str">
        <f>TEXT(ASTemp!J929,Decimals)</f>
        <v/>
      </c>
      <c r="K929" s="69" t="str">
        <f>TEXT(ASTemp!K929,Decimals)</f>
        <v/>
      </c>
      <c r="L929" s="69" t="str">
        <f>TEXT(ASTemp!L929,Decimals)</f>
        <v/>
      </c>
      <c r="M929" s="71" t="str">
        <f>TEXT(ASTemp!M929,Percentages)</f>
        <v/>
      </c>
      <c r="N929" s="72" t="str">
        <f>TEXT(ASTemp!N929,Percentages)</f>
        <v/>
      </c>
    </row>
    <row r="930" ht="14.25" customHeight="1">
      <c r="B930" s="66" t="str">
        <f>ASTemp!B930</f>
        <v/>
      </c>
      <c r="C930" s="67" t="str">
        <f>ASTemp!C930</f>
        <v/>
      </c>
      <c r="D930" s="68" t="str">
        <f>ASTemp!D930</f>
        <v/>
      </c>
      <c r="E930" s="65" t="str">
        <f>ASTemp!E930</f>
        <v/>
      </c>
      <c r="F930" s="69" t="str">
        <f>TEXT(ASTemp!F930,Decimals)</f>
        <v/>
      </c>
      <c r="G930" s="69" t="str">
        <f>TEXT(ASTemp!G930,Decimals)</f>
        <v/>
      </c>
      <c r="H930" s="69" t="str">
        <f>TEXT(ASTemp!H930,Decimals)</f>
        <v/>
      </c>
      <c r="I930" s="69" t="str">
        <f>TEXT(ASTemp!I930,Decimals)</f>
        <v/>
      </c>
      <c r="J930" s="69" t="str">
        <f>TEXT(ASTemp!J930,Decimals)</f>
        <v/>
      </c>
      <c r="K930" s="69" t="str">
        <f>TEXT(ASTemp!K930,Decimals)</f>
        <v/>
      </c>
      <c r="L930" s="69" t="str">
        <f>TEXT(ASTemp!L930,Decimals)</f>
        <v/>
      </c>
      <c r="M930" s="71" t="str">
        <f>TEXT(ASTemp!M930,Percentages)</f>
        <v/>
      </c>
      <c r="N930" s="72" t="str">
        <f>TEXT(ASTemp!N930,Percentages)</f>
        <v/>
      </c>
    </row>
    <row r="931" ht="14.25" customHeight="1">
      <c r="B931" s="66" t="str">
        <f>ASTemp!B931</f>
        <v/>
      </c>
      <c r="C931" s="67" t="str">
        <f>ASTemp!C931</f>
        <v/>
      </c>
      <c r="D931" s="68" t="str">
        <f>ASTemp!D931</f>
        <v/>
      </c>
      <c r="E931" s="65" t="str">
        <f>ASTemp!E931</f>
        <v/>
      </c>
      <c r="F931" s="69" t="str">
        <f>TEXT(ASTemp!F931,Decimals)</f>
        <v/>
      </c>
      <c r="G931" s="69" t="str">
        <f>TEXT(ASTemp!G931,Decimals)</f>
        <v/>
      </c>
      <c r="H931" s="69" t="str">
        <f>TEXT(ASTemp!H931,Decimals)</f>
        <v/>
      </c>
      <c r="I931" s="69" t="str">
        <f>TEXT(ASTemp!I931,Decimals)</f>
        <v/>
      </c>
      <c r="J931" s="69" t="str">
        <f>TEXT(ASTemp!J931,Decimals)</f>
        <v/>
      </c>
      <c r="K931" s="69" t="str">
        <f>TEXT(ASTemp!K931,Decimals)</f>
        <v/>
      </c>
      <c r="L931" s="69" t="str">
        <f>TEXT(ASTemp!L931,Decimals)</f>
        <v/>
      </c>
      <c r="M931" s="71" t="str">
        <f>TEXT(ASTemp!M931,Percentages)</f>
        <v/>
      </c>
      <c r="N931" s="72" t="str">
        <f>TEXT(ASTemp!N931,Percentages)</f>
        <v/>
      </c>
    </row>
    <row r="932" ht="14.25" customHeight="1">
      <c r="B932" s="66" t="str">
        <f>ASTemp!B932</f>
        <v/>
      </c>
      <c r="C932" s="67" t="str">
        <f>ASTemp!C932</f>
        <v/>
      </c>
      <c r="D932" s="68" t="str">
        <f>ASTemp!D932</f>
        <v/>
      </c>
      <c r="E932" s="65" t="str">
        <f>ASTemp!E932</f>
        <v/>
      </c>
      <c r="F932" s="69" t="str">
        <f>TEXT(ASTemp!F932,Decimals)</f>
        <v/>
      </c>
      <c r="G932" s="69" t="str">
        <f>TEXT(ASTemp!G932,Decimals)</f>
        <v/>
      </c>
      <c r="H932" s="69" t="str">
        <f>TEXT(ASTemp!H932,Decimals)</f>
        <v/>
      </c>
      <c r="I932" s="69" t="str">
        <f>TEXT(ASTemp!I932,Decimals)</f>
        <v/>
      </c>
      <c r="J932" s="69" t="str">
        <f>TEXT(ASTemp!J932,Decimals)</f>
        <v/>
      </c>
      <c r="K932" s="69" t="str">
        <f>TEXT(ASTemp!K932,Decimals)</f>
        <v/>
      </c>
      <c r="L932" s="69" t="str">
        <f>TEXT(ASTemp!L932,Decimals)</f>
        <v/>
      </c>
      <c r="M932" s="71" t="str">
        <f>TEXT(ASTemp!M932,Percentages)</f>
        <v/>
      </c>
      <c r="N932" s="72" t="str">
        <f>TEXT(ASTemp!N932,Percentages)</f>
        <v/>
      </c>
    </row>
    <row r="933" ht="14.25" customHeight="1">
      <c r="B933" s="66" t="str">
        <f>ASTemp!B933</f>
        <v/>
      </c>
      <c r="C933" s="67" t="str">
        <f>ASTemp!C933</f>
        <v/>
      </c>
      <c r="D933" s="68" t="str">
        <f>ASTemp!D933</f>
        <v/>
      </c>
      <c r="E933" s="65" t="str">
        <f>ASTemp!E933</f>
        <v/>
      </c>
      <c r="F933" s="69" t="str">
        <f>TEXT(ASTemp!F933,Decimals)</f>
        <v/>
      </c>
      <c r="G933" s="69" t="str">
        <f>TEXT(ASTemp!G933,Decimals)</f>
        <v/>
      </c>
      <c r="H933" s="69" t="str">
        <f>TEXT(ASTemp!H933,Decimals)</f>
        <v/>
      </c>
      <c r="I933" s="69" t="str">
        <f>TEXT(ASTemp!I933,Decimals)</f>
        <v/>
      </c>
      <c r="J933" s="69" t="str">
        <f>TEXT(ASTemp!J933,Decimals)</f>
        <v/>
      </c>
      <c r="K933" s="69" t="str">
        <f>TEXT(ASTemp!K933,Decimals)</f>
        <v/>
      </c>
      <c r="L933" s="69" t="str">
        <f>TEXT(ASTemp!L933,Decimals)</f>
        <v/>
      </c>
      <c r="M933" s="71" t="str">
        <f>TEXT(ASTemp!M933,Percentages)</f>
        <v/>
      </c>
      <c r="N933" s="72" t="str">
        <f>TEXT(ASTemp!N933,Percentages)</f>
        <v/>
      </c>
    </row>
    <row r="934" ht="14.25" customHeight="1">
      <c r="B934" s="66" t="str">
        <f>ASTemp!B934</f>
        <v/>
      </c>
      <c r="C934" s="67" t="str">
        <f>ASTemp!C934</f>
        <v/>
      </c>
      <c r="D934" s="68" t="str">
        <f>ASTemp!D934</f>
        <v/>
      </c>
      <c r="E934" s="65" t="str">
        <f>ASTemp!E934</f>
        <v/>
      </c>
      <c r="F934" s="69" t="str">
        <f>TEXT(ASTemp!F934,Decimals)</f>
        <v/>
      </c>
      <c r="G934" s="69" t="str">
        <f>TEXT(ASTemp!G934,Decimals)</f>
        <v/>
      </c>
      <c r="H934" s="69" t="str">
        <f>TEXT(ASTemp!H934,Decimals)</f>
        <v/>
      </c>
      <c r="I934" s="69" t="str">
        <f>TEXT(ASTemp!I934,Decimals)</f>
        <v/>
      </c>
      <c r="J934" s="69" t="str">
        <f>TEXT(ASTemp!J934,Decimals)</f>
        <v/>
      </c>
      <c r="K934" s="69" t="str">
        <f>TEXT(ASTemp!K934,Decimals)</f>
        <v/>
      </c>
      <c r="L934" s="69" t="str">
        <f>TEXT(ASTemp!L934,Decimals)</f>
        <v/>
      </c>
      <c r="M934" s="71" t="str">
        <f>TEXT(ASTemp!M934,Percentages)</f>
        <v/>
      </c>
      <c r="N934" s="72" t="str">
        <f>TEXT(ASTemp!N934,Percentages)</f>
        <v/>
      </c>
    </row>
    <row r="935" ht="14.25" customHeight="1">
      <c r="B935" s="66" t="str">
        <f>ASTemp!B935</f>
        <v/>
      </c>
      <c r="C935" s="67" t="str">
        <f>ASTemp!C935</f>
        <v/>
      </c>
      <c r="D935" s="68" t="str">
        <f>ASTemp!D935</f>
        <v/>
      </c>
      <c r="E935" s="65" t="str">
        <f>ASTemp!E935</f>
        <v/>
      </c>
      <c r="F935" s="69" t="str">
        <f>TEXT(ASTemp!F935,Decimals)</f>
        <v/>
      </c>
      <c r="G935" s="69" t="str">
        <f>TEXT(ASTemp!G935,Decimals)</f>
        <v/>
      </c>
      <c r="H935" s="69" t="str">
        <f>TEXT(ASTemp!H935,Decimals)</f>
        <v/>
      </c>
      <c r="I935" s="69" t="str">
        <f>TEXT(ASTemp!I935,Decimals)</f>
        <v/>
      </c>
      <c r="J935" s="69" t="str">
        <f>TEXT(ASTemp!J935,Decimals)</f>
        <v/>
      </c>
      <c r="K935" s="69" t="str">
        <f>TEXT(ASTemp!K935,Decimals)</f>
        <v/>
      </c>
      <c r="L935" s="69" t="str">
        <f>TEXT(ASTemp!L935,Decimals)</f>
        <v/>
      </c>
      <c r="M935" s="71" t="str">
        <f>TEXT(ASTemp!M935,Percentages)</f>
        <v/>
      </c>
      <c r="N935" s="72" t="str">
        <f>TEXT(ASTemp!N935,Percentages)</f>
        <v/>
      </c>
    </row>
    <row r="936" ht="14.25" customHeight="1">
      <c r="B936" s="66" t="str">
        <f>ASTemp!B936</f>
        <v/>
      </c>
      <c r="C936" s="67" t="str">
        <f>ASTemp!C936</f>
        <v/>
      </c>
      <c r="D936" s="68" t="str">
        <f>ASTemp!D936</f>
        <v/>
      </c>
      <c r="E936" s="65" t="str">
        <f>ASTemp!E936</f>
        <v/>
      </c>
      <c r="F936" s="69" t="str">
        <f>TEXT(ASTemp!F936,Decimals)</f>
        <v/>
      </c>
      <c r="G936" s="69" t="str">
        <f>TEXT(ASTemp!G936,Decimals)</f>
        <v/>
      </c>
      <c r="H936" s="69" t="str">
        <f>TEXT(ASTemp!H936,Decimals)</f>
        <v/>
      </c>
      <c r="I936" s="69" t="str">
        <f>TEXT(ASTemp!I936,Decimals)</f>
        <v/>
      </c>
      <c r="J936" s="69" t="str">
        <f>TEXT(ASTemp!J936,Decimals)</f>
        <v/>
      </c>
      <c r="K936" s="69" t="str">
        <f>TEXT(ASTemp!K936,Decimals)</f>
        <v/>
      </c>
      <c r="L936" s="69" t="str">
        <f>TEXT(ASTemp!L936,Decimals)</f>
        <v/>
      </c>
      <c r="M936" s="71" t="str">
        <f>TEXT(ASTemp!M936,Percentages)</f>
        <v/>
      </c>
      <c r="N936" s="72" t="str">
        <f>TEXT(ASTemp!N936,Percentages)</f>
        <v/>
      </c>
    </row>
    <row r="937" ht="14.25" customHeight="1">
      <c r="B937" s="66" t="str">
        <f>ASTemp!B937</f>
        <v/>
      </c>
      <c r="C937" s="67" t="str">
        <f>ASTemp!C937</f>
        <v/>
      </c>
      <c r="D937" s="68" t="str">
        <f>ASTemp!D937</f>
        <v/>
      </c>
      <c r="E937" s="65" t="str">
        <f>ASTemp!E937</f>
        <v/>
      </c>
      <c r="F937" s="69" t="str">
        <f>TEXT(ASTemp!F937,Decimals)</f>
        <v/>
      </c>
      <c r="G937" s="69" t="str">
        <f>TEXT(ASTemp!G937,Decimals)</f>
        <v/>
      </c>
      <c r="H937" s="69" t="str">
        <f>TEXT(ASTemp!H937,Decimals)</f>
        <v/>
      </c>
      <c r="I937" s="69" t="str">
        <f>TEXT(ASTemp!I937,Decimals)</f>
        <v/>
      </c>
      <c r="J937" s="69" t="str">
        <f>TEXT(ASTemp!J937,Decimals)</f>
        <v/>
      </c>
      <c r="K937" s="69" t="str">
        <f>TEXT(ASTemp!K937,Decimals)</f>
        <v/>
      </c>
      <c r="L937" s="69" t="str">
        <f>TEXT(ASTemp!L937,Decimals)</f>
        <v/>
      </c>
      <c r="M937" s="71" t="str">
        <f>TEXT(ASTemp!M937,Percentages)</f>
        <v/>
      </c>
      <c r="N937" s="72" t="str">
        <f>TEXT(ASTemp!N937,Percentages)</f>
        <v/>
      </c>
    </row>
    <row r="938" ht="14.25" customHeight="1">
      <c r="B938" s="66" t="str">
        <f>ASTemp!B938</f>
        <v/>
      </c>
      <c r="C938" s="67" t="str">
        <f>ASTemp!C938</f>
        <v/>
      </c>
      <c r="D938" s="68" t="str">
        <f>ASTemp!D938</f>
        <v/>
      </c>
      <c r="E938" s="65" t="str">
        <f>ASTemp!E938</f>
        <v/>
      </c>
      <c r="F938" s="69" t="str">
        <f>TEXT(ASTemp!F938,Decimals)</f>
        <v/>
      </c>
      <c r="G938" s="69" t="str">
        <f>TEXT(ASTemp!G938,Decimals)</f>
        <v/>
      </c>
      <c r="H938" s="69" t="str">
        <f>TEXT(ASTemp!H938,Decimals)</f>
        <v/>
      </c>
      <c r="I938" s="69" t="str">
        <f>TEXT(ASTemp!I938,Decimals)</f>
        <v/>
      </c>
      <c r="J938" s="69" t="str">
        <f>TEXT(ASTemp!J938,Decimals)</f>
        <v/>
      </c>
      <c r="K938" s="69" t="str">
        <f>TEXT(ASTemp!K938,Decimals)</f>
        <v/>
      </c>
      <c r="L938" s="69" t="str">
        <f>TEXT(ASTemp!L938,Decimals)</f>
        <v/>
      </c>
      <c r="M938" s="71" t="str">
        <f>TEXT(ASTemp!M938,Percentages)</f>
        <v/>
      </c>
      <c r="N938" s="72" t="str">
        <f>TEXT(ASTemp!N938,Percentages)</f>
        <v/>
      </c>
    </row>
    <row r="939" ht="14.25" customHeight="1">
      <c r="B939" s="66" t="str">
        <f>ASTemp!B939</f>
        <v/>
      </c>
      <c r="C939" s="67" t="str">
        <f>ASTemp!C939</f>
        <v/>
      </c>
      <c r="D939" s="68" t="str">
        <f>ASTemp!D939</f>
        <v/>
      </c>
      <c r="E939" s="65" t="str">
        <f>ASTemp!E939</f>
        <v/>
      </c>
      <c r="F939" s="69" t="str">
        <f>TEXT(ASTemp!F939,Decimals)</f>
        <v/>
      </c>
      <c r="G939" s="69" t="str">
        <f>TEXT(ASTemp!G939,Decimals)</f>
        <v/>
      </c>
      <c r="H939" s="69" t="str">
        <f>TEXT(ASTemp!H939,Decimals)</f>
        <v/>
      </c>
      <c r="I939" s="69" t="str">
        <f>TEXT(ASTemp!I939,Decimals)</f>
        <v/>
      </c>
      <c r="J939" s="69" t="str">
        <f>TEXT(ASTemp!J939,Decimals)</f>
        <v/>
      </c>
      <c r="K939" s="69" t="str">
        <f>TEXT(ASTemp!K939,Decimals)</f>
        <v/>
      </c>
      <c r="L939" s="69" t="str">
        <f>TEXT(ASTemp!L939,Decimals)</f>
        <v/>
      </c>
      <c r="M939" s="71" t="str">
        <f>TEXT(ASTemp!M939,Percentages)</f>
        <v/>
      </c>
      <c r="N939" s="72" t="str">
        <f>TEXT(ASTemp!N939,Percentages)</f>
        <v/>
      </c>
    </row>
    <row r="940" ht="14.25" customHeight="1">
      <c r="B940" s="66" t="str">
        <f>ASTemp!B940</f>
        <v/>
      </c>
      <c r="C940" s="67" t="str">
        <f>ASTemp!C940</f>
        <v/>
      </c>
      <c r="D940" s="68" t="str">
        <f>ASTemp!D940</f>
        <v/>
      </c>
      <c r="E940" s="65" t="str">
        <f>ASTemp!E940</f>
        <v/>
      </c>
      <c r="F940" s="69" t="str">
        <f>TEXT(ASTemp!F940,Decimals)</f>
        <v/>
      </c>
      <c r="G940" s="69" t="str">
        <f>TEXT(ASTemp!G940,Decimals)</f>
        <v/>
      </c>
      <c r="H940" s="69" t="str">
        <f>TEXT(ASTemp!H940,Decimals)</f>
        <v/>
      </c>
      <c r="I940" s="69" t="str">
        <f>TEXT(ASTemp!I940,Decimals)</f>
        <v/>
      </c>
      <c r="J940" s="69" t="str">
        <f>TEXT(ASTemp!J940,Decimals)</f>
        <v/>
      </c>
      <c r="K940" s="69" t="str">
        <f>TEXT(ASTemp!K940,Decimals)</f>
        <v/>
      </c>
      <c r="L940" s="69" t="str">
        <f>TEXT(ASTemp!L940,Decimals)</f>
        <v/>
      </c>
      <c r="M940" s="71" t="str">
        <f>TEXT(ASTemp!M940,Percentages)</f>
        <v/>
      </c>
      <c r="N940" s="72" t="str">
        <f>TEXT(ASTemp!N940,Percentages)</f>
        <v/>
      </c>
    </row>
    <row r="941" ht="14.25" customHeight="1">
      <c r="B941" s="66" t="str">
        <f>ASTemp!B941</f>
        <v/>
      </c>
      <c r="C941" s="67" t="str">
        <f>ASTemp!C941</f>
        <v/>
      </c>
      <c r="D941" s="68" t="str">
        <f>ASTemp!D941</f>
        <v/>
      </c>
      <c r="E941" s="65" t="str">
        <f>ASTemp!E941</f>
        <v/>
      </c>
      <c r="F941" s="69" t="str">
        <f>TEXT(ASTemp!F941,Decimals)</f>
        <v/>
      </c>
      <c r="G941" s="69" t="str">
        <f>TEXT(ASTemp!G941,Decimals)</f>
        <v/>
      </c>
      <c r="H941" s="69" t="str">
        <f>TEXT(ASTemp!H941,Decimals)</f>
        <v/>
      </c>
      <c r="I941" s="69" t="str">
        <f>TEXT(ASTemp!I941,Decimals)</f>
        <v/>
      </c>
      <c r="J941" s="69" t="str">
        <f>TEXT(ASTemp!J941,Decimals)</f>
        <v/>
      </c>
      <c r="K941" s="69" t="str">
        <f>TEXT(ASTemp!K941,Decimals)</f>
        <v/>
      </c>
      <c r="L941" s="69" t="str">
        <f>TEXT(ASTemp!L941,Decimals)</f>
        <v/>
      </c>
      <c r="M941" s="71" t="str">
        <f>TEXT(ASTemp!M941,Percentages)</f>
        <v/>
      </c>
      <c r="N941" s="72" t="str">
        <f>TEXT(ASTemp!N941,Percentages)</f>
        <v/>
      </c>
    </row>
    <row r="942" ht="14.25" customHeight="1">
      <c r="B942" s="66" t="str">
        <f>ASTemp!B942</f>
        <v/>
      </c>
      <c r="C942" s="67" t="str">
        <f>ASTemp!C942</f>
        <v/>
      </c>
      <c r="D942" s="68" t="str">
        <f>ASTemp!D942</f>
        <v/>
      </c>
      <c r="E942" s="65" t="str">
        <f>ASTemp!E942</f>
        <v/>
      </c>
      <c r="F942" s="69" t="str">
        <f>TEXT(ASTemp!F942,Decimals)</f>
        <v/>
      </c>
      <c r="G942" s="69" t="str">
        <f>TEXT(ASTemp!G942,Decimals)</f>
        <v/>
      </c>
      <c r="H942" s="69" t="str">
        <f>TEXT(ASTemp!H942,Decimals)</f>
        <v/>
      </c>
      <c r="I942" s="69" t="str">
        <f>TEXT(ASTemp!I942,Decimals)</f>
        <v/>
      </c>
      <c r="J942" s="69" t="str">
        <f>TEXT(ASTemp!J942,Decimals)</f>
        <v/>
      </c>
      <c r="K942" s="69" t="str">
        <f>TEXT(ASTemp!K942,Decimals)</f>
        <v/>
      </c>
      <c r="L942" s="69" t="str">
        <f>TEXT(ASTemp!L942,Decimals)</f>
        <v/>
      </c>
      <c r="M942" s="71" t="str">
        <f>TEXT(ASTemp!M942,Percentages)</f>
        <v/>
      </c>
      <c r="N942" s="72" t="str">
        <f>TEXT(ASTemp!N942,Percentages)</f>
        <v/>
      </c>
    </row>
    <row r="943" ht="14.25" customHeight="1">
      <c r="B943" s="66" t="str">
        <f>ASTemp!B943</f>
        <v/>
      </c>
      <c r="C943" s="67" t="str">
        <f>ASTemp!C943</f>
        <v/>
      </c>
      <c r="D943" s="68" t="str">
        <f>ASTemp!D943</f>
        <v/>
      </c>
      <c r="E943" s="65" t="str">
        <f>ASTemp!E943</f>
        <v/>
      </c>
      <c r="F943" s="69" t="str">
        <f>TEXT(ASTemp!F943,Decimals)</f>
        <v/>
      </c>
      <c r="G943" s="69" t="str">
        <f>TEXT(ASTemp!G943,Decimals)</f>
        <v/>
      </c>
      <c r="H943" s="69" t="str">
        <f>TEXT(ASTemp!H943,Decimals)</f>
        <v/>
      </c>
      <c r="I943" s="69" t="str">
        <f>TEXT(ASTemp!I943,Decimals)</f>
        <v/>
      </c>
      <c r="J943" s="69" t="str">
        <f>TEXT(ASTemp!J943,Decimals)</f>
        <v/>
      </c>
      <c r="K943" s="69" t="str">
        <f>TEXT(ASTemp!K943,Decimals)</f>
        <v/>
      </c>
      <c r="L943" s="69" t="str">
        <f>TEXT(ASTemp!L943,Decimals)</f>
        <v/>
      </c>
      <c r="M943" s="71" t="str">
        <f>TEXT(ASTemp!M943,Percentages)</f>
        <v/>
      </c>
      <c r="N943" s="72" t="str">
        <f>TEXT(ASTemp!N943,Percentages)</f>
        <v/>
      </c>
    </row>
    <row r="944" ht="14.25" customHeight="1">
      <c r="B944" s="66" t="str">
        <f>ASTemp!B944</f>
        <v/>
      </c>
      <c r="C944" s="67" t="str">
        <f>ASTemp!C944</f>
        <v/>
      </c>
      <c r="D944" s="68" t="str">
        <f>ASTemp!D944</f>
        <v/>
      </c>
      <c r="E944" s="65" t="str">
        <f>ASTemp!E944</f>
        <v/>
      </c>
      <c r="F944" s="69" t="str">
        <f>TEXT(ASTemp!F944,Decimals)</f>
        <v/>
      </c>
      <c r="G944" s="69" t="str">
        <f>TEXT(ASTemp!G944,Decimals)</f>
        <v/>
      </c>
      <c r="H944" s="69" t="str">
        <f>TEXT(ASTemp!H944,Decimals)</f>
        <v/>
      </c>
      <c r="I944" s="69" t="str">
        <f>TEXT(ASTemp!I944,Decimals)</f>
        <v/>
      </c>
      <c r="J944" s="69" t="str">
        <f>TEXT(ASTemp!J944,Decimals)</f>
        <v/>
      </c>
      <c r="K944" s="69" t="str">
        <f>TEXT(ASTemp!K944,Decimals)</f>
        <v/>
      </c>
      <c r="L944" s="69" t="str">
        <f>TEXT(ASTemp!L944,Decimals)</f>
        <v/>
      </c>
      <c r="M944" s="71" t="str">
        <f>TEXT(ASTemp!M944,Percentages)</f>
        <v/>
      </c>
      <c r="N944" s="72" t="str">
        <f>TEXT(ASTemp!N944,Percentages)</f>
        <v/>
      </c>
    </row>
    <row r="945" ht="14.25" customHeight="1">
      <c r="B945" s="66" t="str">
        <f>ASTemp!B945</f>
        <v/>
      </c>
      <c r="C945" s="67" t="str">
        <f>ASTemp!C945</f>
        <v/>
      </c>
      <c r="D945" s="68" t="str">
        <f>ASTemp!D945</f>
        <v/>
      </c>
      <c r="E945" s="65" t="str">
        <f>ASTemp!E945</f>
        <v/>
      </c>
      <c r="F945" s="69" t="str">
        <f>TEXT(ASTemp!F945,Decimals)</f>
        <v/>
      </c>
      <c r="G945" s="69" t="str">
        <f>TEXT(ASTemp!G945,Decimals)</f>
        <v/>
      </c>
      <c r="H945" s="69" t="str">
        <f>TEXT(ASTemp!H945,Decimals)</f>
        <v/>
      </c>
      <c r="I945" s="69" t="str">
        <f>TEXT(ASTemp!I945,Decimals)</f>
        <v/>
      </c>
      <c r="J945" s="69" t="str">
        <f>TEXT(ASTemp!J945,Decimals)</f>
        <v/>
      </c>
      <c r="K945" s="69" t="str">
        <f>TEXT(ASTemp!K945,Decimals)</f>
        <v/>
      </c>
      <c r="L945" s="69" t="str">
        <f>TEXT(ASTemp!L945,Decimals)</f>
        <v/>
      </c>
      <c r="M945" s="71" t="str">
        <f>TEXT(ASTemp!M945,Percentages)</f>
        <v/>
      </c>
      <c r="N945" s="72" t="str">
        <f>TEXT(ASTemp!N945,Percentages)</f>
        <v/>
      </c>
    </row>
    <row r="946" ht="14.25" customHeight="1">
      <c r="B946" s="66" t="str">
        <f>ASTemp!B946</f>
        <v/>
      </c>
      <c r="C946" s="67" t="str">
        <f>ASTemp!C946</f>
        <v/>
      </c>
      <c r="D946" s="68" t="str">
        <f>ASTemp!D946</f>
        <v/>
      </c>
      <c r="E946" s="65" t="str">
        <f>ASTemp!E946</f>
        <v/>
      </c>
      <c r="F946" s="69" t="str">
        <f>TEXT(ASTemp!F946,Decimals)</f>
        <v/>
      </c>
      <c r="G946" s="69" t="str">
        <f>TEXT(ASTemp!G946,Decimals)</f>
        <v/>
      </c>
      <c r="H946" s="69" t="str">
        <f>TEXT(ASTemp!H946,Decimals)</f>
        <v/>
      </c>
      <c r="I946" s="69" t="str">
        <f>TEXT(ASTemp!I946,Decimals)</f>
        <v/>
      </c>
      <c r="J946" s="69" t="str">
        <f>TEXT(ASTemp!J946,Decimals)</f>
        <v/>
      </c>
      <c r="K946" s="69" t="str">
        <f>TEXT(ASTemp!K946,Decimals)</f>
        <v/>
      </c>
      <c r="L946" s="69" t="str">
        <f>TEXT(ASTemp!L946,Decimals)</f>
        <v/>
      </c>
      <c r="M946" s="71" t="str">
        <f>TEXT(ASTemp!M946,Percentages)</f>
        <v/>
      </c>
      <c r="N946" s="72" t="str">
        <f>TEXT(ASTemp!N946,Percentages)</f>
        <v/>
      </c>
    </row>
    <row r="947" ht="14.25" customHeight="1">
      <c r="B947" s="66" t="str">
        <f>ASTemp!B947</f>
        <v/>
      </c>
      <c r="C947" s="67" t="str">
        <f>ASTemp!C947</f>
        <v/>
      </c>
      <c r="D947" s="68" t="str">
        <f>ASTemp!D947</f>
        <v/>
      </c>
      <c r="E947" s="65" t="str">
        <f>ASTemp!E947</f>
        <v/>
      </c>
      <c r="F947" s="69" t="str">
        <f>TEXT(ASTemp!F947,Decimals)</f>
        <v/>
      </c>
      <c r="G947" s="69" t="str">
        <f>TEXT(ASTemp!G947,Decimals)</f>
        <v/>
      </c>
      <c r="H947" s="69" t="str">
        <f>TEXT(ASTemp!H947,Decimals)</f>
        <v/>
      </c>
      <c r="I947" s="69" t="str">
        <f>TEXT(ASTemp!I947,Decimals)</f>
        <v/>
      </c>
      <c r="J947" s="69" t="str">
        <f>TEXT(ASTemp!J947,Decimals)</f>
        <v/>
      </c>
      <c r="K947" s="69" t="str">
        <f>TEXT(ASTemp!K947,Decimals)</f>
        <v/>
      </c>
      <c r="L947" s="69" t="str">
        <f>TEXT(ASTemp!L947,Decimals)</f>
        <v/>
      </c>
      <c r="M947" s="71" t="str">
        <f>TEXT(ASTemp!M947,Percentages)</f>
        <v/>
      </c>
      <c r="N947" s="72" t="str">
        <f>TEXT(ASTemp!N947,Percentages)</f>
        <v/>
      </c>
    </row>
    <row r="948" ht="14.25" customHeight="1">
      <c r="B948" s="66" t="str">
        <f>ASTemp!B948</f>
        <v/>
      </c>
      <c r="C948" s="67" t="str">
        <f>ASTemp!C948</f>
        <v/>
      </c>
      <c r="D948" s="68" t="str">
        <f>ASTemp!D948</f>
        <v/>
      </c>
      <c r="E948" s="65" t="str">
        <f>ASTemp!E948</f>
        <v/>
      </c>
      <c r="F948" s="69" t="str">
        <f>TEXT(ASTemp!F948,Decimals)</f>
        <v/>
      </c>
      <c r="G948" s="69" t="str">
        <f>TEXT(ASTemp!G948,Decimals)</f>
        <v/>
      </c>
      <c r="H948" s="69" t="str">
        <f>TEXT(ASTemp!H948,Decimals)</f>
        <v/>
      </c>
      <c r="I948" s="69" t="str">
        <f>TEXT(ASTemp!I948,Decimals)</f>
        <v/>
      </c>
      <c r="J948" s="69" t="str">
        <f>TEXT(ASTemp!J948,Decimals)</f>
        <v/>
      </c>
      <c r="K948" s="69" t="str">
        <f>TEXT(ASTemp!K948,Decimals)</f>
        <v/>
      </c>
      <c r="L948" s="69" t="str">
        <f>TEXT(ASTemp!L948,Decimals)</f>
        <v/>
      </c>
      <c r="M948" s="71" t="str">
        <f>TEXT(ASTemp!M948,Percentages)</f>
        <v/>
      </c>
      <c r="N948" s="72" t="str">
        <f>TEXT(ASTemp!N948,Percentages)</f>
        <v/>
      </c>
    </row>
    <row r="949" ht="14.25" customHeight="1">
      <c r="B949" s="66" t="str">
        <f>ASTemp!B949</f>
        <v/>
      </c>
      <c r="C949" s="67" t="str">
        <f>ASTemp!C949</f>
        <v/>
      </c>
      <c r="D949" s="68" t="str">
        <f>ASTemp!D949</f>
        <v/>
      </c>
      <c r="E949" s="65" t="str">
        <f>ASTemp!E949</f>
        <v/>
      </c>
      <c r="F949" s="69" t="str">
        <f>TEXT(ASTemp!F949,Decimals)</f>
        <v/>
      </c>
      <c r="G949" s="69" t="str">
        <f>TEXT(ASTemp!G949,Decimals)</f>
        <v/>
      </c>
      <c r="H949" s="69" t="str">
        <f>TEXT(ASTemp!H949,Decimals)</f>
        <v/>
      </c>
      <c r="I949" s="69" t="str">
        <f>TEXT(ASTemp!I949,Decimals)</f>
        <v/>
      </c>
      <c r="J949" s="69" t="str">
        <f>TEXT(ASTemp!J949,Decimals)</f>
        <v/>
      </c>
      <c r="K949" s="69" t="str">
        <f>TEXT(ASTemp!K949,Decimals)</f>
        <v/>
      </c>
      <c r="L949" s="69" t="str">
        <f>TEXT(ASTemp!L949,Decimals)</f>
        <v/>
      </c>
      <c r="M949" s="71" t="str">
        <f>TEXT(ASTemp!M949,Percentages)</f>
        <v/>
      </c>
      <c r="N949" s="72" t="str">
        <f>TEXT(ASTemp!N949,Percentages)</f>
        <v/>
      </c>
    </row>
    <row r="950" ht="14.25" customHeight="1">
      <c r="B950" s="66" t="str">
        <f>ASTemp!B950</f>
        <v/>
      </c>
      <c r="C950" s="67" t="str">
        <f>ASTemp!C950</f>
        <v/>
      </c>
      <c r="D950" s="68" t="str">
        <f>ASTemp!D950</f>
        <v/>
      </c>
      <c r="E950" s="65" t="str">
        <f>ASTemp!E950</f>
        <v/>
      </c>
      <c r="F950" s="69" t="str">
        <f>TEXT(ASTemp!F950,Decimals)</f>
        <v/>
      </c>
      <c r="G950" s="69" t="str">
        <f>TEXT(ASTemp!G950,Decimals)</f>
        <v/>
      </c>
      <c r="H950" s="69" t="str">
        <f>TEXT(ASTemp!H950,Decimals)</f>
        <v/>
      </c>
      <c r="I950" s="69" t="str">
        <f>TEXT(ASTemp!I950,Decimals)</f>
        <v/>
      </c>
      <c r="J950" s="69" t="str">
        <f>TEXT(ASTemp!J950,Decimals)</f>
        <v/>
      </c>
      <c r="K950" s="69" t="str">
        <f>TEXT(ASTemp!K950,Decimals)</f>
        <v/>
      </c>
      <c r="L950" s="69" t="str">
        <f>TEXT(ASTemp!L950,Decimals)</f>
        <v/>
      </c>
      <c r="M950" s="71" t="str">
        <f>TEXT(ASTemp!M950,Percentages)</f>
        <v/>
      </c>
      <c r="N950" s="72" t="str">
        <f>TEXT(ASTemp!N950,Percentages)</f>
        <v/>
      </c>
    </row>
    <row r="951" ht="14.25" customHeight="1">
      <c r="B951" s="66" t="str">
        <f>ASTemp!B951</f>
        <v/>
      </c>
      <c r="C951" s="67" t="str">
        <f>ASTemp!C951</f>
        <v/>
      </c>
      <c r="D951" s="68" t="str">
        <f>ASTemp!D951</f>
        <v/>
      </c>
      <c r="E951" s="65" t="str">
        <f>ASTemp!E951</f>
        <v/>
      </c>
      <c r="F951" s="69" t="str">
        <f>TEXT(ASTemp!F951,Decimals)</f>
        <v/>
      </c>
      <c r="G951" s="69" t="str">
        <f>TEXT(ASTemp!G951,Decimals)</f>
        <v/>
      </c>
      <c r="H951" s="69" t="str">
        <f>TEXT(ASTemp!H951,Decimals)</f>
        <v/>
      </c>
      <c r="I951" s="69" t="str">
        <f>TEXT(ASTemp!I951,Decimals)</f>
        <v/>
      </c>
      <c r="J951" s="69" t="str">
        <f>TEXT(ASTemp!J951,Decimals)</f>
        <v/>
      </c>
      <c r="K951" s="69" t="str">
        <f>TEXT(ASTemp!K951,Decimals)</f>
        <v/>
      </c>
      <c r="L951" s="69" t="str">
        <f>TEXT(ASTemp!L951,Decimals)</f>
        <v/>
      </c>
      <c r="M951" s="71" t="str">
        <f>TEXT(ASTemp!M951,Percentages)</f>
        <v/>
      </c>
      <c r="N951" s="72" t="str">
        <f>TEXT(ASTemp!N951,Percentages)</f>
        <v/>
      </c>
    </row>
    <row r="952" ht="14.25" customHeight="1">
      <c r="B952" s="66" t="str">
        <f>ASTemp!B952</f>
        <v/>
      </c>
      <c r="C952" s="67" t="str">
        <f>ASTemp!C952</f>
        <v/>
      </c>
      <c r="D952" s="68" t="str">
        <f>ASTemp!D952</f>
        <v/>
      </c>
      <c r="E952" s="65" t="str">
        <f>ASTemp!E952</f>
        <v/>
      </c>
      <c r="F952" s="69" t="str">
        <f>TEXT(ASTemp!F952,Decimals)</f>
        <v/>
      </c>
      <c r="G952" s="69" t="str">
        <f>TEXT(ASTemp!G952,Decimals)</f>
        <v/>
      </c>
      <c r="H952" s="69" t="str">
        <f>TEXT(ASTemp!H952,Decimals)</f>
        <v/>
      </c>
      <c r="I952" s="69" t="str">
        <f>TEXT(ASTemp!I952,Decimals)</f>
        <v/>
      </c>
      <c r="J952" s="69" t="str">
        <f>TEXT(ASTemp!J952,Decimals)</f>
        <v/>
      </c>
      <c r="K952" s="69" t="str">
        <f>TEXT(ASTemp!K952,Decimals)</f>
        <v/>
      </c>
      <c r="L952" s="69" t="str">
        <f>TEXT(ASTemp!L952,Decimals)</f>
        <v/>
      </c>
      <c r="M952" s="71" t="str">
        <f>TEXT(ASTemp!M952,Percentages)</f>
        <v/>
      </c>
      <c r="N952" s="72" t="str">
        <f>TEXT(ASTemp!N952,Percentages)</f>
        <v/>
      </c>
    </row>
    <row r="953" ht="14.25" customHeight="1">
      <c r="B953" s="66" t="str">
        <f>ASTemp!B953</f>
        <v/>
      </c>
      <c r="C953" s="67" t="str">
        <f>ASTemp!C953</f>
        <v/>
      </c>
      <c r="D953" s="68" t="str">
        <f>ASTemp!D953</f>
        <v/>
      </c>
      <c r="E953" s="65" t="str">
        <f>ASTemp!E953</f>
        <v/>
      </c>
      <c r="F953" s="69" t="str">
        <f>TEXT(ASTemp!F953,Decimals)</f>
        <v/>
      </c>
      <c r="G953" s="69" t="str">
        <f>TEXT(ASTemp!G953,Decimals)</f>
        <v/>
      </c>
      <c r="H953" s="69" t="str">
        <f>TEXT(ASTemp!H953,Decimals)</f>
        <v/>
      </c>
      <c r="I953" s="69" t="str">
        <f>TEXT(ASTemp!I953,Decimals)</f>
        <v/>
      </c>
      <c r="J953" s="69" t="str">
        <f>TEXT(ASTemp!J953,Decimals)</f>
        <v/>
      </c>
      <c r="K953" s="69" t="str">
        <f>TEXT(ASTemp!K953,Decimals)</f>
        <v/>
      </c>
      <c r="L953" s="69" t="str">
        <f>TEXT(ASTemp!L953,Decimals)</f>
        <v/>
      </c>
      <c r="M953" s="71" t="str">
        <f>TEXT(ASTemp!M953,Percentages)</f>
        <v/>
      </c>
      <c r="N953" s="72" t="str">
        <f>TEXT(ASTemp!N953,Percentages)</f>
        <v/>
      </c>
    </row>
    <row r="954" ht="14.25" customHeight="1">
      <c r="B954" s="66" t="str">
        <f>ASTemp!B954</f>
        <v/>
      </c>
      <c r="C954" s="67" t="str">
        <f>ASTemp!C954</f>
        <v/>
      </c>
      <c r="D954" s="68" t="str">
        <f>ASTemp!D954</f>
        <v/>
      </c>
      <c r="E954" s="65" t="str">
        <f>ASTemp!E954</f>
        <v/>
      </c>
      <c r="F954" s="69" t="str">
        <f>TEXT(ASTemp!F954,Decimals)</f>
        <v/>
      </c>
      <c r="G954" s="69" t="str">
        <f>TEXT(ASTemp!G954,Decimals)</f>
        <v/>
      </c>
      <c r="H954" s="69" t="str">
        <f>TEXT(ASTemp!H954,Decimals)</f>
        <v/>
      </c>
      <c r="I954" s="69" t="str">
        <f>TEXT(ASTemp!I954,Decimals)</f>
        <v/>
      </c>
      <c r="J954" s="69" t="str">
        <f>TEXT(ASTemp!J954,Decimals)</f>
        <v/>
      </c>
      <c r="K954" s="69" t="str">
        <f>TEXT(ASTemp!K954,Decimals)</f>
        <v/>
      </c>
      <c r="L954" s="69" t="str">
        <f>TEXT(ASTemp!L954,Decimals)</f>
        <v/>
      </c>
      <c r="M954" s="71" t="str">
        <f>TEXT(ASTemp!M954,Percentages)</f>
        <v/>
      </c>
      <c r="N954" s="72" t="str">
        <f>TEXT(ASTemp!N954,Percentages)</f>
        <v/>
      </c>
    </row>
    <row r="955" ht="14.25" customHeight="1">
      <c r="B955" s="66" t="str">
        <f>ASTemp!B955</f>
        <v/>
      </c>
      <c r="C955" s="67" t="str">
        <f>ASTemp!C955</f>
        <v/>
      </c>
      <c r="D955" s="68" t="str">
        <f>ASTemp!D955</f>
        <v/>
      </c>
      <c r="E955" s="65" t="str">
        <f>ASTemp!E955</f>
        <v/>
      </c>
      <c r="F955" s="69" t="str">
        <f>TEXT(ASTemp!F955,Decimals)</f>
        <v/>
      </c>
      <c r="G955" s="69" t="str">
        <f>TEXT(ASTemp!G955,Decimals)</f>
        <v/>
      </c>
      <c r="H955" s="69" t="str">
        <f>TEXT(ASTemp!H955,Decimals)</f>
        <v/>
      </c>
      <c r="I955" s="69" t="str">
        <f>TEXT(ASTemp!I955,Decimals)</f>
        <v/>
      </c>
      <c r="J955" s="69" t="str">
        <f>TEXT(ASTemp!J955,Decimals)</f>
        <v/>
      </c>
      <c r="K955" s="69" t="str">
        <f>TEXT(ASTemp!K955,Decimals)</f>
        <v/>
      </c>
      <c r="L955" s="69" t="str">
        <f>TEXT(ASTemp!L955,Decimals)</f>
        <v/>
      </c>
      <c r="M955" s="71" t="str">
        <f>TEXT(ASTemp!M955,Percentages)</f>
        <v/>
      </c>
      <c r="N955" s="72" t="str">
        <f>TEXT(ASTemp!N955,Percentages)</f>
        <v/>
      </c>
    </row>
    <row r="956" ht="14.25" customHeight="1">
      <c r="B956" s="66" t="str">
        <f>ASTemp!B956</f>
        <v/>
      </c>
      <c r="C956" s="67" t="str">
        <f>ASTemp!C956</f>
        <v/>
      </c>
      <c r="D956" s="68" t="str">
        <f>ASTemp!D956</f>
        <v/>
      </c>
      <c r="E956" s="65" t="str">
        <f>ASTemp!E956</f>
        <v/>
      </c>
      <c r="F956" s="69" t="str">
        <f>TEXT(ASTemp!F956,Decimals)</f>
        <v/>
      </c>
      <c r="G956" s="69" t="str">
        <f>TEXT(ASTemp!G956,Decimals)</f>
        <v/>
      </c>
      <c r="H956" s="69" t="str">
        <f>TEXT(ASTemp!H956,Decimals)</f>
        <v/>
      </c>
      <c r="I956" s="69" t="str">
        <f>TEXT(ASTemp!I956,Decimals)</f>
        <v/>
      </c>
      <c r="J956" s="69" t="str">
        <f>TEXT(ASTemp!J956,Decimals)</f>
        <v/>
      </c>
      <c r="K956" s="69" t="str">
        <f>TEXT(ASTemp!K956,Decimals)</f>
        <v/>
      </c>
      <c r="L956" s="69" t="str">
        <f>TEXT(ASTemp!L956,Decimals)</f>
        <v/>
      </c>
      <c r="M956" s="71" t="str">
        <f>TEXT(ASTemp!M956,Percentages)</f>
        <v/>
      </c>
      <c r="N956" s="72" t="str">
        <f>TEXT(ASTemp!N956,Percentages)</f>
        <v/>
      </c>
    </row>
    <row r="957" ht="14.25" customHeight="1">
      <c r="B957" s="66" t="str">
        <f>ASTemp!B957</f>
        <v/>
      </c>
      <c r="C957" s="67" t="str">
        <f>ASTemp!C957</f>
        <v/>
      </c>
      <c r="D957" s="68" t="str">
        <f>ASTemp!D957</f>
        <v/>
      </c>
      <c r="E957" s="65" t="str">
        <f>ASTemp!E957</f>
        <v/>
      </c>
      <c r="F957" s="69" t="str">
        <f>TEXT(ASTemp!F957,Decimals)</f>
        <v/>
      </c>
      <c r="G957" s="69" t="str">
        <f>TEXT(ASTemp!G957,Decimals)</f>
        <v/>
      </c>
      <c r="H957" s="69" t="str">
        <f>TEXT(ASTemp!H957,Decimals)</f>
        <v/>
      </c>
      <c r="I957" s="69" t="str">
        <f>TEXT(ASTemp!I957,Decimals)</f>
        <v/>
      </c>
      <c r="J957" s="69" t="str">
        <f>TEXT(ASTemp!J957,Decimals)</f>
        <v/>
      </c>
      <c r="K957" s="69" t="str">
        <f>TEXT(ASTemp!K957,Decimals)</f>
        <v/>
      </c>
      <c r="L957" s="69" t="str">
        <f>TEXT(ASTemp!L957,Decimals)</f>
        <v/>
      </c>
      <c r="M957" s="71" t="str">
        <f>TEXT(ASTemp!M957,Percentages)</f>
        <v/>
      </c>
      <c r="N957" s="72" t="str">
        <f>TEXT(ASTemp!N957,Percentages)</f>
        <v/>
      </c>
    </row>
    <row r="958" ht="14.25" customHeight="1">
      <c r="B958" s="66" t="str">
        <f>ASTemp!B958</f>
        <v/>
      </c>
      <c r="C958" s="67" t="str">
        <f>ASTemp!C958</f>
        <v/>
      </c>
      <c r="D958" s="68" t="str">
        <f>ASTemp!D958</f>
        <v/>
      </c>
      <c r="E958" s="65" t="str">
        <f>ASTemp!E958</f>
        <v/>
      </c>
      <c r="F958" s="69" t="str">
        <f>TEXT(ASTemp!F958,Decimals)</f>
        <v/>
      </c>
      <c r="G958" s="69" t="str">
        <f>TEXT(ASTemp!G958,Decimals)</f>
        <v/>
      </c>
      <c r="H958" s="69" t="str">
        <f>TEXT(ASTemp!H958,Decimals)</f>
        <v/>
      </c>
      <c r="I958" s="69" t="str">
        <f>TEXT(ASTemp!I958,Decimals)</f>
        <v/>
      </c>
      <c r="J958" s="69" t="str">
        <f>TEXT(ASTemp!J958,Decimals)</f>
        <v/>
      </c>
      <c r="K958" s="69" t="str">
        <f>TEXT(ASTemp!K958,Decimals)</f>
        <v/>
      </c>
      <c r="L958" s="69" t="str">
        <f>TEXT(ASTemp!L958,Decimals)</f>
        <v/>
      </c>
      <c r="M958" s="71" t="str">
        <f>TEXT(ASTemp!M958,Percentages)</f>
        <v/>
      </c>
      <c r="N958" s="72" t="str">
        <f>TEXT(ASTemp!N958,Percentages)</f>
        <v/>
      </c>
    </row>
    <row r="959" ht="14.25" customHeight="1">
      <c r="B959" s="66" t="str">
        <f>ASTemp!B959</f>
        <v/>
      </c>
      <c r="C959" s="67" t="str">
        <f>ASTemp!C959</f>
        <v/>
      </c>
      <c r="D959" s="68" t="str">
        <f>ASTemp!D959</f>
        <v/>
      </c>
      <c r="E959" s="65" t="str">
        <f>ASTemp!E959</f>
        <v/>
      </c>
      <c r="F959" s="69" t="str">
        <f>TEXT(ASTemp!F959,Decimals)</f>
        <v/>
      </c>
      <c r="G959" s="69" t="str">
        <f>TEXT(ASTemp!G959,Decimals)</f>
        <v/>
      </c>
      <c r="H959" s="69" t="str">
        <f>TEXT(ASTemp!H959,Decimals)</f>
        <v/>
      </c>
      <c r="I959" s="69" t="str">
        <f>TEXT(ASTemp!I959,Decimals)</f>
        <v/>
      </c>
      <c r="J959" s="69" t="str">
        <f>TEXT(ASTemp!J959,Decimals)</f>
        <v/>
      </c>
      <c r="K959" s="69" t="str">
        <f>TEXT(ASTemp!K959,Decimals)</f>
        <v/>
      </c>
      <c r="L959" s="69" t="str">
        <f>TEXT(ASTemp!L959,Decimals)</f>
        <v/>
      </c>
      <c r="M959" s="71" t="str">
        <f>TEXT(ASTemp!M959,Percentages)</f>
        <v/>
      </c>
      <c r="N959" s="72" t="str">
        <f>TEXT(ASTemp!N959,Percentages)</f>
        <v/>
      </c>
    </row>
    <row r="960" ht="14.25" customHeight="1">
      <c r="B960" s="66" t="str">
        <f>ASTemp!B960</f>
        <v/>
      </c>
      <c r="C960" s="67" t="str">
        <f>ASTemp!C960</f>
        <v/>
      </c>
      <c r="D960" s="68" t="str">
        <f>ASTemp!D960</f>
        <v/>
      </c>
      <c r="E960" s="65" t="str">
        <f>ASTemp!E960</f>
        <v/>
      </c>
      <c r="F960" s="69" t="str">
        <f>TEXT(ASTemp!F960,Decimals)</f>
        <v/>
      </c>
      <c r="G960" s="69" t="str">
        <f>TEXT(ASTemp!G960,Decimals)</f>
        <v/>
      </c>
      <c r="H960" s="69" t="str">
        <f>TEXT(ASTemp!H960,Decimals)</f>
        <v/>
      </c>
      <c r="I960" s="69" t="str">
        <f>TEXT(ASTemp!I960,Decimals)</f>
        <v/>
      </c>
      <c r="J960" s="69" t="str">
        <f>TEXT(ASTemp!J960,Decimals)</f>
        <v/>
      </c>
      <c r="K960" s="69" t="str">
        <f>TEXT(ASTemp!K960,Decimals)</f>
        <v/>
      </c>
      <c r="L960" s="69" t="str">
        <f>TEXT(ASTemp!L960,Decimals)</f>
        <v/>
      </c>
      <c r="M960" s="71" t="str">
        <f>TEXT(ASTemp!M960,Percentages)</f>
        <v/>
      </c>
      <c r="N960" s="72" t="str">
        <f>TEXT(ASTemp!N960,Percentages)</f>
        <v/>
      </c>
    </row>
    <row r="961" ht="14.25" customHeight="1">
      <c r="B961" s="66" t="str">
        <f>ASTemp!B961</f>
        <v/>
      </c>
      <c r="C961" s="67" t="str">
        <f>ASTemp!C961</f>
        <v/>
      </c>
      <c r="D961" s="68" t="str">
        <f>ASTemp!D961</f>
        <v/>
      </c>
      <c r="E961" s="65" t="str">
        <f>ASTemp!E961</f>
        <v/>
      </c>
      <c r="F961" s="69" t="str">
        <f>TEXT(ASTemp!F961,Decimals)</f>
        <v/>
      </c>
      <c r="G961" s="69" t="str">
        <f>TEXT(ASTemp!G961,Decimals)</f>
        <v/>
      </c>
      <c r="H961" s="69" t="str">
        <f>TEXT(ASTemp!H961,Decimals)</f>
        <v/>
      </c>
      <c r="I961" s="69" t="str">
        <f>TEXT(ASTemp!I961,Decimals)</f>
        <v/>
      </c>
      <c r="J961" s="69" t="str">
        <f>TEXT(ASTemp!J961,Decimals)</f>
        <v/>
      </c>
      <c r="K961" s="69" t="str">
        <f>TEXT(ASTemp!K961,Decimals)</f>
        <v/>
      </c>
      <c r="L961" s="69" t="str">
        <f>TEXT(ASTemp!L961,Decimals)</f>
        <v/>
      </c>
      <c r="M961" s="71" t="str">
        <f>TEXT(ASTemp!M961,Percentages)</f>
        <v/>
      </c>
      <c r="N961" s="72" t="str">
        <f>TEXT(ASTemp!N961,Percentages)</f>
        <v/>
      </c>
    </row>
    <row r="962" ht="14.25" customHeight="1">
      <c r="B962" s="66" t="str">
        <f>ASTemp!B962</f>
        <v/>
      </c>
      <c r="C962" s="67" t="str">
        <f>ASTemp!C962</f>
        <v/>
      </c>
      <c r="D962" s="68" t="str">
        <f>ASTemp!D962</f>
        <v/>
      </c>
      <c r="E962" s="65" t="str">
        <f>ASTemp!E962</f>
        <v/>
      </c>
      <c r="F962" s="69" t="str">
        <f>TEXT(ASTemp!F962,Decimals)</f>
        <v/>
      </c>
      <c r="G962" s="69" t="str">
        <f>TEXT(ASTemp!G962,Decimals)</f>
        <v/>
      </c>
      <c r="H962" s="69" t="str">
        <f>TEXT(ASTemp!H962,Decimals)</f>
        <v/>
      </c>
      <c r="I962" s="69" t="str">
        <f>TEXT(ASTemp!I962,Decimals)</f>
        <v/>
      </c>
      <c r="J962" s="69" t="str">
        <f>TEXT(ASTemp!J962,Decimals)</f>
        <v/>
      </c>
      <c r="K962" s="69" t="str">
        <f>TEXT(ASTemp!K962,Decimals)</f>
        <v/>
      </c>
      <c r="L962" s="69" t="str">
        <f>TEXT(ASTemp!L962,Decimals)</f>
        <v/>
      </c>
      <c r="M962" s="71" t="str">
        <f>TEXT(ASTemp!M962,Percentages)</f>
        <v/>
      </c>
      <c r="N962" s="72" t="str">
        <f>TEXT(ASTemp!N962,Percentages)</f>
        <v/>
      </c>
    </row>
    <row r="963" ht="14.25" customHeight="1">
      <c r="B963" s="66" t="str">
        <f>ASTemp!B963</f>
        <v/>
      </c>
      <c r="C963" s="67" t="str">
        <f>ASTemp!C963</f>
        <v/>
      </c>
      <c r="D963" s="68" t="str">
        <f>ASTemp!D963</f>
        <v/>
      </c>
      <c r="E963" s="65" t="str">
        <f>ASTemp!E963</f>
        <v/>
      </c>
      <c r="F963" s="69" t="str">
        <f>TEXT(ASTemp!F963,Decimals)</f>
        <v/>
      </c>
      <c r="G963" s="69" t="str">
        <f>TEXT(ASTemp!G963,Decimals)</f>
        <v/>
      </c>
      <c r="H963" s="69" t="str">
        <f>TEXT(ASTemp!H963,Decimals)</f>
        <v/>
      </c>
      <c r="I963" s="69" t="str">
        <f>TEXT(ASTemp!I963,Decimals)</f>
        <v/>
      </c>
      <c r="J963" s="69" t="str">
        <f>TEXT(ASTemp!J963,Decimals)</f>
        <v/>
      </c>
      <c r="K963" s="69" t="str">
        <f>TEXT(ASTemp!K963,Decimals)</f>
        <v/>
      </c>
      <c r="L963" s="69" t="str">
        <f>TEXT(ASTemp!L963,Decimals)</f>
        <v/>
      </c>
      <c r="M963" s="71" t="str">
        <f>TEXT(ASTemp!M963,Percentages)</f>
        <v/>
      </c>
      <c r="N963" s="72" t="str">
        <f>TEXT(ASTemp!N963,Percentages)</f>
        <v/>
      </c>
    </row>
    <row r="964" ht="14.25" customHeight="1">
      <c r="B964" s="66" t="str">
        <f>ASTemp!B964</f>
        <v/>
      </c>
      <c r="C964" s="67" t="str">
        <f>ASTemp!C964</f>
        <v/>
      </c>
      <c r="D964" s="68" t="str">
        <f>ASTemp!D964</f>
        <v/>
      </c>
      <c r="E964" s="65" t="str">
        <f>ASTemp!E964</f>
        <v/>
      </c>
      <c r="F964" s="69" t="str">
        <f>TEXT(ASTemp!F964,Decimals)</f>
        <v/>
      </c>
      <c r="G964" s="69" t="str">
        <f>TEXT(ASTemp!G964,Decimals)</f>
        <v/>
      </c>
      <c r="H964" s="69" t="str">
        <f>TEXT(ASTemp!H964,Decimals)</f>
        <v/>
      </c>
      <c r="I964" s="69" t="str">
        <f>TEXT(ASTemp!I964,Decimals)</f>
        <v/>
      </c>
      <c r="J964" s="69" t="str">
        <f>TEXT(ASTemp!J964,Decimals)</f>
        <v/>
      </c>
      <c r="K964" s="69" t="str">
        <f>TEXT(ASTemp!K964,Decimals)</f>
        <v/>
      </c>
      <c r="L964" s="69" t="str">
        <f>TEXT(ASTemp!L964,Decimals)</f>
        <v/>
      </c>
      <c r="M964" s="71" t="str">
        <f>TEXT(ASTemp!M964,Percentages)</f>
        <v/>
      </c>
      <c r="N964" s="72" t="str">
        <f>TEXT(ASTemp!N964,Percentages)</f>
        <v/>
      </c>
    </row>
    <row r="965" ht="14.25" customHeight="1">
      <c r="B965" s="66" t="str">
        <f>ASTemp!B965</f>
        <v/>
      </c>
      <c r="C965" s="67" t="str">
        <f>ASTemp!C965</f>
        <v/>
      </c>
      <c r="D965" s="68" t="str">
        <f>ASTemp!D965</f>
        <v/>
      </c>
      <c r="E965" s="65" t="str">
        <f>ASTemp!E965</f>
        <v/>
      </c>
      <c r="F965" s="69" t="str">
        <f>TEXT(ASTemp!F965,Decimals)</f>
        <v/>
      </c>
      <c r="G965" s="69" t="str">
        <f>TEXT(ASTemp!G965,Decimals)</f>
        <v/>
      </c>
      <c r="H965" s="69" t="str">
        <f>TEXT(ASTemp!H965,Decimals)</f>
        <v/>
      </c>
      <c r="I965" s="69" t="str">
        <f>TEXT(ASTemp!I965,Decimals)</f>
        <v/>
      </c>
      <c r="J965" s="69" t="str">
        <f>TEXT(ASTemp!J965,Decimals)</f>
        <v/>
      </c>
      <c r="K965" s="69" t="str">
        <f>TEXT(ASTemp!K965,Decimals)</f>
        <v/>
      </c>
      <c r="L965" s="69" t="str">
        <f>TEXT(ASTemp!L965,Decimals)</f>
        <v/>
      </c>
      <c r="M965" s="71" t="str">
        <f>TEXT(ASTemp!M965,Percentages)</f>
        <v/>
      </c>
      <c r="N965" s="72" t="str">
        <f>TEXT(ASTemp!N965,Percentages)</f>
        <v/>
      </c>
    </row>
    <row r="966" ht="14.25" customHeight="1">
      <c r="B966" s="66" t="str">
        <f>ASTemp!B966</f>
        <v/>
      </c>
      <c r="C966" s="67" t="str">
        <f>ASTemp!C966</f>
        <v/>
      </c>
      <c r="D966" s="68" t="str">
        <f>ASTemp!D966</f>
        <v/>
      </c>
      <c r="E966" s="65" t="str">
        <f>ASTemp!E966</f>
        <v/>
      </c>
      <c r="F966" s="69" t="str">
        <f>TEXT(ASTemp!F966,Decimals)</f>
        <v/>
      </c>
      <c r="G966" s="69" t="str">
        <f>TEXT(ASTemp!G966,Decimals)</f>
        <v/>
      </c>
      <c r="H966" s="69" t="str">
        <f>TEXT(ASTemp!H966,Decimals)</f>
        <v/>
      </c>
      <c r="I966" s="69" t="str">
        <f>TEXT(ASTemp!I966,Decimals)</f>
        <v/>
      </c>
      <c r="J966" s="69" t="str">
        <f>TEXT(ASTemp!J966,Decimals)</f>
        <v/>
      </c>
      <c r="K966" s="69" t="str">
        <f>TEXT(ASTemp!K966,Decimals)</f>
        <v/>
      </c>
      <c r="L966" s="69" t="str">
        <f>TEXT(ASTemp!L966,Decimals)</f>
        <v/>
      </c>
      <c r="M966" s="71" t="str">
        <f>TEXT(ASTemp!M966,Percentages)</f>
        <v/>
      </c>
      <c r="N966" s="72" t="str">
        <f>TEXT(ASTemp!N966,Percentages)</f>
        <v/>
      </c>
    </row>
    <row r="967" ht="14.25" customHeight="1">
      <c r="B967" s="66" t="str">
        <f>ASTemp!B967</f>
        <v/>
      </c>
      <c r="C967" s="67" t="str">
        <f>ASTemp!C967</f>
        <v/>
      </c>
      <c r="D967" s="68" t="str">
        <f>ASTemp!D967</f>
        <v/>
      </c>
      <c r="E967" s="65" t="str">
        <f>ASTemp!E967</f>
        <v/>
      </c>
      <c r="F967" s="69" t="str">
        <f>TEXT(ASTemp!F967,Decimals)</f>
        <v/>
      </c>
      <c r="G967" s="69" t="str">
        <f>TEXT(ASTemp!G967,Decimals)</f>
        <v/>
      </c>
      <c r="H967" s="69" t="str">
        <f>TEXT(ASTemp!H967,Decimals)</f>
        <v/>
      </c>
      <c r="I967" s="69" t="str">
        <f>TEXT(ASTemp!I967,Decimals)</f>
        <v/>
      </c>
      <c r="J967" s="69" t="str">
        <f>TEXT(ASTemp!J967,Decimals)</f>
        <v/>
      </c>
      <c r="K967" s="69" t="str">
        <f>TEXT(ASTemp!K967,Decimals)</f>
        <v/>
      </c>
      <c r="L967" s="69" t="str">
        <f>TEXT(ASTemp!L967,Decimals)</f>
        <v/>
      </c>
      <c r="M967" s="71" t="str">
        <f>TEXT(ASTemp!M967,Percentages)</f>
        <v/>
      </c>
      <c r="N967" s="72" t="str">
        <f>TEXT(ASTemp!N967,Percentages)</f>
        <v/>
      </c>
    </row>
    <row r="968" ht="14.25" customHeight="1">
      <c r="B968" s="66" t="str">
        <f>ASTemp!B968</f>
        <v/>
      </c>
      <c r="C968" s="67" t="str">
        <f>ASTemp!C968</f>
        <v/>
      </c>
      <c r="D968" s="68" t="str">
        <f>ASTemp!D968</f>
        <v/>
      </c>
      <c r="E968" s="65" t="str">
        <f>ASTemp!E968</f>
        <v/>
      </c>
      <c r="F968" s="69" t="str">
        <f>TEXT(ASTemp!F968,Decimals)</f>
        <v/>
      </c>
      <c r="G968" s="69" t="str">
        <f>TEXT(ASTemp!G968,Decimals)</f>
        <v/>
      </c>
      <c r="H968" s="69" t="str">
        <f>TEXT(ASTemp!H968,Decimals)</f>
        <v/>
      </c>
      <c r="I968" s="69" t="str">
        <f>TEXT(ASTemp!I968,Decimals)</f>
        <v/>
      </c>
      <c r="J968" s="69" t="str">
        <f>TEXT(ASTemp!J968,Decimals)</f>
        <v/>
      </c>
      <c r="K968" s="69" t="str">
        <f>TEXT(ASTemp!K968,Decimals)</f>
        <v/>
      </c>
      <c r="L968" s="69" t="str">
        <f>TEXT(ASTemp!L968,Decimals)</f>
        <v/>
      </c>
      <c r="M968" s="71" t="str">
        <f>TEXT(ASTemp!M968,Percentages)</f>
        <v/>
      </c>
      <c r="N968" s="72" t="str">
        <f>TEXT(ASTemp!N968,Percentages)</f>
        <v/>
      </c>
    </row>
    <row r="969" ht="14.25" customHeight="1">
      <c r="B969" s="66" t="str">
        <f>ASTemp!B969</f>
        <v/>
      </c>
      <c r="C969" s="67" t="str">
        <f>ASTemp!C969</f>
        <v/>
      </c>
      <c r="D969" s="68" t="str">
        <f>ASTemp!D969</f>
        <v/>
      </c>
      <c r="E969" s="65" t="str">
        <f>ASTemp!E969</f>
        <v/>
      </c>
      <c r="F969" s="69" t="str">
        <f>TEXT(ASTemp!F969,Decimals)</f>
        <v/>
      </c>
      <c r="G969" s="69" t="str">
        <f>TEXT(ASTemp!G969,Decimals)</f>
        <v/>
      </c>
      <c r="H969" s="69" t="str">
        <f>TEXT(ASTemp!H969,Decimals)</f>
        <v/>
      </c>
      <c r="I969" s="69" t="str">
        <f>TEXT(ASTemp!I969,Decimals)</f>
        <v/>
      </c>
      <c r="J969" s="69" t="str">
        <f>TEXT(ASTemp!J969,Decimals)</f>
        <v/>
      </c>
      <c r="K969" s="69" t="str">
        <f>TEXT(ASTemp!K969,Decimals)</f>
        <v/>
      </c>
      <c r="L969" s="69" t="str">
        <f>TEXT(ASTemp!L969,Decimals)</f>
        <v/>
      </c>
      <c r="M969" s="71" t="str">
        <f>TEXT(ASTemp!M969,Percentages)</f>
        <v/>
      </c>
      <c r="N969" s="72" t="str">
        <f>TEXT(ASTemp!N969,Percentages)</f>
        <v/>
      </c>
    </row>
    <row r="970" ht="14.25" customHeight="1">
      <c r="B970" s="66" t="str">
        <f>ASTemp!B970</f>
        <v/>
      </c>
      <c r="C970" s="67" t="str">
        <f>ASTemp!C970</f>
        <v/>
      </c>
      <c r="D970" s="68" t="str">
        <f>ASTemp!D970</f>
        <v/>
      </c>
      <c r="E970" s="65" t="str">
        <f>ASTemp!E970</f>
        <v/>
      </c>
      <c r="F970" s="69" t="str">
        <f>TEXT(ASTemp!F970,Decimals)</f>
        <v/>
      </c>
      <c r="G970" s="69" t="str">
        <f>TEXT(ASTemp!G970,Decimals)</f>
        <v/>
      </c>
      <c r="H970" s="69" t="str">
        <f>TEXT(ASTemp!H970,Decimals)</f>
        <v/>
      </c>
      <c r="I970" s="69" t="str">
        <f>TEXT(ASTemp!I970,Decimals)</f>
        <v/>
      </c>
      <c r="J970" s="69" t="str">
        <f>TEXT(ASTemp!J970,Decimals)</f>
        <v/>
      </c>
      <c r="K970" s="69" t="str">
        <f>TEXT(ASTemp!K970,Decimals)</f>
        <v/>
      </c>
      <c r="L970" s="69" t="str">
        <f>TEXT(ASTemp!L970,Decimals)</f>
        <v/>
      </c>
      <c r="M970" s="71" t="str">
        <f>TEXT(ASTemp!M970,Percentages)</f>
        <v/>
      </c>
      <c r="N970" s="72" t="str">
        <f>TEXT(ASTemp!N970,Percentages)</f>
        <v/>
      </c>
    </row>
    <row r="971" ht="14.25" customHeight="1">
      <c r="B971" s="66" t="str">
        <f>ASTemp!B971</f>
        <v/>
      </c>
      <c r="C971" s="67" t="str">
        <f>ASTemp!C971</f>
        <v/>
      </c>
      <c r="D971" s="68" t="str">
        <f>ASTemp!D971</f>
        <v/>
      </c>
      <c r="E971" s="65" t="str">
        <f>ASTemp!E971</f>
        <v/>
      </c>
      <c r="F971" s="69" t="str">
        <f>TEXT(ASTemp!F971,Decimals)</f>
        <v/>
      </c>
      <c r="G971" s="69" t="str">
        <f>TEXT(ASTemp!G971,Decimals)</f>
        <v/>
      </c>
      <c r="H971" s="69" t="str">
        <f>TEXT(ASTemp!H971,Decimals)</f>
        <v/>
      </c>
      <c r="I971" s="69" t="str">
        <f>TEXT(ASTemp!I971,Decimals)</f>
        <v/>
      </c>
      <c r="J971" s="69" t="str">
        <f>TEXT(ASTemp!J971,Decimals)</f>
        <v/>
      </c>
      <c r="K971" s="69" t="str">
        <f>TEXT(ASTemp!K971,Decimals)</f>
        <v/>
      </c>
      <c r="L971" s="69" t="str">
        <f>TEXT(ASTemp!L971,Decimals)</f>
        <v/>
      </c>
      <c r="M971" s="71" t="str">
        <f>TEXT(ASTemp!M971,Percentages)</f>
        <v/>
      </c>
      <c r="N971" s="72" t="str">
        <f>TEXT(ASTemp!N971,Percentages)</f>
        <v/>
      </c>
    </row>
    <row r="972" ht="14.25" customHeight="1">
      <c r="B972" s="66" t="str">
        <f>ASTemp!B972</f>
        <v/>
      </c>
      <c r="C972" s="67" t="str">
        <f>ASTemp!C972</f>
        <v/>
      </c>
      <c r="D972" s="68" t="str">
        <f>ASTemp!D972</f>
        <v/>
      </c>
      <c r="E972" s="65" t="str">
        <f>ASTemp!E972</f>
        <v/>
      </c>
      <c r="F972" s="69" t="str">
        <f>TEXT(ASTemp!F972,Decimals)</f>
        <v/>
      </c>
      <c r="G972" s="69" t="str">
        <f>TEXT(ASTemp!G972,Decimals)</f>
        <v/>
      </c>
      <c r="H972" s="69" t="str">
        <f>TEXT(ASTemp!H972,Decimals)</f>
        <v/>
      </c>
      <c r="I972" s="69" t="str">
        <f>TEXT(ASTemp!I972,Decimals)</f>
        <v/>
      </c>
      <c r="J972" s="69" t="str">
        <f>TEXT(ASTemp!J972,Decimals)</f>
        <v/>
      </c>
      <c r="K972" s="69" t="str">
        <f>TEXT(ASTemp!K972,Decimals)</f>
        <v/>
      </c>
      <c r="L972" s="69" t="str">
        <f>TEXT(ASTemp!L972,Decimals)</f>
        <v/>
      </c>
      <c r="M972" s="71" t="str">
        <f>TEXT(ASTemp!M972,Percentages)</f>
        <v/>
      </c>
      <c r="N972" s="72" t="str">
        <f>TEXT(ASTemp!N972,Percentages)</f>
        <v/>
      </c>
    </row>
    <row r="973" ht="14.25" customHeight="1">
      <c r="B973" s="66" t="str">
        <f>ASTemp!B973</f>
        <v/>
      </c>
      <c r="C973" s="67" t="str">
        <f>ASTemp!C973</f>
        <v/>
      </c>
      <c r="D973" s="68" t="str">
        <f>ASTemp!D973</f>
        <v/>
      </c>
      <c r="E973" s="65" t="str">
        <f>ASTemp!E973</f>
        <v/>
      </c>
      <c r="F973" s="69" t="str">
        <f>TEXT(ASTemp!F973,Decimals)</f>
        <v/>
      </c>
      <c r="G973" s="69" t="str">
        <f>TEXT(ASTemp!G973,Decimals)</f>
        <v/>
      </c>
      <c r="H973" s="69" t="str">
        <f>TEXT(ASTemp!H973,Decimals)</f>
        <v/>
      </c>
      <c r="I973" s="69" t="str">
        <f>TEXT(ASTemp!I973,Decimals)</f>
        <v/>
      </c>
      <c r="J973" s="69" t="str">
        <f>TEXT(ASTemp!J973,Decimals)</f>
        <v/>
      </c>
      <c r="K973" s="69" t="str">
        <f>TEXT(ASTemp!K973,Decimals)</f>
        <v/>
      </c>
      <c r="L973" s="69" t="str">
        <f>TEXT(ASTemp!L973,Decimals)</f>
        <v/>
      </c>
      <c r="M973" s="71" t="str">
        <f>TEXT(ASTemp!M973,Percentages)</f>
        <v/>
      </c>
      <c r="N973" s="72" t="str">
        <f>TEXT(ASTemp!N973,Percentages)</f>
        <v/>
      </c>
    </row>
    <row r="974" ht="14.25" customHeight="1">
      <c r="B974" s="66" t="str">
        <f>ASTemp!B974</f>
        <v/>
      </c>
      <c r="C974" s="67" t="str">
        <f>ASTemp!C974</f>
        <v/>
      </c>
      <c r="D974" s="68" t="str">
        <f>ASTemp!D974</f>
        <v/>
      </c>
      <c r="E974" s="65" t="str">
        <f>ASTemp!E974</f>
        <v/>
      </c>
      <c r="F974" s="69" t="str">
        <f>TEXT(ASTemp!F974,Decimals)</f>
        <v/>
      </c>
      <c r="G974" s="69" t="str">
        <f>TEXT(ASTemp!G974,Decimals)</f>
        <v/>
      </c>
      <c r="H974" s="69" t="str">
        <f>TEXT(ASTemp!H974,Decimals)</f>
        <v/>
      </c>
      <c r="I974" s="69" t="str">
        <f>TEXT(ASTemp!I974,Decimals)</f>
        <v/>
      </c>
      <c r="J974" s="69" t="str">
        <f>TEXT(ASTemp!J974,Decimals)</f>
        <v/>
      </c>
      <c r="K974" s="69" t="str">
        <f>TEXT(ASTemp!K974,Decimals)</f>
        <v/>
      </c>
      <c r="L974" s="69" t="str">
        <f>TEXT(ASTemp!L974,Decimals)</f>
        <v/>
      </c>
      <c r="M974" s="71" t="str">
        <f>TEXT(ASTemp!M974,Percentages)</f>
        <v/>
      </c>
      <c r="N974" s="72" t="str">
        <f>TEXT(ASTemp!N974,Percentages)</f>
        <v/>
      </c>
    </row>
    <row r="975" ht="14.25" customHeight="1">
      <c r="B975" s="66" t="str">
        <f>ASTemp!B975</f>
        <v/>
      </c>
      <c r="C975" s="67" t="str">
        <f>ASTemp!C975</f>
        <v/>
      </c>
      <c r="D975" s="68" t="str">
        <f>ASTemp!D975</f>
        <v/>
      </c>
      <c r="E975" s="65" t="str">
        <f>ASTemp!E975</f>
        <v/>
      </c>
      <c r="F975" s="69" t="str">
        <f>TEXT(ASTemp!F975,Decimals)</f>
        <v/>
      </c>
      <c r="G975" s="69" t="str">
        <f>TEXT(ASTemp!G975,Decimals)</f>
        <v/>
      </c>
      <c r="H975" s="69" t="str">
        <f>TEXT(ASTemp!H975,Decimals)</f>
        <v/>
      </c>
      <c r="I975" s="69" t="str">
        <f>TEXT(ASTemp!I975,Decimals)</f>
        <v/>
      </c>
      <c r="J975" s="69" t="str">
        <f>TEXT(ASTemp!J975,Decimals)</f>
        <v/>
      </c>
      <c r="K975" s="69" t="str">
        <f>TEXT(ASTemp!K975,Decimals)</f>
        <v/>
      </c>
      <c r="L975" s="69" t="str">
        <f>TEXT(ASTemp!L975,Decimals)</f>
        <v/>
      </c>
      <c r="M975" s="71" t="str">
        <f>TEXT(ASTemp!M975,Percentages)</f>
        <v/>
      </c>
      <c r="N975" s="72" t="str">
        <f>TEXT(ASTemp!N975,Percentages)</f>
        <v/>
      </c>
    </row>
    <row r="976" ht="14.25" customHeight="1">
      <c r="B976" s="66" t="str">
        <f>ASTemp!B976</f>
        <v/>
      </c>
      <c r="C976" s="67" t="str">
        <f>ASTemp!C976</f>
        <v/>
      </c>
      <c r="D976" s="68" t="str">
        <f>ASTemp!D976</f>
        <v/>
      </c>
      <c r="E976" s="65" t="str">
        <f>ASTemp!E976</f>
        <v/>
      </c>
      <c r="F976" s="69" t="str">
        <f>TEXT(ASTemp!F976,Decimals)</f>
        <v/>
      </c>
      <c r="G976" s="69" t="str">
        <f>TEXT(ASTemp!G976,Decimals)</f>
        <v/>
      </c>
      <c r="H976" s="69" t="str">
        <f>TEXT(ASTemp!H976,Decimals)</f>
        <v/>
      </c>
      <c r="I976" s="69" t="str">
        <f>TEXT(ASTemp!I976,Decimals)</f>
        <v/>
      </c>
      <c r="J976" s="69" t="str">
        <f>TEXT(ASTemp!J976,Decimals)</f>
        <v/>
      </c>
      <c r="K976" s="69" t="str">
        <f>TEXT(ASTemp!K976,Decimals)</f>
        <v/>
      </c>
      <c r="L976" s="69" t="str">
        <f>TEXT(ASTemp!L976,Decimals)</f>
        <v/>
      </c>
      <c r="M976" s="71" t="str">
        <f>TEXT(ASTemp!M976,Percentages)</f>
        <v/>
      </c>
      <c r="N976" s="72" t="str">
        <f>TEXT(ASTemp!N976,Percentages)</f>
        <v/>
      </c>
    </row>
    <row r="977" ht="14.25" customHeight="1">
      <c r="B977" s="66" t="str">
        <f>ASTemp!B977</f>
        <v/>
      </c>
      <c r="C977" s="67" t="str">
        <f>ASTemp!C977</f>
        <v/>
      </c>
      <c r="D977" s="68" t="str">
        <f>ASTemp!D977</f>
        <v/>
      </c>
      <c r="E977" s="65" t="str">
        <f>ASTemp!E977</f>
        <v/>
      </c>
      <c r="F977" s="69" t="str">
        <f>TEXT(ASTemp!F977,Decimals)</f>
        <v/>
      </c>
      <c r="G977" s="69" t="str">
        <f>TEXT(ASTemp!G977,Decimals)</f>
        <v/>
      </c>
      <c r="H977" s="69" t="str">
        <f>TEXT(ASTemp!H977,Decimals)</f>
        <v/>
      </c>
      <c r="I977" s="69" t="str">
        <f>TEXT(ASTemp!I977,Decimals)</f>
        <v/>
      </c>
      <c r="J977" s="69" t="str">
        <f>TEXT(ASTemp!J977,Decimals)</f>
        <v/>
      </c>
      <c r="K977" s="69" t="str">
        <f>TEXT(ASTemp!K977,Decimals)</f>
        <v/>
      </c>
      <c r="L977" s="69" t="str">
        <f>TEXT(ASTemp!L977,Decimals)</f>
        <v/>
      </c>
      <c r="M977" s="71" t="str">
        <f>TEXT(ASTemp!M977,Percentages)</f>
        <v/>
      </c>
      <c r="N977" s="72" t="str">
        <f>TEXT(ASTemp!N977,Percentages)</f>
        <v/>
      </c>
    </row>
    <row r="978" ht="14.25" customHeight="1">
      <c r="B978" s="66" t="str">
        <f>ASTemp!B978</f>
        <v/>
      </c>
      <c r="C978" s="67" t="str">
        <f>ASTemp!C978</f>
        <v/>
      </c>
      <c r="D978" s="68" t="str">
        <f>ASTemp!D978</f>
        <v/>
      </c>
      <c r="E978" s="65" t="str">
        <f>ASTemp!E978</f>
        <v/>
      </c>
      <c r="F978" s="69" t="str">
        <f>TEXT(ASTemp!F978,Decimals)</f>
        <v/>
      </c>
      <c r="G978" s="69" t="str">
        <f>TEXT(ASTemp!G978,Decimals)</f>
        <v/>
      </c>
      <c r="H978" s="69" t="str">
        <f>TEXT(ASTemp!H978,Decimals)</f>
        <v/>
      </c>
      <c r="I978" s="69" t="str">
        <f>TEXT(ASTemp!I978,Decimals)</f>
        <v/>
      </c>
      <c r="J978" s="69" t="str">
        <f>TEXT(ASTemp!J978,Decimals)</f>
        <v/>
      </c>
      <c r="K978" s="69" t="str">
        <f>TEXT(ASTemp!K978,Decimals)</f>
        <v/>
      </c>
      <c r="L978" s="69" t="str">
        <f>TEXT(ASTemp!L978,Decimals)</f>
        <v/>
      </c>
      <c r="M978" s="71" t="str">
        <f>TEXT(ASTemp!M978,Percentages)</f>
        <v/>
      </c>
      <c r="N978" s="72" t="str">
        <f>TEXT(ASTemp!N978,Percentages)</f>
        <v/>
      </c>
    </row>
    <row r="979" ht="14.25" customHeight="1">
      <c r="B979" s="66" t="str">
        <f>ASTemp!B979</f>
        <v/>
      </c>
      <c r="C979" s="67" t="str">
        <f>ASTemp!C979</f>
        <v/>
      </c>
      <c r="D979" s="68" t="str">
        <f>ASTemp!D979</f>
        <v/>
      </c>
      <c r="E979" s="65" t="str">
        <f>ASTemp!E979</f>
        <v/>
      </c>
      <c r="F979" s="69" t="str">
        <f>TEXT(ASTemp!F979,Decimals)</f>
        <v/>
      </c>
      <c r="G979" s="69" t="str">
        <f>TEXT(ASTemp!G979,Decimals)</f>
        <v/>
      </c>
      <c r="H979" s="69" t="str">
        <f>TEXT(ASTemp!H979,Decimals)</f>
        <v/>
      </c>
      <c r="I979" s="69" t="str">
        <f>TEXT(ASTemp!I979,Decimals)</f>
        <v/>
      </c>
      <c r="J979" s="69" t="str">
        <f>TEXT(ASTemp!J979,Decimals)</f>
        <v/>
      </c>
      <c r="K979" s="69" t="str">
        <f>TEXT(ASTemp!K979,Decimals)</f>
        <v/>
      </c>
      <c r="L979" s="69" t="str">
        <f>TEXT(ASTemp!L979,Decimals)</f>
        <v/>
      </c>
      <c r="M979" s="71" t="str">
        <f>TEXT(ASTemp!M979,Percentages)</f>
        <v/>
      </c>
      <c r="N979" s="72" t="str">
        <f>TEXT(ASTemp!N979,Percentages)</f>
        <v/>
      </c>
    </row>
    <row r="980" ht="14.25" customHeight="1">
      <c r="B980" s="66" t="str">
        <f>ASTemp!B980</f>
        <v/>
      </c>
      <c r="C980" s="67" t="str">
        <f>ASTemp!C980</f>
        <v/>
      </c>
      <c r="D980" s="68" t="str">
        <f>ASTemp!D980</f>
        <v/>
      </c>
      <c r="E980" s="65" t="str">
        <f>ASTemp!E980</f>
        <v/>
      </c>
      <c r="F980" s="69" t="str">
        <f>TEXT(ASTemp!F980,Decimals)</f>
        <v/>
      </c>
      <c r="G980" s="69" t="str">
        <f>TEXT(ASTemp!G980,Decimals)</f>
        <v/>
      </c>
      <c r="H980" s="69" t="str">
        <f>TEXT(ASTemp!H980,Decimals)</f>
        <v/>
      </c>
      <c r="I980" s="69" t="str">
        <f>TEXT(ASTemp!I980,Decimals)</f>
        <v/>
      </c>
      <c r="J980" s="69" t="str">
        <f>TEXT(ASTemp!J980,Decimals)</f>
        <v/>
      </c>
      <c r="K980" s="69" t="str">
        <f>TEXT(ASTemp!K980,Decimals)</f>
        <v/>
      </c>
      <c r="L980" s="69" t="str">
        <f>TEXT(ASTemp!L980,Decimals)</f>
        <v/>
      </c>
      <c r="M980" s="71" t="str">
        <f>TEXT(ASTemp!M980,Percentages)</f>
        <v/>
      </c>
      <c r="N980" s="72" t="str">
        <f>TEXT(ASTemp!N980,Percentages)</f>
        <v/>
      </c>
    </row>
    <row r="981" ht="14.25" customHeight="1">
      <c r="B981" s="66" t="str">
        <f>ASTemp!B981</f>
        <v/>
      </c>
      <c r="C981" s="67" t="str">
        <f>ASTemp!C981</f>
        <v/>
      </c>
      <c r="D981" s="68" t="str">
        <f>ASTemp!D981</f>
        <v/>
      </c>
      <c r="E981" s="65" t="str">
        <f>ASTemp!E981</f>
        <v/>
      </c>
      <c r="F981" s="69" t="str">
        <f>TEXT(ASTemp!F981,Decimals)</f>
        <v/>
      </c>
      <c r="G981" s="69" t="str">
        <f>TEXT(ASTemp!G981,Decimals)</f>
        <v/>
      </c>
      <c r="H981" s="69" t="str">
        <f>TEXT(ASTemp!H981,Decimals)</f>
        <v/>
      </c>
      <c r="I981" s="69" t="str">
        <f>TEXT(ASTemp!I981,Decimals)</f>
        <v/>
      </c>
      <c r="J981" s="69" t="str">
        <f>TEXT(ASTemp!J981,Decimals)</f>
        <v/>
      </c>
      <c r="K981" s="69" t="str">
        <f>TEXT(ASTemp!K981,Decimals)</f>
        <v/>
      </c>
      <c r="L981" s="69" t="str">
        <f>TEXT(ASTemp!L981,Decimals)</f>
        <v/>
      </c>
      <c r="M981" s="71" t="str">
        <f>TEXT(ASTemp!M981,Percentages)</f>
        <v/>
      </c>
      <c r="N981" s="72" t="str">
        <f>TEXT(ASTemp!N981,Percentages)</f>
        <v/>
      </c>
    </row>
    <row r="982" ht="14.25" customHeight="1">
      <c r="B982" s="66" t="str">
        <f>ASTemp!B982</f>
        <v/>
      </c>
      <c r="C982" s="67" t="str">
        <f>ASTemp!C982</f>
        <v/>
      </c>
      <c r="D982" s="68" t="str">
        <f>ASTemp!D982</f>
        <v/>
      </c>
      <c r="E982" s="65" t="str">
        <f>ASTemp!E982</f>
        <v/>
      </c>
      <c r="F982" s="69" t="str">
        <f>TEXT(ASTemp!F982,Decimals)</f>
        <v/>
      </c>
      <c r="G982" s="69" t="str">
        <f>TEXT(ASTemp!G982,Decimals)</f>
        <v/>
      </c>
      <c r="H982" s="69" t="str">
        <f>TEXT(ASTemp!H982,Decimals)</f>
        <v/>
      </c>
      <c r="I982" s="69" t="str">
        <f>TEXT(ASTemp!I982,Decimals)</f>
        <v/>
      </c>
      <c r="J982" s="69" t="str">
        <f>TEXT(ASTemp!J982,Decimals)</f>
        <v/>
      </c>
      <c r="K982" s="69" t="str">
        <f>TEXT(ASTemp!K982,Decimals)</f>
        <v/>
      </c>
      <c r="L982" s="69" t="str">
        <f>TEXT(ASTemp!L982,Decimals)</f>
        <v/>
      </c>
      <c r="M982" s="71" t="str">
        <f>TEXT(ASTemp!M982,Percentages)</f>
        <v/>
      </c>
      <c r="N982" s="72" t="str">
        <f>TEXT(ASTemp!N982,Percentages)</f>
        <v/>
      </c>
    </row>
    <row r="983" ht="14.25" customHeight="1">
      <c r="B983" s="66" t="str">
        <f>ASTemp!B983</f>
        <v/>
      </c>
      <c r="C983" s="67" t="str">
        <f>ASTemp!C983</f>
        <v/>
      </c>
      <c r="D983" s="68" t="str">
        <f>ASTemp!D983</f>
        <v/>
      </c>
      <c r="E983" s="65" t="str">
        <f>ASTemp!E983</f>
        <v/>
      </c>
      <c r="F983" s="69" t="str">
        <f>TEXT(ASTemp!F983,Decimals)</f>
        <v/>
      </c>
      <c r="G983" s="69" t="str">
        <f>TEXT(ASTemp!G983,Decimals)</f>
        <v/>
      </c>
      <c r="H983" s="69" t="str">
        <f>TEXT(ASTemp!H983,Decimals)</f>
        <v/>
      </c>
      <c r="I983" s="69" t="str">
        <f>TEXT(ASTemp!I983,Decimals)</f>
        <v/>
      </c>
      <c r="J983" s="69" t="str">
        <f>TEXT(ASTemp!J983,Decimals)</f>
        <v/>
      </c>
      <c r="K983" s="69" t="str">
        <f>TEXT(ASTemp!K983,Decimals)</f>
        <v/>
      </c>
      <c r="L983" s="69" t="str">
        <f>TEXT(ASTemp!L983,Decimals)</f>
        <v/>
      </c>
      <c r="M983" s="71" t="str">
        <f>TEXT(ASTemp!M983,Percentages)</f>
        <v/>
      </c>
      <c r="N983" s="72" t="str">
        <f>TEXT(ASTemp!N983,Percentages)</f>
        <v/>
      </c>
    </row>
    <row r="984" ht="14.25" customHeight="1">
      <c r="B984" s="66" t="str">
        <f>ASTemp!B984</f>
        <v/>
      </c>
      <c r="C984" s="67" t="str">
        <f>ASTemp!C984</f>
        <v/>
      </c>
      <c r="D984" s="68" t="str">
        <f>ASTemp!D984</f>
        <v/>
      </c>
      <c r="E984" s="65" t="str">
        <f>ASTemp!E984</f>
        <v/>
      </c>
      <c r="F984" s="69" t="str">
        <f>TEXT(ASTemp!F984,Decimals)</f>
        <v/>
      </c>
      <c r="G984" s="69" t="str">
        <f>TEXT(ASTemp!G984,Decimals)</f>
        <v/>
      </c>
      <c r="H984" s="69" t="str">
        <f>TEXT(ASTemp!H984,Decimals)</f>
        <v/>
      </c>
      <c r="I984" s="69" t="str">
        <f>TEXT(ASTemp!I984,Decimals)</f>
        <v/>
      </c>
      <c r="J984" s="69" t="str">
        <f>TEXT(ASTemp!J984,Decimals)</f>
        <v/>
      </c>
      <c r="K984" s="69" t="str">
        <f>TEXT(ASTemp!K984,Decimals)</f>
        <v/>
      </c>
      <c r="L984" s="69" t="str">
        <f>TEXT(ASTemp!L984,Decimals)</f>
        <v/>
      </c>
      <c r="M984" s="71" t="str">
        <f>TEXT(ASTemp!M984,Percentages)</f>
        <v/>
      </c>
      <c r="N984" s="72" t="str">
        <f>TEXT(ASTemp!N984,Percentages)</f>
        <v/>
      </c>
    </row>
    <row r="985" ht="14.25" customHeight="1">
      <c r="B985" s="66" t="str">
        <f>ASTemp!B985</f>
        <v/>
      </c>
      <c r="C985" s="67" t="str">
        <f>ASTemp!C985</f>
        <v/>
      </c>
      <c r="D985" s="68" t="str">
        <f>ASTemp!D985</f>
        <v/>
      </c>
      <c r="E985" s="65" t="str">
        <f>ASTemp!E985</f>
        <v/>
      </c>
      <c r="F985" s="69" t="str">
        <f>TEXT(ASTemp!F985,Decimals)</f>
        <v/>
      </c>
      <c r="G985" s="69" t="str">
        <f>TEXT(ASTemp!G985,Decimals)</f>
        <v/>
      </c>
      <c r="H985" s="69" t="str">
        <f>TEXT(ASTemp!H985,Decimals)</f>
        <v/>
      </c>
      <c r="I985" s="69" t="str">
        <f>TEXT(ASTemp!I985,Decimals)</f>
        <v/>
      </c>
      <c r="J985" s="69" t="str">
        <f>TEXT(ASTemp!J985,Decimals)</f>
        <v/>
      </c>
      <c r="K985" s="69" t="str">
        <f>TEXT(ASTemp!K985,Decimals)</f>
        <v/>
      </c>
      <c r="L985" s="69" t="str">
        <f>TEXT(ASTemp!L985,Decimals)</f>
        <v/>
      </c>
      <c r="M985" s="71" t="str">
        <f>TEXT(ASTemp!M985,Percentages)</f>
        <v/>
      </c>
      <c r="N985" s="72" t="str">
        <f>TEXT(ASTemp!N985,Percentages)</f>
        <v/>
      </c>
    </row>
    <row r="986" ht="14.25" customHeight="1">
      <c r="B986" s="66" t="str">
        <f>ASTemp!B986</f>
        <v/>
      </c>
      <c r="C986" s="67" t="str">
        <f>ASTemp!C986</f>
        <v/>
      </c>
      <c r="D986" s="68" t="str">
        <f>ASTemp!D986</f>
        <v/>
      </c>
      <c r="E986" s="65" t="str">
        <f>ASTemp!E986</f>
        <v/>
      </c>
      <c r="F986" s="69" t="str">
        <f>TEXT(ASTemp!F986,Decimals)</f>
        <v/>
      </c>
      <c r="G986" s="69" t="str">
        <f>TEXT(ASTemp!G986,Decimals)</f>
        <v/>
      </c>
      <c r="H986" s="69" t="str">
        <f>TEXT(ASTemp!H986,Decimals)</f>
        <v/>
      </c>
      <c r="I986" s="69" t="str">
        <f>TEXT(ASTemp!I986,Decimals)</f>
        <v/>
      </c>
      <c r="J986" s="69" t="str">
        <f>TEXT(ASTemp!J986,Decimals)</f>
        <v/>
      </c>
      <c r="K986" s="69" t="str">
        <f>TEXT(ASTemp!K986,Decimals)</f>
        <v/>
      </c>
      <c r="L986" s="69" t="str">
        <f>TEXT(ASTemp!L986,Decimals)</f>
        <v/>
      </c>
      <c r="M986" s="71" t="str">
        <f>TEXT(ASTemp!M986,Percentages)</f>
        <v/>
      </c>
      <c r="N986" s="72" t="str">
        <f>TEXT(ASTemp!N986,Percentages)</f>
        <v/>
      </c>
    </row>
    <row r="987" ht="14.25" customHeight="1">
      <c r="B987" s="66" t="str">
        <f>ASTemp!B987</f>
        <v/>
      </c>
      <c r="C987" s="67" t="str">
        <f>ASTemp!C987</f>
        <v/>
      </c>
      <c r="D987" s="68" t="str">
        <f>ASTemp!D987</f>
        <v/>
      </c>
      <c r="E987" s="65" t="str">
        <f>ASTemp!E987</f>
        <v/>
      </c>
      <c r="F987" s="69" t="str">
        <f>TEXT(ASTemp!F987,Decimals)</f>
        <v/>
      </c>
      <c r="G987" s="69" t="str">
        <f>TEXT(ASTemp!G987,Decimals)</f>
        <v/>
      </c>
      <c r="H987" s="69" t="str">
        <f>TEXT(ASTemp!H987,Decimals)</f>
        <v/>
      </c>
      <c r="I987" s="69" t="str">
        <f>TEXT(ASTemp!I987,Decimals)</f>
        <v/>
      </c>
      <c r="J987" s="69" t="str">
        <f>TEXT(ASTemp!J987,Decimals)</f>
        <v/>
      </c>
      <c r="K987" s="69" t="str">
        <f>TEXT(ASTemp!K987,Decimals)</f>
        <v/>
      </c>
      <c r="L987" s="69" t="str">
        <f>TEXT(ASTemp!L987,Decimals)</f>
        <v/>
      </c>
      <c r="M987" s="71" t="str">
        <f>TEXT(ASTemp!M987,Percentages)</f>
        <v/>
      </c>
      <c r="N987" s="72" t="str">
        <f>TEXT(ASTemp!N987,Percentages)</f>
        <v/>
      </c>
    </row>
    <row r="988" ht="14.25" customHeight="1">
      <c r="B988" s="66" t="str">
        <f>ASTemp!B988</f>
        <v/>
      </c>
      <c r="C988" s="67" t="str">
        <f>ASTemp!C988</f>
        <v/>
      </c>
      <c r="D988" s="68" t="str">
        <f>ASTemp!D988</f>
        <v/>
      </c>
      <c r="E988" s="65" t="str">
        <f>ASTemp!E988</f>
        <v/>
      </c>
      <c r="F988" s="69" t="str">
        <f>TEXT(ASTemp!F988,Decimals)</f>
        <v/>
      </c>
      <c r="G988" s="69" t="str">
        <f>TEXT(ASTemp!G988,Decimals)</f>
        <v/>
      </c>
      <c r="H988" s="69" t="str">
        <f>TEXT(ASTemp!H988,Decimals)</f>
        <v/>
      </c>
      <c r="I988" s="69" t="str">
        <f>TEXT(ASTemp!I988,Decimals)</f>
        <v/>
      </c>
      <c r="J988" s="69" t="str">
        <f>TEXT(ASTemp!J988,Decimals)</f>
        <v/>
      </c>
      <c r="K988" s="69" t="str">
        <f>TEXT(ASTemp!K988,Decimals)</f>
        <v/>
      </c>
      <c r="L988" s="69" t="str">
        <f>TEXT(ASTemp!L988,Decimals)</f>
        <v/>
      </c>
      <c r="M988" s="71" t="str">
        <f>TEXT(ASTemp!M988,Percentages)</f>
        <v/>
      </c>
      <c r="N988" s="72" t="str">
        <f>TEXT(ASTemp!N988,Percentages)</f>
        <v/>
      </c>
    </row>
    <row r="989" ht="14.25" customHeight="1">
      <c r="B989" s="66" t="str">
        <f>ASTemp!B989</f>
        <v/>
      </c>
      <c r="C989" s="67" t="str">
        <f>ASTemp!C989</f>
        <v/>
      </c>
      <c r="D989" s="68" t="str">
        <f>ASTemp!D989</f>
        <v/>
      </c>
      <c r="E989" s="65" t="str">
        <f>ASTemp!E989</f>
        <v/>
      </c>
      <c r="F989" s="69" t="str">
        <f>TEXT(ASTemp!F989,Decimals)</f>
        <v/>
      </c>
      <c r="G989" s="69" t="str">
        <f>TEXT(ASTemp!G989,Decimals)</f>
        <v/>
      </c>
      <c r="H989" s="69" t="str">
        <f>TEXT(ASTemp!H989,Decimals)</f>
        <v/>
      </c>
      <c r="I989" s="69" t="str">
        <f>TEXT(ASTemp!I989,Decimals)</f>
        <v/>
      </c>
      <c r="J989" s="69" t="str">
        <f>TEXT(ASTemp!J989,Decimals)</f>
        <v/>
      </c>
      <c r="K989" s="69" t="str">
        <f>TEXT(ASTemp!K989,Decimals)</f>
        <v/>
      </c>
      <c r="L989" s="69" t="str">
        <f>TEXT(ASTemp!L989,Decimals)</f>
        <v/>
      </c>
      <c r="M989" s="71" t="str">
        <f>TEXT(ASTemp!M989,Percentages)</f>
        <v/>
      </c>
      <c r="N989" s="72" t="str">
        <f>TEXT(ASTemp!N989,Percentages)</f>
        <v/>
      </c>
    </row>
    <row r="990" ht="14.25" customHeight="1">
      <c r="B990" s="66" t="str">
        <f>ASTemp!B990</f>
        <v/>
      </c>
      <c r="C990" s="67" t="str">
        <f>ASTemp!C990</f>
        <v/>
      </c>
      <c r="D990" s="68" t="str">
        <f>ASTemp!D990</f>
        <v/>
      </c>
      <c r="E990" s="65" t="str">
        <f>ASTemp!E990</f>
        <v/>
      </c>
      <c r="F990" s="69" t="str">
        <f>TEXT(ASTemp!F990,Decimals)</f>
        <v/>
      </c>
      <c r="G990" s="69" t="str">
        <f>TEXT(ASTemp!G990,Decimals)</f>
        <v/>
      </c>
      <c r="H990" s="69" t="str">
        <f>TEXT(ASTemp!H990,Decimals)</f>
        <v/>
      </c>
      <c r="I990" s="69" t="str">
        <f>TEXT(ASTemp!I990,Decimals)</f>
        <v/>
      </c>
      <c r="J990" s="69" t="str">
        <f>TEXT(ASTemp!J990,Decimals)</f>
        <v/>
      </c>
      <c r="K990" s="69" t="str">
        <f>TEXT(ASTemp!K990,Decimals)</f>
        <v/>
      </c>
      <c r="L990" s="69" t="str">
        <f>TEXT(ASTemp!L990,Decimals)</f>
        <v/>
      </c>
      <c r="M990" s="71" t="str">
        <f>TEXT(ASTemp!M990,Percentages)</f>
        <v/>
      </c>
      <c r="N990" s="72" t="str">
        <f>TEXT(ASTemp!N990,Percentages)</f>
        <v/>
      </c>
    </row>
    <row r="991" ht="14.25" customHeight="1">
      <c r="B991" s="66" t="str">
        <f>ASTemp!B991</f>
        <v/>
      </c>
      <c r="C991" s="67" t="str">
        <f>ASTemp!C991</f>
        <v/>
      </c>
      <c r="D991" s="68" t="str">
        <f>ASTemp!D991</f>
        <v/>
      </c>
      <c r="E991" s="65" t="str">
        <f>ASTemp!E991</f>
        <v/>
      </c>
      <c r="F991" s="69" t="str">
        <f>TEXT(ASTemp!F991,Decimals)</f>
        <v/>
      </c>
      <c r="G991" s="69" t="str">
        <f>TEXT(ASTemp!G991,Decimals)</f>
        <v/>
      </c>
      <c r="H991" s="69" t="str">
        <f>TEXT(ASTemp!H991,Decimals)</f>
        <v/>
      </c>
      <c r="I991" s="69" t="str">
        <f>TEXT(ASTemp!I991,Decimals)</f>
        <v/>
      </c>
      <c r="J991" s="69" t="str">
        <f>TEXT(ASTemp!J991,Decimals)</f>
        <v/>
      </c>
      <c r="K991" s="69" t="str">
        <f>TEXT(ASTemp!K991,Decimals)</f>
        <v/>
      </c>
      <c r="L991" s="69" t="str">
        <f>TEXT(ASTemp!L991,Decimals)</f>
        <v/>
      </c>
      <c r="M991" s="71" t="str">
        <f>TEXT(ASTemp!M991,Percentages)</f>
        <v/>
      </c>
      <c r="N991" s="72" t="str">
        <f>TEXT(ASTemp!N991,Percentages)</f>
        <v/>
      </c>
    </row>
    <row r="992" ht="14.25" customHeight="1">
      <c r="B992" s="66" t="str">
        <f>ASTemp!B992</f>
        <v/>
      </c>
      <c r="C992" s="67" t="str">
        <f>ASTemp!C992</f>
        <v/>
      </c>
      <c r="D992" s="68" t="str">
        <f>ASTemp!D992</f>
        <v/>
      </c>
      <c r="E992" s="65" t="str">
        <f>ASTemp!E992</f>
        <v/>
      </c>
      <c r="F992" s="69" t="str">
        <f>TEXT(ASTemp!F992,Decimals)</f>
        <v/>
      </c>
      <c r="G992" s="69" t="str">
        <f>TEXT(ASTemp!G992,Decimals)</f>
        <v/>
      </c>
      <c r="H992" s="69" t="str">
        <f>TEXT(ASTemp!H992,Decimals)</f>
        <v/>
      </c>
      <c r="I992" s="69" t="str">
        <f>TEXT(ASTemp!I992,Decimals)</f>
        <v/>
      </c>
      <c r="J992" s="69" t="str">
        <f>TEXT(ASTemp!J992,Decimals)</f>
        <v/>
      </c>
      <c r="K992" s="69" t="str">
        <f>TEXT(ASTemp!K992,Decimals)</f>
        <v/>
      </c>
      <c r="L992" s="69" t="str">
        <f>TEXT(ASTemp!L992,Decimals)</f>
        <v/>
      </c>
      <c r="M992" s="71" t="str">
        <f>TEXT(ASTemp!M992,Percentages)</f>
        <v/>
      </c>
      <c r="N992" s="72" t="str">
        <f>TEXT(ASTemp!N992,Percentages)</f>
        <v/>
      </c>
    </row>
    <row r="993" ht="14.25" customHeight="1">
      <c r="B993" s="66" t="str">
        <f>ASTemp!B993</f>
        <v/>
      </c>
      <c r="C993" s="67" t="str">
        <f>ASTemp!C993</f>
        <v/>
      </c>
      <c r="D993" s="68" t="str">
        <f>ASTemp!D993</f>
        <v/>
      </c>
      <c r="E993" s="65" t="str">
        <f>ASTemp!E993</f>
        <v/>
      </c>
      <c r="F993" s="69" t="str">
        <f>TEXT(ASTemp!F993,Decimals)</f>
        <v/>
      </c>
      <c r="G993" s="69" t="str">
        <f>TEXT(ASTemp!G993,Decimals)</f>
        <v/>
      </c>
      <c r="H993" s="69" t="str">
        <f>TEXT(ASTemp!H993,Decimals)</f>
        <v/>
      </c>
      <c r="I993" s="69" t="str">
        <f>TEXT(ASTemp!I993,Decimals)</f>
        <v/>
      </c>
      <c r="J993" s="69" t="str">
        <f>TEXT(ASTemp!J993,Decimals)</f>
        <v/>
      </c>
      <c r="K993" s="69" t="str">
        <f>TEXT(ASTemp!K993,Decimals)</f>
        <v/>
      </c>
      <c r="L993" s="69" t="str">
        <f>TEXT(ASTemp!L993,Decimals)</f>
        <v/>
      </c>
      <c r="M993" s="71" t="str">
        <f>TEXT(ASTemp!M993,Percentages)</f>
        <v/>
      </c>
      <c r="N993" s="72" t="str">
        <f>TEXT(ASTemp!N993,Percentages)</f>
        <v/>
      </c>
    </row>
    <row r="994" ht="14.25" customHeight="1">
      <c r="B994" s="66" t="str">
        <f>ASTemp!B994</f>
        <v/>
      </c>
      <c r="C994" s="67" t="str">
        <f>ASTemp!C994</f>
        <v/>
      </c>
      <c r="D994" s="68" t="str">
        <f>ASTemp!D994</f>
        <v/>
      </c>
      <c r="E994" s="65" t="str">
        <f>ASTemp!E994</f>
        <v/>
      </c>
      <c r="F994" s="69" t="str">
        <f>TEXT(ASTemp!F994,Decimals)</f>
        <v/>
      </c>
      <c r="G994" s="69" t="str">
        <f>TEXT(ASTemp!G994,Decimals)</f>
        <v/>
      </c>
      <c r="H994" s="69" t="str">
        <f>TEXT(ASTemp!H994,Decimals)</f>
        <v/>
      </c>
      <c r="I994" s="69" t="str">
        <f>TEXT(ASTemp!I994,Decimals)</f>
        <v/>
      </c>
      <c r="J994" s="69" t="str">
        <f>TEXT(ASTemp!J994,Decimals)</f>
        <v/>
      </c>
      <c r="K994" s="69" t="str">
        <f>TEXT(ASTemp!K994,Decimals)</f>
        <v/>
      </c>
      <c r="L994" s="69" t="str">
        <f>TEXT(ASTemp!L994,Decimals)</f>
        <v/>
      </c>
      <c r="M994" s="71" t="str">
        <f>TEXT(ASTemp!M994,Percentages)</f>
        <v/>
      </c>
      <c r="N994" s="72" t="str">
        <f>TEXT(ASTemp!N994,Percentages)</f>
        <v/>
      </c>
    </row>
    <row r="995" ht="14.25" customHeight="1">
      <c r="B995" s="66" t="str">
        <f>ASTemp!B995</f>
        <v/>
      </c>
      <c r="C995" s="67" t="str">
        <f>ASTemp!C995</f>
        <v/>
      </c>
      <c r="D995" s="68" t="str">
        <f>ASTemp!D995</f>
        <v/>
      </c>
      <c r="E995" s="65" t="str">
        <f>ASTemp!E995</f>
        <v/>
      </c>
      <c r="F995" s="69" t="str">
        <f>TEXT(ASTemp!F995,Decimals)</f>
        <v/>
      </c>
      <c r="G995" s="69" t="str">
        <f>TEXT(ASTemp!G995,Decimals)</f>
        <v/>
      </c>
      <c r="H995" s="69" t="str">
        <f>TEXT(ASTemp!H995,Decimals)</f>
        <v/>
      </c>
      <c r="I995" s="69" t="str">
        <f>TEXT(ASTemp!I995,Decimals)</f>
        <v/>
      </c>
      <c r="J995" s="69" t="str">
        <f>TEXT(ASTemp!J995,Decimals)</f>
        <v/>
      </c>
      <c r="K995" s="69" t="str">
        <f>TEXT(ASTemp!K995,Decimals)</f>
        <v/>
      </c>
      <c r="L995" s="69" t="str">
        <f>TEXT(ASTemp!L995,Decimals)</f>
        <v/>
      </c>
      <c r="M995" s="71" t="str">
        <f>TEXT(ASTemp!M995,Percentages)</f>
        <v/>
      </c>
      <c r="N995" s="72" t="str">
        <f>TEXT(ASTemp!N995,Percentages)</f>
        <v/>
      </c>
    </row>
    <row r="996" ht="14.25" customHeight="1">
      <c r="B996" s="66" t="str">
        <f>ASTemp!B996</f>
        <v/>
      </c>
      <c r="C996" s="67" t="str">
        <f>ASTemp!C996</f>
        <v/>
      </c>
      <c r="D996" s="68" t="str">
        <f>ASTemp!D996</f>
        <v/>
      </c>
      <c r="E996" s="65" t="str">
        <f>ASTemp!E996</f>
        <v/>
      </c>
      <c r="F996" s="69" t="str">
        <f>TEXT(ASTemp!F996,Decimals)</f>
        <v/>
      </c>
      <c r="G996" s="69" t="str">
        <f>TEXT(ASTemp!G996,Decimals)</f>
        <v/>
      </c>
      <c r="H996" s="69" t="str">
        <f>TEXT(ASTemp!H996,Decimals)</f>
        <v/>
      </c>
      <c r="I996" s="69" t="str">
        <f>TEXT(ASTemp!I996,Decimals)</f>
        <v/>
      </c>
      <c r="J996" s="69" t="str">
        <f>TEXT(ASTemp!J996,Decimals)</f>
        <v/>
      </c>
      <c r="K996" s="69" t="str">
        <f>TEXT(ASTemp!K996,Decimals)</f>
        <v/>
      </c>
      <c r="L996" s="69" t="str">
        <f>TEXT(ASTemp!L996,Decimals)</f>
        <v/>
      </c>
      <c r="M996" s="71" t="str">
        <f>TEXT(ASTemp!M996,Percentages)</f>
        <v/>
      </c>
      <c r="N996" s="72" t="str">
        <f>TEXT(ASTemp!N996,Percentages)</f>
        <v/>
      </c>
    </row>
    <row r="997" ht="14.25" customHeight="1">
      <c r="B997" s="66" t="str">
        <f>ASTemp!B997</f>
        <v/>
      </c>
      <c r="C997" s="67" t="str">
        <f>ASTemp!C997</f>
        <v/>
      </c>
      <c r="D997" s="68" t="str">
        <f>ASTemp!D997</f>
        <v/>
      </c>
      <c r="E997" s="65" t="str">
        <f>ASTemp!E997</f>
        <v/>
      </c>
      <c r="F997" s="69" t="str">
        <f>TEXT(ASTemp!F997,Decimals)</f>
        <v/>
      </c>
      <c r="G997" s="69" t="str">
        <f>TEXT(ASTemp!G997,Decimals)</f>
        <v/>
      </c>
      <c r="H997" s="69" t="str">
        <f>TEXT(ASTemp!H997,Decimals)</f>
        <v/>
      </c>
      <c r="I997" s="69" t="str">
        <f>TEXT(ASTemp!I997,Decimals)</f>
        <v/>
      </c>
      <c r="J997" s="69" t="str">
        <f>TEXT(ASTemp!J997,Decimals)</f>
        <v/>
      </c>
      <c r="K997" s="69" t="str">
        <f>TEXT(ASTemp!K997,Decimals)</f>
        <v/>
      </c>
      <c r="L997" s="69" t="str">
        <f>TEXT(ASTemp!L997,Decimals)</f>
        <v/>
      </c>
      <c r="M997" s="71" t="str">
        <f>TEXT(ASTemp!M997,Percentages)</f>
        <v/>
      </c>
      <c r="N997" s="72" t="str">
        <f>TEXT(ASTemp!N997,Percentages)</f>
        <v/>
      </c>
    </row>
    <row r="998" ht="14.25" customHeight="1">
      <c r="B998" s="66" t="str">
        <f>ASTemp!B998</f>
        <v/>
      </c>
      <c r="C998" s="67" t="str">
        <f>ASTemp!C998</f>
        <v/>
      </c>
      <c r="D998" s="68" t="str">
        <f>ASTemp!D998</f>
        <v/>
      </c>
      <c r="E998" s="65" t="str">
        <f>ASTemp!E998</f>
        <v/>
      </c>
      <c r="F998" s="69" t="str">
        <f>TEXT(ASTemp!F998,Decimals)</f>
        <v/>
      </c>
      <c r="G998" s="69" t="str">
        <f>TEXT(ASTemp!G998,Decimals)</f>
        <v/>
      </c>
      <c r="H998" s="69" t="str">
        <f>TEXT(ASTemp!H998,Decimals)</f>
        <v/>
      </c>
      <c r="I998" s="69" t="str">
        <f>TEXT(ASTemp!I998,Decimals)</f>
        <v/>
      </c>
      <c r="J998" s="69" t="str">
        <f>TEXT(ASTemp!J998,Decimals)</f>
        <v/>
      </c>
      <c r="K998" s="69" t="str">
        <f>TEXT(ASTemp!K998,Decimals)</f>
        <v/>
      </c>
      <c r="L998" s="69" t="str">
        <f>TEXT(ASTemp!L998,Decimals)</f>
        <v/>
      </c>
      <c r="M998" s="71" t="str">
        <f>TEXT(ASTemp!M998,Percentages)</f>
        <v/>
      </c>
      <c r="N998" s="72" t="str">
        <f>TEXT(ASTemp!N998,Percentages)</f>
        <v/>
      </c>
    </row>
    <row r="999" ht="14.25" customHeight="1">
      <c r="B999" s="66" t="str">
        <f>ASTemp!B999</f>
        <v/>
      </c>
      <c r="C999" s="67" t="str">
        <f>ASTemp!C999</f>
        <v/>
      </c>
      <c r="D999" s="68" t="str">
        <f>ASTemp!D999</f>
        <v/>
      </c>
      <c r="E999" s="65" t="str">
        <f>ASTemp!E999</f>
        <v/>
      </c>
      <c r="F999" s="69" t="str">
        <f>TEXT(ASTemp!F999,Decimals)</f>
        <v/>
      </c>
      <c r="G999" s="69" t="str">
        <f>TEXT(ASTemp!G999,Decimals)</f>
        <v/>
      </c>
      <c r="H999" s="69" t="str">
        <f>TEXT(ASTemp!H999,Decimals)</f>
        <v/>
      </c>
      <c r="I999" s="69" t="str">
        <f>TEXT(ASTemp!I999,Decimals)</f>
        <v/>
      </c>
      <c r="J999" s="69" t="str">
        <f>TEXT(ASTemp!J999,Decimals)</f>
        <v/>
      </c>
      <c r="K999" s="69" t="str">
        <f>TEXT(ASTemp!K999,Decimals)</f>
        <v/>
      </c>
      <c r="L999" s="69" t="str">
        <f>TEXT(ASTemp!L999,Decimals)</f>
        <v/>
      </c>
      <c r="M999" s="71" t="str">
        <f>TEXT(ASTemp!M999,Percentages)</f>
        <v/>
      </c>
      <c r="N999" s="72" t="str">
        <f>TEXT(ASTemp!N999,Percentages)</f>
        <v/>
      </c>
    </row>
    <row r="1000" ht="14.25" customHeight="1">
      <c r="B1000" s="66" t="str">
        <f>ASTemp!B1000</f>
        <v/>
      </c>
      <c r="C1000" s="67" t="str">
        <f>ASTemp!C1000</f>
        <v/>
      </c>
      <c r="D1000" s="68" t="str">
        <f>ASTemp!D1000</f>
        <v/>
      </c>
      <c r="E1000" s="65" t="str">
        <f>ASTemp!E1000</f>
        <v/>
      </c>
      <c r="F1000" s="69" t="str">
        <f>TEXT(ASTemp!F1000,Decimals)</f>
        <v/>
      </c>
      <c r="G1000" s="69" t="str">
        <f>TEXT(ASTemp!G1000,Decimals)</f>
        <v/>
      </c>
      <c r="H1000" s="69" t="str">
        <f>TEXT(ASTemp!H1000,Decimals)</f>
        <v/>
      </c>
      <c r="I1000" s="69" t="str">
        <f>TEXT(ASTemp!I1000,Decimals)</f>
        <v/>
      </c>
      <c r="J1000" s="69" t="str">
        <f>TEXT(ASTemp!J1000,Decimals)</f>
        <v/>
      </c>
      <c r="K1000" s="69" t="str">
        <f>TEXT(ASTemp!K1000,Decimals)</f>
        <v/>
      </c>
      <c r="L1000" s="69" t="str">
        <f>TEXT(ASTemp!L1000,Decimals)</f>
        <v/>
      </c>
      <c r="M1000" s="71" t="str">
        <f>TEXT(ASTemp!M1000,Percentages)</f>
        <v/>
      </c>
      <c r="N1000" s="72" t="str">
        <f>TEXT(ASTemp!N1000,Percentages)</f>
        <v/>
      </c>
    </row>
    <row r="1001" ht="14.25" customHeight="1">
      <c r="B1001" s="66" t="str">
        <f>ASTemp!B1001</f>
        <v/>
      </c>
      <c r="C1001" s="67" t="str">
        <f>ASTemp!C1001</f>
        <v/>
      </c>
      <c r="D1001" s="68" t="str">
        <f>ASTemp!D1001</f>
        <v/>
      </c>
      <c r="E1001" s="65" t="str">
        <f>ASTemp!E1001</f>
        <v/>
      </c>
      <c r="F1001" s="69" t="str">
        <f>TEXT(ASTemp!F1001,Decimals)</f>
        <v/>
      </c>
      <c r="G1001" s="69" t="str">
        <f>TEXT(ASTemp!G1001,Decimals)</f>
        <v/>
      </c>
      <c r="H1001" s="69" t="str">
        <f>TEXT(ASTemp!H1001,Decimals)</f>
        <v/>
      </c>
      <c r="I1001" s="69" t="str">
        <f>TEXT(ASTemp!I1001,Decimals)</f>
        <v/>
      </c>
      <c r="J1001" s="69" t="str">
        <f>TEXT(ASTemp!J1001,Decimals)</f>
        <v/>
      </c>
      <c r="K1001" s="69" t="str">
        <f>TEXT(ASTemp!K1001,Decimals)</f>
        <v/>
      </c>
      <c r="L1001" s="69" t="str">
        <f>TEXT(ASTemp!L1001,Decimals)</f>
        <v/>
      </c>
      <c r="M1001" s="71" t="str">
        <f>TEXT(ASTemp!M1001,Percentages)</f>
        <v/>
      </c>
      <c r="N1001" s="72" t="str">
        <f>TEXT(ASTemp!N1001,Percentages)</f>
        <v/>
      </c>
    </row>
    <row r="1002" ht="14.25" customHeight="1">
      <c r="B1002" s="66" t="str">
        <f>ASTemp!B1002</f>
        <v/>
      </c>
      <c r="C1002" s="67" t="str">
        <f>ASTemp!C1002</f>
        <v/>
      </c>
      <c r="D1002" s="68" t="str">
        <f>ASTemp!D1002</f>
        <v/>
      </c>
      <c r="E1002" s="65" t="str">
        <f>ASTemp!E1002</f>
        <v/>
      </c>
      <c r="F1002" s="69" t="str">
        <f>TEXT(ASTemp!F1002,Decimals)</f>
        <v/>
      </c>
      <c r="G1002" s="69" t="str">
        <f>TEXT(ASTemp!G1002,Decimals)</f>
        <v/>
      </c>
      <c r="H1002" s="69" t="str">
        <f>TEXT(ASTemp!H1002,Decimals)</f>
        <v/>
      </c>
      <c r="I1002" s="69" t="str">
        <f>TEXT(ASTemp!I1002,Decimals)</f>
        <v/>
      </c>
      <c r="J1002" s="69" t="str">
        <f>TEXT(ASTemp!J1002,Decimals)</f>
        <v/>
      </c>
      <c r="K1002" s="69" t="str">
        <f>TEXT(ASTemp!K1002,Decimals)</f>
        <v/>
      </c>
      <c r="L1002" s="69" t="str">
        <f>TEXT(ASTemp!L1002,Decimals)</f>
        <v/>
      </c>
      <c r="M1002" s="71" t="str">
        <f>TEXT(ASTemp!M1002,Percentages)</f>
        <v/>
      </c>
      <c r="N1002" s="72" t="str">
        <f>TEXT(ASTemp!N1002,Percentages)</f>
        <v/>
      </c>
    </row>
    <row r="1003" ht="14.25" customHeight="1">
      <c r="B1003" s="66" t="str">
        <f>ASTemp!B1003</f>
        <v/>
      </c>
      <c r="C1003" s="67" t="str">
        <f>ASTemp!C1003</f>
        <v/>
      </c>
      <c r="D1003" s="68" t="str">
        <f>ASTemp!D1003</f>
        <v/>
      </c>
      <c r="E1003" s="65" t="str">
        <f>ASTemp!E1003</f>
        <v/>
      </c>
      <c r="F1003" s="69" t="str">
        <f>TEXT(ASTemp!F1003,Decimals)</f>
        <v/>
      </c>
      <c r="G1003" s="69" t="str">
        <f>TEXT(ASTemp!G1003,Decimals)</f>
        <v/>
      </c>
      <c r="H1003" s="69" t="str">
        <f>TEXT(ASTemp!H1003,Decimals)</f>
        <v/>
      </c>
      <c r="I1003" s="69" t="str">
        <f>TEXT(ASTemp!I1003,Decimals)</f>
        <v/>
      </c>
      <c r="J1003" s="69" t="str">
        <f>TEXT(ASTemp!J1003,Decimals)</f>
        <v/>
      </c>
      <c r="K1003" s="69" t="str">
        <f>TEXT(ASTemp!K1003,Decimals)</f>
        <v/>
      </c>
      <c r="L1003" s="69" t="str">
        <f>TEXT(ASTemp!L1003,Decimals)</f>
        <v/>
      </c>
      <c r="M1003" s="71" t="str">
        <f>TEXT(ASTemp!M1003,Percentages)</f>
        <v/>
      </c>
      <c r="N1003" s="72" t="str">
        <f>TEXT(ASTemp!N1003,Percentages)</f>
        <v/>
      </c>
    </row>
    <row r="1004" ht="14.25" customHeight="1">
      <c r="B1004" s="66" t="str">
        <f>ASTemp!B1004</f>
        <v/>
      </c>
      <c r="C1004" s="67" t="str">
        <f>ASTemp!C1004</f>
        <v/>
      </c>
      <c r="D1004" s="68" t="str">
        <f>ASTemp!D1004</f>
        <v/>
      </c>
      <c r="E1004" s="65" t="str">
        <f>ASTemp!E1004</f>
        <v/>
      </c>
      <c r="F1004" s="69" t="str">
        <f>TEXT(ASTemp!F1004,Decimals)</f>
        <v/>
      </c>
      <c r="G1004" s="69" t="str">
        <f>TEXT(ASTemp!G1004,Decimals)</f>
        <v/>
      </c>
      <c r="H1004" s="69" t="str">
        <f>TEXT(ASTemp!H1004,Decimals)</f>
        <v/>
      </c>
      <c r="I1004" s="69" t="str">
        <f>TEXT(ASTemp!I1004,Decimals)</f>
        <v/>
      </c>
      <c r="J1004" s="69" t="str">
        <f>TEXT(ASTemp!J1004,Decimals)</f>
        <v/>
      </c>
      <c r="K1004" s="69" t="str">
        <f>TEXT(ASTemp!K1004,Decimals)</f>
        <v/>
      </c>
      <c r="L1004" s="69" t="str">
        <f>TEXT(ASTemp!L1004,Decimals)</f>
        <v/>
      </c>
      <c r="M1004" s="71" t="str">
        <f>TEXT(ASTemp!M1004,Percentages)</f>
        <v/>
      </c>
      <c r="N1004" s="72" t="str">
        <f>TEXT(ASTemp!N1004,Percentages)</f>
        <v/>
      </c>
    </row>
    <row r="1005" ht="14.25" customHeight="1">
      <c r="B1005" s="66" t="str">
        <f>ASTemp!B1005</f>
        <v/>
      </c>
      <c r="C1005" s="67" t="str">
        <f>ASTemp!C1005</f>
        <v/>
      </c>
      <c r="D1005" s="68" t="str">
        <f>ASTemp!D1005</f>
        <v/>
      </c>
      <c r="E1005" s="65" t="str">
        <f>ASTemp!E1005</f>
        <v/>
      </c>
      <c r="F1005" s="69" t="str">
        <f>TEXT(ASTemp!F1005,Decimals)</f>
        <v/>
      </c>
      <c r="G1005" s="69" t="str">
        <f>TEXT(ASTemp!G1005,Decimals)</f>
        <v/>
      </c>
      <c r="H1005" s="69" t="str">
        <f>TEXT(ASTemp!H1005,Decimals)</f>
        <v/>
      </c>
      <c r="I1005" s="69" t="str">
        <f>TEXT(ASTemp!I1005,Decimals)</f>
        <v/>
      </c>
      <c r="J1005" s="69" t="str">
        <f>TEXT(ASTemp!J1005,Decimals)</f>
        <v/>
      </c>
      <c r="K1005" s="69" t="str">
        <f>TEXT(ASTemp!K1005,Decimals)</f>
        <v/>
      </c>
      <c r="L1005" s="69" t="str">
        <f>TEXT(ASTemp!L1005,Decimals)</f>
        <v/>
      </c>
      <c r="M1005" s="71" t="str">
        <f>TEXT(ASTemp!M1005,Percentages)</f>
        <v/>
      </c>
      <c r="N1005" s="72" t="str">
        <f>TEXT(ASTemp!N1005,Percentages)</f>
        <v/>
      </c>
    </row>
    <row r="1006" ht="14.25" customHeight="1">
      <c r="B1006" s="66" t="str">
        <f>ASTemp!B1006</f>
        <v/>
      </c>
      <c r="C1006" s="67" t="str">
        <f>ASTemp!C1006</f>
        <v/>
      </c>
      <c r="D1006" s="68" t="str">
        <f>ASTemp!D1006</f>
        <v/>
      </c>
      <c r="E1006" s="65" t="str">
        <f>ASTemp!E1006</f>
        <v/>
      </c>
      <c r="F1006" s="69" t="str">
        <f>TEXT(ASTemp!F1006,Decimals)</f>
        <v/>
      </c>
      <c r="G1006" s="69" t="str">
        <f>TEXT(ASTemp!G1006,Decimals)</f>
        <v/>
      </c>
      <c r="H1006" s="69" t="str">
        <f>TEXT(ASTemp!H1006,Decimals)</f>
        <v/>
      </c>
      <c r="I1006" s="69" t="str">
        <f>TEXT(ASTemp!I1006,Decimals)</f>
        <v/>
      </c>
      <c r="J1006" s="69" t="str">
        <f>TEXT(ASTemp!J1006,Decimals)</f>
        <v/>
      </c>
      <c r="K1006" s="69" t="str">
        <f>TEXT(ASTemp!K1006,Decimals)</f>
        <v/>
      </c>
      <c r="L1006" s="69" t="str">
        <f>TEXT(ASTemp!L1006,Decimals)</f>
        <v/>
      </c>
      <c r="M1006" s="71" t="str">
        <f>TEXT(ASTemp!M1006,Percentages)</f>
        <v/>
      </c>
      <c r="N1006" s="72" t="str">
        <f>TEXT(ASTemp!N1006,Percentages)</f>
        <v/>
      </c>
    </row>
    <row r="1007" ht="14.25" customHeight="1">
      <c r="B1007" s="66" t="str">
        <f>ASTemp!B1007</f>
        <v/>
      </c>
      <c r="C1007" s="67" t="str">
        <f>ASTemp!C1007</f>
        <v/>
      </c>
      <c r="D1007" s="68" t="str">
        <f>ASTemp!D1007</f>
        <v/>
      </c>
      <c r="E1007" s="65" t="str">
        <f>ASTemp!E1007</f>
        <v/>
      </c>
      <c r="F1007" s="69" t="str">
        <f>TEXT(ASTemp!F1007,Decimals)</f>
        <v/>
      </c>
      <c r="G1007" s="69" t="str">
        <f>TEXT(ASTemp!G1007,Decimals)</f>
        <v/>
      </c>
      <c r="H1007" s="69" t="str">
        <f>TEXT(ASTemp!H1007,Decimals)</f>
        <v/>
      </c>
      <c r="I1007" s="69" t="str">
        <f>TEXT(ASTemp!I1007,Decimals)</f>
        <v/>
      </c>
      <c r="J1007" s="69" t="str">
        <f>TEXT(ASTemp!J1007,Decimals)</f>
        <v/>
      </c>
      <c r="K1007" s="69" t="str">
        <f>TEXT(ASTemp!K1007,Decimals)</f>
        <v/>
      </c>
      <c r="L1007" s="69" t="str">
        <f>TEXT(ASTemp!L1007,Decimals)</f>
        <v/>
      </c>
      <c r="M1007" s="71" t="str">
        <f>TEXT(ASTemp!M1007,Percentages)</f>
        <v/>
      </c>
      <c r="N1007" s="72" t="str">
        <f>TEXT(ASTemp!N1007,Percentages)</f>
        <v/>
      </c>
    </row>
    <row r="1008" ht="14.25" customHeight="1">
      <c r="B1008" s="66" t="str">
        <f>ASTemp!B1008</f>
        <v/>
      </c>
      <c r="C1008" s="67" t="str">
        <f>ASTemp!C1008</f>
        <v/>
      </c>
      <c r="D1008" s="68" t="str">
        <f>ASTemp!D1008</f>
        <v/>
      </c>
      <c r="E1008" s="65" t="str">
        <f>ASTemp!E1008</f>
        <v/>
      </c>
      <c r="F1008" s="69" t="str">
        <f>TEXT(ASTemp!F1008,Decimals)</f>
        <v/>
      </c>
      <c r="G1008" s="69" t="str">
        <f>TEXT(ASTemp!G1008,Decimals)</f>
        <v/>
      </c>
      <c r="H1008" s="69" t="str">
        <f>TEXT(ASTemp!H1008,Decimals)</f>
        <v/>
      </c>
      <c r="I1008" s="69" t="str">
        <f>TEXT(ASTemp!I1008,Decimals)</f>
        <v/>
      </c>
      <c r="J1008" s="69" t="str">
        <f>TEXT(ASTemp!J1008,Decimals)</f>
        <v/>
      </c>
      <c r="K1008" s="69" t="str">
        <f>TEXT(ASTemp!K1008,Decimals)</f>
        <v/>
      </c>
      <c r="L1008" s="69" t="str">
        <f>TEXT(ASTemp!L1008,Decimals)</f>
        <v/>
      </c>
      <c r="M1008" s="71" t="str">
        <f>TEXT(ASTemp!M1008,Percentages)</f>
        <v/>
      </c>
      <c r="N1008" s="72" t="str">
        <f>TEXT(ASTemp!N1008,Percentages)</f>
        <v/>
      </c>
    </row>
    <row r="1009" ht="14.25" customHeight="1">
      <c r="B1009" s="66" t="str">
        <f>ASTemp!B1009</f>
        <v/>
      </c>
      <c r="C1009" s="67" t="str">
        <f>ASTemp!C1009</f>
        <v/>
      </c>
      <c r="D1009" s="68" t="str">
        <f>ASTemp!D1009</f>
        <v/>
      </c>
      <c r="E1009" s="65" t="str">
        <f>ASTemp!E1009</f>
        <v/>
      </c>
      <c r="F1009" s="69" t="str">
        <f>TEXT(ASTemp!F1009,Decimals)</f>
        <v/>
      </c>
      <c r="G1009" s="69" t="str">
        <f>TEXT(ASTemp!G1009,Decimals)</f>
        <v/>
      </c>
      <c r="H1009" s="69" t="str">
        <f>TEXT(ASTemp!H1009,Decimals)</f>
        <v/>
      </c>
      <c r="I1009" s="69" t="str">
        <f>TEXT(ASTemp!I1009,Decimals)</f>
        <v/>
      </c>
      <c r="J1009" s="69" t="str">
        <f>TEXT(ASTemp!J1009,Decimals)</f>
        <v/>
      </c>
      <c r="K1009" s="69" t="str">
        <f>TEXT(ASTemp!K1009,Decimals)</f>
        <v/>
      </c>
      <c r="L1009" s="69" t="str">
        <f>TEXT(ASTemp!L1009,Decimals)</f>
        <v/>
      </c>
      <c r="M1009" s="71" t="str">
        <f>TEXT(ASTemp!M1009,Percentages)</f>
        <v/>
      </c>
      <c r="N1009" s="72" t="str">
        <f>TEXT(ASTemp!N1009,Percentages)</f>
        <v/>
      </c>
    </row>
    <row r="1010" ht="14.25" customHeight="1">
      <c r="B1010" s="66" t="str">
        <f>ASTemp!B1010</f>
        <v/>
      </c>
      <c r="C1010" s="67" t="str">
        <f>ASTemp!C1010</f>
        <v/>
      </c>
      <c r="D1010" s="68" t="str">
        <f>ASTemp!D1010</f>
        <v/>
      </c>
      <c r="E1010" s="65" t="str">
        <f>ASTemp!E1010</f>
        <v/>
      </c>
      <c r="F1010" s="69" t="str">
        <f>TEXT(ASTemp!F1010,Decimals)</f>
        <v/>
      </c>
      <c r="G1010" s="69" t="str">
        <f>TEXT(ASTemp!G1010,Decimals)</f>
        <v/>
      </c>
      <c r="H1010" s="69" t="str">
        <f>TEXT(ASTemp!H1010,Decimals)</f>
        <v/>
      </c>
      <c r="I1010" s="69" t="str">
        <f>TEXT(ASTemp!I1010,Decimals)</f>
        <v/>
      </c>
      <c r="J1010" s="69" t="str">
        <f>TEXT(ASTemp!J1010,Decimals)</f>
        <v/>
      </c>
      <c r="K1010" s="69" t="str">
        <f>TEXT(ASTemp!K1010,Decimals)</f>
        <v/>
      </c>
      <c r="L1010" s="69" t="str">
        <f>TEXT(ASTemp!L1010,Decimals)</f>
        <v/>
      </c>
      <c r="M1010" s="71" t="str">
        <f>TEXT(ASTemp!M1010,Percentages)</f>
        <v/>
      </c>
      <c r="N1010" s="72" t="str">
        <f>TEXT(ASTemp!N1010,Percentages)</f>
        <v/>
      </c>
    </row>
    <row r="1011" ht="14.25" customHeight="1">
      <c r="B1011" s="66" t="str">
        <f>ASTemp!B1011</f>
        <v/>
      </c>
      <c r="C1011" s="67" t="str">
        <f>ASTemp!C1011</f>
        <v/>
      </c>
      <c r="D1011" s="68" t="str">
        <f>ASTemp!D1011</f>
        <v/>
      </c>
      <c r="E1011" s="65" t="str">
        <f>ASTemp!E1011</f>
        <v/>
      </c>
      <c r="F1011" s="69" t="str">
        <f>TEXT(ASTemp!F1011,Decimals)</f>
        <v/>
      </c>
      <c r="G1011" s="69" t="str">
        <f>TEXT(ASTemp!G1011,Decimals)</f>
        <v/>
      </c>
      <c r="H1011" s="69" t="str">
        <f>TEXT(ASTemp!H1011,Decimals)</f>
        <v/>
      </c>
      <c r="I1011" s="69" t="str">
        <f>TEXT(ASTemp!I1011,Decimals)</f>
        <v/>
      </c>
      <c r="J1011" s="69" t="str">
        <f>TEXT(ASTemp!J1011,Decimals)</f>
        <v/>
      </c>
      <c r="K1011" s="69" t="str">
        <f>TEXT(ASTemp!K1011,Decimals)</f>
        <v/>
      </c>
      <c r="L1011" s="69" t="str">
        <f>TEXT(ASTemp!L1011,Decimals)</f>
        <v/>
      </c>
      <c r="M1011" s="71" t="str">
        <f>TEXT(ASTemp!M1011,Percentages)</f>
        <v/>
      </c>
      <c r="N1011" s="72" t="str">
        <f>TEXT(ASTemp!N1011,Percentages)</f>
        <v/>
      </c>
    </row>
    <row r="1012" ht="14.25" customHeight="1">
      <c r="B1012" s="66" t="str">
        <f>ASTemp!B1012</f>
        <v/>
      </c>
      <c r="C1012" s="67" t="str">
        <f>ASTemp!C1012</f>
        <v/>
      </c>
      <c r="D1012" s="68" t="str">
        <f>ASTemp!D1012</f>
        <v/>
      </c>
      <c r="E1012" s="65" t="str">
        <f>ASTemp!E1012</f>
        <v/>
      </c>
      <c r="F1012" s="69" t="str">
        <f>TEXT(ASTemp!F1012,Decimals)</f>
        <v/>
      </c>
      <c r="G1012" s="69" t="str">
        <f>TEXT(ASTemp!G1012,Decimals)</f>
        <v/>
      </c>
      <c r="H1012" s="69" t="str">
        <f>TEXT(ASTemp!H1012,Decimals)</f>
        <v/>
      </c>
      <c r="I1012" s="69" t="str">
        <f>TEXT(ASTemp!I1012,Decimals)</f>
        <v/>
      </c>
      <c r="J1012" s="69" t="str">
        <f>TEXT(ASTemp!J1012,Decimals)</f>
        <v/>
      </c>
      <c r="K1012" s="69" t="str">
        <f>TEXT(ASTemp!K1012,Decimals)</f>
        <v/>
      </c>
      <c r="L1012" s="69" t="str">
        <f>TEXT(ASTemp!L1012,Decimals)</f>
        <v/>
      </c>
      <c r="M1012" s="71" t="str">
        <f>TEXT(ASTemp!M1012,Percentages)</f>
        <v/>
      </c>
      <c r="N1012" s="72" t="str">
        <f>TEXT(ASTemp!N1012,Percentages)</f>
        <v/>
      </c>
    </row>
    <row r="1013" ht="14.25" customHeight="1">
      <c r="B1013" s="66" t="str">
        <f>ASTemp!B1013</f>
        <v/>
      </c>
      <c r="C1013" s="67" t="str">
        <f>ASTemp!C1013</f>
        <v/>
      </c>
      <c r="D1013" s="68" t="str">
        <f>ASTemp!D1013</f>
        <v/>
      </c>
      <c r="E1013" s="65" t="str">
        <f>ASTemp!E1013</f>
        <v/>
      </c>
      <c r="F1013" s="69" t="str">
        <f>TEXT(ASTemp!F1013,Decimals)</f>
        <v/>
      </c>
      <c r="G1013" s="69" t="str">
        <f>TEXT(ASTemp!G1013,Decimals)</f>
        <v/>
      </c>
      <c r="H1013" s="69" t="str">
        <f>TEXT(ASTemp!H1013,Decimals)</f>
        <v/>
      </c>
      <c r="I1013" s="69" t="str">
        <f>TEXT(ASTemp!I1013,Decimals)</f>
        <v/>
      </c>
      <c r="J1013" s="69" t="str">
        <f>TEXT(ASTemp!J1013,Decimals)</f>
        <v/>
      </c>
      <c r="K1013" s="69" t="str">
        <f>TEXT(ASTemp!K1013,Decimals)</f>
        <v/>
      </c>
      <c r="L1013" s="69" t="str">
        <f>TEXT(ASTemp!L1013,Decimals)</f>
        <v/>
      </c>
      <c r="M1013" s="71" t="str">
        <f>TEXT(ASTemp!M1013,Percentages)</f>
        <v/>
      </c>
      <c r="N1013" s="72" t="str">
        <f>TEXT(ASTemp!N1013,Percentages)</f>
        <v/>
      </c>
    </row>
    <row r="1014" ht="14.25" customHeight="1">
      <c r="B1014" s="66" t="str">
        <f>ASTemp!B1014</f>
        <v/>
      </c>
      <c r="C1014" s="67" t="str">
        <f>ASTemp!C1014</f>
        <v/>
      </c>
      <c r="D1014" s="68" t="str">
        <f>ASTemp!D1014</f>
        <v/>
      </c>
      <c r="E1014" s="65" t="str">
        <f>ASTemp!E1014</f>
        <v/>
      </c>
      <c r="F1014" s="69" t="str">
        <f>TEXT(ASTemp!F1014,Decimals)</f>
        <v/>
      </c>
      <c r="G1014" s="69" t="str">
        <f>TEXT(ASTemp!G1014,Decimals)</f>
        <v/>
      </c>
      <c r="H1014" s="69" t="str">
        <f>TEXT(ASTemp!H1014,Decimals)</f>
        <v/>
      </c>
      <c r="I1014" s="69" t="str">
        <f>TEXT(ASTemp!I1014,Decimals)</f>
        <v/>
      </c>
      <c r="J1014" s="69" t="str">
        <f>TEXT(ASTemp!J1014,Decimals)</f>
        <v/>
      </c>
      <c r="K1014" s="69" t="str">
        <f>TEXT(ASTemp!K1014,Decimals)</f>
        <v/>
      </c>
      <c r="L1014" s="69" t="str">
        <f>TEXT(ASTemp!L1014,Decimals)</f>
        <v/>
      </c>
      <c r="M1014" s="71" t="str">
        <f>TEXT(ASTemp!M1014,Percentages)</f>
        <v/>
      </c>
      <c r="N1014" s="72" t="str">
        <f>TEXT(ASTemp!N1014,Percentages)</f>
        <v/>
      </c>
    </row>
    <row r="1015" ht="14.25" customHeight="1">
      <c r="B1015" s="66" t="str">
        <f>ASTemp!B1015</f>
        <v/>
      </c>
      <c r="C1015" s="67" t="str">
        <f>ASTemp!C1015</f>
        <v/>
      </c>
      <c r="D1015" s="68" t="str">
        <f>ASTemp!D1015</f>
        <v/>
      </c>
      <c r="E1015" s="65" t="str">
        <f>ASTemp!E1015</f>
        <v/>
      </c>
      <c r="F1015" s="69" t="str">
        <f>TEXT(ASTemp!F1015,Decimals)</f>
        <v/>
      </c>
      <c r="G1015" s="69" t="str">
        <f>TEXT(ASTemp!G1015,Decimals)</f>
        <v/>
      </c>
      <c r="H1015" s="69" t="str">
        <f>TEXT(ASTemp!H1015,Decimals)</f>
        <v/>
      </c>
      <c r="I1015" s="69" t="str">
        <f>TEXT(ASTemp!I1015,Decimals)</f>
        <v/>
      </c>
      <c r="J1015" s="69" t="str">
        <f>TEXT(ASTemp!J1015,Decimals)</f>
        <v/>
      </c>
      <c r="K1015" s="69" t="str">
        <f>TEXT(ASTemp!K1015,Decimals)</f>
        <v/>
      </c>
      <c r="L1015" s="69" t="str">
        <f>TEXT(ASTemp!L1015,Decimals)</f>
        <v/>
      </c>
      <c r="M1015" s="71" t="str">
        <f>TEXT(ASTemp!M1015,Percentages)</f>
        <v/>
      </c>
      <c r="N1015" s="72" t="str">
        <f>TEXT(ASTemp!N1015,Percentages)</f>
        <v/>
      </c>
    </row>
    <row r="1016" ht="14.25" customHeight="1">
      <c r="B1016" s="66" t="str">
        <f>ASTemp!B1016</f>
        <v/>
      </c>
      <c r="C1016" s="67" t="str">
        <f>ASTemp!C1016</f>
        <v/>
      </c>
      <c r="D1016" s="68" t="str">
        <f>ASTemp!D1016</f>
        <v/>
      </c>
      <c r="E1016" s="65" t="str">
        <f>ASTemp!E1016</f>
        <v/>
      </c>
      <c r="F1016" s="69" t="str">
        <f>TEXT(ASTemp!F1016,Decimals)</f>
        <v/>
      </c>
      <c r="G1016" s="69" t="str">
        <f>TEXT(ASTemp!G1016,Decimals)</f>
        <v/>
      </c>
      <c r="H1016" s="69" t="str">
        <f>TEXT(ASTemp!H1016,Decimals)</f>
        <v/>
      </c>
      <c r="I1016" s="69" t="str">
        <f>TEXT(ASTemp!I1016,Decimals)</f>
        <v/>
      </c>
      <c r="J1016" s="69" t="str">
        <f>TEXT(ASTemp!J1016,Decimals)</f>
        <v/>
      </c>
      <c r="K1016" s="69" t="str">
        <f>TEXT(ASTemp!K1016,Decimals)</f>
        <v/>
      </c>
      <c r="L1016" s="69" t="str">
        <f>TEXT(ASTemp!L1016,Decimals)</f>
        <v/>
      </c>
      <c r="M1016" s="71" t="str">
        <f>TEXT(ASTemp!M1016,Percentages)</f>
        <v/>
      </c>
      <c r="N1016" s="72" t="str">
        <f>TEXT(ASTemp!N1016,Percentages)</f>
        <v/>
      </c>
    </row>
    <row r="1017" ht="14.25" customHeight="1">
      <c r="B1017" s="66" t="str">
        <f>ASTemp!B1017</f>
        <v/>
      </c>
      <c r="C1017" s="67" t="str">
        <f>ASTemp!C1017</f>
        <v/>
      </c>
      <c r="D1017" s="68" t="str">
        <f>ASTemp!D1017</f>
        <v/>
      </c>
      <c r="E1017" s="65" t="str">
        <f>ASTemp!E1017</f>
        <v/>
      </c>
      <c r="F1017" s="69" t="str">
        <f>TEXT(ASTemp!F1017,Decimals)</f>
        <v/>
      </c>
      <c r="G1017" s="69" t="str">
        <f>TEXT(ASTemp!G1017,Decimals)</f>
        <v/>
      </c>
      <c r="H1017" s="69" t="str">
        <f>TEXT(ASTemp!H1017,Decimals)</f>
        <v/>
      </c>
      <c r="I1017" s="69" t="str">
        <f>TEXT(ASTemp!I1017,Decimals)</f>
        <v/>
      </c>
      <c r="J1017" s="69" t="str">
        <f>TEXT(ASTemp!J1017,Decimals)</f>
        <v/>
      </c>
      <c r="K1017" s="69" t="str">
        <f>TEXT(ASTemp!K1017,Decimals)</f>
        <v/>
      </c>
      <c r="L1017" s="69" t="str">
        <f>TEXT(ASTemp!L1017,Decimals)</f>
        <v/>
      </c>
      <c r="M1017" s="71" t="str">
        <f>TEXT(ASTemp!M1017,Percentages)</f>
        <v/>
      </c>
      <c r="N1017" s="72" t="str">
        <f>TEXT(ASTemp!N1017,Percentages)</f>
        <v/>
      </c>
    </row>
    <row r="1018" ht="14.25" customHeight="1">
      <c r="B1018" s="66" t="str">
        <f>ASTemp!B1018</f>
        <v/>
      </c>
      <c r="C1018" s="67" t="str">
        <f>ASTemp!C1018</f>
        <v/>
      </c>
      <c r="D1018" s="68" t="str">
        <f>ASTemp!D1018</f>
        <v/>
      </c>
      <c r="E1018" s="65" t="str">
        <f>ASTemp!E1018</f>
        <v/>
      </c>
      <c r="F1018" s="69" t="str">
        <f>TEXT(ASTemp!F1018,Decimals)</f>
        <v/>
      </c>
      <c r="G1018" s="69" t="str">
        <f>TEXT(ASTemp!G1018,Decimals)</f>
        <v/>
      </c>
      <c r="H1018" s="69" t="str">
        <f>TEXT(ASTemp!H1018,Decimals)</f>
        <v/>
      </c>
      <c r="I1018" s="69" t="str">
        <f>TEXT(ASTemp!I1018,Decimals)</f>
        <v/>
      </c>
      <c r="J1018" s="69" t="str">
        <f>TEXT(ASTemp!J1018,Decimals)</f>
        <v/>
      </c>
      <c r="K1018" s="69" t="str">
        <f>TEXT(ASTemp!K1018,Decimals)</f>
        <v/>
      </c>
      <c r="L1018" s="69" t="str">
        <f>TEXT(ASTemp!L1018,Decimals)</f>
        <v/>
      </c>
      <c r="M1018" s="71" t="str">
        <f>TEXT(ASTemp!M1018,Percentages)</f>
        <v/>
      </c>
      <c r="N1018" s="72" t="str">
        <f>TEXT(ASTemp!N1018,Percentages)</f>
        <v/>
      </c>
    </row>
    <row r="1019" ht="14.25" customHeight="1">
      <c r="B1019" s="66" t="str">
        <f>ASTemp!B1019</f>
        <v/>
      </c>
      <c r="C1019" s="67" t="str">
        <f>ASTemp!C1019</f>
        <v/>
      </c>
      <c r="D1019" s="68" t="str">
        <f>ASTemp!D1019</f>
        <v/>
      </c>
      <c r="E1019" s="65" t="str">
        <f>ASTemp!E1019</f>
        <v/>
      </c>
      <c r="F1019" s="69" t="str">
        <f>TEXT(ASTemp!F1019,Decimals)</f>
        <v/>
      </c>
      <c r="G1019" s="69" t="str">
        <f>TEXT(ASTemp!G1019,Decimals)</f>
        <v/>
      </c>
      <c r="H1019" s="69" t="str">
        <f>TEXT(ASTemp!H1019,Decimals)</f>
        <v/>
      </c>
      <c r="I1019" s="69" t="str">
        <f>TEXT(ASTemp!I1019,Decimals)</f>
        <v/>
      </c>
      <c r="J1019" s="69" t="str">
        <f>TEXT(ASTemp!J1019,Decimals)</f>
        <v/>
      </c>
      <c r="K1019" s="69" t="str">
        <f>TEXT(ASTemp!K1019,Decimals)</f>
        <v/>
      </c>
      <c r="L1019" s="69" t="str">
        <f>TEXT(ASTemp!L1019,Decimals)</f>
        <v/>
      </c>
      <c r="M1019" s="71" t="str">
        <f>TEXT(ASTemp!M1019,Percentages)</f>
        <v/>
      </c>
      <c r="N1019" s="72" t="str">
        <f>TEXT(ASTemp!N1019,Percentages)</f>
        <v/>
      </c>
    </row>
    <row r="1020" ht="14.25" customHeight="1">
      <c r="B1020" s="66" t="str">
        <f>ASTemp!B1020</f>
        <v/>
      </c>
      <c r="C1020" s="67" t="str">
        <f>ASTemp!C1020</f>
        <v/>
      </c>
      <c r="D1020" s="68" t="str">
        <f>ASTemp!D1020</f>
        <v/>
      </c>
      <c r="E1020" s="65" t="str">
        <f>ASTemp!E1020</f>
        <v/>
      </c>
      <c r="F1020" s="69" t="str">
        <f>TEXT(ASTemp!F1020,Decimals)</f>
        <v/>
      </c>
      <c r="G1020" s="69" t="str">
        <f>TEXT(ASTemp!G1020,Decimals)</f>
        <v/>
      </c>
      <c r="H1020" s="69" t="str">
        <f>TEXT(ASTemp!H1020,Decimals)</f>
        <v/>
      </c>
      <c r="I1020" s="69" t="str">
        <f>TEXT(ASTemp!I1020,Decimals)</f>
        <v/>
      </c>
      <c r="J1020" s="69" t="str">
        <f>TEXT(ASTemp!J1020,Decimals)</f>
        <v/>
      </c>
      <c r="K1020" s="69" t="str">
        <f>TEXT(ASTemp!K1020,Decimals)</f>
        <v/>
      </c>
      <c r="L1020" s="69" t="str">
        <f>TEXT(ASTemp!L1020,Decimals)</f>
        <v/>
      </c>
      <c r="M1020" s="71" t="str">
        <f>TEXT(ASTemp!M1020,Percentages)</f>
        <v/>
      </c>
      <c r="N1020" s="72" t="str">
        <f>TEXT(ASTemp!N1020,Percentages)</f>
        <v/>
      </c>
    </row>
    <row r="1021" ht="14.25" customHeight="1">
      <c r="B1021" s="66" t="str">
        <f>ASTemp!B1021</f>
        <v/>
      </c>
      <c r="C1021" s="67" t="str">
        <f>ASTemp!C1021</f>
        <v/>
      </c>
      <c r="D1021" s="68" t="str">
        <f>ASTemp!D1021</f>
        <v/>
      </c>
      <c r="E1021" s="65" t="str">
        <f>ASTemp!E1021</f>
        <v/>
      </c>
      <c r="F1021" s="69" t="str">
        <f>TEXT(ASTemp!F1021,Decimals)</f>
        <v/>
      </c>
      <c r="G1021" s="69" t="str">
        <f>TEXT(ASTemp!G1021,Decimals)</f>
        <v/>
      </c>
      <c r="H1021" s="69" t="str">
        <f>TEXT(ASTemp!H1021,Decimals)</f>
        <v/>
      </c>
      <c r="I1021" s="69" t="str">
        <f>TEXT(ASTemp!I1021,Decimals)</f>
        <v/>
      </c>
      <c r="J1021" s="69" t="str">
        <f>TEXT(ASTemp!J1021,Decimals)</f>
        <v/>
      </c>
      <c r="K1021" s="69" t="str">
        <f>TEXT(ASTemp!K1021,Decimals)</f>
        <v/>
      </c>
      <c r="L1021" s="69" t="str">
        <f>TEXT(ASTemp!L1021,Decimals)</f>
        <v/>
      </c>
      <c r="M1021" s="71" t="str">
        <f>TEXT(ASTemp!M1021,Percentages)</f>
        <v/>
      </c>
      <c r="N1021" s="72" t="str">
        <f>TEXT(ASTemp!N1021,Percentages)</f>
        <v/>
      </c>
    </row>
    <row r="1022" ht="14.25" customHeight="1">
      <c r="B1022" s="66" t="str">
        <f>ASTemp!B1022</f>
        <v/>
      </c>
      <c r="C1022" s="67" t="str">
        <f>ASTemp!C1022</f>
        <v/>
      </c>
      <c r="D1022" s="68" t="str">
        <f>ASTemp!D1022</f>
        <v/>
      </c>
      <c r="E1022" s="65" t="str">
        <f>ASTemp!E1022</f>
        <v/>
      </c>
      <c r="F1022" s="69" t="str">
        <f>TEXT(ASTemp!F1022,Decimals)</f>
        <v/>
      </c>
      <c r="G1022" s="69" t="str">
        <f>TEXT(ASTemp!G1022,Decimals)</f>
        <v/>
      </c>
      <c r="H1022" s="69" t="str">
        <f>TEXT(ASTemp!H1022,Decimals)</f>
        <v/>
      </c>
      <c r="I1022" s="69" t="str">
        <f>TEXT(ASTemp!I1022,Decimals)</f>
        <v/>
      </c>
      <c r="J1022" s="69" t="str">
        <f>TEXT(ASTemp!J1022,Decimals)</f>
        <v/>
      </c>
      <c r="K1022" s="69" t="str">
        <f>TEXT(ASTemp!K1022,Decimals)</f>
        <v/>
      </c>
      <c r="L1022" s="69" t="str">
        <f>TEXT(ASTemp!L1022,Decimals)</f>
        <v/>
      </c>
      <c r="M1022" s="71" t="str">
        <f>TEXT(ASTemp!M1022,Percentages)</f>
        <v/>
      </c>
      <c r="N1022" s="72" t="str">
        <f>TEXT(ASTemp!N1022,Percentages)</f>
        <v/>
      </c>
    </row>
    <row r="1023" ht="14.25" customHeight="1">
      <c r="B1023" s="66" t="str">
        <f>ASTemp!B1023</f>
        <v/>
      </c>
      <c r="C1023" s="67" t="str">
        <f>ASTemp!C1023</f>
        <v/>
      </c>
      <c r="D1023" s="68" t="str">
        <f>ASTemp!D1023</f>
        <v/>
      </c>
      <c r="E1023" s="65" t="str">
        <f>ASTemp!E1023</f>
        <v/>
      </c>
      <c r="F1023" s="69" t="str">
        <f>TEXT(ASTemp!F1023,Decimals)</f>
        <v/>
      </c>
      <c r="G1023" s="69" t="str">
        <f>TEXT(ASTemp!G1023,Decimals)</f>
        <v/>
      </c>
      <c r="H1023" s="69" t="str">
        <f>TEXT(ASTemp!H1023,Decimals)</f>
        <v/>
      </c>
      <c r="I1023" s="69" t="str">
        <f>TEXT(ASTemp!I1023,Decimals)</f>
        <v/>
      </c>
      <c r="J1023" s="69" t="str">
        <f>TEXT(ASTemp!J1023,Decimals)</f>
        <v/>
      </c>
      <c r="K1023" s="69" t="str">
        <f>TEXT(ASTemp!K1023,Decimals)</f>
        <v/>
      </c>
      <c r="L1023" s="69" t="str">
        <f>TEXT(ASTemp!L1023,Decimals)</f>
        <v/>
      </c>
      <c r="M1023" s="71" t="str">
        <f>TEXT(ASTemp!M1023,Percentages)</f>
        <v/>
      </c>
      <c r="N1023" s="72" t="str">
        <f>TEXT(ASTemp!N1023,Percentages)</f>
        <v/>
      </c>
    </row>
    <row r="1024" ht="14.25" customHeight="1">
      <c r="B1024" s="66" t="str">
        <f>ASTemp!B1024</f>
        <v/>
      </c>
      <c r="C1024" s="67" t="str">
        <f>ASTemp!C1024</f>
        <v/>
      </c>
      <c r="D1024" s="68" t="str">
        <f>ASTemp!D1024</f>
        <v/>
      </c>
      <c r="E1024" s="65" t="str">
        <f>ASTemp!E1024</f>
        <v/>
      </c>
      <c r="F1024" s="69" t="str">
        <f>TEXT(ASTemp!F1024,Decimals)</f>
        <v/>
      </c>
      <c r="G1024" s="69" t="str">
        <f>TEXT(ASTemp!G1024,Decimals)</f>
        <v/>
      </c>
      <c r="H1024" s="69" t="str">
        <f>TEXT(ASTemp!H1024,Decimals)</f>
        <v/>
      </c>
      <c r="I1024" s="69" t="str">
        <f>TEXT(ASTemp!I1024,Decimals)</f>
        <v/>
      </c>
      <c r="J1024" s="69" t="str">
        <f>TEXT(ASTemp!J1024,Decimals)</f>
        <v/>
      </c>
      <c r="K1024" s="69" t="str">
        <f>TEXT(ASTemp!K1024,Decimals)</f>
        <v/>
      </c>
      <c r="L1024" s="69" t="str">
        <f>TEXT(ASTemp!L1024,Decimals)</f>
        <v/>
      </c>
      <c r="M1024" s="71" t="str">
        <f>TEXT(ASTemp!M1024,Percentages)</f>
        <v/>
      </c>
      <c r="N1024" s="72" t="str">
        <f>TEXT(ASTemp!N1024,Percentages)</f>
        <v/>
      </c>
    </row>
    <row r="1025" ht="14.25" customHeight="1">
      <c r="B1025" s="66" t="str">
        <f>ASTemp!B1025</f>
        <v/>
      </c>
      <c r="C1025" s="67" t="str">
        <f>ASTemp!C1025</f>
        <v/>
      </c>
      <c r="D1025" s="68" t="str">
        <f>ASTemp!D1025</f>
        <v/>
      </c>
      <c r="E1025" s="65" t="str">
        <f>ASTemp!E1025</f>
        <v/>
      </c>
      <c r="F1025" s="69" t="str">
        <f>TEXT(ASTemp!F1025,Decimals)</f>
        <v/>
      </c>
      <c r="G1025" s="69" t="str">
        <f>TEXT(ASTemp!G1025,Decimals)</f>
        <v/>
      </c>
      <c r="H1025" s="69" t="str">
        <f>TEXT(ASTemp!H1025,Decimals)</f>
        <v/>
      </c>
      <c r="I1025" s="69" t="str">
        <f>TEXT(ASTemp!I1025,Decimals)</f>
        <v/>
      </c>
      <c r="J1025" s="69" t="str">
        <f>TEXT(ASTemp!J1025,Decimals)</f>
        <v/>
      </c>
      <c r="K1025" s="69" t="str">
        <f>TEXT(ASTemp!K1025,Decimals)</f>
        <v/>
      </c>
      <c r="L1025" s="69" t="str">
        <f>TEXT(ASTemp!L1025,Decimals)</f>
        <v/>
      </c>
      <c r="M1025" s="71" t="str">
        <f>TEXT(ASTemp!M1025,Percentages)</f>
        <v/>
      </c>
      <c r="N1025" s="72" t="str">
        <f>TEXT(ASTemp!N1025,Percentages)</f>
        <v/>
      </c>
    </row>
    <row r="1026" ht="14.25" customHeight="1">
      <c r="B1026" s="66" t="str">
        <f>ASTemp!B1026</f>
        <v/>
      </c>
      <c r="C1026" s="67" t="str">
        <f>ASTemp!C1026</f>
        <v/>
      </c>
      <c r="D1026" s="68" t="str">
        <f>ASTemp!D1026</f>
        <v/>
      </c>
      <c r="E1026" s="65" t="str">
        <f>ASTemp!E1026</f>
        <v/>
      </c>
      <c r="F1026" s="69" t="str">
        <f>TEXT(ASTemp!F1026,Decimals)</f>
        <v/>
      </c>
      <c r="G1026" s="69" t="str">
        <f>TEXT(ASTemp!G1026,Decimals)</f>
        <v/>
      </c>
      <c r="H1026" s="69" t="str">
        <f>TEXT(ASTemp!H1026,Decimals)</f>
        <v/>
      </c>
      <c r="I1026" s="69" t="str">
        <f>TEXT(ASTemp!I1026,Decimals)</f>
        <v/>
      </c>
      <c r="J1026" s="69" t="str">
        <f>TEXT(ASTemp!J1026,Decimals)</f>
        <v/>
      </c>
      <c r="K1026" s="69" t="str">
        <f>TEXT(ASTemp!K1026,Decimals)</f>
        <v/>
      </c>
      <c r="L1026" s="69" t="str">
        <f>TEXT(ASTemp!L1026,Decimals)</f>
        <v/>
      </c>
      <c r="M1026" s="71" t="str">
        <f>TEXT(ASTemp!M1026,Percentages)</f>
        <v/>
      </c>
      <c r="N1026" s="72" t="str">
        <f>TEXT(ASTemp!N1026,Percentages)</f>
        <v/>
      </c>
    </row>
    <row r="1027" ht="14.25" customHeight="1">
      <c r="B1027" s="66" t="str">
        <f>ASTemp!B1027</f>
        <v/>
      </c>
      <c r="C1027" s="67" t="str">
        <f>ASTemp!C1027</f>
        <v/>
      </c>
      <c r="D1027" s="68" t="str">
        <f>ASTemp!D1027</f>
        <v/>
      </c>
      <c r="E1027" s="65" t="str">
        <f>ASTemp!E1027</f>
        <v/>
      </c>
      <c r="F1027" s="69" t="str">
        <f>TEXT(ASTemp!F1027,Decimals)</f>
        <v/>
      </c>
      <c r="G1027" s="69" t="str">
        <f>TEXT(ASTemp!G1027,Decimals)</f>
        <v/>
      </c>
      <c r="H1027" s="69" t="str">
        <f>TEXT(ASTemp!H1027,Decimals)</f>
        <v/>
      </c>
      <c r="I1027" s="69" t="str">
        <f>TEXT(ASTemp!I1027,Decimals)</f>
        <v/>
      </c>
      <c r="J1027" s="69" t="str">
        <f>TEXT(ASTemp!J1027,Decimals)</f>
        <v/>
      </c>
      <c r="K1027" s="69" t="str">
        <f>TEXT(ASTemp!K1027,Decimals)</f>
        <v/>
      </c>
      <c r="L1027" s="69" t="str">
        <f>TEXT(ASTemp!L1027,Decimals)</f>
        <v/>
      </c>
      <c r="M1027" s="71" t="str">
        <f>TEXT(ASTemp!M1027,Percentages)</f>
        <v/>
      </c>
      <c r="N1027" s="72" t="str">
        <f>TEXT(ASTemp!N1027,Percentages)</f>
        <v/>
      </c>
    </row>
    <row r="1028" ht="14.25" customHeight="1">
      <c r="B1028" s="66" t="str">
        <f>ASTemp!B1028</f>
        <v/>
      </c>
      <c r="C1028" s="67" t="str">
        <f>ASTemp!C1028</f>
        <v/>
      </c>
      <c r="D1028" s="68" t="str">
        <f>ASTemp!D1028</f>
        <v/>
      </c>
      <c r="E1028" s="65" t="str">
        <f>ASTemp!E1028</f>
        <v/>
      </c>
      <c r="F1028" s="69" t="str">
        <f>TEXT(ASTemp!F1028,Decimals)</f>
        <v/>
      </c>
      <c r="G1028" s="69" t="str">
        <f>TEXT(ASTemp!G1028,Decimals)</f>
        <v/>
      </c>
      <c r="H1028" s="69" t="str">
        <f>TEXT(ASTemp!H1028,Decimals)</f>
        <v/>
      </c>
      <c r="I1028" s="69" t="str">
        <f>TEXT(ASTemp!I1028,Decimals)</f>
        <v/>
      </c>
      <c r="J1028" s="69" t="str">
        <f>TEXT(ASTemp!J1028,Decimals)</f>
        <v/>
      </c>
      <c r="K1028" s="69" t="str">
        <f>TEXT(ASTemp!K1028,Decimals)</f>
        <v/>
      </c>
      <c r="L1028" s="69" t="str">
        <f>TEXT(ASTemp!L1028,Decimals)</f>
        <v/>
      </c>
      <c r="M1028" s="71" t="str">
        <f>TEXT(ASTemp!M1028,Percentages)</f>
        <v/>
      </c>
      <c r="N1028" s="72" t="str">
        <f>TEXT(ASTemp!N1028,Percentages)</f>
        <v/>
      </c>
    </row>
    <row r="1029" ht="14.25" customHeight="1">
      <c r="B1029" s="66" t="str">
        <f>ASTemp!B1029</f>
        <v/>
      </c>
      <c r="C1029" s="67" t="str">
        <f>ASTemp!C1029</f>
        <v/>
      </c>
      <c r="D1029" s="68" t="str">
        <f>ASTemp!D1029</f>
        <v/>
      </c>
      <c r="E1029" s="65" t="str">
        <f>ASTemp!E1029</f>
        <v/>
      </c>
      <c r="F1029" s="69" t="str">
        <f>TEXT(ASTemp!F1029,Decimals)</f>
        <v/>
      </c>
      <c r="G1029" s="69" t="str">
        <f>TEXT(ASTemp!G1029,Decimals)</f>
        <v/>
      </c>
      <c r="H1029" s="69" t="str">
        <f>TEXT(ASTemp!H1029,Decimals)</f>
        <v/>
      </c>
      <c r="I1029" s="69" t="str">
        <f>TEXT(ASTemp!I1029,Decimals)</f>
        <v/>
      </c>
      <c r="J1029" s="69" t="str">
        <f>TEXT(ASTemp!J1029,Decimals)</f>
        <v/>
      </c>
      <c r="K1029" s="69" t="str">
        <f>TEXT(ASTemp!K1029,Decimals)</f>
        <v/>
      </c>
      <c r="L1029" s="69" t="str">
        <f>TEXT(ASTemp!L1029,Decimals)</f>
        <v/>
      </c>
      <c r="M1029" s="71" t="str">
        <f>TEXT(ASTemp!M1029,Percentages)</f>
        <v/>
      </c>
      <c r="N1029" s="72" t="str">
        <f>TEXT(ASTemp!N1029,Percentages)</f>
        <v/>
      </c>
    </row>
    <row r="1030" ht="14.25" customHeight="1">
      <c r="B1030" s="66" t="str">
        <f>ASTemp!B1030</f>
        <v/>
      </c>
      <c r="C1030" s="67" t="str">
        <f>ASTemp!C1030</f>
        <v/>
      </c>
      <c r="D1030" s="68" t="str">
        <f>ASTemp!D1030</f>
        <v/>
      </c>
      <c r="E1030" s="65" t="str">
        <f>ASTemp!E1030</f>
        <v/>
      </c>
      <c r="F1030" s="69" t="str">
        <f>TEXT(ASTemp!F1030,Decimals)</f>
        <v/>
      </c>
      <c r="G1030" s="69" t="str">
        <f>TEXT(ASTemp!G1030,Decimals)</f>
        <v/>
      </c>
      <c r="H1030" s="69" t="str">
        <f>TEXT(ASTemp!H1030,Decimals)</f>
        <v/>
      </c>
      <c r="I1030" s="69" t="str">
        <f>TEXT(ASTemp!I1030,Decimals)</f>
        <v/>
      </c>
      <c r="J1030" s="69" t="str">
        <f>TEXT(ASTemp!J1030,Decimals)</f>
        <v/>
      </c>
      <c r="K1030" s="69" t="str">
        <f>TEXT(ASTemp!K1030,Decimals)</f>
        <v/>
      </c>
      <c r="L1030" s="69" t="str">
        <f>TEXT(ASTemp!L1030,Decimals)</f>
        <v/>
      </c>
      <c r="M1030" s="71" t="str">
        <f>TEXT(ASTemp!M1030,Percentages)</f>
        <v/>
      </c>
      <c r="N1030" s="72" t="str">
        <f>TEXT(ASTemp!N1030,Percentages)</f>
        <v/>
      </c>
    </row>
    <row r="1031" ht="14.25" customHeight="1">
      <c r="B1031" s="66" t="str">
        <f>ASTemp!B1031</f>
        <v/>
      </c>
      <c r="C1031" s="67" t="str">
        <f>ASTemp!C1031</f>
        <v/>
      </c>
      <c r="D1031" s="68" t="str">
        <f>ASTemp!D1031</f>
        <v/>
      </c>
      <c r="E1031" s="65" t="str">
        <f>ASTemp!E1031</f>
        <v/>
      </c>
      <c r="F1031" s="69" t="str">
        <f>TEXT(ASTemp!F1031,Decimals)</f>
        <v/>
      </c>
      <c r="G1031" s="69" t="str">
        <f>TEXT(ASTemp!G1031,Decimals)</f>
        <v/>
      </c>
      <c r="H1031" s="69" t="str">
        <f>TEXT(ASTemp!H1031,Decimals)</f>
        <v/>
      </c>
      <c r="I1031" s="69" t="str">
        <f>TEXT(ASTemp!I1031,Decimals)</f>
        <v/>
      </c>
      <c r="J1031" s="69" t="str">
        <f>TEXT(ASTemp!J1031,Decimals)</f>
        <v/>
      </c>
      <c r="K1031" s="69" t="str">
        <f>TEXT(ASTemp!K1031,Decimals)</f>
        <v/>
      </c>
      <c r="L1031" s="69" t="str">
        <f>TEXT(ASTemp!L1031,Decimals)</f>
        <v/>
      </c>
      <c r="M1031" s="71" t="str">
        <f>TEXT(ASTemp!M1031,Percentages)</f>
        <v/>
      </c>
      <c r="N1031" s="72" t="str">
        <f>TEXT(ASTemp!N1031,Percentages)</f>
        <v/>
      </c>
    </row>
    <row r="1032" ht="14.25" customHeight="1">
      <c r="B1032" s="66" t="str">
        <f>ASTemp!B1032</f>
        <v/>
      </c>
      <c r="C1032" s="67" t="str">
        <f>ASTemp!C1032</f>
        <v/>
      </c>
      <c r="D1032" s="68" t="str">
        <f>ASTemp!D1032</f>
        <v/>
      </c>
      <c r="E1032" s="65" t="str">
        <f>ASTemp!E1032</f>
        <v/>
      </c>
      <c r="F1032" s="69" t="str">
        <f>TEXT(ASTemp!F1032,Decimals)</f>
        <v/>
      </c>
      <c r="G1032" s="69" t="str">
        <f>TEXT(ASTemp!G1032,Decimals)</f>
        <v/>
      </c>
      <c r="H1032" s="69" t="str">
        <f>TEXT(ASTemp!H1032,Decimals)</f>
        <v/>
      </c>
      <c r="I1032" s="69" t="str">
        <f>TEXT(ASTemp!I1032,Decimals)</f>
        <v/>
      </c>
      <c r="J1032" s="69" t="str">
        <f>TEXT(ASTemp!J1032,Decimals)</f>
        <v/>
      </c>
      <c r="K1032" s="69" t="str">
        <f>TEXT(ASTemp!K1032,Decimals)</f>
        <v/>
      </c>
      <c r="L1032" s="69" t="str">
        <f>TEXT(ASTemp!L1032,Decimals)</f>
        <v/>
      </c>
      <c r="M1032" s="71" t="str">
        <f>TEXT(ASTemp!M1032,Percentages)</f>
        <v/>
      </c>
      <c r="N1032" s="72" t="str">
        <f>TEXT(ASTemp!N1032,Percentages)</f>
        <v/>
      </c>
    </row>
    <row r="1033" ht="14.25" customHeight="1">
      <c r="B1033" s="66" t="str">
        <f>ASTemp!B1033</f>
        <v/>
      </c>
      <c r="C1033" s="67" t="str">
        <f>ASTemp!C1033</f>
        <v/>
      </c>
      <c r="D1033" s="68" t="str">
        <f>ASTemp!D1033</f>
        <v/>
      </c>
      <c r="E1033" s="65" t="str">
        <f>ASTemp!E1033</f>
        <v/>
      </c>
      <c r="F1033" s="69" t="str">
        <f>TEXT(ASTemp!F1033,Decimals)</f>
        <v/>
      </c>
      <c r="G1033" s="69" t="str">
        <f>TEXT(ASTemp!G1033,Decimals)</f>
        <v/>
      </c>
      <c r="H1033" s="69" t="str">
        <f>TEXT(ASTemp!H1033,Decimals)</f>
        <v/>
      </c>
      <c r="I1033" s="69" t="str">
        <f>TEXT(ASTemp!I1033,Decimals)</f>
        <v/>
      </c>
      <c r="J1033" s="69" t="str">
        <f>TEXT(ASTemp!J1033,Decimals)</f>
        <v/>
      </c>
      <c r="K1033" s="69" t="str">
        <f>TEXT(ASTemp!K1033,Decimals)</f>
        <v/>
      </c>
      <c r="L1033" s="69" t="str">
        <f>TEXT(ASTemp!L1033,Decimals)</f>
        <v/>
      </c>
      <c r="M1033" s="71" t="str">
        <f>TEXT(ASTemp!M1033,Percentages)</f>
        <v/>
      </c>
      <c r="N1033" s="72" t="str">
        <f>TEXT(ASTemp!N1033,Percentages)</f>
        <v/>
      </c>
    </row>
    <row r="1034" ht="14.25" customHeight="1">
      <c r="B1034" s="66" t="str">
        <f>ASTemp!B1034</f>
        <v/>
      </c>
      <c r="C1034" s="67" t="str">
        <f>ASTemp!C1034</f>
        <v/>
      </c>
      <c r="D1034" s="68" t="str">
        <f>ASTemp!D1034</f>
        <v/>
      </c>
      <c r="E1034" s="65" t="str">
        <f>ASTemp!E1034</f>
        <v/>
      </c>
      <c r="F1034" s="69" t="str">
        <f>TEXT(ASTemp!F1034,Decimals)</f>
        <v/>
      </c>
      <c r="G1034" s="69" t="str">
        <f>TEXT(ASTemp!G1034,Decimals)</f>
        <v/>
      </c>
      <c r="H1034" s="69" t="str">
        <f>TEXT(ASTemp!H1034,Decimals)</f>
        <v/>
      </c>
      <c r="I1034" s="69" t="str">
        <f>TEXT(ASTemp!I1034,Decimals)</f>
        <v/>
      </c>
      <c r="J1034" s="69" t="str">
        <f>TEXT(ASTemp!J1034,Decimals)</f>
        <v/>
      </c>
      <c r="K1034" s="69" t="str">
        <f>TEXT(ASTemp!K1034,Decimals)</f>
        <v/>
      </c>
      <c r="L1034" s="69" t="str">
        <f>TEXT(ASTemp!L1034,Decimals)</f>
        <v/>
      </c>
      <c r="M1034" s="71" t="str">
        <f>TEXT(ASTemp!M1034,Percentages)</f>
        <v/>
      </c>
      <c r="N1034" s="72" t="str">
        <f>TEXT(ASTemp!N1034,Percentages)</f>
        <v/>
      </c>
    </row>
    <row r="1035" ht="14.25" customHeight="1">
      <c r="B1035" s="66" t="str">
        <f>ASTemp!B1035</f>
        <v/>
      </c>
      <c r="C1035" s="67" t="str">
        <f>ASTemp!C1035</f>
        <v/>
      </c>
      <c r="D1035" s="68" t="str">
        <f>ASTemp!D1035</f>
        <v/>
      </c>
      <c r="E1035" s="65" t="str">
        <f>ASTemp!E1035</f>
        <v/>
      </c>
      <c r="F1035" s="69" t="str">
        <f>TEXT(ASTemp!F1035,Decimals)</f>
        <v/>
      </c>
      <c r="G1035" s="69" t="str">
        <f>TEXT(ASTemp!G1035,Decimals)</f>
        <v/>
      </c>
      <c r="H1035" s="69" t="str">
        <f>TEXT(ASTemp!H1035,Decimals)</f>
        <v/>
      </c>
      <c r="I1035" s="69" t="str">
        <f>TEXT(ASTemp!I1035,Decimals)</f>
        <v/>
      </c>
      <c r="J1035" s="69" t="str">
        <f>TEXT(ASTemp!J1035,Decimals)</f>
        <v/>
      </c>
      <c r="K1035" s="69" t="str">
        <f>TEXT(ASTemp!K1035,Decimals)</f>
        <v/>
      </c>
      <c r="L1035" s="69" t="str">
        <f>TEXT(ASTemp!L1035,Decimals)</f>
        <v/>
      </c>
      <c r="M1035" s="71" t="str">
        <f>TEXT(ASTemp!M1035,Percentages)</f>
        <v/>
      </c>
      <c r="N1035" s="72" t="str">
        <f>TEXT(ASTemp!N1035,Percentages)</f>
        <v/>
      </c>
    </row>
    <row r="1036" ht="14.25" customHeight="1">
      <c r="B1036" s="66" t="str">
        <f>ASTemp!B1036</f>
        <v/>
      </c>
      <c r="C1036" s="67" t="str">
        <f>ASTemp!C1036</f>
        <v/>
      </c>
      <c r="D1036" s="68" t="str">
        <f>ASTemp!D1036</f>
        <v/>
      </c>
      <c r="E1036" s="65" t="str">
        <f>ASTemp!E1036</f>
        <v/>
      </c>
      <c r="F1036" s="69" t="str">
        <f>TEXT(ASTemp!F1036,Decimals)</f>
        <v/>
      </c>
      <c r="G1036" s="69" t="str">
        <f>TEXT(ASTemp!G1036,Decimals)</f>
        <v/>
      </c>
      <c r="H1036" s="69" t="str">
        <f>TEXT(ASTemp!H1036,Decimals)</f>
        <v/>
      </c>
      <c r="I1036" s="69" t="str">
        <f>TEXT(ASTemp!I1036,Decimals)</f>
        <v/>
      </c>
      <c r="J1036" s="69" t="str">
        <f>TEXT(ASTemp!J1036,Decimals)</f>
        <v/>
      </c>
      <c r="K1036" s="69" t="str">
        <f>TEXT(ASTemp!K1036,Decimals)</f>
        <v/>
      </c>
      <c r="L1036" s="69" t="str">
        <f>TEXT(ASTemp!L1036,Decimals)</f>
        <v/>
      </c>
      <c r="M1036" s="71" t="str">
        <f>TEXT(ASTemp!M1036,Percentages)</f>
        <v/>
      </c>
      <c r="N1036" s="72" t="str">
        <f>TEXT(ASTemp!N1036,Percentages)</f>
        <v/>
      </c>
    </row>
    <row r="1037" ht="14.25" customHeight="1">
      <c r="B1037" s="66" t="str">
        <f>ASTemp!B1037</f>
        <v/>
      </c>
      <c r="C1037" s="67" t="str">
        <f>ASTemp!C1037</f>
        <v/>
      </c>
      <c r="D1037" s="68" t="str">
        <f>ASTemp!D1037</f>
        <v/>
      </c>
      <c r="E1037" s="65" t="str">
        <f>ASTemp!E1037</f>
        <v/>
      </c>
      <c r="F1037" s="69" t="str">
        <f>TEXT(ASTemp!F1037,Decimals)</f>
        <v/>
      </c>
      <c r="G1037" s="69" t="str">
        <f>TEXT(ASTemp!G1037,Decimals)</f>
        <v/>
      </c>
      <c r="H1037" s="69" t="str">
        <f>TEXT(ASTemp!H1037,Decimals)</f>
        <v/>
      </c>
      <c r="I1037" s="69" t="str">
        <f>TEXT(ASTemp!I1037,Decimals)</f>
        <v/>
      </c>
      <c r="J1037" s="69" t="str">
        <f>TEXT(ASTemp!J1037,Decimals)</f>
        <v/>
      </c>
      <c r="K1037" s="69" t="str">
        <f>TEXT(ASTemp!K1037,Decimals)</f>
        <v/>
      </c>
      <c r="L1037" s="69" t="str">
        <f>TEXT(ASTemp!L1037,Decimals)</f>
        <v/>
      </c>
      <c r="M1037" s="71" t="str">
        <f>TEXT(ASTemp!M1037,Percentages)</f>
        <v/>
      </c>
      <c r="N1037" s="72" t="str">
        <f>TEXT(ASTemp!N1037,Percentages)</f>
        <v/>
      </c>
    </row>
    <row r="1038" ht="14.25" customHeight="1">
      <c r="B1038" s="66" t="str">
        <f>ASTemp!B1038</f>
        <v/>
      </c>
      <c r="C1038" s="67" t="str">
        <f>ASTemp!C1038</f>
        <v/>
      </c>
      <c r="D1038" s="68" t="str">
        <f>ASTemp!D1038</f>
        <v/>
      </c>
      <c r="E1038" s="65" t="str">
        <f>ASTemp!E1038</f>
        <v/>
      </c>
      <c r="F1038" s="69" t="str">
        <f>TEXT(ASTemp!F1038,Decimals)</f>
        <v/>
      </c>
      <c r="G1038" s="69" t="str">
        <f>TEXT(ASTemp!G1038,Decimals)</f>
        <v/>
      </c>
      <c r="H1038" s="69" t="str">
        <f>TEXT(ASTemp!H1038,Decimals)</f>
        <v/>
      </c>
      <c r="I1038" s="69" t="str">
        <f>TEXT(ASTemp!I1038,Decimals)</f>
        <v/>
      </c>
      <c r="J1038" s="69" t="str">
        <f>TEXT(ASTemp!J1038,Decimals)</f>
        <v/>
      </c>
      <c r="K1038" s="69" t="str">
        <f>TEXT(ASTemp!K1038,Decimals)</f>
        <v/>
      </c>
      <c r="L1038" s="69" t="str">
        <f>TEXT(ASTemp!L1038,Decimals)</f>
        <v/>
      </c>
      <c r="M1038" s="71" t="str">
        <f>TEXT(ASTemp!M1038,Percentages)</f>
        <v/>
      </c>
      <c r="N1038" s="72" t="str">
        <f>TEXT(ASTemp!N1038,Percentages)</f>
        <v/>
      </c>
    </row>
    <row r="1039" ht="14.25" customHeight="1">
      <c r="B1039" s="66" t="str">
        <f>ASTemp!B1039</f>
        <v/>
      </c>
      <c r="C1039" s="67" t="str">
        <f>ASTemp!C1039</f>
        <v/>
      </c>
      <c r="D1039" s="68" t="str">
        <f>ASTemp!D1039</f>
        <v/>
      </c>
      <c r="E1039" s="65" t="str">
        <f>ASTemp!E1039</f>
        <v/>
      </c>
      <c r="F1039" s="69" t="str">
        <f>TEXT(ASTemp!F1039,Decimals)</f>
        <v/>
      </c>
      <c r="G1039" s="69" t="str">
        <f>TEXT(ASTemp!G1039,Decimals)</f>
        <v/>
      </c>
      <c r="H1039" s="69" t="str">
        <f>TEXT(ASTemp!H1039,Decimals)</f>
        <v/>
      </c>
      <c r="I1039" s="69" t="str">
        <f>TEXT(ASTemp!I1039,Decimals)</f>
        <v/>
      </c>
      <c r="J1039" s="69" t="str">
        <f>TEXT(ASTemp!J1039,Decimals)</f>
        <v/>
      </c>
      <c r="K1039" s="69" t="str">
        <f>TEXT(ASTemp!K1039,Decimals)</f>
        <v/>
      </c>
      <c r="L1039" s="69" t="str">
        <f>TEXT(ASTemp!L1039,Decimals)</f>
        <v/>
      </c>
      <c r="M1039" s="71" t="str">
        <f>TEXT(ASTemp!M1039,Percentages)</f>
        <v/>
      </c>
      <c r="N1039" s="72" t="str">
        <f>TEXT(ASTemp!N1039,Percentages)</f>
        <v/>
      </c>
    </row>
    <row r="1040" ht="14.25" customHeight="1">
      <c r="B1040" s="66" t="str">
        <f>ASTemp!B1040</f>
        <v/>
      </c>
      <c r="C1040" s="67" t="str">
        <f>ASTemp!C1040</f>
        <v/>
      </c>
      <c r="D1040" s="68" t="str">
        <f>ASTemp!D1040</f>
        <v/>
      </c>
      <c r="E1040" s="65" t="str">
        <f>ASTemp!E1040</f>
        <v/>
      </c>
      <c r="F1040" s="69" t="str">
        <f>TEXT(ASTemp!F1040,Decimals)</f>
        <v/>
      </c>
      <c r="G1040" s="69" t="str">
        <f>TEXT(ASTemp!G1040,Decimals)</f>
        <v/>
      </c>
      <c r="H1040" s="69" t="str">
        <f>TEXT(ASTemp!H1040,Decimals)</f>
        <v/>
      </c>
      <c r="I1040" s="69" t="str">
        <f>TEXT(ASTemp!I1040,Decimals)</f>
        <v/>
      </c>
      <c r="J1040" s="69" t="str">
        <f>TEXT(ASTemp!J1040,Decimals)</f>
        <v/>
      </c>
      <c r="K1040" s="69" t="str">
        <f>TEXT(ASTemp!K1040,Decimals)</f>
        <v/>
      </c>
      <c r="L1040" s="69" t="str">
        <f>TEXT(ASTemp!L1040,Decimals)</f>
        <v/>
      </c>
      <c r="M1040" s="71" t="str">
        <f>TEXT(ASTemp!M1040,Percentages)</f>
        <v/>
      </c>
      <c r="N1040" s="72" t="str">
        <f>TEXT(ASTemp!N1040,Percentages)</f>
        <v/>
      </c>
    </row>
    <row r="1041" ht="14.25" customHeight="1">
      <c r="B1041" s="66" t="str">
        <f>ASTemp!B1041</f>
        <v/>
      </c>
      <c r="C1041" s="67" t="str">
        <f>ASTemp!C1041</f>
        <v/>
      </c>
      <c r="D1041" s="68" t="str">
        <f>ASTemp!D1041</f>
        <v/>
      </c>
      <c r="E1041" s="65" t="str">
        <f>ASTemp!E1041</f>
        <v/>
      </c>
      <c r="F1041" s="69" t="str">
        <f>TEXT(ASTemp!F1041,Decimals)</f>
        <v/>
      </c>
      <c r="G1041" s="69" t="str">
        <f>TEXT(ASTemp!G1041,Decimals)</f>
        <v/>
      </c>
      <c r="H1041" s="69" t="str">
        <f>TEXT(ASTemp!H1041,Decimals)</f>
        <v/>
      </c>
      <c r="I1041" s="69" t="str">
        <f>TEXT(ASTemp!I1041,Decimals)</f>
        <v/>
      </c>
      <c r="J1041" s="69" t="str">
        <f>TEXT(ASTemp!J1041,Decimals)</f>
        <v/>
      </c>
      <c r="K1041" s="69" t="str">
        <f>TEXT(ASTemp!K1041,Decimals)</f>
        <v/>
      </c>
      <c r="L1041" s="69" t="str">
        <f>TEXT(ASTemp!L1041,Decimals)</f>
        <v/>
      </c>
      <c r="M1041" s="71" t="str">
        <f>TEXT(ASTemp!M1041,Percentages)</f>
        <v/>
      </c>
      <c r="N1041" s="72" t="str">
        <f>TEXT(ASTemp!N1041,Percentages)</f>
        <v/>
      </c>
    </row>
    <row r="1042" ht="14.25" customHeight="1">
      <c r="B1042" s="66" t="str">
        <f>ASTemp!B1042</f>
        <v/>
      </c>
      <c r="C1042" s="67" t="str">
        <f>ASTemp!C1042</f>
        <v/>
      </c>
      <c r="D1042" s="68" t="str">
        <f>ASTemp!D1042</f>
        <v/>
      </c>
      <c r="E1042" s="65" t="str">
        <f>ASTemp!E1042</f>
        <v/>
      </c>
      <c r="F1042" s="69" t="str">
        <f>TEXT(ASTemp!F1042,Decimals)</f>
        <v/>
      </c>
      <c r="G1042" s="69" t="str">
        <f>TEXT(ASTemp!G1042,Decimals)</f>
        <v/>
      </c>
      <c r="H1042" s="69" t="str">
        <f>TEXT(ASTemp!H1042,Decimals)</f>
        <v/>
      </c>
      <c r="I1042" s="69" t="str">
        <f>TEXT(ASTemp!I1042,Decimals)</f>
        <v/>
      </c>
      <c r="J1042" s="69" t="str">
        <f>TEXT(ASTemp!J1042,Decimals)</f>
        <v/>
      </c>
      <c r="K1042" s="69" t="str">
        <f>TEXT(ASTemp!K1042,Decimals)</f>
        <v/>
      </c>
      <c r="L1042" s="69" t="str">
        <f>TEXT(ASTemp!L1042,Decimals)</f>
        <v/>
      </c>
      <c r="M1042" s="71" t="str">
        <f>TEXT(ASTemp!M1042,Percentages)</f>
        <v/>
      </c>
      <c r="N1042" s="72" t="str">
        <f>TEXT(ASTemp!N1042,Percentages)</f>
        <v/>
      </c>
    </row>
    <row r="1043" ht="14.25" customHeight="1">
      <c r="B1043" s="66" t="str">
        <f>ASTemp!B1043</f>
        <v/>
      </c>
      <c r="C1043" s="67" t="str">
        <f>ASTemp!C1043</f>
        <v/>
      </c>
      <c r="D1043" s="68" t="str">
        <f>ASTemp!D1043</f>
        <v/>
      </c>
      <c r="E1043" s="65" t="str">
        <f>ASTemp!E1043</f>
        <v/>
      </c>
      <c r="F1043" s="69" t="str">
        <f>TEXT(ASTemp!F1043,Decimals)</f>
        <v/>
      </c>
      <c r="G1043" s="69" t="str">
        <f>TEXT(ASTemp!G1043,Decimals)</f>
        <v/>
      </c>
      <c r="H1043" s="69" t="str">
        <f>TEXT(ASTemp!H1043,Decimals)</f>
        <v/>
      </c>
      <c r="I1043" s="69" t="str">
        <f>TEXT(ASTemp!I1043,Decimals)</f>
        <v/>
      </c>
      <c r="J1043" s="69" t="str">
        <f>TEXT(ASTemp!J1043,Decimals)</f>
        <v/>
      </c>
      <c r="K1043" s="69" t="str">
        <f>TEXT(ASTemp!K1043,Decimals)</f>
        <v/>
      </c>
      <c r="L1043" s="69" t="str">
        <f>TEXT(ASTemp!L1043,Decimals)</f>
        <v/>
      </c>
      <c r="M1043" s="71" t="str">
        <f>TEXT(ASTemp!M1043,Percentages)</f>
        <v/>
      </c>
      <c r="N1043" s="72" t="str">
        <f>TEXT(ASTemp!N1043,Percentages)</f>
        <v/>
      </c>
    </row>
    <row r="1044" ht="14.25" customHeight="1">
      <c r="B1044" s="66" t="str">
        <f>ASTemp!B1044</f>
        <v/>
      </c>
      <c r="C1044" s="67" t="str">
        <f>ASTemp!C1044</f>
        <v/>
      </c>
      <c r="D1044" s="68" t="str">
        <f>ASTemp!D1044</f>
        <v/>
      </c>
      <c r="E1044" s="65" t="str">
        <f>ASTemp!E1044</f>
        <v/>
      </c>
      <c r="F1044" s="69" t="str">
        <f>TEXT(ASTemp!F1044,Decimals)</f>
        <v/>
      </c>
      <c r="G1044" s="69" t="str">
        <f>TEXT(ASTemp!G1044,Decimals)</f>
        <v/>
      </c>
      <c r="H1044" s="69" t="str">
        <f>TEXT(ASTemp!H1044,Decimals)</f>
        <v/>
      </c>
      <c r="I1044" s="69" t="str">
        <f>TEXT(ASTemp!I1044,Decimals)</f>
        <v/>
      </c>
      <c r="J1044" s="69" t="str">
        <f>TEXT(ASTemp!J1044,Decimals)</f>
        <v/>
      </c>
      <c r="K1044" s="69" t="str">
        <f>TEXT(ASTemp!K1044,Decimals)</f>
        <v/>
      </c>
      <c r="L1044" s="69" t="str">
        <f>TEXT(ASTemp!L1044,Decimals)</f>
        <v/>
      </c>
      <c r="M1044" s="71" t="str">
        <f>TEXT(ASTemp!M1044,Percentages)</f>
        <v/>
      </c>
      <c r="N1044" s="72" t="str">
        <f>TEXT(ASTemp!N1044,Percentages)</f>
        <v/>
      </c>
    </row>
    <row r="1045" ht="14.25" customHeight="1">
      <c r="B1045" s="66" t="str">
        <f>ASTemp!B1045</f>
        <v/>
      </c>
      <c r="C1045" s="67" t="str">
        <f>ASTemp!C1045</f>
        <v/>
      </c>
      <c r="D1045" s="68" t="str">
        <f>ASTemp!D1045</f>
        <v/>
      </c>
      <c r="E1045" s="65" t="str">
        <f>ASTemp!E1045</f>
        <v/>
      </c>
      <c r="F1045" s="69" t="str">
        <f>TEXT(ASTemp!F1045,Decimals)</f>
        <v/>
      </c>
      <c r="G1045" s="69" t="str">
        <f>TEXT(ASTemp!G1045,Decimals)</f>
        <v/>
      </c>
      <c r="H1045" s="69" t="str">
        <f>TEXT(ASTemp!H1045,Decimals)</f>
        <v/>
      </c>
      <c r="I1045" s="69" t="str">
        <f>TEXT(ASTemp!I1045,Decimals)</f>
        <v/>
      </c>
      <c r="J1045" s="69" t="str">
        <f>TEXT(ASTemp!J1045,Decimals)</f>
        <v/>
      </c>
      <c r="K1045" s="69" t="str">
        <f>TEXT(ASTemp!K1045,Decimals)</f>
        <v/>
      </c>
      <c r="L1045" s="69" t="str">
        <f>TEXT(ASTemp!L1045,Decimals)</f>
        <v/>
      </c>
      <c r="M1045" s="71" t="str">
        <f>TEXT(ASTemp!M1045,Percentages)</f>
        <v/>
      </c>
      <c r="N1045" s="72" t="str">
        <f>TEXT(ASTemp!N1045,Percentages)</f>
        <v/>
      </c>
    </row>
    <row r="1046" ht="14.25" customHeight="1">
      <c r="B1046" s="66" t="str">
        <f>ASTemp!B1046</f>
        <v/>
      </c>
      <c r="C1046" s="67" t="str">
        <f>ASTemp!C1046</f>
        <v/>
      </c>
      <c r="D1046" s="68" t="str">
        <f>ASTemp!D1046</f>
        <v/>
      </c>
      <c r="E1046" s="65" t="str">
        <f>ASTemp!E1046</f>
        <v/>
      </c>
      <c r="F1046" s="69" t="str">
        <f>TEXT(ASTemp!F1046,Decimals)</f>
        <v/>
      </c>
      <c r="G1046" s="69" t="str">
        <f>TEXT(ASTemp!G1046,Decimals)</f>
        <v/>
      </c>
      <c r="H1046" s="69" t="str">
        <f>TEXT(ASTemp!H1046,Decimals)</f>
        <v/>
      </c>
      <c r="I1046" s="69" t="str">
        <f>TEXT(ASTemp!I1046,Decimals)</f>
        <v/>
      </c>
      <c r="J1046" s="69" t="str">
        <f>TEXT(ASTemp!J1046,Decimals)</f>
        <v/>
      </c>
      <c r="K1046" s="69" t="str">
        <f>TEXT(ASTemp!K1046,Decimals)</f>
        <v/>
      </c>
      <c r="L1046" s="69" t="str">
        <f>TEXT(ASTemp!L1046,Decimals)</f>
        <v/>
      </c>
      <c r="M1046" s="71" t="str">
        <f>TEXT(ASTemp!M1046,Percentages)</f>
        <v/>
      </c>
      <c r="N1046" s="72" t="str">
        <f>TEXT(ASTemp!N1046,Percentages)</f>
        <v/>
      </c>
    </row>
    <row r="1047" ht="14.25" customHeight="1">
      <c r="B1047" s="66" t="str">
        <f>ASTemp!B1047</f>
        <v/>
      </c>
      <c r="C1047" s="67" t="str">
        <f>ASTemp!C1047</f>
        <v/>
      </c>
      <c r="D1047" s="68" t="str">
        <f>ASTemp!D1047</f>
        <v/>
      </c>
      <c r="E1047" s="65" t="str">
        <f>ASTemp!E1047</f>
        <v/>
      </c>
      <c r="F1047" s="69" t="str">
        <f>TEXT(ASTemp!F1047,Decimals)</f>
        <v/>
      </c>
      <c r="G1047" s="69" t="str">
        <f>TEXT(ASTemp!G1047,Decimals)</f>
        <v/>
      </c>
      <c r="H1047" s="69" t="str">
        <f>TEXT(ASTemp!H1047,Decimals)</f>
        <v/>
      </c>
      <c r="I1047" s="69" t="str">
        <f>TEXT(ASTemp!I1047,Decimals)</f>
        <v/>
      </c>
      <c r="J1047" s="69" t="str">
        <f>TEXT(ASTemp!J1047,Decimals)</f>
        <v/>
      </c>
      <c r="K1047" s="69" t="str">
        <f>TEXT(ASTemp!K1047,Decimals)</f>
        <v/>
      </c>
      <c r="L1047" s="69" t="str">
        <f>TEXT(ASTemp!L1047,Decimals)</f>
        <v/>
      </c>
      <c r="M1047" s="71" t="str">
        <f>TEXT(ASTemp!M1047,Percentages)</f>
        <v/>
      </c>
      <c r="N1047" s="72" t="str">
        <f>TEXT(ASTemp!N1047,Percentages)</f>
        <v/>
      </c>
    </row>
    <row r="1048" ht="14.25" customHeight="1">
      <c r="B1048" s="66" t="str">
        <f>ASTemp!B1048</f>
        <v/>
      </c>
      <c r="C1048" s="67" t="str">
        <f>ASTemp!C1048</f>
        <v/>
      </c>
      <c r="D1048" s="68" t="str">
        <f>ASTemp!D1048</f>
        <v/>
      </c>
      <c r="E1048" s="65" t="str">
        <f>ASTemp!E1048</f>
        <v/>
      </c>
      <c r="F1048" s="69" t="str">
        <f>TEXT(ASTemp!F1048,Decimals)</f>
        <v/>
      </c>
      <c r="G1048" s="69" t="str">
        <f>TEXT(ASTemp!G1048,Decimals)</f>
        <v/>
      </c>
      <c r="H1048" s="69" t="str">
        <f>TEXT(ASTemp!H1048,Decimals)</f>
        <v/>
      </c>
      <c r="I1048" s="69" t="str">
        <f>TEXT(ASTemp!I1048,Decimals)</f>
        <v/>
      </c>
      <c r="J1048" s="69" t="str">
        <f>TEXT(ASTemp!J1048,Decimals)</f>
        <v/>
      </c>
      <c r="K1048" s="69" t="str">
        <f>TEXT(ASTemp!K1048,Decimals)</f>
        <v/>
      </c>
      <c r="L1048" s="69" t="str">
        <f>TEXT(ASTemp!L1048,Decimals)</f>
        <v/>
      </c>
      <c r="M1048" s="71" t="str">
        <f>TEXT(ASTemp!M1048,Percentages)</f>
        <v/>
      </c>
      <c r="N1048" s="72" t="str">
        <f>TEXT(ASTemp!N1048,Percentages)</f>
        <v/>
      </c>
    </row>
    <row r="1049" ht="14.25" customHeight="1">
      <c r="B1049" s="66" t="str">
        <f>ASTemp!B1049</f>
        <v/>
      </c>
      <c r="C1049" s="67" t="str">
        <f>ASTemp!C1049</f>
        <v/>
      </c>
      <c r="D1049" s="68" t="str">
        <f>ASTemp!D1049</f>
        <v/>
      </c>
      <c r="E1049" s="65" t="str">
        <f>ASTemp!E1049</f>
        <v/>
      </c>
      <c r="F1049" s="69" t="str">
        <f>TEXT(ASTemp!F1049,Decimals)</f>
        <v/>
      </c>
      <c r="G1049" s="69" t="str">
        <f>TEXT(ASTemp!G1049,Decimals)</f>
        <v/>
      </c>
      <c r="H1049" s="69" t="str">
        <f>TEXT(ASTemp!H1049,Decimals)</f>
        <v/>
      </c>
      <c r="I1049" s="69" t="str">
        <f>TEXT(ASTemp!I1049,Decimals)</f>
        <v/>
      </c>
      <c r="J1049" s="69" t="str">
        <f>TEXT(ASTemp!J1049,Decimals)</f>
        <v/>
      </c>
      <c r="K1049" s="69" t="str">
        <f>TEXT(ASTemp!K1049,Decimals)</f>
        <v/>
      </c>
      <c r="L1049" s="69" t="str">
        <f>TEXT(ASTemp!L1049,Decimals)</f>
        <v/>
      </c>
      <c r="M1049" s="71" t="str">
        <f>TEXT(ASTemp!M1049,Percentages)</f>
        <v/>
      </c>
      <c r="N1049" s="72" t="str">
        <f>TEXT(ASTemp!N1049,Percentages)</f>
        <v/>
      </c>
    </row>
    <row r="1050" ht="14.25" customHeight="1">
      <c r="B1050" s="66" t="str">
        <f>ASTemp!B1050</f>
        <v/>
      </c>
      <c r="C1050" s="67" t="str">
        <f>ASTemp!C1050</f>
        <v/>
      </c>
      <c r="D1050" s="68" t="str">
        <f>ASTemp!D1050</f>
        <v/>
      </c>
      <c r="E1050" s="65" t="str">
        <f>ASTemp!E1050</f>
        <v/>
      </c>
      <c r="F1050" s="69" t="str">
        <f>TEXT(ASTemp!F1050,Decimals)</f>
        <v/>
      </c>
      <c r="G1050" s="69" t="str">
        <f>TEXT(ASTemp!G1050,Decimals)</f>
        <v/>
      </c>
      <c r="H1050" s="69" t="str">
        <f>TEXT(ASTemp!H1050,Decimals)</f>
        <v/>
      </c>
      <c r="I1050" s="69" t="str">
        <f>TEXT(ASTemp!I1050,Decimals)</f>
        <v/>
      </c>
      <c r="J1050" s="69" t="str">
        <f>TEXT(ASTemp!J1050,Decimals)</f>
        <v/>
      </c>
      <c r="K1050" s="69" t="str">
        <f>TEXT(ASTemp!K1050,Decimals)</f>
        <v/>
      </c>
      <c r="L1050" s="69" t="str">
        <f>TEXT(ASTemp!L1050,Decimals)</f>
        <v/>
      </c>
      <c r="M1050" s="71" t="str">
        <f>TEXT(ASTemp!M1050,Percentages)</f>
        <v/>
      </c>
      <c r="N1050" s="72" t="str">
        <f>TEXT(ASTemp!N1050,Percentages)</f>
        <v/>
      </c>
    </row>
    <row r="1051" ht="14.25" customHeight="1">
      <c r="B1051" s="66" t="str">
        <f>ASTemp!B1051</f>
        <v/>
      </c>
      <c r="C1051" s="67" t="str">
        <f>ASTemp!C1051</f>
        <v/>
      </c>
      <c r="D1051" s="68" t="str">
        <f>ASTemp!D1051</f>
        <v/>
      </c>
      <c r="E1051" s="65" t="str">
        <f>ASTemp!E1051</f>
        <v/>
      </c>
      <c r="F1051" s="69" t="str">
        <f>TEXT(ASTemp!F1051,Decimals)</f>
        <v/>
      </c>
      <c r="G1051" s="69" t="str">
        <f>TEXT(ASTemp!G1051,Decimals)</f>
        <v/>
      </c>
      <c r="H1051" s="69" t="str">
        <f>TEXT(ASTemp!H1051,Decimals)</f>
        <v/>
      </c>
      <c r="I1051" s="69" t="str">
        <f>TEXT(ASTemp!I1051,Decimals)</f>
        <v/>
      </c>
      <c r="J1051" s="69" t="str">
        <f>TEXT(ASTemp!J1051,Decimals)</f>
        <v/>
      </c>
      <c r="K1051" s="69" t="str">
        <f>TEXT(ASTemp!K1051,Decimals)</f>
        <v/>
      </c>
      <c r="L1051" s="69" t="str">
        <f>TEXT(ASTemp!L1051,Decimals)</f>
        <v/>
      </c>
      <c r="M1051" s="71" t="str">
        <f>TEXT(ASTemp!M1051,Percentages)</f>
        <v/>
      </c>
      <c r="N1051" s="72" t="str">
        <f>TEXT(ASTemp!N1051,Percentages)</f>
        <v/>
      </c>
    </row>
    <row r="1052" ht="14.25" customHeight="1">
      <c r="B1052" s="66" t="str">
        <f>ASTemp!B1052</f>
        <v/>
      </c>
      <c r="C1052" s="67" t="str">
        <f>ASTemp!C1052</f>
        <v/>
      </c>
      <c r="D1052" s="68" t="str">
        <f>ASTemp!D1052</f>
        <v/>
      </c>
      <c r="E1052" s="65" t="str">
        <f>ASTemp!E1052</f>
        <v/>
      </c>
      <c r="F1052" s="69" t="str">
        <f>TEXT(ASTemp!F1052,Decimals)</f>
        <v/>
      </c>
      <c r="G1052" s="69" t="str">
        <f>TEXT(ASTemp!G1052,Decimals)</f>
        <v/>
      </c>
      <c r="H1052" s="69" t="str">
        <f>TEXT(ASTemp!H1052,Decimals)</f>
        <v/>
      </c>
      <c r="I1052" s="69" t="str">
        <f>TEXT(ASTemp!I1052,Decimals)</f>
        <v/>
      </c>
      <c r="J1052" s="69" t="str">
        <f>TEXT(ASTemp!J1052,Decimals)</f>
        <v/>
      </c>
      <c r="K1052" s="69" t="str">
        <f>TEXT(ASTemp!K1052,Decimals)</f>
        <v/>
      </c>
      <c r="L1052" s="69" t="str">
        <f>TEXT(ASTemp!L1052,Decimals)</f>
        <v/>
      </c>
      <c r="M1052" s="71" t="str">
        <f>TEXT(ASTemp!M1052,Percentages)</f>
        <v/>
      </c>
      <c r="N1052" s="72" t="str">
        <f>TEXT(ASTemp!N1052,Percentages)</f>
        <v/>
      </c>
    </row>
    <row r="1053" ht="14.25" customHeight="1">
      <c r="B1053" s="66" t="str">
        <f>ASTemp!B1053</f>
        <v/>
      </c>
      <c r="C1053" s="67" t="str">
        <f>ASTemp!C1053</f>
        <v/>
      </c>
      <c r="D1053" s="68" t="str">
        <f>ASTemp!D1053</f>
        <v/>
      </c>
      <c r="E1053" s="65" t="str">
        <f>ASTemp!E1053</f>
        <v/>
      </c>
      <c r="F1053" s="69" t="str">
        <f>TEXT(ASTemp!F1053,Decimals)</f>
        <v/>
      </c>
      <c r="G1053" s="69" t="str">
        <f>TEXT(ASTemp!G1053,Decimals)</f>
        <v/>
      </c>
      <c r="H1053" s="69" t="str">
        <f>TEXT(ASTemp!H1053,Decimals)</f>
        <v/>
      </c>
      <c r="I1053" s="69" t="str">
        <f>TEXT(ASTemp!I1053,Decimals)</f>
        <v/>
      </c>
      <c r="J1053" s="69" t="str">
        <f>TEXT(ASTemp!J1053,Decimals)</f>
        <v/>
      </c>
      <c r="K1053" s="69" t="str">
        <f>TEXT(ASTemp!K1053,Decimals)</f>
        <v/>
      </c>
      <c r="L1053" s="69" t="str">
        <f>TEXT(ASTemp!L1053,Decimals)</f>
        <v/>
      </c>
      <c r="M1053" s="71" t="str">
        <f>TEXT(ASTemp!M1053,Percentages)</f>
        <v/>
      </c>
      <c r="N1053" s="72" t="str">
        <f>TEXT(ASTemp!N1053,Percentages)</f>
        <v/>
      </c>
    </row>
    <row r="1054" ht="14.25" customHeight="1">
      <c r="B1054" s="66" t="str">
        <f>ASTemp!B1054</f>
        <v/>
      </c>
      <c r="C1054" s="67" t="str">
        <f>ASTemp!C1054</f>
        <v/>
      </c>
      <c r="D1054" s="68" t="str">
        <f>ASTemp!D1054</f>
        <v/>
      </c>
      <c r="E1054" s="65" t="str">
        <f>ASTemp!E1054</f>
        <v/>
      </c>
      <c r="F1054" s="69" t="str">
        <f>TEXT(ASTemp!F1054,Decimals)</f>
        <v/>
      </c>
      <c r="G1054" s="69" t="str">
        <f>TEXT(ASTemp!G1054,Decimals)</f>
        <v/>
      </c>
      <c r="H1054" s="69" t="str">
        <f>TEXT(ASTemp!H1054,Decimals)</f>
        <v/>
      </c>
      <c r="I1054" s="69" t="str">
        <f>TEXT(ASTemp!I1054,Decimals)</f>
        <v/>
      </c>
      <c r="J1054" s="69" t="str">
        <f>TEXT(ASTemp!J1054,Decimals)</f>
        <v/>
      </c>
      <c r="K1054" s="69" t="str">
        <f>TEXT(ASTemp!K1054,Decimals)</f>
        <v/>
      </c>
      <c r="L1054" s="69" t="str">
        <f>TEXT(ASTemp!L1054,Decimals)</f>
        <v/>
      </c>
      <c r="M1054" s="71" t="str">
        <f>TEXT(ASTemp!M1054,Percentages)</f>
        <v/>
      </c>
      <c r="N1054" s="72" t="str">
        <f>TEXT(ASTemp!N1054,Percentages)</f>
        <v/>
      </c>
    </row>
    <row r="1055" ht="14.25" customHeight="1">
      <c r="B1055" s="66" t="str">
        <f>ASTemp!B1055</f>
        <v/>
      </c>
      <c r="C1055" s="67" t="str">
        <f>ASTemp!C1055</f>
        <v/>
      </c>
      <c r="D1055" s="68" t="str">
        <f>ASTemp!D1055</f>
        <v/>
      </c>
      <c r="E1055" s="65" t="str">
        <f>ASTemp!E1055</f>
        <v/>
      </c>
      <c r="F1055" s="69" t="str">
        <f>TEXT(ASTemp!F1055,Decimals)</f>
        <v/>
      </c>
      <c r="G1055" s="69" t="str">
        <f>TEXT(ASTemp!G1055,Decimals)</f>
        <v/>
      </c>
      <c r="H1055" s="69" t="str">
        <f>TEXT(ASTemp!H1055,Decimals)</f>
        <v/>
      </c>
      <c r="I1055" s="69" t="str">
        <f>TEXT(ASTemp!I1055,Decimals)</f>
        <v/>
      </c>
      <c r="J1055" s="69" t="str">
        <f>TEXT(ASTemp!J1055,Decimals)</f>
        <v/>
      </c>
      <c r="K1055" s="69" t="str">
        <f>TEXT(ASTemp!K1055,Decimals)</f>
        <v/>
      </c>
      <c r="L1055" s="69" t="str">
        <f>TEXT(ASTemp!L1055,Decimals)</f>
        <v/>
      </c>
      <c r="M1055" s="71" t="str">
        <f>TEXT(ASTemp!M1055,Percentages)</f>
        <v/>
      </c>
      <c r="N1055" s="72" t="str">
        <f>TEXT(ASTemp!N1055,Percentages)</f>
        <v/>
      </c>
    </row>
    <row r="1056" ht="14.25" customHeight="1">
      <c r="B1056" s="66" t="str">
        <f>ASTemp!B1056</f>
        <v/>
      </c>
      <c r="C1056" s="67" t="str">
        <f>ASTemp!C1056</f>
        <v/>
      </c>
      <c r="D1056" s="68" t="str">
        <f>ASTemp!D1056</f>
        <v/>
      </c>
      <c r="E1056" s="65" t="str">
        <f>ASTemp!E1056</f>
        <v/>
      </c>
      <c r="F1056" s="69" t="str">
        <f>TEXT(ASTemp!F1056,Decimals)</f>
        <v/>
      </c>
      <c r="G1056" s="69" t="str">
        <f>TEXT(ASTemp!G1056,Decimals)</f>
        <v/>
      </c>
      <c r="H1056" s="69" t="str">
        <f>TEXT(ASTemp!H1056,Decimals)</f>
        <v/>
      </c>
      <c r="I1056" s="69" t="str">
        <f>TEXT(ASTemp!I1056,Decimals)</f>
        <v/>
      </c>
      <c r="J1056" s="69" t="str">
        <f>TEXT(ASTemp!J1056,Decimals)</f>
        <v/>
      </c>
      <c r="K1056" s="69" t="str">
        <f>TEXT(ASTemp!K1056,Decimals)</f>
        <v/>
      </c>
      <c r="L1056" s="69" t="str">
        <f>TEXT(ASTemp!L1056,Decimals)</f>
        <v/>
      </c>
      <c r="M1056" s="71" t="str">
        <f>TEXT(ASTemp!M1056,Percentages)</f>
        <v/>
      </c>
      <c r="N1056" s="72" t="str">
        <f>TEXT(ASTemp!N1056,Percentages)</f>
        <v/>
      </c>
    </row>
    <row r="1057" ht="14.25" customHeight="1">
      <c r="B1057" s="66" t="str">
        <f>ASTemp!B1057</f>
        <v/>
      </c>
      <c r="C1057" s="67" t="str">
        <f>ASTemp!C1057</f>
        <v/>
      </c>
      <c r="D1057" s="68" t="str">
        <f>ASTemp!D1057</f>
        <v/>
      </c>
      <c r="E1057" s="65" t="str">
        <f>ASTemp!E1057</f>
        <v/>
      </c>
      <c r="F1057" s="69" t="str">
        <f>TEXT(ASTemp!F1057,Decimals)</f>
        <v/>
      </c>
      <c r="G1057" s="69" t="str">
        <f>TEXT(ASTemp!G1057,Decimals)</f>
        <v/>
      </c>
      <c r="H1057" s="69" t="str">
        <f>TEXT(ASTemp!H1057,Decimals)</f>
        <v/>
      </c>
      <c r="I1057" s="69" t="str">
        <f>TEXT(ASTemp!I1057,Decimals)</f>
        <v/>
      </c>
      <c r="J1057" s="69" t="str">
        <f>TEXT(ASTemp!J1057,Decimals)</f>
        <v/>
      </c>
      <c r="K1057" s="69" t="str">
        <f>TEXT(ASTemp!K1057,Decimals)</f>
        <v/>
      </c>
      <c r="L1057" s="69" t="str">
        <f>TEXT(ASTemp!L1057,Decimals)</f>
        <v/>
      </c>
      <c r="M1057" s="71" t="str">
        <f>TEXT(ASTemp!M1057,Percentages)</f>
        <v/>
      </c>
      <c r="N1057" s="72" t="str">
        <f>TEXT(ASTemp!N1057,Percentages)</f>
        <v/>
      </c>
    </row>
    <row r="1058" ht="14.25" customHeight="1">
      <c r="B1058" s="66" t="str">
        <f>ASTemp!B1058</f>
        <v/>
      </c>
      <c r="C1058" s="67" t="str">
        <f>ASTemp!C1058</f>
        <v/>
      </c>
      <c r="D1058" s="68" t="str">
        <f>ASTemp!D1058</f>
        <v/>
      </c>
      <c r="E1058" s="65" t="str">
        <f>ASTemp!E1058</f>
        <v/>
      </c>
      <c r="F1058" s="69" t="str">
        <f>TEXT(ASTemp!F1058,Decimals)</f>
        <v/>
      </c>
      <c r="G1058" s="69" t="str">
        <f>TEXT(ASTemp!G1058,Decimals)</f>
        <v/>
      </c>
      <c r="H1058" s="69" t="str">
        <f>TEXT(ASTemp!H1058,Decimals)</f>
        <v/>
      </c>
      <c r="I1058" s="69" t="str">
        <f>TEXT(ASTemp!I1058,Decimals)</f>
        <v/>
      </c>
      <c r="J1058" s="69" t="str">
        <f>TEXT(ASTemp!J1058,Decimals)</f>
        <v/>
      </c>
      <c r="K1058" s="69" t="str">
        <f>TEXT(ASTemp!K1058,Decimals)</f>
        <v/>
      </c>
      <c r="L1058" s="69" t="str">
        <f>TEXT(ASTemp!L1058,Decimals)</f>
        <v/>
      </c>
      <c r="M1058" s="71" t="str">
        <f>TEXT(ASTemp!M1058,Percentages)</f>
        <v/>
      </c>
      <c r="N1058" s="72" t="str">
        <f>TEXT(ASTemp!N1058,Percentages)</f>
        <v/>
      </c>
    </row>
    <row r="1059" ht="14.25" customHeight="1">
      <c r="B1059" s="66" t="str">
        <f>ASTemp!B1059</f>
        <v/>
      </c>
      <c r="C1059" s="67" t="str">
        <f>ASTemp!C1059</f>
        <v/>
      </c>
      <c r="D1059" s="68" t="str">
        <f>ASTemp!D1059</f>
        <v/>
      </c>
      <c r="E1059" s="65" t="str">
        <f>ASTemp!E1059</f>
        <v/>
      </c>
      <c r="F1059" s="69" t="str">
        <f>TEXT(ASTemp!F1059,Decimals)</f>
        <v/>
      </c>
      <c r="G1059" s="69" t="str">
        <f>TEXT(ASTemp!G1059,Decimals)</f>
        <v/>
      </c>
      <c r="H1059" s="69" t="str">
        <f>TEXT(ASTemp!H1059,Decimals)</f>
        <v/>
      </c>
      <c r="I1059" s="69" t="str">
        <f>TEXT(ASTemp!I1059,Decimals)</f>
        <v/>
      </c>
      <c r="J1059" s="69" t="str">
        <f>TEXT(ASTemp!J1059,Decimals)</f>
        <v/>
      </c>
      <c r="K1059" s="69" t="str">
        <f>TEXT(ASTemp!K1059,Decimals)</f>
        <v/>
      </c>
      <c r="L1059" s="69" t="str">
        <f>TEXT(ASTemp!L1059,Decimals)</f>
        <v/>
      </c>
      <c r="M1059" s="71" t="str">
        <f>TEXT(ASTemp!M1059,Percentages)</f>
        <v/>
      </c>
      <c r="N1059" s="72" t="str">
        <f>TEXT(ASTemp!N1059,Percentages)</f>
        <v/>
      </c>
    </row>
    <row r="1060" ht="14.25" customHeight="1">
      <c r="B1060" s="66" t="str">
        <f>ASTemp!B1060</f>
        <v/>
      </c>
      <c r="C1060" s="67" t="str">
        <f>ASTemp!C1060</f>
        <v/>
      </c>
      <c r="D1060" s="68" t="str">
        <f>ASTemp!D1060</f>
        <v/>
      </c>
      <c r="E1060" s="65" t="str">
        <f>ASTemp!E1060</f>
        <v/>
      </c>
      <c r="F1060" s="69" t="str">
        <f>TEXT(ASTemp!F1060,Decimals)</f>
        <v/>
      </c>
      <c r="G1060" s="69" t="str">
        <f>TEXT(ASTemp!G1060,Decimals)</f>
        <v/>
      </c>
      <c r="H1060" s="69" t="str">
        <f>TEXT(ASTemp!H1060,Decimals)</f>
        <v/>
      </c>
      <c r="I1060" s="69" t="str">
        <f>TEXT(ASTemp!I1060,Decimals)</f>
        <v/>
      </c>
      <c r="J1060" s="69" t="str">
        <f>TEXT(ASTemp!J1060,Decimals)</f>
        <v/>
      </c>
      <c r="K1060" s="69" t="str">
        <f>TEXT(ASTemp!K1060,Decimals)</f>
        <v/>
      </c>
      <c r="L1060" s="69" t="str">
        <f>TEXT(ASTemp!L1060,Decimals)</f>
        <v/>
      </c>
      <c r="M1060" s="71" t="str">
        <f>TEXT(ASTemp!M1060,Percentages)</f>
        <v/>
      </c>
      <c r="N1060" s="72" t="str">
        <f>TEXT(ASTemp!N1060,Percentages)</f>
        <v/>
      </c>
    </row>
    <row r="1061" ht="14.25" customHeight="1">
      <c r="B1061" s="66" t="str">
        <f>ASTemp!B1061</f>
        <v/>
      </c>
      <c r="C1061" s="67" t="str">
        <f>ASTemp!C1061</f>
        <v/>
      </c>
      <c r="D1061" s="68" t="str">
        <f>ASTemp!D1061</f>
        <v/>
      </c>
      <c r="E1061" s="65" t="str">
        <f>ASTemp!E1061</f>
        <v/>
      </c>
      <c r="F1061" s="69" t="str">
        <f>TEXT(ASTemp!F1061,Decimals)</f>
        <v/>
      </c>
      <c r="G1061" s="69" t="str">
        <f>TEXT(ASTemp!G1061,Decimals)</f>
        <v/>
      </c>
      <c r="H1061" s="69" t="str">
        <f>TEXT(ASTemp!H1061,Decimals)</f>
        <v/>
      </c>
      <c r="I1061" s="69" t="str">
        <f>TEXT(ASTemp!I1061,Decimals)</f>
        <v/>
      </c>
      <c r="J1061" s="69" t="str">
        <f>TEXT(ASTemp!J1061,Decimals)</f>
        <v/>
      </c>
      <c r="K1061" s="69" t="str">
        <f>TEXT(ASTemp!K1061,Decimals)</f>
        <v/>
      </c>
      <c r="L1061" s="69" t="str">
        <f>TEXT(ASTemp!L1061,Decimals)</f>
        <v/>
      </c>
      <c r="M1061" s="71" t="str">
        <f>TEXT(ASTemp!M1061,Percentages)</f>
        <v/>
      </c>
      <c r="N1061" s="72" t="str">
        <f>TEXT(ASTemp!N1061,Percentages)</f>
        <v/>
      </c>
    </row>
    <row r="1062" ht="14.25" customHeight="1">
      <c r="B1062" s="66" t="str">
        <f>ASTemp!B1062</f>
        <v/>
      </c>
      <c r="C1062" s="67" t="str">
        <f>ASTemp!C1062</f>
        <v/>
      </c>
      <c r="D1062" s="68" t="str">
        <f>ASTemp!D1062</f>
        <v/>
      </c>
      <c r="E1062" s="65" t="str">
        <f>ASTemp!E1062</f>
        <v/>
      </c>
      <c r="F1062" s="69" t="str">
        <f>TEXT(ASTemp!F1062,Decimals)</f>
        <v/>
      </c>
      <c r="G1062" s="69" t="str">
        <f>TEXT(ASTemp!G1062,Decimals)</f>
        <v/>
      </c>
      <c r="H1062" s="69" t="str">
        <f>TEXT(ASTemp!H1062,Decimals)</f>
        <v/>
      </c>
      <c r="I1062" s="69" t="str">
        <f>TEXT(ASTemp!I1062,Decimals)</f>
        <v/>
      </c>
      <c r="J1062" s="69" t="str">
        <f>TEXT(ASTemp!J1062,Decimals)</f>
        <v/>
      </c>
      <c r="K1062" s="69" t="str">
        <f>TEXT(ASTemp!K1062,Decimals)</f>
        <v/>
      </c>
      <c r="L1062" s="69" t="str">
        <f>TEXT(ASTemp!L1062,Decimals)</f>
        <v/>
      </c>
      <c r="M1062" s="71" t="str">
        <f>TEXT(ASTemp!M1062,Percentages)</f>
        <v/>
      </c>
      <c r="N1062" s="72" t="str">
        <f>TEXT(ASTemp!N1062,Percentages)</f>
        <v/>
      </c>
    </row>
    <row r="1063" ht="14.25" customHeight="1">
      <c r="B1063" s="66" t="str">
        <f>ASTemp!B1063</f>
        <v/>
      </c>
      <c r="C1063" s="67" t="str">
        <f>ASTemp!C1063</f>
        <v/>
      </c>
      <c r="D1063" s="68" t="str">
        <f>ASTemp!D1063</f>
        <v/>
      </c>
      <c r="E1063" s="65" t="str">
        <f>ASTemp!E1063</f>
        <v/>
      </c>
      <c r="F1063" s="69" t="str">
        <f>TEXT(ASTemp!F1063,Decimals)</f>
        <v/>
      </c>
      <c r="G1063" s="69" t="str">
        <f>TEXT(ASTemp!G1063,Decimals)</f>
        <v/>
      </c>
      <c r="H1063" s="69" t="str">
        <f>TEXT(ASTemp!H1063,Decimals)</f>
        <v/>
      </c>
      <c r="I1063" s="69" t="str">
        <f>TEXT(ASTemp!I1063,Decimals)</f>
        <v/>
      </c>
      <c r="J1063" s="69" t="str">
        <f>TEXT(ASTemp!J1063,Decimals)</f>
        <v/>
      </c>
      <c r="K1063" s="69" t="str">
        <f>TEXT(ASTemp!K1063,Decimals)</f>
        <v/>
      </c>
      <c r="L1063" s="69" t="str">
        <f>TEXT(ASTemp!L1063,Decimals)</f>
        <v/>
      </c>
      <c r="M1063" s="71" t="str">
        <f>TEXT(ASTemp!M1063,Percentages)</f>
        <v/>
      </c>
      <c r="N1063" s="72" t="str">
        <f>TEXT(ASTemp!N1063,Percentages)</f>
        <v/>
      </c>
    </row>
    <row r="1064" ht="14.25" customHeight="1">
      <c r="B1064" s="66" t="str">
        <f>ASTemp!B1064</f>
        <v/>
      </c>
      <c r="C1064" s="67" t="str">
        <f>ASTemp!C1064</f>
        <v/>
      </c>
      <c r="D1064" s="68" t="str">
        <f>ASTemp!D1064</f>
        <v/>
      </c>
      <c r="E1064" s="65" t="str">
        <f>ASTemp!E1064</f>
        <v/>
      </c>
      <c r="F1064" s="69" t="str">
        <f>TEXT(ASTemp!F1064,Decimals)</f>
        <v/>
      </c>
      <c r="G1064" s="69" t="str">
        <f>TEXT(ASTemp!G1064,Decimals)</f>
        <v/>
      </c>
      <c r="H1064" s="69" t="str">
        <f>TEXT(ASTemp!H1064,Decimals)</f>
        <v/>
      </c>
      <c r="I1064" s="69" t="str">
        <f>TEXT(ASTemp!I1064,Decimals)</f>
        <v/>
      </c>
      <c r="J1064" s="69" t="str">
        <f>TEXT(ASTemp!J1064,Decimals)</f>
        <v/>
      </c>
      <c r="K1064" s="69" t="str">
        <f>TEXT(ASTemp!K1064,Decimals)</f>
        <v/>
      </c>
      <c r="L1064" s="69" t="str">
        <f>TEXT(ASTemp!L1064,Decimals)</f>
        <v/>
      </c>
      <c r="M1064" s="71" t="str">
        <f>TEXT(ASTemp!M1064,Percentages)</f>
        <v/>
      </c>
      <c r="N1064" s="72" t="str">
        <f>TEXT(ASTemp!N1064,Percentages)</f>
        <v/>
      </c>
    </row>
    <row r="1065" ht="14.25" customHeight="1">
      <c r="B1065" s="66" t="str">
        <f>ASTemp!B1065</f>
        <v/>
      </c>
      <c r="C1065" s="67" t="str">
        <f>ASTemp!C1065</f>
        <v/>
      </c>
      <c r="D1065" s="68" t="str">
        <f>ASTemp!D1065</f>
        <v/>
      </c>
      <c r="E1065" s="65" t="str">
        <f>ASTemp!E1065</f>
        <v/>
      </c>
      <c r="F1065" s="69" t="str">
        <f>TEXT(ASTemp!F1065,Decimals)</f>
        <v/>
      </c>
      <c r="G1065" s="69" t="str">
        <f>TEXT(ASTemp!G1065,Decimals)</f>
        <v/>
      </c>
      <c r="H1065" s="69" t="str">
        <f>TEXT(ASTemp!H1065,Decimals)</f>
        <v/>
      </c>
      <c r="I1065" s="69" t="str">
        <f>TEXT(ASTemp!I1065,Decimals)</f>
        <v/>
      </c>
      <c r="J1065" s="69" t="str">
        <f>TEXT(ASTemp!J1065,Decimals)</f>
        <v/>
      </c>
      <c r="K1065" s="69" t="str">
        <f>TEXT(ASTemp!K1065,Decimals)</f>
        <v/>
      </c>
      <c r="L1065" s="69" t="str">
        <f>TEXT(ASTemp!L1065,Decimals)</f>
        <v/>
      </c>
      <c r="M1065" s="71" t="str">
        <f>TEXT(ASTemp!M1065,Percentages)</f>
        <v/>
      </c>
      <c r="N1065" s="72" t="str">
        <f>TEXT(ASTemp!N1065,Percentages)</f>
        <v/>
      </c>
    </row>
    <row r="1066" ht="14.25" customHeight="1">
      <c r="B1066" s="66" t="str">
        <f>ASTemp!B1066</f>
        <v/>
      </c>
      <c r="C1066" s="67" t="str">
        <f>ASTemp!C1066</f>
        <v/>
      </c>
      <c r="D1066" s="68" t="str">
        <f>ASTemp!D1066</f>
        <v/>
      </c>
      <c r="E1066" s="65" t="str">
        <f>ASTemp!E1066</f>
        <v/>
      </c>
      <c r="F1066" s="69" t="str">
        <f>TEXT(ASTemp!F1066,Decimals)</f>
        <v/>
      </c>
      <c r="G1066" s="69" t="str">
        <f>TEXT(ASTemp!G1066,Decimals)</f>
        <v/>
      </c>
      <c r="H1066" s="69" t="str">
        <f>TEXT(ASTemp!H1066,Decimals)</f>
        <v/>
      </c>
      <c r="I1066" s="69" t="str">
        <f>TEXT(ASTemp!I1066,Decimals)</f>
        <v/>
      </c>
      <c r="J1066" s="69" t="str">
        <f>TEXT(ASTemp!J1066,Decimals)</f>
        <v/>
      </c>
      <c r="K1066" s="69" t="str">
        <f>TEXT(ASTemp!K1066,Decimals)</f>
        <v/>
      </c>
      <c r="L1066" s="69" t="str">
        <f>TEXT(ASTemp!L1066,Decimals)</f>
        <v/>
      </c>
      <c r="M1066" s="71" t="str">
        <f>TEXT(ASTemp!M1066,Percentages)</f>
        <v/>
      </c>
      <c r="N1066" s="72" t="str">
        <f>TEXT(ASTemp!N1066,Percentages)</f>
        <v/>
      </c>
    </row>
    <row r="1067" ht="14.25" customHeight="1">
      <c r="B1067" s="66" t="str">
        <f>ASTemp!B1067</f>
        <v/>
      </c>
      <c r="C1067" s="67" t="str">
        <f>ASTemp!C1067</f>
        <v/>
      </c>
      <c r="D1067" s="68" t="str">
        <f>ASTemp!D1067</f>
        <v/>
      </c>
      <c r="E1067" s="65" t="str">
        <f>ASTemp!E1067</f>
        <v/>
      </c>
      <c r="F1067" s="69" t="str">
        <f>TEXT(ASTemp!F1067,Decimals)</f>
        <v/>
      </c>
      <c r="G1067" s="69" t="str">
        <f>TEXT(ASTemp!G1067,Decimals)</f>
        <v/>
      </c>
      <c r="H1067" s="69" t="str">
        <f>TEXT(ASTemp!H1067,Decimals)</f>
        <v/>
      </c>
      <c r="I1067" s="69" t="str">
        <f>TEXT(ASTemp!I1067,Decimals)</f>
        <v/>
      </c>
      <c r="J1067" s="69" t="str">
        <f>TEXT(ASTemp!J1067,Decimals)</f>
        <v/>
      </c>
      <c r="K1067" s="69" t="str">
        <f>TEXT(ASTemp!K1067,Decimals)</f>
        <v/>
      </c>
      <c r="L1067" s="69" t="str">
        <f>TEXT(ASTemp!L1067,Decimals)</f>
        <v/>
      </c>
      <c r="M1067" s="71" t="str">
        <f>TEXT(ASTemp!M1067,Percentages)</f>
        <v/>
      </c>
      <c r="N1067" s="72" t="str">
        <f>TEXT(ASTemp!N1067,Percentages)</f>
        <v/>
      </c>
    </row>
    <row r="1068" ht="14.25" customHeight="1">
      <c r="B1068" s="66" t="str">
        <f>ASTemp!B1068</f>
        <v/>
      </c>
      <c r="C1068" s="67" t="str">
        <f>ASTemp!C1068</f>
        <v/>
      </c>
      <c r="D1068" s="68" t="str">
        <f>ASTemp!D1068</f>
        <v/>
      </c>
      <c r="E1068" s="65" t="str">
        <f>ASTemp!E1068</f>
        <v/>
      </c>
      <c r="F1068" s="69" t="str">
        <f>TEXT(ASTemp!F1068,Decimals)</f>
        <v/>
      </c>
      <c r="G1068" s="69" t="str">
        <f>TEXT(ASTemp!G1068,Decimals)</f>
        <v/>
      </c>
      <c r="H1068" s="69" t="str">
        <f>TEXT(ASTemp!H1068,Decimals)</f>
        <v/>
      </c>
      <c r="I1068" s="69" t="str">
        <f>TEXT(ASTemp!I1068,Decimals)</f>
        <v/>
      </c>
      <c r="J1068" s="69" t="str">
        <f>TEXT(ASTemp!J1068,Decimals)</f>
        <v/>
      </c>
      <c r="K1068" s="69" t="str">
        <f>TEXT(ASTemp!K1068,Decimals)</f>
        <v/>
      </c>
      <c r="L1068" s="69" t="str">
        <f>TEXT(ASTemp!L1068,Decimals)</f>
        <v/>
      </c>
      <c r="M1068" s="71" t="str">
        <f>TEXT(ASTemp!M1068,Percentages)</f>
        <v/>
      </c>
      <c r="N1068" s="72" t="str">
        <f>TEXT(ASTemp!N1068,Percentages)</f>
        <v/>
      </c>
    </row>
    <row r="1069" ht="14.25" customHeight="1">
      <c r="B1069" s="66" t="str">
        <f>ASTemp!B1069</f>
        <v/>
      </c>
      <c r="C1069" s="67" t="str">
        <f>ASTemp!C1069</f>
        <v/>
      </c>
      <c r="D1069" s="68" t="str">
        <f>ASTemp!D1069</f>
        <v/>
      </c>
      <c r="E1069" s="65" t="str">
        <f>ASTemp!E1069</f>
        <v/>
      </c>
      <c r="F1069" s="69" t="str">
        <f>TEXT(ASTemp!F1069,Decimals)</f>
        <v/>
      </c>
      <c r="G1069" s="69" t="str">
        <f>TEXT(ASTemp!G1069,Decimals)</f>
        <v/>
      </c>
      <c r="H1069" s="69" t="str">
        <f>TEXT(ASTemp!H1069,Decimals)</f>
        <v/>
      </c>
      <c r="I1069" s="69" t="str">
        <f>TEXT(ASTemp!I1069,Decimals)</f>
        <v/>
      </c>
      <c r="J1069" s="69" t="str">
        <f>TEXT(ASTemp!J1069,Decimals)</f>
        <v/>
      </c>
      <c r="K1069" s="69" t="str">
        <f>TEXT(ASTemp!K1069,Decimals)</f>
        <v/>
      </c>
      <c r="L1069" s="69" t="str">
        <f>TEXT(ASTemp!L1069,Decimals)</f>
        <v/>
      </c>
      <c r="M1069" s="71" t="str">
        <f>TEXT(ASTemp!M1069,Percentages)</f>
        <v/>
      </c>
      <c r="N1069" s="72" t="str">
        <f>TEXT(ASTemp!N1069,Percentages)</f>
        <v/>
      </c>
    </row>
    <row r="1070" ht="14.25" customHeight="1">
      <c r="B1070" s="66" t="str">
        <f>ASTemp!B1070</f>
        <v/>
      </c>
      <c r="C1070" s="67" t="str">
        <f>ASTemp!C1070</f>
        <v/>
      </c>
      <c r="D1070" s="68" t="str">
        <f>ASTemp!D1070</f>
        <v/>
      </c>
      <c r="E1070" s="65" t="str">
        <f>ASTemp!E1070</f>
        <v/>
      </c>
      <c r="F1070" s="69" t="str">
        <f>TEXT(ASTemp!F1070,Decimals)</f>
        <v/>
      </c>
      <c r="G1070" s="69" t="str">
        <f>TEXT(ASTemp!G1070,Decimals)</f>
        <v/>
      </c>
      <c r="H1070" s="69" t="str">
        <f>TEXT(ASTemp!H1070,Decimals)</f>
        <v/>
      </c>
      <c r="I1070" s="69" t="str">
        <f>TEXT(ASTemp!I1070,Decimals)</f>
        <v/>
      </c>
      <c r="J1070" s="69" t="str">
        <f>TEXT(ASTemp!J1070,Decimals)</f>
        <v/>
      </c>
      <c r="K1070" s="69" t="str">
        <f>TEXT(ASTemp!K1070,Decimals)</f>
        <v/>
      </c>
      <c r="L1070" s="69" t="str">
        <f>TEXT(ASTemp!L1070,Decimals)</f>
        <v/>
      </c>
      <c r="M1070" s="71" t="str">
        <f>TEXT(ASTemp!M1070,Percentages)</f>
        <v/>
      </c>
      <c r="N1070" s="72" t="str">
        <f>TEXT(ASTemp!N1070,Percentages)</f>
        <v/>
      </c>
    </row>
    <row r="1071" ht="14.25" customHeight="1">
      <c r="B1071" s="66" t="str">
        <f>ASTemp!B1071</f>
        <v/>
      </c>
      <c r="C1071" s="67" t="str">
        <f>ASTemp!C1071</f>
        <v/>
      </c>
      <c r="D1071" s="68" t="str">
        <f>ASTemp!D1071</f>
        <v/>
      </c>
      <c r="E1071" s="65" t="str">
        <f>ASTemp!E1071</f>
        <v/>
      </c>
      <c r="F1071" s="69" t="str">
        <f>TEXT(ASTemp!F1071,Decimals)</f>
        <v/>
      </c>
      <c r="G1071" s="69" t="str">
        <f>TEXT(ASTemp!G1071,Decimals)</f>
        <v/>
      </c>
      <c r="H1071" s="69" t="str">
        <f>TEXT(ASTemp!H1071,Decimals)</f>
        <v/>
      </c>
      <c r="I1071" s="69" t="str">
        <f>TEXT(ASTemp!I1071,Decimals)</f>
        <v/>
      </c>
      <c r="J1071" s="69" t="str">
        <f>TEXT(ASTemp!J1071,Decimals)</f>
        <v/>
      </c>
      <c r="K1071" s="69" t="str">
        <f>TEXT(ASTemp!K1071,Decimals)</f>
        <v/>
      </c>
      <c r="L1071" s="69" t="str">
        <f>TEXT(ASTemp!L1071,Decimals)</f>
        <v/>
      </c>
      <c r="M1071" s="71" t="str">
        <f>TEXT(ASTemp!M1071,Percentages)</f>
        <v/>
      </c>
      <c r="N1071" s="72" t="str">
        <f>TEXT(ASTemp!N1071,Percentages)</f>
        <v/>
      </c>
    </row>
    <row r="1072" ht="14.25" customHeight="1">
      <c r="B1072" s="66" t="str">
        <f>ASTemp!B1072</f>
        <v/>
      </c>
      <c r="C1072" s="67" t="str">
        <f>ASTemp!C1072</f>
        <v/>
      </c>
      <c r="D1072" s="68" t="str">
        <f>ASTemp!D1072</f>
        <v/>
      </c>
      <c r="E1072" s="65" t="str">
        <f>ASTemp!E1072</f>
        <v/>
      </c>
      <c r="F1072" s="69" t="str">
        <f>TEXT(ASTemp!F1072,Decimals)</f>
        <v/>
      </c>
      <c r="G1072" s="69" t="str">
        <f>TEXT(ASTemp!G1072,Decimals)</f>
        <v/>
      </c>
      <c r="H1072" s="69" t="str">
        <f>TEXT(ASTemp!H1072,Decimals)</f>
        <v/>
      </c>
      <c r="I1072" s="69" t="str">
        <f>TEXT(ASTemp!I1072,Decimals)</f>
        <v/>
      </c>
      <c r="J1072" s="69" t="str">
        <f>TEXT(ASTemp!J1072,Decimals)</f>
        <v/>
      </c>
      <c r="K1072" s="69" t="str">
        <f>TEXT(ASTemp!K1072,Decimals)</f>
        <v/>
      </c>
      <c r="L1072" s="69" t="str">
        <f>TEXT(ASTemp!L1072,Decimals)</f>
        <v/>
      </c>
      <c r="M1072" s="71" t="str">
        <f>TEXT(ASTemp!M1072,Percentages)</f>
        <v/>
      </c>
      <c r="N1072" s="72" t="str">
        <f>TEXT(ASTemp!N1072,Percentages)</f>
        <v/>
      </c>
    </row>
    <row r="1073" ht="14.25" customHeight="1">
      <c r="B1073" s="66" t="str">
        <f>ASTemp!B1073</f>
        <v/>
      </c>
      <c r="C1073" s="67" t="str">
        <f>ASTemp!C1073</f>
        <v/>
      </c>
      <c r="D1073" s="68" t="str">
        <f>ASTemp!D1073</f>
        <v/>
      </c>
      <c r="E1073" s="65" t="str">
        <f>ASTemp!E1073</f>
        <v/>
      </c>
      <c r="F1073" s="69" t="str">
        <f>TEXT(ASTemp!F1073,Decimals)</f>
        <v/>
      </c>
      <c r="G1073" s="69" t="str">
        <f>TEXT(ASTemp!G1073,Decimals)</f>
        <v/>
      </c>
      <c r="H1073" s="69" t="str">
        <f>TEXT(ASTemp!H1073,Decimals)</f>
        <v/>
      </c>
      <c r="I1073" s="69" t="str">
        <f>TEXT(ASTemp!I1073,Decimals)</f>
        <v/>
      </c>
      <c r="J1073" s="69" t="str">
        <f>TEXT(ASTemp!J1073,Decimals)</f>
        <v/>
      </c>
      <c r="K1073" s="69" t="str">
        <f>TEXT(ASTemp!K1073,Decimals)</f>
        <v/>
      </c>
      <c r="L1073" s="69" t="str">
        <f>TEXT(ASTemp!L1073,Decimals)</f>
        <v/>
      </c>
      <c r="M1073" s="71" t="str">
        <f>TEXT(ASTemp!M1073,Percentages)</f>
        <v/>
      </c>
      <c r="N1073" s="72" t="str">
        <f>TEXT(ASTemp!N1073,Percentages)</f>
        <v/>
      </c>
    </row>
    <row r="1074" ht="14.25" customHeight="1">
      <c r="B1074" s="66" t="str">
        <f>ASTemp!B1074</f>
        <v/>
      </c>
      <c r="C1074" s="67" t="str">
        <f>ASTemp!C1074</f>
        <v/>
      </c>
      <c r="D1074" s="68" t="str">
        <f>ASTemp!D1074</f>
        <v/>
      </c>
      <c r="E1074" s="65" t="str">
        <f>ASTemp!E1074</f>
        <v/>
      </c>
      <c r="F1074" s="69" t="str">
        <f>TEXT(ASTemp!F1074,Decimals)</f>
        <v/>
      </c>
      <c r="G1074" s="69" t="str">
        <f>TEXT(ASTemp!G1074,Decimals)</f>
        <v/>
      </c>
      <c r="H1074" s="69" t="str">
        <f>TEXT(ASTemp!H1074,Decimals)</f>
        <v/>
      </c>
      <c r="I1074" s="69" t="str">
        <f>TEXT(ASTemp!I1074,Decimals)</f>
        <v/>
      </c>
      <c r="J1074" s="69" t="str">
        <f>TEXT(ASTemp!J1074,Decimals)</f>
        <v/>
      </c>
      <c r="K1074" s="69" t="str">
        <f>TEXT(ASTemp!K1074,Decimals)</f>
        <v/>
      </c>
      <c r="L1074" s="69" t="str">
        <f>TEXT(ASTemp!L1074,Decimals)</f>
        <v/>
      </c>
      <c r="M1074" s="71" t="str">
        <f>TEXT(ASTemp!M1074,Percentages)</f>
        <v/>
      </c>
      <c r="N1074" s="72" t="str">
        <f>TEXT(ASTemp!N1074,Percentages)</f>
        <v/>
      </c>
    </row>
    <row r="1075" ht="14.25" customHeight="1">
      <c r="B1075" s="66" t="str">
        <f>ASTemp!B1075</f>
        <v/>
      </c>
      <c r="C1075" s="67" t="str">
        <f>ASTemp!C1075</f>
        <v/>
      </c>
      <c r="D1075" s="68" t="str">
        <f>ASTemp!D1075</f>
        <v/>
      </c>
      <c r="E1075" s="65" t="str">
        <f>ASTemp!E1075</f>
        <v/>
      </c>
      <c r="F1075" s="69" t="str">
        <f>TEXT(ASTemp!F1075,Decimals)</f>
        <v/>
      </c>
      <c r="G1075" s="69" t="str">
        <f>TEXT(ASTemp!G1075,Decimals)</f>
        <v/>
      </c>
      <c r="H1075" s="69" t="str">
        <f>TEXT(ASTemp!H1075,Decimals)</f>
        <v/>
      </c>
      <c r="I1075" s="69" t="str">
        <f>TEXT(ASTemp!I1075,Decimals)</f>
        <v/>
      </c>
      <c r="J1075" s="69" t="str">
        <f>TEXT(ASTemp!J1075,Decimals)</f>
        <v/>
      </c>
      <c r="K1075" s="69" t="str">
        <f>TEXT(ASTemp!K1075,Decimals)</f>
        <v/>
      </c>
      <c r="L1075" s="69" t="str">
        <f>TEXT(ASTemp!L1075,Decimals)</f>
        <v/>
      </c>
      <c r="M1075" s="71" t="str">
        <f>TEXT(ASTemp!M1075,Percentages)</f>
        <v/>
      </c>
      <c r="N1075" s="72" t="str">
        <f>TEXT(ASTemp!N1075,Percentages)</f>
        <v/>
      </c>
    </row>
    <row r="1076" ht="14.25" customHeight="1">
      <c r="B1076" s="66" t="str">
        <f>ASTemp!B1076</f>
        <v/>
      </c>
      <c r="C1076" s="67" t="str">
        <f>ASTemp!C1076</f>
        <v/>
      </c>
      <c r="D1076" s="68" t="str">
        <f>ASTemp!D1076</f>
        <v/>
      </c>
      <c r="E1076" s="65" t="str">
        <f>ASTemp!E1076</f>
        <v/>
      </c>
      <c r="F1076" s="69" t="str">
        <f>TEXT(ASTemp!F1076,Decimals)</f>
        <v/>
      </c>
      <c r="G1076" s="69" t="str">
        <f>TEXT(ASTemp!G1076,Decimals)</f>
        <v/>
      </c>
      <c r="H1076" s="69" t="str">
        <f>TEXT(ASTemp!H1076,Decimals)</f>
        <v/>
      </c>
      <c r="I1076" s="69" t="str">
        <f>TEXT(ASTemp!I1076,Decimals)</f>
        <v/>
      </c>
      <c r="J1076" s="69" t="str">
        <f>TEXT(ASTemp!J1076,Decimals)</f>
        <v/>
      </c>
      <c r="K1076" s="69" t="str">
        <f>TEXT(ASTemp!K1076,Decimals)</f>
        <v/>
      </c>
      <c r="L1076" s="69" t="str">
        <f>TEXT(ASTemp!L1076,Decimals)</f>
        <v/>
      </c>
      <c r="M1076" s="71" t="str">
        <f>TEXT(ASTemp!M1076,Percentages)</f>
        <v/>
      </c>
      <c r="N1076" s="72" t="str">
        <f>TEXT(ASTemp!N1076,Percentages)</f>
        <v/>
      </c>
    </row>
    <row r="1077" ht="14.25" customHeight="1">
      <c r="B1077" s="66" t="str">
        <f>ASTemp!B1077</f>
        <v/>
      </c>
      <c r="C1077" s="67" t="str">
        <f>ASTemp!C1077</f>
        <v/>
      </c>
      <c r="D1077" s="68" t="str">
        <f>ASTemp!D1077</f>
        <v/>
      </c>
      <c r="E1077" s="65" t="str">
        <f>ASTemp!E1077</f>
        <v/>
      </c>
      <c r="F1077" s="69" t="str">
        <f>TEXT(ASTemp!F1077,Decimals)</f>
        <v/>
      </c>
      <c r="G1077" s="69" t="str">
        <f>TEXT(ASTemp!G1077,Decimals)</f>
        <v/>
      </c>
      <c r="H1077" s="69" t="str">
        <f>TEXT(ASTemp!H1077,Decimals)</f>
        <v/>
      </c>
      <c r="I1077" s="69" t="str">
        <f>TEXT(ASTemp!I1077,Decimals)</f>
        <v/>
      </c>
      <c r="J1077" s="69" t="str">
        <f>TEXT(ASTemp!J1077,Decimals)</f>
        <v/>
      </c>
      <c r="K1077" s="69" t="str">
        <f>TEXT(ASTemp!K1077,Decimals)</f>
        <v/>
      </c>
      <c r="L1077" s="69" t="str">
        <f>TEXT(ASTemp!L1077,Decimals)</f>
        <v/>
      </c>
      <c r="M1077" s="71" t="str">
        <f>TEXT(ASTemp!M1077,Percentages)</f>
        <v/>
      </c>
      <c r="N1077" s="72" t="str">
        <f>TEXT(ASTemp!N1077,Percentages)</f>
        <v/>
      </c>
    </row>
    <row r="1078" ht="14.25" customHeight="1">
      <c r="B1078" s="66" t="str">
        <f>ASTemp!B1078</f>
        <v/>
      </c>
      <c r="C1078" s="67" t="str">
        <f>ASTemp!C1078</f>
        <v/>
      </c>
      <c r="D1078" s="68" t="str">
        <f>ASTemp!D1078</f>
        <v/>
      </c>
      <c r="E1078" s="65" t="str">
        <f>ASTemp!E1078</f>
        <v/>
      </c>
      <c r="F1078" s="69" t="str">
        <f>TEXT(ASTemp!F1078,Decimals)</f>
        <v/>
      </c>
      <c r="G1078" s="69" t="str">
        <f>TEXT(ASTemp!G1078,Decimals)</f>
        <v/>
      </c>
      <c r="H1078" s="69" t="str">
        <f>TEXT(ASTemp!H1078,Decimals)</f>
        <v/>
      </c>
      <c r="I1078" s="69" t="str">
        <f>TEXT(ASTemp!I1078,Decimals)</f>
        <v/>
      </c>
      <c r="J1078" s="69" t="str">
        <f>TEXT(ASTemp!J1078,Decimals)</f>
        <v/>
      </c>
      <c r="K1078" s="69" t="str">
        <f>TEXT(ASTemp!K1078,Decimals)</f>
        <v/>
      </c>
      <c r="L1078" s="69" t="str">
        <f>TEXT(ASTemp!L1078,Decimals)</f>
        <v/>
      </c>
      <c r="M1078" s="71" t="str">
        <f>TEXT(ASTemp!M1078,Percentages)</f>
        <v/>
      </c>
      <c r="N1078" s="72" t="str">
        <f>TEXT(ASTemp!N1078,Percentages)</f>
        <v/>
      </c>
    </row>
    <row r="1079" ht="14.25" customHeight="1">
      <c r="B1079" s="66" t="str">
        <f>ASTemp!B1079</f>
        <v/>
      </c>
      <c r="C1079" s="67" t="str">
        <f>ASTemp!C1079</f>
        <v/>
      </c>
      <c r="D1079" s="68" t="str">
        <f>ASTemp!D1079</f>
        <v/>
      </c>
      <c r="E1079" s="65" t="str">
        <f>ASTemp!E1079</f>
        <v/>
      </c>
      <c r="F1079" s="69" t="str">
        <f>TEXT(ASTemp!F1079,Decimals)</f>
        <v/>
      </c>
      <c r="G1079" s="69" t="str">
        <f>TEXT(ASTemp!G1079,Decimals)</f>
        <v/>
      </c>
      <c r="H1079" s="69" t="str">
        <f>TEXT(ASTemp!H1079,Decimals)</f>
        <v/>
      </c>
      <c r="I1079" s="69" t="str">
        <f>TEXT(ASTemp!I1079,Decimals)</f>
        <v/>
      </c>
      <c r="J1079" s="69" t="str">
        <f>TEXT(ASTemp!J1079,Decimals)</f>
        <v/>
      </c>
      <c r="K1079" s="69" t="str">
        <f>TEXT(ASTemp!K1079,Decimals)</f>
        <v/>
      </c>
      <c r="L1079" s="69" t="str">
        <f>TEXT(ASTemp!L1079,Decimals)</f>
        <v/>
      </c>
      <c r="M1079" s="71" t="str">
        <f>TEXT(ASTemp!M1079,Percentages)</f>
        <v/>
      </c>
      <c r="N1079" s="72" t="str">
        <f>TEXT(ASTemp!N1079,Percentages)</f>
        <v/>
      </c>
    </row>
    <row r="1080" ht="14.25" customHeight="1">
      <c r="B1080" s="66" t="str">
        <f>ASTemp!B1080</f>
        <v/>
      </c>
      <c r="C1080" s="67" t="str">
        <f>ASTemp!C1080</f>
        <v/>
      </c>
      <c r="D1080" s="68" t="str">
        <f>ASTemp!D1080</f>
        <v/>
      </c>
      <c r="E1080" s="65" t="str">
        <f>ASTemp!E1080</f>
        <v/>
      </c>
      <c r="F1080" s="69" t="str">
        <f>TEXT(ASTemp!F1080,Decimals)</f>
        <v/>
      </c>
      <c r="G1080" s="69" t="str">
        <f>TEXT(ASTemp!G1080,Decimals)</f>
        <v/>
      </c>
      <c r="H1080" s="69" t="str">
        <f>TEXT(ASTemp!H1080,Decimals)</f>
        <v/>
      </c>
      <c r="I1080" s="69" t="str">
        <f>TEXT(ASTemp!I1080,Decimals)</f>
        <v/>
      </c>
      <c r="J1080" s="69" t="str">
        <f>TEXT(ASTemp!J1080,Decimals)</f>
        <v/>
      </c>
      <c r="K1080" s="69" t="str">
        <f>TEXT(ASTemp!K1080,Decimals)</f>
        <v/>
      </c>
      <c r="L1080" s="69" t="str">
        <f>TEXT(ASTemp!L1080,Decimals)</f>
        <v/>
      </c>
      <c r="M1080" s="71" t="str">
        <f>TEXT(ASTemp!M1080,Percentages)</f>
        <v/>
      </c>
      <c r="N1080" s="72" t="str">
        <f>TEXT(ASTemp!N1080,Percentages)</f>
        <v/>
      </c>
    </row>
    <row r="1081" ht="14.25" customHeight="1">
      <c r="B1081" s="66" t="str">
        <f>ASTemp!B1081</f>
        <v/>
      </c>
      <c r="C1081" s="67" t="str">
        <f>ASTemp!C1081</f>
        <v/>
      </c>
      <c r="D1081" s="68" t="str">
        <f>ASTemp!D1081</f>
        <v/>
      </c>
      <c r="E1081" s="65" t="str">
        <f>ASTemp!E1081</f>
        <v/>
      </c>
      <c r="F1081" s="69" t="str">
        <f>TEXT(ASTemp!F1081,Decimals)</f>
        <v/>
      </c>
      <c r="G1081" s="69" t="str">
        <f>TEXT(ASTemp!G1081,Decimals)</f>
        <v/>
      </c>
      <c r="H1081" s="69" t="str">
        <f>TEXT(ASTemp!H1081,Decimals)</f>
        <v/>
      </c>
      <c r="I1081" s="69" t="str">
        <f>TEXT(ASTemp!I1081,Decimals)</f>
        <v/>
      </c>
      <c r="J1081" s="69" t="str">
        <f>TEXT(ASTemp!J1081,Decimals)</f>
        <v/>
      </c>
      <c r="K1081" s="69" t="str">
        <f>TEXT(ASTemp!K1081,Decimals)</f>
        <v/>
      </c>
      <c r="L1081" s="69" t="str">
        <f>TEXT(ASTemp!L1081,Decimals)</f>
        <v/>
      </c>
      <c r="M1081" s="71" t="str">
        <f>TEXT(ASTemp!M1081,Percentages)</f>
        <v/>
      </c>
      <c r="N1081" s="72" t="str">
        <f>TEXT(ASTemp!N1081,Percentages)</f>
        <v/>
      </c>
    </row>
    <row r="1082" ht="14.25" customHeight="1">
      <c r="B1082" s="66" t="str">
        <f>ASTemp!B1082</f>
        <v/>
      </c>
      <c r="C1082" s="67" t="str">
        <f>ASTemp!C1082</f>
        <v/>
      </c>
      <c r="D1082" s="68" t="str">
        <f>ASTemp!D1082</f>
        <v/>
      </c>
      <c r="E1082" s="65" t="str">
        <f>ASTemp!E1082</f>
        <v/>
      </c>
      <c r="F1082" s="69" t="str">
        <f>TEXT(ASTemp!F1082,Decimals)</f>
        <v/>
      </c>
      <c r="G1082" s="69" t="str">
        <f>TEXT(ASTemp!G1082,Decimals)</f>
        <v/>
      </c>
      <c r="H1082" s="69" t="str">
        <f>TEXT(ASTemp!H1082,Decimals)</f>
        <v/>
      </c>
      <c r="I1082" s="69" t="str">
        <f>TEXT(ASTemp!I1082,Decimals)</f>
        <v/>
      </c>
      <c r="J1082" s="69" t="str">
        <f>TEXT(ASTemp!J1082,Decimals)</f>
        <v/>
      </c>
      <c r="K1082" s="69" t="str">
        <f>TEXT(ASTemp!K1082,Decimals)</f>
        <v/>
      </c>
      <c r="L1082" s="69" t="str">
        <f>TEXT(ASTemp!L1082,Decimals)</f>
        <v/>
      </c>
      <c r="M1082" s="71" t="str">
        <f>TEXT(ASTemp!M1082,Percentages)</f>
        <v/>
      </c>
      <c r="N1082" s="72" t="str">
        <f>TEXT(ASTemp!N1082,Percentages)</f>
        <v/>
      </c>
    </row>
    <row r="1083" ht="14.25" customHeight="1">
      <c r="B1083" s="66" t="str">
        <f>ASTemp!B1083</f>
        <v/>
      </c>
      <c r="C1083" s="67" t="str">
        <f>ASTemp!C1083</f>
        <v/>
      </c>
      <c r="D1083" s="68" t="str">
        <f>ASTemp!D1083</f>
        <v/>
      </c>
      <c r="E1083" s="65" t="str">
        <f>ASTemp!E1083</f>
        <v/>
      </c>
      <c r="F1083" s="69" t="str">
        <f>TEXT(ASTemp!F1083,Decimals)</f>
        <v/>
      </c>
      <c r="G1083" s="69" t="str">
        <f>TEXT(ASTemp!G1083,Decimals)</f>
        <v/>
      </c>
      <c r="H1083" s="69" t="str">
        <f>TEXT(ASTemp!H1083,Decimals)</f>
        <v/>
      </c>
      <c r="I1083" s="69" t="str">
        <f>TEXT(ASTemp!I1083,Decimals)</f>
        <v/>
      </c>
      <c r="J1083" s="69" t="str">
        <f>TEXT(ASTemp!J1083,Decimals)</f>
        <v/>
      </c>
      <c r="K1083" s="69" t="str">
        <f>TEXT(ASTemp!K1083,Decimals)</f>
        <v/>
      </c>
      <c r="L1083" s="69" t="str">
        <f>TEXT(ASTemp!L1083,Decimals)</f>
        <v/>
      </c>
      <c r="M1083" s="71" t="str">
        <f>TEXT(ASTemp!M1083,Percentages)</f>
        <v/>
      </c>
      <c r="N1083" s="72" t="str">
        <f>TEXT(ASTemp!N1083,Percentages)</f>
        <v/>
      </c>
    </row>
    <row r="1084" ht="14.25" customHeight="1">
      <c r="B1084" s="66" t="str">
        <f>ASTemp!B1084</f>
        <v/>
      </c>
      <c r="C1084" s="67" t="str">
        <f>ASTemp!C1084</f>
        <v/>
      </c>
      <c r="D1084" s="68" t="str">
        <f>ASTemp!D1084</f>
        <v/>
      </c>
      <c r="E1084" s="65" t="str">
        <f>ASTemp!E1084</f>
        <v/>
      </c>
      <c r="F1084" s="69" t="str">
        <f>TEXT(ASTemp!F1084,Decimals)</f>
        <v/>
      </c>
      <c r="G1084" s="69" t="str">
        <f>TEXT(ASTemp!G1084,Decimals)</f>
        <v/>
      </c>
      <c r="H1084" s="69" t="str">
        <f>TEXT(ASTemp!H1084,Decimals)</f>
        <v/>
      </c>
      <c r="I1084" s="69" t="str">
        <f>TEXT(ASTemp!I1084,Decimals)</f>
        <v/>
      </c>
      <c r="J1084" s="69" t="str">
        <f>TEXT(ASTemp!J1084,Decimals)</f>
        <v/>
      </c>
      <c r="K1084" s="69" t="str">
        <f>TEXT(ASTemp!K1084,Decimals)</f>
        <v/>
      </c>
      <c r="L1084" s="69" t="str">
        <f>TEXT(ASTemp!L1084,Decimals)</f>
        <v/>
      </c>
      <c r="M1084" s="71" t="str">
        <f>TEXT(ASTemp!M1084,Percentages)</f>
        <v/>
      </c>
      <c r="N1084" s="72" t="str">
        <f>TEXT(ASTemp!N1084,Percentages)</f>
        <v/>
      </c>
    </row>
    <row r="1085" ht="14.25" customHeight="1">
      <c r="B1085" s="66" t="str">
        <f>ASTemp!B1085</f>
        <v/>
      </c>
      <c r="C1085" s="67" t="str">
        <f>ASTemp!C1085</f>
        <v/>
      </c>
      <c r="D1085" s="68" t="str">
        <f>ASTemp!D1085</f>
        <v/>
      </c>
      <c r="E1085" s="65" t="str">
        <f>ASTemp!E1085</f>
        <v/>
      </c>
      <c r="F1085" s="69" t="str">
        <f>TEXT(ASTemp!F1085,Decimals)</f>
        <v/>
      </c>
      <c r="G1085" s="69" t="str">
        <f>TEXT(ASTemp!G1085,Decimals)</f>
        <v/>
      </c>
      <c r="H1085" s="69" t="str">
        <f>TEXT(ASTemp!H1085,Decimals)</f>
        <v/>
      </c>
      <c r="I1085" s="69" t="str">
        <f>TEXT(ASTemp!I1085,Decimals)</f>
        <v/>
      </c>
      <c r="J1085" s="69" t="str">
        <f>TEXT(ASTemp!J1085,Decimals)</f>
        <v/>
      </c>
      <c r="K1085" s="69" t="str">
        <f>TEXT(ASTemp!K1085,Decimals)</f>
        <v/>
      </c>
      <c r="L1085" s="69" t="str">
        <f>TEXT(ASTemp!L1085,Decimals)</f>
        <v/>
      </c>
      <c r="M1085" s="71" t="str">
        <f>TEXT(ASTemp!M1085,Percentages)</f>
        <v/>
      </c>
      <c r="N1085" s="72" t="str">
        <f>TEXT(ASTemp!N1085,Percentages)</f>
        <v/>
      </c>
    </row>
    <row r="1086" ht="14.25" customHeight="1">
      <c r="B1086" s="66" t="str">
        <f>ASTemp!B1086</f>
        <v/>
      </c>
      <c r="C1086" s="67" t="str">
        <f>ASTemp!C1086</f>
        <v/>
      </c>
      <c r="D1086" s="68" t="str">
        <f>ASTemp!D1086</f>
        <v/>
      </c>
      <c r="E1086" s="65" t="str">
        <f>ASTemp!E1086</f>
        <v/>
      </c>
      <c r="F1086" s="69" t="str">
        <f>TEXT(ASTemp!F1086,Decimals)</f>
        <v/>
      </c>
      <c r="G1086" s="69" t="str">
        <f>TEXT(ASTemp!G1086,Decimals)</f>
        <v/>
      </c>
      <c r="H1086" s="69" t="str">
        <f>TEXT(ASTemp!H1086,Decimals)</f>
        <v/>
      </c>
      <c r="I1086" s="69" t="str">
        <f>TEXT(ASTemp!I1086,Decimals)</f>
        <v/>
      </c>
      <c r="J1086" s="69" t="str">
        <f>TEXT(ASTemp!J1086,Decimals)</f>
        <v/>
      </c>
      <c r="K1086" s="69" t="str">
        <f>TEXT(ASTemp!K1086,Decimals)</f>
        <v/>
      </c>
      <c r="L1086" s="69" t="str">
        <f>TEXT(ASTemp!L1086,Decimals)</f>
        <v/>
      </c>
      <c r="M1086" s="71" t="str">
        <f>TEXT(ASTemp!M1086,Percentages)</f>
        <v/>
      </c>
      <c r="N1086" s="72" t="str">
        <f>TEXT(ASTemp!N1086,Percentages)</f>
        <v/>
      </c>
    </row>
    <row r="1087" ht="14.25" customHeight="1">
      <c r="B1087" s="66" t="str">
        <f>ASTemp!B1087</f>
        <v/>
      </c>
      <c r="C1087" s="67" t="str">
        <f>ASTemp!C1087</f>
        <v/>
      </c>
      <c r="D1087" s="68" t="str">
        <f>ASTemp!D1087</f>
        <v/>
      </c>
      <c r="E1087" s="65" t="str">
        <f>ASTemp!E1087</f>
        <v/>
      </c>
      <c r="F1087" s="69" t="str">
        <f>TEXT(ASTemp!F1087,Decimals)</f>
        <v/>
      </c>
      <c r="G1087" s="69" t="str">
        <f>TEXT(ASTemp!G1087,Decimals)</f>
        <v/>
      </c>
      <c r="H1087" s="69" t="str">
        <f>TEXT(ASTemp!H1087,Decimals)</f>
        <v/>
      </c>
      <c r="I1087" s="69" t="str">
        <f>TEXT(ASTemp!I1087,Decimals)</f>
        <v/>
      </c>
      <c r="J1087" s="69" t="str">
        <f>TEXT(ASTemp!J1087,Decimals)</f>
        <v/>
      </c>
      <c r="K1087" s="69" t="str">
        <f>TEXT(ASTemp!K1087,Decimals)</f>
        <v/>
      </c>
      <c r="L1087" s="69" t="str">
        <f>TEXT(ASTemp!L1087,Decimals)</f>
        <v/>
      </c>
      <c r="M1087" s="71" t="str">
        <f>TEXT(ASTemp!M1087,Percentages)</f>
        <v/>
      </c>
      <c r="N1087" s="72" t="str">
        <f>TEXT(ASTemp!N1087,Percentages)</f>
        <v/>
      </c>
    </row>
    <row r="1088" ht="14.25" customHeight="1">
      <c r="B1088" s="66" t="str">
        <f>ASTemp!B1088</f>
        <v/>
      </c>
      <c r="C1088" s="67" t="str">
        <f>ASTemp!C1088</f>
        <v/>
      </c>
      <c r="D1088" s="68" t="str">
        <f>ASTemp!D1088</f>
        <v/>
      </c>
      <c r="E1088" s="65" t="str">
        <f>ASTemp!E1088</f>
        <v/>
      </c>
      <c r="F1088" s="69" t="str">
        <f>TEXT(ASTemp!F1088,Decimals)</f>
        <v/>
      </c>
      <c r="G1088" s="69" t="str">
        <f>TEXT(ASTemp!G1088,Decimals)</f>
        <v/>
      </c>
      <c r="H1088" s="69" t="str">
        <f>TEXT(ASTemp!H1088,Decimals)</f>
        <v/>
      </c>
      <c r="I1088" s="69" t="str">
        <f>TEXT(ASTemp!I1088,Decimals)</f>
        <v/>
      </c>
      <c r="J1088" s="69" t="str">
        <f>TEXT(ASTemp!J1088,Decimals)</f>
        <v/>
      </c>
      <c r="K1088" s="69" t="str">
        <f>TEXT(ASTemp!K1088,Decimals)</f>
        <v/>
      </c>
      <c r="L1088" s="69" t="str">
        <f>TEXT(ASTemp!L1088,Decimals)</f>
        <v/>
      </c>
      <c r="M1088" s="71" t="str">
        <f>TEXT(ASTemp!M1088,Percentages)</f>
        <v/>
      </c>
      <c r="N1088" s="72" t="str">
        <f>TEXT(ASTemp!N1088,Percentages)</f>
        <v/>
      </c>
    </row>
    <row r="1089" ht="14.25" customHeight="1">
      <c r="B1089" s="66" t="str">
        <f>ASTemp!B1089</f>
        <v/>
      </c>
      <c r="C1089" s="67" t="str">
        <f>ASTemp!C1089</f>
        <v/>
      </c>
      <c r="D1089" s="68" t="str">
        <f>ASTemp!D1089</f>
        <v/>
      </c>
      <c r="E1089" s="65" t="str">
        <f>ASTemp!E1089</f>
        <v/>
      </c>
      <c r="F1089" s="69" t="str">
        <f>TEXT(ASTemp!F1089,Decimals)</f>
        <v/>
      </c>
      <c r="G1089" s="69" t="str">
        <f>TEXT(ASTemp!G1089,Decimals)</f>
        <v/>
      </c>
      <c r="H1089" s="69" t="str">
        <f>TEXT(ASTemp!H1089,Decimals)</f>
        <v/>
      </c>
      <c r="I1089" s="69" t="str">
        <f>TEXT(ASTemp!I1089,Decimals)</f>
        <v/>
      </c>
      <c r="J1089" s="69" t="str">
        <f>TEXT(ASTemp!J1089,Decimals)</f>
        <v/>
      </c>
      <c r="K1089" s="69" t="str">
        <f>TEXT(ASTemp!K1089,Decimals)</f>
        <v/>
      </c>
      <c r="L1089" s="69" t="str">
        <f>TEXT(ASTemp!L1089,Decimals)</f>
        <v/>
      </c>
      <c r="M1089" s="71" t="str">
        <f>TEXT(ASTemp!M1089,Percentages)</f>
        <v/>
      </c>
      <c r="N1089" s="72" t="str">
        <f>TEXT(ASTemp!N1089,Percentages)</f>
        <v/>
      </c>
    </row>
    <row r="1090" ht="14.25" customHeight="1">
      <c r="B1090" s="66" t="str">
        <f>ASTemp!B1090</f>
        <v/>
      </c>
      <c r="C1090" s="67" t="str">
        <f>ASTemp!C1090</f>
        <v/>
      </c>
      <c r="D1090" s="68" t="str">
        <f>ASTemp!D1090</f>
        <v/>
      </c>
      <c r="E1090" s="65" t="str">
        <f>ASTemp!E1090</f>
        <v/>
      </c>
      <c r="F1090" s="69" t="str">
        <f>TEXT(ASTemp!F1090,Decimals)</f>
        <v/>
      </c>
      <c r="G1090" s="69" t="str">
        <f>TEXT(ASTemp!G1090,Decimals)</f>
        <v/>
      </c>
      <c r="H1090" s="69" t="str">
        <f>TEXT(ASTemp!H1090,Decimals)</f>
        <v/>
      </c>
      <c r="I1090" s="69" t="str">
        <f>TEXT(ASTemp!I1090,Decimals)</f>
        <v/>
      </c>
      <c r="J1090" s="69" t="str">
        <f>TEXT(ASTemp!J1090,Decimals)</f>
        <v/>
      </c>
      <c r="K1090" s="69" t="str">
        <f>TEXT(ASTemp!K1090,Decimals)</f>
        <v/>
      </c>
      <c r="L1090" s="69" t="str">
        <f>TEXT(ASTemp!L1090,Decimals)</f>
        <v/>
      </c>
      <c r="M1090" s="71" t="str">
        <f>TEXT(ASTemp!M1090,Percentages)</f>
        <v/>
      </c>
      <c r="N1090" s="72" t="str">
        <f>TEXT(ASTemp!N1090,Percentages)</f>
        <v/>
      </c>
    </row>
    <row r="1091" ht="14.25" customHeight="1">
      <c r="B1091" s="66" t="str">
        <f>ASTemp!B1091</f>
        <v/>
      </c>
      <c r="C1091" s="67" t="str">
        <f>ASTemp!C1091</f>
        <v/>
      </c>
      <c r="D1091" s="68" t="str">
        <f>ASTemp!D1091</f>
        <v/>
      </c>
      <c r="E1091" s="65" t="str">
        <f>ASTemp!E1091</f>
        <v/>
      </c>
      <c r="F1091" s="69" t="str">
        <f>TEXT(ASTemp!F1091,Decimals)</f>
        <v/>
      </c>
      <c r="G1091" s="69" t="str">
        <f>TEXT(ASTemp!G1091,Decimals)</f>
        <v/>
      </c>
      <c r="H1091" s="69" t="str">
        <f>TEXT(ASTemp!H1091,Decimals)</f>
        <v/>
      </c>
      <c r="I1091" s="69" t="str">
        <f>TEXT(ASTemp!I1091,Decimals)</f>
        <v/>
      </c>
      <c r="J1091" s="69" t="str">
        <f>TEXT(ASTemp!J1091,Decimals)</f>
        <v/>
      </c>
      <c r="K1091" s="69" t="str">
        <f>TEXT(ASTemp!K1091,Decimals)</f>
        <v/>
      </c>
      <c r="L1091" s="69" t="str">
        <f>TEXT(ASTemp!L1091,Decimals)</f>
        <v/>
      </c>
      <c r="M1091" s="71" t="str">
        <f>TEXT(ASTemp!M1091,Percentages)</f>
        <v/>
      </c>
      <c r="N1091" s="72" t="str">
        <f>TEXT(ASTemp!N1091,Percentages)</f>
        <v/>
      </c>
    </row>
    <row r="1092" ht="14.25" customHeight="1">
      <c r="B1092" s="66" t="str">
        <f>ASTemp!B1092</f>
        <v/>
      </c>
      <c r="C1092" s="67" t="str">
        <f>ASTemp!C1092</f>
        <v/>
      </c>
      <c r="D1092" s="68" t="str">
        <f>ASTemp!D1092</f>
        <v/>
      </c>
      <c r="E1092" s="65" t="str">
        <f>ASTemp!E1092</f>
        <v/>
      </c>
      <c r="F1092" s="69" t="str">
        <f>TEXT(ASTemp!F1092,Decimals)</f>
        <v/>
      </c>
      <c r="G1092" s="69" t="str">
        <f>TEXT(ASTemp!G1092,Decimals)</f>
        <v/>
      </c>
      <c r="H1092" s="69" t="str">
        <f>TEXT(ASTemp!H1092,Decimals)</f>
        <v/>
      </c>
      <c r="I1092" s="69" t="str">
        <f>TEXT(ASTemp!I1092,Decimals)</f>
        <v/>
      </c>
      <c r="J1092" s="69" t="str">
        <f>TEXT(ASTemp!J1092,Decimals)</f>
        <v/>
      </c>
      <c r="K1092" s="69" t="str">
        <f>TEXT(ASTemp!K1092,Decimals)</f>
        <v/>
      </c>
      <c r="L1092" s="69" t="str">
        <f>TEXT(ASTemp!L1092,Decimals)</f>
        <v/>
      </c>
      <c r="M1092" s="71" t="str">
        <f>TEXT(ASTemp!M1092,Percentages)</f>
        <v/>
      </c>
      <c r="N1092" s="72" t="str">
        <f>TEXT(ASTemp!N1092,Percentages)</f>
        <v/>
      </c>
    </row>
    <row r="1093" ht="14.25" customHeight="1">
      <c r="B1093" s="66" t="str">
        <f>ASTemp!B1093</f>
        <v/>
      </c>
      <c r="C1093" s="67" t="str">
        <f>ASTemp!C1093</f>
        <v/>
      </c>
      <c r="D1093" s="68" t="str">
        <f>ASTemp!D1093</f>
        <v/>
      </c>
      <c r="E1093" s="65" t="str">
        <f>ASTemp!E1093</f>
        <v/>
      </c>
      <c r="F1093" s="69" t="str">
        <f>TEXT(ASTemp!F1093,Decimals)</f>
        <v/>
      </c>
      <c r="G1093" s="69" t="str">
        <f>TEXT(ASTemp!G1093,Decimals)</f>
        <v/>
      </c>
      <c r="H1093" s="69" t="str">
        <f>TEXT(ASTemp!H1093,Decimals)</f>
        <v/>
      </c>
      <c r="I1093" s="69" t="str">
        <f>TEXT(ASTemp!I1093,Decimals)</f>
        <v/>
      </c>
      <c r="J1093" s="69" t="str">
        <f>TEXT(ASTemp!J1093,Decimals)</f>
        <v/>
      </c>
      <c r="K1093" s="69" t="str">
        <f>TEXT(ASTemp!K1093,Decimals)</f>
        <v/>
      </c>
      <c r="L1093" s="69" t="str">
        <f>TEXT(ASTemp!L1093,Decimals)</f>
        <v/>
      </c>
      <c r="M1093" s="71" t="str">
        <f>TEXT(ASTemp!M1093,Percentages)</f>
        <v/>
      </c>
      <c r="N1093" s="72" t="str">
        <f>TEXT(ASTemp!N1093,Percentages)</f>
        <v/>
      </c>
    </row>
    <row r="1094" ht="14.25" customHeight="1">
      <c r="B1094" s="66" t="str">
        <f>ASTemp!B1094</f>
        <v/>
      </c>
      <c r="C1094" s="67" t="str">
        <f>ASTemp!C1094</f>
        <v/>
      </c>
      <c r="D1094" s="68" t="str">
        <f>ASTemp!D1094</f>
        <v/>
      </c>
      <c r="E1094" s="65" t="str">
        <f>ASTemp!E1094</f>
        <v/>
      </c>
      <c r="F1094" s="69" t="str">
        <f>TEXT(ASTemp!F1094,Decimals)</f>
        <v/>
      </c>
      <c r="G1094" s="69" t="str">
        <f>TEXT(ASTemp!G1094,Decimals)</f>
        <v/>
      </c>
      <c r="H1094" s="69" t="str">
        <f>TEXT(ASTemp!H1094,Decimals)</f>
        <v/>
      </c>
      <c r="I1094" s="69" t="str">
        <f>TEXT(ASTemp!I1094,Decimals)</f>
        <v/>
      </c>
      <c r="J1094" s="69" t="str">
        <f>TEXT(ASTemp!J1094,Decimals)</f>
        <v/>
      </c>
      <c r="K1094" s="69" t="str">
        <f>TEXT(ASTemp!K1094,Decimals)</f>
        <v/>
      </c>
      <c r="L1094" s="69" t="str">
        <f>TEXT(ASTemp!L1094,Decimals)</f>
        <v/>
      </c>
      <c r="M1094" s="71" t="str">
        <f>TEXT(ASTemp!M1094,Percentages)</f>
        <v/>
      </c>
      <c r="N1094" s="72" t="str">
        <f>TEXT(ASTemp!N1094,Percentages)</f>
        <v/>
      </c>
    </row>
    <row r="1095" ht="14.25" customHeight="1">
      <c r="B1095" s="66" t="str">
        <f>ASTemp!B1095</f>
        <v/>
      </c>
      <c r="C1095" s="67" t="str">
        <f>ASTemp!C1095</f>
        <v/>
      </c>
      <c r="D1095" s="68" t="str">
        <f>ASTemp!D1095</f>
        <v/>
      </c>
      <c r="E1095" s="65" t="str">
        <f>ASTemp!E1095</f>
        <v/>
      </c>
      <c r="F1095" s="69" t="str">
        <f>TEXT(ASTemp!F1095,Decimals)</f>
        <v/>
      </c>
      <c r="G1095" s="69" t="str">
        <f>TEXT(ASTemp!G1095,Decimals)</f>
        <v/>
      </c>
      <c r="H1095" s="69" t="str">
        <f>TEXT(ASTemp!H1095,Decimals)</f>
        <v/>
      </c>
      <c r="I1095" s="69" t="str">
        <f>TEXT(ASTemp!I1095,Decimals)</f>
        <v/>
      </c>
      <c r="J1095" s="69" t="str">
        <f>TEXT(ASTemp!J1095,Decimals)</f>
        <v/>
      </c>
      <c r="K1095" s="69" t="str">
        <f>TEXT(ASTemp!K1095,Decimals)</f>
        <v/>
      </c>
      <c r="L1095" s="69" t="str">
        <f>TEXT(ASTemp!L1095,Decimals)</f>
        <v/>
      </c>
      <c r="M1095" s="71" t="str">
        <f>TEXT(ASTemp!M1095,Percentages)</f>
        <v/>
      </c>
      <c r="N1095" s="72" t="str">
        <f>TEXT(ASTemp!N1095,Percentages)</f>
        <v/>
      </c>
    </row>
    <row r="1096" ht="14.25" customHeight="1">
      <c r="B1096" s="66" t="str">
        <f>ASTemp!B1096</f>
        <v/>
      </c>
      <c r="C1096" s="67" t="str">
        <f>ASTemp!C1096</f>
        <v/>
      </c>
      <c r="D1096" s="68" t="str">
        <f>ASTemp!D1096</f>
        <v/>
      </c>
      <c r="E1096" s="65" t="str">
        <f>ASTemp!E1096</f>
        <v/>
      </c>
      <c r="F1096" s="69" t="str">
        <f>TEXT(ASTemp!F1096,Decimals)</f>
        <v/>
      </c>
      <c r="G1096" s="69" t="str">
        <f>TEXT(ASTemp!G1096,Decimals)</f>
        <v/>
      </c>
      <c r="H1096" s="69" t="str">
        <f>TEXT(ASTemp!H1096,Decimals)</f>
        <v/>
      </c>
      <c r="I1096" s="69" t="str">
        <f>TEXT(ASTemp!I1096,Decimals)</f>
        <v/>
      </c>
      <c r="J1096" s="69" t="str">
        <f>TEXT(ASTemp!J1096,Decimals)</f>
        <v/>
      </c>
      <c r="K1096" s="69" t="str">
        <f>TEXT(ASTemp!K1096,Decimals)</f>
        <v/>
      </c>
      <c r="L1096" s="69" t="str">
        <f>TEXT(ASTemp!L1096,Decimals)</f>
        <v/>
      </c>
      <c r="M1096" s="71" t="str">
        <f>TEXT(ASTemp!M1096,Percentages)</f>
        <v/>
      </c>
      <c r="N1096" s="72" t="str">
        <f>TEXT(ASTemp!N1096,Percentages)</f>
        <v/>
      </c>
    </row>
    <row r="1097" ht="14.25" customHeight="1">
      <c r="B1097" s="66" t="str">
        <f>ASTemp!B1097</f>
        <v/>
      </c>
      <c r="C1097" s="67" t="str">
        <f>ASTemp!C1097</f>
        <v/>
      </c>
      <c r="D1097" s="68" t="str">
        <f>ASTemp!D1097</f>
        <v/>
      </c>
      <c r="E1097" s="65" t="str">
        <f>ASTemp!E1097</f>
        <v/>
      </c>
      <c r="F1097" s="69" t="str">
        <f>TEXT(ASTemp!F1097,Decimals)</f>
        <v/>
      </c>
      <c r="G1097" s="69" t="str">
        <f>TEXT(ASTemp!G1097,Decimals)</f>
        <v/>
      </c>
      <c r="H1097" s="69" t="str">
        <f>TEXT(ASTemp!H1097,Decimals)</f>
        <v/>
      </c>
      <c r="I1097" s="69" t="str">
        <f>TEXT(ASTemp!I1097,Decimals)</f>
        <v/>
      </c>
      <c r="J1097" s="69" t="str">
        <f>TEXT(ASTemp!J1097,Decimals)</f>
        <v/>
      </c>
      <c r="K1097" s="69" t="str">
        <f>TEXT(ASTemp!K1097,Decimals)</f>
        <v/>
      </c>
      <c r="L1097" s="69" t="str">
        <f>TEXT(ASTemp!L1097,Decimals)</f>
        <v/>
      </c>
      <c r="M1097" s="71" t="str">
        <f>TEXT(ASTemp!M1097,Percentages)</f>
        <v/>
      </c>
      <c r="N1097" s="72" t="str">
        <f>TEXT(ASTemp!N1097,Percentages)</f>
        <v/>
      </c>
    </row>
    <row r="1098" ht="14.25" customHeight="1">
      <c r="B1098" s="66" t="str">
        <f>ASTemp!B1098</f>
        <v/>
      </c>
      <c r="C1098" s="67" t="str">
        <f>ASTemp!C1098</f>
        <v/>
      </c>
      <c r="D1098" s="68" t="str">
        <f>ASTemp!D1098</f>
        <v/>
      </c>
      <c r="E1098" s="65" t="str">
        <f>ASTemp!E1098</f>
        <v/>
      </c>
      <c r="F1098" s="69" t="str">
        <f>TEXT(ASTemp!F1098,Decimals)</f>
        <v/>
      </c>
      <c r="G1098" s="69" t="str">
        <f>TEXT(ASTemp!G1098,Decimals)</f>
        <v/>
      </c>
      <c r="H1098" s="69" t="str">
        <f>TEXT(ASTemp!H1098,Decimals)</f>
        <v/>
      </c>
      <c r="I1098" s="69" t="str">
        <f>TEXT(ASTemp!I1098,Decimals)</f>
        <v/>
      </c>
      <c r="J1098" s="69" t="str">
        <f>TEXT(ASTemp!J1098,Decimals)</f>
        <v/>
      </c>
      <c r="K1098" s="69" t="str">
        <f>TEXT(ASTemp!K1098,Decimals)</f>
        <v/>
      </c>
      <c r="L1098" s="69" t="str">
        <f>TEXT(ASTemp!L1098,Decimals)</f>
        <v/>
      </c>
      <c r="M1098" s="71" t="str">
        <f>TEXT(ASTemp!M1098,Percentages)</f>
        <v/>
      </c>
      <c r="N1098" s="72" t="str">
        <f>TEXT(ASTemp!N1098,Percentages)</f>
        <v/>
      </c>
    </row>
    <row r="1099" ht="14.25" customHeight="1">
      <c r="B1099" s="66" t="str">
        <f>ASTemp!B1099</f>
        <v/>
      </c>
      <c r="C1099" s="67" t="str">
        <f>ASTemp!C1099</f>
        <v/>
      </c>
      <c r="D1099" s="68" t="str">
        <f>ASTemp!D1099</f>
        <v/>
      </c>
      <c r="E1099" s="65" t="str">
        <f>ASTemp!E1099</f>
        <v/>
      </c>
      <c r="F1099" s="69" t="str">
        <f>TEXT(ASTemp!F1099,Decimals)</f>
        <v/>
      </c>
      <c r="G1099" s="69" t="str">
        <f>TEXT(ASTemp!G1099,Decimals)</f>
        <v/>
      </c>
      <c r="H1099" s="69" t="str">
        <f>TEXT(ASTemp!H1099,Decimals)</f>
        <v/>
      </c>
      <c r="I1099" s="69" t="str">
        <f>TEXT(ASTemp!I1099,Decimals)</f>
        <v/>
      </c>
      <c r="J1099" s="69" t="str">
        <f>TEXT(ASTemp!J1099,Decimals)</f>
        <v/>
      </c>
      <c r="K1099" s="69" t="str">
        <f>TEXT(ASTemp!K1099,Decimals)</f>
        <v/>
      </c>
      <c r="L1099" s="69" t="str">
        <f>TEXT(ASTemp!L1099,Decimals)</f>
        <v/>
      </c>
      <c r="M1099" s="71" t="str">
        <f>TEXT(ASTemp!M1099,Percentages)</f>
        <v/>
      </c>
      <c r="N1099" s="72" t="str">
        <f>TEXT(ASTemp!N1099,Percentages)</f>
        <v/>
      </c>
    </row>
    <row r="1100" ht="14.25" customHeight="1">
      <c r="B1100" s="66" t="str">
        <f>ASTemp!B1100</f>
        <v/>
      </c>
      <c r="C1100" s="67" t="str">
        <f>ASTemp!C1100</f>
        <v/>
      </c>
      <c r="D1100" s="68" t="str">
        <f>ASTemp!D1100</f>
        <v/>
      </c>
      <c r="E1100" s="65" t="str">
        <f>ASTemp!E1100</f>
        <v/>
      </c>
      <c r="F1100" s="69" t="str">
        <f>TEXT(ASTemp!F1100,Decimals)</f>
        <v/>
      </c>
      <c r="G1100" s="69" t="str">
        <f>TEXT(ASTemp!G1100,Decimals)</f>
        <v/>
      </c>
      <c r="H1100" s="69" t="str">
        <f>TEXT(ASTemp!H1100,Decimals)</f>
        <v/>
      </c>
      <c r="I1100" s="69" t="str">
        <f>TEXT(ASTemp!I1100,Decimals)</f>
        <v/>
      </c>
      <c r="J1100" s="69" t="str">
        <f>TEXT(ASTemp!J1100,Decimals)</f>
        <v/>
      </c>
      <c r="K1100" s="69" t="str">
        <f>TEXT(ASTemp!K1100,Decimals)</f>
        <v/>
      </c>
      <c r="L1100" s="69" t="str">
        <f>TEXT(ASTemp!L1100,Decimals)</f>
        <v/>
      </c>
      <c r="M1100" s="71" t="str">
        <f>TEXT(ASTemp!M1100,Percentages)</f>
        <v/>
      </c>
      <c r="N1100" s="72" t="str">
        <f>TEXT(ASTemp!N1100,Percentages)</f>
        <v/>
      </c>
    </row>
    <row r="1101" ht="14.25" customHeight="1">
      <c r="B1101" s="66" t="str">
        <f>ASTemp!B1101</f>
        <v/>
      </c>
      <c r="C1101" s="67" t="str">
        <f>ASTemp!C1101</f>
        <v/>
      </c>
      <c r="D1101" s="68" t="str">
        <f>ASTemp!D1101</f>
        <v/>
      </c>
      <c r="E1101" s="65" t="str">
        <f>ASTemp!E1101</f>
        <v/>
      </c>
      <c r="F1101" s="69" t="str">
        <f>TEXT(ASTemp!F1101,Decimals)</f>
        <v/>
      </c>
      <c r="G1101" s="69" t="str">
        <f>TEXT(ASTemp!G1101,Decimals)</f>
        <v/>
      </c>
      <c r="H1101" s="69" t="str">
        <f>TEXT(ASTemp!H1101,Decimals)</f>
        <v/>
      </c>
      <c r="I1101" s="69" t="str">
        <f>TEXT(ASTemp!I1101,Decimals)</f>
        <v/>
      </c>
      <c r="J1101" s="69" t="str">
        <f>TEXT(ASTemp!J1101,Decimals)</f>
        <v/>
      </c>
      <c r="K1101" s="69" t="str">
        <f>TEXT(ASTemp!K1101,Decimals)</f>
        <v/>
      </c>
      <c r="L1101" s="69" t="str">
        <f>TEXT(ASTemp!L1101,Decimals)</f>
        <v/>
      </c>
      <c r="M1101" s="71" t="str">
        <f>TEXT(ASTemp!M1101,Percentages)</f>
        <v/>
      </c>
      <c r="N1101" s="72" t="str">
        <f>TEXT(ASTemp!N1101,Percentages)</f>
        <v/>
      </c>
    </row>
    <row r="1102" ht="14.25" customHeight="1">
      <c r="B1102" s="66" t="str">
        <f>ASTemp!B1102</f>
        <v/>
      </c>
      <c r="C1102" s="67" t="str">
        <f>ASTemp!C1102</f>
        <v/>
      </c>
      <c r="D1102" s="68" t="str">
        <f>ASTemp!D1102</f>
        <v/>
      </c>
      <c r="E1102" s="65" t="str">
        <f>ASTemp!E1102</f>
        <v/>
      </c>
      <c r="F1102" s="69" t="str">
        <f>TEXT(ASTemp!F1102,Decimals)</f>
        <v/>
      </c>
      <c r="G1102" s="69" t="str">
        <f>TEXT(ASTemp!G1102,Decimals)</f>
        <v/>
      </c>
      <c r="H1102" s="69" t="str">
        <f>TEXT(ASTemp!H1102,Decimals)</f>
        <v/>
      </c>
      <c r="I1102" s="69" t="str">
        <f>TEXT(ASTemp!I1102,Decimals)</f>
        <v/>
      </c>
      <c r="J1102" s="69" t="str">
        <f>TEXT(ASTemp!J1102,Decimals)</f>
        <v/>
      </c>
      <c r="K1102" s="69" t="str">
        <f>TEXT(ASTemp!K1102,Decimals)</f>
        <v/>
      </c>
      <c r="L1102" s="69" t="str">
        <f>TEXT(ASTemp!L1102,Decimals)</f>
        <v/>
      </c>
      <c r="M1102" s="71" t="str">
        <f>TEXT(ASTemp!M1102,Percentages)</f>
        <v/>
      </c>
      <c r="N1102" s="72" t="str">
        <f>TEXT(ASTemp!N1102,Percentages)</f>
        <v/>
      </c>
    </row>
    <row r="1103" ht="14.25" customHeight="1">
      <c r="B1103" s="66" t="str">
        <f>ASTemp!B1103</f>
        <v/>
      </c>
      <c r="C1103" s="67" t="str">
        <f>ASTemp!C1103</f>
        <v/>
      </c>
      <c r="D1103" s="68" t="str">
        <f>ASTemp!D1103</f>
        <v/>
      </c>
      <c r="E1103" s="65" t="str">
        <f>ASTemp!E1103</f>
        <v/>
      </c>
      <c r="F1103" s="69" t="str">
        <f>TEXT(ASTemp!F1103,Decimals)</f>
        <v/>
      </c>
      <c r="G1103" s="69" t="str">
        <f>TEXT(ASTemp!G1103,Decimals)</f>
        <v/>
      </c>
      <c r="H1103" s="69" t="str">
        <f>TEXT(ASTemp!H1103,Decimals)</f>
        <v/>
      </c>
      <c r="I1103" s="69" t="str">
        <f>TEXT(ASTemp!I1103,Decimals)</f>
        <v/>
      </c>
      <c r="J1103" s="69" t="str">
        <f>TEXT(ASTemp!J1103,Decimals)</f>
        <v/>
      </c>
      <c r="K1103" s="69" t="str">
        <f>TEXT(ASTemp!K1103,Decimals)</f>
        <v/>
      </c>
      <c r="L1103" s="69" t="str">
        <f>TEXT(ASTemp!L1103,Decimals)</f>
        <v/>
      </c>
      <c r="M1103" s="71" t="str">
        <f>TEXT(ASTemp!M1103,Percentages)</f>
        <v/>
      </c>
      <c r="N1103" s="72" t="str">
        <f>TEXT(ASTemp!N1103,Percentages)</f>
        <v/>
      </c>
    </row>
    <row r="1104" ht="14.25" customHeight="1">
      <c r="B1104" s="66" t="str">
        <f>ASTemp!B1104</f>
        <v/>
      </c>
      <c r="C1104" s="67" t="str">
        <f>ASTemp!C1104</f>
        <v/>
      </c>
      <c r="D1104" s="68" t="str">
        <f>ASTemp!D1104</f>
        <v/>
      </c>
      <c r="E1104" s="65" t="str">
        <f>ASTemp!E1104</f>
        <v/>
      </c>
      <c r="F1104" s="69" t="str">
        <f>TEXT(ASTemp!F1104,Decimals)</f>
        <v/>
      </c>
      <c r="G1104" s="69" t="str">
        <f>TEXT(ASTemp!G1104,Decimals)</f>
        <v/>
      </c>
      <c r="H1104" s="69" t="str">
        <f>TEXT(ASTemp!H1104,Decimals)</f>
        <v/>
      </c>
      <c r="I1104" s="69" t="str">
        <f>TEXT(ASTemp!I1104,Decimals)</f>
        <v/>
      </c>
      <c r="J1104" s="69" t="str">
        <f>TEXT(ASTemp!J1104,Decimals)</f>
        <v/>
      </c>
      <c r="K1104" s="69" t="str">
        <f>TEXT(ASTemp!K1104,Decimals)</f>
        <v/>
      </c>
      <c r="L1104" s="69" t="str">
        <f>TEXT(ASTemp!L1104,Decimals)</f>
        <v/>
      </c>
      <c r="M1104" s="71" t="str">
        <f>TEXT(ASTemp!M1104,Percentages)</f>
        <v/>
      </c>
      <c r="N1104" s="72" t="str">
        <f>TEXT(ASTemp!N1104,Percentages)</f>
        <v/>
      </c>
    </row>
    <row r="1105" ht="14.25" customHeight="1">
      <c r="B1105" s="66" t="str">
        <f>ASTemp!B1105</f>
        <v/>
      </c>
      <c r="C1105" s="67" t="str">
        <f>ASTemp!C1105</f>
        <v/>
      </c>
      <c r="D1105" s="68" t="str">
        <f>ASTemp!D1105</f>
        <v/>
      </c>
      <c r="E1105" s="65" t="str">
        <f>ASTemp!E1105</f>
        <v/>
      </c>
      <c r="F1105" s="69" t="str">
        <f>TEXT(ASTemp!F1105,Decimals)</f>
        <v/>
      </c>
      <c r="G1105" s="69" t="str">
        <f>TEXT(ASTemp!G1105,Decimals)</f>
        <v/>
      </c>
      <c r="H1105" s="69" t="str">
        <f>TEXT(ASTemp!H1105,Decimals)</f>
        <v/>
      </c>
      <c r="I1105" s="69" t="str">
        <f>TEXT(ASTemp!I1105,Decimals)</f>
        <v/>
      </c>
      <c r="J1105" s="69" t="str">
        <f>TEXT(ASTemp!J1105,Decimals)</f>
        <v/>
      </c>
      <c r="K1105" s="69" t="str">
        <f>TEXT(ASTemp!K1105,Decimals)</f>
        <v/>
      </c>
      <c r="L1105" s="69" t="str">
        <f>TEXT(ASTemp!L1105,Decimals)</f>
        <v/>
      </c>
      <c r="M1105" s="71" t="str">
        <f>TEXT(ASTemp!M1105,Percentages)</f>
        <v/>
      </c>
      <c r="N1105" s="72" t="str">
        <f>TEXT(ASTemp!N1105,Percentages)</f>
        <v/>
      </c>
    </row>
    <row r="1106" ht="14.25" customHeight="1">
      <c r="B1106" s="66" t="str">
        <f>ASTemp!B1106</f>
        <v/>
      </c>
      <c r="C1106" s="67" t="str">
        <f>ASTemp!C1106</f>
        <v/>
      </c>
      <c r="D1106" s="68" t="str">
        <f>ASTemp!D1106</f>
        <v/>
      </c>
      <c r="E1106" s="65" t="str">
        <f>ASTemp!E1106</f>
        <v/>
      </c>
      <c r="F1106" s="69" t="str">
        <f>TEXT(ASTemp!F1106,Decimals)</f>
        <v/>
      </c>
      <c r="G1106" s="69" t="str">
        <f>TEXT(ASTemp!G1106,Decimals)</f>
        <v/>
      </c>
      <c r="H1106" s="69" t="str">
        <f>TEXT(ASTemp!H1106,Decimals)</f>
        <v/>
      </c>
      <c r="I1106" s="69" t="str">
        <f>TEXT(ASTemp!I1106,Decimals)</f>
        <v/>
      </c>
      <c r="J1106" s="69" t="str">
        <f>TEXT(ASTemp!J1106,Decimals)</f>
        <v/>
      </c>
      <c r="K1106" s="69" t="str">
        <f>TEXT(ASTemp!K1106,Decimals)</f>
        <v/>
      </c>
      <c r="L1106" s="69" t="str">
        <f>TEXT(ASTemp!L1106,Decimals)</f>
        <v/>
      </c>
      <c r="M1106" s="71" t="str">
        <f>TEXT(ASTemp!M1106,Percentages)</f>
        <v/>
      </c>
      <c r="N1106" s="72" t="str">
        <f>TEXT(ASTemp!N1106,Percentages)</f>
        <v/>
      </c>
    </row>
    <row r="1107" ht="14.25" customHeight="1">
      <c r="B1107" s="66" t="str">
        <f>ASTemp!B1107</f>
        <v/>
      </c>
      <c r="C1107" s="67" t="str">
        <f>ASTemp!C1107</f>
        <v/>
      </c>
      <c r="D1107" s="68" t="str">
        <f>ASTemp!D1107</f>
        <v/>
      </c>
      <c r="E1107" s="65" t="str">
        <f>ASTemp!E1107</f>
        <v/>
      </c>
      <c r="F1107" s="69" t="str">
        <f>TEXT(ASTemp!F1107,Decimals)</f>
        <v/>
      </c>
      <c r="G1107" s="69" t="str">
        <f>TEXT(ASTemp!G1107,Decimals)</f>
        <v/>
      </c>
      <c r="H1107" s="69" t="str">
        <f>TEXT(ASTemp!H1107,Decimals)</f>
        <v/>
      </c>
      <c r="I1107" s="69" t="str">
        <f>TEXT(ASTemp!I1107,Decimals)</f>
        <v/>
      </c>
      <c r="J1107" s="69" t="str">
        <f>TEXT(ASTemp!J1107,Decimals)</f>
        <v/>
      </c>
      <c r="K1107" s="69" t="str">
        <f>TEXT(ASTemp!K1107,Decimals)</f>
        <v/>
      </c>
      <c r="L1107" s="69" t="str">
        <f>TEXT(ASTemp!L1107,Decimals)</f>
        <v/>
      </c>
      <c r="M1107" s="71" t="str">
        <f>TEXT(ASTemp!M1107,Percentages)</f>
        <v/>
      </c>
      <c r="N1107" s="72" t="str">
        <f>TEXT(ASTemp!N1107,Percentages)</f>
        <v/>
      </c>
    </row>
    <row r="1108" ht="14.25" customHeight="1">
      <c r="B1108" s="66" t="str">
        <f>ASTemp!B1108</f>
        <v/>
      </c>
      <c r="C1108" s="67" t="str">
        <f>ASTemp!C1108</f>
        <v/>
      </c>
      <c r="D1108" s="68" t="str">
        <f>ASTemp!D1108</f>
        <v/>
      </c>
      <c r="E1108" s="65" t="str">
        <f>ASTemp!E1108</f>
        <v/>
      </c>
      <c r="F1108" s="69" t="str">
        <f>TEXT(ASTemp!F1108,Decimals)</f>
        <v/>
      </c>
      <c r="G1108" s="69" t="str">
        <f>TEXT(ASTemp!G1108,Decimals)</f>
        <v/>
      </c>
      <c r="H1108" s="69" t="str">
        <f>TEXT(ASTemp!H1108,Decimals)</f>
        <v/>
      </c>
      <c r="I1108" s="69" t="str">
        <f>TEXT(ASTemp!I1108,Decimals)</f>
        <v/>
      </c>
      <c r="J1108" s="69" t="str">
        <f>TEXT(ASTemp!J1108,Decimals)</f>
        <v/>
      </c>
      <c r="K1108" s="69" t="str">
        <f>TEXT(ASTemp!K1108,Decimals)</f>
        <v/>
      </c>
      <c r="L1108" s="69" t="str">
        <f>TEXT(ASTemp!L1108,Decimals)</f>
        <v/>
      </c>
      <c r="M1108" s="71" t="str">
        <f>TEXT(ASTemp!M1108,Percentages)</f>
        <v/>
      </c>
      <c r="N1108" s="72" t="str">
        <f>TEXT(ASTemp!N1108,Percentages)</f>
        <v/>
      </c>
    </row>
    <row r="1109" ht="14.25" customHeight="1">
      <c r="B1109" s="66" t="str">
        <f>ASTemp!B1109</f>
        <v/>
      </c>
      <c r="C1109" s="67" t="str">
        <f>ASTemp!C1109</f>
        <v/>
      </c>
      <c r="D1109" s="68" t="str">
        <f>ASTemp!D1109</f>
        <v/>
      </c>
      <c r="E1109" s="65" t="str">
        <f>ASTemp!E1109</f>
        <v/>
      </c>
      <c r="F1109" s="69" t="str">
        <f>TEXT(ASTemp!F1109,Decimals)</f>
        <v/>
      </c>
      <c r="G1109" s="69" t="str">
        <f>TEXT(ASTemp!G1109,Decimals)</f>
        <v/>
      </c>
      <c r="H1109" s="69" t="str">
        <f>TEXT(ASTemp!H1109,Decimals)</f>
        <v/>
      </c>
      <c r="I1109" s="69" t="str">
        <f>TEXT(ASTemp!I1109,Decimals)</f>
        <v/>
      </c>
      <c r="J1109" s="69" t="str">
        <f>TEXT(ASTemp!J1109,Decimals)</f>
        <v/>
      </c>
      <c r="K1109" s="69" t="str">
        <f>TEXT(ASTemp!K1109,Decimals)</f>
        <v/>
      </c>
      <c r="L1109" s="69" t="str">
        <f>TEXT(ASTemp!L1109,Decimals)</f>
        <v/>
      </c>
      <c r="M1109" s="71" t="str">
        <f>TEXT(ASTemp!M1109,Percentages)</f>
        <v/>
      </c>
      <c r="N1109" s="72" t="str">
        <f>TEXT(ASTemp!N1109,Percentages)</f>
        <v/>
      </c>
    </row>
    <row r="1110" ht="14.25" customHeight="1">
      <c r="B1110" s="66" t="str">
        <f>ASTemp!B1110</f>
        <v/>
      </c>
      <c r="C1110" s="67" t="str">
        <f>ASTemp!C1110</f>
        <v/>
      </c>
      <c r="D1110" s="68" t="str">
        <f>ASTemp!D1110</f>
        <v/>
      </c>
      <c r="E1110" s="65" t="str">
        <f>ASTemp!E1110</f>
        <v/>
      </c>
      <c r="F1110" s="69" t="str">
        <f>TEXT(ASTemp!F1110,Decimals)</f>
        <v/>
      </c>
      <c r="G1110" s="69" t="str">
        <f>TEXT(ASTemp!G1110,Decimals)</f>
        <v/>
      </c>
      <c r="H1110" s="69" t="str">
        <f>TEXT(ASTemp!H1110,Decimals)</f>
        <v/>
      </c>
      <c r="I1110" s="69" t="str">
        <f>TEXT(ASTemp!I1110,Decimals)</f>
        <v/>
      </c>
      <c r="J1110" s="69" t="str">
        <f>TEXT(ASTemp!J1110,Decimals)</f>
        <v/>
      </c>
      <c r="K1110" s="69" t="str">
        <f>TEXT(ASTemp!K1110,Decimals)</f>
        <v/>
      </c>
      <c r="L1110" s="69" t="str">
        <f>TEXT(ASTemp!L1110,Decimals)</f>
        <v/>
      </c>
      <c r="M1110" s="71" t="str">
        <f>TEXT(ASTemp!M1110,Percentages)</f>
        <v/>
      </c>
      <c r="N1110" s="72" t="str">
        <f>TEXT(ASTemp!N1110,Percentages)</f>
        <v/>
      </c>
    </row>
    <row r="1111" ht="14.25" customHeight="1">
      <c r="B1111" s="66" t="str">
        <f>ASTemp!B1111</f>
        <v/>
      </c>
      <c r="C1111" s="67" t="str">
        <f>ASTemp!C1111</f>
        <v/>
      </c>
      <c r="D1111" s="68" t="str">
        <f>ASTemp!D1111</f>
        <v/>
      </c>
      <c r="E1111" s="65" t="str">
        <f>ASTemp!E1111</f>
        <v/>
      </c>
      <c r="F1111" s="69" t="str">
        <f>TEXT(ASTemp!F1111,Decimals)</f>
        <v/>
      </c>
      <c r="G1111" s="69" t="str">
        <f>TEXT(ASTemp!G1111,Decimals)</f>
        <v/>
      </c>
      <c r="H1111" s="69" t="str">
        <f>TEXT(ASTemp!H1111,Decimals)</f>
        <v/>
      </c>
      <c r="I1111" s="69" t="str">
        <f>TEXT(ASTemp!I1111,Decimals)</f>
        <v/>
      </c>
      <c r="J1111" s="69" t="str">
        <f>TEXT(ASTemp!J1111,Decimals)</f>
        <v/>
      </c>
      <c r="K1111" s="69" t="str">
        <f>TEXT(ASTemp!K1111,Decimals)</f>
        <v/>
      </c>
      <c r="L1111" s="69" t="str">
        <f>TEXT(ASTemp!L1111,Decimals)</f>
        <v/>
      </c>
      <c r="M1111" s="71" t="str">
        <f>TEXT(ASTemp!M1111,Percentages)</f>
        <v/>
      </c>
      <c r="N1111" s="72" t="str">
        <f>TEXT(ASTemp!N1111,Percentages)</f>
        <v/>
      </c>
    </row>
    <row r="1112" ht="14.25" customHeight="1">
      <c r="B1112" s="66" t="str">
        <f>ASTemp!B1112</f>
        <v/>
      </c>
      <c r="C1112" s="67" t="str">
        <f>ASTemp!C1112</f>
        <v/>
      </c>
      <c r="D1112" s="68" t="str">
        <f>ASTemp!D1112</f>
        <v/>
      </c>
      <c r="E1112" s="65" t="str">
        <f>ASTemp!E1112</f>
        <v/>
      </c>
      <c r="F1112" s="69" t="str">
        <f>TEXT(ASTemp!F1112,Decimals)</f>
        <v/>
      </c>
      <c r="G1112" s="69" t="str">
        <f>TEXT(ASTemp!G1112,Decimals)</f>
        <v/>
      </c>
      <c r="H1112" s="69" t="str">
        <f>TEXT(ASTemp!H1112,Decimals)</f>
        <v/>
      </c>
      <c r="I1112" s="69" t="str">
        <f>TEXT(ASTemp!I1112,Decimals)</f>
        <v/>
      </c>
      <c r="J1112" s="69" t="str">
        <f>TEXT(ASTemp!J1112,Decimals)</f>
        <v/>
      </c>
      <c r="K1112" s="69" t="str">
        <f>TEXT(ASTemp!K1112,Decimals)</f>
        <v/>
      </c>
      <c r="L1112" s="69" t="str">
        <f>TEXT(ASTemp!L1112,Decimals)</f>
        <v/>
      </c>
      <c r="M1112" s="71" t="str">
        <f>TEXT(ASTemp!M1112,Percentages)</f>
        <v/>
      </c>
      <c r="N1112" s="72" t="str">
        <f>TEXT(ASTemp!N1112,Percentages)</f>
        <v/>
      </c>
    </row>
    <row r="1113" ht="14.25" customHeight="1">
      <c r="B1113" s="66" t="str">
        <f>ASTemp!B1113</f>
        <v/>
      </c>
      <c r="C1113" s="67" t="str">
        <f>ASTemp!C1113</f>
        <v/>
      </c>
      <c r="D1113" s="68" t="str">
        <f>ASTemp!D1113</f>
        <v/>
      </c>
      <c r="E1113" s="65" t="str">
        <f>ASTemp!E1113</f>
        <v/>
      </c>
      <c r="F1113" s="69" t="str">
        <f>TEXT(ASTemp!F1113,Decimals)</f>
        <v/>
      </c>
      <c r="G1113" s="69" t="str">
        <f>TEXT(ASTemp!G1113,Decimals)</f>
        <v/>
      </c>
      <c r="H1113" s="69" t="str">
        <f>TEXT(ASTemp!H1113,Decimals)</f>
        <v/>
      </c>
      <c r="I1113" s="69" t="str">
        <f>TEXT(ASTemp!I1113,Decimals)</f>
        <v/>
      </c>
      <c r="J1113" s="69" t="str">
        <f>TEXT(ASTemp!J1113,Decimals)</f>
        <v/>
      </c>
      <c r="K1113" s="69" t="str">
        <f>TEXT(ASTemp!K1113,Decimals)</f>
        <v/>
      </c>
      <c r="L1113" s="69" t="str">
        <f>TEXT(ASTemp!L1113,Decimals)</f>
        <v/>
      </c>
      <c r="M1113" s="71" t="str">
        <f>TEXT(ASTemp!M1113,Percentages)</f>
        <v/>
      </c>
      <c r="N1113" s="72" t="str">
        <f>TEXT(ASTemp!N1113,Percentages)</f>
        <v/>
      </c>
    </row>
    <row r="1114" ht="14.25" customHeight="1">
      <c r="B1114" s="66" t="str">
        <f>ASTemp!B1114</f>
        <v/>
      </c>
      <c r="C1114" s="67" t="str">
        <f>ASTemp!C1114</f>
        <v/>
      </c>
      <c r="D1114" s="68" t="str">
        <f>ASTemp!D1114</f>
        <v/>
      </c>
      <c r="E1114" s="65" t="str">
        <f>ASTemp!E1114</f>
        <v/>
      </c>
      <c r="F1114" s="69" t="str">
        <f>TEXT(ASTemp!F1114,Decimals)</f>
        <v/>
      </c>
      <c r="G1114" s="69" t="str">
        <f>TEXT(ASTemp!G1114,Decimals)</f>
        <v/>
      </c>
      <c r="H1114" s="69" t="str">
        <f>TEXT(ASTemp!H1114,Decimals)</f>
        <v/>
      </c>
      <c r="I1114" s="69" t="str">
        <f>TEXT(ASTemp!I1114,Decimals)</f>
        <v/>
      </c>
      <c r="J1114" s="69" t="str">
        <f>TEXT(ASTemp!J1114,Decimals)</f>
        <v/>
      </c>
      <c r="K1114" s="69" t="str">
        <f>TEXT(ASTemp!K1114,Decimals)</f>
        <v/>
      </c>
      <c r="L1114" s="69" t="str">
        <f>TEXT(ASTemp!L1114,Decimals)</f>
        <v/>
      </c>
      <c r="M1114" s="71" t="str">
        <f>TEXT(ASTemp!M1114,Percentages)</f>
        <v/>
      </c>
      <c r="N1114" s="72" t="str">
        <f>TEXT(ASTemp!N1114,Percentages)</f>
        <v/>
      </c>
    </row>
    <row r="1115" ht="14.25" customHeight="1">
      <c r="B1115" s="66" t="str">
        <f>ASTemp!B1115</f>
        <v/>
      </c>
      <c r="C1115" s="67" t="str">
        <f>ASTemp!C1115</f>
        <v/>
      </c>
      <c r="D1115" s="68" t="str">
        <f>ASTemp!D1115</f>
        <v/>
      </c>
      <c r="E1115" s="65" t="str">
        <f>ASTemp!E1115</f>
        <v/>
      </c>
      <c r="F1115" s="69" t="str">
        <f>TEXT(ASTemp!F1115,Decimals)</f>
        <v/>
      </c>
      <c r="G1115" s="69" t="str">
        <f>TEXT(ASTemp!G1115,Decimals)</f>
        <v/>
      </c>
      <c r="H1115" s="69" t="str">
        <f>TEXT(ASTemp!H1115,Decimals)</f>
        <v/>
      </c>
      <c r="I1115" s="69" t="str">
        <f>TEXT(ASTemp!I1115,Decimals)</f>
        <v/>
      </c>
      <c r="J1115" s="69" t="str">
        <f>TEXT(ASTemp!J1115,Decimals)</f>
        <v/>
      </c>
      <c r="K1115" s="69" t="str">
        <f>TEXT(ASTemp!K1115,Decimals)</f>
        <v/>
      </c>
      <c r="L1115" s="69" t="str">
        <f>TEXT(ASTemp!L1115,Decimals)</f>
        <v/>
      </c>
      <c r="M1115" s="71" t="str">
        <f>TEXT(ASTemp!M1115,Percentages)</f>
        <v/>
      </c>
      <c r="N1115" s="72" t="str">
        <f>TEXT(ASTemp!N1115,Percentages)</f>
        <v/>
      </c>
    </row>
    <row r="1116" ht="14.25" customHeight="1">
      <c r="B1116" s="66" t="str">
        <f>ASTemp!B1116</f>
        <v/>
      </c>
      <c r="C1116" s="67" t="str">
        <f>ASTemp!C1116</f>
        <v/>
      </c>
      <c r="D1116" s="68" t="str">
        <f>ASTemp!D1116</f>
        <v/>
      </c>
      <c r="E1116" s="65" t="str">
        <f>ASTemp!E1116</f>
        <v/>
      </c>
      <c r="F1116" s="69" t="str">
        <f>TEXT(ASTemp!F1116,Decimals)</f>
        <v/>
      </c>
      <c r="G1116" s="69" t="str">
        <f>TEXT(ASTemp!G1116,Decimals)</f>
        <v/>
      </c>
      <c r="H1116" s="69" t="str">
        <f>TEXT(ASTemp!H1116,Decimals)</f>
        <v/>
      </c>
      <c r="I1116" s="69" t="str">
        <f>TEXT(ASTemp!I1116,Decimals)</f>
        <v/>
      </c>
      <c r="J1116" s="69" t="str">
        <f>TEXT(ASTemp!J1116,Decimals)</f>
        <v/>
      </c>
      <c r="K1116" s="69" t="str">
        <f>TEXT(ASTemp!K1116,Decimals)</f>
        <v/>
      </c>
      <c r="L1116" s="69" t="str">
        <f>TEXT(ASTemp!L1116,Decimals)</f>
        <v/>
      </c>
      <c r="M1116" s="71" t="str">
        <f>TEXT(ASTemp!M1116,Percentages)</f>
        <v/>
      </c>
      <c r="N1116" s="72" t="str">
        <f>TEXT(ASTemp!N1116,Percentages)</f>
        <v/>
      </c>
    </row>
    <row r="1117" ht="14.25" customHeight="1">
      <c r="B1117" s="66" t="str">
        <f>ASTemp!B1117</f>
        <v/>
      </c>
      <c r="C1117" s="67" t="str">
        <f>ASTemp!C1117</f>
        <v/>
      </c>
      <c r="D1117" s="68" t="str">
        <f>ASTemp!D1117</f>
        <v/>
      </c>
      <c r="E1117" s="65" t="str">
        <f>ASTemp!E1117</f>
        <v/>
      </c>
      <c r="F1117" s="69" t="str">
        <f>TEXT(ASTemp!F1117,Decimals)</f>
        <v/>
      </c>
      <c r="G1117" s="69" t="str">
        <f>TEXT(ASTemp!G1117,Decimals)</f>
        <v/>
      </c>
      <c r="H1117" s="69" t="str">
        <f>TEXT(ASTemp!H1117,Decimals)</f>
        <v/>
      </c>
      <c r="I1117" s="69" t="str">
        <f>TEXT(ASTemp!I1117,Decimals)</f>
        <v/>
      </c>
      <c r="J1117" s="69" t="str">
        <f>TEXT(ASTemp!J1117,Decimals)</f>
        <v/>
      </c>
      <c r="K1117" s="69" t="str">
        <f>TEXT(ASTemp!K1117,Decimals)</f>
        <v/>
      </c>
      <c r="L1117" s="69" t="str">
        <f>TEXT(ASTemp!L1117,Decimals)</f>
        <v/>
      </c>
      <c r="M1117" s="71" t="str">
        <f>TEXT(ASTemp!M1117,Percentages)</f>
        <v/>
      </c>
      <c r="N1117" s="72" t="str">
        <f>TEXT(ASTemp!N1117,Percentages)</f>
        <v/>
      </c>
    </row>
    <row r="1118" ht="14.25" customHeight="1">
      <c r="B1118" s="66" t="str">
        <f>ASTemp!B1118</f>
        <v/>
      </c>
      <c r="C1118" s="67" t="str">
        <f>ASTemp!C1118</f>
        <v/>
      </c>
      <c r="D1118" s="68" t="str">
        <f>ASTemp!D1118</f>
        <v/>
      </c>
      <c r="E1118" s="65" t="str">
        <f>ASTemp!E1118</f>
        <v/>
      </c>
      <c r="F1118" s="69" t="str">
        <f>TEXT(ASTemp!F1118,Decimals)</f>
        <v/>
      </c>
      <c r="G1118" s="69" t="str">
        <f>TEXT(ASTemp!G1118,Decimals)</f>
        <v/>
      </c>
      <c r="H1118" s="69" t="str">
        <f>TEXT(ASTemp!H1118,Decimals)</f>
        <v/>
      </c>
      <c r="I1118" s="69" t="str">
        <f>TEXT(ASTemp!I1118,Decimals)</f>
        <v/>
      </c>
      <c r="J1118" s="69" t="str">
        <f>TEXT(ASTemp!J1118,Decimals)</f>
        <v/>
      </c>
      <c r="K1118" s="69" t="str">
        <f>TEXT(ASTemp!K1118,Decimals)</f>
        <v/>
      </c>
      <c r="L1118" s="69" t="str">
        <f>TEXT(ASTemp!L1118,Decimals)</f>
        <v/>
      </c>
      <c r="M1118" s="71" t="str">
        <f>TEXT(ASTemp!M1118,Percentages)</f>
        <v/>
      </c>
      <c r="N1118" s="72" t="str">
        <f>TEXT(ASTemp!N1118,Percentages)</f>
        <v/>
      </c>
    </row>
    <row r="1119" ht="14.25" customHeight="1">
      <c r="B1119" s="66" t="str">
        <f>ASTemp!B1119</f>
        <v/>
      </c>
      <c r="C1119" s="67" t="str">
        <f>ASTemp!C1119</f>
        <v/>
      </c>
      <c r="D1119" s="68" t="str">
        <f>ASTemp!D1119</f>
        <v/>
      </c>
      <c r="E1119" s="65" t="str">
        <f>ASTemp!E1119</f>
        <v/>
      </c>
      <c r="F1119" s="69" t="str">
        <f>TEXT(ASTemp!F1119,Decimals)</f>
        <v/>
      </c>
      <c r="G1119" s="69" t="str">
        <f>TEXT(ASTemp!G1119,Decimals)</f>
        <v/>
      </c>
      <c r="H1119" s="69" t="str">
        <f>TEXT(ASTemp!H1119,Decimals)</f>
        <v/>
      </c>
      <c r="I1119" s="69" t="str">
        <f>TEXT(ASTemp!I1119,Decimals)</f>
        <v/>
      </c>
      <c r="J1119" s="69" t="str">
        <f>TEXT(ASTemp!J1119,Decimals)</f>
        <v/>
      </c>
      <c r="K1119" s="69" t="str">
        <f>TEXT(ASTemp!K1119,Decimals)</f>
        <v/>
      </c>
      <c r="L1119" s="69" t="str">
        <f>TEXT(ASTemp!L1119,Decimals)</f>
        <v/>
      </c>
      <c r="M1119" s="71" t="str">
        <f>TEXT(ASTemp!M1119,Percentages)</f>
        <v/>
      </c>
      <c r="N1119" s="72" t="str">
        <f>TEXT(ASTemp!N1119,Percentages)</f>
        <v/>
      </c>
    </row>
    <row r="1120" ht="14.25" customHeight="1">
      <c r="B1120" s="66" t="str">
        <f>ASTemp!B1120</f>
        <v/>
      </c>
      <c r="C1120" s="67" t="str">
        <f>ASTemp!C1120</f>
        <v/>
      </c>
      <c r="D1120" s="68" t="str">
        <f>ASTemp!D1120</f>
        <v/>
      </c>
      <c r="E1120" s="65" t="str">
        <f>ASTemp!E1120</f>
        <v/>
      </c>
      <c r="F1120" s="69" t="str">
        <f>TEXT(ASTemp!F1120,Decimals)</f>
        <v/>
      </c>
      <c r="G1120" s="69" t="str">
        <f>TEXT(ASTemp!G1120,Decimals)</f>
        <v/>
      </c>
      <c r="H1120" s="69" t="str">
        <f>TEXT(ASTemp!H1120,Decimals)</f>
        <v/>
      </c>
      <c r="I1120" s="69" t="str">
        <f>TEXT(ASTemp!I1120,Decimals)</f>
        <v/>
      </c>
      <c r="J1120" s="69" t="str">
        <f>TEXT(ASTemp!J1120,Decimals)</f>
        <v/>
      </c>
      <c r="K1120" s="69" t="str">
        <f>TEXT(ASTemp!K1120,Decimals)</f>
        <v/>
      </c>
      <c r="L1120" s="69" t="str">
        <f>TEXT(ASTemp!L1120,Decimals)</f>
        <v/>
      </c>
      <c r="M1120" s="71" t="str">
        <f>TEXT(ASTemp!M1120,Percentages)</f>
        <v/>
      </c>
      <c r="N1120" s="72" t="str">
        <f>TEXT(ASTemp!N1120,Percentages)</f>
        <v/>
      </c>
    </row>
    <row r="1121" ht="14.25" customHeight="1">
      <c r="B1121" s="66" t="str">
        <f>ASTemp!B1121</f>
        <v/>
      </c>
      <c r="C1121" s="67" t="str">
        <f>ASTemp!C1121</f>
        <v/>
      </c>
      <c r="D1121" s="68" t="str">
        <f>ASTemp!D1121</f>
        <v/>
      </c>
      <c r="E1121" s="65" t="str">
        <f>ASTemp!E1121</f>
        <v/>
      </c>
      <c r="F1121" s="69" t="str">
        <f>TEXT(ASTemp!F1121,Decimals)</f>
        <v/>
      </c>
      <c r="G1121" s="69" t="str">
        <f>TEXT(ASTemp!G1121,Decimals)</f>
        <v/>
      </c>
      <c r="H1121" s="69" t="str">
        <f>TEXT(ASTemp!H1121,Decimals)</f>
        <v/>
      </c>
      <c r="I1121" s="69" t="str">
        <f>TEXT(ASTemp!I1121,Decimals)</f>
        <v/>
      </c>
      <c r="J1121" s="69" t="str">
        <f>TEXT(ASTemp!J1121,Decimals)</f>
        <v/>
      </c>
      <c r="K1121" s="69" t="str">
        <f>TEXT(ASTemp!K1121,Decimals)</f>
        <v/>
      </c>
      <c r="L1121" s="69" t="str">
        <f>TEXT(ASTemp!L1121,Decimals)</f>
        <v/>
      </c>
      <c r="M1121" s="71" t="str">
        <f>TEXT(ASTemp!M1121,Percentages)</f>
        <v/>
      </c>
      <c r="N1121" s="72" t="str">
        <f>TEXT(ASTemp!N1121,Percentages)</f>
        <v/>
      </c>
    </row>
    <row r="1122" ht="14.25" customHeight="1">
      <c r="B1122" s="66" t="str">
        <f>ASTemp!B1122</f>
        <v/>
      </c>
      <c r="C1122" s="67" t="str">
        <f>ASTemp!C1122</f>
        <v/>
      </c>
      <c r="D1122" s="68" t="str">
        <f>ASTemp!D1122</f>
        <v/>
      </c>
      <c r="E1122" s="65" t="str">
        <f>ASTemp!E1122</f>
        <v/>
      </c>
      <c r="F1122" s="69" t="str">
        <f>TEXT(ASTemp!F1122,Decimals)</f>
        <v/>
      </c>
      <c r="G1122" s="69" t="str">
        <f>TEXT(ASTemp!G1122,Decimals)</f>
        <v/>
      </c>
      <c r="H1122" s="69" t="str">
        <f>TEXT(ASTemp!H1122,Decimals)</f>
        <v/>
      </c>
      <c r="I1122" s="69" t="str">
        <f>TEXT(ASTemp!I1122,Decimals)</f>
        <v/>
      </c>
      <c r="J1122" s="69" t="str">
        <f>TEXT(ASTemp!J1122,Decimals)</f>
        <v/>
      </c>
      <c r="K1122" s="69" t="str">
        <f>TEXT(ASTemp!K1122,Decimals)</f>
        <v/>
      </c>
      <c r="L1122" s="69" t="str">
        <f>TEXT(ASTemp!L1122,Decimals)</f>
        <v/>
      </c>
      <c r="M1122" s="71" t="str">
        <f>TEXT(ASTemp!M1122,Percentages)</f>
        <v/>
      </c>
      <c r="N1122" s="72" t="str">
        <f>TEXT(ASTemp!N1122,Percentages)</f>
        <v/>
      </c>
    </row>
    <row r="1123" ht="14.25" customHeight="1">
      <c r="B1123" s="66" t="str">
        <f>ASTemp!B1123</f>
        <v/>
      </c>
      <c r="C1123" s="67" t="str">
        <f>ASTemp!C1123</f>
        <v/>
      </c>
      <c r="D1123" s="68" t="str">
        <f>ASTemp!D1123</f>
        <v/>
      </c>
      <c r="E1123" s="65" t="str">
        <f>ASTemp!E1123</f>
        <v/>
      </c>
      <c r="F1123" s="69" t="str">
        <f>TEXT(ASTemp!F1123,Decimals)</f>
        <v/>
      </c>
      <c r="G1123" s="69" t="str">
        <f>TEXT(ASTemp!G1123,Decimals)</f>
        <v/>
      </c>
      <c r="H1123" s="69" t="str">
        <f>TEXT(ASTemp!H1123,Decimals)</f>
        <v/>
      </c>
      <c r="I1123" s="69" t="str">
        <f>TEXT(ASTemp!I1123,Decimals)</f>
        <v/>
      </c>
      <c r="J1123" s="69" t="str">
        <f>TEXT(ASTemp!J1123,Decimals)</f>
        <v/>
      </c>
      <c r="K1123" s="69" t="str">
        <f>TEXT(ASTemp!K1123,Decimals)</f>
        <v/>
      </c>
      <c r="L1123" s="69" t="str">
        <f>TEXT(ASTemp!L1123,Decimals)</f>
        <v/>
      </c>
      <c r="M1123" s="71" t="str">
        <f>TEXT(ASTemp!M1123,Percentages)</f>
        <v/>
      </c>
      <c r="N1123" s="72" t="str">
        <f>TEXT(ASTemp!N1123,Percentages)</f>
        <v/>
      </c>
    </row>
    <row r="1124" ht="14.25" customHeight="1">
      <c r="B1124" s="66" t="str">
        <f>ASTemp!B1124</f>
        <v/>
      </c>
      <c r="C1124" s="67" t="str">
        <f>ASTemp!C1124</f>
        <v/>
      </c>
      <c r="D1124" s="68" t="str">
        <f>ASTemp!D1124</f>
        <v/>
      </c>
      <c r="E1124" s="65" t="str">
        <f>ASTemp!E1124</f>
        <v/>
      </c>
      <c r="F1124" s="69" t="str">
        <f>TEXT(ASTemp!F1124,Decimals)</f>
        <v/>
      </c>
      <c r="G1124" s="69" t="str">
        <f>TEXT(ASTemp!G1124,Decimals)</f>
        <v/>
      </c>
      <c r="H1124" s="69" t="str">
        <f>TEXT(ASTemp!H1124,Decimals)</f>
        <v/>
      </c>
      <c r="I1124" s="69" t="str">
        <f>TEXT(ASTemp!I1124,Decimals)</f>
        <v/>
      </c>
      <c r="J1124" s="69" t="str">
        <f>TEXT(ASTemp!J1124,Decimals)</f>
        <v/>
      </c>
      <c r="K1124" s="69" t="str">
        <f>TEXT(ASTemp!K1124,Decimals)</f>
        <v/>
      </c>
      <c r="L1124" s="69" t="str">
        <f>TEXT(ASTemp!L1124,Decimals)</f>
        <v/>
      </c>
      <c r="M1124" s="71" t="str">
        <f>TEXT(ASTemp!M1124,Percentages)</f>
        <v/>
      </c>
      <c r="N1124" s="72" t="str">
        <f>TEXT(ASTemp!N1124,Percentages)</f>
        <v/>
      </c>
    </row>
    <row r="1125" ht="14.25" customHeight="1">
      <c r="B1125" s="66" t="str">
        <f>ASTemp!B1125</f>
        <v/>
      </c>
      <c r="C1125" s="67" t="str">
        <f>ASTemp!C1125</f>
        <v/>
      </c>
      <c r="D1125" s="68" t="str">
        <f>ASTemp!D1125</f>
        <v/>
      </c>
      <c r="E1125" s="65" t="str">
        <f>ASTemp!E1125</f>
        <v/>
      </c>
      <c r="F1125" s="69" t="str">
        <f>TEXT(ASTemp!F1125,Decimals)</f>
        <v/>
      </c>
      <c r="G1125" s="69" t="str">
        <f>TEXT(ASTemp!G1125,Decimals)</f>
        <v/>
      </c>
      <c r="H1125" s="69" t="str">
        <f>TEXT(ASTemp!H1125,Decimals)</f>
        <v/>
      </c>
      <c r="I1125" s="69" t="str">
        <f>TEXT(ASTemp!I1125,Decimals)</f>
        <v/>
      </c>
      <c r="J1125" s="69" t="str">
        <f>TEXT(ASTemp!J1125,Decimals)</f>
        <v/>
      </c>
      <c r="K1125" s="69" t="str">
        <f>TEXT(ASTemp!K1125,Decimals)</f>
        <v/>
      </c>
      <c r="L1125" s="69" t="str">
        <f>TEXT(ASTemp!L1125,Decimals)</f>
        <v/>
      </c>
      <c r="M1125" s="71" t="str">
        <f>TEXT(ASTemp!M1125,Percentages)</f>
        <v/>
      </c>
      <c r="N1125" s="72" t="str">
        <f>TEXT(ASTemp!N1125,Percentages)</f>
        <v/>
      </c>
    </row>
    <row r="1126" ht="14.25" customHeight="1">
      <c r="B1126" s="66" t="str">
        <f>ASTemp!B1126</f>
        <v/>
      </c>
      <c r="C1126" s="67" t="str">
        <f>ASTemp!C1126</f>
        <v/>
      </c>
      <c r="D1126" s="68" t="str">
        <f>ASTemp!D1126</f>
        <v/>
      </c>
      <c r="E1126" s="65" t="str">
        <f>ASTemp!E1126</f>
        <v/>
      </c>
      <c r="F1126" s="69" t="str">
        <f>TEXT(ASTemp!F1126,Decimals)</f>
        <v/>
      </c>
      <c r="G1126" s="69" t="str">
        <f>TEXT(ASTemp!G1126,Decimals)</f>
        <v/>
      </c>
      <c r="H1126" s="69" t="str">
        <f>TEXT(ASTemp!H1126,Decimals)</f>
        <v/>
      </c>
      <c r="I1126" s="69" t="str">
        <f>TEXT(ASTemp!I1126,Decimals)</f>
        <v/>
      </c>
      <c r="J1126" s="69" t="str">
        <f>TEXT(ASTemp!J1126,Decimals)</f>
        <v/>
      </c>
      <c r="K1126" s="69" t="str">
        <f>TEXT(ASTemp!K1126,Decimals)</f>
        <v/>
      </c>
      <c r="L1126" s="69" t="str">
        <f>TEXT(ASTemp!L1126,Decimals)</f>
        <v/>
      </c>
      <c r="M1126" s="71" t="str">
        <f>TEXT(ASTemp!M1126,Percentages)</f>
        <v/>
      </c>
      <c r="N1126" s="72" t="str">
        <f>TEXT(ASTemp!N1126,Percentages)</f>
        <v/>
      </c>
    </row>
    <row r="1127" ht="14.25" customHeight="1">
      <c r="B1127" s="66" t="str">
        <f>ASTemp!B1127</f>
        <v/>
      </c>
      <c r="C1127" s="67" t="str">
        <f>ASTemp!C1127</f>
        <v/>
      </c>
      <c r="D1127" s="68" t="str">
        <f>ASTemp!D1127</f>
        <v/>
      </c>
      <c r="E1127" s="65" t="str">
        <f>ASTemp!E1127</f>
        <v/>
      </c>
      <c r="F1127" s="69" t="str">
        <f>TEXT(ASTemp!F1127,Decimals)</f>
        <v/>
      </c>
      <c r="G1127" s="69" t="str">
        <f>TEXT(ASTemp!G1127,Decimals)</f>
        <v/>
      </c>
      <c r="H1127" s="69" t="str">
        <f>TEXT(ASTemp!H1127,Decimals)</f>
        <v/>
      </c>
      <c r="I1127" s="69" t="str">
        <f>TEXT(ASTemp!I1127,Decimals)</f>
        <v/>
      </c>
      <c r="J1127" s="69" t="str">
        <f>TEXT(ASTemp!J1127,Decimals)</f>
        <v/>
      </c>
      <c r="K1127" s="69" t="str">
        <f>TEXT(ASTemp!K1127,Decimals)</f>
        <v/>
      </c>
      <c r="L1127" s="69" t="str">
        <f>TEXT(ASTemp!L1127,Decimals)</f>
        <v/>
      </c>
      <c r="M1127" s="71" t="str">
        <f>TEXT(ASTemp!M1127,Percentages)</f>
        <v/>
      </c>
      <c r="N1127" s="72" t="str">
        <f>TEXT(ASTemp!N1127,Percentages)</f>
        <v/>
      </c>
    </row>
    <row r="1128" ht="14.25" customHeight="1">
      <c r="B1128" s="66" t="str">
        <f>ASTemp!B1128</f>
        <v/>
      </c>
      <c r="C1128" s="67" t="str">
        <f>ASTemp!C1128</f>
        <v/>
      </c>
      <c r="D1128" s="68" t="str">
        <f>ASTemp!D1128</f>
        <v/>
      </c>
      <c r="E1128" s="65" t="str">
        <f>ASTemp!E1128</f>
        <v/>
      </c>
      <c r="F1128" s="69" t="str">
        <f>TEXT(ASTemp!F1128,Decimals)</f>
        <v/>
      </c>
      <c r="G1128" s="69" t="str">
        <f>TEXT(ASTemp!G1128,Decimals)</f>
        <v/>
      </c>
      <c r="H1128" s="69" t="str">
        <f>TEXT(ASTemp!H1128,Decimals)</f>
        <v/>
      </c>
      <c r="I1128" s="69" t="str">
        <f>TEXT(ASTemp!I1128,Decimals)</f>
        <v/>
      </c>
      <c r="J1128" s="69" t="str">
        <f>TEXT(ASTemp!J1128,Decimals)</f>
        <v/>
      </c>
      <c r="K1128" s="69" t="str">
        <f>TEXT(ASTemp!K1128,Decimals)</f>
        <v/>
      </c>
      <c r="L1128" s="69" t="str">
        <f>TEXT(ASTemp!L1128,Decimals)</f>
        <v/>
      </c>
      <c r="M1128" s="71" t="str">
        <f>TEXT(ASTemp!M1128,Percentages)</f>
        <v/>
      </c>
      <c r="N1128" s="72" t="str">
        <f>TEXT(ASTemp!N1128,Percentages)</f>
        <v/>
      </c>
    </row>
    <row r="1129" ht="14.25" customHeight="1">
      <c r="B1129" s="66" t="str">
        <f>ASTemp!B1129</f>
        <v/>
      </c>
      <c r="C1129" s="67" t="str">
        <f>ASTemp!C1129</f>
        <v/>
      </c>
      <c r="D1129" s="68" t="str">
        <f>ASTemp!D1129</f>
        <v/>
      </c>
      <c r="E1129" s="65" t="str">
        <f>ASTemp!E1129</f>
        <v/>
      </c>
      <c r="F1129" s="69" t="str">
        <f>TEXT(ASTemp!F1129,Decimals)</f>
        <v/>
      </c>
      <c r="G1129" s="69" t="str">
        <f>TEXT(ASTemp!G1129,Decimals)</f>
        <v/>
      </c>
      <c r="H1129" s="69" t="str">
        <f>TEXT(ASTemp!H1129,Decimals)</f>
        <v/>
      </c>
      <c r="I1129" s="69" t="str">
        <f>TEXT(ASTemp!I1129,Decimals)</f>
        <v/>
      </c>
      <c r="J1129" s="69" t="str">
        <f>TEXT(ASTemp!J1129,Decimals)</f>
        <v/>
      </c>
      <c r="K1129" s="69" t="str">
        <f>TEXT(ASTemp!K1129,Decimals)</f>
        <v/>
      </c>
      <c r="L1129" s="69" t="str">
        <f>TEXT(ASTemp!L1129,Decimals)</f>
        <v/>
      </c>
      <c r="M1129" s="71" t="str">
        <f>TEXT(ASTemp!M1129,Percentages)</f>
        <v/>
      </c>
      <c r="N1129" s="72" t="str">
        <f>TEXT(ASTemp!N1129,Percentages)</f>
        <v/>
      </c>
    </row>
    <row r="1130" ht="14.25" customHeight="1">
      <c r="B1130" s="66" t="str">
        <f>ASTemp!B1130</f>
        <v/>
      </c>
      <c r="C1130" s="67" t="str">
        <f>ASTemp!C1130</f>
        <v/>
      </c>
      <c r="D1130" s="68" t="str">
        <f>ASTemp!D1130</f>
        <v/>
      </c>
      <c r="E1130" s="65" t="str">
        <f>ASTemp!E1130</f>
        <v/>
      </c>
      <c r="F1130" s="69" t="str">
        <f>TEXT(ASTemp!F1130,Decimals)</f>
        <v/>
      </c>
      <c r="G1130" s="69" t="str">
        <f>TEXT(ASTemp!G1130,Decimals)</f>
        <v/>
      </c>
      <c r="H1130" s="69" t="str">
        <f>TEXT(ASTemp!H1130,Decimals)</f>
        <v/>
      </c>
      <c r="I1130" s="69" t="str">
        <f>TEXT(ASTemp!I1130,Decimals)</f>
        <v/>
      </c>
      <c r="J1130" s="69" t="str">
        <f>TEXT(ASTemp!J1130,Decimals)</f>
        <v/>
      </c>
      <c r="K1130" s="69" t="str">
        <f>TEXT(ASTemp!K1130,Decimals)</f>
        <v/>
      </c>
      <c r="L1130" s="69" t="str">
        <f>TEXT(ASTemp!L1130,Decimals)</f>
        <v/>
      </c>
      <c r="M1130" s="71" t="str">
        <f>TEXT(ASTemp!M1130,Percentages)</f>
        <v/>
      </c>
      <c r="N1130" s="72" t="str">
        <f>TEXT(ASTemp!N1130,Percentages)</f>
        <v/>
      </c>
    </row>
    <row r="1131" ht="14.25" customHeight="1">
      <c r="B1131" s="66" t="str">
        <f>ASTemp!B1131</f>
        <v/>
      </c>
      <c r="C1131" s="67" t="str">
        <f>ASTemp!C1131</f>
        <v/>
      </c>
      <c r="D1131" s="68" t="str">
        <f>ASTemp!D1131</f>
        <v/>
      </c>
      <c r="E1131" s="65" t="str">
        <f>ASTemp!E1131</f>
        <v/>
      </c>
      <c r="F1131" s="69" t="str">
        <f>TEXT(ASTemp!F1131,Decimals)</f>
        <v/>
      </c>
      <c r="G1131" s="69" t="str">
        <f>TEXT(ASTemp!G1131,Decimals)</f>
        <v/>
      </c>
      <c r="H1131" s="69" t="str">
        <f>TEXT(ASTemp!H1131,Decimals)</f>
        <v/>
      </c>
      <c r="I1131" s="69" t="str">
        <f>TEXT(ASTemp!I1131,Decimals)</f>
        <v/>
      </c>
      <c r="J1131" s="69" t="str">
        <f>TEXT(ASTemp!J1131,Decimals)</f>
        <v/>
      </c>
      <c r="K1131" s="69" t="str">
        <f>TEXT(ASTemp!K1131,Decimals)</f>
        <v/>
      </c>
      <c r="L1131" s="69" t="str">
        <f>TEXT(ASTemp!L1131,Decimals)</f>
        <v/>
      </c>
      <c r="M1131" s="71" t="str">
        <f>TEXT(ASTemp!M1131,Percentages)</f>
        <v/>
      </c>
      <c r="N1131" s="72" t="str">
        <f>TEXT(ASTemp!N1131,Percentages)</f>
        <v/>
      </c>
    </row>
    <row r="1132" ht="14.25" customHeight="1">
      <c r="B1132" s="66" t="str">
        <f>ASTemp!B1132</f>
        <v/>
      </c>
      <c r="C1132" s="67" t="str">
        <f>ASTemp!C1132</f>
        <v/>
      </c>
      <c r="D1132" s="68" t="str">
        <f>ASTemp!D1132</f>
        <v/>
      </c>
      <c r="E1132" s="65" t="str">
        <f>ASTemp!E1132</f>
        <v/>
      </c>
      <c r="F1132" s="69" t="str">
        <f>TEXT(ASTemp!F1132,Decimals)</f>
        <v/>
      </c>
      <c r="G1132" s="69" t="str">
        <f>TEXT(ASTemp!G1132,Decimals)</f>
        <v/>
      </c>
      <c r="H1132" s="69" t="str">
        <f>TEXT(ASTemp!H1132,Decimals)</f>
        <v/>
      </c>
      <c r="I1132" s="69" t="str">
        <f>TEXT(ASTemp!I1132,Decimals)</f>
        <v/>
      </c>
      <c r="J1132" s="69" t="str">
        <f>TEXT(ASTemp!J1132,Decimals)</f>
        <v/>
      </c>
      <c r="K1132" s="69" t="str">
        <f>TEXT(ASTemp!K1132,Decimals)</f>
        <v/>
      </c>
      <c r="L1132" s="69" t="str">
        <f>TEXT(ASTemp!L1132,Decimals)</f>
        <v/>
      </c>
      <c r="M1132" s="71" t="str">
        <f>TEXT(ASTemp!M1132,Percentages)</f>
        <v/>
      </c>
      <c r="N1132" s="72" t="str">
        <f>TEXT(ASTemp!N1132,Percentages)</f>
        <v/>
      </c>
    </row>
    <row r="1133" ht="14.25" customHeight="1">
      <c r="B1133" s="66" t="str">
        <f>ASTemp!B1133</f>
        <v/>
      </c>
      <c r="C1133" s="67" t="str">
        <f>ASTemp!C1133</f>
        <v/>
      </c>
      <c r="D1133" s="68" t="str">
        <f>ASTemp!D1133</f>
        <v/>
      </c>
      <c r="E1133" s="65" t="str">
        <f>ASTemp!E1133</f>
        <v/>
      </c>
      <c r="F1133" s="69" t="str">
        <f>TEXT(ASTemp!F1133,Decimals)</f>
        <v/>
      </c>
      <c r="G1133" s="69" t="str">
        <f>TEXT(ASTemp!G1133,Decimals)</f>
        <v/>
      </c>
      <c r="H1133" s="69" t="str">
        <f>TEXT(ASTemp!H1133,Decimals)</f>
        <v/>
      </c>
      <c r="I1133" s="69" t="str">
        <f>TEXT(ASTemp!I1133,Decimals)</f>
        <v/>
      </c>
      <c r="J1133" s="69" t="str">
        <f>TEXT(ASTemp!J1133,Decimals)</f>
        <v/>
      </c>
      <c r="K1133" s="69" t="str">
        <f>TEXT(ASTemp!K1133,Decimals)</f>
        <v/>
      </c>
      <c r="L1133" s="69" t="str">
        <f>TEXT(ASTemp!L1133,Decimals)</f>
        <v/>
      </c>
      <c r="M1133" s="71" t="str">
        <f>TEXT(ASTemp!M1133,Percentages)</f>
        <v/>
      </c>
      <c r="N1133" s="72" t="str">
        <f>TEXT(ASTemp!N1133,Percentages)</f>
        <v/>
      </c>
    </row>
    <row r="1134" ht="14.25" customHeight="1">
      <c r="B1134" s="66" t="str">
        <f>ASTemp!B1134</f>
        <v/>
      </c>
      <c r="C1134" s="67" t="str">
        <f>ASTemp!C1134</f>
        <v/>
      </c>
      <c r="D1134" s="68" t="str">
        <f>ASTemp!D1134</f>
        <v/>
      </c>
      <c r="E1134" s="65" t="str">
        <f>ASTemp!E1134</f>
        <v/>
      </c>
      <c r="F1134" s="69" t="str">
        <f>TEXT(ASTemp!F1134,Decimals)</f>
        <v/>
      </c>
      <c r="G1134" s="69" t="str">
        <f>TEXT(ASTemp!G1134,Decimals)</f>
        <v/>
      </c>
      <c r="H1134" s="69" t="str">
        <f>TEXT(ASTemp!H1134,Decimals)</f>
        <v/>
      </c>
      <c r="I1134" s="69" t="str">
        <f>TEXT(ASTemp!I1134,Decimals)</f>
        <v/>
      </c>
      <c r="J1134" s="69" t="str">
        <f>TEXT(ASTemp!J1134,Decimals)</f>
        <v/>
      </c>
      <c r="K1134" s="69" t="str">
        <f>TEXT(ASTemp!K1134,Decimals)</f>
        <v/>
      </c>
      <c r="L1134" s="69" t="str">
        <f>TEXT(ASTemp!L1134,Decimals)</f>
        <v/>
      </c>
      <c r="M1134" s="71" t="str">
        <f>TEXT(ASTemp!M1134,Percentages)</f>
        <v/>
      </c>
      <c r="N1134" s="72" t="str">
        <f>TEXT(ASTemp!N1134,Percentages)</f>
        <v/>
      </c>
    </row>
    <row r="1135" ht="14.25" customHeight="1">
      <c r="B1135" s="66" t="str">
        <f>ASTemp!B1135</f>
        <v/>
      </c>
      <c r="C1135" s="67" t="str">
        <f>ASTemp!C1135</f>
        <v/>
      </c>
      <c r="D1135" s="68" t="str">
        <f>ASTemp!D1135</f>
        <v/>
      </c>
      <c r="E1135" s="65" t="str">
        <f>ASTemp!E1135</f>
        <v/>
      </c>
      <c r="F1135" s="69" t="str">
        <f>TEXT(ASTemp!F1135,Decimals)</f>
        <v/>
      </c>
      <c r="G1135" s="69" t="str">
        <f>TEXT(ASTemp!G1135,Decimals)</f>
        <v/>
      </c>
      <c r="H1135" s="69" t="str">
        <f>TEXT(ASTemp!H1135,Decimals)</f>
        <v/>
      </c>
      <c r="I1135" s="69" t="str">
        <f>TEXT(ASTemp!I1135,Decimals)</f>
        <v/>
      </c>
      <c r="J1135" s="69" t="str">
        <f>TEXT(ASTemp!J1135,Decimals)</f>
        <v/>
      </c>
      <c r="K1135" s="69" t="str">
        <f>TEXT(ASTemp!K1135,Decimals)</f>
        <v/>
      </c>
      <c r="L1135" s="69" t="str">
        <f>TEXT(ASTemp!L1135,Decimals)</f>
        <v/>
      </c>
      <c r="M1135" s="71" t="str">
        <f>TEXT(ASTemp!M1135,Percentages)</f>
        <v/>
      </c>
      <c r="N1135" s="72" t="str">
        <f>TEXT(ASTemp!N1135,Percentages)</f>
        <v/>
      </c>
    </row>
    <row r="1136" ht="14.25" customHeight="1">
      <c r="B1136" s="66" t="str">
        <f>ASTemp!B1136</f>
        <v/>
      </c>
      <c r="C1136" s="67" t="str">
        <f>ASTemp!C1136</f>
        <v/>
      </c>
      <c r="D1136" s="68" t="str">
        <f>ASTemp!D1136</f>
        <v/>
      </c>
      <c r="E1136" s="65" t="str">
        <f>ASTemp!E1136</f>
        <v/>
      </c>
      <c r="F1136" s="69" t="str">
        <f>TEXT(ASTemp!F1136,Decimals)</f>
        <v/>
      </c>
      <c r="G1136" s="69" t="str">
        <f>TEXT(ASTemp!G1136,Decimals)</f>
        <v/>
      </c>
      <c r="H1136" s="69" t="str">
        <f>TEXT(ASTemp!H1136,Decimals)</f>
        <v/>
      </c>
      <c r="I1136" s="69" t="str">
        <f>TEXT(ASTemp!I1136,Decimals)</f>
        <v/>
      </c>
      <c r="J1136" s="69" t="str">
        <f>TEXT(ASTemp!J1136,Decimals)</f>
        <v/>
      </c>
      <c r="K1136" s="69" t="str">
        <f>TEXT(ASTemp!K1136,Decimals)</f>
        <v/>
      </c>
      <c r="L1136" s="69" t="str">
        <f>TEXT(ASTemp!L1136,Decimals)</f>
        <v/>
      </c>
      <c r="M1136" s="71" t="str">
        <f>TEXT(ASTemp!M1136,Percentages)</f>
        <v/>
      </c>
      <c r="N1136" s="72" t="str">
        <f>TEXT(ASTemp!N1136,Percentages)</f>
        <v/>
      </c>
    </row>
    <row r="1137" ht="14.25" customHeight="1">
      <c r="B1137" s="66" t="str">
        <f>ASTemp!B1137</f>
        <v/>
      </c>
      <c r="C1137" s="67" t="str">
        <f>ASTemp!C1137</f>
        <v/>
      </c>
      <c r="D1137" s="68" t="str">
        <f>ASTemp!D1137</f>
        <v/>
      </c>
      <c r="E1137" s="65" t="str">
        <f>ASTemp!E1137</f>
        <v/>
      </c>
      <c r="F1137" s="69" t="str">
        <f>TEXT(ASTemp!F1137,Decimals)</f>
        <v/>
      </c>
      <c r="G1137" s="69" t="str">
        <f>TEXT(ASTemp!G1137,Decimals)</f>
        <v/>
      </c>
      <c r="H1137" s="69" t="str">
        <f>TEXT(ASTemp!H1137,Decimals)</f>
        <v/>
      </c>
      <c r="I1137" s="69" t="str">
        <f>TEXT(ASTemp!I1137,Decimals)</f>
        <v/>
      </c>
      <c r="J1137" s="69" t="str">
        <f>TEXT(ASTemp!J1137,Decimals)</f>
        <v/>
      </c>
      <c r="K1137" s="69" t="str">
        <f>TEXT(ASTemp!K1137,Decimals)</f>
        <v/>
      </c>
      <c r="L1137" s="69" t="str">
        <f>TEXT(ASTemp!L1137,Decimals)</f>
        <v/>
      </c>
      <c r="M1137" s="71" t="str">
        <f>TEXT(ASTemp!M1137,Percentages)</f>
        <v/>
      </c>
      <c r="N1137" s="72" t="str">
        <f>TEXT(ASTemp!N1137,Percentages)</f>
        <v/>
      </c>
    </row>
    <row r="1138" ht="14.25" customHeight="1">
      <c r="B1138" s="66" t="str">
        <f>ASTemp!B1138</f>
        <v/>
      </c>
      <c r="C1138" s="67" t="str">
        <f>ASTemp!C1138</f>
        <v/>
      </c>
      <c r="D1138" s="68" t="str">
        <f>ASTemp!D1138</f>
        <v/>
      </c>
      <c r="E1138" s="65" t="str">
        <f>ASTemp!E1138</f>
        <v/>
      </c>
      <c r="F1138" s="69" t="str">
        <f>TEXT(ASTemp!F1138,Decimals)</f>
        <v/>
      </c>
      <c r="G1138" s="69" t="str">
        <f>TEXT(ASTemp!G1138,Decimals)</f>
        <v/>
      </c>
      <c r="H1138" s="69" t="str">
        <f>TEXT(ASTemp!H1138,Decimals)</f>
        <v/>
      </c>
      <c r="I1138" s="69" t="str">
        <f>TEXT(ASTemp!I1138,Decimals)</f>
        <v/>
      </c>
      <c r="J1138" s="69" t="str">
        <f>TEXT(ASTemp!J1138,Decimals)</f>
        <v/>
      </c>
      <c r="K1138" s="69" t="str">
        <f>TEXT(ASTemp!K1138,Decimals)</f>
        <v/>
      </c>
      <c r="L1138" s="69" t="str">
        <f>TEXT(ASTemp!L1138,Decimals)</f>
        <v/>
      </c>
      <c r="M1138" s="71" t="str">
        <f>TEXT(ASTemp!M1138,Percentages)</f>
        <v/>
      </c>
      <c r="N1138" s="72" t="str">
        <f>TEXT(ASTemp!N1138,Percentages)</f>
        <v/>
      </c>
    </row>
    <row r="1139" ht="14.25" customHeight="1">
      <c r="B1139" s="66" t="str">
        <f>ASTemp!B1139</f>
        <v/>
      </c>
      <c r="C1139" s="67" t="str">
        <f>ASTemp!C1139</f>
        <v/>
      </c>
      <c r="D1139" s="68" t="str">
        <f>ASTemp!D1139</f>
        <v/>
      </c>
      <c r="E1139" s="65" t="str">
        <f>ASTemp!E1139</f>
        <v/>
      </c>
      <c r="F1139" s="69" t="str">
        <f>TEXT(ASTemp!F1139,Decimals)</f>
        <v/>
      </c>
      <c r="G1139" s="69" t="str">
        <f>TEXT(ASTemp!G1139,Decimals)</f>
        <v/>
      </c>
      <c r="H1139" s="69" t="str">
        <f>TEXT(ASTemp!H1139,Decimals)</f>
        <v/>
      </c>
      <c r="I1139" s="69" t="str">
        <f>TEXT(ASTemp!I1139,Decimals)</f>
        <v/>
      </c>
      <c r="J1139" s="69" t="str">
        <f>TEXT(ASTemp!J1139,Decimals)</f>
        <v/>
      </c>
      <c r="K1139" s="69" t="str">
        <f>TEXT(ASTemp!K1139,Decimals)</f>
        <v/>
      </c>
      <c r="L1139" s="69" t="str">
        <f>TEXT(ASTemp!L1139,Decimals)</f>
        <v/>
      </c>
      <c r="M1139" s="71" t="str">
        <f>TEXT(ASTemp!M1139,Percentages)</f>
        <v/>
      </c>
      <c r="N1139" s="72" t="str">
        <f>TEXT(ASTemp!N1139,Percentages)</f>
        <v/>
      </c>
    </row>
    <row r="1140" ht="14.25" customHeight="1">
      <c r="B1140" s="66" t="str">
        <f>ASTemp!B1140</f>
        <v/>
      </c>
      <c r="C1140" s="67" t="str">
        <f>ASTemp!C1140</f>
        <v/>
      </c>
      <c r="D1140" s="68" t="str">
        <f>ASTemp!D1140</f>
        <v/>
      </c>
      <c r="E1140" s="65" t="str">
        <f>ASTemp!E1140</f>
        <v/>
      </c>
      <c r="F1140" s="69" t="str">
        <f>TEXT(ASTemp!F1140,Decimals)</f>
        <v/>
      </c>
      <c r="G1140" s="69" t="str">
        <f>TEXT(ASTemp!G1140,Decimals)</f>
        <v/>
      </c>
      <c r="H1140" s="69" t="str">
        <f>TEXT(ASTemp!H1140,Decimals)</f>
        <v/>
      </c>
      <c r="I1140" s="69" t="str">
        <f>TEXT(ASTemp!I1140,Decimals)</f>
        <v/>
      </c>
      <c r="J1140" s="69" t="str">
        <f>TEXT(ASTemp!J1140,Decimals)</f>
        <v/>
      </c>
      <c r="K1140" s="69" t="str">
        <f>TEXT(ASTemp!K1140,Decimals)</f>
        <v/>
      </c>
      <c r="L1140" s="69" t="str">
        <f>TEXT(ASTemp!L1140,Decimals)</f>
        <v/>
      </c>
      <c r="M1140" s="71" t="str">
        <f>TEXT(ASTemp!M1140,Percentages)</f>
        <v/>
      </c>
      <c r="N1140" s="72" t="str">
        <f>TEXT(ASTemp!N1140,Percentages)</f>
        <v/>
      </c>
    </row>
    <row r="1141" ht="14.25" customHeight="1">
      <c r="B1141" s="66" t="str">
        <f>ASTemp!B1141</f>
        <v/>
      </c>
      <c r="C1141" s="67" t="str">
        <f>ASTemp!C1141</f>
        <v/>
      </c>
      <c r="D1141" s="68" t="str">
        <f>ASTemp!D1141</f>
        <v/>
      </c>
      <c r="E1141" s="65" t="str">
        <f>ASTemp!E1141</f>
        <v/>
      </c>
      <c r="F1141" s="69" t="str">
        <f>TEXT(ASTemp!F1141,Decimals)</f>
        <v/>
      </c>
      <c r="G1141" s="69" t="str">
        <f>TEXT(ASTemp!G1141,Decimals)</f>
        <v/>
      </c>
      <c r="H1141" s="69" t="str">
        <f>TEXT(ASTemp!H1141,Decimals)</f>
        <v/>
      </c>
      <c r="I1141" s="69" t="str">
        <f>TEXT(ASTemp!I1141,Decimals)</f>
        <v/>
      </c>
      <c r="J1141" s="69" t="str">
        <f>TEXT(ASTemp!J1141,Decimals)</f>
        <v/>
      </c>
      <c r="K1141" s="69" t="str">
        <f>TEXT(ASTemp!K1141,Decimals)</f>
        <v/>
      </c>
      <c r="L1141" s="69" t="str">
        <f>TEXT(ASTemp!L1141,Decimals)</f>
        <v/>
      </c>
      <c r="M1141" s="71" t="str">
        <f>TEXT(ASTemp!M1141,Percentages)</f>
        <v/>
      </c>
      <c r="N1141" s="72" t="str">
        <f>TEXT(ASTemp!N1141,Percentages)</f>
        <v/>
      </c>
    </row>
    <row r="1142" ht="14.25" customHeight="1">
      <c r="B1142" s="66" t="str">
        <f>ASTemp!B1142</f>
        <v/>
      </c>
      <c r="C1142" s="67" t="str">
        <f>ASTemp!C1142</f>
        <v/>
      </c>
      <c r="D1142" s="68" t="str">
        <f>ASTemp!D1142</f>
        <v/>
      </c>
      <c r="E1142" s="65" t="str">
        <f>ASTemp!E1142</f>
        <v/>
      </c>
      <c r="F1142" s="69" t="str">
        <f>TEXT(ASTemp!F1142,Decimals)</f>
        <v/>
      </c>
      <c r="G1142" s="69" t="str">
        <f>TEXT(ASTemp!G1142,Decimals)</f>
        <v/>
      </c>
      <c r="H1142" s="69" t="str">
        <f>TEXT(ASTemp!H1142,Decimals)</f>
        <v/>
      </c>
      <c r="I1142" s="69" t="str">
        <f>TEXT(ASTemp!I1142,Decimals)</f>
        <v/>
      </c>
      <c r="J1142" s="69" t="str">
        <f>TEXT(ASTemp!J1142,Decimals)</f>
        <v/>
      </c>
      <c r="K1142" s="69" t="str">
        <f>TEXT(ASTemp!K1142,Decimals)</f>
        <v/>
      </c>
      <c r="L1142" s="69" t="str">
        <f>TEXT(ASTemp!L1142,Decimals)</f>
        <v/>
      </c>
      <c r="M1142" s="71" t="str">
        <f>TEXT(ASTemp!M1142,Percentages)</f>
        <v/>
      </c>
      <c r="N1142" s="72" t="str">
        <f>TEXT(ASTemp!N1142,Percentages)</f>
        <v/>
      </c>
    </row>
    <row r="1143" ht="14.25" customHeight="1">
      <c r="B1143" s="66" t="str">
        <f>ASTemp!B1143</f>
        <v/>
      </c>
      <c r="C1143" s="67" t="str">
        <f>ASTemp!C1143</f>
        <v/>
      </c>
      <c r="D1143" s="68" t="str">
        <f>ASTemp!D1143</f>
        <v/>
      </c>
      <c r="E1143" s="65" t="str">
        <f>ASTemp!E1143</f>
        <v/>
      </c>
      <c r="F1143" s="69" t="str">
        <f>TEXT(ASTemp!F1143,Decimals)</f>
        <v/>
      </c>
      <c r="G1143" s="69" t="str">
        <f>TEXT(ASTemp!G1143,Decimals)</f>
        <v/>
      </c>
      <c r="H1143" s="69" t="str">
        <f>TEXT(ASTemp!H1143,Decimals)</f>
        <v/>
      </c>
      <c r="I1143" s="69" t="str">
        <f>TEXT(ASTemp!I1143,Decimals)</f>
        <v/>
      </c>
      <c r="J1143" s="69" t="str">
        <f>TEXT(ASTemp!J1143,Decimals)</f>
        <v/>
      </c>
      <c r="K1143" s="69" t="str">
        <f>TEXT(ASTemp!K1143,Decimals)</f>
        <v/>
      </c>
      <c r="L1143" s="69" t="str">
        <f>TEXT(ASTemp!L1143,Decimals)</f>
        <v/>
      </c>
      <c r="M1143" s="71" t="str">
        <f>TEXT(ASTemp!M1143,Percentages)</f>
        <v/>
      </c>
      <c r="N1143" s="72" t="str">
        <f>TEXT(ASTemp!N1143,Percentages)</f>
        <v/>
      </c>
    </row>
    <row r="1144" ht="14.25" customHeight="1">
      <c r="B1144" s="66" t="str">
        <f>ASTemp!B1144</f>
        <v/>
      </c>
      <c r="C1144" s="67" t="str">
        <f>ASTemp!C1144</f>
        <v/>
      </c>
      <c r="D1144" s="68" t="str">
        <f>ASTemp!D1144</f>
        <v/>
      </c>
      <c r="E1144" s="65" t="str">
        <f>ASTemp!E1144</f>
        <v/>
      </c>
      <c r="F1144" s="69" t="str">
        <f>TEXT(ASTemp!F1144,Decimals)</f>
        <v/>
      </c>
      <c r="G1144" s="69" t="str">
        <f>TEXT(ASTemp!G1144,Decimals)</f>
        <v/>
      </c>
      <c r="H1144" s="69" t="str">
        <f>TEXT(ASTemp!H1144,Decimals)</f>
        <v/>
      </c>
      <c r="I1144" s="69" t="str">
        <f>TEXT(ASTemp!I1144,Decimals)</f>
        <v/>
      </c>
      <c r="J1144" s="69" t="str">
        <f>TEXT(ASTemp!J1144,Decimals)</f>
        <v/>
      </c>
      <c r="K1144" s="69" t="str">
        <f>TEXT(ASTemp!K1144,Decimals)</f>
        <v/>
      </c>
      <c r="L1144" s="69" t="str">
        <f>TEXT(ASTemp!L1144,Decimals)</f>
        <v/>
      </c>
      <c r="M1144" s="71" t="str">
        <f>TEXT(ASTemp!M1144,Percentages)</f>
        <v/>
      </c>
      <c r="N1144" s="72" t="str">
        <f>TEXT(ASTemp!N1144,Percentages)</f>
        <v/>
      </c>
    </row>
    <row r="1145" ht="14.25" customHeight="1">
      <c r="B1145" s="66" t="str">
        <f>ASTemp!B1145</f>
        <v/>
      </c>
      <c r="C1145" s="67" t="str">
        <f>ASTemp!C1145</f>
        <v/>
      </c>
      <c r="D1145" s="68" t="str">
        <f>ASTemp!D1145</f>
        <v/>
      </c>
      <c r="E1145" s="65" t="str">
        <f>ASTemp!E1145</f>
        <v/>
      </c>
      <c r="F1145" s="69" t="str">
        <f>TEXT(ASTemp!F1145,Decimals)</f>
        <v/>
      </c>
      <c r="G1145" s="69" t="str">
        <f>TEXT(ASTemp!G1145,Decimals)</f>
        <v/>
      </c>
      <c r="H1145" s="69" t="str">
        <f>TEXT(ASTemp!H1145,Decimals)</f>
        <v/>
      </c>
      <c r="I1145" s="69" t="str">
        <f>TEXT(ASTemp!I1145,Decimals)</f>
        <v/>
      </c>
      <c r="J1145" s="69" t="str">
        <f>TEXT(ASTemp!J1145,Decimals)</f>
        <v/>
      </c>
      <c r="K1145" s="69" t="str">
        <f>TEXT(ASTemp!K1145,Decimals)</f>
        <v/>
      </c>
      <c r="L1145" s="69" t="str">
        <f>TEXT(ASTemp!L1145,Decimals)</f>
        <v/>
      </c>
      <c r="M1145" s="71" t="str">
        <f>TEXT(ASTemp!M1145,Percentages)</f>
        <v/>
      </c>
      <c r="N1145" s="72" t="str">
        <f>TEXT(ASTemp!N1145,Percentages)</f>
        <v/>
      </c>
    </row>
    <row r="1146" ht="14.25" customHeight="1">
      <c r="B1146" s="66" t="str">
        <f>ASTemp!B1146</f>
        <v/>
      </c>
      <c r="C1146" s="67" t="str">
        <f>ASTemp!C1146</f>
        <v/>
      </c>
      <c r="D1146" s="68" t="str">
        <f>ASTemp!D1146</f>
        <v/>
      </c>
      <c r="E1146" s="65" t="str">
        <f>ASTemp!E1146</f>
        <v/>
      </c>
      <c r="F1146" s="69" t="str">
        <f>TEXT(ASTemp!F1146,Decimals)</f>
        <v/>
      </c>
      <c r="G1146" s="69" t="str">
        <f>TEXT(ASTemp!G1146,Decimals)</f>
        <v/>
      </c>
      <c r="H1146" s="69" t="str">
        <f>TEXT(ASTemp!H1146,Decimals)</f>
        <v/>
      </c>
      <c r="I1146" s="69" t="str">
        <f>TEXT(ASTemp!I1146,Decimals)</f>
        <v/>
      </c>
      <c r="J1146" s="69" t="str">
        <f>TEXT(ASTemp!J1146,Decimals)</f>
        <v/>
      </c>
      <c r="K1146" s="69" t="str">
        <f>TEXT(ASTemp!K1146,Decimals)</f>
        <v/>
      </c>
      <c r="L1146" s="69" t="str">
        <f>TEXT(ASTemp!L1146,Decimals)</f>
        <v/>
      </c>
      <c r="M1146" s="71" t="str">
        <f>TEXT(ASTemp!M1146,Percentages)</f>
        <v/>
      </c>
      <c r="N1146" s="72" t="str">
        <f>TEXT(ASTemp!N1146,Percentages)</f>
        <v/>
      </c>
    </row>
    <row r="1147" ht="14.25" customHeight="1">
      <c r="B1147" s="66" t="str">
        <f>ASTemp!B1147</f>
        <v/>
      </c>
      <c r="C1147" s="67" t="str">
        <f>ASTemp!C1147</f>
        <v/>
      </c>
      <c r="D1147" s="68" t="str">
        <f>ASTemp!D1147</f>
        <v/>
      </c>
      <c r="E1147" s="65" t="str">
        <f>ASTemp!E1147</f>
        <v/>
      </c>
      <c r="F1147" s="69" t="str">
        <f>TEXT(ASTemp!F1147,Decimals)</f>
        <v/>
      </c>
      <c r="G1147" s="69" t="str">
        <f>TEXT(ASTemp!G1147,Decimals)</f>
        <v/>
      </c>
      <c r="H1147" s="69" t="str">
        <f>TEXT(ASTemp!H1147,Decimals)</f>
        <v/>
      </c>
      <c r="I1147" s="69" t="str">
        <f>TEXT(ASTemp!I1147,Decimals)</f>
        <v/>
      </c>
      <c r="J1147" s="69" t="str">
        <f>TEXT(ASTemp!J1147,Decimals)</f>
        <v/>
      </c>
      <c r="K1147" s="69" t="str">
        <f>TEXT(ASTemp!K1147,Decimals)</f>
        <v/>
      </c>
      <c r="L1147" s="69" t="str">
        <f>TEXT(ASTemp!L1147,Decimals)</f>
        <v/>
      </c>
      <c r="M1147" s="71" t="str">
        <f>TEXT(ASTemp!M1147,Percentages)</f>
        <v/>
      </c>
      <c r="N1147" s="72" t="str">
        <f>TEXT(ASTemp!N1147,Percentages)</f>
        <v/>
      </c>
    </row>
    <row r="1148" ht="14.25" customHeight="1">
      <c r="B1148" s="66" t="str">
        <f>ASTemp!B1148</f>
        <v/>
      </c>
      <c r="C1148" s="67" t="str">
        <f>ASTemp!C1148</f>
        <v/>
      </c>
      <c r="D1148" s="68" t="str">
        <f>ASTemp!D1148</f>
        <v/>
      </c>
      <c r="E1148" s="65" t="str">
        <f>ASTemp!E1148</f>
        <v/>
      </c>
      <c r="F1148" s="69" t="str">
        <f>TEXT(ASTemp!F1148,Decimals)</f>
        <v/>
      </c>
      <c r="G1148" s="69" t="str">
        <f>TEXT(ASTemp!G1148,Decimals)</f>
        <v/>
      </c>
      <c r="H1148" s="69" t="str">
        <f>TEXT(ASTemp!H1148,Decimals)</f>
        <v/>
      </c>
      <c r="I1148" s="69" t="str">
        <f>TEXT(ASTemp!I1148,Decimals)</f>
        <v/>
      </c>
      <c r="J1148" s="69" t="str">
        <f>TEXT(ASTemp!J1148,Decimals)</f>
        <v/>
      </c>
      <c r="K1148" s="69" t="str">
        <f>TEXT(ASTemp!K1148,Decimals)</f>
        <v/>
      </c>
      <c r="L1148" s="69" t="str">
        <f>TEXT(ASTemp!L1148,Decimals)</f>
        <v/>
      </c>
      <c r="M1148" s="71" t="str">
        <f>TEXT(ASTemp!M1148,Percentages)</f>
        <v/>
      </c>
      <c r="N1148" s="72" t="str">
        <f>TEXT(ASTemp!N1148,Percentages)</f>
        <v/>
      </c>
    </row>
    <row r="1149" ht="14.25" customHeight="1">
      <c r="B1149" s="66" t="str">
        <f>ASTemp!B1149</f>
        <v/>
      </c>
      <c r="C1149" s="67" t="str">
        <f>ASTemp!C1149</f>
        <v/>
      </c>
      <c r="D1149" s="68" t="str">
        <f>ASTemp!D1149</f>
        <v/>
      </c>
      <c r="E1149" s="65" t="str">
        <f>ASTemp!E1149</f>
        <v/>
      </c>
      <c r="F1149" s="69" t="str">
        <f>TEXT(ASTemp!F1149,Decimals)</f>
        <v/>
      </c>
      <c r="G1149" s="69" t="str">
        <f>TEXT(ASTemp!G1149,Decimals)</f>
        <v/>
      </c>
      <c r="H1149" s="69" t="str">
        <f>TEXT(ASTemp!H1149,Decimals)</f>
        <v/>
      </c>
      <c r="I1149" s="69" t="str">
        <f>TEXT(ASTemp!I1149,Decimals)</f>
        <v/>
      </c>
      <c r="J1149" s="69" t="str">
        <f>TEXT(ASTemp!J1149,Decimals)</f>
        <v/>
      </c>
      <c r="K1149" s="69" t="str">
        <f>TEXT(ASTemp!K1149,Decimals)</f>
        <v/>
      </c>
      <c r="L1149" s="69" t="str">
        <f>TEXT(ASTemp!L1149,Decimals)</f>
        <v/>
      </c>
      <c r="M1149" s="71" t="str">
        <f>TEXT(ASTemp!M1149,Percentages)</f>
        <v/>
      </c>
      <c r="N1149" s="72" t="str">
        <f>TEXT(ASTemp!N1149,Percentages)</f>
        <v/>
      </c>
    </row>
    <row r="1150" ht="14.25" customHeight="1">
      <c r="B1150" s="66" t="str">
        <f>ASTemp!B1150</f>
        <v/>
      </c>
      <c r="C1150" s="67" t="str">
        <f>ASTemp!C1150</f>
        <v/>
      </c>
      <c r="D1150" s="68" t="str">
        <f>ASTemp!D1150</f>
        <v/>
      </c>
      <c r="E1150" s="65" t="str">
        <f>ASTemp!E1150</f>
        <v/>
      </c>
      <c r="F1150" s="69" t="str">
        <f>TEXT(ASTemp!F1150,Decimals)</f>
        <v/>
      </c>
      <c r="G1150" s="69" t="str">
        <f>TEXT(ASTemp!G1150,Decimals)</f>
        <v/>
      </c>
      <c r="H1150" s="69" t="str">
        <f>TEXT(ASTemp!H1150,Decimals)</f>
        <v/>
      </c>
      <c r="I1150" s="69" t="str">
        <f>TEXT(ASTemp!I1150,Decimals)</f>
        <v/>
      </c>
      <c r="J1150" s="69" t="str">
        <f>TEXT(ASTemp!J1150,Decimals)</f>
        <v/>
      </c>
      <c r="K1150" s="69" t="str">
        <f>TEXT(ASTemp!K1150,Decimals)</f>
        <v/>
      </c>
      <c r="L1150" s="69" t="str">
        <f>TEXT(ASTemp!L1150,Decimals)</f>
        <v/>
      </c>
      <c r="M1150" s="71" t="str">
        <f>TEXT(ASTemp!M1150,Percentages)</f>
        <v/>
      </c>
      <c r="N1150" s="72" t="str">
        <f>TEXT(ASTemp!N1150,Percentages)</f>
        <v/>
      </c>
    </row>
    <row r="1151" ht="14.25" customHeight="1">
      <c r="B1151" s="66" t="str">
        <f>ASTemp!B1151</f>
        <v/>
      </c>
      <c r="C1151" s="67" t="str">
        <f>ASTemp!C1151</f>
        <v/>
      </c>
      <c r="D1151" s="68" t="str">
        <f>ASTemp!D1151</f>
        <v/>
      </c>
      <c r="E1151" s="65" t="str">
        <f>ASTemp!E1151</f>
        <v/>
      </c>
      <c r="F1151" s="69" t="str">
        <f>TEXT(ASTemp!F1151,Decimals)</f>
        <v/>
      </c>
      <c r="G1151" s="69" t="str">
        <f>TEXT(ASTemp!G1151,Decimals)</f>
        <v/>
      </c>
      <c r="H1151" s="69" t="str">
        <f>TEXT(ASTemp!H1151,Decimals)</f>
        <v/>
      </c>
      <c r="I1151" s="69" t="str">
        <f>TEXT(ASTemp!I1151,Decimals)</f>
        <v/>
      </c>
      <c r="J1151" s="69" t="str">
        <f>TEXT(ASTemp!J1151,Decimals)</f>
        <v/>
      </c>
      <c r="K1151" s="69" t="str">
        <f>TEXT(ASTemp!K1151,Decimals)</f>
        <v/>
      </c>
      <c r="L1151" s="69" t="str">
        <f>TEXT(ASTemp!L1151,Decimals)</f>
        <v/>
      </c>
      <c r="M1151" s="71" t="str">
        <f>TEXT(ASTemp!M1151,Percentages)</f>
        <v/>
      </c>
      <c r="N1151" s="72" t="str">
        <f>TEXT(ASTemp!N1151,Percentages)</f>
        <v/>
      </c>
    </row>
    <row r="1152" ht="14.25" customHeight="1">
      <c r="B1152" s="66" t="str">
        <f>ASTemp!B1152</f>
        <v/>
      </c>
      <c r="C1152" s="67" t="str">
        <f>ASTemp!C1152</f>
        <v/>
      </c>
      <c r="D1152" s="68" t="str">
        <f>ASTemp!D1152</f>
        <v/>
      </c>
      <c r="E1152" s="65" t="str">
        <f>ASTemp!E1152</f>
        <v/>
      </c>
      <c r="F1152" s="69" t="str">
        <f>TEXT(ASTemp!F1152,Decimals)</f>
        <v/>
      </c>
      <c r="G1152" s="69" t="str">
        <f>TEXT(ASTemp!G1152,Decimals)</f>
        <v/>
      </c>
      <c r="H1152" s="69" t="str">
        <f>TEXT(ASTemp!H1152,Decimals)</f>
        <v/>
      </c>
      <c r="I1152" s="69" t="str">
        <f>TEXT(ASTemp!I1152,Decimals)</f>
        <v/>
      </c>
      <c r="J1152" s="69" t="str">
        <f>TEXT(ASTemp!J1152,Decimals)</f>
        <v/>
      </c>
      <c r="K1152" s="69" t="str">
        <f>TEXT(ASTemp!K1152,Decimals)</f>
        <v/>
      </c>
      <c r="L1152" s="69" t="str">
        <f>TEXT(ASTemp!L1152,Decimals)</f>
        <v/>
      </c>
      <c r="M1152" s="71" t="str">
        <f>TEXT(ASTemp!M1152,Percentages)</f>
        <v/>
      </c>
      <c r="N1152" s="72" t="str">
        <f>TEXT(ASTemp!N1152,Percentages)</f>
        <v/>
      </c>
    </row>
    <row r="1153" ht="14.25" customHeight="1">
      <c r="B1153" s="66" t="str">
        <f>ASTemp!B1153</f>
        <v/>
      </c>
      <c r="C1153" s="67" t="str">
        <f>ASTemp!C1153</f>
        <v/>
      </c>
      <c r="D1153" s="68" t="str">
        <f>ASTemp!D1153</f>
        <v/>
      </c>
      <c r="E1153" s="65" t="str">
        <f>ASTemp!E1153</f>
        <v/>
      </c>
      <c r="F1153" s="69" t="str">
        <f>TEXT(ASTemp!F1153,Decimals)</f>
        <v/>
      </c>
      <c r="G1153" s="69" t="str">
        <f>TEXT(ASTemp!G1153,Decimals)</f>
        <v/>
      </c>
      <c r="H1153" s="69" t="str">
        <f>TEXT(ASTemp!H1153,Decimals)</f>
        <v/>
      </c>
      <c r="I1153" s="69" t="str">
        <f>TEXT(ASTemp!I1153,Decimals)</f>
        <v/>
      </c>
      <c r="J1153" s="69" t="str">
        <f>TEXT(ASTemp!J1153,Decimals)</f>
        <v/>
      </c>
      <c r="K1153" s="69" t="str">
        <f>TEXT(ASTemp!K1153,Decimals)</f>
        <v/>
      </c>
      <c r="L1153" s="69" t="str">
        <f>TEXT(ASTemp!L1153,Decimals)</f>
        <v/>
      </c>
      <c r="M1153" s="71" t="str">
        <f>TEXT(ASTemp!M1153,Percentages)</f>
        <v/>
      </c>
      <c r="N1153" s="72" t="str">
        <f>TEXT(ASTemp!N1153,Percentages)</f>
        <v/>
      </c>
    </row>
    <row r="1154" ht="14.25" customHeight="1">
      <c r="B1154" s="66" t="str">
        <f>ASTemp!B1154</f>
        <v/>
      </c>
      <c r="C1154" s="67" t="str">
        <f>ASTemp!C1154</f>
        <v/>
      </c>
      <c r="D1154" s="68" t="str">
        <f>ASTemp!D1154</f>
        <v/>
      </c>
      <c r="E1154" s="65" t="str">
        <f>ASTemp!E1154</f>
        <v/>
      </c>
      <c r="F1154" s="69" t="str">
        <f>TEXT(ASTemp!F1154,Decimals)</f>
        <v/>
      </c>
      <c r="G1154" s="69" t="str">
        <f>TEXT(ASTemp!G1154,Decimals)</f>
        <v/>
      </c>
      <c r="H1154" s="69" t="str">
        <f>TEXT(ASTemp!H1154,Decimals)</f>
        <v/>
      </c>
      <c r="I1154" s="69" t="str">
        <f>TEXT(ASTemp!I1154,Decimals)</f>
        <v/>
      </c>
      <c r="J1154" s="69" t="str">
        <f>TEXT(ASTemp!J1154,Decimals)</f>
        <v/>
      </c>
      <c r="K1154" s="69" t="str">
        <f>TEXT(ASTemp!K1154,Decimals)</f>
        <v/>
      </c>
      <c r="L1154" s="69" t="str">
        <f>TEXT(ASTemp!L1154,Decimals)</f>
        <v/>
      </c>
      <c r="M1154" s="71" t="str">
        <f>TEXT(ASTemp!M1154,Percentages)</f>
        <v/>
      </c>
      <c r="N1154" s="72" t="str">
        <f>TEXT(ASTemp!N1154,Percentages)</f>
        <v/>
      </c>
    </row>
    <row r="1155" ht="14.25" customHeight="1">
      <c r="B1155" s="66" t="str">
        <f>ASTemp!B1155</f>
        <v/>
      </c>
      <c r="C1155" s="67" t="str">
        <f>ASTemp!C1155</f>
        <v/>
      </c>
      <c r="D1155" s="68" t="str">
        <f>ASTemp!D1155</f>
        <v/>
      </c>
      <c r="E1155" s="65" t="str">
        <f>ASTemp!E1155</f>
        <v/>
      </c>
      <c r="F1155" s="69" t="str">
        <f>TEXT(ASTemp!F1155,Decimals)</f>
        <v/>
      </c>
      <c r="G1155" s="69" t="str">
        <f>TEXT(ASTemp!G1155,Decimals)</f>
        <v/>
      </c>
      <c r="H1155" s="69" t="str">
        <f>TEXT(ASTemp!H1155,Decimals)</f>
        <v/>
      </c>
      <c r="I1155" s="69" t="str">
        <f>TEXT(ASTemp!I1155,Decimals)</f>
        <v/>
      </c>
      <c r="J1155" s="69" t="str">
        <f>TEXT(ASTemp!J1155,Decimals)</f>
        <v/>
      </c>
      <c r="K1155" s="69" t="str">
        <f>TEXT(ASTemp!K1155,Decimals)</f>
        <v/>
      </c>
      <c r="L1155" s="69" t="str">
        <f>TEXT(ASTemp!L1155,Decimals)</f>
        <v/>
      </c>
      <c r="M1155" s="71" t="str">
        <f>TEXT(ASTemp!M1155,Percentages)</f>
        <v/>
      </c>
      <c r="N1155" s="72" t="str">
        <f>TEXT(ASTemp!N1155,Percentages)</f>
        <v/>
      </c>
    </row>
    <row r="1156" ht="14.25" customHeight="1">
      <c r="B1156" s="66" t="str">
        <f>ASTemp!B1156</f>
        <v/>
      </c>
      <c r="C1156" s="67" t="str">
        <f>ASTemp!C1156</f>
        <v/>
      </c>
      <c r="D1156" s="68" t="str">
        <f>ASTemp!D1156</f>
        <v/>
      </c>
      <c r="E1156" s="65" t="str">
        <f>ASTemp!E1156</f>
        <v/>
      </c>
      <c r="F1156" s="69" t="str">
        <f>TEXT(ASTemp!F1156,Decimals)</f>
        <v/>
      </c>
      <c r="G1156" s="69" t="str">
        <f>TEXT(ASTemp!G1156,Decimals)</f>
        <v/>
      </c>
      <c r="H1156" s="69" t="str">
        <f>TEXT(ASTemp!H1156,Decimals)</f>
        <v/>
      </c>
      <c r="I1156" s="69" t="str">
        <f>TEXT(ASTemp!I1156,Decimals)</f>
        <v/>
      </c>
      <c r="J1156" s="69" t="str">
        <f>TEXT(ASTemp!J1156,Decimals)</f>
        <v/>
      </c>
      <c r="K1156" s="69" t="str">
        <f>TEXT(ASTemp!K1156,Decimals)</f>
        <v/>
      </c>
      <c r="L1156" s="69" t="str">
        <f>TEXT(ASTemp!L1156,Decimals)</f>
        <v/>
      </c>
      <c r="M1156" s="71" t="str">
        <f>TEXT(ASTemp!M1156,Percentages)</f>
        <v/>
      </c>
      <c r="N1156" s="72" t="str">
        <f>TEXT(ASTemp!N1156,Percentages)</f>
        <v/>
      </c>
    </row>
    <row r="1157" ht="14.25" customHeight="1">
      <c r="B1157" s="66" t="str">
        <f>ASTemp!B1157</f>
        <v/>
      </c>
      <c r="C1157" s="67" t="str">
        <f>ASTemp!C1157</f>
        <v/>
      </c>
      <c r="D1157" s="68" t="str">
        <f>ASTemp!D1157</f>
        <v/>
      </c>
      <c r="E1157" s="65" t="str">
        <f>ASTemp!E1157</f>
        <v/>
      </c>
      <c r="F1157" s="69" t="str">
        <f>TEXT(ASTemp!F1157,Decimals)</f>
        <v/>
      </c>
      <c r="G1157" s="69" t="str">
        <f>TEXT(ASTemp!G1157,Decimals)</f>
        <v/>
      </c>
      <c r="H1157" s="69" t="str">
        <f>TEXT(ASTemp!H1157,Decimals)</f>
        <v/>
      </c>
      <c r="I1157" s="69" t="str">
        <f>TEXT(ASTemp!I1157,Decimals)</f>
        <v/>
      </c>
      <c r="J1157" s="69" t="str">
        <f>TEXT(ASTemp!J1157,Decimals)</f>
        <v/>
      </c>
      <c r="K1157" s="69" t="str">
        <f>TEXT(ASTemp!K1157,Decimals)</f>
        <v/>
      </c>
      <c r="L1157" s="69" t="str">
        <f>TEXT(ASTemp!L1157,Decimals)</f>
        <v/>
      </c>
      <c r="M1157" s="71" t="str">
        <f>TEXT(ASTemp!M1157,Percentages)</f>
        <v/>
      </c>
      <c r="N1157" s="72" t="str">
        <f>TEXT(ASTemp!N1157,Percentages)</f>
        <v/>
      </c>
    </row>
    <row r="1158" ht="14.25" customHeight="1">
      <c r="B1158" s="66" t="str">
        <f>ASTemp!B1158</f>
        <v/>
      </c>
      <c r="C1158" s="67" t="str">
        <f>ASTemp!C1158</f>
        <v/>
      </c>
      <c r="D1158" s="68" t="str">
        <f>ASTemp!D1158</f>
        <v/>
      </c>
      <c r="E1158" s="65" t="str">
        <f>ASTemp!E1158</f>
        <v/>
      </c>
      <c r="F1158" s="69" t="str">
        <f>TEXT(ASTemp!F1158,Decimals)</f>
        <v/>
      </c>
      <c r="G1158" s="69" t="str">
        <f>TEXT(ASTemp!G1158,Decimals)</f>
        <v/>
      </c>
      <c r="H1158" s="69" t="str">
        <f>TEXT(ASTemp!H1158,Decimals)</f>
        <v/>
      </c>
      <c r="I1158" s="69" t="str">
        <f>TEXT(ASTemp!I1158,Decimals)</f>
        <v/>
      </c>
      <c r="J1158" s="69" t="str">
        <f>TEXT(ASTemp!J1158,Decimals)</f>
        <v/>
      </c>
      <c r="K1158" s="69" t="str">
        <f>TEXT(ASTemp!K1158,Decimals)</f>
        <v/>
      </c>
      <c r="L1158" s="69" t="str">
        <f>TEXT(ASTemp!L1158,Decimals)</f>
        <v/>
      </c>
      <c r="M1158" s="71" t="str">
        <f>TEXT(ASTemp!M1158,Percentages)</f>
        <v/>
      </c>
      <c r="N1158" s="72" t="str">
        <f>TEXT(ASTemp!N1158,Percentages)</f>
        <v/>
      </c>
    </row>
    <row r="1159" ht="14.25" customHeight="1">
      <c r="B1159" s="66" t="str">
        <f>ASTemp!B1159</f>
        <v/>
      </c>
      <c r="C1159" s="67" t="str">
        <f>ASTemp!C1159</f>
        <v/>
      </c>
      <c r="D1159" s="68" t="str">
        <f>ASTemp!D1159</f>
        <v/>
      </c>
      <c r="E1159" s="65" t="str">
        <f>ASTemp!E1159</f>
        <v/>
      </c>
      <c r="F1159" s="69" t="str">
        <f>TEXT(ASTemp!F1159,Decimals)</f>
        <v/>
      </c>
      <c r="G1159" s="69" t="str">
        <f>TEXT(ASTemp!G1159,Decimals)</f>
        <v/>
      </c>
      <c r="H1159" s="69" t="str">
        <f>TEXT(ASTemp!H1159,Decimals)</f>
        <v/>
      </c>
      <c r="I1159" s="69" t="str">
        <f>TEXT(ASTemp!I1159,Decimals)</f>
        <v/>
      </c>
      <c r="J1159" s="69" t="str">
        <f>TEXT(ASTemp!J1159,Decimals)</f>
        <v/>
      </c>
      <c r="K1159" s="69" t="str">
        <f>TEXT(ASTemp!K1159,Decimals)</f>
        <v/>
      </c>
      <c r="L1159" s="69" t="str">
        <f>TEXT(ASTemp!L1159,Decimals)</f>
        <v/>
      </c>
      <c r="M1159" s="71" t="str">
        <f>TEXT(ASTemp!M1159,Percentages)</f>
        <v/>
      </c>
      <c r="N1159" s="72" t="str">
        <f>TEXT(ASTemp!N1159,Percentages)</f>
        <v/>
      </c>
    </row>
    <row r="1160" ht="14.25" customHeight="1">
      <c r="B1160" s="66" t="str">
        <f>ASTemp!B1160</f>
        <v/>
      </c>
      <c r="C1160" s="67" t="str">
        <f>ASTemp!C1160</f>
        <v/>
      </c>
      <c r="D1160" s="68" t="str">
        <f>ASTemp!D1160</f>
        <v/>
      </c>
      <c r="E1160" s="65" t="str">
        <f>ASTemp!E1160</f>
        <v/>
      </c>
      <c r="F1160" s="69" t="str">
        <f>TEXT(ASTemp!F1160,Decimals)</f>
        <v/>
      </c>
      <c r="G1160" s="69" t="str">
        <f>TEXT(ASTemp!G1160,Decimals)</f>
        <v/>
      </c>
      <c r="H1160" s="69" t="str">
        <f>TEXT(ASTemp!H1160,Decimals)</f>
        <v/>
      </c>
      <c r="I1160" s="69" t="str">
        <f>TEXT(ASTemp!I1160,Decimals)</f>
        <v/>
      </c>
      <c r="J1160" s="69" t="str">
        <f>TEXT(ASTemp!J1160,Decimals)</f>
        <v/>
      </c>
      <c r="K1160" s="69" t="str">
        <f>TEXT(ASTemp!K1160,Decimals)</f>
        <v/>
      </c>
      <c r="L1160" s="69" t="str">
        <f>TEXT(ASTemp!L1160,Decimals)</f>
        <v/>
      </c>
      <c r="M1160" s="71" t="str">
        <f>TEXT(ASTemp!M1160,Percentages)</f>
        <v/>
      </c>
      <c r="N1160" s="72" t="str">
        <f>TEXT(ASTemp!N1160,Percentages)</f>
        <v/>
      </c>
    </row>
    <row r="1161" ht="14.25" customHeight="1">
      <c r="B1161" s="66" t="str">
        <f>ASTemp!B1161</f>
        <v/>
      </c>
      <c r="C1161" s="67" t="str">
        <f>ASTemp!C1161</f>
        <v/>
      </c>
      <c r="D1161" s="68" t="str">
        <f>ASTemp!D1161</f>
        <v/>
      </c>
      <c r="E1161" s="65" t="str">
        <f>ASTemp!E1161</f>
        <v/>
      </c>
      <c r="F1161" s="69" t="str">
        <f>TEXT(ASTemp!F1161,Decimals)</f>
        <v/>
      </c>
      <c r="G1161" s="69" t="str">
        <f>TEXT(ASTemp!G1161,Decimals)</f>
        <v/>
      </c>
      <c r="H1161" s="69" t="str">
        <f>TEXT(ASTemp!H1161,Decimals)</f>
        <v/>
      </c>
      <c r="I1161" s="69" t="str">
        <f>TEXT(ASTemp!I1161,Decimals)</f>
        <v/>
      </c>
      <c r="J1161" s="69" t="str">
        <f>TEXT(ASTemp!J1161,Decimals)</f>
        <v/>
      </c>
      <c r="K1161" s="69" t="str">
        <f>TEXT(ASTemp!K1161,Decimals)</f>
        <v/>
      </c>
      <c r="L1161" s="69" t="str">
        <f>TEXT(ASTemp!L1161,Decimals)</f>
        <v/>
      </c>
      <c r="M1161" s="71" t="str">
        <f>TEXT(ASTemp!M1161,Percentages)</f>
        <v/>
      </c>
      <c r="N1161" s="72" t="str">
        <f>TEXT(ASTemp!N1161,Percentages)</f>
        <v/>
      </c>
    </row>
    <row r="1162" ht="14.25" customHeight="1">
      <c r="B1162" s="66" t="str">
        <f>ASTemp!B1162</f>
        <v/>
      </c>
      <c r="C1162" s="67" t="str">
        <f>ASTemp!C1162</f>
        <v/>
      </c>
      <c r="D1162" s="68" t="str">
        <f>ASTemp!D1162</f>
        <v/>
      </c>
      <c r="E1162" s="65" t="str">
        <f>ASTemp!E1162</f>
        <v/>
      </c>
      <c r="F1162" s="69" t="str">
        <f>TEXT(ASTemp!F1162,Decimals)</f>
        <v/>
      </c>
      <c r="G1162" s="69" t="str">
        <f>TEXT(ASTemp!G1162,Decimals)</f>
        <v/>
      </c>
      <c r="H1162" s="69" t="str">
        <f>TEXT(ASTemp!H1162,Decimals)</f>
        <v/>
      </c>
      <c r="I1162" s="69" t="str">
        <f>TEXT(ASTemp!I1162,Decimals)</f>
        <v/>
      </c>
      <c r="J1162" s="69" t="str">
        <f>TEXT(ASTemp!J1162,Decimals)</f>
        <v/>
      </c>
      <c r="K1162" s="69" t="str">
        <f>TEXT(ASTemp!K1162,Decimals)</f>
        <v/>
      </c>
      <c r="L1162" s="69" t="str">
        <f>TEXT(ASTemp!L1162,Decimals)</f>
        <v/>
      </c>
      <c r="M1162" s="71" t="str">
        <f>TEXT(ASTemp!M1162,Percentages)</f>
        <v/>
      </c>
      <c r="N1162" s="72" t="str">
        <f>TEXT(ASTemp!N1162,Percentages)</f>
        <v/>
      </c>
    </row>
    <row r="1163" ht="14.25" customHeight="1">
      <c r="B1163" s="66" t="str">
        <f>ASTemp!B1163</f>
        <v/>
      </c>
      <c r="C1163" s="67" t="str">
        <f>ASTemp!C1163</f>
        <v/>
      </c>
      <c r="D1163" s="68" t="str">
        <f>ASTemp!D1163</f>
        <v/>
      </c>
      <c r="E1163" s="65" t="str">
        <f>ASTemp!E1163</f>
        <v/>
      </c>
      <c r="F1163" s="69" t="str">
        <f>TEXT(ASTemp!F1163,Decimals)</f>
        <v/>
      </c>
      <c r="G1163" s="69" t="str">
        <f>TEXT(ASTemp!G1163,Decimals)</f>
        <v/>
      </c>
      <c r="H1163" s="69" t="str">
        <f>TEXT(ASTemp!H1163,Decimals)</f>
        <v/>
      </c>
      <c r="I1163" s="69" t="str">
        <f>TEXT(ASTemp!I1163,Decimals)</f>
        <v/>
      </c>
      <c r="J1163" s="69" t="str">
        <f>TEXT(ASTemp!J1163,Decimals)</f>
        <v/>
      </c>
      <c r="K1163" s="69" t="str">
        <f>TEXT(ASTemp!K1163,Decimals)</f>
        <v/>
      </c>
      <c r="L1163" s="69" t="str">
        <f>TEXT(ASTemp!L1163,Decimals)</f>
        <v/>
      </c>
      <c r="M1163" s="71" t="str">
        <f>TEXT(ASTemp!M1163,Percentages)</f>
        <v/>
      </c>
      <c r="N1163" s="72" t="str">
        <f>TEXT(ASTemp!N1163,Percentages)</f>
        <v/>
      </c>
    </row>
    <row r="1164" ht="14.25" customHeight="1">
      <c r="B1164" s="66" t="str">
        <f>ASTemp!B1164</f>
        <v/>
      </c>
      <c r="C1164" s="67" t="str">
        <f>ASTemp!C1164</f>
        <v/>
      </c>
      <c r="D1164" s="68" t="str">
        <f>ASTemp!D1164</f>
        <v/>
      </c>
      <c r="E1164" s="65" t="str">
        <f>ASTemp!E1164</f>
        <v/>
      </c>
      <c r="F1164" s="69" t="str">
        <f>TEXT(ASTemp!F1164,Decimals)</f>
        <v/>
      </c>
      <c r="G1164" s="69" t="str">
        <f>TEXT(ASTemp!G1164,Decimals)</f>
        <v/>
      </c>
      <c r="H1164" s="69" t="str">
        <f>TEXT(ASTemp!H1164,Decimals)</f>
        <v/>
      </c>
      <c r="I1164" s="69" t="str">
        <f>TEXT(ASTemp!I1164,Decimals)</f>
        <v/>
      </c>
      <c r="J1164" s="69" t="str">
        <f>TEXT(ASTemp!J1164,Decimals)</f>
        <v/>
      </c>
      <c r="K1164" s="69" t="str">
        <f>TEXT(ASTemp!K1164,Decimals)</f>
        <v/>
      </c>
      <c r="L1164" s="69" t="str">
        <f>TEXT(ASTemp!L1164,Decimals)</f>
        <v/>
      </c>
      <c r="M1164" s="71" t="str">
        <f>TEXT(ASTemp!M1164,Percentages)</f>
        <v/>
      </c>
      <c r="N1164" s="72" t="str">
        <f>TEXT(ASTemp!N1164,Percentages)</f>
        <v/>
      </c>
    </row>
    <row r="1165" ht="14.25" customHeight="1">
      <c r="B1165" s="66" t="str">
        <f>ASTemp!B1165</f>
        <v/>
      </c>
      <c r="C1165" s="67" t="str">
        <f>ASTemp!C1165</f>
        <v/>
      </c>
      <c r="D1165" s="68" t="str">
        <f>ASTemp!D1165</f>
        <v/>
      </c>
      <c r="E1165" s="65" t="str">
        <f>ASTemp!E1165</f>
        <v/>
      </c>
      <c r="F1165" s="69" t="str">
        <f>TEXT(ASTemp!F1165,Decimals)</f>
        <v/>
      </c>
      <c r="G1165" s="69" t="str">
        <f>TEXT(ASTemp!G1165,Decimals)</f>
        <v/>
      </c>
      <c r="H1165" s="69" t="str">
        <f>TEXT(ASTemp!H1165,Decimals)</f>
        <v/>
      </c>
      <c r="I1165" s="69" t="str">
        <f>TEXT(ASTemp!I1165,Decimals)</f>
        <v/>
      </c>
      <c r="J1165" s="69" t="str">
        <f>TEXT(ASTemp!J1165,Decimals)</f>
        <v/>
      </c>
      <c r="K1165" s="69" t="str">
        <f>TEXT(ASTemp!K1165,Decimals)</f>
        <v/>
      </c>
      <c r="L1165" s="69" t="str">
        <f>TEXT(ASTemp!L1165,Decimals)</f>
        <v/>
      </c>
      <c r="M1165" s="71" t="str">
        <f>TEXT(ASTemp!M1165,Percentages)</f>
        <v/>
      </c>
      <c r="N1165" s="72" t="str">
        <f>TEXT(ASTemp!N1165,Percentages)</f>
        <v/>
      </c>
    </row>
    <row r="1166" ht="14.25" customHeight="1">
      <c r="B1166" s="66" t="str">
        <f>ASTemp!B1166</f>
        <v/>
      </c>
      <c r="C1166" s="67" t="str">
        <f>ASTemp!C1166</f>
        <v/>
      </c>
      <c r="D1166" s="68" t="str">
        <f>ASTemp!D1166</f>
        <v/>
      </c>
      <c r="E1166" s="65" t="str">
        <f>ASTemp!E1166</f>
        <v/>
      </c>
      <c r="F1166" s="69" t="str">
        <f>TEXT(ASTemp!F1166,Decimals)</f>
        <v/>
      </c>
      <c r="G1166" s="69" t="str">
        <f>TEXT(ASTemp!G1166,Decimals)</f>
        <v/>
      </c>
      <c r="H1166" s="69" t="str">
        <f>TEXT(ASTemp!H1166,Decimals)</f>
        <v/>
      </c>
      <c r="I1166" s="69" t="str">
        <f>TEXT(ASTemp!I1166,Decimals)</f>
        <v/>
      </c>
      <c r="J1166" s="69" t="str">
        <f>TEXT(ASTemp!J1166,Decimals)</f>
        <v/>
      </c>
      <c r="K1166" s="69" t="str">
        <f>TEXT(ASTemp!K1166,Decimals)</f>
        <v/>
      </c>
      <c r="L1166" s="69" t="str">
        <f>TEXT(ASTemp!L1166,Decimals)</f>
        <v/>
      </c>
      <c r="M1166" s="71" t="str">
        <f>TEXT(ASTemp!M1166,Percentages)</f>
        <v/>
      </c>
      <c r="N1166" s="72" t="str">
        <f>TEXT(ASTemp!N1166,Percentages)</f>
        <v/>
      </c>
    </row>
    <row r="1167" ht="14.25" customHeight="1">
      <c r="B1167" s="66" t="str">
        <f>ASTemp!B1167</f>
        <v/>
      </c>
      <c r="C1167" s="67" t="str">
        <f>ASTemp!C1167</f>
        <v/>
      </c>
      <c r="D1167" s="68" t="str">
        <f>ASTemp!D1167</f>
        <v/>
      </c>
      <c r="E1167" s="65" t="str">
        <f>ASTemp!E1167</f>
        <v/>
      </c>
      <c r="F1167" s="69" t="str">
        <f>TEXT(ASTemp!F1167,Decimals)</f>
        <v/>
      </c>
      <c r="G1167" s="69" t="str">
        <f>TEXT(ASTemp!G1167,Decimals)</f>
        <v/>
      </c>
      <c r="H1167" s="69" t="str">
        <f>TEXT(ASTemp!H1167,Decimals)</f>
        <v/>
      </c>
      <c r="I1167" s="69" t="str">
        <f>TEXT(ASTemp!I1167,Decimals)</f>
        <v/>
      </c>
      <c r="J1167" s="69" t="str">
        <f>TEXT(ASTemp!J1167,Decimals)</f>
        <v/>
      </c>
      <c r="K1167" s="69" t="str">
        <f>TEXT(ASTemp!K1167,Decimals)</f>
        <v/>
      </c>
      <c r="L1167" s="69" t="str">
        <f>TEXT(ASTemp!L1167,Decimals)</f>
        <v/>
      </c>
      <c r="M1167" s="71" t="str">
        <f>TEXT(ASTemp!M1167,Percentages)</f>
        <v/>
      </c>
      <c r="N1167" s="72" t="str">
        <f>TEXT(ASTemp!N1167,Percentages)</f>
        <v/>
      </c>
    </row>
    <row r="1168" ht="14.25" customHeight="1">
      <c r="B1168" s="66" t="str">
        <f>ASTemp!B1168</f>
        <v/>
      </c>
      <c r="C1168" s="67" t="str">
        <f>ASTemp!C1168</f>
        <v/>
      </c>
      <c r="D1168" s="68" t="str">
        <f>ASTemp!D1168</f>
        <v/>
      </c>
      <c r="E1168" s="65" t="str">
        <f>ASTemp!E1168</f>
        <v/>
      </c>
      <c r="F1168" s="69" t="str">
        <f>TEXT(ASTemp!F1168,Decimals)</f>
        <v/>
      </c>
      <c r="G1168" s="69" t="str">
        <f>TEXT(ASTemp!G1168,Decimals)</f>
        <v/>
      </c>
      <c r="H1168" s="69" t="str">
        <f>TEXT(ASTemp!H1168,Decimals)</f>
        <v/>
      </c>
      <c r="I1168" s="69" t="str">
        <f>TEXT(ASTemp!I1168,Decimals)</f>
        <v/>
      </c>
      <c r="J1168" s="69" t="str">
        <f>TEXT(ASTemp!J1168,Decimals)</f>
        <v/>
      </c>
      <c r="K1168" s="69" t="str">
        <f>TEXT(ASTemp!K1168,Decimals)</f>
        <v/>
      </c>
      <c r="L1168" s="69" t="str">
        <f>TEXT(ASTemp!L1168,Decimals)</f>
        <v/>
      </c>
      <c r="M1168" s="71" t="str">
        <f>TEXT(ASTemp!M1168,Percentages)</f>
        <v/>
      </c>
      <c r="N1168" s="72" t="str">
        <f>TEXT(ASTemp!N1168,Percentages)</f>
        <v/>
      </c>
    </row>
    <row r="1169" ht="14.25" customHeight="1">
      <c r="B1169" s="66" t="str">
        <f>ASTemp!B1169</f>
        <v/>
      </c>
      <c r="C1169" s="67" t="str">
        <f>ASTemp!C1169</f>
        <v/>
      </c>
      <c r="D1169" s="68" t="str">
        <f>ASTemp!D1169</f>
        <v/>
      </c>
      <c r="E1169" s="65" t="str">
        <f>ASTemp!E1169</f>
        <v/>
      </c>
      <c r="F1169" s="69" t="str">
        <f>TEXT(ASTemp!F1169,Decimals)</f>
        <v/>
      </c>
      <c r="G1169" s="69" t="str">
        <f>TEXT(ASTemp!G1169,Decimals)</f>
        <v/>
      </c>
      <c r="H1169" s="69" t="str">
        <f>TEXT(ASTemp!H1169,Decimals)</f>
        <v/>
      </c>
      <c r="I1169" s="69" t="str">
        <f>TEXT(ASTemp!I1169,Decimals)</f>
        <v/>
      </c>
      <c r="J1169" s="69" t="str">
        <f>TEXT(ASTemp!J1169,Decimals)</f>
        <v/>
      </c>
      <c r="K1169" s="69" t="str">
        <f>TEXT(ASTemp!K1169,Decimals)</f>
        <v/>
      </c>
      <c r="L1169" s="69" t="str">
        <f>TEXT(ASTemp!L1169,Decimals)</f>
        <v/>
      </c>
      <c r="M1169" s="71" t="str">
        <f>TEXT(ASTemp!M1169,Percentages)</f>
        <v/>
      </c>
      <c r="N1169" s="72" t="str">
        <f>TEXT(ASTemp!N1169,Percentages)</f>
        <v/>
      </c>
    </row>
    <row r="1170" ht="14.25" customHeight="1">
      <c r="B1170" s="66" t="str">
        <f>ASTemp!B1170</f>
        <v/>
      </c>
      <c r="C1170" s="67" t="str">
        <f>ASTemp!C1170</f>
        <v/>
      </c>
      <c r="D1170" s="68" t="str">
        <f>ASTemp!D1170</f>
        <v/>
      </c>
      <c r="E1170" s="65" t="str">
        <f>ASTemp!E1170</f>
        <v/>
      </c>
      <c r="F1170" s="69" t="str">
        <f>TEXT(ASTemp!F1170,Decimals)</f>
        <v/>
      </c>
      <c r="G1170" s="69" t="str">
        <f>TEXT(ASTemp!G1170,Decimals)</f>
        <v/>
      </c>
      <c r="H1170" s="69" t="str">
        <f>TEXT(ASTemp!H1170,Decimals)</f>
        <v/>
      </c>
      <c r="I1170" s="69" t="str">
        <f>TEXT(ASTemp!I1170,Decimals)</f>
        <v/>
      </c>
      <c r="J1170" s="69" t="str">
        <f>TEXT(ASTemp!J1170,Decimals)</f>
        <v/>
      </c>
      <c r="K1170" s="69" t="str">
        <f>TEXT(ASTemp!K1170,Decimals)</f>
        <v/>
      </c>
      <c r="L1170" s="69" t="str">
        <f>TEXT(ASTemp!L1170,Decimals)</f>
        <v/>
      </c>
      <c r="M1170" s="71" t="str">
        <f>TEXT(ASTemp!M1170,Percentages)</f>
        <v/>
      </c>
      <c r="N1170" s="72" t="str">
        <f>TEXT(ASTemp!N1170,Percentages)</f>
        <v/>
      </c>
    </row>
    <row r="1171" ht="14.25" customHeight="1">
      <c r="B1171" s="66" t="str">
        <f>ASTemp!B1171</f>
        <v/>
      </c>
      <c r="C1171" s="67" t="str">
        <f>ASTemp!C1171</f>
        <v/>
      </c>
      <c r="D1171" s="68" t="str">
        <f>ASTemp!D1171</f>
        <v/>
      </c>
      <c r="E1171" s="65" t="str">
        <f>ASTemp!E1171</f>
        <v/>
      </c>
      <c r="F1171" s="69" t="str">
        <f>TEXT(ASTemp!F1171,Decimals)</f>
        <v/>
      </c>
      <c r="G1171" s="69" t="str">
        <f>TEXT(ASTemp!G1171,Decimals)</f>
        <v/>
      </c>
      <c r="H1171" s="69" t="str">
        <f>TEXT(ASTemp!H1171,Decimals)</f>
        <v/>
      </c>
      <c r="I1171" s="69" t="str">
        <f>TEXT(ASTemp!I1171,Decimals)</f>
        <v/>
      </c>
      <c r="J1171" s="69" t="str">
        <f>TEXT(ASTemp!J1171,Decimals)</f>
        <v/>
      </c>
      <c r="K1171" s="69" t="str">
        <f>TEXT(ASTemp!K1171,Decimals)</f>
        <v/>
      </c>
      <c r="L1171" s="69" t="str">
        <f>TEXT(ASTemp!L1171,Decimals)</f>
        <v/>
      </c>
      <c r="M1171" s="71" t="str">
        <f>TEXT(ASTemp!M1171,Percentages)</f>
        <v/>
      </c>
      <c r="N1171" s="72" t="str">
        <f>TEXT(ASTemp!N1171,Percentages)</f>
        <v/>
      </c>
    </row>
    <row r="1172" ht="14.25" customHeight="1">
      <c r="B1172" s="66" t="str">
        <f>ASTemp!B1172</f>
        <v/>
      </c>
      <c r="C1172" s="67" t="str">
        <f>ASTemp!C1172</f>
        <v/>
      </c>
      <c r="D1172" s="68" t="str">
        <f>ASTemp!D1172</f>
        <v/>
      </c>
      <c r="E1172" s="65" t="str">
        <f>ASTemp!E1172</f>
        <v/>
      </c>
      <c r="F1172" s="69" t="str">
        <f>TEXT(ASTemp!F1172,Decimals)</f>
        <v/>
      </c>
      <c r="G1172" s="69" t="str">
        <f>TEXT(ASTemp!G1172,Decimals)</f>
        <v/>
      </c>
      <c r="H1172" s="69" t="str">
        <f>TEXT(ASTemp!H1172,Decimals)</f>
        <v/>
      </c>
      <c r="I1172" s="69" t="str">
        <f>TEXT(ASTemp!I1172,Decimals)</f>
        <v/>
      </c>
      <c r="J1172" s="69" t="str">
        <f>TEXT(ASTemp!J1172,Decimals)</f>
        <v/>
      </c>
      <c r="K1172" s="69" t="str">
        <f>TEXT(ASTemp!K1172,Decimals)</f>
        <v/>
      </c>
      <c r="L1172" s="69" t="str">
        <f>TEXT(ASTemp!L1172,Decimals)</f>
        <v/>
      </c>
      <c r="M1172" s="71" t="str">
        <f>TEXT(ASTemp!M1172,Percentages)</f>
        <v/>
      </c>
      <c r="N1172" s="72" t="str">
        <f>TEXT(ASTemp!N1172,Percentages)</f>
        <v/>
      </c>
    </row>
    <row r="1173" ht="14.25" customHeight="1">
      <c r="B1173" s="66" t="str">
        <f>ASTemp!B1173</f>
        <v/>
      </c>
      <c r="C1173" s="67" t="str">
        <f>ASTemp!C1173</f>
        <v/>
      </c>
      <c r="D1173" s="68" t="str">
        <f>ASTemp!D1173</f>
        <v/>
      </c>
      <c r="E1173" s="65" t="str">
        <f>ASTemp!E1173</f>
        <v/>
      </c>
      <c r="F1173" s="69" t="str">
        <f>TEXT(ASTemp!F1173,Decimals)</f>
        <v/>
      </c>
      <c r="G1173" s="69" t="str">
        <f>TEXT(ASTemp!G1173,Decimals)</f>
        <v/>
      </c>
      <c r="H1173" s="69" t="str">
        <f>TEXT(ASTemp!H1173,Decimals)</f>
        <v/>
      </c>
      <c r="I1173" s="69" t="str">
        <f>TEXT(ASTemp!I1173,Decimals)</f>
        <v/>
      </c>
      <c r="J1173" s="69" t="str">
        <f>TEXT(ASTemp!J1173,Decimals)</f>
        <v/>
      </c>
      <c r="K1173" s="69" t="str">
        <f>TEXT(ASTemp!K1173,Decimals)</f>
        <v/>
      </c>
      <c r="L1173" s="69" t="str">
        <f>TEXT(ASTemp!L1173,Decimals)</f>
        <v/>
      </c>
      <c r="M1173" s="71" t="str">
        <f>TEXT(ASTemp!M1173,Percentages)</f>
        <v/>
      </c>
      <c r="N1173" s="72" t="str">
        <f>TEXT(ASTemp!N1173,Percentages)</f>
        <v/>
      </c>
    </row>
    <row r="1174" ht="14.25" customHeight="1">
      <c r="B1174" s="66" t="str">
        <f>ASTemp!B1174</f>
        <v/>
      </c>
      <c r="C1174" s="67" t="str">
        <f>ASTemp!C1174</f>
        <v/>
      </c>
      <c r="D1174" s="68" t="str">
        <f>ASTemp!D1174</f>
        <v/>
      </c>
      <c r="E1174" s="65" t="str">
        <f>ASTemp!E1174</f>
        <v/>
      </c>
      <c r="F1174" s="69" t="str">
        <f>TEXT(ASTemp!F1174,Decimals)</f>
        <v/>
      </c>
      <c r="G1174" s="69" t="str">
        <f>TEXT(ASTemp!G1174,Decimals)</f>
        <v/>
      </c>
      <c r="H1174" s="69" t="str">
        <f>TEXT(ASTemp!H1174,Decimals)</f>
        <v/>
      </c>
      <c r="I1174" s="69" t="str">
        <f>TEXT(ASTemp!I1174,Decimals)</f>
        <v/>
      </c>
      <c r="J1174" s="69" t="str">
        <f>TEXT(ASTemp!J1174,Decimals)</f>
        <v/>
      </c>
      <c r="K1174" s="69" t="str">
        <f>TEXT(ASTemp!K1174,Decimals)</f>
        <v/>
      </c>
      <c r="L1174" s="69" t="str">
        <f>TEXT(ASTemp!L1174,Decimals)</f>
        <v/>
      </c>
      <c r="M1174" s="71" t="str">
        <f>TEXT(ASTemp!M1174,Percentages)</f>
        <v/>
      </c>
      <c r="N1174" s="72" t="str">
        <f>TEXT(ASTemp!N1174,Percentages)</f>
        <v/>
      </c>
    </row>
    <row r="1175" ht="14.25" customHeight="1">
      <c r="B1175" s="66" t="str">
        <f>ASTemp!B1175</f>
        <v/>
      </c>
      <c r="C1175" s="67" t="str">
        <f>ASTemp!C1175</f>
        <v/>
      </c>
      <c r="D1175" s="68" t="str">
        <f>ASTemp!D1175</f>
        <v/>
      </c>
      <c r="E1175" s="65" t="str">
        <f>ASTemp!E1175</f>
        <v/>
      </c>
      <c r="F1175" s="69" t="str">
        <f>TEXT(ASTemp!F1175,Decimals)</f>
        <v/>
      </c>
      <c r="G1175" s="69" t="str">
        <f>TEXT(ASTemp!G1175,Decimals)</f>
        <v/>
      </c>
      <c r="H1175" s="69" t="str">
        <f>TEXT(ASTemp!H1175,Decimals)</f>
        <v/>
      </c>
      <c r="I1175" s="69" t="str">
        <f>TEXT(ASTemp!I1175,Decimals)</f>
        <v/>
      </c>
      <c r="J1175" s="69" t="str">
        <f>TEXT(ASTemp!J1175,Decimals)</f>
        <v/>
      </c>
      <c r="K1175" s="69" t="str">
        <f>TEXT(ASTemp!K1175,Decimals)</f>
        <v/>
      </c>
      <c r="L1175" s="69" t="str">
        <f>TEXT(ASTemp!L1175,Decimals)</f>
        <v/>
      </c>
      <c r="M1175" s="71" t="str">
        <f>TEXT(ASTemp!M1175,Percentages)</f>
        <v/>
      </c>
      <c r="N1175" s="72" t="str">
        <f>TEXT(ASTemp!N1175,Percentages)</f>
        <v/>
      </c>
    </row>
    <row r="1176" ht="14.25" customHeight="1">
      <c r="B1176" s="66" t="str">
        <f>ASTemp!B1176</f>
        <v/>
      </c>
      <c r="C1176" s="67" t="str">
        <f>ASTemp!C1176</f>
        <v/>
      </c>
      <c r="D1176" s="68" t="str">
        <f>ASTemp!D1176</f>
        <v/>
      </c>
      <c r="E1176" s="65" t="str">
        <f>ASTemp!E1176</f>
        <v/>
      </c>
      <c r="F1176" s="69" t="str">
        <f>TEXT(ASTemp!F1176,Decimals)</f>
        <v/>
      </c>
      <c r="G1176" s="69" t="str">
        <f>TEXT(ASTemp!G1176,Decimals)</f>
        <v/>
      </c>
      <c r="H1176" s="69" t="str">
        <f>TEXT(ASTemp!H1176,Decimals)</f>
        <v/>
      </c>
      <c r="I1176" s="69" t="str">
        <f>TEXT(ASTemp!I1176,Decimals)</f>
        <v/>
      </c>
      <c r="J1176" s="69" t="str">
        <f>TEXT(ASTemp!J1176,Decimals)</f>
        <v/>
      </c>
      <c r="K1176" s="69" t="str">
        <f>TEXT(ASTemp!K1176,Decimals)</f>
        <v/>
      </c>
      <c r="L1176" s="69" t="str">
        <f>TEXT(ASTemp!L1176,Decimals)</f>
        <v/>
      </c>
      <c r="M1176" s="71" t="str">
        <f>TEXT(ASTemp!M1176,Percentages)</f>
        <v/>
      </c>
      <c r="N1176" s="72" t="str">
        <f>TEXT(ASTemp!N1176,Percentages)</f>
        <v/>
      </c>
    </row>
    <row r="1177" ht="14.25" customHeight="1">
      <c r="B1177" s="66" t="str">
        <f>ASTemp!B1177</f>
        <v/>
      </c>
      <c r="C1177" s="67" t="str">
        <f>ASTemp!C1177</f>
        <v/>
      </c>
      <c r="D1177" s="68" t="str">
        <f>ASTemp!D1177</f>
        <v/>
      </c>
      <c r="E1177" s="65" t="str">
        <f>ASTemp!E1177</f>
        <v/>
      </c>
      <c r="F1177" s="69" t="str">
        <f>TEXT(ASTemp!F1177,Decimals)</f>
        <v/>
      </c>
      <c r="G1177" s="69" t="str">
        <f>TEXT(ASTemp!G1177,Decimals)</f>
        <v/>
      </c>
      <c r="H1177" s="69" t="str">
        <f>TEXT(ASTemp!H1177,Decimals)</f>
        <v/>
      </c>
      <c r="I1177" s="69" t="str">
        <f>TEXT(ASTemp!I1177,Decimals)</f>
        <v/>
      </c>
      <c r="J1177" s="69" t="str">
        <f>TEXT(ASTemp!J1177,Decimals)</f>
        <v/>
      </c>
      <c r="K1177" s="69" t="str">
        <f>TEXT(ASTemp!K1177,Decimals)</f>
        <v/>
      </c>
      <c r="L1177" s="69" t="str">
        <f>TEXT(ASTemp!L1177,Decimals)</f>
        <v/>
      </c>
      <c r="M1177" s="71" t="str">
        <f>TEXT(ASTemp!M1177,Percentages)</f>
        <v/>
      </c>
      <c r="N1177" s="72" t="str">
        <f>TEXT(ASTemp!N1177,Percentages)</f>
        <v/>
      </c>
    </row>
    <row r="1178" ht="14.25" customHeight="1">
      <c r="B1178" s="66" t="str">
        <f>ASTemp!B1178</f>
        <v/>
      </c>
      <c r="C1178" s="67" t="str">
        <f>ASTemp!C1178</f>
        <v/>
      </c>
      <c r="D1178" s="68" t="str">
        <f>ASTemp!D1178</f>
        <v/>
      </c>
      <c r="E1178" s="65" t="str">
        <f>ASTemp!E1178</f>
        <v/>
      </c>
      <c r="F1178" s="69" t="str">
        <f>TEXT(ASTemp!F1178,Decimals)</f>
        <v/>
      </c>
      <c r="G1178" s="69" t="str">
        <f>TEXT(ASTemp!G1178,Decimals)</f>
        <v/>
      </c>
      <c r="H1178" s="69" t="str">
        <f>TEXT(ASTemp!H1178,Decimals)</f>
        <v/>
      </c>
      <c r="I1178" s="69" t="str">
        <f>TEXT(ASTemp!I1178,Decimals)</f>
        <v/>
      </c>
      <c r="J1178" s="69" t="str">
        <f>TEXT(ASTemp!J1178,Decimals)</f>
        <v/>
      </c>
      <c r="K1178" s="69" t="str">
        <f>TEXT(ASTemp!K1178,Decimals)</f>
        <v/>
      </c>
      <c r="L1178" s="69" t="str">
        <f>TEXT(ASTemp!L1178,Decimals)</f>
        <v/>
      </c>
      <c r="M1178" s="71" t="str">
        <f>TEXT(ASTemp!M1178,Percentages)</f>
        <v/>
      </c>
      <c r="N1178" s="72" t="str">
        <f>TEXT(ASTemp!N1178,Percentages)</f>
        <v/>
      </c>
    </row>
    <row r="1179" ht="14.25" customHeight="1">
      <c r="B1179" s="66" t="str">
        <f>ASTemp!B1179</f>
        <v/>
      </c>
      <c r="C1179" s="67" t="str">
        <f>ASTemp!C1179</f>
        <v/>
      </c>
      <c r="D1179" s="68" t="str">
        <f>ASTemp!D1179</f>
        <v/>
      </c>
      <c r="E1179" s="65" t="str">
        <f>ASTemp!E1179</f>
        <v/>
      </c>
      <c r="F1179" s="69" t="str">
        <f>TEXT(ASTemp!F1179,Decimals)</f>
        <v/>
      </c>
      <c r="G1179" s="69" t="str">
        <f>TEXT(ASTemp!G1179,Decimals)</f>
        <v/>
      </c>
      <c r="H1179" s="69" t="str">
        <f>TEXT(ASTemp!H1179,Decimals)</f>
        <v/>
      </c>
      <c r="I1179" s="69" t="str">
        <f>TEXT(ASTemp!I1179,Decimals)</f>
        <v/>
      </c>
      <c r="J1179" s="69" t="str">
        <f>TEXT(ASTemp!J1179,Decimals)</f>
        <v/>
      </c>
      <c r="K1179" s="69" t="str">
        <f>TEXT(ASTemp!K1179,Decimals)</f>
        <v/>
      </c>
      <c r="L1179" s="69" t="str">
        <f>TEXT(ASTemp!L1179,Decimals)</f>
        <v/>
      </c>
      <c r="M1179" s="71" t="str">
        <f>TEXT(ASTemp!M1179,Percentages)</f>
        <v/>
      </c>
      <c r="N1179" s="72" t="str">
        <f>TEXT(ASTemp!N1179,Percentages)</f>
        <v/>
      </c>
    </row>
    <row r="1180" ht="14.25" customHeight="1">
      <c r="B1180" s="66" t="str">
        <f>ASTemp!B1180</f>
        <v/>
      </c>
      <c r="C1180" s="67" t="str">
        <f>ASTemp!C1180</f>
        <v/>
      </c>
      <c r="D1180" s="68" t="str">
        <f>ASTemp!D1180</f>
        <v/>
      </c>
      <c r="E1180" s="65" t="str">
        <f>ASTemp!E1180</f>
        <v/>
      </c>
      <c r="F1180" s="69" t="str">
        <f>TEXT(ASTemp!F1180,Decimals)</f>
        <v/>
      </c>
      <c r="G1180" s="69" t="str">
        <f>TEXT(ASTemp!G1180,Decimals)</f>
        <v/>
      </c>
      <c r="H1180" s="69" t="str">
        <f>TEXT(ASTemp!H1180,Decimals)</f>
        <v/>
      </c>
      <c r="I1180" s="69" t="str">
        <f>TEXT(ASTemp!I1180,Decimals)</f>
        <v/>
      </c>
      <c r="J1180" s="69" t="str">
        <f>TEXT(ASTemp!J1180,Decimals)</f>
        <v/>
      </c>
      <c r="K1180" s="69" t="str">
        <f>TEXT(ASTemp!K1180,Decimals)</f>
        <v/>
      </c>
      <c r="L1180" s="69" t="str">
        <f>TEXT(ASTemp!L1180,Decimals)</f>
        <v/>
      </c>
      <c r="M1180" s="71" t="str">
        <f>TEXT(ASTemp!M1180,Percentages)</f>
        <v/>
      </c>
      <c r="N1180" s="72" t="str">
        <f>TEXT(ASTemp!N1180,Percentages)</f>
        <v/>
      </c>
    </row>
    <row r="1181" ht="14.25" customHeight="1">
      <c r="B1181" s="66" t="str">
        <f>ASTemp!B1181</f>
        <v/>
      </c>
      <c r="C1181" s="67" t="str">
        <f>ASTemp!C1181</f>
        <v/>
      </c>
      <c r="D1181" s="68" t="str">
        <f>ASTemp!D1181</f>
        <v/>
      </c>
      <c r="E1181" s="65" t="str">
        <f>ASTemp!E1181</f>
        <v/>
      </c>
      <c r="F1181" s="69" t="str">
        <f>TEXT(ASTemp!F1181,Decimals)</f>
        <v/>
      </c>
      <c r="G1181" s="69" t="str">
        <f>TEXT(ASTemp!G1181,Decimals)</f>
        <v/>
      </c>
      <c r="H1181" s="69" t="str">
        <f>TEXT(ASTemp!H1181,Decimals)</f>
        <v/>
      </c>
      <c r="I1181" s="69" t="str">
        <f>TEXT(ASTemp!I1181,Decimals)</f>
        <v/>
      </c>
      <c r="J1181" s="69" t="str">
        <f>TEXT(ASTemp!J1181,Decimals)</f>
        <v/>
      </c>
      <c r="K1181" s="69" t="str">
        <f>TEXT(ASTemp!K1181,Decimals)</f>
        <v/>
      </c>
      <c r="L1181" s="69" t="str">
        <f>TEXT(ASTemp!L1181,Decimals)</f>
        <v/>
      </c>
      <c r="M1181" s="71" t="str">
        <f>TEXT(ASTemp!M1181,Percentages)</f>
        <v/>
      </c>
      <c r="N1181" s="72" t="str">
        <f>TEXT(ASTemp!N1181,Percentages)</f>
        <v/>
      </c>
    </row>
    <row r="1182" ht="14.25" customHeight="1">
      <c r="B1182" s="66" t="str">
        <f>ASTemp!B1182</f>
        <v/>
      </c>
      <c r="C1182" s="67" t="str">
        <f>ASTemp!C1182</f>
        <v/>
      </c>
      <c r="D1182" s="68" t="str">
        <f>ASTemp!D1182</f>
        <v/>
      </c>
      <c r="E1182" s="65" t="str">
        <f>ASTemp!E1182</f>
        <v/>
      </c>
      <c r="F1182" s="69" t="str">
        <f>TEXT(ASTemp!F1182,Decimals)</f>
        <v/>
      </c>
      <c r="G1182" s="69" t="str">
        <f>TEXT(ASTemp!G1182,Decimals)</f>
        <v/>
      </c>
      <c r="H1182" s="69" t="str">
        <f>TEXT(ASTemp!H1182,Decimals)</f>
        <v/>
      </c>
      <c r="I1182" s="69" t="str">
        <f>TEXT(ASTemp!I1182,Decimals)</f>
        <v/>
      </c>
      <c r="J1182" s="69" t="str">
        <f>TEXT(ASTemp!J1182,Decimals)</f>
        <v/>
      </c>
      <c r="K1182" s="69" t="str">
        <f>TEXT(ASTemp!K1182,Decimals)</f>
        <v/>
      </c>
      <c r="L1182" s="69" t="str">
        <f>TEXT(ASTemp!L1182,Decimals)</f>
        <v/>
      </c>
      <c r="M1182" s="71" t="str">
        <f>TEXT(ASTemp!M1182,Percentages)</f>
        <v/>
      </c>
      <c r="N1182" s="72" t="str">
        <f>TEXT(ASTemp!N1182,Percentages)</f>
        <v/>
      </c>
    </row>
    <row r="1183" ht="14.25" customHeight="1">
      <c r="B1183" s="66" t="str">
        <f>ASTemp!B1183</f>
        <v/>
      </c>
      <c r="C1183" s="67" t="str">
        <f>ASTemp!C1183</f>
        <v/>
      </c>
      <c r="D1183" s="68" t="str">
        <f>ASTemp!D1183</f>
        <v/>
      </c>
      <c r="E1183" s="65" t="str">
        <f>ASTemp!E1183</f>
        <v/>
      </c>
      <c r="F1183" s="69" t="str">
        <f>TEXT(ASTemp!F1183,Decimals)</f>
        <v/>
      </c>
      <c r="G1183" s="69" t="str">
        <f>TEXT(ASTemp!G1183,Decimals)</f>
        <v/>
      </c>
      <c r="H1183" s="69" t="str">
        <f>TEXT(ASTemp!H1183,Decimals)</f>
        <v/>
      </c>
      <c r="I1183" s="69" t="str">
        <f>TEXT(ASTemp!I1183,Decimals)</f>
        <v/>
      </c>
      <c r="J1183" s="69" t="str">
        <f>TEXT(ASTemp!J1183,Decimals)</f>
        <v/>
      </c>
      <c r="K1183" s="69" t="str">
        <f>TEXT(ASTemp!K1183,Decimals)</f>
        <v/>
      </c>
      <c r="L1183" s="69" t="str">
        <f>TEXT(ASTemp!L1183,Decimals)</f>
        <v/>
      </c>
      <c r="M1183" s="71" t="str">
        <f>TEXT(ASTemp!M1183,Percentages)</f>
        <v/>
      </c>
      <c r="N1183" s="72" t="str">
        <f>TEXT(ASTemp!N1183,Percentages)</f>
        <v/>
      </c>
    </row>
    <row r="1184" ht="14.25" customHeight="1">
      <c r="B1184" s="66" t="str">
        <f>ASTemp!B1184</f>
        <v/>
      </c>
      <c r="C1184" s="67" t="str">
        <f>ASTemp!C1184</f>
        <v/>
      </c>
      <c r="D1184" s="68" t="str">
        <f>ASTemp!D1184</f>
        <v/>
      </c>
      <c r="E1184" s="65" t="str">
        <f>ASTemp!E1184</f>
        <v/>
      </c>
      <c r="F1184" s="69" t="str">
        <f>TEXT(ASTemp!F1184,Decimals)</f>
        <v/>
      </c>
      <c r="G1184" s="69" t="str">
        <f>TEXT(ASTemp!G1184,Decimals)</f>
        <v/>
      </c>
      <c r="H1184" s="69" t="str">
        <f>TEXT(ASTemp!H1184,Decimals)</f>
        <v/>
      </c>
      <c r="I1184" s="69" t="str">
        <f>TEXT(ASTemp!I1184,Decimals)</f>
        <v/>
      </c>
      <c r="J1184" s="69" t="str">
        <f>TEXT(ASTemp!J1184,Decimals)</f>
        <v/>
      </c>
      <c r="K1184" s="69" t="str">
        <f>TEXT(ASTemp!K1184,Decimals)</f>
        <v/>
      </c>
      <c r="L1184" s="69" t="str">
        <f>TEXT(ASTemp!L1184,Decimals)</f>
        <v/>
      </c>
      <c r="M1184" s="71" t="str">
        <f>TEXT(ASTemp!M1184,Percentages)</f>
        <v/>
      </c>
      <c r="N1184" s="72" t="str">
        <f>TEXT(ASTemp!N1184,Percentages)</f>
        <v/>
      </c>
    </row>
    <row r="1185" ht="14.25" customHeight="1">
      <c r="B1185" s="66" t="str">
        <f>ASTemp!B1185</f>
        <v/>
      </c>
      <c r="C1185" s="67" t="str">
        <f>ASTemp!C1185</f>
        <v/>
      </c>
      <c r="D1185" s="68" t="str">
        <f>ASTemp!D1185</f>
        <v/>
      </c>
      <c r="E1185" s="65" t="str">
        <f>ASTemp!E1185</f>
        <v/>
      </c>
      <c r="F1185" s="69" t="str">
        <f>TEXT(ASTemp!F1185,Decimals)</f>
        <v/>
      </c>
      <c r="G1185" s="69" t="str">
        <f>TEXT(ASTemp!G1185,Decimals)</f>
        <v/>
      </c>
      <c r="H1185" s="69" t="str">
        <f>TEXT(ASTemp!H1185,Decimals)</f>
        <v/>
      </c>
      <c r="I1185" s="69" t="str">
        <f>TEXT(ASTemp!I1185,Decimals)</f>
        <v/>
      </c>
      <c r="J1185" s="69" t="str">
        <f>TEXT(ASTemp!J1185,Decimals)</f>
        <v/>
      </c>
      <c r="K1185" s="69" t="str">
        <f>TEXT(ASTemp!K1185,Decimals)</f>
        <v/>
      </c>
      <c r="L1185" s="69" t="str">
        <f>TEXT(ASTemp!L1185,Decimals)</f>
        <v/>
      </c>
      <c r="M1185" s="71" t="str">
        <f>TEXT(ASTemp!M1185,Percentages)</f>
        <v/>
      </c>
      <c r="N1185" s="72" t="str">
        <f>TEXT(ASTemp!N1185,Percentages)</f>
        <v/>
      </c>
    </row>
    <row r="1186" ht="14.25" customHeight="1">
      <c r="B1186" s="66" t="str">
        <f>ASTemp!B1186</f>
        <v/>
      </c>
      <c r="C1186" s="67" t="str">
        <f>ASTemp!C1186</f>
        <v/>
      </c>
      <c r="D1186" s="68" t="str">
        <f>ASTemp!D1186</f>
        <v/>
      </c>
      <c r="E1186" s="65" t="str">
        <f>ASTemp!E1186</f>
        <v/>
      </c>
      <c r="F1186" s="69" t="str">
        <f>TEXT(ASTemp!F1186,Decimals)</f>
        <v/>
      </c>
      <c r="G1186" s="69" t="str">
        <f>TEXT(ASTemp!G1186,Decimals)</f>
        <v/>
      </c>
      <c r="H1186" s="69" t="str">
        <f>TEXT(ASTemp!H1186,Decimals)</f>
        <v/>
      </c>
      <c r="I1186" s="69" t="str">
        <f>TEXT(ASTemp!I1186,Decimals)</f>
        <v/>
      </c>
      <c r="J1186" s="69" t="str">
        <f>TEXT(ASTemp!J1186,Decimals)</f>
        <v/>
      </c>
      <c r="K1186" s="69" t="str">
        <f>TEXT(ASTemp!K1186,Decimals)</f>
        <v/>
      </c>
      <c r="L1186" s="69" t="str">
        <f>TEXT(ASTemp!L1186,Decimals)</f>
        <v/>
      </c>
      <c r="M1186" s="71" t="str">
        <f>TEXT(ASTemp!M1186,Percentages)</f>
        <v/>
      </c>
      <c r="N1186" s="72" t="str">
        <f>TEXT(ASTemp!N1186,Percentages)</f>
        <v/>
      </c>
    </row>
    <row r="1187" ht="14.25" customHeight="1">
      <c r="B1187" s="66" t="str">
        <f>ASTemp!B1187</f>
        <v/>
      </c>
      <c r="C1187" s="67" t="str">
        <f>ASTemp!C1187</f>
        <v/>
      </c>
      <c r="D1187" s="68" t="str">
        <f>ASTemp!D1187</f>
        <v/>
      </c>
      <c r="E1187" s="65" t="str">
        <f>ASTemp!E1187</f>
        <v/>
      </c>
      <c r="F1187" s="69" t="str">
        <f>TEXT(ASTemp!F1187,Decimals)</f>
        <v/>
      </c>
      <c r="G1187" s="69" t="str">
        <f>TEXT(ASTemp!G1187,Decimals)</f>
        <v/>
      </c>
      <c r="H1187" s="69" t="str">
        <f>TEXT(ASTemp!H1187,Decimals)</f>
        <v/>
      </c>
      <c r="I1187" s="69" t="str">
        <f>TEXT(ASTemp!I1187,Decimals)</f>
        <v/>
      </c>
      <c r="J1187" s="69" t="str">
        <f>TEXT(ASTemp!J1187,Decimals)</f>
        <v/>
      </c>
      <c r="K1187" s="69" t="str">
        <f>TEXT(ASTemp!K1187,Decimals)</f>
        <v/>
      </c>
      <c r="L1187" s="69" t="str">
        <f>TEXT(ASTemp!L1187,Decimals)</f>
        <v/>
      </c>
      <c r="M1187" s="71" t="str">
        <f>TEXT(ASTemp!M1187,Percentages)</f>
        <v/>
      </c>
      <c r="N1187" s="72" t="str">
        <f>TEXT(ASTemp!N1187,Percentages)</f>
        <v/>
      </c>
    </row>
    <row r="1188" ht="14.25" customHeight="1">
      <c r="B1188" s="66" t="str">
        <f>ASTemp!B1188</f>
        <v/>
      </c>
      <c r="C1188" s="67" t="str">
        <f>ASTemp!C1188</f>
        <v/>
      </c>
      <c r="D1188" s="68" t="str">
        <f>ASTemp!D1188</f>
        <v/>
      </c>
      <c r="E1188" s="65" t="str">
        <f>ASTemp!E1188</f>
        <v/>
      </c>
      <c r="F1188" s="69" t="str">
        <f>TEXT(ASTemp!F1188,Decimals)</f>
        <v/>
      </c>
      <c r="G1188" s="69" t="str">
        <f>TEXT(ASTemp!G1188,Decimals)</f>
        <v/>
      </c>
      <c r="H1188" s="69" t="str">
        <f>TEXT(ASTemp!H1188,Decimals)</f>
        <v/>
      </c>
      <c r="I1188" s="69" t="str">
        <f>TEXT(ASTemp!I1188,Decimals)</f>
        <v/>
      </c>
      <c r="J1188" s="69" t="str">
        <f>TEXT(ASTemp!J1188,Decimals)</f>
        <v/>
      </c>
      <c r="K1188" s="69" t="str">
        <f>TEXT(ASTemp!K1188,Decimals)</f>
        <v/>
      </c>
      <c r="L1188" s="69" t="str">
        <f>TEXT(ASTemp!L1188,Decimals)</f>
        <v/>
      </c>
      <c r="M1188" s="71" t="str">
        <f>TEXT(ASTemp!M1188,Percentages)</f>
        <v/>
      </c>
      <c r="N1188" s="72" t="str">
        <f>TEXT(ASTemp!N1188,Percentages)</f>
        <v/>
      </c>
    </row>
    <row r="1189" ht="14.25" customHeight="1">
      <c r="B1189" s="66" t="str">
        <f>ASTemp!B1189</f>
        <v/>
      </c>
      <c r="C1189" s="67" t="str">
        <f>ASTemp!C1189</f>
        <v/>
      </c>
      <c r="D1189" s="68" t="str">
        <f>ASTemp!D1189</f>
        <v/>
      </c>
      <c r="E1189" s="65" t="str">
        <f>ASTemp!E1189</f>
        <v/>
      </c>
      <c r="F1189" s="69" t="str">
        <f>TEXT(ASTemp!F1189,Decimals)</f>
        <v/>
      </c>
      <c r="G1189" s="69" t="str">
        <f>TEXT(ASTemp!G1189,Decimals)</f>
        <v/>
      </c>
      <c r="H1189" s="69" t="str">
        <f>TEXT(ASTemp!H1189,Decimals)</f>
        <v/>
      </c>
      <c r="I1189" s="69" t="str">
        <f>TEXT(ASTemp!I1189,Decimals)</f>
        <v/>
      </c>
      <c r="J1189" s="69" t="str">
        <f>TEXT(ASTemp!J1189,Decimals)</f>
        <v/>
      </c>
      <c r="K1189" s="69" t="str">
        <f>TEXT(ASTemp!K1189,Decimals)</f>
        <v/>
      </c>
      <c r="L1189" s="69" t="str">
        <f>TEXT(ASTemp!L1189,Decimals)</f>
        <v/>
      </c>
      <c r="M1189" s="71" t="str">
        <f>TEXT(ASTemp!M1189,Percentages)</f>
        <v/>
      </c>
      <c r="N1189" s="72" t="str">
        <f>TEXT(ASTemp!N1189,Percentages)</f>
        <v/>
      </c>
    </row>
    <row r="1190" ht="14.25" customHeight="1">
      <c r="B1190" s="66" t="str">
        <f>ASTemp!B1190</f>
        <v/>
      </c>
      <c r="C1190" s="67" t="str">
        <f>ASTemp!C1190</f>
        <v/>
      </c>
      <c r="D1190" s="68" t="str">
        <f>ASTemp!D1190</f>
        <v/>
      </c>
      <c r="E1190" s="65" t="str">
        <f>ASTemp!E1190</f>
        <v/>
      </c>
      <c r="F1190" s="69" t="str">
        <f>TEXT(ASTemp!F1190,Decimals)</f>
        <v/>
      </c>
      <c r="G1190" s="69" t="str">
        <f>TEXT(ASTemp!G1190,Decimals)</f>
        <v/>
      </c>
      <c r="H1190" s="69" t="str">
        <f>TEXT(ASTemp!H1190,Decimals)</f>
        <v/>
      </c>
      <c r="I1190" s="69" t="str">
        <f>TEXT(ASTemp!I1190,Decimals)</f>
        <v/>
      </c>
      <c r="J1190" s="69" t="str">
        <f>TEXT(ASTemp!J1190,Decimals)</f>
        <v/>
      </c>
      <c r="K1190" s="69" t="str">
        <f>TEXT(ASTemp!K1190,Decimals)</f>
        <v/>
      </c>
      <c r="L1190" s="69" t="str">
        <f>TEXT(ASTemp!L1190,Decimals)</f>
        <v/>
      </c>
      <c r="M1190" s="71" t="str">
        <f>TEXT(ASTemp!M1190,Percentages)</f>
        <v/>
      </c>
      <c r="N1190" s="72" t="str">
        <f>TEXT(ASTemp!N1190,Percentages)</f>
        <v/>
      </c>
    </row>
    <row r="1191" ht="14.25" customHeight="1">
      <c r="B1191" s="66" t="str">
        <f>ASTemp!B1191</f>
        <v/>
      </c>
      <c r="C1191" s="67" t="str">
        <f>ASTemp!C1191</f>
        <v/>
      </c>
      <c r="D1191" s="68" t="str">
        <f>ASTemp!D1191</f>
        <v/>
      </c>
      <c r="E1191" s="65" t="str">
        <f>ASTemp!E1191</f>
        <v/>
      </c>
      <c r="F1191" s="69" t="str">
        <f>TEXT(ASTemp!F1191,Decimals)</f>
        <v/>
      </c>
      <c r="G1191" s="69" t="str">
        <f>TEXT(ASTemp!G1191,Decimals)</f>
        <v/>
      </c>
      <c r="H1191" s="69" t="str">
        <f>TEXT(ASTemp!H1191,Decimals)</f>
        <v/>
      </c>
      <c r="I1191" s="69" t="str">
        <f>TEXT(ASTemp!I1191,Decimals)</f>
        <v/>
      </c>
      <c r="J1191" s="69" t="str">
        <f>TEXT(ASTemp!J1191,Decimals)</f>
        <v/>
      </c>
      <c r="K1191" s="69" t="str">
        <f>TEXT(ASTemp!K1191,Decimals)</f>
        <v/>
      </c>
      <c r="L1191" s="69" t="str">
        <f>TEXT(ASTemp!L1191,Decimals)</f>
        <v/>
      </c>
      <c r="M1191" s="71" t="str">
        <f>TEXT(ASTemp!M1191,Percentages)</f>
        <v/>
      </c>
      <c r="N1191" s="72" t="str">
        <f>TEXT(ASTemp!N1191,Percentages)</f>
        <v/>
      </c>
    </row>
    <row r="1192" ht="14.25" customHeight="1">
      <c r="B1192" s="66" t="str">
        <f>ASTemp!B1192</f>
        <v/>
      </c>
      <c r="C1192" s="67" t="str">
        <f>ASTemp!C1192</f>
        <v/>
      </c>
      <c r="D1192" s="68" t="str">
        <f>ASTemp!D1192</f>
        <v/>
      </c>
      <c r="E1192" s="65" t="str">
        <f>ASTemp!E1192</f>
        <v/>
      </c>
      <c r="F1192" s="69" t="str">
        <f>TEXT(ASTemp!F1192,Decimals)</f>
        <v/>
      </c>
      <c r="G1192" s="69" t="str">
        <f>TEXT(ASTemp!G1192,Decimals)</f>
        <v/>
      </c>
      <c r="H1192" s="69" t="str">
        <f>TEXT(ASTemp!H1192,Decimals)</f>
        <v/>
      </c>
      <c r="I1192" s="69" t="str">
        <f>TEXT(ASTemp!I1192,Decimals)</f>
        <v/>
      </c>
      <c r="J1192" s="69" t="str">
        <f>TEXT(ASTemp!J1192,Decimals)</f>
        <v/>
      </c>
      <c r="K1192" s="69" t="str">
        <f>TEXT(ASTemp!K1192,Decimals)</f>
        <v/>
      </c>
      <c r="L1192" s="69" t="str">
        <f>TEXT(ASTemp!L1192,Decimals)</f>
        <v/>
      </c>
      <c r="M1192" s="71" t="str">
        <f>TEXT(ASTemp!M1192,Percentages)</f>
        <v/>
      </c>
      <c r="N1192" s="72" t="str">
        <f>TEXT(ASTemp!N1192,Percentages)</f>
        <v/>
      </c>
    </row>
    <row r="1193" ht="14.25" customHeight="1">
      <c r="B1193" s="66" t="str">
        <f>ASTemp!B1193</f>
        <v/>
      </c>
      <c r="C1193" s="67" t="str">
        <f>ASTemp!C1193</f>
        <v/>
      </c>
      <c r="D1193" s="68" t="str">
        <f>ASTemp!D1193</f>
        <v/>
      </c>
      <c r="E1193" s="65" t="str">
        <f>ASTemp!E1193</f>
        <v/>
      </c>
      <c r="F1193" s="69" t="str">
        <f>TEXT(ASTemp!F1193,Decimals)</f>
        <v/>
      </c>
      <c r="G1193" s="69" t="str">
        <f>TEXT(ASTemp!G1193,Decimals)</f>
        <v/>
      </c>
      <c r="H1193" s="69" t="str">
        <f>TEXT(ASTemp!H1193,Decimals)</f>
        <v/>
      </c>
      <c r="I1193" s="69" t="str">
        <f>TEXT(ASTemp!I1193,Decimals)</f>
        <v/>
      </c>
      <c r="J1193" s="69" t="str">
        <f>TEXT(ASTemp!J1193,Decimals)</f>
        <v/>
      </c>
      <c r="K1193" s="69" t="str">
        <f>TEXT(ASTemp!K1193,Decimals)</f>
        <v/>
      </c>
      <c r="L1193" s="69" t="str">
        <f>TEXT(ASTemp!L1193,Decimals)</f>
        <v/>
      </c>
      <c r="M1193" s="71" t="str">
        <f>TEXT(ASTemp!M1193,Percentages)</f>
        <v/>
      </c>
      <c r="N1193" s="72" t="str">
        <f>TEXT(ASTemp!N1193,Percentages)</f>
        <v/>
      </c>
    </row>
    <row r="1194" ht="14.25" customHeight="1">
      <c r="B1194" s="66" t="str">
        <f>ASTemp!B1194</f>
        <v/>
      </c>
      <c r="C1194" s="67" t="str">
        <f>ASTemp!C1194</f>
        <v/>
      </c>
      <c r="D1194" s="68" t="str">
        <f>ASTemp!D1194</f>
        <v/>
      </c>
      <c r="E1194" s="65" t="str">
        <f>ASTemp!E1194</f>
        <v/>
      </c>
      <c r="F1194" s="69" t="str">
        <f>TEXT(ASTemp!F1194,Decimals)</f>
        <v/>
      </c>
      <c r="G1194" s="69" t="str">
        <f>TEXT(ASTemp!G1194,Decimals)</f>
        <v/>
      </c>
      <c r="H1194" s="69" t="str">
        <f>TEXT(ASTemp!H1194,Decimals)</f>
        <v/>
      </c>
      <c r="I1194" s="69" t="str">
        <f>TEXT(ASTemp!I1194,Decimals)</f>
        <v/>
      </c>
      <c r="J1194" s="69" t="str">
        <f>TEXT(ASTemp!J1194,Decimals)</f>
        <v/>
      </c>
      <c r="K1194" s="69" t="str">
        <f>TEXT(ASTemp!K1194,Decimals)</f>
        <v/>
      </c>
      <c r="L1194" s="69" t="str">
        <f>TEXT(ASTemp!L1194,Decimals)</f>
        <v/>
      </c>
      <c r="M1194" s="71" t="str">
        <f>TEXT(ASTemp!M1194,Percentages)</f>
        <v/>
      </c>
      <c r="N1194" s="72" t="str">
        <f>TEXT(ASTemp!N1194,Percentages)</f>
        <v/>
      </c>
    </row>
    <row r="1195" ht="14.25" customHeight="1">
      <c r="B1195" s="66" t="str">
        <f>ASTemp!B1195</f>
        <v/>
      </c>
      <c r="C1195" s="67" t="str">
        <f>ASTemp!C1195</f>
        <v/>
      </c>
      <c r="D1195" s="68" t="str">
        <f>ASTemp!D1195</f>
        <v/>
      </c>
      <c r="E1195" s="65" t="str">
        <f>ASTemp!E1195</f>
        <v/>
      </c>
      <c r="F1195" s="69" t="str">
        <f>TEXT(ASTemp!F1195,Decimals)</f>
        <v/>
      </c>
      <c r="G1195" s="69" t="str">
        <f>TEXT(ASTemp!G1195,Decimals)</f>
        <v/>
      </c>
      <c r="H1195" s="69" t="str">
        <f>TEXT(ASTemp!H1195,Decimals)</f>
        <v/>
      </c>
      <c r="I1195" s="69" t="str">
        <f>TEXT(ASTemp!I1195,Decimals)</f>
        <v/>
      </c>
      <c r="J1195" s="69" t="str">
        <f>TEXT(ASTemp!J1195,Decimals)</f>
        <v/>
      </c>
      <c r="K1195" s="69" t="str">
        <f>TEXT(ASTemp!K1195,Decimals)</f>
        <v/>
      </c>
      <c r="L1195" s="69" t="str">
        <f>TEXT(ASTemp!L1195,Decimals)</f>
        <v/>
      </c>
      <c r="M1195" s="71" t="str">
        <f>TEXT(ASTemp!M1195,Percentages)</f>
        <v/>
      </c>
      <c r="N1195" s="72" t="str">
        <f>TEXT(ASTemp!N1195,Percentages)</f>
        <v/>
      </c>
    </row>
    <row r="1196" ht="14.25" customHeight="1">
      <c r="B1196" s="66" t="str">
        <f>ASTemp!B1196</f>
        <v/>
      </c>
      <c r="C1196" s="67" t="str">
        <f>ASTemp!C1196</f>
        <v/>
      </c>
      <c r="D1196" s="68" t="str">
        <f>ASTemp!D1196</f>
        <v/>
      </c>
      <c r="E1196" s="65" t="str">
        <f>ASTemp!E1196</f>
        <v/>
      </c>
      <c r="F1196" s="69" t="str">
        <f>TEXT(ASTemp!F1196,Decimals)</f>
        <v/>
      </c>
      <c r="G1196" s="69" t="str">
        <f>TEXT(ASTemp!G1196,Decimals)</f>
        <v/>
      </c>
      <c r="H1196" s="69" t="str">
        <f>TEXT(ASTemp!H1196,Decimals)</f>
        <v/>
      </c>
      <c r="I1196" s="69" t="str">
        <f>TEXT(ASTemp!I1196,Decimals)</f>
        <v/>
      </c>
      <c r="J1196" s="69" t="str">
        <f>TEXT(ASTemp!J1196,Decimals)</f>
        <v/>
      </c>
      <c r="K1196" s="69" t="str">
        <f>TEXT(ASTemp!K1196,Decimals)</f>
        <v/>
      </c>
      <c r="L1196" s="69" t="str">
        <f>TEXT(ASTemp!L1196,Decimals)</f>
        <v/>
      </c>
      <c r="M1196" s="71" t="str">
        <f>TEXT(ASTemp!M1196,Percentages)</f>
        <v/>
      </c>
      <c r="N1196" s="72" t="str">
        <f>TEXT(ASTemp!N1196,Percentages)</f>
        <v/>
      </c>
    </row>
    <row r="1197" ht="14.25" customHeight="1">
      <c r="B1197" s="66" t="str">
        <f>ASTemp!B1197</f>
        <v/>
      </c>
      <c r="C1197" s="67" t="str">
        <f>ASTemp!C1197</f>
        <v/>
      </c>
      <c r="D1197" s="68" t="str">
        <f>ASTemp!D1197</f>
        <v/>
      </c>
      <c r="E1197" s="65" t="str">
        <f>ASTemp!E1197</f>
        <v/>
      </c>
      <c r="F1197" s="69" t="str">
        <f>TEXT(ASTemp!F1197,Decimals)</f>
        <v/>
      </c>
      <c r="G1197" s="69" t="str">
        <f>TEXT(ASTemp!G1197,Decimals)</f>
        <v/>
      </c>
      <c r="H1197" s="69" t="str">
        <f>TEXT(ASTemp!H1197,Decimals)</f>
        <v/>
      </c>
      <c r="I1197" s="69" t="str">
        <f>TEXT(ASTemp!I1197,Decimals)</f>
        <v/>
      </c>
      <c r="J1197" s="69" t="str">
        <f>TEXT(ASTemp!J1197,Decimals)</f>
        <v/>
      </c>
      <c r="K1197" s="69" t="str">
        <f>TEXT(ASTemp!K1197,Decimals)</f>
        <v/>
      </c>
      <c r="L1197" s="69" t="str">
        <f>TEXT(ASTemp!L1197,Decimals)</f>
        <v/>
      </c>
      <c r="M1197" s="71" t="str">
        <f>TEXT(ASTemp!M1197,Percentages)</f>
        <v/>
      </c>
      <c r="N1197" s="72" t="str">
        <f>TEXT(ASTemp!N1197,Percentages)</f>
        <v/>
      </c>
    </row>
    <row r="1198" ht="14.25" customHeight="1">
      <c r="B1198" s="66" t="str">
        <f>ASTemp!B1198</f>
        <v/>
      </c>
      <c r="C1198" s="67" t="str">
        <f>ASTemp!C1198</f>
        <v/>
      </c>
      <c r="D1198" s="68" t="str">
        <f>ASTemp!D1198</f>
        <v/>
      </c>
      <c r="E1198" s="65" t="str">
        <f>ASTemp!E1198</f>
        <v/>
      </c>
      <c r="F1198" s="69" t="str">
        <f>TEXT(ASTemp!F1198,Decimals)</f>
        <v/>
      </c>
      <c r="G1198" s="69" t="str">
        <f>TEXT(ASTemp!G1198,Decimals)</f>
        <v/>
      </c>
      <c r="H1198" s="69" t="str">
        <f>TEXT(ASTemp!H1198,Decimals)</f>
        <v/>
      </c>
      <c r="I1198" s="69" t="str">
        <f>TEXT(ASTemp!I1198,Decimals)</f>
        <v/>
      </c>
      <c r="J1198" s="69" t="str">
        <f>TEXT(ASTemp!J1198,Decimals)</f>
        <v/>
      </c>
      <c r="K1198" s="69" t="str">
        <f>TEXT(ASTemp!K1198,Decimals)</f>
        <v/>
      </c>
      <c r="L1198" s="69" t="str">
        <f>TEXT(ASTemp!L1198,Decimals)</f>
        <v/>
      </c>
      <c r="M1198" s="71" t="str">
        <f>TEXT(ASTemp!M1198,Percentages)</f>
        <v/>
      </c>
      <c r="N1198" s="72" t="str">
        <f>TEXT(ASTemp!N1198,Percentages)</f>
        <v/>
      </c>
    </row>
    <row r="1199" ht="14.25" customHeight="1">
      <c r="B1199" s="66" t="str">
        <f>ASTemp!B1199</f>
        <v/>
      </c>
      <c r="C1199" s="67" t="str">
        <f>ASTemp!C1199</f>
        <v/>
      </c>
      <c r="D1199" s="68" t="str">
        <f>ASTemp!D1199</f>
        <v/>
      </c>
      <c r="E1199" s="65" t="str">
        <f>ASTemp!E1199</f>
        <v/>
      </c>
      <c r="F1199" s="69" t="str">
        <f>TEXT(ASTemp!F1199,Decimals)</f>
        <v/>
      </c>
      <c r="G1199" s="69" t="str">
        <f>TEXT(ASTemp!G1199,Decimals)</f>
        <v/>
      </c>
      <c r="H1199" s="69" t="str">
        <f>TEXT(ASTemp!H1199,Decimals)</f>
        <v/>
      </c>
      <c r="I1199" s="69" t="str">
        <f>TEXT(ASTemp!I1199,Decimals)</f>
        <v/>
      </c>
      <c r="J1199" s="69" t="str">
        <f>TEXT(ASTemp!J1199,Decimals)</f>
        <v/>
      </c>
      <c r="K1199" s="69" t="str">
        <f>TEXT(ASTemp!K1199,Decimals)</f>
        <v/>
      </c>
      <c r="L1199" s="69" t="str">
        <f>TEXT(ASTemp!L1199,Decimals)</f>
        <v/>
      </c>
      <c r="M1199" s="71" t="str">
        <f>TEXT(ASTemp!M1199,Percentages)</f>
        <v/>
      </c>
      <c r="N1199" s="72" t="str">
        <f>TEXT(ASTemp!N1199,Percentages)</f>
        <v/>
      </c>
    </row>
    <row r="1200" ht="14.25" customHeight="1">
      <c r="B1200" s="66" t="str">
        <f>ASTemp!B1200</f>
        <v/>
      </c>
      <c r="C1200" s="67" t="str">
        <f>ASTemp!C1200</f>
        <v/>
      </c>
      <c r="D1200" s="68" t="str">
        <f>ASTemp!D1200</f>
        <v/>
      </c>
      <c r="E1200" s="65" t="str">
        <f>ASTemp!E1200</f>
        <v/>
      </c>
      <c r="F1200" s="69" t="str">
        <f>TEXT(ASTemp!F1200,Decimals)</f>
        <v/>
      </c>
      <c r="G1200" s="69" t="str">
        <f>TEXT(ASTemp!G1200,Decimals)</f>
        <v/>
      </c>
      <c r="H1200" s="69" t="str">
        <f>TEXT(ASTemp!H1200,Decimals)</f>
        <v/>
      </c>
      <c r="I1200" s="69" t="str">
        <f>TEXT(ASTemp!I1200,Decimals)</f>
        <v/>
      </c>
      <c r="J1200" s="69" t="str">
        <f>TEXT(ASTemp!J1200,Decimals)</f>
        <v/>
      </c>
      <c r="K1200" s="69" t="str">
        <f>TEXT(ASTemp!K1200,Decimals)</f>
        <v/>
      </c>
      <c r="L1200" s="69" t="str">
        <f>TEXT(ASTemp!L1200,Decimals)</f>
        <v/>
      </c>
      <c r="M1200" s="71" t="str">
        <f>TEXT(ASTemp!M1200,Percentages)</f>
        <v/>
      </c>
      <c r="N1200" s="72" t="str">
        <f>TEXT(ASTemp!N1200,Percentages)</f>
        <v/>
      </c>
    </row>
    <row r="1201" ht="14.25" customHeight="1">
      <c r="B1201" s="66" t="str">
        <f>ASTemp!B1201</f>
        <v/>
      </c>
      <c r="C1201" s="67" t="str">
        <f>ASTemp!C1201</f>
        <v/>
      </c>
      <c r="D1201" s="68" t="str">
        <f>ASTemp!D1201</f>
        <v/>
      </c>
      <c r="E1201" s="65" t="str">
        <f>ASTemp!E1201</f>
        <v/>
      </c>
      <c r="F1201" s="69" t="str">
        <f>TEXT(ASTemp!F1201,Decimals)</f>
        <v/>
      </c>
      <c r="G1201" s="69" t="str">
        <f>TEXT(ASTemp!G1201,Decimals)</f>
        <v/>
      </c>
      <c r="H1201" s="69" t="str">
        <f>TEXT(ASTemp!H1201,Decimals)</f>
        <v/>
      </c>
      <c r="I1201" s="69" t="str">
        <f>TEXT(ASTemp!I1201,Decimals)</f>
        <v/>
      </c>
      <c r="J1201" s="69" t="str">
        <f>TEXT(ASTemp!J1201,Decimals)</f>
        <v/>
      </c>
      <c r="K1201" s="69" t="str">
        <f>TEXT(ASTemp!K1201,Decimals)</f>
        <v/>
      </c>
      <c r="L1201" s="69" t="str">
        <f>TEXT(ASTemp!L1201,Decimals)</f>
        <v/>
      </c>
      <c r="M1201" s="71" t="str">
        <f>TEXT(ASTemp!M1201,Percentages)</f>
        <v/>
      </c>
      <c r="N1201" s="72" t="str">
        <f>TEXT(ASTemp!N1201,Percentages)</f>
        <v/>
      </c>
    </row>
    <row r="1202" ht="14.25" customHeight="1">
      <c r="B1202" s="66" t="str">
        <f>ASTemp!B1202</f>
        <v/>
      </c>
      <c r="C1202" s="67" t="str">
        <f>ASTemp!C1202</f>
        <v/>
      </c>
      <c r="D1202" s="68" t="str">
        <f>ASTemp!D1202</f>
        <v/>
      </c>
      <c r="E1202" s="65" t="str">
        <f>ASTemp!E1202</f>
        <v/>
      </c>
      <c r="F1202" s="69" t="str">
        <f>TEXT(ASTemp!F1202,Decimals)</f>
        <v/>
      </c>
      <c r="G1202" s="69" t="str">
        <f>TEXT(ASTemp!G1202,Decimals)</f>
        <v/>
      </c>
      <c r="H1202" s="69" t="str">
        <f>TEXT(ASTemp!H1202,Decimals)</f>
        <v/>
      </c>
      <c r="I1202" s="69" t="str">
        <f>TEXT(ASTemp!I1202,Decimals)</f>
        <v/>
      </c>
      <c r="J1202" s="69" t="str">
        <f>TEXT(ASTemp!J1202,Decimals)</f>
        <v/>
      </c>
      <c r="K1202" s="69" t="str">
        <f>TEXT(ASTemp!K1202,Decimals)</f>
        <v/>
      </c>
      <c r="L1202" s="69" t="str">
        <f>TEXT(ASTemp!L1202,Decimals)</f>
        <v/>
      </c>
      <c r="M1202" s="71" t="str">
        <f>TEXT(ASTemp!M1202,Percentages)</f>
        <v/>
      </c>
      <c r="N1202" s="72" t="str">
        <f>TEXT(ASTemp!N1202,Percentages)</f>
        <v/>
      </c>
    </row>
    <row r="1203" ht="14.25" customHeight="1">
      <c r="B1203" s="66" t="str">
        <f>ASTemp!B1203</f>
        <v/>
      </c>
      <c r="C1203" s="67" t="str">
        <f>ASTemp!C1203</f>
        <v/>
      </c>
      <c r="D1203" s="68" t="str">
        <f>ASTemp!D1203</f>
        <v/>
      </c>
      <c r="E1203" s="65" t="str">
        <f>ASTemp!E1203</f>
        <v/>
      </c>
      <c r="F1203" s="69" t="str">
        <f>TEXT(ASTemp!F1203,Decimals)</f>
        <v/>
      </c>
      <c r="G1203" s="69" t="str">
        <f>TEXT(ASTemp!G1203,Decimals)</f>
        <v/>
      </c>
      <c r="H1203" s="69" t="str">
        <f>TEXT(ASTemp!H1203,Decimals)</f>
        <v/>
      </c>
      <c r="I1203" s="69" t="str">
        <f>TEXT(ASTemp!I1203,Decimals)</f>
        <v/>
      </c>
      <c r="J1203" s="69" t="str">
        <f>TEXT(ASTemp!J1203,Decimals)</f>
        <v/>
      </c>
      <c r="K1203" s="69" t="str">
        <f>TEXT(ASTemp!K1203,Decimals)</f>
        <v/>
      </c>
      <c r="L1203" s="69" t="str">
        <f>TEXT(ASTemp!L1203,Decimals)</f>
        <v/>
      </c>
      <c r="M1203" s="71" t="str">
        <f>TEXT(ASTemp!M1203,Percentages)</f>
        <v/>
      </c>
      <c r="N1203" s="72" t="str">
        <f>TEXT(ASTemp!N1203,Percentages)</f>
        <v/>
      </c>
    </row>
    <row r="1204" ht="14.25" customHeight="1">
      <c r="B1204" s="66" t="str">
        <f>ASTemp!B1204</f>
        <v/>
      </c>
      <c r="C1204" s="67" t="str">
        <f>ASTemp!C1204</f>
        <v/>
      </c>
      <c r="D1204" s="68" t="str">
        <f>ASTemp!D1204</f>
        <v/>
      </c>
      <c r="E1204" s="65" t="str">
        <f>ASTemp!E1204</f>
        <v/>
      </c>
      <c r="F1204" s="69" t="str">
        <f>TEXT(ASTemp!F1204,Decimals)</f>
        <v/>
      </c>
      <c r="G1204" s="69" t="str">
        <f>TEXT(ASTemp!G1204,Decimals)</f>
        <v/>
      </c>
      <c r="H1204" s="69" t="str">
        <f>TEXT(ASTemp!H1204,Decimals)</f>
        <v/>
      </c>
      <c r="I1204" s="69" t="str">
        <f>TEXT(ASTemp!I1204,Decimals)</f>
        <v/>
      </c>
      <c r="J1204" s="69" t="str">
        <f>TEXT(ASTemp!J1204,Decimals)</f>
        <v/>
      </c>
      <c r="K1204" s="69" t="str">
        <f>TEXT(ASTemp!K1204,Decimals)</f>
        <v/>
      </c>
      <c r="L1204" s="69" t="str">
        <f>TEXT(ASTemp!L1204,Decimals)</f>
        <v/>
      </c>
      <c r="M1204" s="71" t="str">
        <f>TEXT(ASTemp!M1204,Percentages)</f>
        <v/>
      </c>
      <c r="N1204" s="72" t="str">
        <f>TEXT(ASTemp!N1204,Percentages)</f>
        <v/>
      </c>
    </row>
    <row r="1205" ht="14.25" customHeight="1">
      <c r="B1205" s="66" t="str">
        <f>ASTemp!B1205</f>
        <v/>
      </c>
      <c r="C1205" s="67" t="str">
        <f>ASTemp!C1205</f>
        <v/>
      </c>
      <c r="D1205" s="68" t="str">
        <f>ASTemp!D1205</f>
        <v/>
      </c>
      <c r="E1205" s="65" t="str">
        <f>ASTemp!E1205</f>
        <v/>
      </c>
      <c r="F1205" s="69" t="str">
        <f>TEXT(ASTemp!F1205,Decimals)</f>
        <v/>
      </c>
      <c r="G1205" s="69" t="str">
        <f>TEXT(ASTemp!G1205,Decimals)</f>
        <v/>
      </c>
      <c r="H1205" s="69" t="str">
        <f>TEXT(ASTemp!H1205,Decimals)</f>
        <v/>
      </c>
      <c r="I1205" s="69" t="str">
        <f>TEXT(ASTemp!I1205,Decimals)</f>
        <v/>
      </c>
      <c r="J1205" s="69" t="str">
        <f>TEXT(ASTemp!J1205,Decimals)</f>
        <v/>
      </c>
      <c r="K1205" s="69" t="str">
        <f>TEXT(ASTemp!K1205,Decimals)</f>
        <v/>
      </c>
      <c r="L1205" s="69" t="str">
        <f>TEXT(ASTemp!L1205,Decimals)</f>
        <v/>
      </c>
      <c r="M1205" s="71" t="str">
        <f>TEXT(ASTemp!M1205,Percentages)</f>
        <v/>
      </c>
      <c r="N1205" s="72" t="str">
        <f>TEXT(ASTemp!N1205,Percentages)</f>
        <v/>
      </c>
    </row>
    <row r="1206" ht="14.25" customHeight="1">
      <c r="B1206" s="66" t="str">
        <f>ASTemp!B1206</f>
        <v/>
      </c>
      <c r="C1206" s="67" t="str">
        <f>ASTemp!C1206</f>
        <v/>
      </c>
      <c r="D1206" s="68" t="str">
        <f>ASTemp!D1206</f>
        <v/>
      </c>
      <c r="E1206" s="65" t="str">
        <f>ASTemp!E1206</f>
        <v/>
      </c>
      <c r="F1206" s="69" t="str">
        <f>TEXT(ASTemp!F1206,Decimals)</f>
        <v/>
      </c>
      <c r="G1206" s="69" t="str">
        <f>TEXT(ASTemp!G1206,Decimals)</f>
        <v/>
      </c>
      <c r="H1206" s="69" t="str">
        <f>TEXT(ASTemp!H1206,Decimals)</f>
        <v/>
      </c>
      <c r="I1206" s="69" t="str">
        <f>TEXT(ASTemp!I1206,Decimals)</f>
        <v/>
      </c>
      <c r="J1206" s="69" t="str">
        <f>TEXT(ASTemp!J1206,Decimals)</f>
        <v/>
      </c>
      <c r="K1206" s="69" t="str">
        <f>TEXT(ASTemp!K1206,Decimals)</f>
        <v/>
      </c>
      <c r="L1206" s="69" t="str">
        <f>TEXT(ASTemp!L1206,Decimals)</f>
        <v/>
      </c>
      <c r="M1206" s="71" t="str">
        <f>TEXT(ASTemp!M1206,Percentages)</f>
        <v/>
      </c>
      <c r="N1206" s="72" t="str">
        <f>TEXT(ASTemp!N1206,Percentages)</f>
        <v/>
      </c>
    </row>
    <row r="1207" ht="14.25" customHeight="1">
      <c r="B1207" s="66" t="str">
        <f>ASTemp!B1207</f>
        <v/>
      </c>
      <c r="C1207" s="67" t="str">
        <f>ASTemp!C1207</f>
        <v/>
      </c>
      <c r="D1207" s="68" t="str">
        <f>ASTemp!D1207</f>
        <v/>
      </c>
      <c r="E1207" s="65" t="str">
        <f>ASTemp!E1207</f>
        <v/>
      </c>
      <c r="F1207" s="69" t="str">
        <f>TEXT(ASTemp!F1207,Decimals)</f>
        <v/>
      </c>
      <c r="G1207" s="69" t="str">
        <f>TEXT(ASTemp!G1207,Decimals)</f>
        <v/>
      </c>
      <c r="H1207" s="69" t="str">
        <f>TEXT(ASTemp!H1207,Decimals)</f>
        <v/>
      </c>
      <c r="I1207" s="69" t="str">
        <f>TEXT(ASTemp!I1207,Decimals)</f>
        <v/>
      </c>
      <c r="J1207" s="69" t="str">
        <f>TEXT(ASTemp!J1207,Decimals)</f>
        <v/>
      </c>
      <c r="K1207" s="69" t="str">
        <f>TEXT(ASTemp!K1207,Decimals)</f>
        <v/>
      </c>
      <c r="L1207" s="69" t="str">
        <f>TEXT(ASTemp!L1207,Decimals)</f>
        <v/>
      </c>
      <c r="M1207" s="71" t="str">
        <f>TEXT(ASTemp!M1207,Percentages)</f>
        <v/>
      </c>
      <c r="N1207" s="72" t="str">
        <f>TEXT(ASTemp!N1207,Percentages)</f>
        <v/>
      </c>
    </row>
    <row r="1208" ht="14.25" customHeight="1">
      <c r="B1208" s="66" t="str">
        <f>ASTemp!B1208</f>
        <v/>
      </c>
      <c r="C1208" s="67" t="str">
        <f>ASTemp!C1208</f>
        <v/>
      </c>
      <c r="D1208" s="68" t="str">
        <f>ASTemp!D1208</f>
        <v/>
      </c>
      <c r="E1208" s="65" t="str">
        <f>ASTemp!E1208</f>
        <v/>
      </c>
      <c r="F1208" s="69" t="str">
        <f>TEXT(ASTemp!F1208,Decimals)</f>
        <v/>
      </c>
      <c r="G1208" s="69" t="str">
        <f>TEXT(ASTemp!G1208,Decimals)</f>
        <v/>
      </c>
      <c r="H1208" s="69" t="str">
        <f>TEXT(ASTemp!H1208,Decimals)</f>
        <v/>
      </c>
      <c r="I1208" s="69" t="str">
        <f>TEXT(ASTemp!I1208,Decimals)</f>
        <v/>
      </c>
      <c r="J1208" s="69" t="str">
        <f>TEXT(ASTemp!J1208,Decimals)</f>
        <v/>
      </c>
      <c r="K1208" s="69" t="str">
        <f>TEXT(ASTemp!K1208,Decimals)</f>
        <v/>
      </c>
      <c r="L1208" s="69" t="str">
        <f>TEXT(ASTemp!L1208,Decimals)</f>
        <v/>
      </c>
      <c r="M1208" s="71" t="str">
        <f>TEXT(ASTemp!M1208,Percentages)</f>
        <v/>
      </c>
      <c r="N1208" s="72" t="str">
        <f>TEXT(ASTemp!N1208,Percentages)</f>
        <v/>
      </c>
    </row>
    <row r="1209" ht="14.25" customHeight="1">
      <c r="B1209" s="66" t="str">
        <f>ASTemp!B1209</f>
        <v/>
      </c>
      <c r="C1209" s="67" t="str">
        <f>ASTemp!C1209</f>
        <v/>
      </c>
      <c r="D1209" s="68" t="str">
        <f>ASTemp!D1209</f>
        <v/>
      </c>
      <c r="E1209" s="65" t="str">
        <f>ASTemp!E1209</f>
        <v/>
      </c>
      <c r="F1209" s="69" t="str">
        <f>TEXT(ASTemp!F1209,Decimals)</f>
        <v/>
      </c>
      <c r="G1209" s="69" t="str">
        <f>TEXT(ASTemp!G1209,Decimals)</f>
        <v/>
      </c>
      <c r="H1209" s="69" t="str">
        <f>TEXT(ASTemp!H1209,Decimals)</f>
        <v/>
      </c>
      <c r="I1209" s="69" t="str">
        <f>TEXT(ASTemp!I1209,Decimals)</f>
        <v/>
      </c>
      <c r="J1209" s="69" t="str">
        <f>TEXT(ASTemp!J1209,Decimals)</f>
        <v/>
      </c>
      <c r="K1209" s="69" t="str">
        <f>TEXT(ASTemp!K1209,Decimals)</f>
        <v/>
      </c>
      <c r="L1209" s="69" t="str">
        <f>TEXT(ASTemp!L1209,Decimals)</f>
        <v/>
      </c>
      <c r="M1209" s="71" t="str">
        <f>TEXT(ASTemp!M1209,Percentages)</f>
        <v/>
      </c>
      <c r="N1209" s="72" t="str">
        <f>TEXT(ASTemp!N1209,Percentages)</f>
        <v/>
      </c>
    </row>
    <row r="1210" ht="14.25" customHeight="1">
      <c r="B1210" s="66" t="str">
        <f>ASTemp!B1210</f>
        <v/>
      </c>
      <c r="C1210" s="67" t="str">
        <f>ASTemp!C1210</f>
        <v/>
      </c>
      <c r="D1210" s="68" t="str">
        <f>ASTemp!D1210</f>
        <v/>
      </c>
      <c r="E1210" s="65" t="str">
        <f>ASTemp!E1210</f>
        <v/>
      </c>
      <c r="F1210" s="69" t="str">
        <f>TEXT(ASTemp!F1210,Decimals)</f>
        <v/>
      </c>
      <c r="G1210" s="69" t="str">
        <f>TEXT(ASTemp!G1210,Decimals)</f>
        <v/>
      </c>
      <c r="H1210" s="69" t="str">
        <f>TEXT(ASTemp!H1210,Decimals)</f>
        <v/>
      </c>
      <c r="I1210" s="69" t="str">
        <f>TEXT(ASTemp!I1210,Decimals)</f>
        <v/>
      </c>
      <c r="J1210" s="69" t="str">
        <f>TEXT(ASTemp!J1210,Decimals)</f>
        <v/>
      </c>
      <c r="K1210" s="69" t="str">
        <f>TEXT(ASTemp!K1210,Decimals)</f>
        <v/>
      </c>
      <c r="L1210" s="69" t="str">
        <f>TEXT(ASTemp!L1210,Decimals)</f>
        <v/>
      </c>
      <c r="M1210" s="71" t="str">
        <f>TEXT(ASTemp!M1210,Percentages)</f>
        <v/>
      </c>
      <c r="N1210" s="72" t="str">
        <f>TEXT(ASTemp!N1210,Percentages)</f>
        <v/>
      </c>
    </row>
    <row r="1211" ht="14.25" customHeight="1">
      <c r="B1211" s="66" t="str">
        <f>ASTemp!B1211</f>
        <v/>
      </c>
      <c r="C1211" s="67" t="str">
        <f>ASTemp!C1211</f>
        <v/>
      </c>
      <c r="D1211" s="68" t="str">
        <f>ASTemp!D1211</f>
        <v/>
      </c>
      <c r="E1211" s="65" t="str">
        <f>ASTemp!E1211</f>
        <v/>
      </c>
      <c r="F1211" s="69" t="str">
        <f>TEXT(ASTemp!F1211,Decimals)</f>
        <v/>
      </c>
      <c r="G1211" s="69" t="str">
        <f>TEXT(ASTemp!G1211,Decimals)</f>
        <v/>
      </c>
      <c r="H1211" s="69" t="str">
        <f>TEXT(ASTemp!H1211,Decimals)</f>
        <v/>
      </c>
      <c r="I1211" s="69" t="str">
        <f>TEXT(ASTemp!I1211,Decimals)</f>
        <v/>
      </c>
      <c r="J1211" s="69" t="str">
        <f>TEXT(ASTemp!J1211,Decimals)</f>
        <v/>
      </c>
      <c r="K1211" s="69" t="str">
        <f>TEXT(ASTemp!K1211,Decimals)</f>
        <v/>
      </c>
      <c r="L1211" s="69" t="str">
        <f>TEXT(ASTemp!L1211,Decimals)</f>
        <v/>
      </c>
      <c r="M1211" s="71" t="str">
        <f>TEXT(ASTemp!M1211,Percentages)</f>
        <v/>
      </c>
      <c r="N1211" s="72" t="str">
        <f>TEXT(ASTemp!N1211,Percentages)</f>
        <v/>
      </c>
    </row>
    <row r="1212" ht="14.25" customHeight="1">
      <c r="B1212" s="66" t="str">
        <f>ASTemp!B1212</f>
        <v/>
      </c>
      <c r="C1212" s="67" t="str">
        <f>ASTemp!C1212</f>
        <v/>
      </c>
      <c r="D1212" s="68" t="str">
        <f>ASTemp!D1212</f>
        <v/>
      </c>
      <c r="E1212" s="65" t="str">
        <f>ASTemp!E1212</f>
        <v/>
      </c>
      <c r="F1212" s="69" t="str">
        <f>TEXT(ASTemp!F1212,Decimals)</f>
        <v/>
      </c>
      <c r="G1212" s="69" t="str">
        <f>TEXT(ASTemp!G1212,Decimals)</f>
        <v/>
      </c>
      <c r="H1212" s="69" t="str">
        <f>TEXT(ASTemp!H1212,Decimals)</f>
        <v/>
      </c>
      <c r="I1212" s="69" t="str">
        <f>TEXT(ASTemp!I1212,Decimals)</f>
        <v/>
      </c>
      <c r="J1212" s="69" t="str">
        <f>TEXT(ASTemp!J1212,Decimals)</f>
        <v/>
      </c>
      <c r="K1212" s="69" t="str">
        <f>TEXT(ASTemp!K1212,Decimals)</f>
        <v/>
      </c>
      <c r="L1212" s="69" t="str">
        <f>TEXT(ASTemp!L1212,Decimals)</f>
        <v/>
      </c>
      <c r="M1212" s="71" t="str">
        <f>TEXT(ASTemp!M1212,Percentages)</f>
        <v/>
      </c>
      <c r="N1212" s="72" t="str">
        <f>TEXT(ASTemp!N1212,Percentages)</f>
        <v/>
      </c>
    </row>
    <row r="1213" ht="14.25" customHeight="1">
      <c r="B1213" s="66" t="str">
        <f>ASTemp!B1213</f>
        <v/>
      </c>
      <c r="C1213" s="67" t="str">
        <f>ASTemp!C1213</f>
        <v/>
      </c>
      <c r="D1213" s="68" t="str">
        <f>ASTemp!D1213</f>
        <v/>
      </c>
      <c r="E1213" s="65" t="str">
        <f>ASTemp!E1213</f>
        <v/>
      </c>
      <c r="F1213" s="69" t="str">
        <f>TEXT(ASTemp!F1213,Decimals)</f>
        <v/>
      </c>
      <c r="G1213" s="69" t="str">
        <f>TEXT(ASTemp!G1213,Decimals)</f>
        <v/>
      </c>
      <c r="H1213" s="69" t="str">
        <f>TEXT(ASTemp!H1213,Decimals)</f>
        <v/>
      </c>
      <c r="I1213" s="69" t="str">
        <f>TEXT(ASTemp!I1213,Decimals)</f>
        <v/>
      </c>
      <c r="J1213" s="69" t="str">
        <f>TEXT(ASTemp!J1213,Decimals)</f>
        <v/>
      </c>
      <c r="K1213" s="69" t="str">
        <f>TEXT(ASTemp!K1213,Decimals)</f>
        <v/>
      </c>
      <c r="L1213" s="69" t="str">
        <f>TEXT(ASTemp!L1213,Decimals)</f>
        <v/>
      </c>
      <c r="M1213" s="71" t="str">
        <f>TEXT(ASTemp!M1213,Percentages)</f>
        <v/>
      </c>
      <c r="N1213" s="72" t="str">
        <f>TEXT(ASTemp!N1213,Percentages)</f>
        <v/>
      </c>
    </row>
    <row r="1214" ht="14.25" customHeight="1">
      <c r="B1214" s="66" t="str">
        <f>ASTemp!B1214</f>
        <v/>
      </c>
      <c r="C1214" s="67" t="str">
        <f>ASTemp!C1214</f>
        <v/>
      </c>
      <c r="D1214" s="68" t="str">
        <f>ASTemp!D1214</f>
        <v/>
      </c>
      <c r="E1214" s="65" t="str">
        <f>ASTemp!E1214</f>
        <v/>
      </c>
      <c r="F1214" s="69" t="str">
        <f>TEXT(ASTemp!F1214,Decimals)</f>
        <v/>
      </c>
      <c r="G1214" s="69" t="str">
        <f>TEXT(ASTemp!G1214,Decimals)</f>
        <v/>
      </c>
      <c r="H1214" s="69" t="str">
        <f>TEXT(ASTemp!H1214,Decimals)</f>
        <v/>
      </c>
      <c r="I1214" s="69" t="str">
        <f>TEXT(ASTemp!I1214,Decimals)</f>
        <v/>
      </c>
      <c r="J1214" s="69" t="str">
        <f>TEXT(ASTemp!J1214,Decimals)</f>
        <v/>
      </c>
      <c r="K1214" s="69" t="str">
        <f>TEXT(ASTemp!K1214,Decimals)</f>
        <v/>
      </c>
      <c r="L1214" s="69" t="str">
        <f>TEXT(ASTemp!L1214,Decimals)</f>
        <v/>
      </c>
      <c r="M1214" s="71" t="str">
        <f>TEXT(ASTemp!M1214,Percentages)</f>
        <v/>
      </c>
      <c r="N1214" s="72" t="str">
        <f>TEXT(ASTemp!N1214,Percentages)</f>
        <v/>
      </c>
    </row>
    <row r="1215" ht="14.25" customHeight="1">
      <c r="B1215" s="66" t="str">
        <f>ASTemp!B1215</f>
        <v/>
      </c>
      <c r="C1215" s="67" t="str">
        <f>ASTemp!C1215</f>
        <v/>
      </c>
      <c r="D1215" s="68" t="str">
        <f>ASTemp!D1215</f>
        <v/>
      </c>
      <c r="E1215" s="65" t="str">
        <f>ASTemp!E1215</f>
        <v/>
      </c>
      <c r="F1215" s="69" t="str">
        <f>TEXT(ASTemp!F1215,Decimals)</f>
        <v/>
      </c>
      <c r="G1215" s="69" t="str">
        <f>TEXT(ASTemp!G1215,Decimals)</f>
        <v/>
      </c>
      <c r="H1215" s="69" t="str">
        <f>TEXT(ASTemp!H1215,Decimals)</f>
        <v/>
      </c>
      <c r="I1215" s="69" t="str">
        <f>TEXT(ASTemp!I1215,Decimals)</f>
        <v/>
      </c>
      <c r="J1215" s="69" t="str">
        <f>TEXT(ASTemp!J1215,Decimals)</f>
        <v/>
      </c>
      <c r="K1215" s="69" t="str">
        <f>TEXT(ASTemp!K1215,Decimals)</f>
        <v/>
      </c>
      <c r="L1215" s="69" t="str">
        <f>TEXT(ASTemp!L1215,Decimals)</f>
        <v/>
      </c>
      <c r="M1215" s="71" t="str">
        <f>TEXT(ASTemp!M1215,Percentages)</f>
        <v/>
      </c>
      <c r="N1215" s="72" t="str">
        <f>TEXT(ASTemp!N1215,Percentages)</f>
        <v/>
      </c>
    </row>
    <row r="1216" ht="14.25" customHeight="1">
      <c r="B1216" s="66" t="str">
        <f>ASTemp!B1216</f>
        <v/>
      </c>
      <c r="C1216" s="67" t="str">
        <f>ASTemp!C1216</f>
        <v/>
      </c>
      <c r="D1216" s="68" t="str">
        <f>ASTemp!D1216</f>
        <v/>
      </c>
      <c r="E1216" s="65" t="str">
        <f>ASTemp!E1216</f>
        <v/>
      </c>
      <c r="F1216" s="69" t="str">
        <f>TEXT(ASTemp!F1216,Decimals)</f>
        <v/>
      </c>
      <c r="G1216" s="69" t="str">
        <f>TEXT(ASTemp!G1216,Decimals)</f>
        <v/>
      </c>
      <c r="H1216" s="69" t="str">
        <f>TEXT(ASTemp!H1216,Decimals)</f>
        <v/>
      </c>
      <c r="I1216" s="69" t="str">
        <f>TEXT(ASTemp!I1216,Decimals)</f>
        <v/>
      </c>
      <c r="J1216" s="69" t="str">
        <f>TEXT(ASTemp!J1216,Decimals)</f>
        <v/>
      </c>
      <c r="K1216" s="69" t="str">
        <f>TEXT(ASTemp!K1216,Decimals)</f>
        <v/>
      </c>
      <c r="L1216" s="69" t="str">
        <f>TEXT(ASTemp!L1216,Decimals)</f>
        <v/>
      </c>
      <c r="M1216" s="71" t="str">
        <f>TEXT(ASTemp!M1216,Percentages)</f>
        <v/>
      </c>
      <c r="N1216" s="72" t="str">
        <f>TEXT(ASTemp!N1216,Percentages)</f>
        <v/>
      </c>
    </row>
    <row r="1217" ht="14.25" customHeight="1">
      <c r="B1217" s="66" t="str">
        <f>ASTemp!B1217</f>
        <v/>
      </c>
      <c r="C1217" s="67" t="str">
        <f>ASTemp!C1217</f>
        <v/>
      </c>
      <c r="D1217" s="68" t="str">
        <f>ASTemp!D1217</f>
        <v/>
      </c>
      <c r="E1217" s="65" t="str">
        <f>ASTemp!E1217</f>
        <v/>
      </c>
      <c r="F1217" s="69" t="str">
        <f>TEXT(ASTemp!F1217,Decimals)</f>
        <v/>
      </c>
      <c r="G1217" s="69" t="str">
        <f>TEXT(ASTemp!G1217,Decimals)</f>
        <v/>
      </c>
      <c r="H1217" s="69" t="str">
        <f>TEXT(ASTemp!H1217,Decimals)</f>
        <v/>
      </c>
      <c r="I1217" s="69" t="str">
        <f>TEXT(ASTemp!I1217,Decimals)</f>
        <v/>
      </c>
      <c r="J1217" s="69" t="str">
        <f>TEXT(ASTemp!J1217,Decimals)</f>
        <v/>
      </c>
      <c r="K1217" s="69" t="str">
        <f>TEXT(ASTemp!K1217,Decimals)</f>
        <v/>
      </c>
      <c r="L1217" s="69" t="str">
        <f>TEXT(ASTemp!L1217,Decimals)</f>
        <v/>
      </c>
      <c r="M1217" s="71" t="str">
        <f>TEXT(ASTemp!M1217,Percentages)</f>
        <v/>
      </c>
      <c r="N1217" s="72" t="str">
        <f>TEXT(ASTemp!N1217,Percentages)</f>
        <v/>
      </c>
    </row>
    <row r="1218" ht="14.25" customHeight="1">
      <c r="B1218" s="66" t="str">
        <f>ASTemp!B1218</f>
        <v/>
      </c>
      <c r="C1218" s="67" t="str">
        <f>ASTemp!C1218</f>
        <v/>
      </c>
      <c r="D1218" s="68" t="str">
        <f>ASTemp!D1218</f>
        <v/>
      </c>
      <c r="E1218" s="65" t="str">
        <f>ASTemp!E1218</f>
        <v/>
      </c>
      <c r="F1218" s="69" t="str">
        <f>TEXT(ASTemp!F1218,Decimals)</f>
        <v/>
      </c>
      <c r="G1218" s="69" t="str">
        <f>TEXT(ASTemp!G1218,Decimals)</f>
        <v/>
      </c>
      <c r="H1218" s="69" t="str">
        <f>TEXT(ASTemp!H1218,Decimals)</f>
        <v/>
      </c>
      <c r="I1218" s="69" t="str">
        <f>TEXT(ASTemp!I1218,Decimals)</f>
        <v/>
      </c>
      <c r="J1218" s="69" t="str">
        <f>TEXT(ASTemp!J1218,Decimals)</f>
        <v/>
      </c>
      <c r="K1218" s="69" t="str">
        <f>TEXT(ASTemp!K1218,Decimals)</f>
        <v/>
      </c>
      <c r="L1218" s="69" t="str">
        <f>TEXT(ASTemp!L1218,Decimals)</f>
        <v/>
      </c>
      <c r="M1218" s="71" t="str">
        <f>TEXT(ASTemp!M1218,Percentages)</f>
        <v/>
      </c>
      <c r="N1218" s="72" t="str">
        <f>TEXT(ASTemp!N1218,Percentages)</f>
        <v/>
      </c>
    </row>
    <row r="1219" ht="14.25" customHeight="1">
      <c r="B1219" s="66" t="str">
        <f>ASTemp!B1219</f>
        <v/>
      </c>
      <c r="C1219" s="67" t="str">
        <f>ASTemp!C1219</f>
        <v/>
      </c>
      <c r="D1219" s="68" t="str">
        <f>ASTemp!D1219</f>
        <v/>
      </c>
      <c r="E1219" s="65" t="str">
        <f>ASTemp!E1219</f>
        <v/>
      </c>
      <c r="F1219" s="69" t="str">
        <f>TEXT(ASTemp!F1219,Decimals)</f>
        <v/>
      </c>
      <c r="G1219" s="69" t="str">
        <f>TEXT(ASTemp!G1219,Decimals)</f>
        <v/>
      </c>
      <c r="H1219" s="69" t="str">
        <f>TEXT(ASTemp!H1219,Decimals)</f>
        <v/>
      </c>
      <c r="I1219" s="69" t="str">
        <f>TEXT(ASTemp!I1219,Decimals)</f>
        <v/>
      </c>
      <c r="J1219" s="69" t="str">
        <f>TEXT(ASTemp!J1219,Decimals)</f>
        <v/>
      </c>
      <c r="K1219" s="69" t="str">
        <f>TEXT(ASTemp!K1219,Decimals)</f>
        <v/>
      </c>
      <c r="L1219" s="69" t="str">
        <f>TEXT(ASTemp!L1219,Decimals)</f>
        <v/>
      </c>
      <c r="M1219" s="71" t="str">
        <f>TEXT(ASTemp!M1219,Percentages)</f>
        <v/>
      </c>
      <c r="N1219" s="72" t="str">
        <f>TEXT(ASTemp!N1219,Percentages)</f>
        <v/>
      </c>
    </row>
    <row r="1220" ht="14.25" customHeight="1">
      <c r="B1220" s="66" t="str">
        <f>ASTemp!B1220</f>
        <v/>
      </c>
      <c r="C1220" s="67" t="str">
        <f>ASTemp!C1220</f>
        <v/>
      </c>
      <c r="D1220" s="68" t="str">
        <f>ASTemp!D1220</f>
        <v/>
      </c>
      <c r="E1220" s="65" t="str">
        <f>ASTemp!E1220</f>
        <v/>
      </c>
      <c r="F1220" s="69" t="str">
        <f>TEXT(ASTemp!F1220,Decimals)</f>
        <v/>
      </c>
      <c r="G1220" s="69" t="str">
        <f>TEXT(ASTemp!G1220,Decimals)</f>
        <v/>
      </c>
      <c r="H1220" s="69" t="str">
        <f>TEXT(ASTemp!H1220,Decimals)</f>
        <v/>
      </c>
      <c r="I1220" s="69" t="str">
        <f>TEXT(ASTemp!I1220,Decimals)</f>
        <v/>
      </c>
      <c r="J1220" s="69" t="str">
        <f>TEXT(ASTemp!J1220,Decimals)</f>
        <v/>
      </c>
      <c r="K1220" s="69" t="str">
        <f>TEXT(ASTemp!K1220,Decimals)</f>
        <v/>
      </c>
      <c r="L1220" s="69" t="str">
        <f>TEXT(ASTemp!L1220,Decimals)</f>
        <v/>
      </c>
      <c r="M1220" s="71" t="str">
        <f>TEXT(ASTemp!M1220,Percentages)</f>
        <v/>
      </c>
      <c r="N1220" s="72" t="str">
        <f>TEXT(ASTemp!N1220,Percentages)</f>
        <v/>
      </c>
    </row>
    <row r="1221" ht="14.25" customHeight="1">
      <c r="B1221" s="66" t="str">
        <f>ASTemp!B1221</f>
        <v/>
      </c>
      <c r="C1221" s="67" t="str">
        <f>ASTemp!C1221</f>
        <v/>
      </c>
      <c r="D1221" s="68" t="str">
        <f>ASTemp!D1221</f>
        <v/>
      </c>
      <c r="E1221" s="65" t="str">
        <f>ASTemp!E1221</f>
        <v/>
      </c>
      <c r="F1221" s="69" t="str">
        <f>TEXT(ASTemp!F1221,Decimals)</f>
        <v/>
      </c>
      <c r="G1221" s="69" t="str">
        <f>TEXT(ASTemp!G1221,Decimals)</f>
        <v/>
      </c>
      <c r="H1221" s="69" t="str">
        <f>TEXT(ASTemp!H1221,Decimals)</f>
        <v/>
      </c>
      <c r="I1221" s="69" t="str">
        <f>TEXT(ASTemp!I1221,Decimals)</f>
        <v/>
      </c>
      <c r="J1221" s="69" t="str">
        <f>TEXT(ASTemp!J1221,Decimals)</f>
        <v/>
      </c>
      <c r="K1221" s="69" t="str">
        <f>TEXT(ASTemp!K1221,Decimals)</f>
        <v/>
      </c>
      <c r="L1221" s="69" t="str">
        <f>TEXT(ASTemp!L1221,Decimals)</f>
        <v/>
      </c>
      <c r="M1221" s="71" t="str">
        <f>TEXT(ASTemp!M1221,Percentages)</f>
        <v/>
      </c>
      <c r="N1221" s="72" t="str">
        <f>TEXT(ASTemp!N1221,Percentages)</f>
        <v/>
      </c>
    </row>
    <row r="1222" ht="14.25" customHeight="1">
      <c r="B1222" s="66" t="str">
        <f>ASTemp!B1222</f>
        <v/>
      </c>
      <c r="C1222" s="67" t="str">
        <f>ASTemp!C1222</f>
        <v/>
      </c>
      <c r="D1222" s="68" t="str">
        <f>ASTemp!D1222</f>
        <v/>
      </c>
      <c r="E1222" s="65" t="str">
        <f>ASTemp!E1222</f>
        <v/>
      </c>
      <c r="F1222" s="69" t="str">
        <f>TEXT(ASTemp!F1222,Decimals)</f>
        <v/>
      </c>
      <c r="G1222" s="69" t="str">
        <f>TEXT(ASTemp!G1222,Decimals)</f>
        <v/>
      </c>
      <c r="H1222" s="69" t="str">
        <f>TEXT(ASTemp!H1222,Decimals)</f>
        <v/>
      </c>
      <c r="I1222" s="69" t="str">
        <f>TEXT(ASTemp!I1222,Decimals)</f>
        <v/>
      </c>
      <c r="J1222" s="69" t="str">
        <f>TEXT(ASTemp!J1222,Decimals)</f>
        <v/>
      </c>
      <c r="K1222" s="69" t="str">
        <f>TEXT(ASTemp!K1222,Decimals)</f>
        <v/>
      </c>
      <c r="L1222" s="69" t="str">
        <f>TEXT(ASTemp!L1222,Decimals)</f>
        <v/>
      </c>
      <c r="M1222" s="71" t="str">
        <f>TEXT(ASTemp!M1222,Percentages)</f>
        <v/>
      </c>
      <c r="N1222" s="72" t="str">
        <f>TEXT(ASTemp!N1222,Percentages)</f>
        <v/>
      </c>
    </row>
    <row r="1223" ht="14.25" customHeight="1">
      <c r="B1223" s="66" t="str">
        <f>ASTemp!B1223</f>
        <v/>
      </c>
      <c r="C1223" s="67" t="str">
        <f>ASTemp!C1223</f>
        <v/>
      </c>
      <c r="D1223" s="68" t="str">
        <f>ASTemp!D1223</f>
        <v/>
      </c>
      <c r="E1223" s="65" t="str">
        <f>ASTemp!E1223</f>
        <v/>
      </c>
      <c r="F1223" s="69" t="str">
        <f>TEXT(ASTemp!F1223,Decimals)</f>
        <v/>
      </c>
      <c r="G1223" s="69" t="str">
        <f>TEXT(ASTemp!G1223,Decimals)</f>
        <v/>
      </c>
      <c r="H1223" s="69" t="str">
        <f>TEXT(ASTemp!H1223,Decimals)</f>
        <v/>
      </c>
      <c r="I1223" s="69" t="str">
        <f>TEXT(ASTemp!I1223,Decimals)</f>
        <v/>
      </c>
      <c r="J1223" s="69" t="str">
        <f>TEXT(ASTemp!J1223,Decimals)</f>
        <v/>
      </c>
      <c r="K1223" s="69" t="str">
        <f>TEXT(ASTemp!K1223,Decimals)</f>
        <v/>
      </c>
      <c r="L1223" s="69" t="str">
        <f>TEXT(ASTemp!L1223,Decimals)</f>
        <v/>
      </c>
      <c r="M1223" s="71" t="str">
        <f>TEXT(ASTemp!M1223,Percentages)</f>
        <v/>
      </c>
      <c r="N1223" s="72" t="str">
        <f>TEXT(ASTemp!N1223,Percentages)</f>
        <v/>
      </c>
    </row>
    <row r="1224" ht="14.25" customHeight="1">
      <c r="B1224" s="66" t="str">
        <f>ASTemp!B1224</f>
        <v/>
      </c>
      <c r="C1224" s="67" t="str">
        <f>ASTemp!C1224</f>
        <v/>
      </c>
      <c r="D1224" s="68" t="str">
        <f>ASTemp!D1224</f>
        <v/>
      </c>
      <c r="E1224" s="65" t="str">
        <f>ASTemp!E1224</f>
        <v/>
      </c>
      <c r="F1224" s="69" t="str">
        <f>TEXT(ASTemp!F1224,Decimals)</f>
        <v/>
      </c>
      <c r="G1224" s="69" t="str">
        <f>TEXT(ASTemp!G1224,Decimals)</f>
        <v/>
      </c>
      <c r="H1224" s="69" t="str">
        <f>TEXT(ASTemp!H1224,Decimals)</f>
        <v/>
      </c>
      <c r="I1224" s="69" t="str">
        <f>TEXT(ASTemp!I1224,Decimals)</f>
        <v/>
      </c>
      <c r="J1224" s="69" t="str">
        <f>TEXT(ASTemp!J1224,Decimals)</f>
        <v/>
      </c>
      <c r="K1224" s="69" t="str">
        <f>TEXT(ASTemp!K1224,Decimals)</f>
        <v/>
      </c>
      <c r="L1224" s="69" t="str">
        <f>TEXT(ASTemp!L1224,Decimals)</f>
        <v/>
      </c>
      <c r="M1224" s="71" t="str">
        <f>TEXT(ASTemp!M1224,Percentages)</f>
        <v/>
      </c>
      <c r="N1224" s="72" t="str">
        <f>TEXT(ASTemp!N1224,Percentages)</f>
        <v/>
      </c>
    </row>
    <row r="1225" ht="14.25" customHeight="1">
      <c r="B1225" s="66" t="str">
        <f>ASTemp!B1225</f>
        <v/>
      </c>
      <c r="C1225" s="67" t="str">
        <f>ASTemp!C1225</f>
        <v/>
      </c>
      <c r="D1225" s="68" t="str">
        <f>ASTemp!D1225</f>
        <v/>
      </c>
      <c r="E1225" s="65" t="str">
        <f>ASTemp!E1225</f>
        <v/>
      </c>
      <c r="F1225" s="69" t="str">
        <f>TEXT(ASTemp!F1225,Decimals)</f>
        <v/>
      </c>
      <c r="G1225" s="69" t="str">
        <f>TEXT(ASTemp!G1225,Decimals)</f>
        <v/>
      </c>
      <c r="H1225" s="69" t="str">
        <f>TEXT(ASTemp!H1225,Decimals)</f>
        <v/>
      </c>
      <c r="I1225" s="69" t="str">
        <f>TEXT(ASTemp!I1225,Decimals)</f>
        <v/>
      </c>
      <c r="J1225" s="69" t="str">
        <f>TEXT(ASTemp!J1225,Decimals)</f>
        <v/>
      </c>
      <c r="K1225" s="69" t="str">
        <f>TEXT(ASTemp!K1225,Decimals)</f>
        <v/>
      </c>
      <c r="L1225" s="69" t="str">
        <f>TEXT(ASTemp!L1225,Decimals)</f>
        <v/>
      </c>
      <c r="M1225" s="71" t="str">
        <f>TEXT(ASTemp!M1225,Percentages)</f>
        <v/>
      </c>
      <c r="N1225" s="72" t="str">
        <f>TEXT(ASTemp!N1225,Percentages)</f>
        <v/>
      </c>
    </row>
    <row r="1226" ht="14.25" customHeight="1">
      <c r="B1226" s="66" t="str">
        <f>ASTemp!B1226</f>
        <v/>
      </c>
      <c r="C1226" s="67" t="str">
        <f>ASTemp!C1226</f>
        <v/>
      </c>
      <c r="D1226" s="68" t="str">
        <f>ASTemp!D1226</f>
        <v/>
      </c>
      <c r="E1226" s="65" t="str">
        <f>ASTemp!E1226</f>
        <v/>
      </c>
      <c r="F1226" s="69" t="str">
        <f>TEXT(ASTemp!F1226,Decimals)</f>
        <v/>
      </c>
      <c r="G1226" s="69" t="str">
        <f>TEXT(ASTemp!G1226,Decimals)</f>
        <v/>
      </c>
      <c r="H1226" s="69" t="str">
        <f>TEXT(ASTemp!H1226,Decimals)</f>
        <v/>
      </c>
      <c r="I1226" s="69" t="str">
        <f>TEXT(ASTemp!I1226,Decimals)</f>
        <v/>
      </c>
      <c r="J1226" s="69" t="str">
        <f>TEXT(ASTemp!J1226,Decimals)</f>
        <v/>
      </c>
      <c r="K1226" s="69" t="str">
        <f>TEXT(ASTemp!K1226,Decimals)</f>
        <v/>
      </c>
      <c r="L1226" s="69" t="str">
        <f>TEXT(ASTemp!L1226,Decimals)</f>
        <v/>
      </c>
      <c r="M1226" s="71" t="str">
        <f>TEXT(ASTemp!M1226,Percentages)</f>
        <v/>
      </c>
      <c r="N1226" s="72" t="str">
        <f>TEXT(ASTemp!N1226,Percentages)</f>
        <v/>
      </c>
    </row>
    <row r="1227" ht="14.25" customHeight="1">
      <c r="B1227" s="66" t="str">
        <f>ASTemp!B1227</f>
        <v/>
      </c>
      <c r="C1227" s="67" t="str">
        <f>ASTemp!C1227</f>
        <v/>
      </c>
      <c r="D1227" s="68" t="str">
        <f>ASTemp!D1227</f>
        <v/>
      </c>
      <c r="E1227" s="65" t="str">
        <f>ASTemp!E1227</f>
        <v/>
      </c>
      <c r="F1227" s="69" t="str">
        <f>TEXT(ASTemp!F1227,Decimals)</f>
        <v/>
      </c>
      <c r="G1227" s="69" t="str">
        <f>TEXT(ASTemp!G1227,Decimals)</f>
        <v/>
      </c>
      <c r="H1227" s="69" t="str">
        <f>TEXT(ASTemp!H1227,Decimals)</f>
        <v/>
      </c>
      <c r="I1227" s="69" t="str">
        <f>TEXT(ASTemp!I1227,Decimals)</f>
        <v/>
      </c>
      <c r="J1227" s="69" t="str">
        <f>TEXT(ASTemp!J1227,Decimals)</f>
        <v/>
      </c>
      <c r="K1227" s="69" t="str">
        <f>TEXT(ASTemp!K1227,Decimals)</f>
        <v/>
      </c>
      <c r="L1227" s="69" t="str">
        <f>TEXT(ASTemp!L1227,Decimals)</f>
        <v/>
      </c>
      <c r="M1227" s="71" t="str">
        <f>TEXT(ASTemp!M1227,Percentages)</f>
        <v/>
      </c>
      <c r="N1227" s="72" t="str">
        <f>TEXT(ASTemp!N1227,Percentages)</f>
        <v/>
      </c>
    </row>
    <row r="1228" ht="14.25" customHeight="1">
      <c r="B1228" s="66" t="str">
        <f>ASTemp!B1228</f>
        <v/>
      </c>
      <c r="C1228" s="67" t="str">
        <f>ASTemp!C1228</f>
        <v/>
      </c>
      <c r="D1228" s="68" t="str">
        <f>ASTemp!D1228</f>
        <v/>
      </c>
      <c r="E1228" s="65" t="str">
        <f>ASTemp!E1228</f>
        <v/>
      </c>
      <c r="F1228" s="69" t="str">
        <f>TEXT(ASTemp!F1228,Decimals)</f>
        <v/>
      </c>
      <c r="G1228" s="69" t="str">
        <f>TEXT(ASTemp!G1228,Decimals)</f>
        <v/>
      </c>
      <c r="H1228" s="69" t="str">
        <f>TEXT(ASTemp!H1228,Decimals)</f>
        <v/>
      </c>
      <c r="I1228" s="69" t="str">
        <f>TEXT(ASTemp!I1228,Decimals)</f>
        <v/>
      </c>
      <c r="J1228" s="69" t="str">
        <f>TEXT(ASTemp!J1228,Decimals)</f>
        <v/>
      </c>
      <c r="K1228" s="69" t="str">
        <f>TEXT(ASTemp!K1228,Decimals)</f>
        <v/>
      </c>
      <c r="L1228" s="69" t="str">
        <f>TEXT(ASTemp!L1228,Decimals)</f>
        <v/>
      </c>
      <c r="M1228" s="71" t="str">
        <f>TEXT(ASTemp!M1228,Percentages)</f>
        <v/>
      </c>
      <c r="N1228" s="72" t="str">
        <f>TEXT(ASTemp!N1228,Percentages)</f>
        <v/>
      </c>
    </row>
    <row r="1229" ht="14.25" customHeight="1">
      <c r="B1229" s="66" t="str">
        <f>ASTemp!B1229</f>
        <v/>
      </c>
      <c r="C1229" s="67" t="str">
        <f>ASTemp!C1229</f>
        <v/>
      </c>
      <c r="D1229" s="68" t="str">
        <f>ASTemp!D1229</f>
        <v/>
      </c>
      <c r="E1229" s="65" t="str">
        <f>ASTemp!E1229</f>
        <v/>
      </c>
      <c r="F1229" s="69" t="str">
        <f>TEXT(ASTemp!F1229,Decimals)</f>
        <v/>
      </c>
      <c r="G1229" s="69" t="str">
        <f>TEXT(ASTemp!G1229,Decimals)</f>
        <v/>
      </c>
      <c r="H1229" s="69" t="str">
        <f>TEXT(ASTemp!H1229,Decimals)</f>
        <v/>
      </c>
      <c r="I1229" s="69" t="str">
        <f>TEXT(ASTemp!I1229,Decimals)</f>
        <v/>
      </c>
      <c r="J1229" s="69" t="str">
        <f>TEXT(ASTemp!J1229,Decimals)</f>
        <v/>
      </c>
      <c r="K1229" s="69" t="str">
        <f>TEXT(ASTemp!K1229,Decimals)</f>
        <v/>
      </c>
      <c r="L1229" s="69" t="str">
        <f>TEXT(ASTemp!L1229,Decimals)</f>
        <v/>
      </c>
      <c r="M1229" s="71" t="str">
        <f>TEXT(ASTemp!M1229,Percentages)</f>
        <v/>
      </c>
      <c r="N1229" s="72" t="str">
        <f>TEXT(ASTemp!N1229,Percentages)</f>
        <v/>
      </c>
    </row>
    <row r="1230" ht="14.25" customHeight="1">
      <c r="B1230" s="66" t="str">
        <f>ASTemp!B1230</f>
        <v/>
      </c>
      <c r="C1230" s="67" t="str">
        <f>ASTemp!C1230</f>
        <v/>
      </c>
      <c r="D1230" s="68" t="str">
        <f>ASTemp!D1230</f>
        <v/>
      </c>
      <c r="E1230" s="65" t="str">
        <f>ASTemp!E1230</f>
        <v/>
      </c>
      <c r="F1230" s="69" t="str">
        <f>TEXT(ASTemp!F1230,Decimals)</f>
        <v/>
      </c>
      <c r="G1230" s="69" t="str">
        <f>TEXT(ASTemp!G1230,Decimals)</f>
        <v/>
      </c>
      <c r="H1230" s="69" t="str">
        <f>TEXT(ASTemp!H1230,Decimals)</f>
        <v/>
      </c>
      <c r="I1230" s="69" t="str">
        <f>TEXT(ASTemp!I1230,Decimals)</f>
        <v/>
      </c>
      <c r="J1230" s="69" t="str">
        <f>TEXT(ASTemp!J1230,Decimals)</f>
        <v/>
      </c>
      <c r="K1230" s="69" t="str">
        <f>TEXT(ASTemp!K1230,Decimals)</f>
        <v/>
      </c>
      <c r="L1230" s="69" t="str">
        <f>TEXT(ASTemp!L1230,Decimals)</f>
        <v/>
      </c>
      <c r="M1230" s="71" t="str">
        <f>TEXT(ASTemp!M1230,Percentages)</f>
        <v/>
      </c>
      <c r="N1230" s="72" t="str">
        <f>TEXT(ASTemp!N1230,Percentages)</f>
        <v/>
      </c>
    </row>
    <row r="1231" ht="14.25" customHeight="1">
      <c r="B1231" s="66" t="str">
        <f>ASTemp!B1231</f>
        <v/>
      </c>
      <c r="C1231" s="67" t="str">
        <f>ASTemp!C1231</f>
        <v/>
      </c>
      <c r="D1231" s="68" t="str">
        <f>ASTemp!D1231</f>
        <v/>
      </c>
      <c r="E1231" s="65" t="str">
        <f>ASTemp!E1231</f>
        <v/>
      </c>
      <c r="F1231" s="69" t="str">
        <f>TEXT(ASTemp!F1231,Decimals)</f>
        <v/>
      </c>
      <c r="G1231" s="69" t="str">
        <f>TEXT(ASTemp!G1231,Decimals)</f>
        <v/>
      </c>
      <c r="H1231" s="69" t="str">
        <f>TEXT(ASTemp!H1231,Decimals)</f>
        <v/>
      </c>
      <c r="I1231" s="69" t="str">
        <f>TEXT(ASTemp!I1231,Decimals)</f>
        <v/>
      </c>
      <c r="J1231" s="69" t="str">
        <f>TEXT(ASTemp!J1231,Decimals)</f>
        <v/>
      </c>
      <c r="K1231" s="69" t="str">
        <f>TEXT(ASTemp!K1231,Decimals)</f>
        <v/>
      </c>
      <c r="L1231" s="69" t="str">
        <f>TEXT(ASTemp!L1231,Decimals)</f>
        <v/>
      </c>
      <c r="M1231" s="71" t="str">
        <f>TEXT(ASTemp!M1231,Percentages)</f>
        <v/>
      </c>
      <c r="N1231" s="72" t="str">
        <f>TEXT(ASTemp!N1231,Percentages)</f>
        <v/>
      </c>
    </row>
    <row r="1232" ht="14.25" customHeight="1">
      <c r="B1232" s="66" t="str">
        <f>ASTemp!B1232</f>
        <v/>
      </c>
      <c r="C1232" s="67" t="str">
        <f>ASTemp!C1232</f>
        <v/>
      </c>
      <c r="D1232" s="68" t="str">
        <f>ASTemp!D1232</f>
        <v/>
      </c>
      <c r="E1232" s="65" t="str">
        <f>ASTemp!E1232</f>
        <v/>
      </c>
      <c r="F1232" s="69" t="str">
        <f>TEXT(ASTemp!F1232,Decimals)</f>
        <v/>
      </c>
      <c r="G1232" s="69" t="str">
        <f>TEXT(ASTemp!G1232,Decimals)</f>
        <v/>
      </c>
      <c r="H1232" s="69" t="str">
        <f>TEXT(ASTemp!H1232,Decimals)</f>
        <v/>
      </c>
      <c r="I1232" s="69" t="str">
        <f>TEXT(ASTemp!I1232,Decimals)</f>
        <v/>
      </c>
      <c r="J1232" s="69" t="str">
        <f>TEXT(ASTemp!J1232,Decimals)</f>
        <v/>
      </c>
      <c r="K1232" s="69" t="str">
        <f>TEXT(ASTemp!K1232,Decimals)</f>
        <v/>
      </c>
      <c r="L1232" s="69" t="str">
        <f>TEXT(ASTemp!L1232,Decimals)</f>
        <v/>
      </c>
      <c r="M1232" s="71" t="str">
        <f>TEXT(ASTemp!M1232,Percentages)</f>
        <v/>
      </c>
      <c r="N1232" s="72" t="str">
        <f>TEXT(ASTemp!N1232,Percentages)</f>
        <v/>
      </c>
    </row>
    <row r="1233" ht="14.25" customHeight="1">
      <c r="B1233" s="66" t="str">
        <f>ASTemp!B1233</f>
        <v/>
      </c>
      <c r="C1233" s="67" t="str">
        <f>ASTemp!C1233</f>
        <v/>
      </c>
      <c r="D1233" s="68" t="str">
        <f>ASTemp!D1233</f>
        <v/>
      </c>
      <c r="E1233" s="65" t="str">
        <f>ASTemp!E1233</f>
        <v/>
      </c>
      <c r="F1233" s="69" t="str">
        <f>TEXT(ASTemp!F1233,Decimals)</f>
        <v/>
      </c>
      <c r="G1233" s="69" t="str">
        <f>TEXT(ASTemp!G1233,Decimals)</f>
        <v/>
      </c>
      <c r="H1233" s="69" t="str">
        <f>TEXT(ASTemp!H1233,Decimals)</f>
        <v/>
      </c>
      <c r="I1233" s="69" t="str">
        <f>TEXT(ASTemp!I1233,Decimals)</f>
        <v/>
      </c>
      <c r="J1233" s="69" t="str">
        <f>TEXT(ASTemp!J1233,Decimals)</f>
        <v/>
      </c>
      <c r="K1233" s="69" t="str">
        <f>TEXT(ASTemp!K1233,Decimals)</f>
        <v/>
      </c>
      <c r="L1233" s="69" t="str">
        <f>TEXT(ASTemp!L1233,Decimals)</f>
        <v/>
      </c>
      <c r="M1233" s="71" t="str">
        <f>TEXT(ASTemp!M1233,Percentages)</f>
        <v/>
      </c>
      <c r="N1233" s="72" t="str">
        <f>TEXT(ASTemp!N1233,Percentages)</f>
        <v/>
      </c>
    </row>
    <row r="1234" ht="14.25" customHeight="1">
      <c r="B1234" s="66" t="str">
        <f>ASTemp!B1234</f>
        <v/>
      </c>
      <c r="C1234" s="67" t="str">
        <f>ASTemp!C1234</f>
        <v/>
      </c>
      <c r="D1234" s="68" t="str">
        <f>ASTemp!D1234</f>
        <v/>
      </c>
      <c r="E1234" s="65" t="str">
        <f>ASTemp!E1234</f>
        <v/>
      </c>
      <c r="F1234" s="69" t="str">
        <f>TEXT(ASTemp!F1234,Decimals)</f>
        <v/>
      </c>
      <c r="G1234" s="69" t="str">
        <f>TEXT(ASTemp!G1234,Decimals)</f>
        <v/>
      </c>
      <c r="H1234" s="69" t="str">
        <f>TEXT(ASTemp!H1234,Decimals)</f>
        <v/>
      </c>
      <c r="I1234" s="69" t="str">
        <f>TEXT(ASTemp!I1234,Decimals)</f>
        <v/>
      </c>
      <c r="J1234" s="69" t="str">
        <f>TEXT(ASTemp!J1234,Decimals)</f>
        <v/>
      </c>
      <c r="K1234" s="69" t="str">
        <f>TEXT(ASTemp!K1234,Decimals)</f>
        <v/>
      </c>
      <c r="L1234" s="69" t="str">
        <f>TEXT(ASTemp!L1234,Decimals)</f>
        <v/>
      </c>
      <c r="M1234" s="71" t="str">
        <f>TEXT(ASTemp!M1234,Percentages)</f>
        <v/>
      </c>
      <c r="N1234" s="72" t="str">
        <f>TEXT(ASTemp!N1234,Percentages)</f>
        <v/>
      </c>
    </row>
    <row r="1235" ht="14.25" customHeight="1">
      <c r="B1235" s="66" t="str">
        <f>ASTemp!B1235</f>
        <v/>
      </c>
      <c r="C1235" s="67" t="str">
        <f>ASTemp!C1235</f>
        <v/>
      </c>
      <c r="D1235" s="68" t="str">
        <f>ASTemp!D1235</f>
        <v/>
      </c>
      <c r="E1235" s="65" t="str">
        <f>ASTemp!E1235</f>
        <v/>
      </c>
      <c r="F1235" s="69" t="str">
        <f>TEXT(ASTemp!F1235,Decimals)</f>
        <v/>
      </c>
      <c r="G1235" s="69" t="str">
        <f>TEXT(ASTemp!G1235,Decimals)</f>
        <v/>
      </c>
      <c r="H1235" s="69" t="str">
        <f>TEXT(ASTemp!H1235,Decimals)</f>
        <v/>
      </c>
      <c r="I1235" s="69" t="str">
        <f>TEXT(ASTemp!I1235,Decimals)</f>
        <v/>
      </c>
      <c r="J1235" s="69" t="str">
        <f>TEXT(ASTemp!J1235,Decimals)</f>
        <v/>
      </c>
      <c r="K1235" s="69" t="str">
        <f>TEXT(ASTemp!K1235,Decimals)</f>
        <v/>
      </c>
      <c r="L1235" s="69" t="str">
        <f>TEXT(ASTemp!L1235,Decimals)</f>
        <v/>
      </c>
      <c r="M1235" s="71" t="str">
        <f>TEXT(ASTemp!M1235,Percentages)</f>
        <v/>
      </c>
      <c r="N1235" s="72" t="str">
        <f>TEXT(ASTemp!N1235,Percentages)</f>
        <v/>
      </c>
    </row>
    <row r="1236" ht="14.25" customHeight="1">
      <c r="B1236" s="66" t="str">
        <f>ASTemp!B1236</f>
        <v/>
      </c>
      <c r="C1236" s="67" t="str">
        <f>ASTemp!C1236</f>
        <v/>
      </c>
      <c r="D1236" s="68" t="str">
        <f>ASTemp!D1236</f>
        <v/>
      </c>
      <c r="E1236" s="65" t="str">
        <f>ASTemp!E1236</f>
        <v/>
      </c>
      <c r="F1236" s="69" t="str">
        <f>TEXT(ASTemp!F1236,Decimals)</f>
        <v/>
      </c>
      <c r="G1236" s="69" t="str">
        <f>TEXT(ASTemp!G1236,Decimals)</f>
        <v/>
      </c>
      <c r="H1236" s="69" t="str">
        <f>TEXT(ASTemp!H1236,Decimals)</f>
        <v/>
      </c>
      <c r="I1236" s="69" t="str">
        <f>TEXT(ASTemp!I1236,Decimals)</f>
        <v/>
      </c>
      <c r="J1236" s="69" t="str">
        <f>TEXT(ASTemp!J1236,Decimals)</f>
        <v/>
      </c>
      <c r="K1236" s="69" t="str">
        <f>TEXT(ASTemp!K1236,Decimals)</f>
        <v/>
      </c>
      <c r="L1236" s="69" t="str">
        <f>TEXT(ASTemp!L1236,Decimals)</f>
        <v/>
      </c>
      <c r="M1236" s="71" t="str">
        <f>TEXT(ASTemp!M1236,Percentages)</f>
        <v/>
      </c>
      <c r="N1236" s="72" t="str">
        <f>TEXT(ASTemp!N1236,Percentages)</f>
        <v/>
      </c>
    </row>
    <row r="1237" ht="14.25" customHeight="1">
      <c r="B1237" s="66" t="str">
        <f>ASTemp!B1237</f>
        <v/>
      </c>
      <c r="C1237" s="67" t="str">
        <f>ASTemp!C1237</f>
        <v/>
      </c>
      <c r="D1237" s="68" t="str">
        <f>ASTemp!D1237</f>
        <v/>
      </c>
      <c r="E1237" s="65" t="str">
        <f>ASTemp!E1237</f>
        <v/>
      </c>
      <c r="F1237" s="69" t="str">
        <f>TEXT(ASTemp!F1237,Decimals)</f>
        <v/>
      </c>
      <c r="G1237" s="69" t="str">
        <f>TEXT(ASTemp!G1237,Decimals)</f>
        <v/>
      </c>
      <c r="H1237" s="69" t="str">
        <f>TEXT(ASTemp!H1237,Decimals)</f>
        <v/>
      </c>
      <c r="I1237" s="69" t="str">
        <f>TEXT(ASTemp!I1237,Decimals)</f>
        <v/>
      </c>
      <c r="J1237" s="69" t="str">
        <f>TEXT(ASTemp!J1237,Decimals)</f>
        <v/>
      </c>
      <c r="K1237" s="69" t="str">
        <f>TEXT(ASTemp!K1237,Decimals)</f>
        <v/>
      </c>
      <c r="L1237" s="69" t="str">
        <f>TEXT(ASTemp!L1237,Decimals)</f>
        <v/>
      </c>
      <c r="M1237" s="71" t="str">
        <f>TEXT(ASTemp!M1237,Percentages)</f>
        <v/>
      </c>
      <c r="N1237" s="72" t="str">
        <f>TEXT(ASTemp!N1237,Percentages)</f>
        <v/>
      </c>
    </row>
    <row r="1238" ht="14.25" customHeight="1">
      <c r="B1238" s="66" t="str">
        <f>ASTemp!B1238</f>
        <v/>
      </c>
      <c r="C1238" s="67" t="str">
        <f>ASTemp!C1238</f>
        <v/>
      </c>
      <c r="D1238" s="68" t="str">
        <f>ASTemp!D1238</f>
        <v/>
      </c>
      <c r="E1238" s="65" t="str">
        <f>ASTemp!E1238</f>
        <v/>
      </c>
      <c r="F1238" s="69" t="str">
        <f>TEXT(ASTemp!F1238,Decimals)</f>
        <v/>
      </c>
      <c r="G1238" s="69" t="str">
        <f>TEXT(ASTemp!G1238,Decimals)</f>
        <v/>
      </c>
      <c r="H1238" s="69" t="str">
        <f>TEXT(ASTemp!H1238,Decimals)</f>
        <v/>
      </c>
      <c r="I1238" s="69" t="str">
        <f>TEXT(ASTemp!I1238,Decimals)</f>
        <v/>
      </c>
      <c r="J1238" s="69" t="str">
        <f>TEXT(ASTemp!J1238,Decimals)</f>
        <v/>
      </c>
      <c r="K1238" s="69" t="str">
        <f>TEXT(ASTemp!K1238,Decimals)</f>
        <v/>
      </c>
      <c r="L1238" s="69" t="str">
        <f>TEXT(ASTemp!L1238,Decimals)</f>
        <v/>
      </c>
      <c r="M1238" s="71" t="str">
        <f>TEXT(ASTemp!M1238,Percentages)</f>
        <v/>
      </c>
      <c r="N1238" s="72" t="str">
        <f>TEXT(ASTemp!N1238,Percentages)</f>
        <v/>
      </c>
    </row>
    <row r="1239" ht="14.25" customHeight="1">
      <c r="B1239" s="66" t="str">
        <f>ASTemp!B1239</f>
        <v/>
      </c>
      <c r="C1239" s="67" t="str">
        <f>ASTemp!C1239</f>
        <v/>
      </c>
      <c r="D1239" s="68" t="str">
        <f>ASTemp!D1239</f>
        <v/>
      </c>
      <c r="E1239" s="65" t="str">
        <f>ASTemp!E1239</f>
        <v/>
      </c>
      <c r="F1239" s="69" t="str">
        <f>TEXT(ASTemp!F1239,Decimals)</f>
        <v/>
      </c>
      <c r="G1239" s="69" t="str">
        <f>TEXT(ASTemp!G1239,Decimals)</f>
        <v/>
      </c>
      <c r="H1239" s="69" t="str">
        <f>TEXT(ASTemp!H1239,Decimals)</f>
        <v/>
      </c>
      <c r="I1239" s="69" t="str">
        <f>TEXT(ASTemp!I1239,Decimals)</f>
        <v/>
      </c>
      <c r="J1239" s="69" t="str">
        <f>TEXT(ASTemp!J1239,Decimals)</f>
        <v/>
      </c>
      <c r="K1239" s="69" t="str">
        <f>TEXT(ASTemp!K1239,Decimals)</f>
        <v/>
      </c>
      <c r="L1239" s="69" t="str">
        <f>TEXT(ASTemp!L1239,Decimals)</f>
        <v/>
      </c>
      <c r="M1239" s="71" t="str">
        <f>TEXT(ASTemp!M1239,Percentages)</f>
        <v/>
      </c>
      <c r="N1239" s="72" t="str">
        <f>TEXT(ASTemp!N1239,Percentages)</f>
        <v/>
      </c>
    </row>
    <row r="1240" ht="14.25" customHeight="1">
      <c r="B1240" s="66" t="str">
        <f>ASTemp!B1240</f>
        <v/>
      </c>
      <c r="C1240" s="67" t="str">
        <f>ASTemp!C1240</f>
        <v/>
      </c>
      <c r="D1240" s="68" t="str">
        <f>ASTemp!D1240</f>
        <v/>
      </c>
      <c r="E1240" s="65" t="str">
        <f>ASTemp!E1240</f>
        <v/>
      </c>
      <c r="F1240" s="69" t="str">
        <f>TEXT(ASTemp!F1240,Decimals)</f>
        <v/>
      </c>
      <c r="G1240" s="69" t="str">
        <f>TEXT(ASTemp!G1240,Decimals)</f>
        <v/>
      </c>
      <c r="H1240" s="69" t="str">
        <f>TEXT(ASTemp!H1240,Decimals)</f>
        <v/>
      </c>
      <c r="I1240" s="69" t="str">
        <f>TEXT(ASTemp!I1240,Decimals)</f>
        <v/>
      </c>
      <c r="J1240" s="69" t="str">
        <f>TEXT(ASTemp!J1240,Decimals)</f>
        <v/>
      </c>
      <c r="K1240" s="69" t="str">
        <f>TEXT(ASTemp!K1240,Decimals)</f>
        <v/>
      </c>
      <c r="L1240" s="69" t="str">
        <f>TEXT(ASTemp!L1240,Decimals)</f>
        <v/>
      </c>
      <c r="M1240" s="71" t="str">
        <f>TEXT(ASTemp!M1240,Percentages)</f>
        <v/>
      </c>
      <c r="N1240" s="72" t="str">
        <f>TEXT(ASTemp!N1240,Percentages)</f>
        <v/>
      </c>
    </row>
    <row r="1241" ht="14.25" customHeight="1">
      <c r="B1241" s="66" t="str">
        <f>ASTemp!B1241</f>
        <v/>
      </c>
      <c r="C1241" s="67" t="str">
        <f>ASTemp!C1241</f>
        <v/>
      </c>
      <c r="D1241" s="68" t="str">
        <f>ASTemp!D1241</f>
        <v/>
      </c>
      <c r="E1241" s="65" t="str">
        <f>ASTemp!E1241</f>
        <v/>
      </c>
      <c r="F1241" s="69" t="str">
        <f>TEXT(ASTemp!F1241,Decimals)</f>
        <v/>
      </c>
      <c r="G1241" s="69" t="str">
        <f>TEXT(ASTemp!G1241,Decimals)</f>
        <v/>
      </c>
      <c r="H1241" s="69" t="str">
        <f>TEXT(ASTemp!H1241,Decimals)</f>
        <v/>
      </c>
      <c r="I1241" s="69" t="str">
        <f>TEXT(ASTemp!I1241,Decimals)</f>
        <v/>
      </c>
      <c r="J1241" s="69" t="str">
        <f>TEXT(ASTemp!J1241,Decimals)</f>
        <v/>
      </c>
      <c r="K1241" s="69" t="str">
        <f>TEXT(ASTemp!K1241,Decimals)</f>
        <v/>
      </c>
      <c r="L1241" s="69" t="str">
        <f>TEXT(ASTemp!L1241,Decimals)</f>
        <v/>
      </c>
      <c r="M1241" s="71" t="str">
        <f>TEXT(ASTemp!M1241,Percentages)</f>
        <v/>
      </c>
      <c r="N1241" s="72" t="str">
        <f>TEXT(ASTemp!N1241,Percentages)</f>
        <v/>
      </c>
    </row>
    <row r="1242" ht="14.25" customHeight="1">
      <c r="B1242" s="66" t="str">
        <f>ASTemp!B1242</f>
        <v/>
      </c>
      <c r="C1242" s="67" t="str">
        <f>ASTemp!C1242</f>
        <v/>
      </c>
      <c r="D1242" s="68" t="str">
        <f>ASTemp!D1242</f>
        <v/>
      </c>
      <c r="E1242" s="65" t="str">
        <f>ASTemp!E1242</f>
        <v/>
      </c>
      <c r="F1242" s="69" t="str">
        <f>TEXT(ASTemp!F1242,Decimals)</f>
        <v/>
      </c>
      <c r="G1242" s="69" t="str">
        <f>TEXT(ASTemp!G1242,Decimals)</f>
        <v/>
      </c>
      <c r="H1242" s="69" t="str">
        <f>TEXT(ASTemp!H1242,Decimals)</f>
        <v/>
      </c>
      <c r="I1242" s="69" t="str">
        <f>TEXT(ASTemp!I1242,Decimals)</f>
        <v/>
      </c>
      <c r="J1242" s="69" t="str">
        <f>TEXT(ASTemp!J1242,Decimals)</f>
        <v/>
      </c>
      <c r="K1242" s="69" t="str">
        <f>TEXT(ASTemp!K1242,Decimals)</f>
        <v/>
      </c>
      <c r="L1242" s="69" t="str">
        <f>TEXT(ASTemp!L1242,Decimals)</f>
        <v/>
      </c>
      <c r="M1242" s="71" t="str">
        <f>TEXT(ASTemp!M1242,Percentages)</f>
        <v/>
      </c>
      <c r="N1242" s="72" t="str">
        <f>TEXT(ASTemp!N1242,Percentages)</f>
        <v/>
      </c>
    </row>
    <row r="1243" ht="14.25" customHeight="1">
      <c r="B1243" s="66" t="str">
        <f>ASTemp!B1243</f>
        <v/>
      </c>
      <c r="C1243" s="67" t="str">
        <f>ASTemp!C1243</f>
        <v/>
      </c>
      <c r="D1243" s="68" t="str">
        <f>ASTemp!D1243</f>
        <v/>
      </c>
      <c r="E1243" s="65" t="str">
        <f>ASTemp!E1243</f>
        <v/>
      </c>
      <c r="F1243" s="69" t="str">
        <f>TEXT(ASTemp!F1243,Decimals)</f>
        <v/>
      </c>
      <c r="G1243" s="69" t="str">
        <f>TEXT(ASTemp!G1243,Decimals)</f>
        <v/>
      </c>
      <c r="H1243" s="69" t="str">
        <f>TEXT(ASTemp!H1243,Decimals)</f>
        <v/>
      </c>
      <c r="I1243" s="69" t="str">
        <f>TEXT(ASTemp!I1243,Decimals)</f>
        <v/>
      </c>
      <c r="J1243" s="69" t="str">
        <f>TEXT(ASTemp!J1243,Decimals)</f>
        <v/>
      </c>
      <c r="K1243" s="69" t="str">
        <f>TEXT(ASTemp!K1243,Decimals)</f>
        <v/>
      </c>
      <c r="L1243" s="69" t="str">
        <f>TEXT(ASTemp!L1243,Decimals)</f>
        <v/>
      </c>
      <c r="M1243" s="71" t="str">
        <f>TEXT(ASTemp!M1243,Percentages)</f>
        <v/>
      </c>
      <c r="N1243" s="72" t="str">
        <f>TEXT(ASTemp!N1243,Percentages)</f>
        <v/>
      </c>
    </row>
    <row r="1244" ht="14.25" customHeight="1">
      <c r="B1244" s="66" t="str">
        <f>ASTemp!B1244</f>
        <v/>
      </c>
      <c r="C1244" s="67" t="str">
        <f>ASTemp!C1244</f>
        <v/>
      </c>
      <c r="D1244" s="68" t="str">
        <f>ASTemp!D1244</f>
        <v/>
      </c>
      <c r="E1244" s="65" t="str">
        <f>ASTemp!E1244</f>
        <v/>
      </c>
      <c r="F1244" s="69" t="str">
        <f>TEXT(ASTemp!F1244,Decimals)</f>
        <v/>
      </c>
      <c r="G1244" s="69" t="str">
        <f>TEXT(ASTemp!G1244,Decimals)</f>
        <v/>
      </c>
      <c r="H1244" s="69" t="str">
        <f>TEXT(ASTemp!H1244,Decimals)</f>
        <v/>
      </c>
      <c r="I1244" s="69" t="str">
        <f>TEXT(ASTemp!I1244,Decimals)</f>
        <v/>
      </c>
      <c r="J1244" s="69" t="str">
        <f>TEXT(ASTemp!J1244,Decimals)</f>
        <v/>
      </c>
      <c r="K1244" s="69" t="str">
        <f>TEXT(ASTemp!K1244,Decimals)</f>
        <v/>
      </c>
      <c r="L1244" s="69" t="str">
        <f>TEXT(ASTemp!L1244,Decimals)</f>
        <v/>
      </c>
      <c r="M1244" s="71" t="str">
        <f>TEXT(ASTemp!M1244,Percentages)</f>
        <v/>
      </c>
      <c r="N1244" s="72" t="str">
        <f>TEXT(ASTemp!N1244,Percentages)</f>
        <v/>
      </c>
    </row>
    <row r="1245" ht="14.25" customHeight="1">
      <c r="B1245" s="66" t="str">
        <f>ASTemp!B1245</f>
        <v/>
      </c>
      <c r="C1245" s="67" t="str">
        <f>ASTemp!C1245</f>
        <v/>
      </c>
      <c r="D1245" s="68" t="str">
        <f>ASTemp!D1245</f>
        <v/>
      </c>
      <c r="E1245" s="65" t="str">
        <f>ASTemp!E1245</f>
        <v/>
      </c>
      <c r="F1245" s="69" t="str">
        <f>TEXT(ASTemp!F1245,Decimals)</f>
        <v/>
      </c>
      <c r="G1245" s="69" t="str">
        <f>TEXT(ASTemp!G1245,Decimals)</f>
        <v/>
      </c>
      <c r="H1245" s="69" t="str">
        <f>TEXT(ASTemp!H1245,Decimals)</f>
        <v/>
      </c>
      <c r="I1245" s="69" t="str">
        <f>TEXT(ASTemp!I1245,Decimals)</f>
        <v/>
      </c>
      <c r="J1245" s="69" t="str">
        <f>TEXT(ASTemp!J1245,Decimals)</f>
        <v/>
      </c>
      <c r="K1245" s="69" t="str">
        <f>TEXT(ASTemp!K1245,Decimals)</f>
        <v/>
      </c>
      <c r="L1245" s="69" t="str">
        <f>TEXT(ASTemp!L1245,Decimals)</f>
        <v/>
      </c>
      <c r="M1245" s="71" t="str">
        <f>TEXT(ASTemp!M1245,Percentages)</f>
        <v/>
      </c>
      <c r="N1245" s="72" t="str">
        <f>TEXT(ASTemp!N1245,Percentages)</f>
        <v/>
      </c>
    </row>
    <row r="1246" ht="14.25" customHeight="1">
      <c r="B1246" s="66" t="str">
        <f>ASTemp!B1246</f>
        <v/>
      </c>
      <c r="C1246" s="67" t="str">
        <f>ASTemp!C1246</f>
        <v/>
      </c>
      <c r="D1246" s="68" t="str">
        <f>ASTemp!D1246</f>
        <v/>
      </c>
      <c r="E1246" s="65" t="str">
        <f>ASTemp!E1246</f>
        <v/>
      </c>
      <c r="F1246" s="69" t="str">
        <f>TEXT(ASTemp!F1246,Decimals)</f>
        <v/>
      </c>
      <c r="G1246" s="69" t="str">
        <f>TEXT(ASTemp!G1246,Decimals)</f>
        <v/>
      </c>
      <c r="H1246" s="69" t="str">
        <f>TEXT(ASTemp!H1246,Decimals)</f>
        <v/>
      </c>
      <c r="I1246" s="69" t="str">
        <f>TEXT(ASTemp!I1246,Decimals)</f>
        <v/>
      </c>
      <c r="J1246" s="69" t="str">
        <f>TEXT(ASTemp!J1246,Decimals)</f>
        <v/>
      </c>
      <c r="K1246" s="69" t="str">
        <f>TEXT(ASTemp!K1246,Decimals)</f>
        <v/>
      </c>
      <c r="L1246" s="69" t="str">
        <f>TEXT(ASTemp!L1246,Decimals)</f>
        <v/>
      </c>
      <c r="M1246" s="71" t="str">
        <f>TEXT(ASTemp!M1246,Percentages)</f>
        <v/>
      </c>
      <c r="N1246" s="72" t="str">
        <f>TEXT(ASTemp!N1246,Percentages)</f>
        <v/>
      </c>
    </row>
    <row r="1247" ht="14.25" customHeight="1">
      <c r="B1247" s="66" t="str">
        <f>ASTemp!B1247</f>
        <v/>
      </c>
      <c r="C1247" s="67" t="str">
        <f>ASTemp!C1247</f>
        <v/>
      </c>
      <c r="D1247" s="68" t="str">
        <f>ASTemp!D1247</f>
        <v/>
      </c>
      <c r="E1247" s="65" t="str">
        <f>ASTemp!E1247</f>
        <v/>
      </c>
      <c r="F1247" s="69" t="str">
        <f>TEXT(ASTemp!F1247,Decimals)</f>
        <v/>
      </c>
      <c r="G1247" s="69" t="str">
        <f>TEXT(ASTemp!G1247,Decimals)</f>
        <v/>
      </c>
      <c r="H1247" s="69" t="str">
        <f>TEXT(ASTemp!H1247,Decimals)</f>
        <v/>
      </c>
      <c r="I1247" s="69" t="str">
        <f>TEXT(ASTemp!I1247,Decimals)</f>
        <v/>
      </c>
      <c r="J1247" s="69" t="str">
        <f>TEXT(ASTemp!J1247,Decimals)</f>
        <v/>
      </c>
      <c r="K1247" s="69" t="str">
        <f>TEXT(ASTemp!K1247,Decimals)</f>
        <v/>
      </c>
      <c r="L1247" s="69" t="str">
        <f>TEXT(ASTemp!L1247,Decimals)</f>
        <v/>
      </c>
      <c r="M1247" s="71" t="str">
        <f>TEXT(ASTemp!M1247,Percentages)</f>
        <v/>
      </c>
      <c r="N1247" s="72" t="str">
        <f>TEXT(ASTemp!N1247,Percentages)</f>
        <v/>
      </c>
    </row>
    <row r="1248" ht="14.25" customHeight="1">
      <c r="B1248" s="66" t="str">
        <f>ASTemp!B1248</f>
        <v/>
      </c>
      <c r="C1248" s="67" t="str">
        <f>ASTemp!C1248</f>
        <v/>
      </c>
      <c r="D1248" s="68" t="str">
        <f>ASTemp!D1248</f>
        <v/>
      </c>
      <c r="E1248" s="65" t="str">
        <f>ASTemp!E1248</f>
        <v/>
      </c>
      <c r="F1248" s="69" t="str">
        <f>TEXT(ASTemp!F1248,Decimals)</f>
        <v/>
      </c>
      <c r="G1248" s="69" t="str">
        <f>TEXT(ASTemp!G1248,Decimals)</f>
        <v/>
      </c>
      <c r="H1248" s="69" t="str">
        <f>TEXT(ASTemp!H1248,Decimals)</f>
        <v/>
      </c>
      <c r="I1248" s="69" t="str">
        <f>TEXT(ASTemp!I1248,Decimals)</f>
        <v/>
      </c>
      <c r="J1248" s="69" t="str">
        <f>TEXT(ASTemp!J1248,Decimals)</f>
        <v/>
      </c>
      <c r="K1248" s="69" t="str">
        <f>TEXT(ASTemp!K1248,Decimals)</f>
        <v/>
      </c>
      <c r="L1248" s="69" t="str">
        <f>TEXT(ASTemp!L1248,Decimals)</f>
        <v/>
      </c>
      <c r="M1248" s="71" t="str">
        <f>TEXT(ASTemp!M1248,Percentages)</f>
        <v/>
      </c>
      <c r="N1248" s="72" t="str">
        <f>TEXT(ASTemp!N1248,Percentages)</f>
        <v/>
      </c>
    </row>
    <row r="1249" ht="14.25" customHeight="1">
      <c r="B1249" s="66" t="str">
        <f>ASTemp!B1249</f>
        <v/>
      </c>
      <c r="C1249" s="67" t="str">
        <f>ASTemp!C1249</f>
        <v/>
      </c>
      <c r="D1249" s="68" t="str">
        <f>ASTemp!D1249</f>
        <v/>
      </c>
      <c r="E1249" s="65" t="str">
        <f>ASTemp!E1249</f>
        <v/>
      </c>
      <c r="F1249" s="69" t="str">
        <f>TEXT(ASTemp!F1249,Decimals)</f>
        <v/>
      </c>
      <c r="G1249" s="69" t="str">
        <f>TEXT(ASTemp!G1249,Decimals)</f>
        <v/>
      </c>
      <c r="H1249" s="69" t="str">
        <f>TEXT(ASTemp!H1249,Decimals)</f>
        <v/>
      </c>
      <c r="I1249" s="69" t="str">
        <f>TEXT(ASTemp!I1249,Decimals)</f>
        <v/>
      </c>
      <c r="J1249" s="69" t="str">
        <f>TEXT(ASTemp!J1249,Decimals)</f>
        <v/>
      </c>
      <c r="K1249" s="69" t="str">
        <f>TEXT(ASTemp!K1249,Decimals)</f>
        <v/>
      </c>
      <c r="L1249" s="69" t="str">
        <f>TEXT(ASTemp!L1249,Decimals)</f>
        <v/>
      </c>
      <c r="M1249" s="71" t="str">
        <f>TEXT(ASTemp!M1249,Percentages)</f>
        <v/>
      </c>
      <c r="N1249" s="72" t="str">
        <f>TEXT(ASTemp!N1249,Percentages)</f>
        <v/>
      </c>
    </row>
    <row r="1250" ht="14.25" customHeight="1">
      <c r="B1250" s="66" t="str">
        <f>ASTemp!B1250</f>
        <v/>
      </c>
      <c r="C1250" s="67" t="str">
        <f>ASTemp!C1250</f>
        <v/>
      </c>
      <c r="D1250" s="68" t="str">
        <f>ASTemp!D1250</f>
        <v/>
      </c>
      <c r="E1250" s="65" t="str">
        <f>ASTemp!E1250</f>
        <v/>
      </c>
      <c r="F1250" s="69" t="str">
        <f>TEXT(ASTemp!F1250,Decimals)</f>
        <v/>
      </c>
      <c r="G1250" s="69" t="str">
        <f>TEXT(ASTemp!G1250,Decimals)</f>
        <v/>
      </c>
      <c r="H1250" s="69" t="str">
        <f>TEXT(ASTemp!H1250,Decimals)</f>
        <v/>
      </c>
      <c r="I1250" s="69" t="str">
        <f>TEXT(ASTemp!I1250,Decimals)</f>
        <v/>
      </c>
      <c r="J1250" s="69" t="str">
        <f>TEXT(ASTemp!J1250,Decimals)</f>
        <v/>
      </c>
      <c r="K1250" s="69" t="str">
        <f>TEXT(ASTemp!K1250,Decimals)</f>
        <v/>
      </c>
      <c r="L1250" s="69" t="str">
        <f>TEXT(ASTemp!L1250,Decimals)</f>
        <v/>
      </c>
      <c r="M1250" s="71" t="str">
        <f>TEXT(ASTemp!M1250,Percentages)</f>
        <v/>
      </c>
      <c r="N1250" s="72" t="str">
        <f>TEXT(ASTemp!N1250,Percentages)</f>
        <v/>
      </c>
    </row>
    <row r="1251" ht="14.25" customHeight="1">
      <c r="B1251" s="66" t="str">
        <f>ASTemp!B1251</f>
        <v/>
      </c>
      <c r="C1251" s="67" t="str">
        <f>ASTemp!C1251</f>
        <v/>
      </c>
      <c r="D1251" s="68" t="str">
        <f>ASTemp!D1251</f>
        <v/>
      </c>
      <c r="E1251" s="65" t="str">
        <f>ASTemp!E1251</f>
        <v/>
      </c>
      <c r="F1251" s="69" t="str">
        <f>TEXT(ASTemp!F1251,Decimals)</f>
        <v/>
      </c>
      <c r="G1251" s="69" t="str">
        <f>TEXT(ASTemp!G1251,Decimals)</f>
        <v/>
      </c>
      <c r="H1251" s="69" t="str">
        <f>TEXT(ASTemp!H1251,Decimals)</f>
        <v/>
      </c>
      <c r="I1251" s="69" t="str">
        <f>TEXT(ASTemp!I1251,Decimals)</f>
        <v/>
      </c>
      <c r="J1251" s="69" t="str">
        <f>TEXT(ASTemp!J1251,Decimals)</f>
        <v/>
      </c>
      <c r="K1251" s="69" t="str">
        <f>TEXT(ASTemp!K1251,Decimals)</f>
        <v/>
      </c>
      <c r="L1251" s="69" t="str">
        <f>TEXT(ASTemp!L1251,Decimals)</f>
        <v/>
      </c>
      <c r="M1251" s="71" t="str">
        <f>TEXT(ASTemp!M1251,Percentages)</f>
        <v/>
      </c>
      <c r="N1251" s="72" t="str">
        <f>TEXT(ASTemp!N1251,Percentages)</f>
        <v/>
      </c>
    </row>
    <row r="1252" ht="14.25" customHeight="1">
      <c r="B1252" s="66" t="str">
        <f>ASTemp!B1252</f>
        <v/>
      </c>
      <c r="C1252" s="67" t="str">
        <f>ASTemp!C1252</f>
        <v/>
      </c>
      <c r="D1252" s="68" t="str">
        <f>ASTemp!D1252</f>
        <v/>
      </c>
      <c r="E1252" s="65" t="str">
        <f>ASTemp!E1252</f>
        <v/>
      </c>
      <c r="F1252" s="69" t="str">
        <f>TEXT(ASTemp!F1252,Decimals)</f>
        <v/>
      </c>
      <c r="G1252" s="69" t="str">
        <f>TEXT(ASTemp!G1252,Decimals)</f>
        <v/>
      </c>
      <c r="H1252" s="69" t="str">
        <f>TEXT(ASTemp!H1252,Decimals)</f>
        <v/>
      </c>
      <c r="I1252" s="69" t="str">
        <f>TEXT(ASTemp!I1252,Decimals)</f>
        <v/>
      </c>
      <c r="J1252" s="69" t="str">
        <f>TEXT(ASTemp!J1252,Decimals)</f>
        <v/>
      </c>
      <c r="K1252" s="69" t="str">
        <f>TEXT(ASTemp!K1252,Decimals)</f>
        <v/>
      </c>
      <c r="L1252" s="69" t="str">
        <f>TEXT(ASTemp!L1252,Decimals)</f>
        <v/>
      </c>
      <c r="M1252" s="71" t="str">
        <f>TEXT(ASTemp!M1252,Percentages)</f>
        <v/>
      </c>
      <c r="N1252" s="72" t="str">
        <f>TEXT(ASTemp!N1252,Percentages)</f>
        <v/>
      </c>
    </row>
    <row r="1253" ht="14.25" customHeight="1">
      <c r="B1253" s="66" t="str">
        <f>ASTemp!B1253</f>
        <v/>
      </c>
      <c r="C1253" s="67" t="str">
        <f>ASTemp!C1253</f>
        <v/>
      </c>
      <c r="D1253" s="68" t="str">
        <f>ASTemp!D1253</f>
        <v/>
      </c>
      <c r="E1253" s="65" t="str">
        <f>ASTemp!E1253</f>
        <v/>
      </c>
      <c r="F1253" s="69" t="str">
        <f>TEXT(ASTemp!F1253,Decimals)</f>
        <v/>
      </c>
      <c r="G1253" s="69" t="str">
        <f>TEXT(ASTemp!G1253,Decimals)</f>
        <v/>
      </c>
      <c r="H1253" s="69" t="str">
        <f>TEXT(ASTemp!H1253,Decimals)</f>
        <v/>
      </c>
      <c r="I1253" s="69" t="str">
        <f>TEXT(ASTemp!I1253,Decimals)</f>
        <v/>
      </c>
      <c r="J1253" s="69" t="str">
        <f>TEXT(ASTemp!J1253,Decimals)</f>
        <v/>
      </c>
      <c r="K1253" s="69" t="str">
        <f>TEXT(ASTemp!K1253,Decimals)</f>
        <v/>
      </c>
      <c r="L1253" s="69" t="str">
        <f>TEXT(ASTemp!L1253,Decimals)</f>
        <v/>
      </c>
      <c r="M1253" s="71" t="str">
        <f>TEXT(ASTemp!M1253,Percentages)</f>
        <v/>
      </c>
      <c r="N1253" s="72" t="str">
        <f>TEXT(ASTemp!N1253,Percentages)</f>
        <v/>
      </c>
    </row>
    <row r="1254" ht="14.25" customHeight="1">
      <c r="B1254" s="66" t="str">
        <f>ASTemp!B1254</f>
        <v/>
      </c>
      <c r="C1254" s="67" t="str">
        <f>ASTemp!C1254</f>
        <v/>
      </c>
      <c r="D1254" s="68" t="str">
        <f>ASTemp!D1254</f>
        <v/>
      </c>
      <c r="E1254" s="65" t="str">
        <f>ASTemp!E1254</f>
        <v/>
      </c>
      <c r="F1254" s="69" t="str">
        <f>TEXT(ASTemp!F1254,Decimals)</f>
        <v/>
      </c>
      <c r="G1254" s="69" t="str">
        <f>TEXT(ASTemp!G1254,Decimals)</f>
        <v/>
      </c>
      <c r="H1254" s="69" t="str">
        <f>TEXT(ASTemp!H1254,Decimals)</f>
        <v/>
      </c>
      <c r="I1254" s="69" t="str">
        <f>TEXT(ASTemp!I1254,Decimals)</f>
        <v/>
      </c>
      <c r="J1254" s="69" t="str">
        <f>TEXT(ASTemp!J1254,Decimals)</f>
        <v/>
      </c>
      <c r="K1254" s="69" t="str">
        <f>TEXT(ASTemp!K1254,Decimals)</f>
        <v/>
      </c>
      <c r="L1254" s="69" t="str">
        <f>TEXT(ASTemp!L1254,Decimals)</f>
        <v/>
      </c>
      <c r="M1254" s="71" t="str">
        <f>TEXT(ASTemp!M1254,Percentages)</f>
        <v/>
      </c>
      <c r="N1254" s="72" t="str">
        <f>TEXT(ASTemp!N1254,Percentages)</f>
        <v/>
      </c>
    </row>
    <row r="1255" ht="14.25" customHeight="1">
      <c r="B1255" s="66" t="str">
        <f>ASTemp!B1255</f>
        <v/>
      </c>
      <c r="C1255" s="67" t="str">
        <f>ASTemp!C1255</f>
        <v/>
      </c>
      <c r="D1255" s="68" t="str">
        <f>ASTemp!D1255</f>
        <v/>
      </c>
      <c r="E1255" s="65" t="str">
        <f>ASTemp!E1255</f>
        <v/>
      </c>
      <c r="F1255" s="69" t="str">
        <f>TEXT(ASTemp!F1255,Decimals)</f>
        <v/>
      </c>
      <c r="G1255" s="69" t="str">
        <f>TEXT(ASTemp!G1255,Decimals)</f>
        <v/>
      </c>
      <c r="H1255" s="69" t="str">
        <f>TEXT(ASTemp!H1255,Decimals)</f>
        <v/>
      </c>
      <c r="I1255" s="69" t="str">
        <f>TEXT(ASTemp!I1255,Decimals)</f>
        <v/>
      </c>
      <c r="J1255" s="69" t="str">
        <f>TEXT(ASTemp!J1255,Decimals)</f>
        <v/>
      </c>
      <c r="K1255" s="69" t="str">
        <f>TEXT(ASTemp!K1255,Decimals)</f>
        <v/>
      </c>
      <c r="L1255" s="69" t="str">
        <f>TEXT(ASTemp!L1255,Decimals)</f>
        <v/>
      </c>
      <c r="M1255" s="71" t="str">
        <f>TEXT(ASTemp!M1255,Percentages)</f>
        <v/>
      </c>
      <c r="N1255" s="72" t="str">
        <f>TEXT(ASTemp!N1255,Percentages)</f>
        <v/>
      </c>
    </row>
    <row r="1256" ht="14.25" customHeight="1">
      <c r="B1256" s="66" t="str">
        <f>ASTemp!B1256</f>
        <v/>
      </c>
      <c r="C1256" s="67" t="str">
        <f>ASTemp!C1256</f>
        <v/>
      </c>
      <c r="D1256" s="68" t="str">
        <f>ASTemp!D1256</f>
        <v/>
      </c>
      <c r="E1256" s="65" t="str">
        <f>ASTemp!E1256</f>
        <v/>
      </c>
      <c r="F1256" s="69" t="str">
        <f>TEXT(ASTemp!F1256,Decimals)</f>
        <v/>
      </c>
      <c r="G1256" s="69" t="str">
        <f>TEXT(ASTemp!G1256,Decimals)</f>
        <v/>
      </c>
      <c r="H1256" s="69" t="str">
        <f>TEXT(ASTemp!H1256,Decimals)</f>
        <v/>
      </c>
      <c r="I1256" s="69" t="str">
        <f>TEXT(ASTemp!I1256,Decimals)</f>
        <v/>
      </c>
      <c r="J1256" s="69" t="str">
        <f>TEXT(ASTemp!J1256,Decimals)</f>
        <v/>
      </c>
      <c r="K1256" s="69" t="str">
        <f>TEXT(ASTemp!K1256,Decimals)</f>
        <v/>
      </c>
      <c r="L1256" s="69" t="str">
        <f>TEXT(ASTemp!L1256,Decimals)</f>
        <v/>
      </c>
      <c r="M1256" s="71" t="str">
        <f>TEXT(ASTemp!M1256,Percentages)</f>
        <v/>
      </c>
      <c r="N1256" s="72" t="str">
        <f>TEXT(ASTemp!N1256,Percentages)</f>
        <v/>
      </c>
    </row>
    <row r="1257" ht="14.25" customHeight="1">
      <c r="B1257" s="66" t="str">
        <f>ASTemp!B1257</f>
        <v/>
      </c>
      <c r="C1257" s="67" t="str">
        <f>ASTemp!C1257</f>
        <v/>
      </c>
      <c r="D1257" s="68" t="str">
        <f>ASTemp!D1257</f>
        <v/>
      </c>
      <c r="E1257" s="65" t="str">
        <f>ASTemp!E1257</f>
        <v/>
      </c>
      <c r="F1257" s="69" t="str">
        <f>TEXT(ASTemp!F1257,Decimals)</f>
        <v/>
      </c>
      <c r="G1257" s="69" t="str">
        <f>TEXT(ASTemp!G1257,Decimals)</f>
        <v/>
      </c>
      <c r="H1257" s="69" t="str">
        <f>TEXT(ASTemp!H1257,Decimals)</f>
        <v/>
      </c>
      <c r="I1257" s="69" t="str">
        <f>TEXT(ASTemp!I1257,Decimals)</f>
        <v/>
      </c>
      <c r="J1257" s="69" t="str">
        <f>TEXT(ASTemp!J1257,Decimals)</f>
        <v/>
      </c>
      <c r="K1257" s="69" t="str">
        <f>TEXT(ASTemp!K1257,Decimals)</f>
        <v/>
      </c>
      <c r="L1257" s="69" t="str">
        <f>TEXT(ASTemp!L1257,Decimals)</f>
        <v/>
      </c>
      <c r="M1257" s="71" t="str">
        <f>TEXT(ASTemp!M1257,Percentages)</f>
        <v/>
      </c>
      <c r="N1257" s="72" t="str">
        <f>TEXT(ASTemp!N1257,Percentages)</f>
        <v/>
      </c>
    </row>
    <row r="1258" ht="14.25" customHeight="1">
      <c r="B1258" s="66" t="str">
        <f>ASTemp!B1258</f>
        <v/>
      </c>
      <c r="C1258" s="67" t="str">
        <f>ASTemp!C1258</f>
        <v/>
      </c>
      <c r="D1258" s="68" t="str">
        <f>ASTemp!D1258</f>
        <v/>
      </c>
      <c r="E1258" s="65" t="str">
        <f>ASTemp!E1258</f>
        <v/>
      </c>
      <c r="F1258" s="69" t="str">
        <f>TEXT(ASTemp!F1258,Decimals)</f>
        <v/>
      </c>
      <c r="G1258" s="69" t="str">
        <f>TEXT(ASTemp!G1258,Decimals)</f>
        <v/>
      </c>
      <c r="H1258" s="69" t="str">
        <f>TEXT(ASTemp!H1258,Decimals)</f>
        <v/>
      </c>
      <c r="I1258" s="69" t="str">
        <f>TEXT(ASTemp!I1258,Decimals)</f>
        <v/>
      </c>
      <c r="J1258" s="69" t="str">
        <f>TEXT(ASTemp!J1258,Decimals)</f>
        <v/>
      </c>
      <c r="K1258" s="69" t="str">
        <f>TEXT(ASTemp!K1258,Decimals)</f>
        <v/>
      </c>
      <c r="L1258" s="69" t="str">
        <f>TEXT(ASTemp!L1258,Decimals)</f>
        <v/>
      </c>
      <c r="M1258" s="71" t="str">
        <f>TEXT(ASTemp!M1258,Percentages)</f>
        <v/>
      </c>
      <c r="N1258" s="72" t="str">
        <f>TEXT(ASTemp!N1258,Percentages)</f>
        <v/>
      </c>
    </row>
    <row r="1259" ht="14.25" customHeight="1">
      <c r="B1259" s="66" t="str">
        <f>ASTemp!B1259</f>
        <v/>
      </c>
      <c r="C1259" s="67" t="str">
        <f>ASTemp!C1259</f>
        <v/>
      </c>
      <c r="D1259" s="68" t="str">
        <f>ASTemp!D1259</f>
        <v/>
      </c>
      <c r="E1259" s="65" t="str">
        <f>ASTemp!E1259</f>
        <v/>
      </c>
      <c r="F1259" s="69" t="str">
        <f>TEXT(ASTemp!F1259,Decimals)</f>
        <v/>
      </c>
      <c r="G1259" s="69" t="str">
        <f>TEXT(ASTemp!G1259,Decimals)</f>
        <v/>
      </c>
      <c r="H1259" s="69" t="str">
        <f>TEXT(ASTemp!H1259,Decimals)</f>
        <v/>
      </c>
      <c r="I1259" s="69" t="str">
        <f>TEXT(ASTemp!I1259,Decimals)</f>
        <v/>
      </c>
      <c r="J1259" s="69" t="str">
        <f>TEXT(ASTemp!J1259,Decimals)</f>
        <v/>
      </c>
      <c r="K1259" s="69" t="str">
        <f>TEXT(ASTemp!K1259,Decimals)</f>
        <v/>
      </c>
      <c r="L1259" s="69" t="str">
        <f>TEXT(ASTemp!L1259,Decimals)</f>
        <v/>
      </c>
      <c r="M1259" s="71" t="str">
        <f>TEXT(ASTemp!M1259,Percentages)</f>
        <v/>
      </c>
      <c r="N1259" s="72" t="str">
        <f>TEXT(ASTemp!N1259,Percentages)</f>
        <v/>
      </c>
    </row>
    <row r="1260" ht="14.25" customHeight="1">
      <c r="B1260" s="66" t="str">
        <f>ASTemp!B1260</f>
        <v/>
      </c>
      <c r="C1260" s="67" t="str">
        <f>ASTemp!C1260</f>
        <v/>
      </c>
      <c r="D1260" s="68" t="str">
        <f>ASTemp!D1260</f>
        <v/>
      </c>
      <c r="E1260" s="65" t="str">
        <f>ASTemp!E1260</f>
        <v/>
      </c>
      <c r="F1260" s="69" t="str">
        <f>TEXT(ASTemp!F1260,Decimals)</f>
        <v/>
      </c>
      <c r="G1260" s="69" t="str">
        <f>TEXT(ASTemp!G1260,Decimals)</f>
        <v/>
      </c>
      <c r="H1260" s="69" t="str">
        <f>TEXT(ASTemp!H1260,Decimals)</f>
        <v/>
      </c>
      <c r="I1260" s="69" t="str">
        <f>TEXT(ASTemp!I1260,Decimals)</f>
        <v/>
      </c>
      <c r="J1260" s="69" t="str">
        <f>TEXT(ASTemp!J1260,Decimals)</f>
        <v/>
      </c>
      <c r="K1260" s="69" t="str">
        <f>TEXT(ASTemp!K1260,Decimals)</f>
        <v/>
      </c>
      <c r="L1260" s="69" t="str">
        <f>TEXT(ASTemp!L1260,Decimals)</f>
        <v/>
      </c>
      <c r="M1260" s="71" t="str">
        <f>TEXT(ASTemp!M1260,Percentages)</f>
        <v/>
      </c>
      <c r="N1260" s="72" t="str">
        <f>TEXT(ASTemp!N1260,Percentages)</f>
        <v/>
      </c>
    </row>
    <row r="1261" ht="14.25" customHeight="1">
      <c r="B1261" s="66" t="str">
        <f>ASTemp!B1261</f>
        <v/>
      </c>
      <c r="C1261" s="67" t="str">
        <f>ASTemp!C1261</f>
        <v/>
      </c>
      <c r="D1261" s="68" t="str">
        <f>ASTemp!D1261</f>
        <v/>
      </c>
      <c r="E1261" s="65" t="str">
        <f>ASTemp!E1261</f>
        <v/>
      </c>
      <c r="F1261" s="69" t="str">
        <f>TEXT(ASTemp!F1261,Decimals)</f>
        <v/>
      </c>
      <c r="G1261" s="69" t="str">
        <f>TEXT(ASTemp!G1261,Decimals)</f>
        <v/>
      </c>
      <c r="H1261" s="69" t="str">
        <f>TEXT(ASTemp!H1261,Decimals)</f>
        <v/>
      </c>
      <c r="I1261" s="69" t="str">
        <f>TEXT(ASTemp!I1261,Decimals)</f>
        <v/>
      </c>
      <c r="J1261" s="69" t="str">
        <f>TEXT(ASTemp!J1261,Decimals)</f>
        <v/>
      </c>
      <c r="K1261" s="69" t="str">
        <f>TEXT(ASTemp!K1261,Decimals)</f>
        <v/>
      </c>
      <c r="L1261" s="69" t="str">
        <f>TEXT(ASTemp!L1261,Decimals)</f>
        <v/>
      </c>
      <c r="M1261" s="71" t="str">
        <f>TEXT(ASTemp!M1261,Percentages)</f>
        <v/>
      </c>
      <c r="N1261" s="72" t="str">
        <f>TEXT(ASTemp!N1261,Percentages)</f>
        <v/>
      </c>
    </row>
    <row r="1262" ht="14.25" customHeight="1">
      <c r="B1262" s="66" t="str">
        <f>ASTemp!B1262</f>
        <v/>
      </c>
      <c r="C1262" s="67" t="str">
        <f>ASTemp!C1262</f>
        <v/>
      </c>
      <c r="D1262" s="68" t="str">
        <f>ASTemp!D1262</f>
        <v/>
      </c>
      <c r="E1262" s="65" t="str">
        <f>ASTemp!E1262</f>
        <v/>
      </c>
      <c r="F1262" s="69" t="str">
        <f>TEXT(ASTemp!F1262,Decimals)</f>
        <v/>
      </c>
      <c r="G1262" s="69" t="str">
        <f>TEXT(ASTemp!G1262,Decimals)</f>
        <v/>
      </c>
      <c r="H1262" s="69" t="str">
        <f>TEXT(ASTemp!H1262,Decimals)</f>
        <v/>
      </c>
      <c r="I1262" s="69" t="str">
        <f>TEXT(ASTemp!I1262,Decimals)</f>
        <v/>
      </c>
      <c r="J1262" s="69" t="str">
        <f>TEXT(ASTemp!J1262,Decimals)</f>
        <v/>
      </c>
      <c r="K1262" s="69" t="str">
        <f>TEXT(ASTemp!K1262,Decimals)</f>
        <v/>
      </c>
      <c r="L1262" s="69" t="str">
        <f>TEXT(ASTemp!L1262,Decimals)</f>
        <v/>
      </c>
      <c r="M1262" s="71" t="str">
        <f>TEXT(ASTemp!M1262,Percentages)</f>
        <v/>
      </c>
      <c r="N1262" s="72" t="str">
        <f>TEXT(ASTemp!N1262,Percentages)</f>
        <v/>
      </c>
    </row>
    <row r="1263" ht="14.25" customHeight="1">
      <c r="B1263" s="66" t="str">
        <f>ASTemp!B1263</f>
        <v/>
      </c>
      <c r="C1263" s="67" t="str">
        <f>ASTemp!C1263</f>
        <v/>
      </c>
      <c r="D1263" s="68" t="str">
        <f>ASTemp!D1263</f>
        <v/>
      </c>
      <c r="E1263" s="65" t="str">
        <f>ASTemp!E1263</f>
        <v/>
      </c>
      <c r="F1263" s="69" t="str">
        <f>TEXT(ASTemp!F1263,Decimals)</f>
        <v/>
      </c>
      <c r="G1263" s="69" t="str">
        <f>TEXT(ASTemp!G1263,Decimals)</f>
        <v/>
      </c>
      <c r="H1263" s="69" t="str">
        <f>TEXT(ASTemp!H1263,Decimals)</f>
        <v/>
      </c>
      <c r="I1263" s="69" t="str">
        <f>TEXT(ASTemp!I1263,Decimals)</f>
        <v/>
      </c>
      <c r="J1263" s="69" t="str">
        <f>TEXT(ASTemp!J1263,Decimals)</f>
        <v/>
      </c>
      <c r="K1263" s="69" t="str">
        <f>TEXT(ASTemp!K1263,Decimals)</f>
        <v/>
      </c>
      <c r="L1263" s="69" t="str">
        <f>TEXT(ASTemp!L1263,Decimals)</f>
        <v/>
      </c>
      <c r="M1263" s="71" t="str">
        <f>TEXT(ASTemp!M1263,Percentages)</f>
        <v/>
      </c>
      <c r="N1263" s="72" t="str">
        <f>TEXT(ASTemp!N1263,Percentages)</f>
        <v/>
      </c>
    </row>
    <row r="1264" ht="14.25" customHeight="1">
      <c r="B1264" s="66" t="str">
        <f>ASTemp!B1264</f>
        <v/>
      </c>
      <c r="C1264" s="67" t="str">
        <f>ASTemp!C1264</f>
        <v/>
      </c>
      <c r="D1264" s="68" t="str">
        <f>ASTemp!D1264</f>
        <v/>
      </c>
      <c r="E1264" s="65" t="str">
        <f>ASTemp!E1264</f>
        <v/>
      </c>
      <c r="F1264" s="69" t="str">
        <f>TEXT(ASTemp!F1264,Decimals)</f>
        <v/>
      </c>
      <c r="G1264" s="69" t="str">
        <f>TEXT(ASTemp!G1264,Decimals)</f>
        <v/>
      </c>
      <c r="H1264" s="69" t="str">
        <f>TEXT(ASTemp!H1264,Decimals)</f>
        <v/>
      </c>
      <c r="I1264" s="69" t="str">
        <f>TEXT(ASTemp!I1264,Decimals)</f>
        <v/>
      </c>
      <c r="J1264" s="69" t="str">
        <f>TEXT(ASTemp!J1264,Decimals)</f>
        <v/>
      </c>
      <c r="K1264" s="69" t="str">
        <f>TEXT(ASTemp!K1264,Decimals)</f>
        <v/>
      </c>
      <c r="L1264" s="69" t="str">
        <f>TEXT(ASTemp!L1264,Decimals)</f>
        <v/>
      </c>
      <c r="M1264" s="71" t="str">
        <f>TEXT(ASTemp!M1264,Percentages)</f>
        <v/>
      </c>
      <c r="N1264" s="72" t="str">
        <f>TEXT(ASTemp!N1264,Percentages)</f>
        <v/>
      </c>
    </row>
    <row r="1265" ht="14.25" customHeight="1">
      <c r="B1265" s="66" t="str">
        <f>ASTemp!B1265</f>
        <v/>
      </c>
      <c r="C1265" s="67" t="str">
        <f>ASTemp!C1265</f>
        <v/>
      </c>
      <c r="D1265" s="68" t="str">
        <f>ASTemp!D1265</f>
        <v/>
      </c>
      <c r="E1265" s="65" t="str">
        <f>ASTemp!E1265</f>
        <v/>
      </c>
      <c r="F1265" s="69" t="str">
        <f>TEXT(ASTemp!F1265,Decimals)</f>
        <v/>
      </c>
      <c r="G1265" s="69" t="str">
        <f>TEXT(ASTemp!G1265,Decimals)</f>
        <v/>
      </c>
      <c r="H1265" s="69" t="str">
        <f>TEXT(ASTemp!H1265,Decimals)</f>
        <v/>
      </c>
      <c r="I1265" s="69" t="str">
        <f>TEXT(ASTemp!I1265,Decimals)</f>
        <v/>
      </c>
      <c r="J1265" s="69" t="str">
        <f>TEXT(ASTemp!J1265,Decimals)</f>
        <v/>
      </c>
      <c r="K1265" s="69" t="str">
        <f>TEXT(ASTemp!K1265,Decimals)</f>
        <v/>
      </c>
      <c r="L1265" s="69" t="str">
        <f>TEXT(ASTemp!L1265,Decimals)</f>
        <v/>
      </c>
      <c r="M1265" s="71" t="str">
        <f>TEXT(ASTemp!M1265,Percentages)</f>
        <v/>
      </c>
      <c r="N1265" s="72" t="str">
        <f>TEXT(ASTemp!N1265,Percentages)</f>
        <v/>
      </c>
    </row>
    <row r="1266" ht="14.25" customHeight="1">
      <c r="B1266" s="66" t="str">
        <f>ASTemp!B1266</f>
        <v/>
      </c>
      <c r="C1266" s="67" t="str">
        <f>ASTemp!C1266</f>
        <v/>
      </c>
      <c r="D1266" s="68" t="str">
        <f>ASTemp!D1266</f>
        <v/>
      </c>
      <c r="E1266" s="65" t="str">
        <f>ASTemp!E1266</f>
        <v/>
      </c>
      <c r="F1266" s="69" t="str">
        <f>TEXT(ASTemp!F1266,Decimals)</f>
        <v/>
      </c>
      <c r="G1266" s="69" t="str">
        <f>TEXT(ASTemp!G1266,Decimals)</f>
        <v/>
      </c>
      <c r="H1266" s="69" t="str">
        <f>TEXT(ASTemp!H1266,Decimals)</f>
        <v/>
      </c>
      <c r="I1266" s="69" t="str">
        <f>TEXT(ASTemp!I1266,Decimals)</f>
        <v/>
      </c>
      <c r="J1266" s="69" t="str">
        <f>TEXT(ASTemp!J1266,Decimals)</f>
        <v/>
      </c>
      <c r="K1266" s="69" t="str">
        <f>TEXT(ASTemp!K1266,Decimals)</f>
        <v/>
      </c>
      <c r="L1266" s="69" t="str">
        <f>TEXT(ASTemp!L1266,Decimals)</f>
        <v/>
      </c>
      <c r="M1266" s="71" t="str">
        <f>TEXT(ASTemp!M1266,Percentages)</f>
        <v/>
      </c>
      <c r="N1266" s="72" t="str">
        <f>TEXT(ASTemp!N1266,Percentages)</f>
        <v/>
      </c>
    </row>
    <row r="1267" ht="14.25" customHeight="1">
      <c r="B1267" s="66" t="str">
        <f>ASTemp!B1267</f>
        <v/>
      </c>
      <c r="C1267" s="67" t="str">
        <f>ASTemp!C1267</f>
        <v/>
      </c>
      <c r="D1267" s="68" t="str">
        <f>ASTemp!D1267</f>
        <v/>
      </c>
      <c r="E1267" s="65" t="str">
        <f>ASTemp!E1267</f>
        <v/>
      </c>
      <c r="F1267" s="69" t="str">
        <f>TEXT(ASTemp!F1267,Decimals)</f>
        <v/>
      </c>
      <c r="G1267" s="69" t="str">
        <f>TEXT(ASTemp!G1267,Decimals)</f>
        <v/>
      </c>
      <c r="H1267" s="69" t="str">
        <f>TEXT(ASTemp!H1267,Decimals)</f>
        <v/>
      </c>
      <c r="I1267" s="69" t="str">
        <f>TEXT(ASTemp!I1267,Decimals)</f>
        <v/>
      </c>
      <c r="J1267" s="69" t="str">
        <f>TEXT(ASTemp!J1267,Decimals)</f>
        <v/>
      </c>
      <c r="K1267" s="69" t="str">
        <f>TEXT(ASTemp!K1267,Decimals)</f>
        <v/>
      </c>
      <c r="L1267" s="69" t="str">
        <f>TEXT(ASTemp!L1267,Decimals)</f>
        <v/>
      </c>
      <c r="M1267" s="71" t="str">
        <f>TEXT(ASTemp!M1267,Percentages)</f>
        <v/>
      </c>
      <c r="N1267" s="72" t="str">
        <f>TEXT(ASTemp!N1267,Percentages)</f>
        <v/>
      </c>
    </row>
    <row r="1268" ht="14.25" customHeight="1">
      <c r="B1268" s="66" t="str">
        <f>ASTemp!B1268</f>
        <v/>
      </c>
      <c r="C1268" s="67" t="str">
        <f>ASTemp!C1268</f>
        <v/>
      </c>
      <c r="D1268" s="68" t="str">
        <f>ASTemp!D1268</f>
        <v/>
      </c>
      <c r="E1268" s="65" t="str">
        <f>ASTemp!E1268</f>
        <v/>
      </c>
      <c r="F1268" s="69" t="str">
        <f>TEXT(ASTemp!F1268,Decimals)</f>
        <v/>
      </c>
      <c r="G1268" s="69" t="str">
        <f>TEXT(ASTemp!G1268,Decimals)</f>
        <v/>
      </c>
      <c r="H1268" s="69" t="str">
        <f>TEXT(ASTemp!H1268,Decimals)</f>
        <v/>
      </c>
      <c r="I1268" s="69" t="str">
        <f>TEXT(ASTemp!I1268,Decimals)</f>
        <v/>
      </c>
      <c r="J1268" s="69" t="str">
        <f>TEXT(ASTemp!J1268,Decimals)</f>
        <v/>
      </c>
      <c r="K1268" s="69" t="str">
        <f>TEXT(ASTemp!K1268,Decimals)</f>
        <v/>
      </c>
      <c r="L1268" s="69" t="str">
        <f>TEXT(ASTemp!L1268,Decimals)</f>
        <v/>
      </c>
      <c r="M1268" s="71" t="str">
        <f>TEXT(ASTemp!M1268,Percentages)</f>
        <v/>
      </c>
      <c r="N1268" s="72" t="str">
        <f>TEXT(ASTemp!N1268,Percentages)</f>
        <v/>
      </c>
    </row>
    <row r="1269" ht="14.25" customHeight="1">
      <c r="B1269" s="66" t="str">
        <f>ASTemp!B1269</f>
        <v/>
      </c>
      <c r="C1269" s="67" t="str">
        <f>ASTemp!C1269</f>
        <v/>
      </c>
      <c r="D1269" s="68" t="str">
        <f>ASTemp!D1269</f>
        <v/>
      </c>
      <c r="E1269" s="65" t="str">
        <f>ASTemp!E1269</f>
        <v/>
      </c>
      <c r="F1269" s="69" t="str">
        <f>TEXT(ASTemp!F1269,Decimals)</f>
        <v/>
      </c>
      <c r="G1269" s="69" t="str">
        <f>TEXT(ASTemp!G1269,Decimals)</f>
        <v/>
      </c>
      <c r="H1269" s="69" t="str">
        <f>TEXT(ASTemp!H1269,Decimals)</f>
        <v/>
      </c>
      <c r="I1269" s="69" t="str">
        <f>TEXT(ASTemp!I1269,Decimals)</f>
        <v/>
      </c>
      <c r="J1269" s="69" t="str">
        <f>TEXT(ASTemp!J1269,Decimals)</f>
        <v/>
      </c>
      <c r="K1269" s="69" t="str">
        <f>TEXT(ASTemp!K1269,Decimals)</f>
        <v/>
      </c>
      <c r="L1269" s="69" t="str">
        <f>TEXT(ASTemp!L1269,Decimals)</f>
        <v/>
      </c>
      <c r="M1269" s="71" t="str">
        <f>TEXT(ASTemp!M1269,Percentages)</f>
        <v/>
      </c>
      <c r="N1269" s="72" t="str">
        <f>TEXT(ASTemp!N1269,Percentages)</f>
        <v/>
      </c>
    </row>
    <row r="1270" ht="14.25" customHeight="1">
      <c r="B1270" s="66" t="str">
        <f>ASTemp!B1270</f>
        <v/>
      </c>
      <c r="C1270" s="67" t="str">
        <f>ASTemp!C1270</f>
        <v/>
      </c>
      <c r="D1270" s="68" t="str">
        <f>ASTemp!D1270</f>
        <v/>
      </c>
      <c r="E1270" s="65" t="str">
        <f>ASTemp!E1270</f>
        <v/>
      </c>
      <c r="F1270" s="69" t="str">
        <f>TEXT(ASTemp!F1270,Decimals)</f>
        <v/>
      </c>
      <c r="G1270" s="69" t="str">
        <f>TEXT(ASTemp!G1270,Decimals)</f>
        <v/>
      </c>
      <c r="H1270" s="69" t="str">
        <f>TEXT(ASTemp!H1270,Decimals)</f>
        <v/>
      </c>
      <c r="I1270" s="69" t="str">
        <f>TEXT(ASTemp!I1270,Decimals)</f>
        <v/>
      </c>
      <c r="J1270" s="69" t="str">
        <f>TEXT(ASTemp!J1270,Decimals)</f>
        <v/>
      </c>
      <c r="K1270" s="69" t="str">
        <f>TEXT(ASTemp!K1270,Decimals)</f>
        <v/>
      </c>
      <c r="L1270" s="69" t="str">
        <f>TEXT(ASTemp!L1270,Decimals)</f>
        <v/>
      </c>
      <c r="M1270" s="71" t="str">
        <f>TEXT(ASTemp!M1270,Percentages)</f>
        <v/>
      </c>
      <c r="N1270" s="72" t="str">
        <f>TEXT(ASTemp!N1270,Percentages)</f>
        <v/>
      </c>
    </row>
    <row r="1271" ht="14.25" customHeight="1">
      <c r="B1271" s="66" t="str">
        <f>ASTemp!B1271</f>
        <v/>
      </c>
      <c r="C1271" s="67" t="str">
        <f>ASTemp!C1271</f>
        <v/>
      </c>
      <c r="D1271" s="68" t="str">
        <f>ASTemp!D1271</f>
        <v/>
      </c>
      <c r="E1271" s="65" t="str">
        <f>ASTemp!E1271</f>
        <v/>
      </c>
      <c r="F1271" s="69" t="str">
        <f>TEXT(ASTemp!F1271,Decimals)</f>
        <v/>
      </c>
      <c r="G1271" s="69" t="str">
        <f>TEXT(ASTemp!G1271,Decimals)</f>
        <v/>
      </c>
      <c r="H1271" s="69" t="str">
        <f>TEXT(ASTemp!H1271,Decimals)</f>
        <v/>
      </c>
      <c r="I1271" s="69" t="str">
        <f>TEXT(ASTemp!I1271,Decimals)</f>
        <v/>
      </c>
      <c r="J1271" s="69" t="str">
        <f>TEXT(ASTemp!J1271,Decimals)</f>
        <v/>
      </c>
      <c r="K1271" s="69" t="str">
        <f>TEXT(ASTemp!K1271,Decimals)</f>
        <v/>
      </c>
      <c r="L1271" s="69" t="str">
        <f>TEXT(ASTemp!L1271,Decimals)</f>
        <v/>
      </c>
      <c r="M1271" s="71" t="str">
        <f>TEXT(ASTemp!M1271,Percentages)</f>
        <v/>
      </c>
      <c r="N1271" s="72" t="str">
        <f>TEXT(ASTemp!N1271,Percentages)</f>
        <v/>
      </c>
    </row>
    <row r="1272" ht="14.25" customHeight="1">
      <c r="B1272" s="66" t="str">
        <f>ASTemp!B1272</f>
        <v/>
      </c>
      <c r="C1272" s="67" t="str">
        <f>ASTemp!C1272</f>
        <v/>
      </c>
      <c r="D1272" s="68" t="str">
        <f>ASTemp!D1272</f>
        <v/>
      </c>
      <c r="E1272" s="65" t="str">
        <f>ASTemp!E1272</f>
        <v/>
      </c>
      <c r="F1272" s="69" t="str">
        <f>TEXT(ASTemp!F1272,Decimals)</f>
        <v/>
      </c>
      <c r="G1272" s="69" t="str">
        <f>TEXT(ASTemp!G1272,Decimals)</f>
        <v/>
      </c>
      <c r="H1272" s="69" t="str">
        <f>TEXT(ASTemp!H1272,Decimals)</f>
        <v/>
      </c>
      <c r="I1272" s="69" t="str">
        <f>TEXT(ASTemp!I1272,Decimals)</f>
        <v/>
      </c>
      <c r="J1272" s="69" t="str">
        <f>TEXT(ASTemp!J1272,Decimals)</f>
        <v/>
      </c>
      <c r="K1272" s="69" t="str">
        <f>TEXT(ASTemp!K1272,Decimals)</f>
        <v/>
      </c>
      <c r="L1272" s="69" t="str">
        <f>TEXT(ASTemp!L1272,Decimals)</f>
        <v/>
      </c>
      <c r="M1272" s="71" t="str">
        <f>TEXT(ASTemp!M1272,Percentages)</f>
        <v/>
      </c>
      <c r="N1272" s="72" t="str">
        <f>TEXT(ASTemp!N1272,Percentages)</f>
        <v/>
      </c>
    </row>
    <row r="1273" ht="14.25" customHeight="1">
      <c r="B1273" s="66" t="str">
        <f>ASTemp!B1273</f>
        <v/>
      </c>
      <c r="C1273" s="67" t="str">
        <f>ASTemp!C1273</f>
        <v/>
      </c>
      <c r="D1273" s="68" t="str">
        <f>ASTemp!D1273</f>
        <v/>
      </c>
      <c r="E1273" s="65" t="str">
        <f>ASTemp!E1273</f>
        <v/>
      </c>
      <c r="F1273" s="69" t="str">
        <f>TEXT(ASTemp!F1273,Decimals)</f>
        <v/>
      </c>
      <c r="G1273" s="69" t="str">
        <f>TEXT(ASTemp!G1273,Decimals)</f>
        <v/>
      </c>
      <c r="H1273" s="69" t="str">
        <f>TEXT(ASTemp!H1273,Decimals)</f>
        <v/>
      </c>
      <c r="I1273" s="69" t="str">
        <f>TEXT(ASTemp!I1273,Decimals)</f>
        <v/>
      </c>
      <c r="J1273" s="69" t="str">
        <f>TEXT(ASTemp!J1273,Decimals)</f>
        <v/>
      </c>
      <c r="K1273" s="69" t="str">
        <f>TEXT(ASTemp!K1273,Decimals)</f>
        <v/>
      </c>
      <c r="L1273" s="69" t="str">
        <f>TEXT(ASTemp!L1273,Decimals)</f>
        <v/>
      </c>
      <c r="M1273" s="71" t="str">
        <f>TEXT(ASTemp!M1273,Percentages)</f>
        <v/>
      </c>
      <c r="N1273" s="72" t="str">
        <f>TEXT(ASTemp!N1273,Percentages)</f>
        <v/>
      </c>
    </row>
    <row r="1274" ht="14.25" customHeight="1">
      <c r="B1274" s="66" t="str">
        <f>ASTemp!B1274</f>
        <v/>
      </c>
      <c r="C1274" s="67" t="str">
        <f>ASTemp!C1274</f>
        <v/>
      </c>
      <c r="D1274" s="68" t="str">
        <f>ASTemp!D1274</f>
        <v/>
      </c>
      <c r="E1274" s="65" t="str">
        <f>ASTemp!E1274</f>
        <v/>
      </c>
      <c r="F1274" s="69" t="str">
        <f>TEXT(ASTemp!F1274,Decimals)</f>
        <v/>
      </c>
      <c r="G1274" s="69" t="str">
        <f>TEXT(ASTemp!G1274,Decimals)</f>
        <v/>
      </c>
      <c r="H1274" s="69" t="str">
        <f>TEXT(ASTemp!H1274,Decimals)</f>
        <v/>
      </c>
      <c r="I1274" s="69" t="str">
        <f>TEXT(ASTemp!I1274,Decimals)</f>
        <v/>
      </c>
      <c r="J1274" s="69" t="str">
        <f>TEXT(ASTemp!J1274,Decimals)</f>
        <v/>
      </c>
      <c r="K1274" s="69" t="str">
        <f>TEXT(ASTemp!K1274,Decimals)</f>
        <v/>
      </c>
      <c r="L1274" s="69" t="str">
        <f>TEXT(ASTemp!L1274,Decimals)</f>
        <v/>
      </c>
      <c r="M1274" s="71" t="str">
        <f>TEXT(ASTemp!M1274,Percentages)</f>
        <v/>
      </c>
      <c r="N1274" s="72" t="str">
        <f>TEXT(ASTemp!N1274,Percentages)</f>
        <v/>
      </c>
    </row>
    <row r="1275" ht="14.25" customHeight="1">
      <c r="B1275" s="66" t="str">
        <f>ASTemp!B1275</f>
        <v/>
      </c>
      <c r="C1275" s="67" t="str">
        <f>ASTemp!C1275</f>
        <v/>
      </c>
      <c r="D1275" s="68" t="str">
        <f>ASTemp!D1275</f>
        <v/>
      </c>
      <c r="E1275" s="65" t="str">
        <f>ASTemp!E1275</f>
        <v/>
      </c>
      <c r="F1275" s="69" t="str">
        <f>TEXT(ASTemp!F1275,Decimals)</f>
        <v/>
      </c>
      <c r="G1275" s="69" t="str">
        <f>TEXT(ASTemp!G1275,Decimals)</f>
        <v/>
      </c>
      <c r="H1275" s="69" t="str">
        <f>TEXT(ASTemp!H1275,Decimals)</f>
        <v/>
      </c>
      <c r="I1275" s="69" t="str">
        <f>TEXT(ASTemp!I1275,Decimals)</f>
        <v/>
      </c>
      <c r="J1275" s="69" t="str">
        <f>TEXT(ASTemp!J1275,Decimals)</f>
        <v/>
      </c>
      <c r="K1275" s="69" t="str">
        <f>TEXT(ASTemp!K1275,Decimals)</f>
        <v/>
      </c>
      <c r="L1275" s="69" t="str">
        <f>TEXT(ASTemp!L1275,Decimals)</f>
        <v/>
      </c>
      <c r="M1275" s="71" t="str">
        <f>TEXT(ASTemp!M1275,Percentages)</f>
        <v/>
      </c>
      <c r="N1275" s="72" t="str">
        <f>TEXT(ASTemp!N1275,Percentages)</f>
        <v/>
      </c>
    </row>
    <row r="1276" ht="14.25" customHeight="1">
      <c r="B1276" s="66" t="str">
        <f>ASTemp!B1276</f>
        <v/>
      </c>
      <c r="C1276" s="67" t="str">
        <f>ASTemp!C1276</f>
        <v/>
      </c>
      <c r="D1276" s="68" t="str">
        <f>ASTemp!D1276</f>
        <v/>
      </c>
      <c r="E1276" s="65" t="str">
        <f>ASTemp!E1276</f>
        <v/>
      </c>
      <c r="F1276" s="69" t="str">
        <f>TEXT(ASTemp!F1276,Decimals)</f>
        <v/>
      </c>
      <c r="G1276" s="69" t="str">
        <f>TEXT(ASTemp!G1276,Decimals)</f>
        <v/>
      </c>
      <c r="H1276" s="69" t="str">
        <f>TEXT(ASTemp!H1276,Decimals)</f>
        <v/>
      </c>
      <c r="I1276" s="69" t="str">
        <f>TEXT(ASTemp!I1276,Decimals)</f>
        <v/>
      </c>
      <c r="J1276" s="69" t="str">
        <f>TEXT(ASTemp!J1276,Decimals)</f>
        <v/>
      </c>
      <c r="K1276" s="69" t="str">
        <f>TEXT(ASTemp!K1276,Decimals)</f>
        <v/>
      </c>
      <c r="L1276" s="69" t="str">
        <f>TEXT(ASTemp!L1276,Decimals)</f>
        <v/>
      </c>
      <c r="M1276" s="71" t="str">
        <f>TEXT(ASTemp!M1276,Percentages)</f>
        <v/>
      </c>
      <c r="N1276" s="72" t="str">
        <f>TEXT(ASTemp!N1276,Percentages)</f>
        <v/>
      </c>
    </row>
    <row r="1277" ht="14.25" customHeight="1">
      <c r="B1277" s="66" t="str">
        <f>ASTemp!B1277</f>
        <v/>
      </c>
      <c r="C1277" s="67" t="str">
        <f>ASTemp!C1277</f>
        <v/>
      </c>
      <c r="D1277" s="68" t="str">
        <f>ASTemp!D1277</f>
        <v/>
      </c>
      <c r="E1277" s="65" t="str">
        <f>ASTemp!E1277</f>
        <v/>
      </c>
      <c r="F1277" s="69" t="str">
        <f>TEXT(ASTemp!F1277,Decimals)</f>
        <v/>
      </c>
      <c r="G1277" s="69" t="str">
        <f>TEXT(ASTemp!G1277,Decimals)</f>
        <v/>
      </c>
      <c r="H1277" s="69" t="str">
        <f>TEXT(ASTemp!H1277,Decimals)</f>
        <v/>
      </c>
      <c r="I1277" s="69" t="str">
        <f>TEXT(ASTemp!I1277,Decimals)</f>
        <v/>
      </c>
      <c r="J1277" s="69" t="str">
        <f>TEXT(ASTemp!J1277,Decimals)</f>
        <v/>
      </c>
      <c r="K1277" s="69" t="str">
        <f>TEXT(ASTemp!K1277,Decimals)</f>
        <v/>
      </c>
      <c r="L1277" s="69" t="str">
        <f>TEXT(ASTemp!L1277,Decimals)</f>
        <v/>
      </c>
      <c r="M1277" s="71" t="str">
        <f>TEXT(ASTemp!M1277,Percentages)</f>
        <v/>
      </c>
      <c r="N1277" s="72" t="str">
        <f>TEXT(ASTemp!N1277,Percentages)</f>
        <v/>
      </c>
    </row>
    <row r="1278" ht="14.25" customHeight="1">
      <c r="B1278" s="66" t="str">
        <f>ASTemp!B1278</f>
        <v/>
      </c>
      <c r="C1278" s="67" t="str">
        <f>ASTemp!C1278</f>
        <v/>
      </c>
      <c r="D1278" s="68" t="str">
        <f>ASTemp!D1278</f>
        <v/>
      </c>
      <c r="E1278" s="65" t="str">
        <f>ASTemp!E1278</f>
        <v/>
      </c>
      <c r="F1278" s="69" t="str">
        <f>TEXT(ASTemp!F1278,Decimals)</f>
        <v/>
      </c>
      <c r="G1278" s="69" t="str">
        <f>TEXT(ASTemp!G1278,Decimals)</f>
        <v/>
      </c>
      <c r="H1278" s="69" t="str">
        <f>TEXT(ASTemp!H1278,Decimals)</f>
        <v/>
      </c>
      <c r="I1278" s="69" t="str">
        <f>TEXT(ASTemp!I1278,Decimals)</f>
        <v/>
      </c>
      <c r="J1278" s="69" t="str">
        <f>TEXT(ASTemp!J1278,Decimals)</f>
        <v/>
      </c>
      <c r="K1278" s="69" t="str">
        <f>TEXT(ASTemp!K1278,Decimals)</f>
        <v/>
      </c>
      <c r="L1278" s="69" t="str">
        <f>TEXT(ASTemp!L1278,Decimals)</f>
        <v/>
      </c>
      <c r="M1278" s="71" t="str">
        <f>TEXT(ASTemp!M1278,Percentages)</f>
        <v/>
      </c>
      <c r="N1278" s="72" t="str">
        <f>TEXT(ASTemp!N1278,Percentages)</f>
        <v/>
      </c>
    </row>
    <row r="1279" ht="14.25" customHeight="1">
      <c r="B1279" s="66" t="str">
        <f>ASTemp!B1279</f>
        <v/>
      </c>
      <c r="C1279" s="67" t="str">
        <f>ASTemp!C1279</f>
        <v/>
      </c>
      <c r="D1279" s="68" t="str">
        <f>ASTemp!D1279</f>
        <v/>
      </c>
      <c r="E1279" s="65" t="str">
        <f>ASTemp!E1279</f>
        <v/>
      </c>
      <c r="F1279" s="69" t="str">
        <f>TEXT(ASTemp!F1279,Decimals)</f>
        <v/>
      </c>
      <c r="G1279" s="69" t="str">
        <f>TEXT(ASTemp!G1279,Decimals)</f>
        <v/>
      </c>
      <c r="H1279" s="69" t="str">
        <f>TEXT(ASTemp!H1279,Decimals)</f>
        <v/>
      </c>
      <c r="I1279" s="69" t="str">
        <f>TEXT(ASTemp!I1279,Decimals)</f>
        <v/>
      </c>
      <c r="J1279" s="69" t="str">
        <f>TEXT(ASTemp!J1279,Decimals)</f>
        <v/>
      </c>
      <c r="K1279" s="69" t="str">
        <f>TEXT(ASTemp!K1279,Decimals)</f>
        <v/>
      </c>
      <c r="L1279" s="69" t="str">
        <f>TEXT(ASTemp!L1279,Decimals)</f>
        <v/>
      </c>
      <c r="M1279" s="71" t="str">
        <f>TEXT(ASTemp!M1279,Percentages)</f>
        <v/>
      </c>
      <c r="N1279" s="72" t="str">
        <f>TEXT(ASTemp!N1279,Percentages)</f>
        <v/>
      </c>
    </row>
    <row r="1280" ht="14.25" customHeight="1">
      <c r="B1280" s="66" t="str">
        <f>ASTemp!B1280</f>
        <v/>
      </c>
      <c r="C1280" s="67" t="str">
        <f>ASTemp!C1280</f>
        <v/>
      </c>
      <c r="D1280" s="68" t="str">
        <f>ASTemp!D1280</f>
        <v/>
      </c>
      <c r="E1280" s="65" t="str">
        <f>ASTemp!E1280</f>
        <v/>
      </c>
      <c r="F1280" s="69" t="str">
        <f>TEXT(ASTemp!F1280,Decimals)</f>
        <v/>
      </c>
      <c r="G1280" s="69" t="str">
        <f>TEXT(ASTemp!G1280,Decimals)</f>
        <v/>
      </c>
      <c r="H1280" s="69" t="str">
        <f>TEXT(ASTemp!H1280,Decimals)</f>
        <v/>
      </c>
      <c r="I1280" s="69" t="str">
        <f>TEXT(ASTemp!I1280,Decimals)</f>
        <v/>
      </c>
      <c r="J1280" s="69" t="str">
        <f>TEXT(ASTemp!J1280,Decimals)</f>
        <v/>
      </c>
      <c r="K1280" s="69" t="str">
        <f>TEXT(ASTemp!K1280,Decimals)</f>
        <v/>
      </c>
      <c r="L1280" s="69" t="str">
        <f>TEXT(ASTemp!L1280,Decimals)</f>
        <v/>
      </c>
      <c r="M1280" s="71" t="str">
        <f>TEXT(ASTemp!M1280,Percentages)</f>
        <v/>
      </c>
      <c r="N1280" s="72" t="str">
        <f>TEXT(ASTemp!N1280,Percentages)</f>
        <v/>
      </c>
    </row>
    <row r="1281" ht="14.25" customHeight="1">
      <c r="B1281" s="66" t="str">
        <f>ASTemp!B1281</f>
        <v/>
      </c>
      <c r="C1281" s="67" t="str">
        <f>ASTemp!C1281</f>
        <v/>
      </c>
      <c r="D1281" s="68" t="str">
        <f>ASTemp!D1281</f>
        <v/>
      </c>
      <c r="E1281" s="65" t="str">
        <f>ASTemp!E1281</f>
        <v/>
      </c>
      <c r="F1281" s="69" t="str">
        <f>TEXT(ASTemp!F1281,Decimals)</f>
        <v/>
      </c>
      <c r="G1281" s="69" t="str">
        <f>TEXT(ASTemp!G1281,Decimals)</f>
        <v/>
      </c>
      <c r="H1281" s="69" t="str">
        <f>TEXT(ASTemp!H1281,Decimals)</f>
        <v/>
      </c>
      <c r="I1281" s="69" t="str">
        <f>TEXT(ASTemp!I1281,Decimals)</f>
        <v/>
      </c>
      <c r="J1281" s="69" t="str">
        <f>TEXT(ASTemp!J1281,Decimals)</f>
        <v/>
      </c>
      <c r="K1281" s="69" t="str">
        <f>TEXT(ASTemp!K1281,Decimals)</f>
        <v/>
      </c>
      <c r="L1281" s="69" t="str">
        <f>TEXT(ASTemp!L1281,Decimals)</f>
        <v/>
      </c>
      <c r="M1281" s="71" t="str">
        <f>TEXT(ASTemp!M1281,Percentages)</f>
        <v/>
      </c>
      <c r="N1281" s="72" t="str">
        <f>TEXT(ASTemp!N1281,Percentages)</f>
        <v/>
      </c>
    </row>
    <row r="1282" ht="14.25" customHeight="1">
      <c r="B1282" s="66" t="str">
        <f>ASTemp!B1282</f>
        <v/>
      </c>
      <c r="C1282" s="67" t="str">
        <f>ASTemp!C1282</f>
        <v/>
      </c>
      <c r="D1282" s="68" t="str">
        <f>ASTemp!D1282</f>
        <v/>
      </c>
      <c r="E1282" s="65" t="str">
        <f>ASTemp!E1282</f>
        <v/>
      </c>
      <c r="F1282" s="69" t="str">
        <f>TEXT(ASTemp!F1282,Decimals)</f>
        <v/>
      </c>
      <c r="G1282" s="69" t="str">
        <f>TEXT(ASTemp!G1282,Decimals)</f>
        <v/>
      </c>
      <c r="H1282" s="69" t="str">
        <f>TEXT(ASTemp!H1282,Decimals)</f>
        <v/>
      </c>
      <c r="I1282" s="69" t="str">
        <f>TEXT(ASTemp!I1282,Decimals)</f>
        <v/>
      </c>
      <c r="J1282" s="69" t="str">
        <f>TEXT(ASTemp!J1282,Decimals)</f>
        <v/>
      </c>
      <c r="K1282" s="69" t="str">
        <f>TEXT(ASTemp!K1282,Decimals)</f>
        <v/>
      </c>
      <c r="L1282" s="69" t="str">
        <f>TEXT(ASTemp!L1282,Decimals)</f>
        <v/>
      </c>
      <c r="M1282" s="71" t="str">
        <f>TEXT(ASTemp!M1282,Percentages)</f>
        <v/>
      </c>
      <c r="N1282" s="72" t="str">
        <f>TEXT(ASTemp!N1282,Percentages)</f>
        <v/>
      </c>
    </row>
    <row r="1283" ht="14.25" customHeight="1">
      <c r="B1283" s="66" t="str">
        <f>ASTemp!B1283</f>
        <v/>
      </c>
      <c r="C1283" s="67" t="str">
        <f>ASTemp!C1283</f>
        <v/>
      </c>
      <c r="D1283" s="68" t="str">
        <f>ASTemp!D1283</f>
        <v/>
      </c>
      <c r="E1283" s="65" t="str">
        <f>ASTemp!E1283</f>
        <v/>
      </c>
      <c r="F1283" s="69" t="str">
        <f>TEXT(ASTemp!F1283,Decimals)</f>
        <v/>
      </c>
      <c r="G1283" s="69" t="str">
        <f>TEXT(ASTemp!G1283,Decimals)</f>
        <v/>
      </c>
      <c r="H1283" s="69" t="str">
        <f>TEXT(ASTemp!H1283,Decimals)</f>
        <v/>
      </c>
      <c r="I1283" s="69" t="str">
        <f>TEXT(ASTemp!I1283,Decimals)</f>
        <v/>
      </c>
      <c r="J1283" s="69" t="str">
        <f>TEXT(ASTemp!J1283,Decimals)</f>
        <v/>
      </c>
      <c r="K1283" s="69" t="str">
        <f>TEXT(ASTemp!K1283,Decimals)</f>
        <v/>
      </c>
      <c r="L1283" s="69" t="str">
        <f>TEXT(ASTemp!L1283,Decimals)</f>
        <v/>
      </c>
      <c r="M1283" s="71" t="str">
        <f>TEXT(ASTemp!M1283,Percentages)</f>
        <v/>
      </c>
      <c r="N1283" s="72" t="str">
        <f>TEXT(ASTemp!N1283,Percentages)</f>
        <v/>
      </c>
    </row>
    <row r="1284" ht="14.25" customHeight="1">
      <c r="B1284" s="66" t="str">
        <f>ASTemp!B1284</f>
        <v/>
      </c>
      <c r="C1284" s="67" t="str">
        <f>ASTemp!C1284</f>
        <v/>
      </c>
      <c r="D1284" s="68" t="str">
        <f>ASTemp!D1284</f>
        <v/>
      </c>
      <c r="E1284" s="65" t="str">
        <f>ASTemp!E1284</f>
        <v/>
      </c>
      <c r="F1284" s="69" t="str">
        <f>TEXT(ASTemp!F1284,Decimals)</f>
        <v/>
      </c>
      <c r="G1284" s="69" t="str">
        <f>TEXT(ASTemp!G1284,Decimals)</f>
        <v/>
      </c>
      <c r="H1284" s="69" t="str">
        <f>TEXT(ASTemp!H1284,Decimals)</f>
        <v/>
      </c>
      <c r="I1284" s="69" t="str">
        <f>TEXT(ASTemp!I1284,Decimals)</f>
        <v/>
      </c>
      <c r="J1284" s="69" t="str">
        <f>TEXT(ASTemp!J1284,Decimals)</f>
        <v/>
      </c>
      <c r="K1284" s="69" t="str">
        <f>TEXT(ASTemp!K1284,Decimals)</f>
        <v/>
      </c>
      <c r="L1284" s="69" t="str">
        <f>TEXT(ASTemp!L1284,Decimals)</f>
        <v/>
      </c>
      <c r="M1284" s="71" t="str">
        <f>TEXT(ASTemp!M1284,Percentages)</f>
        <v/>
      </c>
      <c r="N1284" s="72" t="str">
        <f>TEXT(ASTemp!N1284,Percentages)</f>
        <v/>
      </c>
    </row>
    <row r="1285" ht="14.25" customHeight="1">
      <c r="B1285" s="66" t="str">
        <f>ASTemp!B1285</f>
        <v/>
      </c>
      <c r="C1285" s="67" t="str">
        <f>ASTemp!C1285</f>
        <v/>
      </c>
      <c r="D1285" s="68" t="str">
        <f>ASTemp!D1285</f>
        <v/>
      </c>
      <c r="E1285" s="65" t="str">
        <f>ASTemp!E1285</f>
        <v/>
      </c>
      <c r="F1285" s="69" t="str">
        <f>TEXT(ASTemp!F1285,Decimals)</f>
        <v/>
      </c>
      <c r="G1285" s="69" t="str">
        <f>TEXT(ASTemp!G1285,Decimals)</f>
        <v/>
      </c>
      <c r="H1285" s="69" t="str">
        <f>TEXT(ASTemp!H1285,Decimals)</f>
        <v/>
      </c>
      <c r="I1285" s="69" t="str">
        <f>TEXT(ASTemp!I1285,Decimals)</f>
        <v/>
      </c>
      <c r="J1285" s="69" t="str">
        <f>TEXT(ASTemp!J1285,Decimals)</f>
        <v/>
      </c>
      <c r="K1285" s="69" t="str">
        <f>TEXT(ASTemp!K1285,Decimals)</f>
        <v/>
      </c>
      <c r="L1285" s="69" t="str">
        <f>TEXT(ASTemp!L1285,Decimals)</f>
        <v/>
      </c>
      <c r="M1285" s="71" t="str">
        <f>TEXT(ASTemp!M1285,Percentages)</f>
        <v/>
      </c>
      <c r="N1285" s="72" t="str">
        <f>TEXT(ASTemp!N1285,Percentages)</f>
        <v/>
      </c>
    </row>
    <row r="1286" ht="14.25" customHeight="1">
      <c r="B1286" s="66" t="str">
        <f>ASTemp!B1286</f>
        <v/>
      </c>
      <c r="C1286" s="67" t="str">
        <f>ASTemp!C1286</f>
        <v/>
      </c>
      <c r="D1286" s="68" t="str">
        <f>ASTemp!D1286</f>
        <v/>
      </c>
      <c r="E1286" s="65" t="str">
        <f>ASTemp!E1286</f>
        <v/>
      </c>
      <c r="F1286" s="69" t="str">
        <f>TEXT(ASTemp!F1286,Decimals)</f>
        <v/>
      </c>
      <c r="G1286" s="69" t="str">
        <f>TEXT(ASTemp!G1286,Decimals)</f>
        <v/>
      </c>
      <c r="H1286" s="69" t="str">
        <f>TEXT(ASTemp!H1286,Decimals)</f>
        <v/>
      </c>
      <c r="I1286" s="69" t="str">
        <f>TEXT(ASTemp!I1286,Decimals)</f>
        <v/>
      </c>
      <c r="J1286" s="69" t="str">
        <f>TEXT(ASTemp!J1286,Decimals)</f>
        <v/>
      </c>
      <c r="K1286" s="69" t="str">
        <f>TEXT(ASTemp!K1286,Decimals)</f>
        <v/>
      </c>
      <c r="L1286" s="69" t="str">
        <f>TEXT(ASTemp!L1286,Decimals)</f>
        <v/>
      </c>
      <c r="M1286" s="71" t="str">
        <f>TEXT(ASTemp!M1286,Percentages)</f>
        <v/>
      </c>
      <c r="N1286" s="72" t="str">
        <f>TEXT(ASTemp!N1286,Percentages)</f>
        <v/>
      </c>
    </row>
    <row r="1287" ht="14.25" customHeight="1">
      <c r="B1287" s="66" t="str">
        <f>ASTemp!B1287</f>
        <v/>
      </c>
      <c r="C1287" s="67" t="str">
        <f>ASTemp!C1287</f>
        <v/>
      </c>
      <c r="D1287" s="68" t="str">
        <f>ASTemp!D1287</f>
        <v/>
      </c>
      <c r="E1287" s="65" t="str">
        <f>ASTemp!E1287</f>
        <v/>
      </c>
      <c r="F1287" s="69" t="str">
        <f>TEXT(ASTemp!F1287,Decimals)</f>
        <v/>
      </c>
      <c r="G1287" s="69" t="str">
        <f>TEXT(ASTemp!G1287,Decimals)</f>
        <v/>
      </c>
      <c r="H1287" s="69" t="str">
        <f>TEXT(ASTemp!H1287,Decimals)</f>
        <v/>
      </c>
      <c r="I1287" s="69" t="str">
        <f>TEXT(ASTemp!I1287,Decimals)</f>
        <v/>
      </c>
      <c r="J1287" s="69" t="str">
        <f>TEXT(ASTemp!J1287,Decimals)</f>
        <v/>
      </c>
      <c r="K1287" s="69" t="str">
        <f>TEXT(ASTemp!K1287,Decimals)</f>
        <v/>
      </c>
      <c r="L1287" s="69" t="str">
        <f>TEXT(ASTemp!L1287,Decimals)</f>
        <v/>
      </c>
      <c r="M1287" s="71" t="str">
        <f>TEXT(ASTemp!M1287,Percentages)</f>
        <v/>
      </c>
      <c r="N1287" s="72" t="str">
        <f>TEXT(ASTemp!N1287,Percentages)</f>
        <v/>
      </c>
    </row>
    <row r="1288" ht="14.25" customHeight="1">
      <c r="B1288" s="66" t="str">
        <f>ASTemp!B1288</f>
        <v/>
      </c>
      <c r="C1288" s="67" t="str">
        <f>ASTemp!C1288</f>
        <v/>
      </c>
      <c r="D1288" s="68" t="str">
        <f>ASTemp!D1288</f>
        <v/>
      </c>
      <c r="E1288" s="65" t="str">
        <f>ASTemp!E1288</f>
        <v/>
      </c>
      <c r="F1288" s="69" t="str">
        <f>TEXT(ASTemp!F1288,Decimals)</f>
        <v/>
      </c>
      <c r="G1288" s="69" t="str">
        <f>TEXT(ASTemp!G1288,Decimals)</f>
        <v/>
      </c>
      <c r="H1288" s="69" t="str">
        <f>TEXT(ASTemp!H1288,Decimals)</f>
        <v/>
      </c>
      <c r="I1288" s="69" t="str">
        <f>TEXT(ASTemp!I1288,Decimals)</f>
        <v/>
      </c>
      <c r="J1288" s="69" t="str">
        <f>TEXT(ASTemp!J1288,Decimals)</f>
        <v/>
      </c>
      <c r="K1288" s="69" t="str">
        <f>TEXT(ASTemp!K1288,Decimals)</f>
        <v/>
      </c>
      <c r="L1288" s="69" t="str">
        <f>TEXT(ASTemp!L1288,Decimals)</f>
        <v/>
      </c>
      <c r="M1288" s="71" t="str">
        <f>TEXT(ASTemp!M1288,Percentages)</f>
        <v/>
      </c>
      <c r="N1288" s="72" t="str">
        <f>TEXT(ASTemp!N1288,Percentages)</f>
        <v/>
      </c>
    </row>
    <row r="1289" ht="14.25" customHeight="1">
      <c r="B1289" s="66" t="str">
        <f>ASTemp!B1289</f>
        <v/>
      </c>
      <c r="C1289" s="67" t="str">
        <f>ASTemp!C1289</f>
        <v/>
      </c>
      <c r="D1289" s="68" t="str">
        <f>ASTemp!D1289</f>
        <v/>
      </c>
      <c r="E1289" s="65" t="str">
        <f>ASTemp!E1289</f>
        <v/>
      </c>
      <c r="F1289" s="69" t="str">
        <f>TEXT(ASTemp!F1289,Decimals)</f>
        <v/>
      </c>
      <c r="G1289" s="69" t="str">
        <f>TEXT(ASTemp!G1289,Decimals)</f>
        <v/>
      </c>
      <c r="H1289" s="69" t="str">
        <f>TEXT(ASTemp!H1289,Decimals)</f>
        <v/>
      </c>
      <c r="I1289" s="69" t="str">
        <f>TEXT(ASTemp!I1289,Decimals)</f>
        <v/>
      </c>
      <c r="J1289" s="69" t="str">
        <f>TEXT(ASTemp!J1289,Decimals)</f>
        <v/>
      </c>
      <c r="K1289" s="69" t="str">
        <f>TEXT(ASTemp!K1289,Decimals)</f>
        <v/>
      </c>
      <c r="L1289" s="69" t="str">
        <f>TEXT(ASTemp!L1289,Decimals)</f>
        <v/>
      </c>
      <c r="M1289" s="71" t="str">
        <f>TEXT(ASTemp!M1289,Percentages)</f>
        <v/>
      </c>
      <c r="N1289" s="72" t="str">
        <f>TEXT(ASTemp!N1289,Percentages)</f>
        <v/>
      </c>
    </row>
    <row r="1290" ht="14.25" customHeight="1">
      <c r="B1290" s="66" t="str">
        <f>ASTemp!B1290</f>
        <v/>
      </c>
      <c r="C1290" s="67" t="str">
        <f>ASTemp!C1290</f>
        <v/>
      </c>
      <c r="D1290" s="68" t="str">
        <f>ASTemp!D1290</f>
        <v/>
      </c>
      <c r="E1290" s="65" t="str">
        <f>ASTemp!E1290</f>
        <v/>
      </c>
      <c r="F1290" s="69" t="str">
        <f>TEXT(ASTemp!F1290,Decimals)</f>
        <v/>
      </c>
      <c r="G1290" s="69" t="str">
        <f>TEXT(ASTemp!G1290,Decimals)</f>
        <v/>
      </c>
      <c r="H1290" s="69" t="str">
        <f>TEXT(ASTemp!H1290,Decimals)</f>
        <v/>
      </c>
      <c r="I1290" s="69" t="str">
        <f>TEXT(ASTemp!I1290,Decimals)</f>
        <v/>
      </c>
      <c r="J1290" s="69" t="str">
        <f>TEXT(ASTemp!J1290,Decimals)</f>
        <v/>
      </c>
      <c r="K1290" s="69" t="str">
        <f>TEXT(ASTemp!K1290,Decimals)</f>
        <v/>
      </c>
      <c r="L1290" s="69" t="str">
        <f>TEXT(ASTemp!L1290,Decimals)</f>
        <v/>
      </c>
      <c r="M1290" s="71" t="str">
        <f>TEXT(ASTemp!M1290,Percentages)</f>
        <v/>
      </c>
      <c r="N1290" s="72" t="str">
        <f>TEXT(ASTemp!N1290,Percentages)</f>
        <v/>
      </c>
    </row>
    <row r="1291" ht="14.25" customHeight="1">
      <c r="B1291" s="66" t="str">
        <f>ASTemp!B1291</f>
        <v/>
      </c>
      <c r="C1291" s="67" t="str">
        <f>ASTemp!C1291</f>
        <v/>
      </c>
      <c r="D1291" s="68" t="str">
        <f>ASTemp!D1291</f>
        <v/>
      </c>
      <c r="E1291" s="65" t="str">
        <f>ASTemp!E1291</f>
        <v/>
      </c>
      <c r="F1291" s="69" t="str">
        <f>TEXT(ASTemp!F1291,Decimals)</f>
        <v/>
      </c>
      <c r="G1291" s="69" t="str">
        <f>TEXT(ASTemp!G1291,Decimals)</f>
        <v/>
      </c>
      <c r="H1291" s="69" t="str">
        <f>TEXT(ASTemp!H1291,Decimals)</f>
        <v/>
      </c>
      <c r="I1291" s="69" t="str">
        <f>TEXT(ASTemp!I1291,Decimals)</f>
        <v/>
      </c>
      <c r="J1291" s="69" t="str">
        <f>TEXT(ASTemp!J1291,Decimals)</f>
        <v/>
      </c>
      <c r="K1291" s="69" t="str">
        <f>TEXT(ASTemp!K1291,Decimals)</f>
        <v/>
      </c>
      <c r="L1291" s="69" t="str">
        <f>TEXT(ASTemp!L1291,Decimals)</f>
        <v/>
      </c>
      <c r="M1291" s="71" t="str">
        <f>TEXT(ASTemp!M1291,Percentages)</f>
        <v/>
      </c>
      <c r="N1291" s="72" t="str">
        <f>TEXT(ASTemp!N1291,Percentages)</f>
        <v/>
      </c>
    </row>
    <row r="1292" ht="14.25" customHeight="1">
      <c r="B1292" s="66" t="str">
        <f>ASTemp!B1292</f>
        <v/>
      </c>
      <c r="C1292" s="67" t="str">
        <f>ASTemp!C1292</f>
        <v/>
      </c>
      <c r="D1292" s="68" t="str">
        <f>ASTemp!D1292</f>
        <v/>
      </c>
      <c r="E1292" s="65" t="str">
        <f>ASTemp!E1292</f>
        <v/>
      </c>
      <c r="F1292" s="69" t="str">
        <f>TEXT(ASTemp!F1292,Decimals)</f>
        <v/>
      </c>
      <c r="G1292" s="69" t="str">
        <f>TEXT(ASTemp!G1292,Decimals)</f>
        <v/>
      </c>
      <c r="H1292" s="69" t="str">
        <f>TEXT(ASTemp!H1292,Decimals)</f>
        <v/>
      </c>
      <c r="I1292" s="69" t="str">
        <f>TEXT(ASTemp!I1292,Decimals)</f>
        <v/>
      </c>
      <c r="J1292" s="69" t="str">
        <f>TEXT(ASTemp!J1292,Decimals)</f>
        <v/>
      </c>
      <c r="K1292" s="69" t="str">
        <f>TEXT(ASTemp!K1292,Decimals)</f>
        <v/>
      </c>
      <c r="L1292" s="69" t="str">
        <f>TEXT(ASTemp!L1292,Decimals)</f>
        <v/>
      </c>
      <c r="M1292" s="71" t="str">
        <f>TEXT(ASTemp!M1292,Percentages)</f>
        <v/>
      </c>
      <c r="N1292" s="72" t="str">
        <f>TEXT(ASTemp!N1292,Percentages)</f>
        <v/>
      </c>
    </row>
    <row r="1293" ht="14.25" customHeight="1">
      <c r="B1293" s="66" t="str">
        <f>ASTemp!B1293</f>
        <v/>
      </c>
      <c r="C1293" s="67" t="str">
        <f>ASTemp!C1293</f>
        <v/>
      </c>
      <c r="D1293" s="68" t="str">
        <f>ASTemp!D1293</f>
        <v/>
      </c>
      <c r="E1293" s="65" t="str">
        <f>ASTemp!E1293</f>
        <v/>
      </c>
      <c r="F1293" s="69" t="str">
        <f>TEXT(ASTemp!F1293,Decimals)</f>
        <v/>
      </c>
      <c r="G1293" s="69" t="str">
        <f>TEXT(ASTemp!G1293,Decimals)</f>
        <v/>
      </c>
      <c r="H1293" s="69" t="str">
        <f>TEXT(ASTemp!H1293,Decimals)</f>
        <v/>
      </c>
      <c r="I1293" s="69" t="str">
        <f>TEXT(ASTemp!I1293,Decimals)</f>
        <v/>
      </c>
      <c r="J1293" s="69" t="str">
        <f>TEXT(ASTemp!J1293,Decimals)</f>
        <v/>
      </c>
      <c r="K1293" s="69" t="str">
        <f>TEXT(ASTemp!K1293,Decimals)</f>
        <v/>
      </c>
      <c r="L1293" s="69" t="str">
        <f>TEXT(ASTemp!L1293,Decimals)</f>
        <v/>
      </c>
      <c r="M1293" s="71" t="str">
        <f>TEXT(ASTemp!M1293,Percentages)</f>
        <v/>
      </c>
      <c r="N1293" s="72" t="str">
        <f>TEXT(ASTemp!N1293,Percentages)</f>
        <v/>
      </c>
    </row>
    <row r="1294" ht="14.25" customHeight="1">
      <c r="B1294" s="66" t="str">
        <f>ASTemp!B1294</f>
        <v/>
      </c>
      <c r="C1294" s="67" t="str">
        <f>ASTemp!C1294</f>
        <v/>
      </c>
      <c r="D1294" s="68" t="str">
        <f>ASTemp!D1294</f>
        <v/>
      </c>
      <c r="E1294" s="65" t="str">
        <f>ASTemp!E1294</f>
        <v/>
      </c>
      <c r="F1294" s="69" t="str">
        <f>TEXT(ASTemp!F1294,Decimals)</f>
        <v/>
      </c>
      <c r="G1294" s="69" t="str">
        <f>TEXT(ASTemp!G1294,Decimals)</f>
        <v/>
      </c>
      <c r="H1294" s="69" t="str">
        <f>TEXT(ASTemp!H1294,Decimals)</f>
        <v/>
      </c>
      <c r="I1294" s="69" t="str">
        <f>TEXT(ASTemp!I1294,Decimals)</f>
        <v/>
      </c>
      <c r="J1294" s="69" t="str">
        <f>TEXT(ASTemp!J1294,Decimals)</f>
        <v/>
      </c>
      <c r="K1294" s="69" t="str">
        <f>TEXT(ASTemp!K1294,Decimals)</f>
        <v/>
      </c>
      <c r="L1294" s="69" t="str">
        <f>TEXT(ASTemp!L1294,Decimals)</f>
        <v/>
      </c>
      <c r="M1294" s="71" t="str">
        <f>TEXT(ASTemp!M1294,Percentages)</f>
        <v/>
      </c>
      <c r="N1294" s="72" t="str">
        <f>TEXT(ASTemp!N1294,Percentages)</f>
        <v/>
      </c>
    </row>
    <row r="1295" ht="14.25" customHeight="1">
      <c r="B1295" s="66" t="str">
        <f>ASTemp!B1295</f>
        <v/>
      </c>
      <c r="C1295" s="67" t="str">
        <f>ASTemp!C1295</f>
        <v/>
      </c>
      <c r="D1295" s="68" t="str">
        <f>ASTemp!D1295</f>
        <v/>
      </c>
      <c r="E1295" s="65" t="str">
        <f>ASTemp!E1295</f>
        <v/>
      </c>
      <c r="F1295" s="69" t="str">
        <f>TEXT(ASTemp!F1295,Decimals)</f>
        <v/>
      </c>
      <c r="G1295" s="69" t="str">
        <f>TEXT(ASTemp!G1295,Decimals)</f>
        <v/>
      </c>
      <c r="H1295" s="69" t="str">
        <f>TEXT(ASTemp!H1295,Decimals)</f>
        <v/>
      </c>
      <c r="I1295" s="69" t="str">
        <f>TEXT(ASTemp!I1295,Decimals)</f>
        <v/>
      </c>
      <c r="J1295" s="69" t="str">
        <f>TEXT(ASTemp!J1295,Decimals)</f>
        <v/>
      </c>
      <c r="K1295" s="69" t="str">
        <f>TEXT(ASTemp!K1295,Decimals)</f>
        <v/>
      </c>
      <c r="L1295" s="69" t="str">
        <f>TEXT(ASTemp!L1295,Decimals)</f>
        <v/>
      </c>
      <c r="M1295" s="71" t="str">
        <f>TEXT(ASTemp!M1295,Percentages)</f>
        <v/>
      </c>
      <c r="N1295" s="72" t="str">
        <f>TEXT(ASTemp!N1295,Percentages)</f>
        <v/>
      </c>
    </row>
    <row r="1296" ht="14.25" customHeight="1">
      <c r="B1296" s="66" t="str">
        <f>ASTemp!B1296</f>
        <v/>
      </c>
      <c r="C1296" s="67" t="str">
        <f>ASTemp!C1296</f>
        <v/>
      </c>
      <c r="D1296" s="68" t="str">
        <f>ASTemp!D1296</f>
        <v/>
      </c>
      <c r="E1296" s="65" t="str">
        <f>ASTemp!E1296</f>
        <v/>
      </c>
      <c r="F1296" s="69" t="str">
        <f>TEXT(ASTemp!F1296,Decimals)</f>
        <v/>
      </c>
      <c r="G1296" s="69" t="str">
        <f>TEXT(ASTemp!G1296,Decimals)</f>
        <v/>
      </c>
      <c r="H1296" s="69" t="str">
        <f>TEXT(ASTemp!H1296,Decimals)</f>
        <v/>
      </c>
      <c r="I1296" s="69" t="str">
        <f>TEXT(ASTemp!I1296,Decimals)</f>
        <v/>
      </c>
      <c r="J1296" s="69" t="str">
        <f>TEXT(ASTemp!J1296,Decimals)</f>
        <v/>
      </c>
      <c r="K1296" s="69" t="str">
        <f>TEXT(ASTemp!K1296,Decimals)</f>
        <v/>
      </c>
      <c r="L1296" s="69" t="str">
        <f>TEXT(ASTemp!L1296,Decimals)</f>
        <v/>
      </c>
      <c r="M1296" s="71" t="str">
        <f>TEXT(ASTemp!M1296,Percentages)</f>
        <v/>
      </c>
      <c r="N1296" s="72" t="str">
        <f>TEXT(ASTemp!N1296,Percentages)</f>
        <v/>
      </c>
    </row>
    <row r="1297" ht="14.25" customHeight="1">
      <c r="B1297" s="66" t="str">
        <f>ASTemp!B1297</f>
        <v/>
      </c>
      <c r="C1297" s="67" t="str">
        <f>ASTemp!C1297</f>
        <v/>
      </c>
      <c r="D1297" s="68" t="str">
        <f>ASTemp!D1297</f>
        <v/>
      </c>
      <c r="E1297" s="65" t="str">
        <f>ASTemp!E1297</f>
        <v/>
      </c>
      <c r="F1297" s="69" t="str">
        <f>TEXT(ASTemp!F1297,Decimals)</f>
        <v/>
      </c>
      <c r="G1297" s="69" t="str">
        <f>TEXT(ASTemp!G1297,Decimals)</f>
        <v/>
      </c>
      <c r="H1297" s="69" t="str">
        <f>TEXT(ASTemp!H1297,Decimals)</f>
        <v/>
      </c>
      <c r="I1297" s="69" t="str">
        <f>TEXT(ASTemp!I1297,Decimals)</f>
        <v/>
      </c>
      <c r="J1297" s="69" t="str">
        <f>TEXT(ASTemp!J1297,Decimals)</f>
        <v/>
      </c>
      <c r="K1297" s="69" t="str">
        <f>TEXT(ASTemp!K1297,Decimals)</f>
        <v/>
      </c>
      <c r="L1297" s="69" t="str">
        <f>TEXT(ASTemp!L1297,Decimals)</f>
        <v/>
      </c>
      <c r="M1297" s="71" t="str">
        <f>TEXT(ASTemp!M1297,Percentages)</f>
        <v/>
      </c>
      <c r="N1297" s="72" t="str">
        <f>TEXT(ASTemp!N1297,Percentages)</f>
        <v/>
      </c>
    </row>
    <row r="1298" ht="14.25" customHeight="1">
      <c r="B1298" s="66" t="str">
        <f>ASTemp!B1298</f>
        <v/>
      </c>
      <c r="C1298" s="67" t="str">
        <f>ASTemp!C1298</f>
        <v/>
      </c>
      <c r="D1298" s="68" t="str">
        <f>ASTemp!D1298</f>
        <v/>
      </c>
      <c r="E1298" s="65" t="str">
        <f>ASTemp!E1298</f>
        <v/>
      </c>
      <c r="F1298" s="69" t="str">
        <f>TEXT(ASTemp!F1298,Decimals)</f>
        <v/>
      </c>
      <c r="G1298" s="69" t="str">
        <f>TEXT(ASTemp!G1298,Decimals)</f>
        <v/>
      </c>
      <c r="H1298" s="69" t="str">
        <f>TEXT(ASTemp!H1298,Decimals)</f>
        <v/>
      </c>
      <c r="I1298" s="69" t="str">
        <f>TEXT(ASTemp!I1298,Decimals)</f>
        <v/>
      </c>
      <c r="J1298" s="69" t="str">
        <f>TEXT(ASTemp!J1298,Decimals)</f>
        <v/>
      </c>
      <c r="K1298" s="69" t="str">
        <f>TEXT(ASTemp!K1298,Decimals)</f>
        <v/>
      </c>
      <c r="L1298" s="69" t="str">
        <f>TEXT(ASTemp!L1298,Decimals)</f>
        <v/>
      </c>
      <c r="M1298" s="71" t="str">
        <f>TEXT(ASTemp!M1298,Percentages)</f>
        <v/>
      </c>
      <c r="N1298" s="72" t="str">
        <f>TEXT(ASTemp!N1298,Percentages)</f>
        <v/>
      </c>
    </row>
    <row r="1299" ht="14.25" customHeight="1">
      <c r="B1299" s="66" t="str">
        <f>ASTemp!B1299</f>
        <v/>
      </c>
      <c r="C1299" s="67" t="str">
        <f>ASTemp!C1299</f>
        <v/>
      </c>
      <c r="D1299" s="68" t="str">
        <f>ASTemp!D1299</f>
        <v/>
      </c>
      <c r="E1299" s="65" t="str">
        <f>ASTemp!E1299</f>
        <v/>
      </c>
      <c r="F1299" s="69" t="str">
        <f>TEXT(ASTemp!F1299,Decimals)</f>
        <v/>
      </c>
      <c r="G1299" s="69" t="str">
        <f>TEXT(ASTemp!G1299,Decimals)</f>
        <v/>
      </c>
      <c r="H1299" s="69" t="str">
        <f>TEXT(ASTemp!H1299,Decimals)</f>
        <v/>
      </c>
      <c r="I1299" s="69" t="str">
        <f>TEXT(ASTemp!I1299,Decimals)</f>
        <v/>
      </c>
      <c r="J1299" s="69" t="str">
        <f>TEXT(ASTemp!J1299,Decimals)</f>
        <v/>
      </c>
      <c r="K1299" s="69" t="str">
        <f>TEXT(ASTemp!K1299,Decimals)</f>
        <v/>
      </c>
      <c r="L1299" s="69" t="str">
        <f>TEXT(ASTemp!L1299,Decimals)</f>
        <v/>
      </c>
      <c r="M1299" s="71" t="str">
        <f>TEXT(ASTemp!M1299,Percentages)</f>
        <v/>
      </c>
      <c r="N1299" s="72" t="str">
        <f>TEXT(ASTemp!N1299,Percentages)</f>
        <v/>
      </c>
    </row>
    <row r="1300" ht="14.25" customHeight="1">
      <c r="B1300" s="66" t="str">
        <f>ASTemp!B1300</f>
        <v/>
      </c>
      <c r="C1300" s="67" t="str">
        <f>ASTemp!C1300</f>
        <v/>
      </c>
      <c r="D1300" s="68" t="str">
        <f>ASTemp!D1300</f>
        <v/>
      </c>
      <c r="E1300" s="65" t="str">
        <f>ASTemp!E1300</f>
        <v/>
      </c>
      <c r="F1300" s="69" t="str">
        <f>TEXT(ASTemp!F1300,Decimals)</f>
        <v/>
      </c>
      <c r="G1300" s="69" t="str">
        <f>TEXT(ASTemp!G1300,Decimals)</f>
        <v/>
      </c>
      <c r="H1300" s="69" t="str">
        <f>TEXT(ASTemp!H1300,Decimals)</f>
        <v/>
      </c>
      <c r="I1300" s="69" t="str">
        <f>TEXT(ASTemp!I1300,Decimals)</f>
        <v/>
      </c>
      <c r="J1300" s="69" t="str">
        <f>TEXT(ASTemp!J1300,Decimals)</f>
        <v/>
      </c>
      <c r="K1300" s="69" t="str">
        <f>TEXT(ASTemp!K1300,Decimals)</f>
        <v/>
      </c>
      <c r="L1300" s="69" t="str">
        <f>TEXT(ASTemp!L1300,Decimals)</f>
        <v/>
      </c>
      <c r="M1300" s="71" t="str">
        <f>TEXT(ASTemp!M1300,Percentages)</f>
        <v/>
      </c>
      <c r="N1300" s="72" t="str">
        <f>TEXT(ASTemp!N1300,Percentages)</f>
        <v/>
      </c>
    </row>
    <row r="1301" ht="14.25" customHeight="1">
      <c r="B1301" s="66" t="str">
        <f>ASTemp!B1301</f>
        <v/>
      </c>
      <c r="C1301" s="67" t="str">
        <f>ASTemp!C1301</f>
        <v/>
      </c>
      <c r="D1301" s="68" t="str">
        <f>ASTemp!D1301</f>
        <v/>
      </c>
      <c r="E1301" s="65" t="str">
        <f>ASTemp!E1301</f>
        <v/>
      </c>
      <c r="F1301" s="69" t="str">
        <f>TEXT(ASTemp!F1301,Decimals)</f>
        <v/>
      </c>
      <c r="G1301" s="69" t="str">
        <f>TEXT(ASTemp!G1301,Decimals)</f>
        <v/>
      </c>
      <c r="H1301" s="69" t="str">
        <f>TEXT(ASTemp!H1301,Decimals)</f>
        <v/>
      </c>
      <c r="I1301" s="69" t="str">
        <f>TEXT(ASTemp!I1301,Decimals)</f>
        <v/>
      </c>
      <c r="J1301" s="69" t="str">
        <f>TEXT(ASTemp!J1301,Decimals)</f>
        <v/>
      </c>
      <c r="K1301" s="69" t="str">
        <f>TEXT(ASTemp!K1301,Decimals)</f>
        <v/>
      </c>
      <c r="L1301" s="69" t="str">
        <f>TEXT(ASTemp!L1301,Decimals)</f>
        <v/>
      </c>
      <c r="M1301" s="71" t="str">
        <f>TEXT(ASTemp!M1301,Percentages)</f>
        <v/>
      </c>
      <c r="N1301" s="72" t="str">
        <f>TEXT(ASTemp!N1301,Percentages)</f>
        <v/>
      </c>
    </row>
    <row r="1302" ht="14.25" customHeight="1">
      <c r="B1302" s="66" t="str">
        <f>ASTemp!B1302</f>
        <v/>
      </c>
      <c r="C1302" s="67" t="str">
        <f>ASTemp!C1302</f>
        <v/>
      </c>
      <c r="D1302" s="68" t="str">
        <f>ASTemp!D1302</f>
        <v/>
      </c>
      <c r="E1302" s="65" t="str">
        <f>ASTemp!E1302</f>
        <v/>
      </c>
      <c r="F1302" s="69" t="str">
        <f>TEXT(ASTemp!F1302,Decimals)</f>
        <v/>
      </c>
      <c r="G1302" s="69" t="str">
        <f>TEXT(ASTemp!G1302,Decimals)</f>
        <v/>
      </c>
      <c r="H1302" s="69" t="str">
        <f>TEXT(ASTemp!H1302,Decimals)</f>
        <v/>
      </c>
      <c r="I1302" s="69" t="str">
        <f>TEXT(ASTemp!I1302,Decimals)</f>
        <v/>
      </c>
      <c r="J1302" s="69" t="str">
        <f>TEXT(ASTemp!J1302,Decimals)</f>
        <v/>
      </c>
      <c r="K1302" s="69" t="str">
        <f>TEXT(ASTemp!K1302,Decimals)</f>
        <v/>
      </c>
      <c r="L1302" s="69" t="str">
        <f>TEXT(ASTemp!L1302,Decimals)</f>
        <v/>
      </c>
      <c r="M1302" s="71" t="str">
        <f>TEXT(ASTemp!M1302,Percentages)</f>
        <v/>
      </c>
      <c r="N1302" s="72" t="str">
        <f>TEXT(ASTemp!N1302,Percentages)</f>
        <v/>
      </c>
    </row>
    <row r="1303" ht="14.25" customHeight="1">
      <c r="B1303" s="66" t="str">
        <f>ASTemp!B1303</f>
        <v/>
      </c>
      <c r="C1303" s="67" t="str">
        <f>ASTemp!C1303</f>
        <v/>
      </c>
      <c r="D1303" s="68" t="str">
        <f>ASTemp!D1303</f>
        <v/>
      </c>
      <c r="E1303" s="65" t="str">
        <f>ASTemp!E1303</f>
        <v/>
      </c>
      <c r="F1303" s="69" t="str">
        <f>TEXT(ASTemp!F1303,Decimals)</f>
        <v/>
      </c>
      <c r="G1303" s="69" t="str">
        <f>TEXT(ASTemp!G1303,Decimals)</f>
        <v/>
      </c>
      <c r="H1303" s="69" t="str">
        <f>TEXT(ASTemp!H1303,Decimals)</f>
        <v/>
      </c>
      <c r="I1303" s="69" t="str">
        <f>TEXT(ASTemp!I1303,Decimals)</f>
        <v/>
      </c>
      <c r="J1303" s="69" t="str">
        <f>TEXT(ASTemp!J1303,Decimals)</f>
        <v/>
      </c>
      <c r="K1303" s="69" t="str">
        <f>TEXT(ASTemp!K1303,Decimals)</f>
        <v/>
      </c>
      <c r="L1303" s="69" t="str">
        <f>TEXT(ASTemp!L1303,Decimals)</f>
        <v/>
      </c>
      <c r="M1303" s="71" t="str">
        <f>TEXT(ASTemp!M1303,Percentages)</f>
        <v/>
      </c>
      <c r="N1303" s="72" t="str">
        <f>TEXT(ASTemp!N1303,Percentages)</f>
        <v/>
      </c>
    </row>
    <row r="1304" ht="14.25" customHeight="1">
      <c r="B1304" s="66" t="str">
        <f>ASTemp!B1304</f>
        <v/>
      </c>
      <c r="C1304" s="67" t="str">
        <f>ASTemp!C1304</f>
        <v/>
      </c>
      <c r="D1304" s="68" t="str">
        <f>ASTemp!D1304</f>
        <v/>
      </c>
      <c r="E1304" s="65" t="str">
        <f>ASTemp!E1304</f>
        <v/>
      </c>
      <c r="F1304" s="69" t="str">
        <f>TEXT(ASTemp!F1304,Decimals)</f>
        <v/>
      </c>
      <c r="G1304" s="69" t="str">
        <f>TEXT(ASTemp!G1304,Decimals)</f>
        <v/>
      </c>
      <c r="H1304" s="69" t="str">
        <f>TEXT(ASTemp!H1304,Decimals)</f>
        <v/>
      </c>
      <c r="I1304" s="69" t="str">
        <f>TEXT(ASTemp!I1304,Decimals)</f>
        <v/>
      </c>
      <c r="J1304" s="69" t="str">
        <f>TEXT(ASTemp!J1304,Decimals)</f>
        <v/>
      </c>
      <c r="K1304" s="69" t="str">
        <f>TEXT(ASTemp!K1304,Decimals)</f>
        <v/>
      </c>
      <c r="L1304" s="69" t="str">
        <f>TEXT(ASTemp!L1304,Decimals)</f>
        <v/>
      </c>
      <c r="M1304" s="71" t="str">
        <f>TEXT(ASTemp!M1304,Percentages)</f>
        <v/>
      </c>
      <c r="N1304" s="72" t="str">
        <f>TEXT(ASTemp!N1304,Percentages)</f>
        <v/>
      </c>
    </row>
    <row r="1305" ht="14.25" customHeight="1">
      <c r="B1305" s="66" t="str">
        <f>ASTemp!B1305</f>
        <v/>
      </c>
      <c r="C1305" s="67" t="str">
        <f>ASTemp!C1305</f>
        <v/>
      </c>
      <c r="D1305" s="68" t="str">
        <f>ASTemp!D1305</f>
        <v/>
      </c>
      <c r="E1305" s="65" t="str">
        <f>ASTemp!E1305</f>
        <v/>
      </c>
      <c r="F1305" s="69" t="str">
        <f>TEXT(ASTemp!F1305,Decimals)</f>
        <v/>
      </c>
      <c r="G1305" s="69" t="str">
        <f>TEXT(ASTemp!G1305,Decimals)</f>
        <v/>
      </c>
      <c r="H1305" s="69" t="str">
        <f>TEXT(ASTemp!H1305,Decimals)</f>
        <v/>
      </c>
      <c r="I1305" s="69" t="str">
        <f>TEXT(ASTemp!I1305,Decimals)</f>
        <v/>
      </c>
      <c r="J1305" s="69" t="str">
        <f>TEXT(ASTemp!J1305,Decimals)</f>
        <v/>
      </c>
      <c r="K1305" s="69" t="str">
        <f>TEXT(ASTemp!K1305,Decimals)</f>
        <v/>
      </c>
      <c r="L1305" s="69" t="str">
        <f>TEXT(ASTemp!L1305,Decimals)</f>
        <v/>
      </c>
      <c r="M1305" s="71" t="str">
        <f>TEXT(ASTemp!M1305,Percentages)</f>
        <v/>
      </c>
      <c r="N1305" s="72" t="str">
        <f>TEXT(ASTemp!N1305,Percentages)</f>
        <v/>
      </c>
    </row>
    <row r="1306" ht="14.25" customHeight="1">
      <c r="B1306" s="66" t="str">
        <f>ASTemp!B1306</f>
        <v/>
      </c>
      <c r="C1306" s="67" t="str">
        <f>ASTemp!C1306</f>
        <v/>
      </c>
      <c r="D1306" s="68" t="str">
        <f>ASTemp!D1306</f>
        <v/>
      </c>
      <c r="E1306" s="65" t="str">
        <f>ASTemp!E1306</f>
        <v/>
      </c>
      <c r="F1306" s="69" t="str">
        <f>TEXT(ASTemp!F1306,Decimals)</f>
        <v/>
      </c>
      <c r="G1306" s="69" t="str">
        <f>TEXT(ASTemp!G1306,Decimals)</f>
        <v/>
      </c>
      <c r="H1306" s="69" t="str">
        <f>TEXT(ASTemp!H1306,Decimals)</f>
        <v/>
      </c>
      <c r="I1306" s="69" t="str">
        <f>TEXT(ASTemp!I1306,Decimals)</f>
        <v/>
      </c>
      <c r="J1306" s="69" t="str">
        <f>TEXT(ASTemp!J1306,Decimals)</f>
        <v/>
      </c>
      <c r="K1306" s="69" t="str">
        <f>TEXT(ASTemp!K1306,Decimals)</f>
        <v/>
      </c>
      <c r="L1306" s="69" t="str">
        <f>TEXT(ASTemp!L1306,Decimals)</f>
        <v/>
      </c>
      <c r="M1306" s="71" t="str">
        <f>TEXT(ASTemp!M1306,Percentages)</f>
        <v/>
      </c>
      <c r="N1306" s="72" t="str">
        <f>TEXT(ASTemp!N1306,Percentages)</f>
        <v/>
      </c>
    </row>
    <row r="1307" ht="14.25" customHeight="1">
      <c r="B1307" s="66" t="str">
        <f>ASTemp!B1307</f>
        <v/>
      </c>
      <c r="C1307" s="67" t="str">
        <f>ASTemp!C1307</f>
        <v/>
      </c>
      <c r="D1307" s="68" t="str">
        <f>ASTemp!D1307</f>
        <v/>
      </c>
      <c r="E1307" s="65" t="str">
        <f>ASTemp!E1307</f>
        <v/>
      </c>
      <c r="F1307" s="69" t="str">
        <f>TEXT(ASTemp!F1307,Decimals)</f>
        <v/>
      </c>
      <c r="G1307" s="69" t="str">
        <f>TEXT(ASTemp!G1307,Decimals)</f>
        <v/>
      </c>
      <c r="H1307" s="69" t="str">
        <f>TEXT(ASTemp!H1307,Decimals)</f>
        <v/>
      </c>
      <c r="I1307" s="69" t="str">
        <f>TEXT(ASTemp!I1307,Decimals)</f>
        <v/>
      </c>
      <c r="J1307" s="69" t="str">
        <f>TEXT(ASTemp!J1307,Decimals)</f>
        <v/>
      </c>
      <c r="K1307" s="69" t="str">
        <f>TEXT(ASTemp!K1307,Decimals)</f>
        <v/>
      </c>
      <c r="L1307" s="69" t="str">
        <f>TEXT(ASTemp!L1307,Decimals)</f>
        <v/>
      </c>
      <c r="M1307" s="71" t="str">
        <f>TEXT(ASTemp!M1307,Percentages)</f>
        <v/>
      </c>
      <c r="N1307" s="72" t="str">
        <f>TEXT(ASTemp!N1307,Percentages)</f>
        <v/>
      </c>
    </row>
    <row r="1308" ht="14.25" customHeight="1">
      <c r="B1308" s="66" t="str">
        <f>ASTemp!B1308</f>
        <v/>
      </c>
      <c r="C1308" s="67" t="str">
        <f>ASTemp!C1308</f>
        <v/>
      </c>
      <c r="D1308" s="68" t="str">
        <f>ASTemp!D1308</f>
        <v/>
      </c>
      <c r="E1308" s="65" t="str">
        <f>ASTemp!E1308</f>
        <v/>
      </c>
      <c r="F1308" s="69" t="str">
        <f>TEXT(ASTemp!F1308,Decimals)</f>
        <v/>
      </c>
      <c r="G1308" s="69" t="str">
        <f>TEXT(ASTemp!G1308,Decimals)</f>
        <v/>
      </c>
      <c r="H1308" s="69" t="str">
        <f>TEXT(ASTemp!H1308,Decimals)</f>
        <v/>
      </c>
      <c r="I1308" s="69" t="str">
        <f>TEXT(ASTemp!I1308,Decimals)</f>
        <v/>
      </c>
      <c r="J1308" s="69" t="str">
        <f>TEXT(ASTemp!J1308,Decimals)</f>
        <v/>
      </c>
      <c r="K1308" s="69" t="str">
        <f>TEXT(ASTemp!K1308,Decimals)</f>
        <v/>
      </c>
      <c r="L1308" s="69" t="str">
        <f>TEXT(ASTemp!L1308,Decimals)</f>
        <v/>
      </c>
      <c r="M1308" s="71" t="str">
        <f>TEXT(ASTemp!M1308,Percentages)</f>
        <v/>
      </c>
      <c r="N1308" s="72" t="str">
        <f>TEXT(ASTemp!N1308,Percentages)</f>
        <v/>
      </c>
    </row>
    <row r="1309" ht="14.25" customHeight="1">
      <c r="B1309" s="66" t="str">
        <f>ASTemp!B1309</f>
        <v/>
      </c>
      <c r="C1309" s="67" t="str">
        <f>ASTemp!C1309</f>
        <v/>
      </c>
      <c r="D1309" s="68" t="str">
        <f>ASTemp!D1309</f>
        <v/>
      </c>
      <c r="E1309" s="65" t="str">
        <f>ASTemp!E1309</f>
        <v/>
      </c>
      <c r="F1309" s="69" t="str">
        <f>TEXT(ASTemp!F1309,Decimals)</f>
        <v/>
      </c>
      <c r="G1309" s="69" t="str">
        <f>TEXT(ASTemp!G1309,Decimals)</f>
        <v/>
      </c>
      <c r="H1309" s="69" t="str">
        <f>TEXT(ASTemp!H1309,Decimals)</f>
        <v/>
      </c>
      <c r="I1309" s="69" t="str">
        <f>TEXT(ASTemp!I1309,Decimals)</f>
        <v/>
      </c>
      <c r="J1309" s="69" t="str">
        <f>TEXT(ASTemp!J1309,Decimals)</f>
        <v/>
      </c>
      <c r="K1309" s="69" t="str">
        <f>TEXT(ASTemp!K1309,Decimals)</f>
        <v/>
      </c>
      <c r="L1309" s="69" t="str">
        <f>TEXT(ASTemp!L1309,Decimals)</f>
        <v/>
      </c>
      <c r="M1309" s="71" t="str">
        <f>TEXT(ASTemp!M1309,Percentages)</f>
        <v/>
      </c>
      <c r="N1309" s="72" t="str">
        <f>TEXT(ASTemp!N1309,Percentages)</f>
        <v/>
      </c>
    </row>
    <row r="1310" ht="14.25" customHeight="1">
      <c r="B1310" s="66" t="str">
        <f>ASTemp!B1310</f>
        <v/>
      </c>
      <c r="C1310" s="67" t="str">
        <f>ASTemp!C1310</f>
        <v/>
      </c>
      <c r="D1310" s="68" t="str">
        <f>ASTemp!D1310</f>
        <v/>
      </c>
      <c r="E1310" s="65" t="str">
        <f>ASTemp!E1310</f>
        <v/>
      </c>
      <c r="F1310" s="69" t="str">
        <f>TEXT(ASTemp!F1310,Decimals)</f>
        <v/>
      </c>
      <c r="G1310" s="69" t="str">
        <f>TEXT(ASTemp!G1310,Decimals)</f>
        <v/>
      </c>
      <c r="H1310" s="69" t="str">
        <f>TEXT(ASTemp!H1310,Decimals)</f>
        <v/>
      </c>
      <c r="I1310" s="69" t="str">
        <f>TEXT(ASTemp!I1310,Decimals)</f>
        <v/>
      </c>
      <c r="J1310" s="69" t="str">
        <f>TEXT(ASTemp!J1310,Decimals)</f>
        <v/>
      </c>
      <c r="K1310" s="69" t="str">
        <f>TEXT(ASTemp!K1310,Decimals)</f>
        <v/>
      </c>
      <c r="L1310" s="69" t="str">
        <f>TEXT(ASTemp!L1310,Decimals)</f>
        <v/>
      </c>
      <c r="M1310" s="71" t="str">
        <f>TEXT(ASTemp!M1310,Percentages)</f>
        <v/>
      </c>
      <c r="N1310" s="72" t="str">
        <f>TEXT(ASTemp!N1310,Percentages)</f>
        <v/>
      </c>
    </row>
    <row r="1311" ht="14.25" customHeight="1">
      <c r="B1311" s="66" t="str">
        <f>ASTemp!B1311</f>
        <v/>
      </c>
      <c r="C1311" s="67" t="str">
        <f>ASTemp!C1311</f>
        <v/>
      </c>
      <c r="D1311" s="68" t="str">
        <f>ASTemp!D1311</f>
        <v/>
      </c>
      <c r="E1311" s="65" t="str">
        <f>ASTemp!E1311</f>
        <v/>
      </c>
      <c r="F1311" s="69" t="str">
        <f>TEXT(ASTemp!F1311,Decimals)</f>
        <v/>
      </c>
      <c r="G1311" s="69" t="str">
        <f>TEXT(ASTemp!G1311,Decimals)</f>
        <v/>
      </c>
      <c r="H1311" s="69" t="str">
        <f>TEXT(ASTemp!H1311,Decimals)</f>
        <v/>
      </c>
      <c r="I1311" s="69" t="str">
        <f>TEXT(ASTemp!I1311,Decimals)</f>
        <v/>
      </c>
      <c r="J1311" s="69" t="str">
        <f>TEXT(ASTemp!J1311,Decimals)</f>
        <v/>
      </c>
      <c r="K1311" s="69" t="str">
        <f>TEXT(ASTemp!K1311,Decimals)</f>
        <v/>
      </c>
      <c r="L1311" s="69" t="str">
        <f>TEXT(ASTemp!L1311,Decimals)</f>
        <v/>
      </c>
      <c r="M1311" s="71" t="str">
        <f>TEXT(ASTemp!M1311,Percentages)</f>
        <v/>
      </c>
      <c r="N1311" s="72" t="str">
        <f>TEXT(ASTemp!N1311,Percentages)</f>
        <v/>
      </c>
    </row>
    <row r="1312" ht="14.25" customHeight="1">
      <c r="B1312" s="66" t="str">
        <f>ASTemp!B1312</f>
        <v/>
      </c>
      <c r="C1312" s="67" t="str">
        <f>ASTemp!C1312</f>
        <v/>
      </c>
      <c r="D1312" s="68" t="str">
        <f>ASTemp!D1312</f>
        <v/>
      </c>
      <c r="E1312" s="65" t="str">
        <f>ASTemp!E1312</f>
        <v/>
      </c>
      <c r="F1312" s="69" t="str">
        <f>TEXT(ASTemp!F1312,Decimals)</f>
        <v/>
      </c>
      <c r="G1312" s="69" t="str">
        <f>TEXT(ASTemp!G1312,Decimals)</f>
        <v/>
      </c>
      <c r="H1312" s="69" t="str">
        <f>TEXT(ASTemp!H1312,Decimals)</f>
        <v/>
      </c>
      <c r="I1312" s="69" t="str">
        <f>TEXT(ASTemp!I1312,Decimals)</f>
        <v/>
      </c>
      <c r="J1312" s="69" t="str">
        <f>TEXT(ASTemp!J1312,Decimals)</f>
        <v/>
      </c>
      <c r="K1312" s="69" t="str">
        <f>TEXT(ASTemp!K1312,Decimals)</f>
        <v/>
      </c>
      <c r="L1312" s="69" t="str">
        <f>TEXT(ASTemp!L1312,Decimals)</f>
        <v/>
      </c>
      <c r="M1312" s="71" t="str">
        <f>TEXT(ASTemp!M1312,Percentages)</f>
        <v/>
      </c>
      <c r="N1312" s="72" t="str">
        <f>TEXT(ASTemp!N1312,Percentages)</f>
        <v/>
      </c>
    </row>
    <row r="1313" ht="14.25" customHeight="1">
      <c r="B1313" s="66" t="str">
        <f>ASTemp!B1313</f>
        <v/>
      </c>
      <c r="C1313" s="67" t="str">
        <f>ASTemp!C1313</f>
        <v/>
      </c>
      <c r="D1313" s="68" t="str">
        <f>ASTemp!D1313</f>
        <v/>
      </c>
      <c r="E1313" s="65" t="str">
        <f>ASTemp!E1313</f>
        <v/>
      </c>
      <c r="F1313" s="69" t="str">
        <f>TEXT(ASTemp!F1313,Decimals)</f>
        <v/>
      </c>
      <c r="G1313" s="69" t="str">
        <f>TEXT(ASTemp!G1313,Decimals)</f>
        <v/>
      </c>
      <c r="H1313" s="69" t="str">
        <f>TEXT(ASTemp!H1313,Decimals)</f>
        <v/>
      </c>
      <c r="I1313" s="69" t="str">
        <f>TEXT(ASTemp!I1313,Decimals)</f>
        <v/>
      </c>
      <c r="J1313" s="69" t="str">
        <f>TEXT(ASTemp!J1313,Decimals)</f>
        <v/>
      </c>
      <c r="K1313" s="69" t="str">
        <f>TEXT(ASTemp!K1313,Decimals)</f>
        <v/>
      </c>
      <c r="L1313" s="69" t="str">
        <f>TEXT(ASTemp!L1313,Decimals)</f>
        <v/>
      </c>
      <c r="M1313" s="71" t="str">
        <f>TEXT(ASTemp!M1313,Percentages)</f>
        <v/>
      </c>
      <c r="N1313" s="72" t="str">
        <f>TEXT(ASTemp!N1313,Percentages)</f>
        <v/>
      </c>
    </row>
    <row r="1314" ht="14.25" customHeight="1">
      <c r="B1314" s="66" t="str">
        <f>ASTemp!B1314</f>
        <v/>
      </c>
      <c r="C1314" s="67" t="str">
        <f>ASTemp!C1314</f>
        <v/>
      </c>
      <c r="D1314" s="68" t="str">
        <f>ASTemp!D1314</f>
        <v/>
      </c>
      <c r="E1314" s="65" t="str">
        <f>ASTemp!E1314</f>
        <v/>
      </c>
      <c r="F1314" s="69" t="str">
        <f>TEXT(ASTemp!F1314,Decimals)</f>
        <v/>
      </c>
      <c r="G1314" s="69" t="str">
        <f>TEXT(ASTemp!G1314,Decimals)</f>
        <v/>
      </c>
      <c r="H1314" s="69" t="str">
        <f>TEXT(ASTemp!H1314,Decimals)</f>
        <v/>
      </c>
      <c r="I1314" s="69" t="str">
        <f>TEXT(ASTemp!I1314,Decimals)</f>
        <v/>
      </c>
      <c r="J1314" s="69" t="str">
        <f>TEXT(ASTemp!J1314,Decimals)</f>
        <v/>
      </c>
      <c r="K1314" s="69" t="str">
        <f>TEXT(ASTemp!K1314,Decimals)</f>
        <v/>
      </c>
      <c r="L1314" s="69" t="str">
        <f>TEXT(ASTemp!L1314,Decimals)</f>
        <v/>
      </c>
      <c r="M1314" s="71" t="str">
        <f>TEXT(ASTemp!M1314,Percentages)</f>
        <v/>
      </c>
      <c r="N1314" s="72" t="str">
        <f>TEXT(ASTemp!N1314,Percentages)</f>
        <v/>
      </c>
    </row>
    <row r="1315" ht="14.25" customHeight="1">
      <c r="B1315" s="66" t="str">
        <f>ASTemp!B1315</f>
        <v/>
      </c>
      <c r="C1315" s="67" t="str">
        <f>ASTemp!C1315</f>
        <v/>
      </c>
      <c r="D1315" s="68" t="str">
        <f>ASTemp!D1315</f>
        <v/>
      </c>
      <c r="E1315" s="65" t="str">
        <f>ASTemp!E1315</f>
        <v/>
      </c>
      <c r="F1315" s="69" t="str">
        <f>TEXT(ASTemp!F1315,Decimals)</f>
        <v/>
      </c>
      <c r="G1315" s="69" t="str">
        <f>TEXT(ASTemp!G1315,Decimals)</f>
        <v/>
      </c>
      <c r="H1315" s="69" t="str">
        <f>TEXT(ASTemp!H1315,Decimals)</f>
        <v/>
      </c>
      <c r="I1315" s="69" t="str">
        <f>TEXT(ASTemp!I1315,Decimals)</f>
        <v/>
      </c>
      <c r="J1315" s="69" t="str">
        <f>TEXT(ASTemp!J1315,Decimals)</f>
        <v/>
      </c>
      <c r="K1315" s="69" t="str">
        <f>TEXT(ASTemp!K1315,Decimals)</f>
        <v/>
      </c>
      <c r="L1315" s="69" t="str">
        <f>TEXT(ASTemp!L1315,Decimals)</f>
        <v/>
      </c>
      <c r="M1315" s="71" t="str">
        <f>TEXT(ASTemp!M1315,Percentages)</f>
        <v/>
      </c>
      <c r="N1315" s="72" t="str">
        <f>TEXT(ASTemp!N1315,Percentages)</f>
        <v/>
      </c>
    </row>
    <row r="1316" ht="14.25" customHeight="1">
      <c r="B1316" s="66" t="str">
        <f>ASTemp!B1316</f>
        <v/>
      </c>
      <c r="C1316" s="67" t="str">
        <f>ASTemp!C1316</f>
        <v/>
      </c>
      <c r="D1316" s="68" t="str">
        <f>ASTemp!D1316</f>
        <v/>
      </c>
      <c r="E1316" s="65" t="str">
        <f>ASTemp!E1316</f>
        <v/>
      </c>
      <c r="F1316" s="69" t="str">
        <f>TEXT(ASTemp!F1316,Decimals)</f>
        <v/>
      </c>
      <c r="G1316" s="69" t="str">
        <f>TEXT(ASTemp!G1316,Decimals)</f>
        <v/>
      </c>
      <c r="H1316" s="69" t="str">
        <f>TEXT(ASTemp!H1316,Decimals)</f>
        <v/>
      </c>
      <c r="I1316" s="69" t="str">
        <f>TEXT(ASTemp!I1316,Decimals)</f>
        <v/>
      </c>
      <c r="J1316" s="69" t="str">
        <f>TEXT(ASTemp!J1316,Decimals)</f>
        <v/>
      </c>
      <c r="K1316" s="69" t="str">
        <f>TEXT(ASTemp!K1316,Decimals)</f>
        <v/>
      </c>
      <c r="L1316" s="69" t="str">
        <f>TEXT(ASTemp!L1316,Decimals)</f>
        <v/>
      </c>
      <c r="M1316" s="71" t="str">
        <f>TEXT(ASTemp!M1316,Percentages)</f>
        <v/>
      </c>
      <c r="N1316" s="72" t="str">
        <f>TEXT(ASTemp!N1316,Percentages)</f>
        <v/>
      </c>
    </row>
    <row r="1317" ht="14.25" customHeight="1">
      <c r="B1317" s="66" t="str">
        <f>ASTemp!B1317</f>
        <v/>
      </c>
      <c r="C1317" s="67" t="str">
        <f>ASTemp!C1317</f>
        <v/>
      </c>
      <c r="D1317" s="68" t="str">
        <f>ASTemp!D1317</f>
        <v/>
      </c>
      <c r="E1317" s="65" t="str">
        <f>ASTemp!E1317</f>
        <v/>
      </c>
      <c r="F1317" s="69" t="str">
        <f>TEXT(ASTemp!F1317,Decimals)</f>
        <v/>
      </c>
      <c r="G1317" s="69" t="str">
        <f>TEXT(ASTemp!G1317,Decimals)</f>
        <v/>
      </c>
      <c r="H1317" s="69" t="str">
        <f>TEXT(ASTemp!H1317,Decimals)</f>
        <v/>
      </c>
      <c r="I1317" s="69" t="str">
        <f>TEXT(ASTemp!I1317,Decimals)</f>
        <v/>
      </c>
      <c r="J1317" s="69" t="str">
        <f>TEXT(ASTemp!J1317,Decimals)</f>
        <v/>
      </c>
      <c r="K1317" s="69" t="str">
        <f>TEXT(ASTemp!K1317,Decimals)</f>
        <v/>
      </c>
      <c r="L1317" s="69" t="str">
        <f>TEXT(ASTemp!L1317,Decimals)</f>
        <v/>
      </c>
      <c r="M1317" s="71" t="str">
        <f>TEXT(ASTemp!M1317,Percentages)</f>
        <v/>
      </c>
      <c r="N1317" s="72" t="str">
        <f>TEXT(ASTemp!N1317,Percentages)</f>
        <v/>
      </c>
    </row>
    <row r="1318" ht="14.25" customHeight="1">
      <c r="B1318" s="66" t="str">
        <f>ASTemp!B1318</f>
        <v/>
      </c>
      <c r="C1318" s="67" t="str">
        <f>ASTemp!C1318</f>
        <v/>
      </c>
      <c r="D1318" s="68" t="str">
        <f>ASTemp!D1318</f>
        <v/>
      </c>
      <c r="E1318" s="65" t="str">
        <f>ASTemp!E1318</f>
        <v/>
      </c>
      <c r="F1318" s="69" t="str">
        <f>TEXT(ASTemp!F1318,Decimals)</f>
        <v/>
      </c>
      <c r="G1318" s="69" t="str">
        <f>TEXT(ASTemp!G1318,Decimals)</f>
        <v/>
      </c>
      <c r="H1318" s="69" t="str">
        <f>TEXT(ASTemp!H1318,Decimals)</f>
        <v/>
      </c>
      <c r="I1318" s="69" t="str">
        <f>TEXT(ASTemp!I1318,Decimals)</f>
        <v/>
      </c>
      <c r="J1318" s="69" t="str">
        <f>TEXT(ASTemp!J1318,Decimals)</f>
        <v/>
      </c>
      <c r="K1318" s="69" t="str">
        <f>TEXT(ASTemp!K1318,Decimals)</f>
        <v/>
      </c>
      <c r="L1318" s="69" t="str">
        <f>TEXT(ASTemp!L1318,Decimals)</f>
        <v/>
      </c>
      <c r="M1318" s="71" t="str">
        <f>TEXT(ASTemp!M1318,Percentages)</f>
        <v/>
      </c>
      <c r="N1318" s="72" t="str">
        <f>TEXT(ASTemp!N1318,Percentages)</f>
        <v/>
      </c>
    </row>
    <row r="1319" ht="14.25" customHeight="1">
      <c r="B1319" s="66" t="str">
        <f>ASTemp!B1319</f>
        <v/>
      </c>
      <c r="C1319" s="67" t="str">
        <f>ASTemp!C1319</f>
        <v/>
      </c>
      <c r="D1319" s="68" t="str">
        <f>ASTemp!D1319</f>
        <v/>
      </c>
      <c r="E1319" s="65" t="str">
        <f>ASTemp!E1319</f>
        <v/>
      </c>
      <c r="F1319" s="69" t="str">
        <f>TEXT(ASTemp!F1319,Decimals)</f>
        <v/>
      </c>
      <c r="G1319" s="69" t="str">
        <f>TEXT(ASTemp!G1319,Decimals)</f>
        <v/>
      </c>
      <c r="H1319" s="69" t="str">
        <f>TEXT(ASTemp!H1319,Decimals)</f>
        <v/>
      </c>
      <c r="I1319" s="69" t="str">
        <f>TEXT(ASTemp!I1319,Decimals)</f>
        <v/>
      </c>
      <c r="J1319" s="69" t="str">
        <f>TEXT(ASTemp!J1319,Decimals)</f>
        <v/>
      </c>
      <c r="K1319" s="69" t="str">
        <f>TEXT(ASTemp!K1319,Decimals)</f>
        <v/>
      </c>
      <c r="L1319" s="69" t="str">
        <f>TEXT(ASTemp!L1319,Decimals)</f>
        <v/>
      </c>
      <c r="M1319" s="71" t="str">
        <f>TEXT(ASTemp!M1319,Percentages)</f>
        <v/>
      </c>
      <c r="N1319" s="72" t="str">
        <f>TEXT(ASTemp!N1319,Percentages)</f>
        <v/>
      </c>
    </row>
    <row r="1320" ht="14.25" customHeight="1">
      <c r="B1320" s="66" t="str">
        <f>ASTemp!B1320</f>
        <v/>
      </c>
      <c r="C1320" s="67" t="str">
        <f>ASTemp!C1320</f>
        <v/>
      </c>
      <c r="D1320" s="68" t="str">
        <f>ASTemp!D1320</f>
        <v/>
      </c>
      <c r="E1320" s="65" t="str">
        <f>ASTemp!E1320</f>
        <v/>
      </c>
      <c r="F1320" s="69" t="str">
        <f>TEXT(ASTemp!F1320,Decimals)</f>
        <v/>
      </c>
      <c r="G1320" s="69" t="str">
        <f>TEXT(ASTemp!G1320,Decimals)</f>
        <v/>
      </c>
      <c r="H1320" s="69" t="str">
        <f>TEXT(ASTemp!H1320,Decimals)</f>
        <v/>
      </c>
      <c r="I1320" s="69" t="str">
        <f>TEXT(ASTemp!I1320,Decimals)</f>
        <v/>
      </c>
      <c r="J1320" s="69" t="str">
        <f>TEXT(ASTemp!J1320,Decimals)</f>
        <v/>
      </c>
      <c r="K1320" s="69" t="str">
        <f>TEXT(ASTemp!K1320,Decimals)</f>
        <v/>
      </c>
      <c r="L1320" s="69" t="str">
        <f>TEXT(ASTemp!L1320,Decimals)</f>
        <v/>
      </c>
      <c r="M1320" s="71" t="str">
        <f>TEXT(ASTemp!M1320,Percentages)</f>
        <v/>
      </c>
      <c r="N1320" s="72" t="str">
        <f>TEXT(ASTemp!N1320,Percentages)</f>
        <v/>
      </c>
    </row>
    <row r="1321" ht="14.25" customHeight="1">
      <c r="B1321" s="66" t="str">
        <f>ASTemp!B1321</f>
        <v/>
      </c>
      <c r="C1321" s="67" t="str">
        <f>ASTemp!C1321</f>
        <v/>
      </c>
      <c r="D1321" s="68" t="str">
        <f>ASTemp!D1321</f>
        <v/>
      </c>
      <c r="E1321" s="65" t="str">
        <f>ASTemp!E1321</f>
        <v/>
      </c>
      <c r="F1321" s="69" t="str">
        <f>TEXT(ASTemp!F1321,Decimals)</f>
        <v/>
      </c>
      <c r="G1321" s="69" t="str">
        <f>TEXT(ASTemp!G1321,Decimals)</f>
        <v/>
      </c>
      <c r="H1321" s="69" t="str">
        <f>TEXT(ASTemp!H1321,Decimals)</f>
        <v/>
      </c>
      <c r="I1321" s="69" t="str">
        <f>TEXT(ASTemp!I1321,Decimals)</f>
        <v/>
      </c>
      <c r="J1321" s="69" t="str">
        <f>TEXT(ASTemp!J1321,Decimals)</f>
        <v/>
      </c>
      <c r="K1321" s="69" t="str">
        <f>TEXT(ASTemp!K1321,Decimals)</f>
        <v/>
      </c>
      <c r="L1321" s="69" t="str">
        <f>TEXT(ASTemp!L1321,Decimals)</f>
        <v/>
      </c>
      <c r="M1321" s="71" t="str">
        <f>TEXT(ASTemp!M1321,Percentages)</f>
        <v/>
      </c>
      <c r="N1321" s="72" t="str">
        <f>TEXT(ASTemp!N1321,Percentages)</f>
        <v/>
      </c>
    </row>
    <row r="1322" ht="14.25" customHeight="1">
      <c r="B1322" s="66" t="str">
        <f>ASTemp!B1322</f>
        <v/>
      </c>
      <c r="C1322" s="67" t="str">
        <f>ASTemp!C1322</f>
        <v/>
      </c>
      <c r="D1322" s="68" t="str">
        <f>ASTemp!D1322</f>
        <v/>
      </c>
      <c r="E1322" s="65" t="str">
        <f>ASTemp!E1322</f>
        <v/>
      </c>
      <c r="F1322" s="69" t="str">
        <f>TEXT(ASTemp!F1322,Decimals)</f>
        <v/>
      </c>
      <c r="G1322" s="69" t="str">
        <f>TEXT(ASTemp!G1322,Decimals)</f>
        <v/>
      </c>
      <c r="H1322" s="69" t="str">
        <f>TEXT(ASTemp!H1322,Decimals)</f>
        <v/>
      </c>
      <c r="I1322" s="69" t="str">
        <f>TEXT(ASTemp!I1322,Decimals)</f>
        <v/>
      </c>
      <c r="J1322" s="69" t="str">
        <f>TEXT(ASTemp!J1322,Decimals)</f>
        <v/>
      </c>
      <c r="K1322" s="69" t="str">
        <f>TEXT(ASTemp!K1322,Decimals)</f>
        <v/>
      </c>
      <c r="L1322" s="69" t="str">
        <f>TEXT(ASTemp!L1322,Decimals)</f>
        <v/>
      </c>
      <c r="M1322" s="71" t="str">
        <f>TEXT(ASTemp!M1322,Percentages)</f>
        <v/>
      </c>
      <c r="N1322" s="72" t="str">
        <f>TEXT(ASTemp!N1322,Percentages)</f>
        <v/>
      </c>
    </row>
    <row r="1323" ht="14.25" customHeight="1">
      <c r="B1323" s="66" t="str">
        <f>ASTemp!B1323</f>
        <v/>
      </c>
      <c r="C1323" s="67" t="str">
        <f>ASTemp!C1323</f>
        <v/>
      </c>
      <c r="D1323" s="68" t="str">
        <f>ASTemp!D1323</f>
        <v/>
      </c>
      <c r="E1323" s="65" t="str">
        <f>ASTemp!E1323</f>
        <v/>
      </c>
      <c r="F1323" s="69" t="str">
        <f>TEXT(ASTemp!F1323,Decimals)</f>
        <v/>
      </c>
      <c r="G1323" s="69" t="str">
        <f>TEXT(ASTemp!G1323,Decimals)</f>
        <v/>
      </c>
      <c r="H1323" s="69" t="str">
        <f>TEXT(ASTemp!H1323,Decimals)</f>
        <v/>
      </c>
      <c r="I1323" s="69" t="str">
        <f>TEXT(ASTemp!I1323,Decimals)</f>
        <v/>
      </c>
      <c r="J1323" s="69" t="str">
        <f>TEXT(ASTemp!J1323,Decimals)</f>
        <v/>
      </c>
      <c r="K1323" s="69" t="str">
        <f>TEXT(ASTemp!K1323,Decimals)</f>
        <v/>
      </c>
      <c r="L1323" s="69" t="str">
        <f>TEXT(ASTemp!L1323,Decimals)</f>
        <v/>
      </c>
      <c r="M1323" s="71" t="str">
        <f>TEXT(ASTemp!M1323,Percentages)</f>
        <v/>
      </c>
      <c r="N1323" s="72" t="str">
        <f>TEXT(ASTemp!N1323,Percentages)</f>
        <v/>
      </c>
    </row>
    <row r="1324" ht="14.25" customHeight="1">
      <c r="B1324" s="66" t="str">
        <f>ASTemp!B1324</f>
        <v/>
      </c>
      <c r="C1324" s="67" t="str">
        <f>ASTemp!C1324</f>
        <v/>
      </c>
      <c r="D1324" s="68" t="str">
        <f>ASTemp!D1324</f>
        <v/>
      </c>
      <c r="E1324" s="65" t="str">
        <f>ASTemp!E1324</f>
        <v/>
      </c>
      <c r="F1324" s="69" t="str">
        <f>TEXT(ASTemp!F1324,Decimals)</f>
        <v/>
      </c>
      <c r="G1324" s="69" t="str">
        <f>TEXT(ASTemp!G1324,Decimals)</f>
        <v/>
      </c>
      <c r="H1324" s="69" t="str">
        <f>TEXT(ASTemp!H1324,Decimals)</f>
        <v/>
      </c>
      <c r="I1324" s="69" t="str">
        <f>TEXT(ASTemp!I1324,Decimals)</f>
        <v/>
      </c>
      <c r="J1324" s="69" t="str">
        <f>TEXT(ASTemp!J1324,Decimals)</f>
        <v/>
      </c>
      <c r="K1324" s="69" t="str">
        <f>TEXT(ASTemp!K1324,Decimals)</f>
        <v/>
      </c>
      <c r="L1324" s="69" t="str">
        <f>TEXT(ASTemp!L1324,Decimals)</f>
        <v/>
      </c>
      <c r="M1324" s="71" t="str">
        <f>TEXT(ASTemp!M1324,Percentages)</f>
        <v/>
      </c>
      <c r="N1324" s="72" t="str">
        <f>TEXT(ASTemp!N1324,Percentages)</f>
        <v/>
      </c>
    </row>
    <row r="1325" ht="14.25" customHeight="1">
      <c r="B1325" s="66" t="str">
        <f>ASTemp!B1325</f>
        <v/>
      </c>
      <c r="C1325" s="67" t="str">
        <f>ASTemp!C1325</f>
        <v/>
      </c>
      <c r="D1325" s="68" t="str">
        <f>ASTemp!D1325</f>
        <v/>
      </c>
      <c r="E1325" s="65" t="str">
        <f>ASTemp!E1325</f>
        <v/>
      </c>
      <c r="F1325" s="69" t="str">
        <f>TEXT(ASTemp!F1325,Decimals)</f>
        <v/>
      </c>
      <c r="G1325" s="69" t="str">
        <f>TEXT(ASTemp!G1325,Decimals)</f>
        <v/>
      </c>
      <c r="H1325" s="69" t="str">
        <f>TEXT(ASTemp!H1325,Decimals)</f>
        <v/>
      </c>
      <c r="I1325" s="69" t="str">
        <f>TEXT(ASTemp!I1325,Decimals)</f>
        <v/>
      </c>
      <c r="J1325" s="69" t="str">
        <f>TEXT(ASTemp!J1325,Decimals)</f>
        <v/>
      </c>
      <c r="K1325" s="69" t="str">
        <f>TEXT(ASTemp!K1325,Decimals)</f>
        <v/>
      </c>
      <c r="L1325" s="69" t="str">
        <f>TEXT(ASTemp!L1325,Decimals)</f>
        <v/>
      </c>
      <c r="M1325" s="71" t="str">
        <f>TEXT(ASTemp!M1325,Percentages)</f>
        <v/>
      </c>
      <c r="N1325" s="72" t="str">
        <f>TEXT(ASTemp!N1325,Percentages)</f>
        <v/>
      </c>
    </row>
    <row r="1326" ht="14.25" customHeight="1">
      <c r="B1326" s="66" t="str">
        <f>ASTemp!B1326</f>
        <v/>
      </c>
      <c r="C1326" s="67" t="str">
        <f>ASTemp!C1326</f>
        <v/>
      </c>
      <c r="D1326" s="68" t="str">
        <f>ASTemp!D1326</f>
        <v/>
      </c>
      <c r="E1326" s="65" t="str">
        <f>ASTemp!E1326</f>
        <v/>
      </c>
      <c r="F1326" s="69" t="str">
        <f>TEXT(ASTemp!F1326,Decimals)</f>
        <v/>
      </c>
      <c r="G1326" s="69" t="str">
        <f>TEXT(ASTemp!G1326,Decimals)</f>
        <v/>
      </c>
      <c r="H1326" s="69" t="str">
        <f>TEXT(ASTemp!H1326,Decimals)</f>
        <v/>
      </c>
      <c r="I1326" s="69" t="str">
        <f>TEXT(ASTemp!I1326,Decimals)</f>
        <v/>
      </c>
      <c r="J1326" s="69" t="str">
        <f>TEXT(ASTemp!J1326,Decimals)</f>
        <v/>
      </c>
      <c r="K1326" s="69" t="str">
        <f>TEXT(ASTemp!K1326,Decimals)</f>
        <v/>
      </c>
      <c r="L1326" s="69" t="str">
        <f>TEXT(ASTemp!L1326,Decimals)</f>
        <v/>
      </c>
      <c r="M1326" s="71" t="str">
        <f>TEXT(ASTemp!M1326,Percentages)</f>
        <v/>
      </c>
      <c r="N1326" s="72" t="str">
        <f>TEXT(ASTemp!N1326,Percentages)</f>
        <v/>
      </c>
    </row>
    <row r="1327" ht="14.25" customHeight="1">
      <c r="B1327" s="66" t="str">
        <f>ASTemp!B1327</f>
        <v/>
      </c>
      <c r="C1327" s="67" t="str">
        <f>ASTemp!C1327</f>
        <v/>
      </c>
      <c r="D1327" s="68" t="str">
        <f>ASTemp!D1327</f>
        <v/>
      </c>
      <c r="E1327" s="65" t="str">
        <f>ASTemp!E1327</f>
        <v/>
      </c>
      <c r="F1327" s="69" t="str">
        <f>TEXT(ASTemp!F1327,Decimals)</f>
        <v/>
      </c>
      <c r="G1327" s="69" t="str">
        <f>TEXT(ASTemp!G1327,Decimals)</f>
        <v/>
      </c>
      <c r="H1327" s="69" t="str">
        <f>TEXT(ASTemp!H1327,Decimals)</f>
        <v/>
      </c>
      <c r="I1327" s="69" t="str">
        <f>TEXT(ASTemp!I1327,Decimals)</f>
        <v/>
      </c>
      <c r="J1327" s="69" t="str">
        <f>TEXT(ASTemp!J1327,Decimals)</f>
        <v/>
      </c>
      <c r="K1327" s="69" t="str">
        <f>TEXT(ASTemp!K1327,Decimals)</f>
        <v/>
      </c>
      <c r="L1327" s="69" t="str">
        <f>TEXT(ASTemp!L1327,Decimals)</f>
        <v/>
      </c>
      <c r="M1327" s="71" t="str">
        <f>TEXT(ASTemp!M1327,Percentages)</f>
        <v/>
      </c>
      <c r="N1327" s="72" t="str">
        <f>TEXT(ASTemp!N1327,Percentages)</f>
        <v/>
      </c>
    </row>
    <row r="1328" ht="14.25" customHeight="1">
      <c r="B1328" s="66" t="str">
        <f>ASTemp!B1328</f>
        <v/>
      </c>
      <c r="C1328" s="67" t="str">
        <f>ASTemp!C1328</f>
        <v/>
      </c>
      <c r="D1328" s="68" t="str">
        <f>ASTemp!D1328</f>
        <v/>
      </c>
      <c r="E1328" s="65" t="str">
        <f>ASTemp!E1328</f>
        <v/>
      </c>
      <c r="F1328" s="69" t="str">
        <f>TEXT(ASTemp!F1328,Decimals)</f>
        <v/>
      </c>
      <c r="G1328" s="69" t="str">
        <f>TEXT(ASTemp!G1328,Decimals)</f>
        <v/>
      </c>
      <c r="H1328" s="69" t="str">
        <f>TEXT(ASTemp!H1328,Decimals)</f>
        <v/>
      </c>
      <c r="I1328" s="69" t="str">
        <f>TEXT(ASTemp!I1328,Decimals)</f>
        <v/>
      </c>
      <c r="J1328" s="69" t="str">
        <f>TEXT(ASTemp!J1328,Decimals)</f>
        <v/>
      </c>
      <c r="K1328" s="69" t="str">
        <f>TEXT(ASTemp!K1328,Decimals)</f>
        <v/>
      </c>
      <c r="L1328" s="69" t="str">
        <f>TEXT(ASTemp!L1328,Decimals)</f>
        <v/>
      </c>
      <c r="M1328" s="71" t="str">
        <f>TEXT(ASTemp!M1328,Percentages)</f>
        <v/>
      </c>
      <c r="N1328" s="72" t="str">
        <f>TEXT(ASTemp!N1328,Percentages)</f>
        <v/>
      </c>
    </row>
    <row r="1329" ht="14.25" customHeight="1">
      <c r="B1329" s="66" t="str">
        <f>ASTemp!B1329</f>
        <v/>
      </c>
      <c r="C1329" s="67" t="str">
        <f>ASTemp!C1329</f>
        <v/>
      </c>
      <c r="D1329" s="68" t="str">
        <f>ASTemp!D1329</f>
        <v/>
      </c>
      <c r="E1329" s="65" t="str">
        <f>ASTemp!E1329</f>
        <v/>
      </c>
      <c r="F1329" s="69" t="str">
        <f>TEXT(ASTemp!F1329,Decimals)</f>
        <v/>
      </c>
      <c r="G1329" s="69" t="str">
        <f>TEXT(ASTemp!G1329,Decimals)</f>
        <v/>
      </c>
      <c r="H1329" s="69" t="str">
        <f>TEXT(ASTemp!H1329,Decimals)</f>
        <v/>
      </c>
      <c r="I1329" s="69" t="str">
        <f>TEXT(ASTemp!I1329,Decimals)</f>
        <v/>
      </c>
      <c r="J1329" s="69" t="str">
        <f>TEXT(ASTemp!J1329,Decimals)</f>
        <v/>
      </c>
      <c r="K1329" s="69" t="str">
        <f>TEXT(ASTemp!K1329,Decimals)</f>
        <v/>
      </c>
      <c r="L1329" s="69" t="str">
        <f>TEXT(ASTemp!L1329,Decimals)</f>
        <v/>
      </c>
      <c r="M1329" s="71" t="str">
        <f>TEXT(ASTemp!M1329,Percentages)</f>
        <v/>
      </c>
      <c r="N1329" s="72" t="str">
        <f>TEXT(ASTemp!N1329,Percentages)</f>
        <v/>
      </c>
    </row>
    <row r="1330" ht="14.25" customHeight="1">
      <c r="B1330" s="66" t="str">
        <f>ASTemp!B1330</f>
        <v/>
      </c>
      <c r="C1330" s="67" t="str">
        <f>ASTemp!C1330</f>
        <v/>
      </c>
      <c r="D1330" s="68" t="str">
        <f>ASTemp!D1330</f>
        <v/>
      </c>
      <c r="E1330" s="65" t="str">
        <f>ASTemp!E1330</f>
        <v/>
      </c>
      <c r="F1330" s="69" t="str">
        <f>TEXT(ASTemp!F1330,Decimals)</f>
        <v/>
      </c>
      <c r="G1330" s="69" t="str">
        <f>TEXT(ASTemp!G1330,Decimals)</f>
        <v/>
      </c>
      <c r="H1330" s="69" t="str">
        <f>TEXT(ASTemp!H1330,Decimals)</f>
        <v/>
      </c>
      <c r="I1330" s="69" t="str">
        <f>TEXT(ASTemp!I1330,Decimals)</f>
        <v/>
      </c>
      <c r="J1330" s="69" t="str">
        <f>TEXT(ASTemp!J1330,Decimals)</f>
        <v/>
      </c>
      <c r="K1330" s="69" t="str">
        <f>TEXT(ASTemp!K1330,Decimals)</f>
        <v/>
      </c>
      <c r="L1330" s="69" t="str">
        <f>TEXT(ASTemp!L1330,Decimals)</f>
        <v/>
      </c>
      <c r="M1330" s="71" t="str">
        <f>TEXT(ASTemp!M1330,Percentages)</f>
        <v/>
      </c>
      <c r="N1330" s="72" t="str">
        <f>TEXT(ASTemp!N1330,Percentages)</f>
        <v/>
      </c>
    </row>
    <row r="1331" ht="14.25" customHeight="1">
      <c r="B1331" s="66" t="str">
        <f>ASTemp!B1331</f>
        <v/>
      </c>
      <c r="C1331" s="67" t="str">
        <f>ASTemp!C1331</f>
        <v/>
      </c>
      <c r="D1331" s="68" t="str">
        <f>ASTemp!D1331</f>
        <v/>
      </c>
      <c r="E1331" s="65" t="str">
        <f>ASTemp!E1331</f>
        <v/>
      </c>
      <c r="F1331" s="69" t="str">
        <f>TEXT(ASTemp!F1331,Decimals)</f>
        <v/>
      </c>
      <c r="G1331" s="69" t="str">
        <f>TEXT(ASTemp!G1331,Decimals)</f>
        <v/>
      </c>
      <c r="H1331" s="69" t="str">
        <f>TEXT(ASTemp!H1331,Decimals)</f>
        <v/>
      </c>
      <c r="I1331" s="69" t="str">
        <f>TEXT(ASTemp!I1331,Decimals)</f>
        <v/>
      </c>
      <c r="J1331" s="69" t="str">
        <f>TEXT(ASTemp!J1331,Decimals)</f>
        <v/>
      </c>
      <c r="K1331" s="69" t="str">
        <f>TEXT(ASTemp!K1331,Decimals)</f>
        <v/>
      </c>
      <c r="L1331" s="69" t="str">
        <f>TEXT(ASTemp!L1331,Decimals)</f>
        <v/>
      </c>
      <c r="M1331" s="71" t="str">
        <f>TEXT(ASTemp!M1331,Percentages)</f>
        <v/>
      </c>
      <c r="N1331" s="72" t="str">
        <f>TEXT(ASTemp!N1331,Percentages)</f>
        <v/>
      </c>
    </row>
    <row r="1332" ht="14.25" customHeight="1">
      <c r="B1332" s="66" t="str">
        <f>ASTemp!B1332</f>
        <v/>
      </c>
      <c r="C1332" s="67" t="str">
        <f>ASTemp!C1332</f>
        <v/>
      </c>
      <c r="D1332" s="68" t="str">
        <f>ASTemp!D1332</f>
        <v/>
      </c>
      <c r="E1332" s="65" t="str">
        <f>ASTemp!E1332</f>
        <v/>
      </c>
      <c r="F1332" s="69" t="str">
        <f>TEXT(ASTemp!F1332,Decimals)</f>
        <v/>
      </c>
      <c r="G1332" s="69" t="str">
        <f>TEXT(ASTemp!G1332,Decimals)</f>
        <v/>
      </c>
      <c r="H1332" s="69" t="str">
        <f>TEXT(ASTemp!H1332,Decimals)</f>
        <v/>
      </c>
      <c r="I1332" s="69" t="str">
        <f>TEXT(ASTemp!I1332,Decimals)</f>
        <v/>
      </c>
      <c r="J1332" s="69" t="str">
        <f>TEXT(ASTemp!J1332,Decimals)</f>
        <v/>
      </c>
      <c r="K1332" s="69" t="str">
        <f>TEXT(ASTemp!K1332,Decimals)</f>
        <v/>
      </c>
      <c r="L1332" s="69" t="str">
        <f>TEXT(ASTemp!L1332,Decimals)</f>
        <v/>
      </c>
      <c r="M1332" s="71" t="str">
        <f>TEXT(ASTemp!M1332,Percentages)</f>
        <v/>
      </c>
      <c r="N1332" s="72" t="str">
        <f>TEXT(ASTemp!N1332,Percentages)</f>
        <v/>
      </c>
    </row>
    <row r="1333" ht="14.25" customHeight="1">
      <c r="B1333" s="66" t="str">
        <f>ASTemp!B1333</f>
        <v/>
      </c>
      <c r="C1333" s="67" t="str">
        <f>ASTemp!C1333</f>
        <v/>
      </c>
      <c r="D1333" s="68" t="str">
        <f>ASTemp!D1333</f>
        <v/>
      </c>
      <c r="E1333" s="65" t="str">
        <f>ASTemp!E1333</f>
        <v/>
      </c>
      <c r="F1333" s="69" t="str">
        <f>TEXT(ASTemp!F1333,Decimals)</f>
        <v/>
      </c>
      <c r="G1333" s="69" t="str">
        <f>TEXT(ASTemp!G1333,Decimals)</f>
        <v/>
      </c>
      <c r="H1333" s="69" t="str">
        <f>TEXT(ASTemp!H1333,Decimals)</f>
        <v/>
      </c>
      <c r="I1333" s="69" t="str">
        <f>TEXT(ASTemp!I1333,Decimals)</f>
        <v/>
      </c>
      <c r="J1333" s="69" t="str">
        <f>TEXT(ASTemp!J1333,Decimals)</f>
        <v/>
      </c>
      <c r="K1333" s="69" t="str">
        <f>TEXT(ASTemp!K1333,Decimals)</f>
        <v/>
      </c>
      <c r="L1333" s="69" t="str">
        <f>TEXT(ASTemp!L1333,Decimals)</f>
        <v/>
      </c>
      <c r="M1333" s="71" t="str">
        <f>TEXT(ASTemp!M1333,Percentages)</f>
        <v/>
      </c>
      <c r="N1333" s="72" t="str">
        <f>TEXT(ASTemp!N1333,Percentages)</f>
        <v/>
      </c>
    </row>
    <row r="1334" ht="14.25" customHeight="1">
      <c r="B1334" s="66" t="str">
        <f>ASTemp!B1334</f>
        <v/>
      </c>
      <c r="C1334" s="67" t="str">
        <f>ASTemp!C1334</f>
        <v/>
      </c>
      <c r="D1334" s="68" t="str">
        <f>ASTemp!D1334</f>
        <v/>
      </c>
      <c r="E1334" s="65" t="str">
        <f>ASTemp!E1334</f>
        <v/>
      </c>
      <c r="F1334" s="69" t="str">
        <f>TEXT(ASTemp!F1334,Decimals)</f>
        <v/>
      </c>
      <c r="G1334" s="69" t="str">
        <f>TEXT(ASTemp!G1334,Decimals)</f>
        <v/>
      </c>
      <c r="H1334" s="69" t="str">
        <f>TEXT(ASTemp!H1334,Decimals)</f>
        <v/>
      </c>
      <c r="I1334" s="69" t="str">
        <f>TEXT(ASTemp!I1334,Decimals)</f>
        <v/>
      </c>
      <c r="J1334" s="69" t="str">
        <f>TEXT(ASTemp!J1334,Decimals)</f>
        <v/>
      </c>
      <c r="K1334" s="69" t="str">
        <f>TEXT(ASTemp!K1334,Decimals)</f>
        <v/>
      </c>
      <c r="L1334" s="69" t="str">
        <f>TEXT(ASTemp!L1334,Decimals)</f>
        <v/>
      </c>
      <c r="M1334" s="71" t="str">
        <f>TEXT(ASTemp!M1334,Percentages)</f>
        <v/>
      </c>
      <c r="N1334" s="72" t="str">
        <f>TEXT(ASTemp!N1334,Percentages)</f>
        <v/>
      </c>
    </row>
    <row r="1335" ht="14.25" customHeight="1">
      <c r="B1335" s="66" t="str">
        <f>ASTemp!B1335</f>
        <v/>
      </c>
      <c r="C1335" s="67" t="str">
        <f>ASTemp!C1335</f>
        <v/>
      </c>
      <c r="D1335" s="68" t="str">
        <f>ASTemp!D1335</f>
        <v/>
      </c>
      <c r="E1335" s="65" t="str">
        <f>ASTemp!E1335</f>
        <v/>
      </c>
      <c r="F1335" s="69" t="str">
        <f>TEXT(ASTemp!F1335,Decimals)</f>
        <v/>
      </c>
      <c r="G1335" s="69" t="str">
        <f>TEXT(ASTemp!G1335,Decimals)</f>
        <v/>
      </c>
      <c r="H1335" s="69" t="str">
        <f>TEXT(ASTemp!H1335,Decimals)</f>
        <v/>
      </c>
      <c r="I1335" s="69" t="str">
        <f>TEXT(ASTemp!I1335,Decimals)</f>
        <v/>
      </c>
      <c r="J1335" s="69" t="str">
        <f>TEXT(ASTemp!J1335,Decimals)</f>
        <v/>
      </c>
      <c r="K1335" s="69" t="str">
        <f>TEXT(ASTemp!K1335,Decimals)</f>
        <v/>
      </c>
      <c r="L1335" s="69" t="str">
        <f>TEXT(ASTemp!L1335,Decimals)</f>
        <v/>
      </c>
      <c r="M1335" s="71" t="str">
        <f>TEXT(ASTemp!M1335,Percentages)</f>
        <v/>
      </c>
      <c r="N1335" s="72" t="str">
        <f>TEXT(ASTemp!N1335,Percentages)</f>
        <v/>
      </c>
    </row>
    <row r="1336" ht="14.25" customHeight="1">
      <c r="B1336" s="66" t="str">
        <f>ASTemp!B1336</f>
        <v/>
      </c>
      <c r="C1336" s="67" t="str">
        <f>ASTemp!C1336</f>
        <v/>
      </c>
      <c r="D1336" s="68" t="str">
        <f>ASTemp!D1336</f>
        <v/>
      </c>
      <c r="E1336" s="65" t="str">
        <f>ASTemp!E1336</f>
        <v/>
      </c>
      <c r="F1336" s="69" t="str">
        <f>TEXT(ASTemp!F1336,Decimals)</f>
        <v/>
      </c>
      <c r="G1336" s="69" t="str">
        <f>TEXT(ASTemp!G1336,Decimals)</f>
        <v/>
      </c>
      <c r="H1336" s="69" t="str">
        <f>TEXT(ASTemp!H1336,Decimals)</f>
        <v/>
      </c>
      <c r="I1336" s="69" t="str">
        <f>TEXT(ASTemp!I1336,Decimals)</f>
        <v/>
      </c>
      <c r="J1336" s="69" t="str">
        <f>TEXT(ASTemp!J1336,Decimals)</f>
        <v/>
      </c>
      <c r="K1336" s="69" t="str">
        <f>TEXT(ASTemp!K1336,Decimals)</f>
        <v/>
      </c>
      <c r="L1336" s="69" t="str">
        <f>TEXT(ASTemp!L1336,Decimals)</f>
        <v/>
      </c>
      <c r="M1336" s="71" t="str">
        <f>TEXT(ASTemp!M1336,Percentages)</f>
        <v/>
      </c>
      <c r="N1336" s="72" t="str">
        <f>TEXT(ASTemp!N1336,Percentages)</f>
        <v/>
      </c>
    </row>
    <row r="1337" ht="14.25" customHeight="1">
      <c r="B1337" s="66" t="str">
        <f>ASTemp!B1337</f>
        <v/>
      </c>
      <c r="C1337" s="67" t="str">
        <f>ASTemp!C1337</f>
        <v/>
      </c>
      <c r="D1337" s="68" t="str">
        <f>ASTemp!D1337</f>
        <v/>
      </c>
      <c r="E1337" s="65" t="str">
        <f>ASTemp!E1337</f>
        <v/>
      </c>
      <c r="F1337" s="69" t="str">
        <f>TEXT(ASTemp!F1337,Decimals)</f>
        <v/>
      </c>
      <c r="G1337" s="69" t="str">
        <f>TEXT(ASTemp!G1337,Decimals)</f>
        <v/>
      </c>
      <c r="H1337" s="69" t="str">
        <f>TEXT(ASTemp!H1337,Decimals)</f>
        <v/>
      </c>
      <c r="I1337" s="69" t="str">
        <f>TEXT(ASTemp!I1337,Decimals)</f>
        <v/>
      </c>
      <c r="J1337" s="69" t="str">
        <f>TEXT(ASTemp!J1337,Decimals)</f>
        <v/>
      </c>
      <c r="K1337" s="69" t="str">
        <f>TEXT(ASTemp!K1337,Decimals)</f>
        <v/>
      </c>
      <c r="L1337" s="69" t="str">
        <f>TEXT(ASTemp!L1337,Decimals)</f>
        <v/>
      </c>
      <c r="M1337" s="71" t="str">
        <f>TEXT(ASTemp!M1337,Percentages)</f>
        <v/>
      </c>
      <c r="N1337" s="72" t="str">
        <f>TEXT(ASTemp!N1337,Percentages)</f>
        <v/>
      </c>
    </row>
    <row r="1338" ht="14.25" customHeight="1">
      <c r="B1338" s="66" t="str">
        <f>ASTemp!B1338</f>
        <v/>
      </c>
      <c r="C1338" s="67" t="str">
        <f>ASTemp!C1338</f>
        <v/>
      </c>
      <c r="D1338" s="68" t="str">
        <f>ASTemp!D1338</f>
        <v/>
      </c>
      <c r="E1338" s="65" t="str">
        <f>ASTemp!E1338</f>
        <v/>
      </c>
      <c r="F1338" s="69" t="str">
        <f>TEXT(ASTemp!F1338,Decimals)</f>
        <v/>
      </c>
      <c r="G1338" s="69" t="str">
        <f>TEXT(ASTemp!G1338,Decimals)</f>
        <v/>
      </c>
      <c r="H1338" s="69" t="str">
        <f>TEXT(ASTemp!H1338,Decimals)</f>
        <v/>
      </c>
      <c r="I1338" s="69" t="str">
        <f>TEXT(ASTemp!I1338,Decimals)</f>
        <v/>
      </c>
      <c r="J1338" s="69" t="str">
        <f>TEXT(ASTemp!J1338,Decimals)</f>
        <v/>
      </c>
      <c r="K1338" s="69" t="str">
        <f>TEXT(ASTemp!K1338,Decimals)</f>
        <v/>
      </c>
      <c r="L1338" s="69" t="str">
        <f>TEXT(ASTemp!L1338,Decimals)</f>
        <v/>
      </c>
      <c r="M1338" s="71" t="str">
        <f>TEXT(ASTemp!M1338,Percentages)</f>
        <v/>
      </c>
      <c r="N1338" s="72" t="str">
        <f>TEXT(ASTemp!N1338,Percentages)</f>
        <v/>
      </c>
    </row>
    <row r="1339" ht="14.25" customHeight="1">
      <c r="B1339" s="66" t="str">
        <f>ASTemp!B1339</f>
        <v/>
      </c>
      <c r="C1339" s="67" t="str">
        <f>ASTemp!C1339</f>
        <v/>
      </c>
      <c r="D1339" s="68" t="str">
        <f>ASTemp!D1339</f>
        <v/>
      </c>
      <c r="E1339" s="65" t="str">
        <f>ASTemp!E1339</f>
        <v/>
      </c>
      <c r="F1339" s="69" t="str">
        <f>TEXT(ASTemp!F1339,Decimals)</f>
        <v/>
      </c>
      <c r="G1339" s="69" t="str">
        <f>TEXT(ASTemp!G1339,Decimals)</f>
        <v/>
      </c>
      <c r="H1339" s="69" t="str">
        <f>TEXT(ASTemp!H1339,Decimals)</f>
        <v/>
      </c>
      <c r="I1339" s="69" t="str">
        <f>TEXT(ASTemp!I1339,Decimals)</f>
        <v/>
      </c>
      <c r="J1339" s="69" t="str">
        <f>TEXT(ASTemp!J1339,Decimals)</f>
        <v/>
      </c>
      <c r="K1339" s="69" t="str">
        <f>TEXT(ASTemp!K1339,Decimals)</f>
        <v/>
      </c>
      <c r="L1339" s="69" t="str">
        <f>TEXT(ASTemp!L1339,Decimals)</f>
        <v/>
      </c>
      <c r="M1339" s="71" t="str">
        <f>TEXT(ASTemp!M1339,Percentages)</f>
        <v/>
      </c>
      <c r="N1339" s="72" t="str">
        <f>TEXT(ASTemp!N1339,Percentages)</f>
        <v/>
      </c>
    </row>
    <row r="1340" ht="14.25" customHeight="1">
      <c r="B1340" s="66" t="str">
        <f>ASTemp!B1340</f>
        <v/>
      </c>
      <c r="C1340" s="67" t="str">
        <f>ASTemp!C1340</f>
        <v/>
      </c>
      <c r="D1340" s="68" t="str">
        <f>ASTemp!D1340</f>
        <v/>
      </c>
      <c r="E1340" s="65" t="str">
        <f>ASTemp!E1340</f>
        <v/>
      </c>
      <c r="F1340" s="69" t="str">
        <f>TEXT(ASTemp!F1340,Decimals)</f>
        <v/>
      </c>
      <c r="G1340" s="69" t="str">
        <f>TEXT(ASTemp!G1340,Decimals)</f>
        <v/>
      </c>
      <c r="H1340" s="69" t="str">
        <f>TEXT(ASTemp!H1340,Decimals)</f>
        <v/>
      </c>
      <c r="I1340" s="69" t="str">
        <f>TEXT(ASTemp!I1340,Decimals)</f>
        <v/>
      </c>
      <c r="J1340" s="69" t="str">
        <f>TEXT(ASTemp!J1340,Decimals)</f>
        <v/>
      </c>
      <c r="K1340" s="69" t="str">
        <f>TEXT(ASTemp!K1340,Decimals)</f>
        <v/>
      </c>
      <c r="L1340" s="69" t="str">
        <f>TEXT(ASTemp!L1340,Decimals)</f>
        <v/>
      </c>
      <c r="M1340" s="71" t="str">
        <f>TEXT(ASTemp!M1340,Percentages)</f>
        <v/>
      </c>
      <c r="N1340" s="72" t="str">
        <f>TEXT(ASTemp!N1340,Percentages)</f>
        <v/>
      </c>
    </row>
    <row r="1341" ht="14.25" customHeight="1">
      <c r="B1341" s="66" t="str">
        <f>ASTemp!B1341</f>
        <v/>
      </c>
      <c r="C1341" s="67" t="str">
        <f>ASTemp!C1341</f>
        <v/>
      </c>
      <c r="D1341" s="68" t="str">
        <f>ASTemp!D1341</f>
        <v/>
      </c>
      <c r="E1341" s="65" t="str">
        <f>ASTemp!E1341</f>
        <v/>
      </c>
      <c r="F1341" s="69" t="str">
        <f>TEXT(ASTemp!F1341,Decimals)</f>
        <v/>
      </c>
      <c r="G1341" s="69" t="str">
        <f>TEXT(ASTemp!G1341,Decimals)</f>
        <v/>
      </c>
      <c r="H1341" s="69" t="str">
        <f>TEXT(ASTemp!H1341,Decimals)</f>
        <v/>
      </c>
      <c r="I1341" s="69" t="str">
        <f>TEXT(ASTemp!I1341,Decimals)</f>
        <v/>
      </c>
      <c r="J1341" s="69" t="str">
        <f>TEXT(ASTemp!J1341,Decimals)</f>
        <v/>
      </c>
      <c r="K1341" s="69" t="str">
        <f>TEXT(ASTemp!K1341,Decimals)</f>
        <v/>
      </c>
      <c r="L1341" s="69" t="str">
        <f>TEXT(ASTemp!L1341,Decimals)</f>
        <v/>
      </c>
      <c r="M1341" s="71" t="str">
        <f>TEXT(ASTemp!M1341,Percentages)</f>
        <v/>
      </c>
      <c r="N1341" s="72" t="str">
        <f>TEXT(ASTemp!N1341,Percentages)</f>
        <v/>
      </c>
    </row>
    <row r="1342" ht="14.25" customHeight="1">
      <c r="B1342" s="66" t="str">
        <f>ASTemp!B1342</f>
        <v/>
      </c>
      <c r="C1342" s="67" t="str">
        <f>ASTemp!C1342</f>
        <v/>
      </c>
      <c r="D1342" s="68" t="str">
        <f>ASTemp!D1342</f>
        <v/>
      </c>
      <c r="E1342" s="65" t="str">
        <f>ASTemp!E1342</f>
        <v/>
      </c>
      <c r="F1342" s="69" t="str">
        <f>TEXT(ASTemp!F1342,Decimals)</f>
        <v/>
      </c>
      <c r="G1342" s="69" t="str">
        <f>TEXT(ASTemp!G1342,Decimals)</f>
        <v/>
      </c>
      <c r="H1342" s="69" t="str">
        <f>TEXT(ASTemp!H1342,Decimals)</f>
        <v/>
      </c>
      <c r="I1342" s="69" t="str">
        <f>TEXT(ASTemp!I1342,Decimals)</f>
        <v/>
      </c>
      <c r="J1342" s="69" t="str">
        <f>TEXT(ASTemp!J1342,Decimals)</f>
        <v/>
      </c>
      <c r="K1342" s="69" t="str">
        <f>TEXT(ASTemp!K1342,Decimals)</f>
        <v/>
      </c>
      <c r="L1342" s="69" t="str">
        <f>TEXT(ASTemp!L1342,Decimals)</f>
        <v/>
      </c>
      <c r="M1342" s="71" t="str">
        <f>TEXT(ASTemp!M1342,Percentages)</f>
        <v/>
      </c>
      <c r="N1342" s="72" t="str">
        <f>TEXT(ASTemp!N1342,Percentages)</f>
        <v/>
      </c>
    </row>
    <row r="1343" ht="14.25" customHeight="1">
      <c r="B1343" s="66" t="str">
        <f>ASTemp!B1343</f>
        <v/>
      </c>
      <c r="C1343" s="67" t="str">
        <f>ASTemp!C1343</f>
        <v/>
      </c>
      <c r="D1343" s="68" t="str">
        <f>ASTemp!D1343</f>
        <v/>
      </c>
      <c r="E1343" s="65" t="str">
        <f>ASTemp!E1343</f>
        <v/>
      </c>
      <c r="F1343" s="69" t="str">
        <f>TEXT(ASTemp!F1343,Decimals)</f>
        <v/>
      </c>
      <c r="G1343" s="69" t="str">
        <f>TEXT(ASTemp!G1343,Decimals)</f>
        <v/>
      </c>
      <c r="H1343" s="69" t="str">
        <f>TEXT(ASTemp!H1343,Decimals)</f>
        <v/>
      </c>
      <c r="I1343" s="69" t="str">
        <f>TEXT(ASTemp!I1343,Decimals)</f>
        <v/>
      </c>
      <c r="J1343" s="69" t="str">
        <f>TEXT(ASTemp!J1343,Decimals)</f>
        <v/>
      </c>
      <c r="K1343" s="69" t="str">
        <f>TEXT(ASTemp!K1343,Decimals)</f>
        <v/>
      </c>
      <c r="L1343" s="69" t="str">
        <f>TEXT(ASTemp!L1343,Decimals)</f>
        <v/>
      </c>
      <c r="M1343" s="71" t="str">
        <f>TEXT(ASTemp!M1343,Percentages)</f>
        <v/>
      </c>
      <c r="N1343" s="72" t="str">
        <f>TEXT(ASTemp!N1343,Percentages)</f>
        <v/>
      </c>
    </row>
    <row r="1344" ht="14.25" customHeight="1">
      <c r="B1344" s="66" t="str">
        <f>ASTemp!B1344</f>
        <v/>
      </c>
      <c r="C1344" s="67" t="str">
        <f>ASTemp!C1344</f>
        <v/>
      </c>
      <c r="D1344" s="68" t="str">
        <f>ASTemp!D1344</f>
        <v/>
      </c>
      <c r="E1344" s="65" t="str">
        <f>ASTemp!E1344</f>
        <v/>
      </c>
      <c r="F1344" s="69" t="str">
        <f>TEXT(ASTemp!F1344,Decimals)</f>
        <v/>
      </c>
      <c r="G1344" s="69" t="str">
        <f>TEXT(ASTemp!G1344,Decimals)</f>
        <v/>
      </c>
      <c r="H1344" s="69" t="str">
        <f>TEXT(ASTemp!H1344,Decimals)</f>
        <v/>
      </c>
      <c r="I1344" s="69" t="str">
        <f>TEXT(ASTemp!I1344,Decimals)</f>
        <v/>
      </c>
      <c r="J1344" s="69" t="str">
        <f>TEXT(ASTemp!J1344,Decimals)</f>
        <v/>
      </c>
      <c r="K1344" s="69" t="str">
        <f>TEXT(ASTemp!K1344,Decimals)</f>
        <v/>
      </c>
      <c r="L1344" s="69" t="str">
        <f>TEXT(ASTemp!L1344,Decimals)</f>
        <v/>
      </c>
      <c r="M1344" s="71" t="str">
        <f>TEXT(ASTemp!M1344,Percentages)</f>
        <v/>
      </c>
      <c r="N1344" s="72" t="str">
        <f>TEXT(ASTemp!N1344,Percentages)</f>
        <v/>
      </c>
    </row>
    <row r="1345" ht="14.25" customHeight="1">
      <c r="B1345" s="66" t="str">
        <f>ASTemp!B1345</f>
        <v/>
      </c>
      <c r="C1345" s="67" t="str">
        <f>ASTemp!C1345</f>
        <v/>
      </c>
      <c r="D1345" s="68" t="str">
        <f>ASTemp!D1345</f>
        <v/>
      </c>
      <c r="E1345" s="65" t="str">
        <f>ASTemp!E1345</f>
        <v/>
      </c>
      <c r="F1345" s="69" t="str">
        <f>TEXT(ASTemp!F1345,Decimals)</f>
        <v/>
      </c>
      <c r="G1345" s="69" t="str">
        <f>TEXT(ASTemp!G1345,Decimals)</f>
        <v/>
      </c>
      <c r="H1345" s="69" t="str">
        <f>TEXT(ASTemp!H1345,Decimals)</f>
        <v/>
      </c>
      <c r="I1345" s="69" t="str">
        <f>TEXT(ASTemp!I1345,Decimals)</f>
        <v/>
      </c>
      <c r="J1345" s="69" t="str">
        <f>TEXT(ASTemp!J1345,Decimals)</f>
        <v/>
      </c>
      <c r="K1345" s="69" t="str">
        <f>TEXT(ASTemp!K1345,Decimals)</f>
        <v/>
      </c>
      <c r="L1345" s="69" t="str">
        <f>TEXT(ASTemp!L1345,Decimals)</f>
        <v/>
      </c>
      <c r="M1345" s="71" t="str">
        <f>TEXT(ASTemp!M1345,Percentages)</f>
        <v/>
      </c>
      <c r="N1345" s="72" t="str">
        <f>TEXT(ASTemp!N1345,Percentages)</f>
        <v/>
      </c>
    </row>
    <row r="1346" ht="14.25" customHeight="1">
      <c r="B1346" s="66" t="str">
        <f>ASTemp!B1346</f>
        <v/>
      </c>
      <c r="C1346" s="67" t="str">
        <f>ASTemp!C1346</f>
        <v/>
      </c>
      <c r="D1346" s="68" t="str">
        <f>ASTemp!D1346</f>
        <v/>
      </c>
      <c r="E1346" s="65" t="str">
        <f>ASTemp!E1346</f>
        <v/>
      </c>
      <c r="F1346" s="69" t="str">
        <f>TEXT(ASTemp!F1346,Decimals)</f>
        <v/>
      </c>
      <c r="G1346" s="69" t="str">
        <f>TEXT(ASTemp!G1346,Decimals)</f>
        <v/>
      </c>
      <c r="H1346" s="69" t="str">
        <f>TEXT(ASTemp!H1346,Decimals)</f>
        <v/>
      </c>
      <c r="I1346" s="69" t="str">
        <f>TEXT(ASTemp!I1346,Decimals)</f>
        <v/>
      </c>
      <c r="J1346" s="69" t="str">
        <f>TEXT(ASTemp!J1346,Decimals)</f>
        <v/>
      </c>
      <c r="K1346" s="69" t="str">
        <f>TEXT(ASTemp!K1346,Decimals)</f>
        <v/>
      </c>
      <c r="L1346" s="69" t="str">
        <f>TEXT(ASTemp!L1346,Decimals)</f>
        <v/>
      </c>
      <c r="M1346" s="71" t="str">
        <f>TEXT(ASTemp!M1346,Percentages)</f>
        <v/>
      </c>
      <c r="N1346" s="72" t="str">
        <f>TEXT(ASTemp!N1346,Percentages)</f>
        <v/>
      </c>
    </row>
    <row r="1347" ht="14.25" customHeight="1">
      <c r="B1347" s="66" t="str">
        <f>ASTemp!B1347</f>
        <v/>
      </c>
      <c r="C1347" s="67" t="str">
        <f>ASTemp!C1347</f>
        <v/>
      </c>
      <c r="D1347" s="68" t="str">
        <f>ASTemp!D1347</f>
        <v/>
      </c>
      <c r="E1347" s="65" t="str">
        <f>ASTemp!E1347</f>
        <v/>
      </c>
      <c r="F1347" s="69" t="str">
        <f>TEXT(ASTemp!F1347,Decimals)</f>
        <v/>
      </c>
      <c r="G1347" s="69" t="str">
        <f>TEXT(ASTemp!G1347,Decimals)</f>
        <v/>
      </c>
      <c r="H1347" s="69" t="str">
        <f>TEXT(ASTemp!H1347,Decimals)</f>
        <v/>
      </c>
      <c r="I1347" s="69" t="str">
        <f>TEXT(ASTemp!I1347,Decimals)</f>
        <v/>
      </c>
      <c r="J1347" s="69" t="str">
        <f>TEXT(ASTemp!J1347,Decimals)</f>
        <v/>
      </c>
      <c r="K1347" s="69" t="str">
        <f>TEXT(ASTemp!K1347,Decimals)</f>
        <v/>
      </c>
      <c r="L1347" s="69" t="str">
        <f>TEXT(ASTemp!L1347,Decimals)</f>
        <v/>
      </c>
      <c r="M1347" s="71" t="str">
        <f>TEXT(ASTemp!M1347,Percentages)</f>
        <v/>
      </c>
      <c r="N1347" s="72" t="str">
        <f>TEXT(ASTemp!N1347,Percentages)</f>
        <v/>
      </c>
    </row>
    <row r="1348" ht="14.25" customHeight="1">
      <c r="B1348" s="66" t="str">
        <f>ASTemp!B1348</f>
        <v/>
      </c>
      <c r="C1348" s="67" t="str">
        <f>ASTemp!C1348</f>
        <v/>
      </c>
      <c r="D1348" s="68" t="str">
        <f>ASTemp!D1348</f>
        <v/>
      </c>
      <c r="E1348" s="65" t="str">
        <f>ASTemp!E1348</f>
        <v/>
      </c>
      <c r="F1348" s="69" t="str">
        <f>TEXT(ASTemp!F1348,Decimals)</f>
        <v/>
      </c>
      <c r="G1348" s="69" t="str">
        <f>TEXT(ASTemp!G1348,Decimals)</f>
        <v/>
      </c>
      <c r="H1348" s="69" t="str">
        <f>TEXT(ASTemp!H1348,Decimals)</f>
        <v/>
      </c>
      <c r="I1348" s="69" t="str">
        <f>TEXT(ASTemp!I1348,Decimals)</f>
        <v/>
      </c>
      <c r="J1348" s="69" t="str">
        <f>TEXT(ASTemp!J1348,Decimals)</f>
        <v/>
      </c>
      <c r="K1348" s="69" t="str">
        <f>TEXT(ASTemp!K1348,Decimals)</f>
        <v/>
      </c>
      <c r="L1348" s="69" t="str">
        <f>TEXT(ASTemp!L1348,Decimals)</f>
        <v/>
      </c>
      <c r="M1348" s="71" t="str">
        <f>TEXT(ASTemp!M1348,Percentages)</f>
        <v/>
      </c>
      <c r="N1348" s="72" t="str">
        <f>TEXT(ASTemp!N1348,Percentages)</f>
        <v/>
      </c>
    </row>
    <row r="1349" ht="14.25" customHeight="1">
      <c r="B1349" s="66" t="str">
        <f>ASTemp!B1349</f>
        <v/>
      </c>
      <c r="C1349" s="67" t="str">
        <f>ASTemp!C1349</f>
        <v/>
      </c>
      <c r="D1349" s="68" t="str">
        <f>ASTemp!D1349</f>
        <v/>
      </c>
      <c r="E1349" s="65" t="str">
        <f>ASTemp!E1349</f>
        <v/>
      </c>
      <c r="F1349" s="69" t="str">
        <f>TEXT(ASTemp!F1349,Decimals)</f>
        <v/>
      </c>
      <c r="G1349" s="69" t="str">
        <f>TEXT(ASTemp!G1349,Decimals)</f>
        <v/>
      </c>
      <c r="H1349" s="69" t="str">
        <f>TEXT(ASTemp!H1349,Decimals)</f>
        <v/>
      </c>
      <c r="I1349" s="69" t="str">
        <f>TEXT(ASTemp!I1349,Decimals)</f>
        <v/>
      </c>
      <c r="J1349" s="69" t="str">
        <f>TEXT(ASTemp!J1349,Decimals)</f>
        <v/>
      </c>
      <c r="K1349" s="69" t="str">
        <f>TEXT(ASTemp!K1349,Decimals)</f>
        <v/>
      </c>
      <c r="L1349" s="69" t="str">
        <f>TEXT(ASTemp!L1349,Decimals)</f>
        <v/>
      </c>
      <c r="M1349" s="71" t="str">
        <f>TEXT(ASTemp!M1349,Percentages)</f>
        <v/>
      </c>
      <c r="N1349" s="72" t="str">
        <f>TEXT(ASTemp!N1349,Percentages)</f>
        <v/>
      </c>
    </row>
    <row r="1350" ht="14.25" customHeight="1">
      <c r="B1350" s="66" t="str">
        <f>ASTemp!B1350</f>
        <v/>
      </c>
      <c r="C1350" s="67" t="str">
        <f>ASTemp!C1350</f>
        <v/>
      </c>
      <c r="D1350" s="68" t="str">
        <f>ASTemp!D1350</f>
        <v/>
      </c>
      <c r="E1350" s="65" t="str">
        <f>ASTemp!E1350</f>
        <v/>
      </c>
      <c r="F1350" s="69" t="str">
        <f>TEXT(ASTemp!F1350,Decimals)</f>
        <v/>
      </c>
      <c r="G1350" s="69" t="str">
        <f>TEXT(ASTemp!G1350,Decimals)</f>
        <v/>
      </c>
      <c r="H1350" s="69" t="str">
        <f>TEXT(ASTemp!H1350,Decimals)</f>
        <v/>
      </c>
      <c r="I1350" s="69" t="str">
        <f>TEXT(ASTemp!I1350,Decimals)</f>
        <v/>
      </c>
      <c r="J1350" s="69" t="str">
        <f>TEXT(ASTemp!J1350,Decimals)</f>
        <v/>
      </c>
      <c r="K1350" s="69" t="str">
        <f>TEXT(ASTemp!K1350,Decimals)</f>
        <v/>
      </c>
      <c r="L1350" s="69" t="str">
        <f>TEXT(ASTemp!L1350,Decimals)</f>
        <v/>
      </c>
      <c r="M1350" s="71" t="str">
        <f>TEXT(ASTemp!M1350,Percentages)</f>
        <v/>
      </c>
      <c r="N1350" s="72" t="str">
        <f>TEXT(ASTemp!N1350,Percentages)</f>
        <v/>
      </c>
    </row>
    <row r="1351" ht="14.25" customHeight="1">
      <c r="B1351" s="66" t="str">
        <f>ASTemp!B1351</f>
        <v/>
      </c>
      <c r="C1351" s="67" t="str">
        <f>ASTemp!C1351</f>
        <v/>
      </c>
      <c r="D1351" s="68" t="str">
        <f>ASTemp!D1351</f>
        <v/>
      </c>
      <c r="E1351" s="65" t="str">
        <f>ASTemp!E1351</f>
        <v/>
      </c>
      <c r="F1351" s="69" t="str">
        <f>TEXT(ASTemp!F1351,Decimals)</f>
        <v/>
      </c>
      <c r="G1351" s="69" t="str">
        <f>TEXT(ASTemp!G1351,Decimals)</f>
        <v/>
      </c>
      <c r="H1351" s="69" t="str">
        <f>TEXT(ASTemp!H1351,Decimals)</f>
        <v/>
      </c>
      <c r="I1351" s="69" t="str">
        <f>TEXT(ASTemp!I1351,Decimals)</f>
        <v/>
      </c>
      <c r="J1351" s="69" t="str">
        <f>TEXT(ASTemp!J1351,Decimals)</f>
        <v/>
      </c>
      <c r="K1351" s="69" t="str">
        <f>TEXT(ASTemp!K1351,Decimals)</f>
        <v/>
      </c>
      <c r="L1351" s="69" t="str">
        <f>TEXT(ASTemp!L1351,Decimals)</f>
        <v/>
      </c>
      <c r="M1351" s="71" t="str">
        <f>TEXT(ASTemp!M1351,Percentages)</f>
        <v/>
      </c>
      <c r="N1351" s="72" t="str">
        <f>TEXT(ASTemp!N1351,Percentages)</f>
        <v/>
      </c>
    </row>
    <row r="1352" ht="14.25" customHeight="1">
      <c r="B1352" s="66" t="str">
        <f>ASTemp!B1352</f>
        <v/>
      </c>
      <c r="C1352" s="67" t="str">
        <f>ASTemp!C1352</f>
        <v/>
      </c>
      <c r="D1352" s="68" t="str">
        <f>ASTemp!D1352</f>
        <v/>
      </c>
      <c r="E1352" s="65" t="str">
        <f>ASTemp!E1352</f>
        <v/>
      </c>
      <c r="F1352" s="69" t="str">
        <f>TEXT(ASTemp!F1352,Decimals)</f>
        <v/>
      </c>
      <c r="G1352" s="69" t="str">
        <f>TEXT(ASTemp!G1352,Decimals)</f>
        <v/>
      </c>
      <c r="H1352" s="69" t="str">
        <f>TEXT(ASTemp!H1352,Decimals)</f>
        <v/>
      </c>
      <c r="I1352" s="69" t="str">
        <f>TEXT(ASTemp!I1352,Decimals)</f>
        <v/>
      </c>
      <c r="J1352" s="69" t="str">
        <f>TEXT(ASTemp!J1352,Decimals)</f>
        <v/>
      </c>
      <c r="K1352" s="69" t="str">
        <f>TEXT(ASTemp!K1352,Decimals)</f>
        <v/>
      </c>
      <c r="L1352" s="69" t="str">
        <f>TEXT(ASTemp!L1352,Decimals)</f>
        <v/>
      </c>
      <c r="M1352" s="71" t="str">
        <f>TEXT(ASTemp!M1352,Percentages)</f>
        <v/>
      </c>
      <c r="N1352" s="72" t="str">
        <f>TEXT(ASTemp!N1352,Percentages)</f>
        <v/>
      </c>
    </row>
    <row r="1353" ht="14.25" customHeight="1">
      <c r="B1353" s="66" t="str">
        <f>ASTemp!B1353</f>
        <v/>
      </c>
      <c r="C1353" s="67" t="str">
        <f>ASTemp!C1353</f>
        <v/>
      </c>
      <c r="D1353" s="68" t="str">
        <f>ASTemp!D1353</f>
        <v/>
      </c>
      <c r="E1353" s="65" t="str">
        <f>ASTemp!E1353</f>
        <v/>
      </c>
      <c r="F1353" s="69" t="str">
        <f>TEXT(ASTemp!F1353,Decimals)</f>
        <v/>
      </c>
      <c r="G1353" s="69" t="str">
        <f>TEXT(ASTemp!G1353,Decimals)</f>
        <v/>
      </c>
      <c r="H1353" s="69" t="str">
        <f>TEXT(ASTemp!H1353,Decimals)</f>
        <v/>
      </c>
      <c r="I1353" s="69" t="str">
        <f>TEXT(ASTemp!I1353,Decimals)</f>
        <v/>
      </c>
      <c r="J1353" s="69" t="str">
        <f>TEXT(ASTemp!J1353,Decimals)</f>
        <v/>
      </c>
      <c r="K1353" s="69" t="str">
        <f>TEXT(ASTemp!K1353,Decimals)</f>
        <v/>
      </c>
      <c r="L1353" s="69" t="str">
        <f>TEXT(ASTemp!L1353,Decimals)</f>
        <v/>
      </c>
      <c r="M1353" s="71" t="str">
        <f>TEXT(ASTemp!M1353,Percentages)</f>
        <v/>
      </c>
      <c r="N1353" s="72" t="str">
        <f>TEXT(ASTemp!N1353,Percentages)</f>
        <v/>
      </c>
    </row>
    <row r="1354" ht="14.25" customHeight="1">
      <c r="B1354" s="66" t="str">
        <f>ASTemp!B1354</f>
        <v/>
      </c>
      <c r="C1354" s="67" t="str">
        <f>ASTemp!C1354</f>
        <v/>
      </c>
      <c r="D1354" s="68" t="str">
        <f>ASTemp!D1354</f>
        <v/>
      </c>
      <c r="E1354" s="65" t="str">
        <f>ASTemp!E1354</f>
        <v/>
      </c>
      <c r="F1354" s="69" t="str">
        <f>TEXT(ASTemp!F1354,Decimals)</f>
        <v/>
      </c>
      <c r="G1354" s="69" t="str">
        <f>TEXT(ASTemp!G1354,Decimals)</f>
        <v/>
      </c>
      <c r="H1354" s="69" t="str">
        <f>TEXT(ASTemp!H1354,Decimals)</f>
        <v/>
      </c>
      <c r="I1354" s="69" t="str">
        <f>TEXT(ASTemp!I1354,Decimals)</f>
        <v/>
      </c>
      <c r="J1354" s="69" t="str">
        <f>TEXT(ASTemp!J1354,Decimals)</f>
        <v/>
      </c>
      <c r="K1354" s="69" t="str">
        <f>TEXT(ASTemp!K1354,Decimals)</f>
        <v/>
      </c>
      <c r="L1354" s="69" t="str">
        <f>TEXT(ASTemp!L1354,Decimals)</f>
        <v/>
      </c>
      <c r="M1354" s="71" t="str">
        <f>TEXT(ASTemp!M1354,Percentages)</f>
        <v/>
      </c>
      <c r="N1354" s="72" t="str">
        <f>TEXT(ASTemp!N1354,Percentages)</f>
        <v/>
      </c>
    </row>
    <row r="1355" ht="14.25" customHeight="1">
      <c r="B1355" s="66" t="str">
        <f>ASTemp!B1355</f>
        <v/>
      </c>
      <c r="C1355" s="67" t="str">
        <f>ASTemp!C1355</f>
        <v/>
      </c>
      <c r="D1355" s="68" t="str">
        <f>ASTemp!D1355</f>
        <v/>
      </c>
      <c r="E1355" s="65" t="str">
        <f>ASTemp!E1355</f>
        <v/>
      </c>
      <c r="F1355" s="69" t="str">
        <f>TEXT(ASTemp!F1355,Decimals)</f>
        <v/>
      </c>
      <c r="G1355" s="69" t="str">
        <f>TEXT(ASTemp!G1355,Decimals)</f>
        <v/>
      </c>
      <c r="H1355" s="69" t="str">
        <f>TEXT(ASTemp!H1355,Decimals)</f>
        <v/>
      </c>
      <c r="I1355" s="69" t="str">
        <f>TEXT(ASTemp!I1355,Decimals)</f>
        <v/>
      </c>
      <c r="J1355" s="69" t="str">
        <f>TEXT(ASTemp!J1355,Decimals)</f>
        <v/>
      </c>
      <c r="K1355" s="69" t="str">
        <f>TEXT(ASTemp!K1355,Decimals)</f>
        <v/>
      </c>
      <c r="L1355" s="69" t="str">
        <f>TEXT(ASTemp!L1355,Decimals)</f>
        <v/>
      </c>
      <c r="M1355" s="71" t="str">
        <f>TEXT(ASTemp!M1355,Percentages)</f>
        <v/>
      </c>
      <c r="N1355" s="72" t="str">
        <f>TEXT(ASTemp!N1355,Percentages)</f>
        <v/>
      </c>
    </row>
    <row r="1356" ht="14.25" customHeight="1">
      <c r="B1356" s="66" t="str">
        <f>ASTemp!B1356</f>
        <v/>
      </c>
      <c r="C1356" s="67" t="str">
        <f>ASTemp!C1356</f>
        <v/>
      </c>
      <c r="D1356" s="68" t="str">
        <f>ASTemp!D1356</f>
        <v/>
      </c>
      <c r="E1356" s="65" t="str">
        <f>ASTemp!E1356</f>
        <v/>
      </c>
      <c r="F1356" s="69" t="str">
        <f>TEXT(ASTemp!F1356,Decimals)</f>
        <v/>
      </c>
      <c r="G1356" s="69" t="str">
        <f>TEXT(ASTemp!G1356,Decimals)</f>
        <v/>
      </c>
      <c r="H1356" s="69" t="str">
        <f>TEXT(ASTemp!H1356,Decimals)</f>
        <v/>
      </c>
      <c r="I1356" s="69" t="str">
        <f>TEXT(ASTemp!I1356,Decimals)</f>
        <v/>
      </c>
      <c r="J1356" s="69" t="str">
        <f>TEXT(ASTemp!J1356,Decimals)</f>
        <v/>
      </c>
      <c r="K1356" s="69" t="str">
        <f>TEXT(ASTemp!K1356,Decimals)</f>
        <v/>
      </c>
      <c r="L1356" s="69" t="str">
        <f>TEXT(ASTemp!L1356,Decimals)</f>
        <v/>
      </c>
      <c r="M1356" s="71" t="str">
        <f>TEXT(ASTemp!M1356,Percentages)</f>
        <v/>
      </c>
      <c r="N1356" s="72" t="str">
        <f>TEXT(ASTemp!N1356,Percentages)</f>
        <v/>
      </c>
    </row>
    <row r="1357" ht="14.25" customHeight="1">
      <c r="B1357" s="66" t="str">
        <f>ASTemp!B1357</f>
        <v/>
      </c>
      <c r="C1357" s="67" t="str">
        <f>ASTemp!C1357</f>
        <v/>
      </c>
      <c r="D1357" s="68" t="str">
        <f>ASTemp!D1357</f>
        <v/>
      </c>
      <c r="E1357" s="65" t="str">
        <f>ASTemp!E1357</f>
        <v/>
      </c>
      <c r="F1357" s="69" t="str">
        <f>TEXT(ASTemp!F1357,Decimals)</f>
        <v/>
      </c>
      <c r="G1357" s="69" t="str">
        <f>TEXT(ASTemp!G1357,Decimals)</f>
        <v/>
      </c>
      <c r="H1357" s="69" t="str">
        <f>TEXT(ASTemp!H1357,Decimals)</f>
        <v/>
      </c>
      <c r="I1357" s="69" t="str">
        <f>TEXT(ASTemp!I1357,Decimals)</f>
        <v/>
      </c>
      <c r="J1357" s="69" t="str">
        <f>TEXT(ASTemp!J1357,Decimals)</f>
        <v/>
      </c>
      <c r="K1357" s="69" t="str">
        <f>TEXT(ASTemp!K1357,Decimals)</f>
        <v/>
      </c>
      <c r="L1357" s="69" t="str">
        <f>TEXT(ASTemp!L1357,Decimals)</f>
        <v/>
      </c>
      <c r="M1357" s="71" t="str">
        <f>TEXT(ASTemp!M1357,Percentages)</f>
        <v/>
      </c>
      <c r="N1357" s="72" t="str">
        <f>TEXT(ASTemp!N1357,Percentages)</f>
        <v/>
      </c>
    </row>
    <row r="1358" ht="14.25" customHeight="1">
      <c r="B1358" s="66" t="str">
        <f>ASTemp!B1358</f>
        <v/>
      </c>
      <c r="C1358" s="67" t="str">
        <f>ASTemp!C1358</f>
        <v/>
      </c>
      <c r="D1358" s="68" t="str">
        <f>ASTemp!D1358</f>
        <v/>
      </c>
      <c r="E1358" s="65" t="str">
        <f>ASTemp!E1358</f>
        <v/>
      </c>
      <c r="F1358" s="69" t="str">
        <f>TEXT(ASTemp!F1358,Decimals)</f>
        <v/>
      </c>
      <c r="G1358" s="69" t="str">
        <f>TEXT(ASTemp!G1358,Decimals)</f>
        <v/>
      </c>
      <c r="H1358" s="69" t="str">
        <f>TEXT(ASTemp!H1358,Decimals)</f>
        <v/>
      </c>
      <c r="I1358" s="69" t="str">
        <f>TEXT(ASTemp!I1358,Decimals)</f>
        <v/>
      </c>
      <c r="J1358" s="69" t="str">
        <f>TEXT(ASTemp!J1358,Decimals)</f>
        <v/>
      </c>
      <c r="K1358" s="69" t="str">
        <f>TEXT(ASTemp!K1358,Decimals)</f>
        <v/>
      </c>
      <c r="L1358" s="69" t="str">
        <f>TEXT(ASTemp!L1358,Decimals)</f>
        <v/>
      </c>
      <c r="M1358" s="71" t="str">
        <f>TEXT(ASTemp!M1358,Percentages)</f>
        <v/>
      </c>
      <c r="N1358" s="72" t="str">
        <f>TEXT(ASTemp!N1358,Percentages)</f>
        <v/>
      </c>
    </row>
    <row r="1359" ht="14.25" customHeight="1">
      <c r="B1359" s="66" t="str">
        <f>ASTemp!B1359</f>
        <v/>
      </c>
      <c r="C1359" s="67" t="str">
        <f>ASTemp!C1359</f>
        <v/>
      </c>
      <c r="D1359" s="68" t="str">
        <f>ASTemp!D1359</f>
        <v/>
      </c>
      <c r="E1359" s="65" t="str">
        <f>ASTemp!E1359</f>
        <v/>
      </c>
      <c r="F1359" s="69" t="str">
        <f>TEXT(ASTemp!F1359,Decimals)</f>
        <v/>
      </c>
      <c r="G1359" s="69" t="str">
        <f>TEXT(ASTemp!G1359,Decimals)</f>
        <v/>
      </c>
      <c r="H1359" s="69" t="str">
        <f>TEXT(ASTemp!H1359,Decimals)</f>
        <v/>
      </c>
      <c r="I1359" s="69" t="str">
        <f>TEXT(ASTemp!I1359,Decimals)</f>
        <v/>
      </c>
      <c r="J1359" s="69" t="str">
        <f>TEXT(ASTemp!J1359,Decimals)</f>
        <v/>
      </c>
      <c r="K1359" s="69" t="str">
        <f>TEXT(ASTemp!K1359,Decimals)</f>
        <v/>
      </c>
      <c r="L1359" s="69" t="str">
        <f>TEXT(ASTemp!L1359,Decimals)</f>
        <v/>
      </c>
      <c r="M1359" s="71" t="str">
        <f>TEXT(ASTemp!M1359,Percentages)</f>
        <v/>
      </c>
      <c r="N1359" s="72" t="str">
        <f>TEXT(ASTemp!N1359,Percentages)</f>
        <v/>
      </c>
    </row>
    <row r="1360" ht="14.25" customHeight="1">
      <c r="B1360" s="66" t="str">
        <f>ASTemp!B1360</f>
        <v/>
      </c>
      <c r="C1360" s="67" t="str">
        <f>ASTemp!C1360</f>
        <v/>
      </c>
      <c r="D1360" s="68" t="str">
        <f>ASTemp!D1360</f>
        <v/>
      </c>
      <c r="E1360" s="65" t="str">
        <f>ASTemp!E1360</f>
        <v/>
      </c>
      <c r="F1360" s="69" t="str">
        <f>TEXT(ASTemp!F1360,Decimals)</f>
        <v/>
      </c>
      <c r="G1360" s="69" t="str">
        <f>TEXT(ASTemp!G1360,Decimals)</f>
        <v/>
      </c>
      <c r="H1360" s="69" t="str">
        <f>TEXT(ASTemp!H1360,Decimals)</f>
        <v/>
      </c>
      <c r="I1360" s="69" t="str">
        <f>TEXT(ASTemp!I1360,Decimals)</f>
        <v/>
      </c>
      <c r="J1360" s="69" t="str">
        <f>TEXT(ASTemp!J1360,Decimals)</f>
        <v/>
      </c>
      <c r="K1360" s="69" t="str">
        <f>TEXT(ASTemp!K1360,Decimals)</f>
        <v/>
      </c>
      <c r="L1360" s="69" t="str">
        <f>TEXT(ASTemp!L1360,Decimals)</f>
        <v/>
      </c>
      <c r="M1360" s="71" t="str">
        <f>TEXT(ASTemp!M1360,Percentages)</f>
        <v/>
      </c>
      <c r="N1360" s="72" t="str">
        <f>TEXT(ASTemp!N1360,Percentages)</f>
        <v/>
      </c>
    </row>
    <row r="1361" ht="14.25" customHeight="1">
      <c r="B1361" s="66" t="str">
        <f>ASTemp!B1361</f>
        <v/>
      </c>
      <c r="C1361" s="67" t="str">
        <f>ASTemp!C1361</f>
        <v/>
      </c>
      <c r="D1361" s="68" t="str">
        <f>ASTemp!D1361</f>
        <v/>
      </c>
      <c r="E1361" s="65" t="str">
        <f>ASTemp!E1361</f>
        <v/>
      </c>
      <c r="F1361" s="69" t="str">
        <f>TEXT(ASTemp!F1361,Decimals)</f>
        <v/>
      </c>
      <c r="G1361" s="69" t="str">
        <f>TEXT(ASTemp!G1361,Decimals)</f>
        <v/>
      </c>
      <c r="H1361" s="69" t="str">
        <f>TEXT(ASTemp!H1361,Decimals)</f>
        <v/>
      </c>
      <c r="I1361" s="69" t="str">
        <f>TEXT(ASTemp!I1361,Decimals)</f>
        <v/>
      </c>
      <c r="J1361" s="69" t="str">
        <f>TEXT(ASTemp!J1361,Decimals)</f>
        <v/>
      </c>
      <c r="K1361" s="69" t="str">
        <f>TEXT(ASTemp!K1361,Decimals)</f>
        <v/>
      </c>
      <c r="L1361" s="69" t="str">
        <f>TEXT(ASTemp!L1361,Decimals)</f>
        <v/>
      </c>
      <c r="M1361" s="71" t="str">
        <f>TEXT(ASTemp!M1361,Percentages)</f>
        <v/>
      </c>
      <c r="N1361" s="72" t="str">
        <f>TEXT(ASTemp!N1361,Percentages)</f>
        <v/>
      </c>
    </row>
    <row r="1362" ht="14.25" customHeight="1">
      <c r="B1362" s="66" t="str">
        <f>ASTemp!B1362</f>
        <v/>
      </c>
      <c r="C1362" s="67" t="str">
        <f>ASTemp!C1362</f>
        <v/>
      </c>
      <c r="D1362" s="68" t="str">
        <f>ASTemp!D1362</f>
        <v/>
      </c>
      <c r="E1362" s="65" t="str">
        <f>ASTemp!E1362</f>
        <v/>
      </c>
      <c r="F1362" s="69" t="str">
        <f>TEXT(ASTemp!F1362,Decimals)</f>
        <v/>
      </c>
      <c r="G1362" s="69" t="str">
        <f>TEXT(ASTemp!G1362,Decimals)</f>
        <v/>
      </c>
      <c r="H1362" s="69" t="str">
        <f>TEXT(ASTemp!H1362,Decimals)</f>
        <v/>
      </c>
      <c r="I1362" s="69" t="str">
        <f>TEXT(ASTemp!I1362,Decimals)</f>
        <v/>
      </c>
      <c r="J1362" s="69" t="str">
        <f>TEXT(ASTemp!J1362,Decimals)</f>
        <v/>
      </c>
      <c r="K1362" s="69" t="str">
        <f>TEXT(ASTemp!K1362,Decimals)</f>
        <v/>
      </c>
      <c r="L1362" s="69" t="str">
        <f>TEXT(ASTemp!L1362,Decimals)</f>
        <v/>
      </c>
      <c r="M1362" s="71" t="str">
        <f>TEXT(ASTemp!M1362,Percentages)</f>
        <v/>
      </c>
      <c r="N1362" s="72" t="str">
        <f>TEXT(ASTemp!N1362,Percentages)</f>
        <v/>
      </c>
    </row>
    <row r="1363" ht="14.25" customHeight="1">
      <c r="B1363" s="66" t="str">
        <f>ASTemp!B1363</f>
        <v/>
      </c>
      <c r="C1363" s="67" t="str">
        <f>ASTemp!C1363</f>
        <v/>
      </c>
      <c r="D1363" s="68" t="str">
        <f>ASTemp!D1363</f>
        <v/>
      </c>
      <c r="E1363" s="65" t="str">
        <f>ASTemp!E1363</f>
        <v/>
      </c>
      <c r="F1363" s="69" t="str">
        <f>TEXT(ASTemp!F1363,Decimals)</f>
        <v/>
      </c>
      <c r="G1363" s="69" t="str">
        <f>TEXT(ASTemp!G1363,Decimals)</f>
        <v/>
      </c>
      <c r="H1363" s="69" t="str">
        <f>TEXT(ASTemp!H1363,Decimals)</f>
        <v/>
      </c>
      <c r="I1363" s="69" t="str">
        <f>TEXT(ASTemp!I1363,Decimals)</f>
        <v/>
      </c>
      <c r="J1363" s="69" t="str">
        <f>TEXT(ASTemp!J1363,Decimals)</f>
        <v/>
      </c>
      <c r="K1363" s="69" t="str">
        <f>TEXT(ASTemp!K1363,Decimals)</f>
        <v/>
      </c>
      <c r="L1363" s="69" t="str">
        <f>TEXT(ASTemp!L1363,Decimals)</f>
        <v/>
      </c>
      <c r="M1363" s="71" t="str">
        <f>TEXT(ASTemp!M1363,Percentages)</f>
        <v/>
      </c>
      <c r="N1363" s="72" t="str">
        <f>TEXT(ASTemp!N1363,Percentages)</f>
        <v/>
      </c>
    </row>
    <row r="1364" ht="14.25" customHeight="1">
      <c r="B1364" s="66" t="str">
        <f>ASTemp!B1364</f>
        <v/>
      </c>
      <c r="C1364" s="67" t="str">
        <f>ASTemp!C1364</f>
        <v/>
      </c>
      <c r="D1364" s="68" t="str">
        <f>ASTemp!D1364</f>
        <v/>
      </c>
      <c r="E1364" s="65" t="str">
        <f>ASTemp!E1364</f>
        <v/>
      </c>
      <c r="F1364" s="69" t="str">
        <f>TEXT(ASTemp!F1364,Decimals)</f>
        <v/>
      </c>
      <c r="G1364" s="69" t="str">
        <f>TEXT(ASTemp!G1364,Decimals)</f>
        <v/>
      </c>
      <c r="H1364" s="69" t="str">
        <f>TEXT(ASTemp!H1364,Decimals)</f>
        <v/>
      </c>
      <c r="I1364" s="69" t="str">
        <f>TEXT(ASTemp!I1364,Decimals)</f>
        <v/>
      </c>
      <c r="J1364" s="69" t="str">
        <f>TEXT(ASTemp!J1364,Decimals)</f>
        <v/>
      </c>
      <c r="K1364" s="69" t="str">
        <f>TEXT(ASTemp!K1364,Decimals)</f>
        <v/>
      </c>
      <c r="L1364" s="69" t="str">
        <f>TEXT(ASTemp!L1364,Decimals)</f>
        <v/>
      </c>
      <c r="M1364" s="71" t="str">
        <f>TEXT(ASTemp!M1364,Percentages)</f>
        <v/>
      </c>
      <c r="N1364" s="72" t="str">
        <f>TEXT(ASTemp!N1364,Percentages)</f>
        <v/>
      </c>
    </row>
    <row r="1365" ht="14.25" customHeight="1">
      <c r="B1365" s="66" t="str">
        <f>ASTemp!B1365</f>
        <v/>
      </c>
      <c r="C1365" s="67" t="str">
        <f>ASTemp!C1365</f>
        <v/>
      </c>
      <c r="D1365" s="68" t="str">
        <f>ASTemp!D1365</f>
        <v/>
      </c>
      <c r="E1365" s="65" t="str">
        <f>ASTemp!E1365</f>
        <v/>
      </c>
      <c r="F1365" s="69" t="str">
        <f>TEXT(ASTemp!F1365,Decimals)</f>
        <v/>
      </c>
      <c r="G1365" s="69" t="str">
        <f>TEXT(ASTemp!G1365,Decimals)</f>
        <v/>
      </c>
      <c r="H1365" s="69" t="str">
        <f>TEXT(ASTemp!H1365,Decimals)</f>
        <v/>
      </c>
      <c r="I1365" s="69" t="str">
        <f>TEXT(ASTemp!I1365,Decimals)</f>
        <v/>
      </c>
      <c r="J1365" s="69" t="str">
        <f>TEXT(ASTemp!J1365,Decimals)</f>
        <v/>
      </c>
      <c r="K1365" s="69" t="str">
        <f>TEXT(ASTemp!K1365,Decimals)</f>
        <v/>
      </c>
      <c r="L1365" s="69" t="str">
        <f>TEXT(ASTemp!L1365,Decimals)</f>
        <v/>
      </c>
      <c r="M1365" s="71" t="str">
        <f>TEXT(ASTemp!M1365,Percentages)</f>
        <v/>
      </c>
      <c r="N1365" s="72" t="str">
        <f>TEXT(ASTemp!N1365,Percentages)</f>
        <v/>
      </c>
    </row>
    <row r="1366" ht="14.25" customHeight="1">
      <c r="B1366" s="66" t="str">
        <f>ASTemp!B1366</f>
        <v/>
      </c>
      <c r="C1366" s="67" t="str">
        <f>ASTemp!C1366</f>
        <v/>
      </c>
      <c r="D1366" s="68" t="str">
        <f>ASTemp!D1366</f>
        <v/>
      </c>
      <c r="E1366" s="65" t="str">
        <f>ASTemp!E1366</f>
        <v/>
      </c>
      <c r="F1366" s="69" t="str">
        <f>TEXT(ASTemp!F1366,Decimals)</f>
        <v/>
      </c>
      <c r="G1366" s="69" t="str">
        <f>TEXT(ASTemp!G1366,Decimals)</f>
        <v/>
      </c>
      <c r="H1366" s="69" t="str">
        <f>TEXT(ASTemp!H1366,Decimals)</f>
        <v/>
      </c>
      <c r="I1366" s="69" t="str">
        <f>TEXT(ASTemp!I1366,Decimals)</f>
        <v/>
      </c>
      <c r="J1366" s="69" t="str">
        <f>TEXT(ASTemp!J1366,Decimals)</f>
        <v/>
      </c>
      <c r="K1366" s="69" t="str">
        <f>TEXT(ASTemp!K1366,Decimals)</f>
        <v/>
      </c>
      <c r="L1366" s="69" t="str">
        <f>TEXT(ASTemp!L1366,Decimals)</f>
        <v/>
      </c>
      <c r="M1366" s="71" t="str">
        <f>TEXT(ASTemp!M1366,Percentages)</f>
        <v/>
      </c>
      <c r="N1366" s="72" t="str">
        <f>TEXT(ASTemp!N1366,Percentages)</f>
        <v/>
      </c>
    </row>
    <row r="1367" ht="14.25" customHeight="1">
      <c r="B1367" s="66" t="str">
        <f>ASTemp!B1367</f>
        <v/>
      </c>
      <c r="C1367" s="67" t="str">
        <f>ASTemp!C1367</f>
        <v/>
      </c>
      <c r="D1367" s="68" t="str">
        <f>ASTemp!D1367</f>
        <v/>
      </c>
      <c r="E1367" s="65" t="str">
        <f>ASTemp!E1367</f>
        <v/>
      </c>
      <c r="F1367" s="69" t="str">
        <f>TEXT(ASTemp!F1367,Decimals)</f>
        <v/>
      </c>
      <c r="G1367" s="69" t="str">
        <f>TEXT(ASTemp!G1367,Decimals)</f>
        <v/>
      </c>
      <c r="H1367" s="69" t="str">
        <f>TEXT(ASTemp!H1367,Decimals)</f>
        <v/>
      </c>
      <c r="I1367" s="69" t="str">
        <f>TEXT(ASTemp!I1367,Decimals)</f>
        <v/>
      </c>
      <c r="J1367" s="69" t="str">
        <f>TEXT(ASTemp!J1367,Decimals)</f>
        <v/>
      </c>
      <c r="K1367" s="69" t="str">
        <f>TEXT(ASTemp!K1367,Decimals)</f>
        <v/>
      </c>
      <c r="L1367" s="69" t="str">
        <f>TEXT(ASTemp!L1367,Decimals)</f>
        <v/>
      </c>
      <c r="M1367" s="71" t="str">
        <f>TEXT(ASTemp!M1367,Percentages)</f>
        <v/>
      </c>
      <c r="N1367" s="72" t="str">
        <f>TEXT(ASTemp!N1367,Percentages)</f>
        <v/>
      </c>
    </row>
    <row r="1368" ht="14.25" customHeight="1">
      <c r="B1368" s="66" t="str">
        <f>ASTemp!B1368</f>
        <v/>
      </c>
      <c r="C1368" s="67" t="str">
        <f>ASTemp!C1368</f>
        <v/>
      </c>
      <c r="D1368" s="68" t="str">
        <f>ASTemp!D1368</f>
        <v/>
      </c>
      <c r="E1368" s="65" t="str">
        <f>ASTemp!E1368</f>
        <v/>
      </c>
      <c r="F1368" s="69" t="str">
        <f>TEXT(ASTemp!F1368,Decimals)</f>
        <v/>
      </c>
      <c r="G1368" s="69" t="str">
        <f>TEXT(ASTemp!G1368,Decimals)</f>
        <v/>
      </c>
      <c r="H1368" s="69" t="str">
        <f>TEXT(ASTemp!H1368,Decimals)</f>
        <v/>
      </c>
      <c r="I1368" s="69" t="str">
        <f>TEXT(ASTemp!I1368,Decimals)</f>
        <v/>
      </c>
      <c r="J1368" s="69" t="str">
        <f>TEXT(ASTemp!J1368,Decimals)</f>
        <v/>
      </c>
      <c r="K1368" s="69" t="str">
        <f>TEXT(ASTemp!K1368,Decimals)</f>
        <v/>
      </c>
      <c r="L1368" s="69" t="str">
        <f>TEXT(ASTemp!L1368,Decimals)</f>
        <v/>
      </c>
      <c r="M1368" s="71" t="str">
        <f>TEXT(ASTemp!M1368,Percentages)</f>
        <v/>
      </c>
      <c r="N1368" s="72" t="str">
        <f>TEXT(ASTemp!N1368,Percentages)</f>
        <v/>
      </c>
    </row>
    <row r="1369" ht="14.25" customHeight="1">
      <c r="B1369" s="66" t="str">
        <f>ASTemp!B1369</f>
        <v/>
      </c>
      <c r="C1369" s="67" t="str">
        <f>ASTemp!C1369</f>
        <v/>
      </c>
      <c r="D1369" s="68" t="str">
        <f>ASTemp!D1369</f>
        <v/>
      </c>
      <c r="E1369" s="65" t="str">
        <f>ASTemp!E1369</f>
        <v/>
      </c>
      <c r="F1369" s="69" t="str">
        <f>TEXT(ASTemp!F1369,Decimals)</f>
        <v/>
      </c>
      <c r="G1369" s="69" t="str">
        <f>TEXT(ASTemp!G1369,Decimals)</f>
        <v/>
      </c>
      <c r="H1369" s="69" t="str">
        <f>TEXT(ASTemp!H1369,Decimals)</f>
        <v/>
      </c>
      <c r="I1369" s="69" t="str">
        <f>TEXT(ASTemp!I1369,Decimals)</f>
        <v/>
      </c>
      <c r="J1369" s="69" t="str">
        <f>TEXT(ASTemp!J1369,Decimals)</f>
        <v/>
      </c>
      <c r="K1369" s="69" t="str">
        <f>TEXT(ASTemp!K1369,Decimals)</f>
        <v/>
      </c>
      <c r="L1369" s="69" t="str">
        <f>TEXT(ASTemp!L1369,Decimals)</f>
        <v/>
      </c>
      <c r="M1369" s="71" t="str">
        <f>TEXT(ASTemp!M1369,Percentages)</f>
        <v/>
      </c>
      <c r="N1369" s="72" t="str">
        <f>TEXT(ASTemp!N1369,Percentages)</f>
        <v/>
      </c>
    </row>
    <row r="1370" ht="14.25" customHeight="1">
      <c r="B1370" s="66" t="str">
        <f>ASTemp!B1370</f>
        <v/>
      </c>
      <c r="C1370" s="67" t="str">
        <f>ASTemp!C1370</f>
        <v/>
      </c>
      <c r="D1370" s="68" t="str">
        <f>ASTemp!D1370</f>
        <v/>
      </c>
      <c r="E1370" s="65" t="str">
        <f>ASTemp!E1370</f>
        <v/>
      </c>
      <c r="F1370" s="69" t="str">
        <f>TEXT(ASTemp!F1370,Decimals)</f>
        <v/>
      </c>
      <c r="G1370" s="69" t="str">
        <f>TEXT(ASTemp!G1370,Decimals)</f>
        <v/>
      </c>
      <c r="H1370" s="69" t="str">
        <f>TEXT(ASTemp!H1370,Decimals)</f>
        <v/>
      </c>
      <c r="I1370" s="69" t="str">
        <f>TEXT(ASTemp!I1370,Decimals)</f>
        <v/>
      </c>
      <c r="J1370" s="69" t="str">
        <f>TEXT(ASTemp!J1370,Decimals)</f>
        <v/>
      </c>
      <c r="K1370" s="69" t="str">
        <f>TEXT(ASTemp!K1370,Decimals)</f>
        <v/>
      </c>
      <c r="L1370" s="69" t="str">
        <f>TEXT(ASTemp!L1370,Decimals)</f>
        <v/>
      </c>
      <c r="M1370" s="71" t="str">
        <f>TEXT(ASTemp!M1370,Percentages)</f>
        <v/>
      </c>
      <c r="N1370" s="72" t="str">
        <f>TEXT(ASTemp!N1370,Percentages)</f>
        <v/>
      </c>
    </row>
    <row r="1371" ht="14.25" customHeight="1">
      <c r="B1371" s="66" t="str">
        <f>ASTemp!B1371</f>
        <v/>
      </c>
      <c r="C1371" s="67" t="str">
        <f>ASTemp!C1371</f>
        <v/>
      </c>
      <c r="D1371" s="68" t="str">
        <f>ASTemp!D1371</f>
        <v/>
      </c>
      <c r="E1371" s="65" t="str">
        <f>ASTemp!E1371</f>
        <v/>
      </c>
      <c r="F1371" s="69" t="str">
        <f>TEXT(ASTemp!F1371,Decimals)</f>
        <v/>
      </c>
      <c r="G1371" s="69" t="str">
        <f>TEXT(ASTemp!G1371,Decimals)</f>
        <v/>
      </c>
      <c r="H1371" s="69" t="str">
        <f>TEXT(ASTemp!H1371,Decimals)</f>
        <v/>
      </c>
      <c r="I1371" s="69" t="str">
        <f>TEXT(ASTemp!I1371,Decimals)</f>
        <v/>
      </c>
      <c r="J1371" s="69" t="str">
        <f>TEXT(ASTemp!J1371,Decimals)</f>
        <v/>
      </c>
      <c r="K1371" s="69" t="str">
        <f>TEXT(ASTemp!K1371,Decimals)</f>
        <v/>
      </c>
      <c r="L1371" s="69" t="str">
        <f>TEXT(ASTemp!L1371,Decimals)</f>
        <v/>
      </c>
      <c r="M1371" s="71" t="str">
        <f>TEXT(ASTemp!M1371,Percentages)</f>
        <v/>
      </c>
      <c r="N1371" s="72" t="str">
        <f>TEXT(ASTemp!N1371,Percentages)</f>
        <v/>
      </c>
    </row>
    <row r="1372" ht="14.25" customHeight="1">
      <c r="B1372" s="66" t="str">
        <f>ASTemp!B1372</f>
        <v/>
      </c>
      <c r="C1372" s="67" t="str">
        <f>ASTemp!C1372</f>
        <v/>
      </c>
      <c r="D1372" s="68" t="str">
        <f>ASTemp!D1372</f>
        <v/>
      </c>
      <c r="E1372" s="65" t="str">
        <f>ASTemp!E1372</f>
        <v/>
      </c>
      <c r="F1372" s="69" t="str">
        <f>TEXT(ASTemp!F1372,Decimals)</f>
        <v/>
      </c>
      <c r="G1372" s="69" t="str">
        <f>TEXT(ASTemp!G1372,Decimals)</f>
        <v/>
      </c>
      <c r="H1372" s="69" t="str">
        <f>TEXT(ASTemp!H1372,Decimals)</f>
        <v/>
      </c>
      <c r="I1372" s="69" t="str">
        <f>TEXT(ASTemp!I1372,Decimals)</f>
        <v/>
      </c>
      <c r="J1372" s="69" t="str">
        <f>TEXT(ASTemp!J1372,Decimals)</f>
        <v/>
      </c>
      <c r="K1372" s="69" t="str">
        <f>TEXT(ASTemp!K1372,Decimals)</f>
        <v/>
      </c>
      <c r="L1372" s="69" t="str">
        <f>TEXT(ASTemp!L1372,Decimals)</f>
        <v/>
      </c>
      <c r="M1372" s="71" t="str">
        <f>TEXT(ASTemp!M1372,Percentages)</f>
        <v/>
      </c>
      <c r="N1372" s="72" t="str">
        <f>TEXT(ASTemp!N1372,Percentages)</f>
        <v/>
      </c>
    </row>
    <row r="1373" ht="14.25" customHeight="1">
      <c r="B1373" s="66" t="str">
        <f>ASTemp!B1373</f>
        <v/>
      </c>
      <c r="C1373" s="67" t="str">
        <f>ASTemp!C1373</f>
        <v/>
      </c>
      <c r="D1373" s="68" t="str">
        <f>ASTemp!D1373</f>
        <v/>
      </c>
      <c r="E1373" s="65" t="str">
        <f>ASTemp!E1373</f>
        <v/>
      </c>
      <c r="F1373" s="69" t="str">
        <f>TEXT(ASTemp!F1373,Decimals)</f>
        <v/>
      </c>
      <c r="G1373" s="69" t="str">
        <f>TEXT(ASTemp!G1373,Decimals)</f>
        <v/>
      </c>
      <c r="H1373" s="69" t="str">
        <f>TEXT(ASTemp!H1373,Decimals)</f>
        <v/>
      </c>
      <c r="I1373" s="69" t="str">
        <f>TEXT(ASTemp!I1373,Decimals)</f>
        <v/>
      </c>
      <c r="J1373" s="69" t="str">
        <f>TEXT(ASTemp!J1373,Decimals)</f>
        <v/>
      </c>
      <c r="K1373" s="69" t="str">
        <f>TEXT(ASTemp!K1373,Decimals)</f>
        <v/>
      </c>
      <c r="L1373" s="69" t="str">
        <f>TEXT(ASTemp!L1373,Decimals)</f>
        <v/>
      </c>
      <c r="M1373" s="71" t="str">
        <f>TEXT(ASTemp!M1373,Percentages)</f>
        <v/>
      </c>
      <c r="N1373" s="72" t="str">
        <f>TEXT(ASTemp!N1373,Percentages)</f>
        <v/>
      </c>
    </row>
    <row r="1374" ht="14.25" customHeight="1">
      <c r="B1374" s="66" t="str">
        <f>ASTemp!B1374</f>
        <v/>
      </c>
      <c r="C1374" s="67" t="str">
        <f>ASTemp!C1374</f>
        <v/>
      </c>
      <c r="D1374" s="68" t="str">
        <f>ASTemp!D1374</f>
        <v/>
      </c>
      <c r="E1374" s="65" t="str">
        <f>ASTemp!E1374</f>
        <v/>
      </c>
      <c r="F1374" s="69" t="str">
        <f>TEXT(ASTemp!F1374,Decimals)</f>
        <v/>
      </c>
      <c r="G1374" s="69" t="str">
        <f>TEXT(ASTemp!G1374,Decimals)</f>
        <v/>
      </c>
      <c r="H1374" s="69" t="str">
        <f>TEXT(ASTemp!H1374,Decimals)</f>
        <v/>
      </c>
      <c r="I1374" s="69" t="str">
        <f>TEXT(ASTemp!I1374,Decimals)</f>
        <v/>
      </c>
      <c r="J1374" s="69" t="str">
        <f>TEXT(ASTemp!J1374,Decimals)</f>
        <v/>
      </c>
      <c r="K1374" s="69" t="str">
        <f>TEXT(ASTemp!K1374,Decimals)</f>
        <v/>
      </c>
      <c r="L1374" s="69" t="str">
        <f>TEXT(ASTemp!L1374,Decimals)</f>
        <v/>
      </c>
      <c r="M1374" s="71" t="str">
        <f>TEXT(ASTemp!M1374,Percentages)</f>
        <v/>
      </c>
      <c r="N1374" s="72" t="str">
        <f>TEXT(ASTemp!N1374,Percentages)</f>
        <v/>
      </c>
    </row>
    <row r="1375" ht="14.25" customHeight="1">
      <c r="B1375" s="66" t="str">
        <f>ASTemp!B1375</f>
        <v/>
      </c>
      <c r="C1375" s="67" t="str">
        <f>ASTemp!C1375</f>
        <v/>
      </c>
      <c r="D1375" s="68" t="str">
        <f>ASTemp!D1375</f>
        <v/>
      </c>
      <c r="E1375" s="65" t="str">
        <f>ASTemp!E1375</f>
        <v/>
      </c>
      <c r="F1375" s="69" t="str">
        <f>TEXT(ASTemp!F1375,Decimals)</f>
        <v/>
      </c>
      <c r="G1375" s="69" t="str">
        <f>TEXT(ASTemp!G1375,Decimals)</f>
        <v/>
      </c>
      <c r="H1375" s="69" t="str">
        <f>TEXT(ASTemp!H1375,Decimals)</f>
        <v/>
      </c>
      <c r="I1375" s="69" t="str">
        <f>TEXT(ASTemp!I1375,Decimals)</f>
        <v/>
      </c>
      <c r="J1375" s="69" t="str">
        <f>TEXT(ASTemp!J1375,Decimals)</f>
        <v/>
      </c>
      <c r="K1375" s="69" t="str">
        <f>TEXT(ASTemp!K1375,Decimals)</f>
        <v/>
      </c>
      <c r="L1375" s="69" t="str">
        <f>TEXT(ASTemp!L1375,Decimals)</f>
        <v/>
      </c>
      <c r="M1375" s="71" t="str">
        <f>TEXT(ASTemp!M1375,Percentages)</f>
        <v/>
      </c>
      <c r="N1375" s="72" t="str">
        <f>TEXT(ASTemp!N1375,Percentages)</f>
        <v/>
      </c>
    </row>
    <row r="1376" ht="14.25" customHeight="1">
      <c r="B1376" s="66" t="str">
        <f>ASTemp!B1376</f>
        <v/>
      </c>
      <c r="C1376" s="67" t="str">
        <f>ASTemp!C1376</f>
        <v/>
      </c>
      <c r="D1376" s="68" t="str">
        <f>ASTemp!D1376</f>
        <v/>
      </c>
      <c r="E1376" s="65" t="str">
        <f>ASTemp!E1376</f>
        <v/>
      </c>
      <c r="F1376" s="69" t="str">
        <f>TEXT(ASTemp!F1376,Decimals)</f>
        <v/>
      </c>
      <c r="G1376" s="69" t="str">
        <f>TEXT(ASTemp!G1376,Decimals)</f>
        <v/>
      </c>
      <c r="H1376" s="69" t="str">
        <f>TEXT(ASTemp!H1376,Decimals)</f>
        <v/>
      </c>
      <c r="I1376" s="69" t="str">
        <f>TEXT(ASTemp!I1376,Decimals)</f>
        <v/>
      </c>
      <c r="J1376" s="69" t="str">
        <f>TEXT(ASTemp!J1376,Decimals)</f>
        <v/>
      </c>
      <c r="K1376" s="69" t="str">
        <f>TEXT(ASTemp!K1376,Decimals)</f>
        <v/>
      </c>
      <c r="L1376" s="69" t="str">
        <f>TEXT(ASTemp!L1376,Decimals)</f>
        <v/>
      </c>
      <c r="M1376" s="71" t="str">
        <f>TEXT(ASTemp!M1376,Percentages)</f>
        <v/>
      </c>
      <c r="N1376" s="72" t="str">
        <f>TEXT(ASTemp!N1376,Percentages)</f>
        <v/>
      </c>
    </row>
    <row r="1377" ht="14.25" customHeight="1">
      <c r="B1377" s="66" t="str">
        <f>ASTemp!B1377</f>
        <v/>
      </c>
      <c r="C1377" s="67" t="str">
        <f>ASTemp!C1377</f>
        <v/>
      </c>
      <c r="D1377" s="68" t="str">
        <f>ASTemp!D1377</f>
        <v/>
      </c>
      <c r="E1377" s="65" t="str">
        <f>ASTemp!E1377</f>
        <v/>
      </c>
      <c r="F1377" s="69" t="str">
        <f>TEXT(ASTemp!F1377,Decimals)</f>
        <v/>
      </c>
      <c r="G1377" s="69" t="str">
        <f>TEXT(ASTemp!G1377,Decimals)</f>
        <v/>
      </c>
      <c r="H1377" s="69" t="str">
        <f>TEXT(ASTemp!H1377,Decimals)</f>
        <v/>
      </c>
      <c r="I1377" s="69" t="str">
        <f>TEXT(ASTemp!I1377,Decimals)</f>
        <v/>
      </c>
      <c r="J1377" s="69" t="str">
        <f>TEXT(ASTemp!J1377,Decimals)</f>
        <v/>
      </c>
      <c r="K1377" s="69" t="str">
        <f>TEXT(ASTemp!K1377,Decimals)</f>
        <v/>
      </c>
      <c r="L1377" s="69" t="str">
        <f>TEXT(ASTemp!L1377,Decimals)</f>
        <v/>
      </c>
      <c r="M1377" s="71" t="str">
        <f>TEXT(ASTemp!M1377,Percentages)</f>
        <v/>
      </c>
      <c r="N1377" s="72" t="str">
        <f>TEXT(ASTemp!N1377,Percentages)</f>
        <v/>
      </c>
    </row>
    <row r="1378" ht="14.25" customHeight="1">
      <c r="B1378" s="66" t="str">
        <f>ASTemp!B1378</f>
        <v/>
      </c>
      <c r="C1378" s="67" t="str">
        <f>ASTemp!C1378</f>
        <v/>
      </c>
      <c r="D1378" s="68" t="str">
        <f>ASTemp!D1378</f>
        <v/>
      </c>
      <c r="E1378" s="65" t="str">
        <f>ASTemp!E1378</f>
        <v/>
      </c>
      <c r="F1378" s="69" t="str">
        <f>TEXT(ASTemp!F1378,Decimals)</f>
        <v/>
      </c>
      <c r="G1378" s="69" t="str">
        <f>TEXT(ASTemp!G1378,Decimals)</f>
        <v/>
      </c>
      <c r="H1378" s="69" t="str">
        <f>TEXT(ASTemp!H1378,Decimals)</f>
        <v/>
      </c>
      <c r="I1378" s="69" t="str">
        <f>TEXT(ASTemp!I1378,Decimals)</f>
        <v/>
      </c>
      <c r="J1378" s="69" t="str">
        <f>TEXT(ASTemp!J1378,Decimals)</f>
        <v/>
      </c>
      <c r="K1378" s="69" t="str">
        <f>TEXT(ASTemp!K1378,Decimals)</f>
        <v/>
      </c>
      <c r="L1378" s="69" t="str">
        <f>TEXT(ASTemp!L1378,Decimals)</f>
        <v/>
      </c>
      <c r="M1378" s="71" t="str">
        <f>TEXT(ASTemp!M1378,Percentages)</f>
        <v/>
      </c>
      <c r="N1378" s="72" t="str">
        <f>TEXT(ASTemp!N1378,Percentages)</f>
        <v/>
      </c>
    </row>
    <row r="1379" ht="14.25" customHeight="1">
      <c r="B1379" s="66" t="str">
        <f>ASTemp!B1379</f>
        <v/>
      </c>
      <c r="C1379" s="67" t="str">
        <f>ASTemp!C1379</f>
        <v/>
      </c>
      <c r="D1379" s="68" t="str">
        <f>ASTemp!D1379</f>
        <v/>
      </c>
      <c r="E1379" s="65" t="str">
        <f>ASTemp!E1379</f>
        <v/>
      </c>
      <c r="F1379" s="69" t="str">
        <f>TEXT(ASTemp!F1379,Decimals)</f>
        <v/>
      </c>
      <c r="G1379" s="69" t="str">
        <f>TEXT(ASTemp!G1379,Decimals)</f>
        <v/>
      </c>
      <c r="H1379" s="69" t="str">
        <f>TEXT(ASTemp!H1379,Decimals)</f>
        <v/>
      </c>
      <c r="I1379" s="69" t="str">
        <f>TEXT(ASTemp!I1379,Decimals)</f>
        <v/>
      </c>
      <c r="J1379" s="69" t="str">
        <f>TEXT(ASTemp!J1379,Decimals)</f>
        <v/>
      </c>
      <c r="K1379" s="69" t="str">
        <f>TEXT(ASTemp!K1379,Decimals)</f>
        <v/>
      </c>
      <c r="L1379" s="69" t="str">
        <f>TEXT(ASTemp!L1379,Decimals)</f>
        <v/>
      </c>
      <c r="M1379" s="71" t="str">
        <f>TEXT(ASTemp!M1379,Percentages)</f>
        <v/>
      </c>
      <c r="N1379" s="72" t="str">
        <f>TEXT(ASTemp!N1379,Percentages)</f>
        <v/>
      </c>
    </row>
    <row r="1380" ht="14.25" customHeight="1">
      <c r="B1380" s="66" t="str">
        <f>ASTemp!B1380</f>
        <v/>
      </c>
      <c r="C1380" s="67" t="str">
        <f>ASTemp!C1380</f>
        <v/>
      </c>
      <c r="D1380" s="68" t="str">
        <f>ASTemp!D1380</f>
        <v/>
      </c>
      <c r="E1380" s="65" t="str">
        <f>ASTemp!E1380</f>
        <v/>
      </c>
      <c r="F1380" s="69" t="str">
        <f>TEXT(ASTemp!F1380,Decimals)</f>
        <v/>
      </c>
      <c r="G1380" s="69" t="str">
        <f>TEXT(ASTemp!G1380,Decimals)</f>
        <v/>
      </c>
      <c r="H1380" s="69" t="str">
        <f>TEXT(ASTemp!H1380,Decimals)</f>
        <v/>
      </c>
      <c r="I1380" s="69" t="str">
        <f>TEXT(ASTemp!I1380,Decimals)</f>
        <v/>
      </c>
      <c r="J1380" s="69" t="str">
        <f>TEXT(ASTemp!J1380,Decimals)</f>
        <v/>
      </c>
      <c r="K1380" s="69" t="str">
        <f>TEXT(ASTemp!K1380,Decimals)</f>
        <v/>
      </c>
      <c r="L1380" s="69" t="str">
        <f>TEXT(ASTemp!L1380,Decimals)</f>
        <v/>
      </c>
      <c r="M1380" s="71" t="str">
        <f>TEXT(ASTemp!M1380,Percentages)</f>
        <v/>
      </c>
      <c r="N1380" s="72" t="str">
        <f>TEXT(ASTemp!N1380,Percentages)</f>
        <v/>
      </c>
    </row>
    <row r="1381" ht="14.25" customHeight="1">
      <c r="B1381" s="66" t="str">
        <f>ASTemp!B1381</f>
        <v/>
      </c>
      <c r="C1381" s="67" t="str">
        <f>ASTemp!C1381</f>
        <v/>
      </c>
      <c r="D1381" s="68" t="str">
        <f>ASTemp!D1381</f>
        <v/>
      </c>
      <c r="E1381" s="65" t="str">
        <f>ASTemp!E1381</f>
        <v/>
      </c>
      <c r="F1381" s="69" t="str">
        <f>TEXT(ASTemp!F1381,Decimals)</f>
        <v/>
      </c>
      <c r="G1381" s="69" t="str">
        <f>TEXT(ASTemp!G1381,Decimals)</f>
        <v/>
      </c>
      <c r="H1381" s="69" t="str">
        <f>TEXT(ASTemp!H1381,Decimals)</f>
        <v/>
      </c>
      <c r="I1381" s="69" t="str">
        <f>TEXT(ASTemp!I1381,Decimals)</f>
        <v/>
      </c>
      <c r="J1381" s="69" t="str">
        <f>TEXT(ASTemp!J1381,Decimals)</f>
        <v/>
      </c>
      <c r="K1381" s="69" t="str">
        <f>TEXT(ASTemp!K1381,Decimals)</f>
        <v/>
      </c>
      <c r="L1381" s="69" t="str">
        <f>TEXT(ASTemp!L1381,Decimals)</f>
        <v/>
      </c>
      <c r="M1381" s="71" t="str">
        <f>TEXT(ASTemp!M1381,Percentages)</f>
        <v/>
      </c>
      <c r="N1381" s="72" t="str">
        <f>TEXT(ASTemp!N1381,Percentages)</f>
        <v/>
      </c>
    </row>
    <row r="1382" ht="14.25" customHeight="1">
      <c r="B1382" s="66" t="str">
        <f>ASTemp!B1382</f>
        <v/>
      </c>
      <c r="C1382" s="67" t="str">
        <f>ASTemp!C1382</f>
        <v/>
      </c>
      <c r="D1382" s="68" t="str">
        <f>ASTemp!D1382</f>
        <v/>
      </c>
      <c r="E1382" s="65" t="str">
        <f>ASTemp!E1382</f>
        <v/>
      </c>
      <c r="F1382" s="69" t="str">
        <f>TEXT(ASTemp!F1382,Decimals)</f>
        <v/>
      </c>
      <c r="G1382" s="69" t="str">
        <f>TEXT(ASTemp!G1382,Decimals)</f>
        <v/>
      </c>
      <c r="H1382" s="69" t="str">
        <f>TEXT(ASTemp!H1382,Decimals)</f>
        <v/>
      </c>
      <c r="I1382" s="69" t="str">
        <f>TEXT(ASTemp!I1382,Decimals)</f>
        <v/>
      </c>
      <c r="J1382" s="69" t="str">
        <f>TEXT(ASTemp!J1382,Decimals)</f>
        <v/>
      </c>
      <c r="K1382" s="69" t="str">
        <f>TEXT(ASTemp!K1382,Decimals)</f>
        <v/>
      </c>
      <c r="L1382" s="69" t="str">
        <f>TEXT(ASTemp!L1382,Decimals)</f>
        <v/>
      </c>
      <c r="M1382" s="71" t="str">
        <f>TEXT(ASTemp!M1382,Percentages)</f>
        <v/>
      </c>
      <c r="N1382" s="72" t="str">
        <f>TEXT(ASTemp!N1382,Percentages)</f>
        <v/>
      </c>
    </row>
    <row r="1383" ht="14.25" customHeight="1">
      <c r="B1383" s="66" t="str">
        <f>ASTemp!B1383</f>
        <v/>
      </c>
      <c r="C1383" s="67" t="str">
        <f>ASTemp!C1383</f>
        <v/>
      </c>
      <c r="D1383" s="68" t="str">
        <f>ASTemp!D1383</f>
        <v/>
      </c>
      <c r="E1383" s="65" t="str">
        <f>ASTemp!E1383</f>
        <v/>
      </c>
      <c r="F1383" s="69" t="str">
        <f>TEXT(ASTemp!F1383,Decimals)</f>
        <v/>
      </c>
      <c r="G1383" s="69" t="str">
        <f>TEXT(ASTemp!G1383,Decimals)</f>
        <v/>
      </c>
      <c r="H1383" s="69" t="str">
        <f>TEXT(ASTemp!H1383,Decimals)</f>
        <v/>
      </c>
      <c r="I1383" s="69" t="str">
        <f>TEXT(ASTemp!I1383,Decimals)</f>
        <v/>
      </c>
      <c r="J1383" s="69" t="str">
        <f>TEXT(ASTemp!J1383,Decimals)</f>
        <v/>
      </c>
      <c r="K1383" s="69" t="str">
        <f>TEXT(ASTemp!K1383,Decimals)</f>
        <v/>
      </c>
      <c r="L1383" s="69" t="str">
        <f>TEXT(ASTemp!L1383,Decimals)</f>
        <v/>
      </c>
      <c r="M1383" s="71" t="str">
        <f>TEXT(ASTemp!M1383,Percentages)</f>
        <v/>
      </c>
      <c r="N1383" s="72" t="str">
        <f>TEXT(ASTemp!N1383,Percentages)</f>
        <v/>
      </c>
    </row>
    <row r="1384" ht="14.25" customHeight="1">
      <c r="B1384" s="66" t="str">
        <f>ASTemp!B1384</f>
        <v/>
      </c>
      <c r="C1384" s="67" t="str">
        <f>ASTemp!C1384</f>
        <v/>
      </c>
      <c r="D1384" s="68" t="str">
        <f>ASTemp!D1384</f>
        <v/>
      </c>
      <c r="E1384" s="65" t="str">
        <f>ASTemp!E1384</f>
        <v/>
      </c>
      <c r="F1384" s="69" t="str">
        <f>TEXT(ASTemp!F1384,Decimals)</f>
        <v/>
      </c>
      <c r="G1384" s="69" t="str">
        <f>TEXT(ASTemp!G1384,Decimals)</f>
        <v/>
      </c>
      <c r="H1384" s="69" t="str">
        <f>TEXT(ASTemp!H1384,Decimals)</f>
        <v/>
      </c>
      <c r="I1384" s="69" t="str">
        <f>TEXT(ASTemp!I1384,Decimals)</f>
        <v/>
      </c>
      <c r="J1384" s="69" t="str">
        <f>TEXT(ASTemp!J1384,Decimals)</f>
        <v/>
      </c>
      <c r="K1384" s="69" t="str">
        <f>TEXT(ASTemp!K1384,Decimals)</f>
        <v/>
      </c>
      <c r="L1384" s="69" t="str">
        <f>TEXT(ASTemp!L1384,Decimals)</f>
        <v/>
      </c>
      <c r="M1384" s="71" t="str">
        <f>TEXT(ASTemp!M1384,Percentages)</f>
        <v/>
      </c>
      <c r="N1384" s="72" t="str">
        <f>TEXT(ASTemp!N1384,Percentages)</f>
        <v/>
      </c>
    </row>
    <row r="1385" ht="14.25" customHeight="1">
      <c r="B1385" s="66" t="str">
        <f>ASTemp!B1385</f>
        <v/>
      </c>
      <c r="C1385" s="67" t="str">
        <f>ASTemp!C1385</f>
        <v/>
      </c>
      <c r="D1385" s="68" t="str">
        <f>ASTemp!D1385</f>
        <v/>
      </c>
      <c r="E1385" s="65" t="str">
        <f>ASTemp!E1385</f>
        <v/>
      </c>
      <c r="F1385" s="69" t="str">
        <f>TEXT(ASTemp!F1385,Decimals)</f>
        <v/>
      </c>
      <c r="G1385" s="69" t="str">
        <f>TEXT(ASTemp!G1385,Decimals)</f>
        <v/>
      </c>
      <c r="H1385" s="69" t="str">
        <f>TEXT(ASTemp!H1385,Decimals)</f>
        <v/>
      </c>
      <c r="I1385" s="69" t="str">
        <f>TEXT(ASTemp!I1385,Decimals)</f>
        <v/>
      </c>
      <c r="J1385" s="69" t="str">
        <f>TEXT(ASTemp!J1385,Decimals)</f>
        <v/>
      </c>
      <c r="K1385" s="69" t="str">
        <f>TEXT(ASTemp!K1385,Decimals)</f>
        <v/>
      </c>
      <c r="L1385" s="69" t="str">
        <f>TEXT(ASTemp!L1385,Decimals)</f>
        <v/>
      </c>
      <c r="M1385" s="71" t="str">
        <f>TEXT(ASTemp!M1385,Percentages)</f>
        <v/>
      </c>
      <c r="N1385" s="72" t="str">
        <f>TEXT(ASTemp!N1385,Percentages)</f>
        <v/>
      </c>
    </row>
    <row r="1386" ht="14.25" customHeight="1">
      <c r="B1386" s="66" t="str">
        <f>ASTemp!B1386</f>
        <v/>
      </c>
      <c r="C1386" s="67" t="str">
        <f>ASTemp!C1386</f>
        <v/>
      </c>
      <c r="D1386" s="68" t="str">
        <f>ASTemp!D1386</f>
        <v/>
      </c>
      <c r="E1386" s="65" t="str">
        <f>ASTemp!E1386</f>
        <v/>
      </c>
      <c r="F1386" s="69" t="str">
        <f>TEXT(ASTemp!F1386,Decimals)</f>
        <v/>
      </c>
      <c r="G1386" s="69" t="str">
        <f>TEXT(ASTemp!G1386,Decimals)</f>
        <v/>
      </c>
      <c r="H1386" s="69" t="str">
        <f>TEXT(ASTemp!H1386,Decimals)</f>
        <v/>
      </c>
      <c r="I1386" s="69" t="str">
        <f>TEXT(ASTemp!I1386,Decimals)</f>
        <v/>
      </c>
      <c r="J1386" s="69" t="str">
        <f>TEXT(ASTemp!J1386,Decimals)</f>
        <v/>
      </c>
      <c r="K1386" s="69" t="str">
        <f>TEXT(ASTemp!K1386,Decimals)</f>
        <v/>
      </c>
      <c r="L1386" s="69" t="str">
        <f>TEXT(ASTemp!L1386,Decimals)</f>
        <v/>
      </c>
      <c r="M1386" s="71" t="str">
        <f>TEXT(ASTemp!M1386,Percentages)</f>
        <v/>
      </c>
      <c r="N1386" s="72" t="str">
        <f>TEXT(ASTemp!N1386,Percentages)</f>
        <v/>
      </c>
    </row>
    <row r="1387" ht="14.25" customHeight="1">
      <c r="B1387" s="66" t="str">
        <f>ASTemp!B1387</f>
        <v/>
      </c>
      <c r="C1387" s="67" t="str">
        <f>ASTemp!C1387</f>
        <v/>
      </c>
      <c r="D1387" s="68" t="str">
        <f>ASTemp!D1387</f>
        <v/>
      </c>
      <c r="E1387" s="65" t="str">
        <f>ASTemp!E1387</f>
        <v/>
      </c>
      <c r="F1387" s="69" t="str">
        <f>TEXT(ASTemp!F1387,Decimals)</f>
        <v/>
      </c>
      <c r="G1387" s="69" t="str">
        <f>TEXT(ASTemp!G1387,Decimals)</f>
        <v/>
      </c>
      <c r="H1387" s="69" t="str">
        <f>TEXT(ASTemp!H1387,Decimals)</f>
        <v/>
      </c>
      <c r="I1387" s="69" t="str">
        <f>TEXT(ASTemp!I1387,Decimals)</f>
        <v/>
      </c>
      <c r="J1387" s="69" t="str">
        <f>TEXT(ASTemp!J1387,Decimals)</f>
        <v/>
      </c>
      <c r="K1387" s="69" t="str">
        <f>TEXT(ASTemp!K1387,Decimals)</f>
        <v/>
      </c>
      <c r="L1387" s="69" t="str">
        <f>TEXT(ASTemp!L1387,Decimals)</f>
        <v/>
      </c>
      <c r="M1387" s="71" t="str">
        <f>TEXT(ASTemp!M1387,Percentages)</f>
        <v/>
      </c>
      <c r="N1387" s="72" t="str">
        <f>TEXT(ASTemp!N1387,Percentages)</f>
        <v/>
      </c>
    </row>
    <row r="1388" ht="14.25" customHeight="1">
      <c r="B1388" s="66" t="str">
        <f>ASTemp!B1388</f>
        <v/>
      </c>
      <c r="C1388" s="67" t="str">
        <f>ASTemp!C1388</f>
        <v/>
      </c>
      <c r="D1388" s="68" t="str">
        <f>ASTemp!D1388</f>
        <v/>
      </c>
      <c r="E1388" s="65" t="str">
        <f>ASTemp!E1388</f>
        <v/>
      </c>
      <c r="F1388" s="69" t="str">
        <f>TEXT(ASTemp!F1388,Decimals)</f>
        <v/>
      </c>
      <c r="G1388" s="69" t="str">
        <f>TEXT(ASTemp!G1388,Decimals)</f>
        <v/>
      </c>
      <c r="H1388" s="69" t="str">
        <f>TEXT(ASTemp!H1388,Decimals)</f>
        <v/>
      </c>
      <c r="I1388" s="69" t="str">
        <f>TEXT(ASTemp!I1388,Decimals)</f>
        <v/>
      </c>
      <c r="J1388" s="69" t="str">
        <f>TEXT(ASTemp!J1388,Decimals)</f>
        <v/>
      </c>
      <c r="K1388" s="69" t="str">
        <f>TEXT(ASTemp!K1388,Decimals)</f>
        <v/>
      </c>
      <c r="L1388" s="69" t="str">
        <f>TEXT(ASTemp!L1388,Decimals)</f>
        <v/>
      </c>
      <c r="M1388" s="71" t="str">
        <f>TEXT(ASTemp!M1388,Percentages)</f>
        <v/>
      </c>
      <c r="N1388" s="72" t="str">
        <f>TEXT(ASTemp!N1388,Percentages)</f>
        <v/>
      </c>
    </row>
    <row r="1389" ht="14.25" customHeight="1">
      <c r="B1389" s="66" t="str">
        <f>ASTemp!B1389</f>
        <v/>
      </c>
      <c r="C1389" s="67" t="str">
        <f>ASTemp!C1389</f>
        <v/>
      </c>
      <c r="D1389" s="68" t="str">
        <f>ASTemp!D1389</f>
        <v/>
      </c>
      <c r="E1389" s="65" t="str">
        <f>ASTemp!E1389</f>
        <v/>
      </c>
      <c r="F1389" s="69" t="str">
        <f>TEXT(ASTemp!F1389,Decimals)</f>
        <v/>
      </c>
      <c r="G1389" s="69" t="str">
        <f>TEXT(ASTemp!G1389,Decimals)</f>
        <v/>
      </c>
      <c r="H1389" s="69" t="str">
        <f>TEXT(ASTemp!H1389,Decimals)</f>
        <v/>
      </c>
      <c r="I1389" s="69" t="str">
        <f>TEXT(ASTemp!I1389,Decimals)</f>
        <v/>
      </c>
      <c r="J1389" s="69" t="str">
        <f>TEXT(ASTemp!J1389,Decimals)</f>
        <v/>
      </c>
      <c r="K1389" s="69" t="str">
        <f>TEXT(ASTemp!K1389,Decimals)</f>
        <v/>
      </c>
      <c r="L1389" s="69" t="str">
        <f>TEXT(ASTemp!L1389,Decimals)</f>
        <v/>
      </c>
      <c r="M1389" s="71" t="str">
        <f>TEXT(ASTemp!M1389,Percentages)</f>
        <v/>
      </c>
      <c r="N1389" s="72" t="str">
        <f>TEXT(ASTemp!N1389,Percentages)</f>
        <v/>
      </c>
    </row>
    <row r="1390" ht="14.25" customHeight="1">
      <c r="B1390" s="66" t="str">
        <f>ASTemp!B1390</f>
        <v/>
      </c>
      <c r="C1390" s="67" t="str">
        <f>ASTemp!C1390</f>
        <v/>
      </c>
      <c r="D1390" s="68" t="str">
        <f>ASTemp!D1390</f>
        <v/>
      </c>
      <c r="E1390" s="65" t="str">
        <f>ASTemp!E1390</f>
        <v/>
      </c>
      <c r="F1390" s="69" t="str">
        <f>TEXT(ASTemp!F1390,Decimals)</f>
        <v/>
      </c>
      <c r="G1390" s="69" t="str">
        <f>TEXT(ASTemp!G1390,Decimals)</f>
        <v/>
      </c>
      <c r="H1390" s="69" t="str">
        <f>TEXT(ASTemp!H1390,Decimals)</f>
        <v/>
      </c>
      <c r="I1390" s="69" t="str">
        <f>TEXT(ASTemp!I1390,Decimals)</f>
        <v/>
      </c>
      <c r="J1390" s="69" t="str">
        <f>TEXT(ASTemp!J1390,Decimals)</f>
        <v/>
      </c>
      <c r="K1390" s="69" t="str">
        <f>TEXT(ASTemp!K1390,Decimals)</f>
        <v/>
      </c>
      <c r="L1390" s="69" t="str">
        <f>TEXT(ASTemp!L1390,Decimals)</f>
        <v/>
      </c>
      <c r="M1390" s="71" t="str">
        <f>TEXT(ASTemp!M1390,Percentages)</f>
        <v/>
      </c>
      <c r="N1390" s="72" t="str">
        <f>TEXT(ASTemp!N1390,Percentages)</f>
        <v/>
      </c>
    </row>
    <row r="1391" ht="14.25" customHeight="1">
      <c r="B1391" s="66" t="str">
        <f>ASTemp!B1391</f>
        <v/>
      </c>
      <c r="C1391" s="67" t="str">
        <f>ASTemp!C1391</f>
        <v/>
      </c>
      <c r="D1391" s="68" t="str">
        <f>ASTemp!D1391</f>
        <v/>
      </c>
      <c r="E1391" s="65" t="str">
        <f>ASTemp!E1391</f>
        <v/>
      </c>
      <c r="F1391" s="69" t="str">
        <f>TEXT(ASTemp!F1391,Decimals)</f>
        <v/>
      </c>
      <c r="G1391" s="69" t="str">
        <f>TEXT(ASTemp!G1391,Decimals)</f>
        <v/>
      </c>
      <c r="H1391" s="69" t="str">
        <f>TEXT(ASTemp!H1391,Decimals)</f>
        <v/>
      </c>
      <c r="I1391" s="69" t="str">
        <f>TEXT(ASTemp!I1391,Decimals)</f>
        <v/>
      </c>
      <c r="J1391" s="69" t="str">
        <f>TEXT(ASTemp!J1391,Decimals)</f>
        <v/>
      </c>
      <c r="K1391" s="69" t="str">
        <f>TEXT(ASTemp!K1391,Decimals)</f>
        <v/>
      </c>
      <c r="L1391" s="69" t="str">
        <f>TEXT(ASTemp!L1391,Decimals)</f>
        <v/>
      </c>
      <c r="M1391" s="71" t="str">
        <f>TEXT(ASTemp!M1391,Percentages)</f>
        <v/>
      </c>
      <c r="N1391" s="72" t="str">
        <f>TEXT(ASTemp!N1391,Percentages)</f>
        <v/>
      </c>
    </row>
    <row r="1392" ht="14.25" customHeight="1">
      <c r="B1392" s="66" t="str">
        <f>ASTemp!B1392</f>
        <v/>
      </c>
      <c r="C1392" s="67" t="str">
        <f>ASTemp!C1392</f>
        <v/>
      </c>
      <c r="D1392" s="68" t="str">
        <f>ASTemp!D1392</f>
        <v/>
      </c>
      <c r="E1392" s="65" t="str">
        <f>ASTemp!E1392</f>
        <v/>
      </c>
      <c r="F1392" s="69" t="str">
        <f>TEXT(ASTemp!F1392,Decimals)</f>
        <v/>
      </c>
      <c r="G1392" s="69" t="str">
        <f>TEXT(ASTemp!G1392,Decimals)</f>
        <v/>
      </c>
      <c r="H1392" s="69" t="str">
        <f>TEXT(ASTemp!H1392,Decimals)</f>
        <v/>
      </c>
      <c r="I1392" s="69" t="str">
        <f>TEXT(ASTemp!I1392,Decimals)</f>
        <v/>
      </c>
      <c r="J1392" s="69" t="str">
        <f>TEXT(ASTemp!J1392,Decimals)</f>
        <v/>
      </c>
      <c r="K1392" s="69" t="str">
        <f>TEXT(ASTemp!K1392,Decimals)</f>
        <v/>
      </c>
      <c r="L1392" s="69" t="str">
        <f>TEXT(ASTemp!L1392,Decimals)</f>
        <v/>
      </c>
      <c r="M1392" s="71" t="str">
        <f>TEXT(ASTemp!M1392,Percentages)</f>
        <v/>
      </c>
      <c r="N1392" s="72" t="str">
        <f>TEXT(ASTemp!N1392,Percentages)</f>
        <v/>
      </c>
    </row>
    <row r="1393" ht="14.25" customHeight="1">
      <c r="B1393" s="66" t="str">
        <f>ASTemp!B1393</f>
        <v/>
      </c>
      <c r="C1393" s="67" t="str">
        <f>ASTemp!C1393</f>
        <v/>
      </c>
      <c r="D1393" s="68" t="str">
        <f>ASTemp!D1393</f>
        <v/>
      </c>
      <c r="E1393" s="65" t="str">
        <f>ASTemp!E1393</f>
        <v/>
      </c>
      <c r="F1393" s="69" t="str">
        <f>TEXT(ASTemp!F1393,Decimals)</f>
        <v/>
      </c>
      <c r="G1393" s="69" t="str">
        <f>TEXT(ASTemp!G1393,Decimals)</f>
        <v/>
      </c>
      <c r="H1393" s="69" t="str">
        <f>TEXT(ASTemp!H1393,Decimals)</f>
        <v/>
      </c>
      <c r="I1393" s="69" t="str">
        <f>TEXT(ASTemp!I1393,Decimals)</f>
        <v/>
      </c>
      <c r="J1393" s="69" t="str">
        <f>TEXT(ASTemp!J1393,Decimals)</f>
        <v/>
      </c>
      <c r="K1393" s="69" t="str">
        <f>TEXT(ASTemp!K1393,Decimals)</f>
        <v/>
      </c>
      <c r="L1393" s="69" t="str">
        <f>TEXT(ASTemp!L1393,Decimals)</f>
        <v/>
      </c>
      <c r="M1393" s="71" t="str">
        <f>TEXT(ASTemp!M1393,Percentages)</f>
        <v/>
      </c>
      <c r="N1393" s="72" t="str">
        <f>TEXT(ASTemp!N1393,Percentages)</f>
        <v/>
      </c>
    </row>
    <row r="1394" ht="14.25" customHeight="1">
      <c r="B1394" s="66" t="str">
        <f>ASTemp!B1394</f>
        <v/>
      </c>
      <c r="C1394" s="67" t="str">
        <f>ASTemp!C1394</f>
        <v/>
      </c>
      <c r="D1394" s="68" t="str">
        <f>ASTemp!D1394</f>
        <v/>
      </c>
      <c r="E1394" s="65" t="str">
        <f>ASTemp!E1394</f>
        <v/>
      </c>
      <c r="F1394" s="69" t="str">
        <f>TEXT(ASTemp!F1394,Decimals)</f>
        <v/>
      </c>
      <c r="G1394" s="69" t="str">
        <f>TEXT(ASTemp!G1394,Decimals)</f>
        <v/>
      </c>
      <c r="H1394" s="69" t="str">
        <f>TEXT(ASTemp!H1394,Decimals)</f>
        <v/>
      </c>
      <c r="I1394" s="69" t="str">
        <f>TEXT(ASTemp!I1394,Decimals)</f>
        <v/>
      </c>
      <c r="J1394" s="69" t="str">
        <f>TEXT(ASTemp!J1394,Decimals)</f>
        <v/>
      </c>
      <c r="K1394" s="69" t="str">
        <f>TEXT(ASTemp!K1394,Decimals)</f>
        <v/>
      </c>
      <c r="L1394" s="69" t="str">
        <f>TEXT(ASTemp!L1394,Decimals)</f>
        <v/>
      </c>
      <c r="M1394" s="71" t="str">
        <f>TEXT(ASTemp!M1394,Percentages)</f>
        <v/>
      </c>
      <c r="N1394" s="72" t="str">
        <f>TEXT(ASTemp!N1394,Percentages)</f>
        <v/>
      </c>
    </row>
    <row r="1395" ht="14.25" customHeight="1">
      <c r="B1395" s="66" t="str">
        <f>ASTemp!B1395</f>
        <v/>
      </c>
      <c r="C1395" s="67" t="str">
        <f>ASTemp!C1395</f>
        <v/>
      </c>
      <c r="D1395" s="68" t="str">
        <f>ASTemp!D1395</f>
        <v/>
      </c>
      <c r="E1395" s="65" t="str">
        <f>ASTemp!E1395</f>
        <v/>
      </c>
      <c r="F1395" s="69" t="str">
        <f>TEXT(ASTemp!F1395,Decimals)</f>
        <v/>
      </c>
      <c r="G1395" s="69" t="str">
        <f>TEXT(ASTemp!G1395,Decimals)</f>
        <v/>
      </c>
      <c r="H1395" s="69" t="str">
        <f>TEXT(ASTemp!H1395,Decimals)</f>
        <v/>
      </c>
      <c r="I1395" s="69" t="str">
        <f>TEXT(ASTemp!I1395,Decimals)</f>
        <v/>
      </c>
      <c r="J1395" s="69" t="str">
        <f>TEXT(ASTemp!J1395,Decimals)</f>
        <v/>
      </c>
      <c r="K1395" s="69" t="str">
        <f>TEXT(ASTemp!K1395,Decimals)</f>
        <v/>
      </c>
      <c r="L1395" s="69" t="str">
        <f>TEXT(ASTemp!L1395,Decimals)</f>
        <v/>
      </c>
      <c r="M1395" s="71" t="str">
        <f>TEXT(ASTemp!M1395,Percentages)</f>
        <v/>
      </c>
      <c r="N1395" s="72" t="str">
        <f>TEXT(ASTemp!N1395,Percentages)</f>
        <v/>
      </c>
    </row>
    <row r="1396" ht="14.25" customHeight="1">
      <c r="B1396" s="66" t="str">
        <f>ASTemp!B1396</f>
        <v/>
      </c>
      <c r="C1396" s="67" t="str">
        <f>ASTemp!C1396</f>
        <v/>
      </c>
      <c r="D1396" s="68" t="str">
        <f>ASTemp!D1396</f>
        <v/>
      </c>
      <c r="E1396" s="65" t="str">
        <f>ASTemp!E1396</f>
        <v/>
      </c>
      <c r="F1396" s="69" t="str">
        <f>TEXT(ASTemp!F1396,Decimals)</f>
        <v/>
      </c>
      <c r="G1396" s="69" t="str">
        <f>TEXT(ASTemp!G1396,Decimals)</f>
        <v/>
      </c>
      <c r="H1396" s="69" t="str">
        <f>TEXT(ASTemp!H1396,Decimals)</f>
        <v/>
      </c>
      <c r="I1396" s="69" t="str">
        <f>TEXT(ASTemp!I1396,Decimals)</f>
        <v/>
      </c>
      <c r="J1396" s="69" t="str">
        <f>TEXT(ASTemp!J1396,Decimals)</f>
        <v/>
      </c>
      <c r="K1396" s="69" t="str">
        <f>TEXT(ASTemp!K1396,Decimals)</f>
        <v/>
      </c>
      <c r="L1396" s="69" t="str">
        <f>TEXT(ASTemp!L1396,Decimals)</f>
        <v/>
      </c>
      <c r="M1396" s="71" t="str">
        <f>TEXT(ASTemp!M1396,Percentages)</f>
        <v/>
      </c>
      <c r="N1396" s="72" t="str">
        <f>TEXT(ASTemp!N1396,Percentages)</f>
        <v/>
      </c>
    </row>
    <row r="1397" ht="14.25" customHeight="1">
      <c r="B1397" s="66" t="str">
        <f>ASTemp!B1397</f>
        <v/>
      </c>
      <c r="C1397" s="67" t="str">
        <f>ASTemp!C1397</f>
        <v/>
      </c>
      <c r="D1397" s="68" t="str">
        <f>ASTemp!D1397</f>
        <v/>
      </c>
      <c r="E1397" s="65" t="str">
        <f>ASTemp!E1397</f>
        <v/>
      </c>
      <c r="F1397" s="69" t="str">
        <f>TEXT(ASTemp!F1397,Decimals)</f>
        <v/>
      </c>
      <c r="G1397" s="69" t="str">
        <f>TEXT(ASTemp!G1397,Decimals)</f>
        <v/>
      </c>
      <c r="H1397" s="69" t="str">
        <f>TEXT(ASTemp!H1397,Decimals)</f>
        <v/>
      </c>
      <c r="I1397" s="69" t="str">
        <f>TEXT(ASTemp!I1397,Decimals)</f>
        <v/>
      </c>
      <c r="J1397" s="69" t="str">
        <f>TEXT(ASTemp!J1397,Decimals)</f>
        <v/>
      </c>
      <c r="K1397" s="69" t="str">
        <f>TEXT(ASTemp!K1397,Decimals)</f>
        <v/>
      </c>
      <c r="L1397" s="69" t="str">
        <f>TEXT(ASTemp!L1397,Decimals)</f>
        <v/>
      </c>
      <c r="M1397" s="71" t="str">
        <f>TEXT(ASTemp!M1397,Percentages)</f>
        <v/>
      </c>
      <c r="N1397" s="72" t="str">
        <f>TEXT(ASTemp!N1397,Percentages)</f>
        <v/>
      </c>
    </row>
    <row r="1398" ht="14.25" customHeight="1">
      <c r="B1398" s="66" t="str">
        <f>ASTemp!B1398</f>
        <v/>
      </c>
      <c r="C1398" s="67" t="str">
        <f>ASTemp!C1398</f>
        <v/>
      </c>
      <c r="D1398" s="68" t="str">
        <f>ASTemp!D1398</f>
        <v/>
      </c>
      <c r="E1398" s="65" t="str">
        <f>ASTemp!E1398</f>
        <v/>
      </c>
      <c r="F1398" s="69" t="str">
        <f>TEXT(ASTemp!F1398,Decimals)</f>
        <v/>
      </c>
      <c r="G1398" s="69" t="str">
        <f>TEXT(ASTemp!G1398,Decimals)</f>
        <v/>
      </c>
      <c r="H1398" s="69" t="str">
        <f>TEXT(ASTemp!H1398,Decimals)</f>
        <v/>
      </c>
      <c r="I1398" s="69" t="str">
        <f>TEXT(ASTemp!I1398,Decimals)</f>
        <v/>
      </c>
      <c r="J1398" s="69" t="str">
        <f>TEXT(ASTemp!J1398,Decimals)</f>
        <v/>
      </c>
      <c r="K1398" s="69" t="str">
        <f>TEXT(ASTemp!K1398,Decimals)</f>
        <v/>
      </c>
      <c r="L1398" s="69" t="str">
        <f>TEXT(ASTemp!L1398,Decimals)</f>
        <v/>
      </c>
      <c r="M1398" s="71" t="str">
        <f>TEXT(ASTemp!M1398,Percentages)</f>
        <v/>
      </c>
      <c r="N1398" s="72" t="str">
        <f>TEXT(ASTemp!N1398,Percentages)</f>
        <v/>
      </c>
    </row>
    <row r="1399" ht="14.25" customHeight="1">
      <c r="B1399" s="66" t="str">
        <f>ASTemp!B1399</f>
        <v/>
      </c>
      <c r="C1399" s="67" t="str">
        <f>ASTemp!C1399</f>
        <v/>
      </c>
      <c r="D1399" s="68" t="str">
        <f>ASTemp!D1399</f>
        <v/>
      </c>
      <c r="E1399" s="65" t="str">
        <f>ASTemp!E1399</f>
        <v/>
      </c>
      <c r="F1399" s="69" t="str">
        <f>TEXT(ASTemp!F1399,Decimals)</f>
        <v/>
      </c>
      <c r="G1399" s="69" t="str">
        <f>TEXT(ASTemp!G1399,Decimals)</f>
        <v/>
      </c>
      <c r="H1399" s="69" t="str">
        <f>TEXT(ASTemp!H1399,Decimals)</f>
        <v/>
      </c>
      <c r="I1399" s="69" t="str">
        <f>TEXT(ASTemp!I1399,Decimals)</f>
        <v/>
      </c>
      <c r="J1399" s="69" t="str">
        <f>TEXT(ASTemp!J1399,Decimals)</f>
        <v/>
      </c>
      <c r="K1399" s="69" t="str">
        <f>TEXT(ASTemp!K1399,Decimals)</f>
        <v/>
      </c>
      <c r="L1399" s="69" t="str">
        <f>TEXT(ASTemp!L1399,Decimals)</f>
        <v/>
      </c>
      <c r="M1399" s="71" t="str">
        <f>TEXT(ASTemp!M1399,Percentages)</f>
        <v/>
      </c>
      <c r="N1399" s="72" t="str">
        <f>TEXT(ASTemp!N1399,Percentages)</f>
        <v/>
      </c>
    </row>
    <row r="1400" ht="14.25" customHeight="1">
      <c r="B1400" s="66" t="str">
        <f>ASTemp!B1400</f>
        <v/>
      </c>
      <c r="C1400" s="67" t="str">
        <f>ASTemp!C1400</f>
        <v/>
      </c>
      <c r="D1400" s="68" t="str">
        <f>ASTemp!D1400</f>
        <v/>
      </c>
      <c r="E1400" s="65" t="str">
        <f>ASTemp!E1400</f>
        <v/>
      </c>
      <c r="F1400" s="69" t="str">
        <f>TEXT(ASTemp!F1400,Decimals)</f>
        <v/>
      </c>
      <c r="G1400" s="69" t="str">
        <f>TEXT(ASTemp!G1400,Decimals)</f>
        <v/>
      </c>
      <c r="H1400" s="69" t="str">
        <f>TEXT(ASTemp!H1400,Decimals)</f>
        <v/>
      </c>
      <c r="I1400" s="69" t="str">
        <f>TEXT(ASTemp!I1400,Decimals)</f>
        <v/>
      </c>
      <c r="J1400" s="69" t="str">
        <f>TEXT(ASTemp!J1400,Decimals)</f>
        <v/>
      </c>
      <c r="K1400" s="69" t="str">
        <f>TEXT(ASTemp!K1400,Decimals)</f>
        <v/>
      </c>
      <c r="L1400" s="69" t="str">
        <f>TEXT(ASTemp!L1400,Decimals)</f>
        <v/>
      </c>
      <c r="M1400" s="71" t="str">
        <f>TEXT(ASTemp!M1400,Percentages)</f>
        <v/>
      </c>
      <c r="N1400" s="72" t="str">
        <f>TEXT(ASTemp!N1400,Percentages)</f>
        <v/>
      </c>
    </row>
    <row r="1401" ht="14.25" customHeight="1">
      <c r="B1401" s="66" t="str">
        <f>ASTemp!B1401</f>
        <v/>
      </c>
      <c r="C1401" s="67" t="str">
        <f>ASTemp!C1401</f>
        <v/>
      </c>
      <c r="D1401" s="68" t="str">
        <f>ASTemp!D1401</f>
        <v/>
      </c>
      <c r="E1401" s="65" t="str">
        <f>ASTemp!E1401</f>
        <v/>
      </c>
      <c r="F1401" s="69" t="str">
        <f>TEXT(ASTemp!F1401,Decimals)</f>
        <v/>
      </c>
      <c r="G1401" s="69" t="str">
        <f>TEXT(ASTemp!G1401,Decimals)</f>
        <v/>
      </c>
      <c r="H1401" s="69" t="str">
        <f>TEXT(ASTemp!H1401,Decimals)</f>
        <v/>
      </c>
      <c r="I1401" s="69" t="str">
        <f>TEXT(ASTemp!I1401,Decimals)</f>
        <v/>
      </c>
      <c r="J1401" s="69" t="str">
        <f>TEXT(ASTemp!J1401,Decimals)</f>
        <v/>
      </c>
      <c r="K1401" s="69" t="str">
        <f>TEXT(ASTemp!K1401,Decimals)</f>
        <v/>
      </c>
      <c r="L1401" s="69" t="str">
        <f>TEXT(ASTemp!L1401,Decimals)</f>
        <v/>
      </c>
      <c r="M1401" s="71" t="str">
        <f>TEXT(ASTemp!M1401,Percentages)</f>
        <v/>
      </c>
      <c r="N1401" s="72" t="str">
        <f>TEXT(ASTemp!N1401,Percentages)</f>
        <v/>
      </c>
    </row>
    <row r="1402" ht="14.25" customHeight="1">
      <c r="B1402" s="66" t="str">
        <f>ASTemp!B1402</f>
        <v/>
      </c>
      <c r="C1402" s="67" t="str">
        <f>ASTemp!C1402</f>
        <v/>
      </c>
      <c r="D1402" s="68" t="str">
        <f>ASTemp!D1402</f>
        <v/>
      </c>
      <c r="E1402" s="65" t="str">
        <f>ASTemp!E1402</f>
        <v/>
      </c>
      <c r="F1402" s="69" t="str">
        <f>TEXT(ASTemp!F1402,Decimals)</f>
        <v/>
      </c>
      <c r="G1402" s="69" t="str">
        <f>TEXT(ASTemp!G1402,Decimals)</f>
        <v/>
      </c>
      <c r="H1402" s="69" t="str">
        <f>TEXT(ASTemp!H1402,Decimals)</f>
        <v/>
      </c>
      <c r="I1402" s="69" t="str">
        <f>TEXT(ASTemp!I1402,Decimals)</f>
        <v/>
      </c>
      <c r="J1402" s="69" t="str">
        <f>TEXT(ASTemp!J1402,Decimals)</f>
        <v/>
      </c>
      <c r="K1402" s="69" t="str">
        <f>TEXT(ASTemp!K1402,Decimals)</f>
        <v/>
      </c>
      <c r="L1402" s="69" t="str">
        <f>TEXT(ASTemp!L1402,Decimals)</f>
        <v/>
      </c>
      <c r="M1402" s="71" t="str">
        <f>TEXT(ASTemp!M1402,Percentages)</f>
        <v/>
      </c>
      <c r="N1402" s="72" t="str">
        <f>TEXT(ASTemp!N1402,Percentages)</f>
        <v/>
      </c>
    </row>
    <row r="1403" ht="14.25" customHeight="1">
      <c r="B1403" s="66" t="str">
        <f>ASTemp!B1403</f>
        <v/>
      </c>
      <c r="C1403" s="67" t="str">
        <f>ASTemp!C1403</f>
        <v/>
      </c>
      <c r="D1403" s="68" t="str">
        <f>ASTemp!D1403</f>
        <v/>
      </c>
      <c r="E1403" s="65" t="str">
        <f>ASTemp!E1403</f>
        <v/>
      </c>
      <c r="F1403" s="69" t="str">
        <f>TEXT(ASTemp!F1403,Decimals)</f>
        <v/>
      </c>
      <c r="G1403" s="69" t="str">
        <f>TEXT(ASTemp!G1403,Decimals)</f>
        <v/>
      </c>
      <c r="H1403" s="69" t="str">
        <f>TEXT(ASTemp!H1403,Decimals)</f>
        <v/>
      </c>
      <c r="I1403" s="69" t="str">
        <f>TEXT(ASTemp!I1403,Decimals)</f>
        <v/>
      </c>
      <c r="J1403" s="69" t="str">
        <f>TEXT(ASTemp!J1403,Decimals)</f>
        <v/>
      </c>
      <c r="K1403" s="69" t="str">
        <f>TEXT(ASTemp!K1403,Decimals)</f>
        <v/>
      </c>
      <c r="L1403" s="69" t="str">
        <f>TEXT(ASTemp!L1403,Decimals)</f>
        <v/>
      </c>
      <c r="M1403" s="71" t="str">
        <f>TEXT(ASTemp!M1403,Percentages)</f>
        <v/>
      </c>
      <c r="N1403" s="72" t="str">
        <f>TEXT(ASTemp!N1403,Percentages)</f>
        <v/>
      </c>
    </row>
    <row r="1404" ht="14.25" customHeight="1">
      <c r="B1404" s="66" t="str">
        <f>ASTemp!B1404</f>
        <v/>
      </c>
      <c r="C1404" s="67" t="str">
        <f>ASTemp!C1404</f>
        <v/>
      </c>
      <c r="D1404" s="68" t="str">
        <f>ASTemp!D1404</f>
        <v/>
      </c>
      <c r="E1404" s="65" t="str">
        <f>ASTemp!E1404</f>
        <v/>
      </c>
      <c r="F1404" s="69" t="str">
        <f>TEXT(ASTemp!F1404,Decimals)</f>
        <v/>
      </c>
      <c r="G1404" s="69" t="str">
        <f>TEXT(ASTemp!G1404,Decimals)</f>
        <v/>
      </c>
      <c r="H1404" s="69" t="str">
        <f>TEXT(ASTemp!H1404,Decimals)</f>
        <v/>
      </c>
      <c r="I1404" s="69" t="str">
        <f>TEXT(ASTemp!I1404,Decimals)</f>
        <v/>
      </c>
      <c r="J1404" s="69" t="str">
        <f>TEXT(ASTemp!J1404,Decimals)</f>
        <v/>
      </c>
      <c r="K1404" s="69" t="str">
        <f>TEXT(ASTemp!K1404,Decimals)</f>
        <v/>
      </c>
      <c r="L1404" s="69" t="str">
        <f>TEXT(ASTemp!L1404,Decimals)</f>
        <v/>
      </c>
      <c r="M1404" s="71" t="str">
        <f>TEXT(ASTemp!M1404,Percentages)</f>
        <v/>
      </c>
      <c r="N1404" s="72" t="str">
        <f>TEXT(ASTemp!N1404,Percentages)</f>
        <v/>
      </c>
    </row>
    <row r="1405" ht="14.25" customHeight="1">
      <c r="B1405" s="66" t="str">
        <f>ASTemp!B1405</f>
        <v/>
      </c>
      <c r="C1405" s="67" t="str">
        <f>ASTemp!C1405</f>
        <v/>
      </c>
      <c r="D1405" s="68" t="str">
        <f>ASTemp!D1405</f>
        <v/>
      </c>
      <c r="E1405" s="65" t="str">
        <f>ASTemp!E1405</f>
        <v/>
      </c>
      <c r="F1405" s="69" t="str">
        <f>TEXT(ASTemp!F1405,Decimals)</f>
        <v/>
      </c>
      <c r="G1405" s="69" t="str">
        <f>TEXT(ASTemp!G1405,Decimals)</f>
        <v/>
      </c>
      <c r="H1405" s="69" t="str">
        <f>TEXT(ASTemp!H1405,Decimals)</f>
        <v/>
      </c>
      <c r="I1405" s="69" t="str">
        <f>TEXT(ASTemp!I1405,Decimals)</f>
        <v/>
      </c>
      <c r="J1405" s="69" t="str">
        <f>TEXT(ASTemp!J1405,Decimals)</f>
        <v/>
      </c>
      <c r="K1405" s="69" t="str">
        <f>TEXT(ASTemp!K1405,Decimals)</f>
        <v/>
      </c>
      <c r="L1405" s="69" t="str">
        <f>TEXT(ASTemp!L1405,Decimals)</f>
        <v/>
      </c>
      <c r="M1405" s="71" t="str">
        <f>TEXT(ASTemp!M1405,Percentages)</f>
        <v/>
      </c>
      <c r="N1405" s="72" t="str">
        <f>TEXT(ASTemp!N1405,Percentages)</f>
        <v/>
      </c>
    </row>
    <row r="1406" ht="14.25" customHeight="1">
      <c r="B1406" s="66" t="str">
        <f>ASTemp!B1406</f>
        <v/>
      </c>
      <c r="C1406" s="67" t="str">
        <f>ASTemp!C1406</f>
        <v/>
      </c>
      <c r="D1406" s="68" t="str">
        <f>ASTemp!D1406</f>
        <v/>
      </c>
      <c r="E1406" s="65" t="str">
        <f>ASTemp!E1406</f>
        <v/>
      </c>
      <c r="F1406" s="69" t="str">
        <f>TEXT(ASTemp!F1406,Decimals)</f>
        <v/>
      </c>
      <c r="G1406" s="69" t="str">
        <f>TEXT(ASTemp!G1406,Decimals)</f>
        <v/>
      </c>
      <c r="H1406" s="69" t="str">
        <f>TEXT(ASTemp!H1406,Decimals)</f>
        <v/>
      </c>
      <c r="I1406" s="69" t="str">
        <f>TEXT(ASTemp!I1406,Decimals)</f>
        <v/>
      </c>
      <c r="J1406" s="69" t="str">
        <f>TEXT(ASTemp!J1406,Decimals)</f>
        <v/>
      </c>
      <c r="K1406" s="69" t="str">
        <f>TEXT(ASTemp!K1406,Decimals)</f>
        <v/>
      </c>
      <c r="L1406" s="69" t="str">
        <f>TEXT(ASTemp!L1406,Decimals)</f>
        <v/>
      </c>
      <c r="M1406" s="71" t="str">
        <f>TEXT(ASTemp!M1406,Percentages)</f>
        <v/>
      </c>
      <c r="N1406" s="72" t="str">
        <f>TEXT(ASTemp!N1406,Percentages)</f>
        <v/>
      </c>
    </row>
    <row r="1407" ht="14.25" customHeight="1">
      <c r="B1407" s="66" t="str">
        <f>ASTemp!B1407</f>
        <v/>
      </c>
      <c r="C1407" s="67" t="str">
        <f>ASTemp!C1407</f>
        <v/>
      </c>
      <c r="D1407" s="68" t="str">
        <f>ASTemp!D1407</f>
        <v/>
      </c>
      <c r="E1407" s="65" t="str">
        <f>ASTemp!E1407</f>
        <v/>
      </c>
      <c r="F1407" s="69" t="str">
        <f>TEXT(ASTemp!F1407,Decimals)</f>
        <v/>
      </c>
      <c r="G1407" s="69" t="str">
        <f>TEXT(ASTemp!G1407,Decimals)</f>
        <v/>
      </c>
      <c r="H1407" s="69" t="str">
        <f>TEXT(ASTemp!H1407,Decimals)</f>
        <v/>
      </c>
      <c r="I1407" s="69" t="str">
        <f>TEXT(ASTemp!I1407,Decimals)</f>
        <v/>
      </c>
      <c r="J1407" s="69" t="str">
        <f>TEXT(ASTemp!J1407,Decimals)</f>
        <v/>
      </c>
      <c r="K1407" s="69" t="str">
        <f>TEXT(ASTemp!K1407,Decimals)</f>
        <v/>
      </c>
      <c r="L1407" s="69" t="str">
        <f>TEXT(ASTemp!L1407,Decimals)</f>
        <v/>
      </c>
      <c r="M1407" s="71" t="str">
        <f>TEXT(ASTemp!M1407,Percentages)</f>
        <v/>
      </c>
      <c r="N1407" s="72" t="str">
        <f>TEXT(ASTemp!N1407,Percentages)</f>
        <v/>
      </c>
    </row>
    <row r="1408" ht="14.25" customHeight="1">
      <c r="B1408" s="66" t="str">
        <f>ASTemp!B1408</f>
        <v/>
      </c>
      <c r="C1408" s="67" t="str">
        <f>ASTemp!C1408</f>
        <v/>
      </c>
      <c r="D1408" s="68" t="str">
        <f>ASTemp!D1408</f>
        <v/>
      </c>
      <c r="E1408" s="65" t="str">
        <f>ASTemp!E1408</f>
        <v/>
      </c>
      <c r="F1408" s="69" t="str">
        <f>TEXT(ASTemp!F1408,Decimals)</f>
        <v/>
      </c>
      <c r="G1408" s="69" t="str">
        <f>TEXT(ASTemp!G1408,Decimals)</f>
        <v/>
      </c>
      <c r="H1408" s="69" t="str">
        <f>TEXT(ASTemp!H1408,Decimals)</f>
        <v/>
      </c>
      <c r="I1408" s="69" t="str">
        <f>TEXT(ASTemp!I1408,Decimals)</f>
        <v/>
      </c>
      <c r="J1408" s="69" t="str">
        <f>TEXT(ASTemp!J1408,Decimals)</f>
        <v/>
      </c>
      <c r="K1408" s="69" t="str">
        <f>TEXT(ASTemp!K1408,Decimals)</f>
        <v/>
      </c>
      <c r="L1408" s="69" t="str">
        <f>TEXT(ASTemp!L1408,Decimals)</f>
        <v/>
      </c>
      <c r="M1408" s="71" t="str">
        <f>TEXT(ASTemp!M1408,Percentages)</f>
        <v/>
      </c>
      <c r="N1408" s="72" t="str">
        <f>TEXT(ASTemp!N1408,Percentages)</f>
        <v/>
      </c>
    </row>
    <row r="1409" ht="14.25" customHeight="1">
      <c r="B1409" s="66" t="str">
        <f>ASTemp!B1409</f>
        <v/>
      </c>
      <c r="C1409" s="67" t="str">
        <f>ASTemp!C1409</f>
        <v/>
      </c>
      <c r="D1409" s="68" t="str">
        <f>ASTemp!D1409</f>
        <v/>
      </c>
      <c r="E1409" s="65" t="str">
        <f>ASTemp!E1409</f>
        <v/>
      </c>
      <c r="F1409" s="69" t="str">
        <f>TEXT(ASTemp!F1409,Decimals)</f>
        <v/>
      </c>
      <c r="G1409" s="69" t="str">
        <f>TEXT(ASTemp!G1409,Decimals)</f>
        <v/>
      </c>
      <c r="H1409" s="69" t="str">
        <f>TEXT(ASTemp!H1409,Decimals)</f>
        <v/>
      </c>
      <c r="I1409" s="69" t="str">
        <f>TEXT(ASTemp!I1409,Decimals)</f>
        <v/>
      </c>
      <c r="J1409" s="69" t="str">
        <f>TEXT(ASTemp!J1409,Decimals)</f>
        <v/>
      </c>
      <c r="K1409" s="69" t="str">
        <f>TEXT(ASTemp!K1409,Decimals)</f>
        <v/>
      </c>
      <c r="L1409" s="69" t="str">
        <f>TEXT(ASTemp!L1409,Decimals)</f>
        <v/>
      </c>
      <c r="M1409" s="71" t="str">
        <f>TEXT(ASTemp!M1409,Percentages)</f>
        <v/>
      </c>
      <c r="N1409" s="72" t="str">
        <f>TEXT(ASTemp!N1409,Percentages)</f>
        <v/>
      </c>
    </row>
    <row r="1410" ht="14.25" customHeight="1">
      <c r="B1410" s="66" t="str">
        <f>ASTemp!B1410</f>
        <v/>
      </c>
      <c r="C1410" s="67" t="str">
        <f>ASTemp!C1410</f>
        <v/>
      </c>
      <c r="D1410" s="68" t="str">
        <f>ASTemp!D1410</f>
        <v/>
      </c>
      <c r="E1410" s="65" t="str">
        <f>ASTemp!E1410</f>
        <v/>
      </c>
      <c r="F1410" s="69" t="str">
        <f>TEXT(ASTemp!F1410,Decimals)</f>
        <v/>
      </c>
      <c r="G1410" s="69" t="str">
        <f>TEXT(ASTemp!G1410,Decimals)</f>
        <v/>
      </c>
      <c r="H1410" s="69" t="str">
        <f>TEXT(ASTemp!H1410,Decimals)</f>
        <v/>
      </c>
      <c r="I1410" s="69" t="str">
        <f>TEXT(ASTemp!I1410,Decimals)</f>
        <v/>
      </c>
      <c r="J1410" s="69" t="str">
        <f>TEXT(ASTemp!J1410,Decimals)</f>
        <v/>
      </c>
      <c r="K1410" s="69" t="str">
        <f>TEXT(ASTemp!K1410,Decimals)</f>
        <v/>
      </c>
      <c r="L1410" s="69" t="str">
        <f>TEXT(ASTemp!L1410,Decimals)</f>
        <v/>
      </c>
      <c r="M1410" s="71" t="str">
        <f>TEXT(ASTemp!M1410,Percentages)</f>
        <v/>
      </c>
      <c r="N1410" s="72" t="str">
        <f>TEXT(ASTemp!N1410,Percentages)</f>
        <v/>
      </c>
    </row>
    <row r="1411" ht="14.25" customHeight="1">
      <c r="B1411" s="66" t="str">
        <f>ASTemp!B1411</f>
        <v/>
      </c>
      <c r="C1411" s="67" t="str">
        <f>ASTemp!C1411</f>
        <v/>
      </c>
      <c r="D1411" s="68" t="str">
        <f>ASTemp!D1411</f>
        <v/>
      </c>
      <c r="E1411" s="65" t="str">
        <f>ASTemp!E1411</f>
        <v/>
      </c>
      <c r="F1411" s="69" t="str">
        <f>TEXT(ASTemp!F1411,Decimals)</f>
        <v/>
      </c>
      <c r="G1411" s="69" t="str">
        <f>TEXT(ASTemp!G1411,Decimals)</f>
        <v/>
      </c>
      <c r="H1411" s="69" t="str">
        <f>TEXT(ASTemp!H1411,Decimals)</f>
        <v/>
      </c>
      <c r="I1411" s="69" t="str">
        <f>TEXT(ASTemp!I1411,Decimals)</f>
        <v/>
      </c>
      <c r="J1411" s="69" t="str">
        <f>TEXT(ASTemp!J1411,Decimals)</f>
        <v/>
      </c>
      <c r="K1411" s="69" t="str">
        <f>TEXT(ASTemp!K1411,Decimals)</f>
        <v/>
      </c>
      <c r="L1411" s="69" t="str">
        <f>TEXT(ASTemp!L1411,Decimals)</f>
        <v/>
      </c>
      <c r="M1411" s="71" t="str">
        <f>TEXT(ASTemp!M1411,Percentages)</f>
        <v/>
      </c>
      <c r="N1411" s="72" t="str">
        <f>TEXT(ASTemp!N1411,Percentages)</f>
        <v/>
      </c>
    </row>
    <row r="1412" ht="14.25" customHeight="1">
      <c r="B1412" s="66" t="str">
        <f>ASTemp!B1412</f>
        <v/>
      </c>
      <c r="C1412" s="67" t="str">
        <f>ASTemp!C1412</f>
        <v/>
      </c>
      <c r="D1412" s="68" t="str">
        <f>ASTemp!D1412</f>
        <v/>
      </c>
      <c r="E1412" s="65" t="str">
        <f>ASTemp!E1412</f>
        <v/>
      </c>
      <c r="F1412" s="69" t="str">
        <f>TEXT(ASTemp!F1412,Decimals)</f>
        <v/>
      </c>
      <c r="G1412" s="69" t="str">
        <f>TEXT(ASTemp!G1412,Decimals)</f>
        <v/>
      </c>
      <c r="H1412" s="69" t="str">
        <f>TEXT(ASTemp!H1412,Decimals)</f>
        <v/>
      </c>
      <c r="I1412" s="69" t="str">
        <f>TEXT(ASTemp!I1412,Decimals)</f>
        <v/>
      </c>
      <c r="J1412" s="69" t="str">
        <f>TEXT(ASTemp!J1412,Decimals)</f>
        <v/>
      </c>
      <c r="K1412" s="69" t="str">
        <f>TEXT(ASTemp!K1412,Decimals)</f>
        <v/>
      </c>
      <c r="L1412" s="69" t="str">
        <f>TEXT(ASTemp!L1412,Decimals)</f>
        <v/>
      </c>
      <c r="M1412" s="71" t="str">
        <f>TEXT(ASTemp!M1412,Percentages)</f>
        <v/>
      </c>
      <c r="N1412" s="72" t="str">
        <f>TEXT(ASTemp!N1412,Percentages)</f>
        <v/>
      </c>
    </row>
    <row r="1413" ht="14.25" customHeight="1">
      <c r="B1413" s="66" t="str">
        <f>ASTemp!B1413</f>
        <v/>
      </c>
      <c r="C1413" s="67" t="str">
        <f>ASTemp!C1413</f>
        <v/>
      </c>
      <c r="D1413" s="68" t="str">
        <f>ASTemp!D1413</f>
        <v/>
      </c>
      <c r="E1413" s="65" t="str">
        <f>ASTemp!E1413</f>
        <v/>
      </c>
      <c r="F1413" s="69" t="str">
        <f>TEXT(ASTemp!F1413,Decimals)</f>
        <v/>
      </c>
      <c r="G1413" s="69" t="str">
        <f>TEXT(ASTemp!G1413,Decimals)</f>
        <v/>
      </c>
      <c r="H1413" s="69" t="str">
        <f>TEXT(ASTemp!H1413,Decimals)</f>
        <v/>
      </c>
      <c r="I1413" s="69" t="str">
        <f>TEXT(ASTemp!I1413,Decimals)</f>
        <v/>
      </c>
      <c r="J1413" s="69" t="str">
        <f>TEXT(ASTemp!J1413,Decimals)</f>
        <v/>
      </c>
      <c r="K1413" s="69" t="str">
        <f>TEXT(ASTemp!K1413,Decimals)</f>
        <v/>
      </c>
      <c r="L1413" s="69" t="str">
        <f>TEXT(ASTemp!L1413,Decimals)</f>
        <v/>
      </c>
      <c r="M1413" s="71" t="str">
        <f>TEXT(ASTemp!M1413,Percentages)</f>
        <v/>
      </c>
      <c r="N1413" s="72" t="str">
        <f>TEXT(ASTemp!N1413,Percentages)</f>
        <v/>
      </c>
    </row>
    <row r="1414" ht="14.25" customHeight="1">
      <c r="B1414" s="66" t="str">
        <f>ASTemp!B1414</f>
        <v/>
      </c>
      <c r="C1414" s="67" t="str">
        <f>ASTemp!C1414</f>
        <v/>
      </c>
      <c r="D1414" s="68" t="str">
        <f>ASTemp!D1414</f>
        <v/>
      </c>
      <c r="E1414" s="65" t="str">
        <f>ASTemp!E1414</f>
        <v/>
      </c>
      <c r="F1414" s="69" t="str">
        <f>TEXT(ASTemp!F1414,Decimals)</f>
        <v/>
      </c>
      <c r="G1414" s="69" t="str">
        <f>TEXT(ASTemp!G1414,Decimals)</f>
        <v/>
      </c>
      <c r="H1414" s="69" t="str">
        <f>TEXT(ASTemp!H1414,Decimals)</f>
        <v/>
      </c>
      <c r="I1414" s="69" t="str">
        <f>TEXT(ASTemp!I1414,Decimals)</f>
        <v/>
      </c>
      <c r="J1414" s="69" t="str">
        <f>TEXT(ASTemp!J1414,Decimals)</f>
        <v/>
      </c>
      <c r="K1414" s="69" t="str">
        <f>TEXT(ASTemp!K1414,Decimals)</f>
        <v/>
      </c>
      <c r="L1414" s="69" t="str">
        <f>TEXT(ASTemp!L1414,Decimals)</f>
        <v/>
      </c>
      <c r="M1414" s="71" t="str">
        <f>TEXT(ASTemp!M1414,Percentages)</f>
        <v/>
      </c>
      <c r="N1414" s="72" t="str">
        <f>TEXT(ASTemp!N1414,Percentages)</f>
        <v/>
      </c>
    </row>
    <row r="1415" ht="14.25" customHeight="1">
      <c r="B1415" s="66" t="str">
        <f>ASTemp!B1415</f>
        <v/>
      </c>
      <c r="C1415" s="67" t="str">
        <f>ASTemp!C1415</f>
        <v/>
      </c>
      <c r="D1415" s="68" t="str">
        <f>ASTemp!D1415</f>
        <v/>
      </c>
      <c r="E1415" s="65" t="str">
        <f>ASTemp!E1415</f>
        <v/>
      </c>
      <c r="F1415" s="69" t="str">
        <f>TEXT(ASTemp!F1415,Decimals)</f>
        <v/>
      </c>
      <c r="G1415" s="69" t="str">
        <f>TEXT(ASTemp!G1415,Decimals)</f>
        <v/>
      </c>
      <c r="H1415" s="69" t="str">
        <f>TEXT(ASTemp!H1415,Decimals)</f>
        <v/>
      </c>
      <c r="I1415" s="69" t="str">
        <f>TEXT(ASTemp!I1415,Decimals)</f>
        <v/>
      </c>
      <c r="J1415" s="69" t="str">
        <f>TEXT(ASTemp!J1415,Decimals)</f>
        <v/>
      </c>
      <c r="K1415" s="69" t="str">
        <f>TEXT(ASTemp!K1415,Decimals)</f>
        <v/>
      </c>
      <c r="L1415" s="69" t="str">
        <f>TEXT(ASTemp!L1415,Decimals)</f>
        <v/>
      </c>
      <c r="M1415" s="71" t="str">
        <f>TEXT(ASTemp!M1415,Percentages)</f>
        <v/>
      </c>
      <c r="N1415" s="72" t="str">
        <f>TEXT(ASTemp!N1415,Percentages)</f>
        <v/>
      </c>
    </row>
    <row r="1416" ht="14.25" customHeight="1">
      <c r="B1416" s="66" t="str">
        <f>ASTemp!B1416</f>
        <v/>
      </c>
      <c r="C1416" s="67" t="str">
        <f>ASTemp!C1416</f>
        <v/>
      </c>
      <c r="D1416" s="68" t="str">
        <f>ASTemp!D1416</f>
        <v/>
      </c>
      <c r="E1416" s="65" t="str">
        <f>ASTemp!E1416</f>
        <v/>
      </c>
      <c r="F1416" s="69" t="str">
        <f>TEXT(ASTemp!F1416,Decimals)</f>
        <v/>
      </c>
      <c r="G1416" s="69" t="str">
        <f>TEXT(ASTemp!G1416,Decimals)</f>
        <v/>
      </c>
      <c r="H1416" s="69" t="str">
        <f>TEXT(ASTemp!H1416,Decimals)</f>
        <v/>
      </c>
      <c r="I1416" s="69" t="str">
        <f>TEXT(ASTemp!I1416,Decimals)</f>
        <v/>
      </c>
      <c r="J1416" s="69" t="str">
        <f>TEXT(ASTemp!J1416,Decimals)</f>
        <v/>
      </c>
      <c r="K1416" s="69" t="str">
        <f>TEXT(ASTemp!K1416,Decimals)</f>
        <v/>
      </c>
      <c r="L1416" s="69" t="str">
        <f>TEXT(ASTemp!L1416,Decimals)</f>
        <v/>
      </c>
      <c r="M1416" s="71" t="str">
        <f>TEXT(ASTemp!M1416,Percentages)</f>
        <v/>
      </c>
      <c r="N1416" s="72" t="str">
        <f>TEXT(ASTemp!N1416,Percentages)</f>
        <v/>
      </c>
    </row>
    <row r="1417" ht="14.25" customHeight="1">
      <c r="B1417" s="66" t="str">
        <f>ASTemp!B1417</f>
        <v/>
      </c>
      <c r="C1417" s="67" t="str">
        <f>ASTemp!C1417</f>
        <v/>
      </c>
      <c r="D1417" s="68" t="str">
        <f>ASTemp!D1417</f>
        <v/>
      </c>
      <c r="E1417" s="65" t="str">
        <f>ASTemp!E1417</f>
        <v/>
      </c>
      <c r="F1417" s="69" t="str">
        <f>TEXT(ASTemp!F1417,Decimals)</f>
        <v/>
      </c>
      <c r="G1417" s="69" t="str">
        <f>TEXT(ASTemp!G1417,Decimals)</f>
        <v/>
      </c>
      <c r="H1417" s="69" t="str">
        <f>TEXT(ASTemp!H1417,Decimals)</f>
        <v/>
      </c>
      <c r="I1417" s="69" t="str">
        <f>TEXT(ASTemp!I1417,Decimals)</f>
        <v/>
      </c>
      <c r="J1417" s="69" t="str">
        <f>TEXT(ASTemp!J1417,Decimals)</f>
        <v/>
      </c>
      <c r="K1417" s="69" t="str">
        <f>TEXT(ASTemp!K1417,Decimals)</f>
        <v/>
      </c>
      <c r="L1417" s="69" t="str">
        <f>TEXT(ASTemp!L1417,Decimals)</f>
        <v/>
      </c>
      <c r="M1417" s="71" t="str">
        <f>TEXT(ASTemp!M1417,Percentages)</f>
        <v/>
      </c>
      <c r="N1417" s="72" t="str">
        <f>TEXT(ASTemp!N1417,Percentages)</f>
        <v/>
      </c>
    </row>
    <row r="1418" ht="14.25" customHeight="1">
      <c r="B1418" s="66" t="str">
        <f>ASTemp!B1418</f>
        <v/>
      </c>
      <c r="C1418" s="67" t="str">
        <f>ASTemp!C1418</f>
        <v/>
      </c>
      <c r="D1418" s="68" t="str">
        <f>ASTemp!D1418</f>
        <v/>
      </c>
      <c r="E1418" s="65" t="str">
        <f>ASTemp!E1418</f>
        <v/>
      </c>
      <c r="F1418" s="69" t="str">
        <f>TEXT(ASTemp!F1418,Decimals)</f>
        <v/>
      </c>
      <c r="G1418" s="69" t="str">
        <f>TEXT(ASTemp!G1418,Decimals)</f>
        <v/>
      </c>
      <c r="H1418" s="69" t="str">
        <f>TEXT(ASTemp!H1418,Decimals)</f>
        <v/>
      </c>
      <c r="I1418" s="69" t="str">
        <f>TEXT(ASTemp!I1418,Decimals)</f>
        <v/>
      </c>
      <c r="J1418" s="69" t="str">
        <f>TEXT(ASTemp!J1418,Decimals)</f>
        <v/>
      </c>
      <c r="K1418" s="69" t="str">
        <f>TEXT(ASTemp!K1418,Decimals)</f>
        <v/>
      </c>
      <c r="L1418" s="69" t="str">
        <f>TEXT(ASTemp!L1418,Decimals)</f>
        <v/>
      </c>
      <c r="M1418" s="71" t="str">
        <f>TEXT(ASTemp!M1418,Percentages)</f>
        <v/>
      </c>
      <c r="N1418" s="72" t="str">
        <f>TEXT(ASTemp!N1418,Percentages)</f>
        <v/>
      </c>
    </row>
    <row r="1419" ht="14.25" customHeight="1">
      <c r="B1419" s="66" t="str">
        <f>ASTemp!B1419</f>
        <v/>
      </c>
      <c r="C1419" s="67" t="str">
        <f>ASTemp!C1419</f>
        <v/>
      </c>
      <c r="D1419" s="68" t="str">
        <f>ASTemp!D1419</f>
        <v/>
      </c>
      <c r="E1419" s="65" t="str">
        <f>ASTemp!E1419</f>
        <v/>
      </c>
      <c r="F1419" s="69" t="str">
        <f>TEXT(ASTemp!F1419,Decimals)</f>
        <v/>
      </c>
      <c r="G1419" s="69" t="str">
        <f>TEXT(ASTemp!G1419,Decimals)</f>
        <v/>
      </c>
      <c r="H1419" s="69" t="str">
        <f>TEXT(ASTemp!H1419,Decimals)</f>
        <v/>
      </c>
      <c r="I1419" s="69" t="str">
        <f>TEXT(ASTemp!I1419,Decimals)</f>
        <v/>
      </c>
      <c r="J1419" s="69" t="str">
        <f>TEXT(ASTemp!J1419,Decimals)</f>
        <v/>
      </c>
      <c r="K1419" s="69" t="str">
        <f>TEXT(ASTemp!K1419,Decimals)</f>
        <v/>
      </c>
      <c r="L1419" s="69" t="str">
        <f>TEXT(ASTemp!L1419,Decimals)</f>
        <v/>
      </c>
      <c r="M1419" s="71" t="str">
        <f>TEXT(ASTemp!M1419,Percentages)</f>
        <v/>
      </c>
      <c r="N1419" s="72" t="str">
        <f>TEXT(ASTemp!N1419,Percentages)</f>
        <v/>
      </c>
    </row>
    <row r="1420" ht="14.25" customHeight="1">
      <c r="B1420" s="66" t="str">
        <f>ASTemp!B1420</f>
        <v/>
      </c>
      <c r="C1420" s="67" t="str">
        <f>ASTemp!C1420</f>
        <v/>
      </c>
      <c r="D1420" s="68" t="str">
        <f>ASTemp!D1420</f>
        <v/>
      </c>
      <c r="E1420" s="65" t="str">
        <f>ASTemp!E1420</f>
        <v/>
      </c>
      <c r="F1420" s="69" t="str">
        <f>TEXT(ASTemp!F1420,Decimals)</f>
        <v/>
      </c>
      <c r="G1420" s="69" t="str">
        <f>TEXT(ASTemp!G1420,Decimals)</f>
        <v/>
      </c>
      <c r="H1420" s="69" t="str">
        <f>TEXT(ASTemp!H1420,Decimals)</f>
        <v/>
      </c>
      <c r="I1420" s="69" t="str">
        <f>TEXT(ASTemp!I1420,Decimals)</f>
        <v/>
      </c>
      <c r="J1420" s="69" t="str">
        <f>TEXT(ASTemp!J1420,Decimals)</f>
        <v/>
      </c>
      <c r="K1420" s="69" t="str">
        <f>TEXT(ASTemp!K1420,Decimals)</f>
        <v/>
      </c>
      <c r="L1420" s="69" t="str">
        <f>TEXT(ASTemp!L1420,Decimals)</f>
        <v/>
      </c>
      <c r="M1420" s="71" t="str">
        <f>TEXT(ASTemp!M1420,Percentages)</f>
        <v/>
      </c>
      <c r="N1420" s="72" t="str">
        <f>TEXT(ASTemp!N1420,Percentages)</f>
        <v/>
      </c>
    </row>
    <row r="1421" ht="14.25" customHeight="1">
      <c r="B1421" s="66" t="str">
        <f>ASTemp!B1421</f>
        <v/>
      </c>
      <c r="C1421" s="67" t="str">
        <f>ASTemp!C1421</f>
        <v/>
      </c>
      <c r="D1421" s="68" t="str">
        <f>ASTemp!D1421</f>
        <v/>
      </c>
      <c r="E1421" s="65" t="str">
        <f>ASTemp!E1421</f>
        <v/>
      </c>
      <c r="F1421" s="69" t="str">
        <f>TEXT(ASTemp!F1421,Decimals)</f>
        <v/>
      </c>
      <c r="G1421" s="69" t="str">
        <f>TEXT(ASTemp!G1421,Decimals)</f>
        <v/>
      </c>
      <c r="H1421" s="69" t="str">
        <f>TEXT(ASTemp!H1421,Decimals)</f>
        <v/>
      </c>
      <c r="I1421" s="69" t="str">
        <f>TEXT(ASTemp!I1421,Decimals)</f>
        <v/>
      </c>
      <c r="J1421" s="69" t="str">
        <f>TEXT(ASTemp!J1421,Decimals)</f>
        <v/>
      </c>
      <c r="K1421" s="69" t="str">
        <f>TEXT(ASTemp!K1421,Decimals)</f>
        <v/>
      </c>
      <c r="L1421" s="69" t="str">
        <f>TEXT(ASTemp!L1421,Decimals)</f>
        <v/>
      </c>
      <c r="M1421" s="71" t="str">
        <f>TEXT(ASTemp!M1421,Percentages)</f>
        <v/>
      </c>
      <c r="N1421" s="72" t="str">
        <f>TEXT(ASTemp!N1421,Percentages)</f>
        <v/>
      </c>
    </row>
    <row r="1422" ht="14.25" customHeight="1">
      <c r="B1422" s="66" t="str">
        <f>ASTemp!B1422</f>
        <v/>
      </c>
      <c r="C1422" s="67" t="str">
        <f>ASTemp!C1422</f>
        <v/>
      </c>
      <c r="D1422" s="68" t="str">
        <f>ASTemp!D1422</f>
        <v/>
      </c>
      <c r="E1422" s="65" t="str">
        <f>ASTemp!E1422</f>
        <v/>
      </c>
      <c r="F1422" s="69" t="str">
        <f>TEXT(ASTemp!F1422,Decimals)</f>
        <v/>
      </c>
      <c r="G1422" s="69" t="str">
        <f>TEXT(ASTemp!G1422,Decimals)</f>
        <v/>
      </c>
      <c r="H1422" s="69" t="str">
        <f>TEXT(ASTemp!H1422,Decimals)</f>
        <v/>
      </c>
      <c r="I1422" s="69" t="str">
        <f>TEXT(ASTemp!I1422,Decimals)</f>
        <v/>
      </c>
      <c r="J1422" s="69" t="str">
        <f>TEXT(ASTemp!J1422,Decimals)</f>
        <v/>
      </c>
      <c r="K1422" s="69" t="str">
        <f>TEXT(ASTemp!K1422,Decimals)</f>
        <v/>
      </c>
      <c r="L1422" s="69" t="str">
        <f>TEXT(ASTemp!L1422,Decimals)</f>
        <v/>
      </c>
      <c r="M1422" s="71" t="str">
        <f>TEXT(ASTemp!M1422,Percentages)</f>
        <v/>
      </c>
      <c r="N1422" s="72" t="str">
        <f>TEXT(ASTemp!N1422,Percentages)</f>
        <v/>
      </c>
    </row>
    <row r="1423" ht="14.25" customHeight="1">
      <c r="B1423" s="66" t="str">
        <f>ASTemp!B1423</f>
        <v/>
      </c>
      <c r="C1423" s="67" t="str">
        <f>ASTemp!C1423</f>
        <v/>
      </c>
      <c r="D1423" s="68" t="str">
        <f>ASTemp!D1423</f>
        <v/>
      </c>
      <c r="E1423" s="65" t="str">
        <f>ASTemp!E1423</f>
        <v/>
      </c>
      <c r="F1423" s="69" t="str">
        <f>TEXT(ASTemp!F1423,Decimals)</f>
        <v/>
      </c>
      <c r="G1423" s="69" t="str">
        <f>TEXT(ASTemp!G1423,Decimals)</f>
        <v/>
      </c>
      <c r="H1423" s="69" t="str">
        <f>TEXT(ASTemp!H1423,Decimals)</f>
        <v/>
      </c>
      <c r="I1423" s="69" t="str">
        <f>TEXT(ASTemp!I1423,Decimals)</f>
        <v/>
      </c>
      <c r="J1423" s="69" t="str">
        <f>TEXT(ASTemp!J1423,Decimals)</f>
        <v/>
      </c>
      <c r="K1423" s="69" t="str">
        <f>TEXT(ASTemp!K1423,Decimals)</f>
        <v/>
      </c>
      <c r="L1423" s="69" t="str">
        <f>TEXT(ASTemp!L1423,Decimals)</f>
        <v/>
      </c>
      <c r="M1423" s="71" t="str">
        <f>TEXT(ASTemp!M1423,Percentages)</f>
        <v/>
      </c>
      <c r="N1423" s="72" t="str">
        <f>TEXT(ASTemp!N1423,Percentages)</f>
        <v/>
      </c>
    </row>
    <row r="1424" ht="14.25" customHeight="1">
      <c r="B1424" s="66" t="str">
        <f>ASTemp!B1424</f>
        <v/>
      </c>
      <c r="C1424" s="67" t="str">
        <f>ASTemp!C1424</f>
        <v/>
      </c>
      <c r="D1424" s="68" t="str">
        <f>ASTemp!D1424</f>
        <v/>
      </c>
      <c r="E1424" s="65" t="str">
        <f>ASTemp!E1424</f>
        <v/>
      </c>
      <c r="F1424" s="69" t="str">
        <f>TEXT(ASTemp!F1424,Decimals)</f>
        <v/>
      </c>
      <c r="G1424" s="69" t="str">
        <f>TEXT(ASTemp!G1424,Decimals)</f>
        <v/>
      </c>
      <c r="H1424" s="69" t="str">
        <f>TEXT(ASTemp!H1424,Decimals)</f>
        <v/>
      </c>
      <c r="I1424" s="69" t="str">
        <f>TEXT(ASTemp!I1424,Decimals)</f>
        <v/>
      </c>
      <c r="J1424" s="69" t="str">
        <f>TEXT(ASTemp!J1424,Decimals)</f>
        <v/>
      </c>
      <c r="K1424" s="69" t="str">
        <f>TEXT(ASTemp!K1424,Decimals)</f>
        <v/>
      </c>
      <c r="L1424" s="69" t="str">
        <f>TEXT(ASTemp!L1424,Decimals)</f>
        <v/>
      </c>
      <c r="M1424" s="71" t="str">
        <f>TEXT(ASTemp!M1424,Percentages)</f>
        <v/>
      </c>
      <c r="N1424" s="72" t="str">
        <f>TEXT(ASTemp!N1424,Percentages)</f>
        <v/>
      </c>
    </row>
    <row r="1425" ht="14.25" customHeight="1">
      <c r="B1425" s="66" t="str">
        <f>ASTemp!B1425</f>
        <v/>
      </c>
      <c r="C1425" s="67" t="str">
        <f>ASTemp!C1425</f>
        <v/>
      </c>
      <c r="D1425" s="68" t="str">
        <f>ASTemp!D1425</f>
        <v/>
      </c>
      <c r="E1425" s="65" t="str">
        <f>ASTemp!E1425</f>
        <v/>
      </c>
      <c r="F1425" s="69" t="str">
        <f>TEXT(ASTemp!F1425,Decimals)</f>
        <v/>
      </c>
      <c r="G1425" s="69" t="str">
        <f>TEXT(ASTemp!G1425,Decimals)</f>
        <v/>
      </c>
      <c r="H1425" s="69" t="str">
        <f>TEXT(ASTemp!H1425,Decimals)</f>
        <v/>
      </c>
      <c r="I1425" s="69" t="str">
        <f>TEXT(ASTemp!I1425,Decimals)</f>
        <v/>
      </c>
      <c r="J1425" s="69" t="str">
        <f>TEXT(ASTemp!J1425,Decimals)</f>
        <v/>
      </c>
      <c r="K1425" s="69" t="str">
        <f>TEXT(ASTemp!K1425,Decimals)</f>
        <v/>
      </c>
      <c r="L1425" s="69" t="str">
        <f>TEXT(ASTemp!L1425,Decimals)</f>
        <v/>
      </c>
      <c r="M1425" s="71" t="str">
        <f>TEXT(ASTemp!M1425,Percentages)</f>
        <v/>
      </c>
      <c r="N1425" s="72" t="str">
        <f>TEXT(ASTemp!N1425,Percentages)</f>
        <v/>
      </c>
    </row>
    <row r="1426" ht="14.25" customHeight="1">
      <c r="B1426" s="66" t="str">
        <f>ASTemp!B1426</f>
        <v/>
      </c>
      <c r="C1426" s="67" t="str">
        <f>ASTemp!C1426</f>
        <v/>
      </c>
      <c r="D1426" s="68" t="str">
        <f>ASTemp!D1426</f>
        <v/>
      </c>
      <c r="E1426" s="65" t="str">
        <f>ASTemp!E1426</f>
        <v/>
      </c>
      <c r="F1426" s="69" t="str">
        <f>TEXT(ASTemp!F1426,Decimals)</f>
        <v/>
      </c>
      <c r="G1426" s="69" t="str">
        <f>TEXT(ASTemp!G1426,Decimals)</f>
        <v/>
      </c>
      <c r="H1426" s="69" t="str">
        <f>TEXT(ASTemp!H1426,Decimals)</f>
        <v/>
      </c>
      <c r="I1426" s="69" t="str">
        <f>TEXT(ASTemp!I1426,Decimals)</f>
        <v/>
      </c>
      <c r="J1426" s="69" t="str">
        <f>TEXT(ASTemp!J1426,Decimals)</f>
        <v/>
      </c>
      <c r="K1426" s="69" t="str">
        <f>TEXT(ASTemp!K1426,Decimals)</f>
        <v/>
      </c>
      <c r="L1426" s="69" t="str">
        <f>TEXT(ASTemp!L1426,Decimals)</f>
        <v/>
      </c>
      <c r="M1426" s="71" t="str">
        <f>TEXT(ASTemp!M1426,Percentages)</f>
        <v/>
      </c>
      <c r="N1426" s="72" t="str">
        <f>TEXT(ASTemp!N1426,Percentages)</f>
        <v/>
      </c>
    </row>
    <row r="1427" ht="14.25" customHeight="1">
      <c r="B1427" s="66" t="str">
        <f>ASTemp!B1427</f>
        <v/>
      </c>
      <c r="C1427" s="67" t="str">
        <f>ASTemp!C1427</f>
        <v/>
      </c>
      <c r="D1427" s="68" t="str">
        <f>ASTemp!D1427</f>
        <v/>
      </c>
      <c r="E1427" s="65" t="str">
        <f>ASTemp!E1427</f>
        <v/>
      </c>
      <c r="F1427" s="69" t="str">
        <f>TEXT(ASTemp!F1427,Decimals)</f>
        <v/>
      </c>
      <c r="G1427" s="69" t="str">
        <f>TEXT(ASTemp!G1427,Decimals)</f>
        <v/>
      </c>
      <c r="H1427" s="69" t="str">
        <f>TEXT(ASTemp!H1427,Decimals)</f>
        <v/>
      </c>
      <c r="I1427" s="69" t="str">
        <f>TEXT(ASTemp!I1427,Decimals)</f>
        <v/>
      </c>
      <c r="J1427" s="69" t="str">
        <f>TEXT(ASTemp!J1427,Decimals)</f>
        <v/>
      </c>
      <c r="K1427" s="69" t="str">
        <f>TEXT(ASTemp!K1427,Decimals)</f>
        <v/>
      </c>
      <c r="L1427" s="69" t="str">
        <f>TEXT(ASTemp!L1427,Decimals)</f>
        <v/>
      </c>
      <c r="M1427" s="71" t="str">
        <f>TEXT(ASTemp!M1427,Percentages)</f>
        <v/>
      </c>
      <c r="N1427" s="72" t="str">
        <f>TEXT(ASTemp!N1427,Percentages)</f>
        <v/>
      </c>
    </row>
    <row r="1428" ht="14.25" customHeight="1">
      <c r="B1428" s="66" t="str">
        <f>ASTemp!B1428</f>
        <v/>
      </c>
      <c r="C1428" s="67" t="str">
        <f>ASTemp!C1428</f>
        <v/>
      </c>
      <c r="D1428" s="68" t="str">
        <f>ASTemp!D1428</f>
        <v/>
      </c>
      <c r="E1428" s="65" t="str">
        <f>ASTemp!E1428</f>
        <v/>
      </c>
      <c r="F1428" s="69" t="str">
        <f>TEXT(ASTemp!F1428,Decimals)</f>
        <v/>
      </c>
      <c r="G1428" s="69" t="str">
        <f>TEXT(ASTemp!G1428,Decimals)</f>
        <v/>
      </c>
      <c r="H1428" s="69" t="str">
        <f>TEXT(ASTemp!H1428,Decimals)</f>
        <v/>
      </c>
      <c r="I1428" s="69" t="str">
        <f>TEXT(ASTemp!I1428,Decimals)</f>
        <v/>
      </c>
      <c r="J1428" s="69" t="str">
        <f>TEXT(ASTemp!J1428,Decimals)</f>
        <v/>
      </c>
      <c r="K1428" s="69" t="str">
        <f>TEXT(ASTemp!K1428,Decimals)</f>
        <v/>
      </c>
      <c r="L1428" s="69" t="str">
        <f>TEXT(ASTemp!L1428,Decimals)</f>
        <v/>
      </c>
      <c r="M1428" s="71" t="str">
        <f>TEXT(ASTemp!M1428,Percentages)</f>
        <v/>
      </c>
      <c r="N1428" s="72" t="str">
        <f>TEXT(ASTemp!N1428,Percentages)</f>
        <v/>
      </c>
    </row>
    <row r="1429" ht="14.25" customHeight="1">
      <c r="B1429" s="66" t="str">
        <f>ASTemp!B1429</f>
        <v/>
      </c>
      <c r="C1429" s="67" t="str">
        <f>ASTemp!C1429</f>
        <v/>
      </c>
      <c r="D1429" s="68" t="str">
        <f>ASTemp!D1429</f>
        <v/>
      </c>
      <c r="E1429" s="65" t="str">
        <f>ASTemp!E1429</f>
        <v/>
      </c>
      <c r="F1429" s="69" t="str">
        <f>TEXT(ASTemp!F1429,Decimals)</f>
        <v/>
      </c>
      <c r="G1429" s="69" t="str">
        <f>TEXT(ASTemp!G1429,Decimals)</f>
        <v/>
      </c>
      <c r="H1429" s="69" t="str">
        <f>TEXT(ASTemp!H1429,Decimals)</f>
        <v/>
      </c>
      <c r="I1429" s="69" t="str">
        <f>TEXT(ASTemp!I1429,Decimals)</f>
        <v/>
      </c>
      <c r="J1429" s="69" t="str">
        <f>TEXT(ASTemp!J1429,Decimals)</f>
        <v/>
      </c>
      <c r="K1429" s="69" t="str">
        <f>TEXT(ASTemp!K1429,Decimals)</f>
        <v/>
      </c>
      <c r="L1429" s="69" t="str">
        <f>TEXT(ASTemp!L1429,Decimals)</f>
        <v/>
      </c>
      <c r="M1429" s="71" t="str">
        <f>TEXT(ASTemp!M1429,Percentages)</f>
        <v/>
      </c>
      <c r="N1429" s="72" t="str">
        <f>TEXT(ASTemp!N1429,Percentages)</f>
        <v/>
      </c>
    </row>
    <row r="1430" ht="14.25" customHeight="1">
      <c r="B1430" s="66" t="str">
        <f>ASTemp!B1430</f>
        <v/>
      </c>
      <c r="C1430" s="67" t="str">
        <f>ASTemp!C1430</f>
        <v/>
      </c>
      <c r="D1430" s="68" t="str">
        <f>ASTemp!D1430</f>
        <v/>
      </c>
      <c r="E1430" s="65" t="str">
        <f>ASTemp!E1430</f>
        <v/>
      </c>
      <c r="F1430" s="69" t="str">
        <f>TEXT(ASTemp!F1430,Decimals)</f>
        <v/>
      </c>
      <c r="G1430" s="69" t="str">
        <f>TEXT(ASTemp!G1430,Decimals)</f>
        <v/>
      </c>
      <c r="H1430" s="69" t="str">
        <f>TEXT(ASTemp!H1430,Decimals)</f>
        <v/>
      </c>
      <c r="I1430" s="69" t="str">
        <f>TEXT(ASTemp!I1430,Decimals)</f>
        <v/>
      </c>
      <c r="J1430" s="69" t="str">
        <f>TEXT(ASTemp!J1430,Decimals)</f>
        <v/>
      </c>
      <c r="K1430" s="69" t="str">
        <f>TEXT(ASTemp!K1430,Decimals)</f>
        <v/>
      </c>
      <c r="L1430" s="69" t="str">
        <f>TEXT(ASTemp!L1430,Decimals)</f>
        <v/>
      </c>
      <c r="M1430" s="71" t="str">
        <f>TEXT(ASTemp!M1430,Percentages)</f>
        <v/>
      </c>
      <c r="N1430" s="72" t="str">
        <f>TEXT(ASTemp!N1430,Percentages)</f>
        <v/>
      </c>
    </row>
    <row r="1431" ht="14.25" customHeight="1">
      <c r="B1431" s="66" t="str">
        <f>ASTemp!B1431</f>
        <v/>
      </c>
      <c r="C1431" s="67" t="str">
        <f>ASTemp!C1431</f>
        <v/>
      </c>
      <c r="D1431" s="68" t="str">
        <f>ASTemp!D1431</f>
        <v/>
      </c>
      <c r="E1431" s="65" t="str">
        <f>ASTemp!E1431</f>
        <v/>
      </c>
      <c r="F1431" s="69" t="str">
        <f>TEXT(ASTemp!F1431,Decimals)</f>
        <v/>
      </c>
      <c r="G1431" s="69" t="str">
        <f>TEXT(ASTemp!G1431,Decimals)</f>
        <v/>
      </c>
      <c r="H1431" s="69" t="str">
        <f>TEXT(ASTemp!H1431,Decimals)</f>
        <v/>
      </c>
      <c r="I1431" s="69" t="str">
        <f>TEXT(ASTemp!I1431,Decimals)</f>
        <v/>
      </c>
      <c r="J1431" s="69" t="str">
        <f>TEXT(ASTemp!J1431,Decimals)</f>
        <v/>
      </c>
      <c r="K1431" s="69" t="str">
        <f>TEXT(ASTemp!K1431,Decimals)</f>
        <v/>
      </c>
      <c r="L1431" s="69" t="str">
        <f>TEXT(ASTemp!L1431,Decimals)</f>
        <v/>
      </c>
      <c r="M1431" s="71" t="str">
        <f>TEXT(ASTemp!M1431,Percentages)</f>
        <v/>
      </c>
      <c r="N1431" s="72" t="str">
        <f>TEXT(ASTemp!N1431,Percentages)</f>
        <v/>
      </c>
    </row>
    <row r="1432" ht="14.25" customHeight="1">
      <c r="B1432" s="66" t="str">
        <f>ASTemp!B1432</f>
        <v/>
      </c>
      <c r="C1432" s="67" t="str">
        <f>ASTemp!C1432</f>
        <v/>
      </c>
      <c r="D1432" s="68" t="str">
        <f>ASTemp!D1432</f>
        <v/>
      </c>
      <c r="E1432" s="65" t="str">
        <f>ASTemp!E1432</f>
        <v/>
      </c>
      <c r="F1432" s="69" t="str">
        <f>TEXT(ASTemp!F1432,Decimals)</f>
        <v/>
      </c>
      <c r="G1432" s="69" t="str">
        <f>TEXT(ASTemp!G1432,Decimals)</f>
        <v/>
      </c>
      <c r="H1432" s="69" t="str">
        <f>TEXT(ASTemp!H1432,Decimals)</f>
        <v/>
      </c>
      <c r="I1432" s="69" t="str">
        <f>TEXT(ASTemp!I1432,Decimals)</f>
        <v/>
      </c>
      <c r="J1432" s="69" t="str">
        <f>TEXT(ASTemp!J1432,Decimals)</f>
        <v/>
      </c>
      <c r="K1432" s="69" t="str">
        <f>TEXT(ASTemp!K1432,Decimals)</f>
        <v/>
      </c>
      <c r="L1432" s="69" t="str">
        <f>TEXT(ASTemp!L1432,Decimals)</f>
        <v/>
      </c>
      <c r="M1432" s="71" t="str">
        <f>TEXT(ASTemp!M1432,Percentages)</f>
        <v/>
      </c>
      <c r="N1432" s="72" t="str">
        <f>TEXT(ASTemp!N1432,Percentages)</f>
        <v/>
      </c>
    </row>
    <row r="1433" ht="14.25" customHeight="1">
      <c r="B1433" s="66" t="str">
        <f>ASTemp!B1433</f>
        <v/>
      </c>
      <c r="C1433" s="67" t="str">
        <f>ASTemp!C1433</f>
        <v/>
      </c>
      <c r="D1433" s="68" t="str">
        <f>ASTemp!D1433</f>
        <v/>
      </c>
      <c r="E1433" s="65" t="str">
        <f>ASTemp!E1433</f>
        <v/>
      </c>
      <c r="F1433" s="69" t="str">
        <f>TEXT(ASTemp!F1433,Decimals)</f>
        <v/>
      </c>
      <c r="G1433" s="69" t="str">
        <f>TEXT(ASTemp!G1433,Decimals)</f>
        <v/>
      </c>
      <c r="H1433" s="69" t="str">
        <f>TEXT(ASTemp!H1433,Decimals)</f>
        <v/>
      </c>
      <c r="I1433" s="69" t="str">
        <f>TEXT(ASTemp!I1433,Decimals)</f>
        <v/>
      </c>
      <c r="J1433" s="69" t="str">
        <f>TEXT(ASTemp!J1433,Decimals)</f>
        <v/>
      </c>
      <c r="K1433" s="69" t="str">
        <f>TEXT(ASTemp!K1433,Decimals)</f>
        <v/>
      </c>
      <c r="L1433" s="69" t="str">
        <f>TEXT(ASTemp!L1433,Decimals)</f>
        <v/>
      </c>
      <c r="M1433" s="71" t="str">
        <f>TEXT(ASTemp!M1433,Percentages)</f>
        <v/>
      </c>
      <c r="N1433" s="72" t="str">
        <f>TEXT(ASTemp!N1433,Percentages)</f>
        <v/>
      </c>
    </row>
    <row r="1434" ht="14.25" customHeight="1">
      <c r="B1434" s="66" t="str">
        <f>ASTemp!B1434</f>
        <v/>
      </c>
      <c r="C1434" s="67" t="str">
        <f>ASTemp!C1434</f>
        <v/>
      </c>
      <c r="D1434" s="68" t="str">
        <f>ASTemp!D1434</f>
        <v/>
      </c>
      <c r="E1434" s="65" t="str">
        <f>ASTemp!E1434</f>
        <v/>
      </c>
      <c r="F1434" s="69" t="str">
        <f>TEXT(ASTemp!F1434,Decimals)</f>
        <v/>
      </c>
      <c r="G1434" s="69" t="str">
        <f>TEXT(ASTemp!G1434,Decimals)</f>
        <v/>
      </c>
      <c r="H1434" s="69" t="str">
        <f>TEXT(ASTemp!H1434,Decimals)</f>
        <v/>
      </c>
      <c r="I1434" s="69" t="str">
        <f>TEXT(ASTemp!I1434,Decimals)</f>
        <v/>
      </c>
      <c r="J1434" s="69" t="str">
        <f>TEXT(ASTemp!J1434,Decimals)</f>
        <v/>
      </c>
      <c r="K1434" s="69" t="str">
        <f>TEXT(ASTemp!K1434,Decimals)</f>
        <v/>
      </c>
      <c r="L1434" s="69" t="str">
        <f>TEXT(ASTemp!L1434,Decimals)</f>
        <v/>
      </c>
      <c r="M1434" s="71" t="str">
        <f>TEXT(ASTemp!M1434,Percentages)</f>
        <v/>
      </c>
      <c r="N1434" s="72" t="str">
        <f>TEXT(ASTemp!N1434,Percentages)</f>
        <v/>
      </c>
    </row>
    <row r="1435" ht="14.25" customHeight="1">
      <c r="B1435" s="66" t="str">
        <f>ASTemp!B1435</f>
        <v/>
      </c>
      <c r="C1435" s="67" t="str">
        <f>ASTemp!C1435</f>
        <v/>
      </c>
      <c r="D1435" s="68" t="str">
        <f>ASTemp!D1435</f>
        <v/>
      </c>
      <c r="E1435" s="65" t="str">
        <f>ASTemp!E1435</f>
        <v/>
      </c>
      <c r="F1435" s="69" t="str">
        <f>TEXT(ASTemp!F1435,Decimals)</f>
        <v/>
      </c>
      <c r="G1435" s="69" t="str">
        <f>TEXT(ASTemp!G1435,Decimals)</f>
        <v/>
      </c>
      <c r="H1435" s="69" t="str">
        <f>TEXT(ASTemp!H1435,Decimals)</f>
        <v/>
      </c>
      <c r="I1435" s="69" t="str">
        <f>TEXT(ASTemp!I1435,Decimals)</f>
        <v/>
      </c>
      <c r="J1435" s="69" t="str">
        <f>TEXT(ASTemp!J1435,Decimals)</f>
        <v/>
      </c>
      <c r="K1435" s="69" t="str">
        <f>TEXT(ASTemp!K1435,Decimals)</f>
        <v/>
      </c>
      <c r="L1435" s="69" t="str">
        <f>TEXT(ASTemp!L1435,Decimals)</f>
        <v/>
      </c>
      <c r="M1435" s="71" t="str">
        <f>TEXT(ASTemp!M1435,Percentages)</f>
        <v/>
      </c>
      <c r="N1435" s="72" t="str">
        <f>TEXT(ASTemp!N1435,Percentages)</f>
        <v/>
      </c>
    </row>
    <row r="1436" ht="14.25" customHeight="1">
      <c r="B1436" s="66" t="str">
        <f>ASTemp!B1436</f>
        <v/>
      </c>
      <c r="C1436" s="67" t="str">
        <f>ASTemp!C1436</f>
        <v/>
      </c>
      <c r="D1436" s="68" t="str">
        <f>ASTemp!D1436</f>
        <v/>
      </c>
      <c r="E1436" s="65" t="str">
        <f>ASTemp!E1436</f>
        <v/>
      </c>
      <c r="F1436" s="69" t="str">
        <f>TEXT(ASTemp!F1436,Decimals)</f>
        <v/>
      </c>
      <c r="G1436" s="69" t="str">
        <f>TEXT(ASTemp!G1436,Decimals)</f>
        <v/>
      </c>
      <c r="H1436" s="69" t="str">
        <f>TEXT(ASTemp!H1436,Decimals)</f>
        <v/>
      </c>
      <c r="I1436" s="69" t="str">
        <f>TEXT(ASTemp!I1436,Decimals)</f>
        <v/>
      </c>
      <c r="J1436" s="69" t="str">
        <f>TEXT(ASTemp!J1436,Decimals)</f>
        <v/>
      </c>
      <c r="K1436" s="69" t="str">
        <f>TEXT(ASTemp!K1436,Decimals)</f>
        <v/>
      </c>
      <c r="L1436" s="69" t="str">
        <f>TEXT(ASTemp!L1436,Decimals)</f>
        <v/>
      </c>
      <c r="M1436" s="71" t="str">
        <f>TEXT(ASTemp!M1436,Percentages)</f>
        <v/>
      </c>
      <c r="N1436" s="72" t="str">
        <f>TEXT(ASTemp!N1436,Percentages)</f>
        <v/>
      </c>
    </row>
    <row r="1437" ht="14.25" customHeight="1">
      <c r="B1437" s="66" t="str">
        <f>ASTemp!B1437</f>
        <v/>
      </c>
      <c r="C1437" s="67" t="str">
        <f>ASTemp!C1437</f>
        <v/>
      </c>
      <c r="D1437" s="68" t="str">
        <f>ASTemp!D1437</f>
        <v/>
      </c>
      <c r="E1437" s="65" t="str">
        <f>ASTemp!E1437</f>
        <v/>
      </c>
      <c r="F1437" s="69" t="str">
        <f>TEXT(ASTemp!F1437,Decimals)</f>
        <v/>
      </c>
      <c r="G1437" s="69" t="str">
        <f>TEXT(ASTemp!G1437,Decimals)</f>
        <v/>
      </c>
      <c r="H1437" s="69" t="str">
        <f>TEXT(ASTemp!H1437,Decimals)</f>
        <v/>
      </c>
      <c r="I1437" s="69" t="str">
        <f>TEXT(ASTemp!I1437,Decimals)</f>
        <v/>
      </c>
      <c r="J1437" s="69" t="str">
        <f>TEXT(ASTemp!J1437,Decimals)</f>
        <v/>
      </c>
      <c r="K1437" s="69" t="str">
        <f>TEXT(ASTemp!K1437,Decimals)</f>
        <v/>
      </c>
      <c r="L1437" s="69" t="str">
        <f>TEXT(ASTemp!L1437,Decimals)</f>
        <v/>
      </c>
      <c r="M1437" s="71" t="str">
        <f>TEXT(ASTemp!M1437,Percentages)</f>
        <v/>
      </c>
      <c r="N1437" s="72" t="str">
        <f>TEXT(ASTemp!N1437,Percentages)</f>
        <v/>
      </c>
    </row>
    <row r="1438" ht="14.25" customHeight="1">
      <c r="B1438" s="66" t="str">
        <f>ASTemp!B1438</f>
        <v/>
      </c>
      <c r="C1438" s="67" t="str">
        <f>ASTemp!C1438</f>
        <v/>
      </c>
      <c r="D1438" s="68" t="str">
        <f>ASTemp!D1438</f>
        <v/>
      </c>
      <c r="E1438" s="65" t="str">
        <f>ASTemp!E1438</f>
        <v/>
      </c>
      <c r="F1438" s="69" t="str">
        <f>TEXT(ASTemp!F1438,Decimals)</f>
        <v/>
      </c>
      <c r="G1438" s="69" t="str">
        <f>TEXT(ASTemp!G1438,Decimals)</f>
        <v/>
      </c>
      <c r="H1438" s="69" t="str">
        <f>TEXT(ASTemp!H1438,Decimals)</f>
        <v/>
      </c>
      <c r="I1438" s="69" t="str">
        <f>TEXT(ASTemp!I1438,Decimals)</f>
        <v/>
      </c>
      <c r="J1438" s="69" t="str">
        <f>TEXT(ASTemp!J1438,Decimals)</f>
        <v/>
      </c>
      <c r="K1438" s="69" t="str">
        <f>TEXT(ASTemp!K1438,Decimals)</f>
        <v/>
      </c>
      <c r="L1438" s="69" t="str">
        <f>TEXT(ASTemp!L1438,Decimals)</f>
        <v/>
      </c>
      <c r="M1438" s="71" t="str">
        <f>TEXT(ASTemp!M1438,Percentages)</f>
        <v/>
      </c>
      <c r="N1438" s="72" t="str">
        <f>TEXT(ASTemp!N1438,Percentages)</f>
        <v/>
      </c>
    </row>
    <row r="1439" ht="14.25" customHeight="1">
      <c r="B1439" s="66" t="str">
        <f>ASTemp!B1439</f>
        <v/>
      </c>
      <c r="C1439" s="67" t="str">
        <f>ASTemp!C1439</f>
        <v/>
      </c>
      <c r="D1439" s="68" t="str">
        <f>ASTemp!D1439</f>
        <v/>
      </c>
      <c r="E1439" s="65" t="str">
        <f>ASTemp!E1439</f>
        <v/>
      </c>
      <c r="F1439" s="69" t="str">
        <f>TEXT(ASTemp!F1439,Decimals)</f>
        <v/>
      </c>
      <c r="G1439" s="69" t="str">
        <f>TEXT(ASTemp!G1439,Decimals)</f>
        <v/>
      </c>
      <c r="H1439" s="69" t="str">
        <f>TEXT(ASTemp!H1439,Decimals)</f>
        <v/>
      </c>
      <c r="I1439" s="69" t="str">
        <f>TEXT(ASTemp!I1439,Decimals)</f>
        <v/>
      </c>
      <c r="J1439" s="69" t="str">
        <f>TEXT(ASTemp!J1439,Decimals)</f>
        <v/>
      </c>
      <c r="K1439" s="69" t="str">
        <f>TEXT(ASTemp!K1439,Decimals)</f>
        <v/>
      </c>
      <c r="L1439" s="69" t="str">
        <f>TEXT(ASTemp!L1439,Decimals)</f>
        <v/>
      </c>
      <c r="M1439" s="71" t="str">
        <f>TEXT(ASTemp!M1439,Percentages)</f>
        <v/>
      </c>
      <c r="N1439" s="72" t="str">
        <f>TEXT(ASTemp!N1439,Percentages)</f>
        <v/>
      </c>
    </row>
    <row r="1440" ht="14.25" customHeight="1">
      <c r="B1440" s="66" t="str">
        <f>ASTemp!B1440</f>
        <v/>
      </c>
      <c r="C1440" s="67" t="str">
        <f>ASTemp!C1440</f>
        <v/>
      </c>
      <c r="D1440" s="68" t="str">
        <f>ASTemp!D1440</f>
        <v/>
      </c>
      <c r="E1440" s="65" t="str">
        <f>ASTemp!E1440</f>
        <v/>
      </c>
      <c r="F1440" s="69" t="str">
        <f>TEXT(ASTemp!F1440,Decimals)</f>
        <v/>
      </c>
      <c r="G1440" s="69" t="str">
        <f>TEXT(ASTemp!G1440,Decimals)</f>
        <v/>
      </c>
      <c r="H1440" s="69" t="str">
        <f>TEXT(ASTemp!H1440,Decimals)</f>
        <v/>
      </c>
      <c r="I1440" s="69" t="str">
        <f>TEXT(ASTemp!I1440,Decimals)</f>
        <v/>
      </c>
      <c r="J1440" s="69" t="str">
        <f>TEXT(ASTemp!J1440,Decimals)</f>
        <v/>
      </c>
      <c r="K1440" s="69" t="str">
        <f>TEXT(ASTemp!K1440,Decimals)</f>
        <v/>
      </c>
      <c r="L1440" s="69" t="str">
        <f>TEXT(ASTemp!L1440,Decimals)</f>
        <v/>
      </c>
      <c r="M1440" s="71" t="str">
        <f>TEXT(ASTemp!M1440,Percentages)</f>
        <v/>
      </c>
      <c r="N1440" s="72" t="str">
        <f>TEXT(ASTemp!N1440,Percentages)</f>
        <v/>
      </c>
    </row>
    <row r="1441" ht="14.25" customHeight="1">
      <c r="B1441" s="66" t="str">
        <f>ASTemp!B1441</f>
        <v/>
      </c>
      <c r="C1441" s="67" t="str">
        <f>ASTemp!C1441</f>
        <v/>
      </c>
      <c r="D1441" s="68" t="str">
        <f>ASTemp!D1441</f>
        <v/>
      </c>
      <c r="E1441" s="65" t="str">
        <f>ASTemp!E1441</f>
        <v/>
      </c>
      <c r="F1441" s="69" t="str">
        <f>TEXT(ASTemp!F1441,Decimals)</f>
        <v/>
      </c>
      <c r="G1441" s="69" t="str">
        <f>TEXT(ASTemp!G1441,Decimals)</f>
        <v/>
      </c>
      <c r="H1441" s="69" t="str">
        <f>TEXT(ASTemp!H1441,Decimals)</f>
        <v/>
      </c>
      <c r="I1441" s="69" t="str">
        <f>TEXT(ASTemp!I1441,Decimals)</f>
        <v/>
      </c>
      <c r="J1441" s="69" t="str">
        <f>TEXT(ASTemp!J1441,Decimals)</f>
        <v/>
      </c>
      <c r="K1441" s="69" t="str">
        <f>TEXT(ASTemp!K1441,Decimals)</f>
        <v/>
      </c>
      <c r="L1441" s="69" t="str">
        <f>TEXT(ASTemp!L1441,Decimals)</f>
        <v/>
      </c>
      <c r="M1441" s="71" t="str">
        <f>TEXT(ASTemp!M1441,Percentages)</f>
        <v/>
      </c>
      <c r="N1441" s="72" t="str">
        <f>TEXT(ASTemp!N1441,Percentages)</f>
        <v/>
      </c>
    </row>
    <row r="1442" ht="14.25" customHeight="1">
      <c r="B1442" s="66" t="str">
        <f>ASTemp!B1442</f>
        <v/>
      </c>
      <c r="C1442" s="67" t="str">
        <f>ASTemp!C1442</f>
        <v/>
      </c>
      <c r="D1442" s="68" t="str">
        <f>ASTemp!D1442</f>
        <v/>
      </c>
      <c r="E1442" s="65" t="str">
        <f>ASTemp!E1442</f>
        <v/>
      </c>
      <c r="F1442" s="69" t="str">
        <f>TEXT(ASTemp!F1442,Decimals)</f>
        <v/>
      </c>
      <c r="G1442" s="69" t="str">
        <f>TEXT(ASTemp!G1442,Decimals)</f>
        <v/>
      </c>
      <c r="H1442" s="69" t="str">
        <f>TEXT(ASTemp!H1442,Decimals)</f>
        <v/>
      </c>
      <c r="I1442" s="69" t="str">
        <f>TEXT(ASTemp!I1442,Decimals)</f>
        <v/>
      </c>
      <c r="J1442" s="69" t="str">
        <f>TEXT(ASTemp!J1442,Decimals)</f>
        <v/>
      </c>
      <c r="K1442" s="69" t="str">
        <f>TEXT(ASTemp!K1442,Decimals)</f>
        <v/>
      </c>
      <c r="L1442" s="69" t="str">
        <f>TEXT(ASTemp!L1442,Decimals)</f>
        <v/>
      </c>
      <c r="M1442" s="71" t="str">
        <f>TEXT(ASTemp!M1442,Percentages)</f>
        <v/>
      </c>
      <c r="N1442" s="72" t="str">
        <f>TEXT(ASTemp!N1442,Percentages)</f>
        <v/>
      </c>
    </row>
    <row r="1443" ht="14.25" customHeight="1">
      <c r="B1443" s="66" t="str">
        <f>ASTemp!B1443</f>
        <v/>
      </c>
      <c r="C1443" s="67" t="str">
        <f>ASTemp!C1443</f>
        <v/>
      </c>
      <c r="D1443" s="68" t="str">
        <f>ASTemp!D1443</f>
        <v/>
      </c>
      <c r="E1443" s="65" t="str">
        <f>ASTemp!E1443</f>
        <v/>
      </c>
      <c r="F1443" s="69" t="str">
        <f>TEXT(ASTemp!F1443,Decimals)</f>
        <v/>
      </c>
      <c r="G1443" s="69" t="str">
        <f>TEXT(ASTemp!G1443,Decimals)</f>
        <v/>
      </c>
      <c r="H1443" s="69" t="str">
        <f>TEXT(ASTemp!H1443,Decimals)</f>
        <v/>
      </c>
      <c r="I1443" s="69" t="str">
        <f>TEXT(ASTemp!I1443,Decimals)</f>
        <v/>
      </c>
      <c r="J1443" s="69" t="str">
        <f>TEXT(ASTemp!J1443,Decimals)</f>
        <v/>
      </c>
      <c r="K1443" s="69" t="str">
        <f>TEXT(ASTemp!K1443,Decimals)</f>
        <v/>
      </c>
      <c r="L1443" s="69" t="str">
        <f>TEXT(ASTemp!L1443,Decimals)</f>
        <v/>
      </c>
      <c r="M1443" s="71" t="str">
        <f>TEXT(ASTemp!M1443,Percentages)</f>
        <v/>
      </c>
      <c r="N1443" s="72" t="str">
        <f>TEXT(ASTemp!N1443,Percentages)</f>
        <v/>
      </c>
    </row>
    <row r="1444" ht="14.25" customHeight="1">
      <c r="B1444" s="66" t="str">
        <f>ASTemp!B1444</f>
        <v/>
      </c>
      <c r="C1444" s="67" t="str">
        <f>ASTemp!C1444</f>
        <v/>
      </c>
      <c r="D1444" s="68" t="str">
        <f>ASTemp!D1444</f>
        <v/>
      </c>
      <c r="E1444" s="65" t="str">
        <f>ASTemp!E1444</f>
        <v/>
      </c>
      <c r="F1444" s="69" t="str">
        <f>TEXT(ASTemp!F1444,Decimals)</f>
        <v/>
      </c>
      <c r="G1444" s="69" t="str">
        <f>TEXT(ASTemp!G1444,Decimals)</f>
        <v/>
      </c>
      <c r="H1444" s="69" t="str">
        <f>TEXT(ASTemp!H1444,Decimals)</f>
        <v/>
      </c>
      <c r="I1444" s="69" t="str">
        <f>TEXT(ASTemp!I1444,Decimals)</f>
        <v/>
      </c>
      <c r="J1444" s="69" t="str">
        <f>TEXT(ASTemp!J1444,Decimals)</f>
        <v/>
      </c>
      <c r="K1444" s="69" t="str">
        <f>TEXT(ASTemp!K1444,Decimals)</f>
        <v/>
      </c>
      <c r="L1444" s="69" t="str">
        <f>TEXT(ASTemp!L1444,Decimals)</f>
        <v/>
      </c>
      <c r="M1444" s="71" t="str">
        <f>TEXT(ASTemp!M1444,Percentages)</f>
        <v/>
      </c>
      <c r="N1444" s="72" t="str">
        <f>TEXT(ASTemp!N1444,Percentages)</f>
        <v/>
      </c>
    </row>
    <row r="1445" ht="14.25" customHeight="1">
      <c r="B1445" s="66" t="str">
        <f>ASTemp!B1445</f>
        <v/>
      </c>
      <c r="C1445" s="67" t="str">
        <f>ASTemp!C1445</f>
        <v/>
      </c>
      <c r="D1445" s="68" t="str">
        <f>ASTemp!D1445</f>
        <v/>
      </c>
      <c r="E1445" s="65" t="str">
        <f>ASTemp!E1445</f>
        <v/>
      </c>
      <c r="F1445" s="69" t="str">
        <f>TEXT(ASTemp!F1445,Decimals)</f>
        <v/>
      </c>
      <c r="G1445" s="69" t="str">
        <f>TEXT(ASTemp!G1445,Decimals)</f>
        <v/>
      </c>
      <c r="H1445" s="69" t="str">
        <f>TEXT(ASTemp!H1445,Decimals)</f>
        <v/>
      </c>
      <c r="I1445" s="69" t="str">
        <f>TEXT(ASTemp!I1445,Decimals)</f>
        <v/>
      </c>
      <c r="J1445" s="69" t="str">
        <f>TEXT(ASTemp!J1445,Decimals)</f>
        <v/>
      </c>
      <c r="K1445" s="69" t="str">
        <f>TEXT(ASTemp!K1445,Decimals)</f>
        <v/>
      </c>
      <c r="L1445" s="69" t="str">
        <f>TEXT(ASTemp!L1445,Decimals)</f>
        <v/>
      </c>
      <c r="M1445" s="71" t="str">
        <f>TEXT(ASTemp!M1445,Percentages)</f>
        <v/>
      </c>
      <c r="N1445" s="72" t="str">
        <f>TEXT(ASTemp!N1445,Percentages)</f>
        <v/>
      </c>
    </row>
    <row r="1446" ht="14.25" customHeight="1">
      <c r="B1446" s="66" t="str">
        <f>ASTemp!B1446</f>
        <v/>
      </c>
      <c r="C1446" s="67" t="str">
        <f>ASTemp!C1446</f>
        <v/>
      </c>
      <c r="D1446" s="68" t="str">
        <f>ASTemp!D1446</f>
        <v/>
      </c>
      <c r="E1446" s="65" t="str">
        <f>ASTemp!E1446</f>
        <v/>
      </c>
      <c r="F1446" s="69" t="str">
        <f>TEXT(ASTemp!F1446,Decimals)</f>
        <v/>
      </c>
      <c r="G1446" s="69" t="str">
        <f>TEXT(ASTemp!G1446,Decimals)</f>
        <v/>
      </c>
      <c r="H1446" s="69" t="str">
        <f>TEXT(ASTemp!H1446,Decimals)</f>
        <v/>
      </c>
      <c r="I1446" s="69" t="str">
        <f>TEXT(ASTemp!I1446,Decimals)</f>
        <v/>
      </c>
      <c r="J1446" s="69" t="str">
        <f>TEXT(ASTemp!J1446,Decimals)</f>
        <v/>
      </c>
      <c r="K1446" s="69" t="str">
        <f>TEXT(ASTemp!K1446,Decimals)</f>
        <v/>
      </c>
      <c r="L1446" s="69" t="str">
        <f>TEXT(ASTemp!L1446,Decimals)</f>
        <v/>
      </c>
      <c r="M1446" s="71" t="str">
        <f>TEXT(ASTemp!M1446,Percentages)</f>
        <v/>
      </c>
      <c r="N1446" s="72" t="str">
        <f>TEXT(ASTemp!N1446,Percentages)</f>
        <v/>
      </c>
    </row>
    <row r="1447" ht="14.25" customHeight="1">
      <c r="B1447" s="66" t="str">
        <f>ASTemp!B1447</f>
        <v/>
      </c>
      <c r="C1447" s="67" t="str">
        <f>ASTemp!C1447</f>
        <v/>
      </c>
      <c r="D1447" s="68" t="str">
        <f>ASTemp!D1447</f>
        <v/>
      </c>
      <c r="E1447" s="65" t="str">
        <f>ASTemp!E1447</f>
        <v/>
      </c>
      <c r="F1447" s="69" t="str">
        <f>TEXT(ASTemp!F1447,Decimals)</f>
        <v/>
      </c>
      <c r="G1447" s="69" t="str">
        <f>TEXT(ASTemp!G1447,Decimals)</f>
        <v/>
      </c>
      <c r="H1447" s="69" t="str">
        <f>TEXT(ASTemp!H1447,Decimals)</f>
        <v/>
      </c>
      <c r="I1447" s="69" t="str">
        <f>TEXT(ASTemp!I1447,Decimals)</f>
        <v/>
      </c>
      <c r="J1447" s="69" t="str">
        <f>TEXT(ASTemp!J1447,Decimals)</f>
        <v/>
      </c>
      <c r="K1447" s="69" t="str">
        <f>TEXT(ASTemp!K1447,Decimals)</f>
        <v/>
      </c>
      <c r="L1447" s="69" t="str">
        <f>TEXT(ASTemp!L1447,Decimals)</f>
        <v/>
      </c>
      <c r="M1447" s="71" t="str">
        <f>TEXT(ASTemp!M1447,Percentages)</f>
        <v/>
      </c>
      <c r="N1447" s="72" t="str">
        <f>TEXT(ASTemp!N1447,Percentages)</f>
        <v/>
      </c>
    </row>
    <row r="1448" ht="14.25" customHeight="1">
      <c r="B1448" s="66" t="str">
        <f>ASTemp!B1448</f>
        <v/>
      </c>
      <c r="C1448" s="67" t="str">
        <f>ASTemp!C1448</f>
        <v/>
      </c>
      <c r="D1448" s="68" t="str">
        <f>ASTemp!D1448</f>
        <v/>
      </c>
      <c r="E1448" s="65" t="str">
        <f>ASTemp!E1448</f>
        <v/>
      </c>
      <c r="F1448" s="69" t="str">
        <f>TEXT(ASTemp!F1448,Decimals)</f>
        <v/>
      </c>
      <c r="G1448" s="69" t="str">
        <f>TEXT(ASTemp!G1448,Decimals)</f>
        <v/>
      </c>
      <c r="H1448" s="69" t="str">
        <f>TEXT(ASTemp!H1448,Decimals)</f>
        <v/>
      </c>
      <c r="I1448" s="69" t="str">
        <f>TEXT(ASTemp!I1448,Decimals)</f>
        <v/>
      </c>
      <c r="J1448" s="69" t="str">
        <f>TEXT(ASTemp!J1448,Decimals)</f>
        <v/>
      </c>
      <c r="K1448" s="69" t="str">
        <f>TEXT(ASTemp!K1448,Decimals)</f>
        <v/>
      </c>
      <c r="L1448" s="69" t="str">
        <f>TEXT(ASTemp!L1448,Decimals)</f>
        <v/>
      </c>
      <c r="M1448" s="71" t="str">
        <f>TEXT(ASTemp!M1448,Percentages)</f>
        <v/>
      </c>
      <c r="N1448" s="72" t="str">
        <f>TEXT(ASTemp!N1448,Percentages)</f>
        <v/>
      </c>
    </row>
    <row r="1449" ht="14.25" customHeight="1">
      <c r="B1449" s="66" t="str">
        <f>ASTemp!B1449</f>
        <v/>
      </c>
      <c r="C1449" s="67" t="str">
        <f>ASTemp!C1449</f>
        <v/>
      </c>
      <c r="D1449" s="68" t="str">
        <f>ASTemp!D1449</f>
        <v/>
      </c>
      <c r="E1449" s="65" t="str">
        <f>ASTemp!E1449</f>
        <v/>
      </c>
      <c r="F1449" s="69" t="str">
        <f>TEXT(ASTemp!F1449,Decimals)</f>
        <v/>
      </c>
      <c r="G1449" s="69" t="str">
        <f>TEXT(ASTemp!G1449,Decimals)</f>
        <v/>
      </c>
      <c r="H1449" s="69" t="str">
        <f>TEXT(ASTemp!H1449,Decimals)</f>
        <v/>
      </c>
      <c r="I1449" s="69" t="str">
        <f>TEXT(ASTemp!I1449,Decimals)</f>
        <v/>
      </c>
      <c r="J1449" s="69" t="str">
        <f>TEXT(ASTemp!J1449,Decimals)</f>
        <v/>
      </c>
      <c r="K1449" s="69" t="str">
        <f>TEXT(ASTemp!K1449,Decimals)</f>
        <v/>
      </c>
      <c r="L1449" s="69" t="str">
        <f>TEXT(ASTemp!L1449,Decimals)</f>
        <v/>
      </c>
      <c r="M1449" s="71" t="str">
        <f>TEXT(ASTemp!M1449,Percentages)</f>
        <v/>
      </c>
      <c r="N1449" s="72" t="str">
        <f>TEXT(ASTemp!N1449,Percentages)</f>
        <v/>
      </c>
    </row>
    <row r="1450" ht="14.25" customHeight="1">
      <c r="B1450" s="66" t="str">
        <f>ASTemp!B1450</f>
        <v/>
      </c>
      <c r="C1450" s="67" t="str">
        <f>ASTemp!C1450</f>
        <v/>
      </c>
      <c r="D1450" s="68" t="str">
        <f>ASTemp!D1450</f>
        <v/>
      </c>
      <c r="E1450" s="65" t="str">
        <f>ASTemp!E1450</f>
        <v/>
      </c>
      <c r="F1450" s="69" t="str">
        <f>TEXT(ASTemp!F1450,Decimals)</f>
        <v/>
      </c>
      <c r="G1450" s="69" t="str">
        <f>TEXT(ASTemp!G1450,Decimals)</f>
        <v/>
      </c>
      <c r="H1450" s="69" t="str">
        <f>TEXT(ASTemp!H1450,Decimals)</f>
        <v/>
      </c>
      <c r="I1450" s="69" t="str">
        <f>TEXT(ASTemp!I1450,Decimals)</f>
        <v/>
      </c>
      <c r="J1450" s="69" t="str">
        <f>TEXT(ASTemp!J1450,Decimals)</f>
        <v/>
      </c>
      <c r="K1450" s="69" t="str">
        <f>TEXT(ASTemp!K1450,Decimals)</f>
        <v/>
      </c>
      <c r="L1450" s="69" t="str">
        <f>TEXT(ASTemp!L1450,Decimals)</f>
        <v/>
      </c>
      <c r="M1450" s="71" t="str">
        <f>TEXT(ASTemp!M1450,Percentages)</f>
        <v/>
      </c>
      <c r="N1450" s="72" t="str">
        <f>TEXT(ASTemp!N1450,Percentages)</f>
        <v/>
      </c>
    </row>
    <row r="1451" ht="14.25" customHeight="1">
      <c r="B1451" s="66" t="str">
        <f>ASTemp!B1451</f>
        <v/>
      </c>
      <c r="C1451" s="67" t="str">
        <f>ASTemp!C1451</f>
        <v/>
      </c>
      <c r="D1451" s="68" t="str">
        <f>ASTemp!D1451</f>
        <v/>
      </c>
      <c r="E1451" s="65" t="str">
        <f>ASTemp!E1451</f>
        <v/>
      </c>
      <c r="F1451" s="69" t="str">
        <f>TEXT(ASTemp!F1451,Decimals)</f>
        <v/>
      </c>
      <c r="G1451" s="69" t="str">
        <f>TEXT(ASTemp!G1451,Decimals)</f>
        <v/>
      </c>
      <c r="H1451" s="69" t="str">
        <f>TEXT(ASTemp!H1451,Decimals)</f>
        <v/>
      </c>
      <c r="I1451" s="69" t="str">
        <f>TEXT(ASTemp!I1451,Decimals)</f>
        <v/>
      </c>
      <c r="J1451" s="69" t="str">
        <f>TEXT(ASTemp!J1451,Decimals)</f>
        <v/>
      </c>
      <c r="K1451" s="69" t="str">
        <f>TEXT(ASTemp!K1451,Decimals)</f>
        <v/>
      </c>
      <c r="L1451" s="69" t="str">
        <f>TEXT(ASTemp!L1451,Decimals)</f>
        <v/>
      </c>
      <c r="M1451" s="71" t="str">
        <f>TEXT(ASTemp!M1451,Percentages)</f>
        <v/>
      </c>
      <c r="N1451" s="72" t="str">
        <f>TEXT(ASTemp!N1451,Percentages)</f>
        <v/>
      </c>
    </row>
    <row r="1452" ht="14.25" customHeight="1">
      <c r="B1452" s="66" t="str">
        <f>ASTemp!B1452</f>
        <v/>
      </c>
      <c r="C1452" s="67" t="str">
        <f>ASTemp!C1452</f>
        <v/>
      </c>
      <c r="D1452" s="68" t="str">
        <f>ASTemp!D1452</f>
        <v/>
      </c>
      <c r="E1452" s="65" t="str">
        <f>ASTemp!E1452</f>
        <v/>
      </c>
      <c r="F1452" s="69" t="str">
        <f>TEXT(ASTemp!F1452,Decimals)</f>
        <v/>
      </c>
      <c r="G1452" s="69" t="str">
        <f>TEXT(ASTemp!G1452,Decimals)</f>
        <v/>
      </c>
      <c r="H1452" s="69" t="str">
        <f>TEXT(ASTemp!H1452,Decimals)</f>
        <v/>
      </c>
      <c r="I1452" s="69" t="str">
        <f>TEXT(ASTemp!I1452,Decimals)</f>
        <v/>
      </c>
      <c r="J1452" s="69" t="str">
        <f>TEXT(ASTemp!J1452,Decimals)</f>
        <v/>
      </c>
      <c r="K1452" s="69" t="str">
        <f>TEXT(ASTemp!K1452,Decimals)</f>
        <v/>
      </c>
      <c r="L1452" s="69" t="str">
        <f>TEXT(ASTemp!L1452,Decimals)</f>
        <v/>
      </c>
      <c r="M1452" s="71" t="str">
        <f>TEXT(ASTemp!M1452,Percentages)</f>
        <v/>
      </c>
      <c r="N1452" s="72" t="str">
        <f>TEXT(ASTemp!N1452,Percentages)</f>
        <v/>
      </c>
    </row>
    <row r="1453" ht="14.25" customHeight="1">
      <c r="B1453" s="66" t="str">
        <f>ASTemp!B1453</f>
        <v/>
      </c>
      <c r="C1453" s="67" t="str">
        <f>ASTemp!C1453</f>
        <v/>
      </c>
      <c r="D1453" s="68" t="str">
        <f>ASTemp!D1453</f>
        <v/>
      </c>
      <c r="E1453" s="65" t="str">
        <f>ASTemp!E1453</f>
        <v/>
      </c>
      <c r="F1453" s="69" t="str">
        <f>TEXT(ASTemp!F1453,Decimals)</f>
        <v/>
      </c>
      <c r="G1453" s="69" t="str">
        <f>TEXT(ASTemp!G1453,Decimals)</f>
        <v/>
      </c>
      <c r="H1453" s="69" t="str">
        <f>TEXT(ASTemp!H1453,Decimals)</f>
        <v/>
      </c>
      <c r="I1453" s="69" t="str">
        <f>TEXT(ASTemp!I1453,Decimals)</f>
        <v/>
      </c>
      <c r="J1453" s="69" t="str">
        <f>TEXT(ASTemp!J1453,Decimals)</f>
        <v/>
      </c>
      <c r="K1453" s="69" t="str">
        <f>TEXT(ASTemp!K1453,Decimals)</f>
        <v/>
      </c>
      <c r="L1453" s="69" t="str">
        <f>TEXT(ASTemp!L1453,Decimals)</f>
        <v/>
      </c>
      <c r="M1453" s="71" t="str">
        <f>TEXT(ASTemp!M1453,Percentages)</f>
        <v/>
      </c>
      <c r="N1453" s="72" t="str">
        <f>TEXT(ASTemp!N1453,Percentages)</f>
        <v/>
      </c>
    </row>
    <row r="1454" ht="14.25" customHeight="1">
      <c r="B1454" s="66" t="str">
        <f>ASTemp!B1454</f>
        <v/>
      </c>
      <c r="C1454" s="67" t="str">
        <f>ASTemp!C1454</f>
        <v/>
      </c>
      <c r="D1454" s="68" t="str">
        <f>ASTemp!D1454</f>
        <v/>
      </c>
      <c r="E1454" s="65" t="str">
        <f>ASTemp!E1454</f>
        <v/>
      </c>
      <c r="F1454" s="69" t="str">
        <f>TEXT(ASTemp!F1454,Decimals)</f>
        <v/>
      </c>
      <c r="G1454" s="69" t="str">
        <f>TEXT(ASTemp!G1454,Decimals)</f>
        <v/>
      </c>
      <c r="H1454" s="69" t="str">
        <f>TEXT(ASTemp!H1454,Decimals)</f>
        <v/>
      </c>
      <c r="I1454" s="69" t="str">
        <f>TEXT(ASTemp!I1454,Decimals)</f>
        <v/>
      </c>
      <c r="J1454" s="69" t="str">
        <f>TEXT(ASTemp!J1454,Decimals)</f>
        <v/>
      </c>
      <c r="K1454" s="69" t="str">
        <f>TEXT(ASTemp!K1454,Decimals)</f>
        <v/>
      </c>
      <c r="L1454" s="69" t="str">
        <f>TEXT(ASTemp!L1454,Decimals)</f>
        <v/>
      </c>
      <c r="M1454" s="71" t="str">
        <f>TEXT(ASTemp!M1454,Percentages)</f>
        <v/>
      </c>
      <c r="N1454" s="72" t="str">
        <f>TEXT(ASTemp!N1454,Percentages)</f>
        <v/>
      </c>
    </row>
    <row r="1455" ht="14.25" customHeight="1">
      <c r="B1455" s="66" t="str">
        <f>ASTemp!B1455</f>
        <v/>
      </c>
      <c r="C1455" s="67" t="str">
        <f>ASTemp!C1455</f>
        <v/>
      </c>
      <c r="D1455" s="68" t="str">
        <f>ASTemp!D1455</f>
        <v/>
      </c>
      <c r="E1455" s="65" t="str">
        <f>ASTemp!E1455</f>
        <v/>
      </c>
      <c r="F1455" s="69" t="str">
        <f>TEXT(ASTemp!F1455,Decimals)</f>
        <v/>
      </c>
      <c r="G1455" s="69" t="str">
        <f>TEXT(ASTemp!G1455,Decimals)</f>
        <v/>
      </c>
      <c r="H1455" s="69" t="str">
        <f>TEXT(ASTemp!H1455,Decimals)</f>
        <v/>
      </c>
      <c r="I1455" s="69" t="str">
        <f>TEXT(ASTemp!I1455,Decimals)</f>
        <v/>
      </c>
      <c r="J1455" s="69" t="str">
        <f>TEXT(ASTemp!J1455,Decimals)</f>
        <v/>
      </c>
      <c r="K1455" s="69" t="str">
        <f>TEXT(ASTemp!K1455,Decimals)</f>
        <v/>
      </c>
      <c r="L1455" s="69" t="str">
        <f>TEXT(ASTemp!L1455,Decimals)</f>
        <v/>
      </c>
      <c r="M1455" s="71" t="str">
        <f>TEXT(ASTemp!M1455,Percentages)</f>
        <v/>
      </c>
      <c r="N1455" s="72" t="str">
        <f>TEXT(ASTemp!N1455,Percentages)</f>
        <v/>
      </c>
    </row>
    <row r="1456" ht="14.25" customHeight="1">
      <c r="B1456" s="66" t="str">
        <f>ASTemp!B1456</f>
        <v/>
      </c>
      <c r="C1456" s="67" t="str">
        <f>ASTemp!C1456</f>
        <v/>
      </c>
      <c r="D1456" s="68" t="str">
        <f>ASTemp!D1456</f>
        <v/>
      </c>
      <c r="E1456" s="65" t="str">
        <f>ASTemp!E1456</f>
        <v/>
      </c>
      <c r="F1456" s="69" t="str">
        <f>TEXT(ASTemp!F1456,Decimals)</f>
        <v/>
      </c>
      <c r="G1456" s="69" t="str">
        <f>TEXT(ASTemp!G1456,Decimals)</f>
        <v/>
      </c>
      <c r="H1456" s="69" t="str">
        <f>TEXT(ASTemp!H1456,Decimals)</f>
        <v/>
      </c>
      <c r="I1456" s="69" t="str">
        <f>TEXT(ASTemp!I1456,Decimals)</f>
        <v/>
      </c>
      <c r="J1456" s="69" t="str">
        <f>TEXT(ASTemp!J1456,Decimals)</f>
        <v/>
      </c>
      <c r="K1456" s="69" t="str">
        <f>TEXT(ASTemp!K1456,Decimals)</f>
        <v/>
      </c>
      <c r="L1456" s="69" t="str">
        <f>TEXT(ASTemp!L1456,Decimals)</f>
        <v/>
      </c>
      <c r="M1456" s="71" t="str">
        <f>TEXT(ASTemp!M1456,Percentages)</f>
        <v/>
      </c>
      <c r="N1456" s="72" t="str">
        <f>TEXT(ASTemp!N1456,Percentages)</f>
        <v/>
      </c>
    </row>
    <row r="1457" ht="14.25" customHeight="1">
      <c r="B1457" s="66" t="str">
        <f>ASTemp!B1457</f>
        <v/>
      </c>
      <c r="C1457" s="67" t="str">
        <f>ASTemp!C1457</f>
        <v/>
      </c>
      <c r="D1457" s="68" t="str">
        <f>ASTemp!D1457</f>
        <v/>
      </c>
      <c r="E1457" s="65" t="str">
        <f>ASTemp!E1457</f>
        <v/>
      </c>
      <c r="F1457" s="69" t="str">
        <f>TEXT(ASTemp!F1457,Decimals)</f>
        <v/>
      </c>
      <c r="G1457" s="69" t="str">
        <f>TEXT(ASTemp!G1457,Decimals)</f>
        <v/>
      </c>
      <c r="H1457" s="69" t="str">
        <f>TEXT(ASTemp!H1457,Decimals)</f>
        <v/>
      </c>
      <c r="I1457" s="69" t="str">
        <f>TEXT(ASTemp!I1457,Decimals)</f>
        <v/>
      </c>
      <c r="J1457" s="69" t="str">
        <f>TEXT(ASTemp!J1457,Decimals)</f>
        <v/>
      </c>
      <c r="K1457" s="69" t="str">
        <f>TEXT(ASTemp!K1457,Decimals)</f>
        <v/>
      </c>
      <c r="L1457" s="69" t="str">
        <f>TEXT(ASTemp!L1457,Decimals)</f>
        <v/>
      </c>
      <c r="M1457" s="71" t="str">
        <f>TEXT(ASTemp!M1457,Percentages)</f>
        <v/>
      </c>
      <c r="N1457" s="72" t="str">
        <f>TEXT(ASTemp!N1457,Percentages)</f>
        <v/>
      </c>
    </row>
    <row r="1458" ht="14.25" customHeight="1">
      <c r="B1458" s="66" t="str">
        <f>ASTemp!B1458</f>
        <v/>
      </c>
      <c r="C1458" s="67" t="str">
        <f>ASTemp!C1458</f>
        <v/>
      </c>
      <c r="D1458" s="68" t="str">
        <f>ASTemp!D1458</f>
        <v/>
      </c>
      <c r="E1458" s="65" t="str">
        <f>ASTemp!E1458</f>
        <v/>
      </c>
      <c r="F1458" s="69" t="str">
        <f>TEXT(ASTemp!F1458,Decimals)</f>
        <v/>
      </c>
      <c r="G1458" s="69" t="str">
        <f>TEXT(ASTemp!G1458,Decimals)</f>
        <v/>
      </c>
      <c r="H1458" s="69" t="str">
        <f>TEXT(ASTemp!H1458,Decimals)</f>
        <v/>
      </c>
      <c r="I1458" s="69" t="str">
        <f>TEXT(ASTemp!I1458,Decimals)</f>
        <v/>
      </c>
      <c r="J1458" s="69" t="str">
        <f>TEXT(ASTemp!J1458,Decimals)</f>
        <v/>
      </c>
      <c r="K1458" s="69" t="str">
        <f>TEXT(ASTemp!K1458,Decimals)</f>
        <v/>
      </c>
      <c r="L1458" s="69" t="str">
        <f>TEXT(ASTemp!L1458,Decimals)</f>
        <v/>
      </c>
      <c r="M1458" s="71" t="str">
        <f>TEXT(ASTemp!M1458,Percentages)</f>
        <v/>
      </c>
      <c r="N1458" s="72" t="str">
        <f>TEXT(ASTemp!N1458,Percentages)</f>
        <v/>
      </c>
    </row>
    <row r="1459" ht="14.25" customHeight="1">
      <c r="B1459" s="66" t="str">
        <f>ASTemp!B1459</f>
        <v/>
      </c>
      <c r="C1459" s="67" t="str">
        <f>ASTemp!C1459</f>
        <v/>
      </c>
      <c r="D1459" s="68" t="str">
        <f>ASTemp!D1459</f>
        <v/>
      </c>
      <c r="E1459" s="65" t="str">
        <f>ASTemp!E1459</f>
        <v/>
      </c>
      <c r="F1459" s="69" t="str">
        <f>TEXT(ASTemp!F1459,Decimals)</f>
        <v/>
      </c>
      <c r="G1459" s="69" t="str">
        <f>TEXT(ASTemp!G1459,Decimals)</f>
        <v/>
      </c>
      <c r="H1459" s="69" t="str">
        <f>TEXT(ASTemp!H1459,Decimals)</f>
        <v/>
      </c>
      <c r="I1459" s="69" t="str">
        <f>TEXT(ASTemp!I1459,Decimals)</f>
        <v/>
      </c>
      <c r="J1459" s="69" t="str">
        <f>TEXT(ASTemp!J1459,Decimals)</f>
        <v/>
      </c>
      <c r="K1459" s="69" t="str">
        <f>TEXT(ASTemp!K1459,Decimals)</f>
        <v/>
      </c>
      <c r="L1459" s="69" t="str">
        <f>TEXT(ASTemp!L1459,Decimals)</f>
        <v/>
      </c>
      <c r="M1459" s="71" t="str">
        <f>TEXT(ASTemp!M1459,Percentages)</f>
        <v/>
      </c>
      <c r="N1459" s="72" t="str">
        <f>TEXT(ASTemp!N1459,Percentages)</f>
        <v/>
      </c>
    </row>
    <row r="1460" ht="14.25" customHeight="1">
      <c r="B1460" s="66" t="str">
        <f>ASTemp!B1460</f>
        <v/>
      </c>
      <c r="C1460" s="67" t="str">
        <f>ASTemp!C1460</f>
        <v/>
      </c>
      <c r="D1460" s="68" t="str">
        <f>ASTemp!D1460</f>
        <v/>
      </c>
      <c r="E1460" s="65" t="str">
        <f>ASTemp!E1460</f>
        <v/>
      </c>
      <c r="F1460" s="69" t="str">
        <f>TEXT(ASTemp!F1460,Decimals)</f>
        <v/>
      </c>
      <c r="G1460" s="69" t="str">
        <f>TEXT(ASTemp!G1460,Decimals)</f>
        <v/>
      </c>
      <c r="H1460" s="69" t="str">
        <f>TEXT(ASTemp!H1460,Decimals)</f>
        <v/>
      </c>
      <c r="I1460" s="69" t="str">
        <f>TEXT(ASTemp!I1460,Decimals)</f>
        <v/>
      </c>
      <c r="J1460" s="69" t="str">
        <f>TEXT(ASTemp!J1460,Decimals)</f>
        <v/>
      </c>
      <c r="K1460" s="69" t="str">
        <f>TEXT(ASTemp!K1460,Decimals)</f>
        <v/>
      </c>
      <c r="L1460" s="69" t="str">
        <f>TEXT(ASTemp!L1460,Decimals)</f>
        <v/>
      </c>
      <c r="M1460" s="71" t="str">
        <f>TEXT(ASTemp!M1460,Percentages)</f>
        <v/>
      </c>
      <c r="N1460" s="72" t="str">
        <f>TEXT(ASTemp!N1460,Percentages)</f>
        <v/>
      </c>
    </row>
    <row r="1461" ht="14.25" customHeight="1">
      <c r="B1461" s="66" t="str">
        <f>ASTemp!B1461</f>
        <v/>
      </c>
      <c r="C1461" s="67" t="str">
        <f>ASTemp!C1461</f>
        <v/>
      </c>
      <c r="D1461" s="68" t="str">
        <f>ASTemp!D1461</f>
        <v/>
      </c>
      <c r="E1461" s="65" t="str">
        <f>ASTemp!E1461</f>
        <v/>
      </c>
      <c r="F1461" s="69" t="str">
        <f>TEXT(ASTemp!F1461,Decimals)</f>
        <v/>
      </c>
      <c r="G1461" s="69" t="str">
        <f>TEXT(ASTemp!G1461,Decimals)</f>
        <v/>
      </c>
      <c r="H1461" s="69" t="str">
        <f>TEXT(ASTemp!H1461,Decimals)</f>
        <v/>
      </c>
      <c r="I1461" s="69" t="str">
        <f>TEXT(ASTemp!I1461,Decimals)</f>
        <v/>
      </c>
      <c r="J1461" s="69" t="str">
        <f>TEXT(ASTemp!J1461,Decimals)</f>
        <v/>
      </c>
      <c r="K1461" s="69" t="str">
        <f>TEXT(ASTemp!K1461,Decimals)</f>
        <v/>
      </c>
      <c r="L1461" s="69" t="str">
        <f>TEXT(ASTemp!L1461,Decimals)</f>
        <v/>
      </c>
      <c r="M1461" s="71" t="str">
        <f>TEXT(ASTemp!M1461,Percentages)</f>
        <v/>
      </c>
      <c r="N1461" s="72" t="str">
        <f>TEXT(ASTemp!N1461,Percentages)</f>
        <v/>
      </c>
    </row>
    <row r="1462" ht="14.25" customHeight="1">
      <c r="B1462" s="66" t="str">
        <f>ASTemp!B1462</f>
        <v/>
      </c>
      <c r="C1462" s="67" t="str">
        <f>ASTemp!C1462</f>
        <v/>
      </c>
      <c r="D1462" s="68" t="str">
        <f>ASTemp!D1462</f>
        <v/>
      </c>
      <c r="E1462" s="65" t="str">
        <f>ASTemp!E1462</f>
        <v/>
      </c>
      <c r="F1462" s="69" t="str">
        <f>TEXT(ASTemp!F1462,Decimals)</f>
        <v/>
      </c>
      <c r="G1462" s="69" t="str">
        <f>TEXT(ASTemp!G1462,Decimals)</f>
        <v/>
      </c>
      <c r="H1462" s="69" t="str">
        <f>TEXT(ASTemp!H1462,Decimals)</f>
        <v/>
      </c>
      <c r="I1462" s="69" t="str">
        <f>TEXT(ASTemp!I1462,Decimals)</f>
        <v/>
      </c>
      <c r="J1462" s="69" t="str">
        <f>TEXT(ASTemp!J1462,Decimals)</f>
        <v/>
      </c>
      <c r="K1462" s="69" t="str">
        <f>TEXT(ASTemp!K1462,Decimals)</f>
        <v/>
      </c>
      <c r="L1462" s="69" t="str">
        <f>TEXT(ASTemp!L1462,Decimals)</f>
        <v/>
      </c>
      <c r="M1462" s="71" t="str">
        <f>TEXT(ASTemp!M1462,Percentages)</f>
        <v/>
      </c>
      <c r="N1462" s="72" t="str">
        <f>TEXT(ASTemp!N1462,Percentages)</f>
        <v/>
      </c>
    </row>
    <row r="1463" ht="14.25" customHeight="1">
      <c r="B1463" s="66" t="str">
        <f>ASTemp!B1463</f>
        <v/>
      </c>
      <c r="C1463" s="67" t="str">
        <f>ASTemp!C1463</f>
        <v/>
      </c>
      <c r="D1463" s="68" t="str">
        <f>ASTemp!D1463</f>
        <v/>
      </c>
      <c r="E1463" s="65" t="str">
        <f>ASTemp!E1463</f>
        <v/>
      </c>
      <c r="F1463" s="69" t="str">
        <f>TEXT(ASTemp!F1463,Decimals)</f>
        <v/>
      </c>
      <c r="G1463" s="69" t="str">
        <f>TEXT(ASTemp!G1463,Decimals)</f>
        <v/>
      </c>
      <c r="H1463" s="69" t="str">
        <f>TEXT(ASTemp!H1463,Decimals)</f>
        <v/>
      </c>
      <c r="I1463" s="69" t="str">
        <f>TEXT(ASTemp!I1463,Decimals)</f>
        <v/>
      </c>
      <c r="J1463" s="69" t="str">
        <f>TEXT(ASTemp!J1463,Decimals)</f>
        <v/>
      </c>
      <c r="K1463" s="69" t="str">
        <f>TEXT(ASTemp!K1463,Decimals)</f>
        <v/>
      </c>
      <c r="L1463" s="69" t="str">
        <f>TEXT(ASTemp!L1463,Decimals)</f>
        <v/>
      </c>
      <c r="M1463" s="71" t="str">
        <f>TEXT(ASTemp!M1463,Percentages)</f>
        <v/>
      </c>
      <c r="N1463" s="72" t="str">
        <f>TEXT(ASTemp!N1463,Percentages)</f>
        <v/>
      </c>
    </row>
    <row r="1464" ht="14.25" customHeight="1">
      <c r="B1464" s="66" t="str">
        <f>ASTemp!B1464</f>
        <v/>
      </c>
      <c r="C1464" s="67" t="str">
        <f>ASTemp!C1464</f>
        <v/>
      </c>
      <c r="D1464" s="68" t="str">
        <f>ASTemp!D1464</f>
        <v/>
      </c>
      <c r="E1464" s="65" t="str">
        <f>ASTemp!E1464</f>
        <v/>
      </c>
      <c r="F1464" s="69" t="str">
        <f>TEXT(ASTemp!F1464,Decimals)</f>
        <v/>
      </c>
      <c r="G1464" s="69" t="str">
        <f>TEXT(ASTemp!G1464,Decimals)</f>
        <v/>
      </c>
      <c r="H1464" s="69" t="str">
        <f>TEXT(ASTemp!H1464,Decimals)</f>
        <v/>
      </c>
      <c r="I1464" s="69" t="str">
        <f>TEXT(ASTemp!I1464,Decimals)</f>
        <v/>
      </c>
      <c r="J1464" s="69" t="str">
        <f>TEXT(ASTemp!J1464,Decimals)</f>
        <v/>
      </c>
      <c r="K1464" s="69" t="str">
        <f>TEXT(ASTemp!K1464,Decimals)</f>
        <v/>
      </c>
      <c r="L1464" s="69" t="str">
        <f>TEXT(ASTemp!L1464,Decimals)</f>
        <v/>
      </c>
      <c r="M1464" s="71" t="str">
        <f>TEXT(ASTemp!M1464,Percentages)</f>
        <v/>
      </c>
      <c r="N1464" s="72" t="str">
        <f>TEXT(ASTemp!N1464,Percentages)</f>
        <v/>
      </c>
    </row>
    <row r="1465" ht="14.25" customHeight="1">
      <c r="B1465" s="66" t="str">
        <f>ASTemp!B1465</f>
        <v/>
      </c>
      <c r="C1465" s="67" t="str">
        <f>ASTemp!C1465</f>
        <v/>
      </c>
      <c r="D1465" s="68" t="str">
        <f>ASTemp!D1465</f>
        <v/>
      </c>
      <c r="E1465" s="65" t="str">
        <f>ASTemp!E1465</f>
        <v/>
      </c>
      <c r="F1465" s="69" t="str">
        <f>TEXT(ASTemp!F1465,Decimals)</f>
        <v/>
      </c>
      <c r="G1465" s="69" t="str">
        <f>TEXT(ASTemp!G1465,Decimals)</f>
        <v/>
      </c>
      <c r="H1465" s="69" t="str">
        <f>TEXT(ASTemp!H1465,Decimals)</f>
        <v/>
      </c>
      <c r="I1465" s="69" t="str">
        <f>TEXT(ASTemp!I1465,Decimals)</f>
        <v/>
      </c>
      <c r="J1465" s="69" t="str">
        <f>TEXT(ASTemp!J1465,Decimals)</f>
        <v/>
      </c>
      <c r="K1465" s="69" t="str">
        <f>TEXT(ASTemp!K1465,Decimals)</f>
        <v/>
      </c>
      <c r="L1465" s="69" t="str">
        <f>TEXT(ASTemp!L1465,Decimals)</f>
        <v/>
      </c>
      <c r="M1465" s="71" t="str">
        <f>TEXT(ASTemp!M1465,Percentages)</f>
        <v/>
      </c>
      <c r="N1465" s="72" t="str">
        <f>TEXT(ASTemp!N1465,Percentages)</f>
        <v/>
      </c>
    </row>
    <row r="1466" ht="14.25" customHeight="1">
      <c r="B1466" s="66" t="str">
        <f>ASTemp!B1466</f>
        <v/>
      </c>
      <c r="C1466" s="67" t="str">
        <f>ASTemp!C1466</f>
        <v/>
      </c>
      <c r="D1466" s="68" t="str">
        <f>ASTemp!D1466</f>
        <v/>
      </c>
      <c r="E1466" s="65" t="str">
        <f>ASTemp!E1466</f>
        <v/>
      </c>
      <c r="F1466" s="69" t="str">
        <f>TEXT(ASTemp!F1466,Decimals)</f>
        <v/>
      </c>
      <c r="G1466" s="69" t="str">
        <f>TEXT(ASTemp!G1466,Decimals)</f>
        <v/>
      </c>
      <c r="H1466" s="69" t="str">
        <f>TEXT(ASTemp!H1466,Decimals)</f>
        <v/>
      </c>
      <c r="I1466" s="69" t="str">
        <f>TEXT(ASTemp!I1466,Decimals)</f>
        <v/>
      </c>
      <c r="J1466" s="69" t="str">
        <f>TEXT(ASTemp!J1466,Decimals)</f>
        <v/>
      </c>
      <c r="K1466" s="69" t="str">
        <f>TEXT(ASTemp!K1466,Decimals)</f>
        <v/>
      </c>
      <c r="L1466" s="69" t="str">
        <f>TEXT(ASTemp!L1466,Decimals)</f>
        <v/>
      </c>
      <c r="M1466" s="71" t="str">
        <f>TEXT(ASTemp!M1466,Percentages)</f>
        <v/>
      </c>
      <c r="N1466" s="72" t="str">
        <f>TEXT(ASTemp!N1466,Percentages)</f>
        <v/>
      </c>
    </row>
    <row r="1467" ht="14.25" customHeight="1">
      <c r="B1467" s="66" t="str">
        <f>ASTemp!B1467</f>
        <v/>
      </c>
      <c r="C1467" s="67" t="str">
        <f>ASTemp!C1467</f>
        <v/>
      </c>
      <c r="D1467" s="68" t="str">
        <f>ASTemp!D1467</f>
        <v/>
      </c>
      <c r="E1467" s="65" t="str">
        <f>ASTemp!E1467</f>
        <v/>
      </c>
      <c r="F1467" s="69" t="str">
        <f>TEXT(ASTemp!F1467,Decimals)</f>
        <v/>
      </c>
      <c r="G1467" s="69" t="str">
        <f>TEXT(ASTemp!G1467,Decimals)</f>
        <v/>
      </c>
      <c r="H1467" s="69" t="str">
        <f>TEXT(ASTemp!H1467,Decimals)</f>
        <v/>
      </c>
      <c r="I1467" s="69" t="str">
        <f>TEXT(ASTemp!I1467,Decimals)</f>
        <v/>
      </c>
      <c r="J1467" s="69" t="str">
        <f>TEXT(ASTemp!J1467,Decimals)</f>
        <v/>
      </c>
      <c r="K1467" s="69" t="str">
        <f>TEXT(ASTemp!K1467,Decimals)</f>
        <v/>
      </c>
      <c r="L1467" s="69" t="str">
        <f>TEXT(ASTemp!L1467,Decimals)</f>
        <v/>
      </c>
      <c r="M1467" s="71" t="str">
        <f>TEXT(ASTemp!M1467,Percentages)</f>
        <v/>
      </c>
      <c r="N1467" s="72" t="str">
        <f>TEXT(ASTemp!N1467,Percentages)</f>
        <v/>
      </c>
    </row>
    <row r="1468" ht="14.25" customHeight="1">
      <c r="B1468" s="66" t="str">
        <f>ASTemp!B1468</f>
        <v/>
      </c>
      <c r="C1468" s="67" t="str">
        <f>ASTemp!C1468</f>
        <v/>
      </c>
      <c r="D1468" s="68" t="str">
        <f>ASTemp!D1468</f>
        <v/>
      </c>
      <c r="E1468" s="65" t="str">
        <f>ASTemp!E1468</f>
        <v/>
      </c>
      <c r="F1468" s="69" t="str">
        <f>TEXT(ASTemp!F1468,Decimals)</f>
        <v/>
      </c>
      <c r="G1468" s="69" t="str">
        <f>TEXT(ASTemp!G1468,Decimals)</f>
        <v/>
      </c>
      <c r="H1468" s="69" t="str">
        <f>TEXT(ASTemp!H1468,Decimals)</f>
        <v/>
      </c>
      <c r="I1468" s="69" t="str">
        <f>TEXT(ASTemp!I1468,Decimals)</f>
        <v/>
      </c>
      <c r="J1468" s="69" t="str">
        <f>TEXT(ASTemp!J1468,Decimals)</f>
        <v/>
      </c>
      <c r="K1468" s="69" t="str">
        <f>TEXT(ASTemp!K1468,Decimals)</f>
        <v/>
      </c>
      <c r="L1468" s="69" t="str">
        <f>TEXT(ASTemp!L1468,Decimals)</f>
        <v/>
      </c>
      <c r="M1468" s="71" t="str">
        <f>TEXT(ASTemp!M1468,Percentages)</f>
        <v/>
      </c>
      <c r="N1468" s="72" t="str">
        <f>TEXT(ASTemp!N1468,Percentages)</f>
        <v/>
      </c>
    </row>
    <row r="1469" ht="14.25" customHeight="1">
      <c r="B1469" s="66" t="str">
        <f>ASTemp!B1469</f>
        <v/>
      </c>
      <c r="C1469" s="67" t="str">
        <f>ASTemp!C1469</f>
        <v/>
      </c>
      <c r="D1469" s="68" t="str">
        <f>ASTemp!D1469</f>
        <v/>
      </c>
      <c r="E1469" s="65" t="str">
        <f>ASTemp!E1469</f>
        <v/>
      </c>
      <c r="F1469" s="69" t="str">
        <f>TEXT(ASTemp!F1469,Decimals)</f>
        <v/>
      </c>
      <c r="G1469" s="69" t="str">
        <f>TEXT(ASTemp!G1469,Decimals)</f>
        <v/>
      </c>
      <c r="H1469" s="69" t="str">
        <f>TEXT(ASTemp!H1469,Decimals)</f>
        <v/>
      </c>
      <c r="I1469" s="69" t="str">
        <f>TEXT(ASTemp!I1469,Decimals)</f>
        <v/>
      </c>
      <c r="J1469" s="69" t="str">
        <f>TEXT(ASTemp!J1469,Decimals)</f>
        <v/>
      </c>
      <c r="K1469" s="69" t="str">
        <f>TEXT(ASTemp!K1469,Decimals)</f>
        <v/>
      </c>
      <c r="L1469" s="69" t="str">
        <f>TEXT(ASTemp!L1469,Decimals)</f>
        <v/>
      </c>
      <c r="M1469" s="71" t="str">
        <f>TEXT(ASTemp!M1469,Percentages)</f>
        <v/>
      </c>
      <c r="N1469" s="72" t="str">
        <f>TEXT(ASTemp!N1469,Percentages)</f>
        <v/>
      </c>
    </row>
    <row r="1470" ht="14.25" customHeight="1">
      <c r="B1470" s="66" t="str">
        <f>ASTemp!B1470</f>
        <v/>
      </c>
      <c r="C1470" s="67" t="str">
        <f>ASTemp!C1470</f>
        <v/>
      </c>
      <c r="D1470" s="68" t="str">
        <f>ASTemp!D1470</f>
        <v/>
      </c>
      <c r="E1470" s="65" t="str">
        <f>ASTemp!E1470</f>
        <v/>
      </c>
      <c r="F1470" s="69" t="str">
        <f>TEXT(ASTemp!F1470,Decimals)</f>
        <v/>
      </c>
      <c r="G1470" s="69" t="str">
        <f>TEXT(ASTemp!G1470,Decimals)</f>
        <v/>
      </c>
      <c r="H1470" s="69" t="str">
        <f>TEXT(ASTemp!H1470,Decimals)</f>
        <v/>
      </c>
      <c r="I1470" s="69" t="str">
        <f>TEXT(ASTemp!I1470,Decimals)</f>
        <v/>
      </c>
      <c r="J1470" s="69" t="str">
        <f>TEXT(ASTemp!J1470,Decimals)</f>
        <v/>
      </c>
      <c r="K1470" s="69" t="str">
        <f>TEXT(ASTemp!K1470,Decimals)</f>
        <v/>
      </c>
      <c r="L1470" s="69" t="str">
        <f>TEXT(ASTemp!L1470,Decimals)</f>
        <v/>
      </c>
      <c r="M1470" s="71" t="str">
        <f>TEXT(ASTemp!M1470,Percentages)</f>
        <v/>
      </c>
      <c r="N1470" s="72" t="str">
        <f>TEXT(ASTemp!N1470,Percentages)</f>
        <v/>
      </c>
    </row>
    <row r="1471" ht="14.25" customHeight="1">
      <c r="B1471" s="66" t="str">
        <f>ASTemp!B1471</f>
        <v/>
      </c>
      <c r="C1471" s="67" t="str">
        <f>ASTemp!C1471</f>
        <v/>
      </c>
      <c r="D1471" s="68" t="str">
        <f>ASTemp!D1471</f>
        <v/>
      </c>
      <c r="E1471" s="65" t="str">
        <f>ASTemp!E1471</f>
        <v/>
      </c>
      <c r="F1471" s="69" t="str">
        <f>TEXT(ASTemp!F1471,Decimals)</f>
        <v/>
      </c>
      <c r="G1471" s="69" t="str">
        <f>TEXT(ASTemp!G1471,Decimals)</f>
        <v/>
      </c>
      <c r="H1471" s="69" t="str">
        <f>TEXT(ASTemp!H1471,Decimals)</f>
        <v/>
      </c>
      <c r="I1471" s="69" t="str">
        <f>TEXT(ASTemp!I1471,Decimals)</f>
        <v/>
      </c>
      <c r="J1471" s="69" t="str">
        <f>TEXT(ASTemp!J1471,Decimals)</f>
        <v/>
      </c>
      <c r="K1471" s="69" t="str">
        <f>TEXT(ASTemp!K1471,Decimals)</f>
        <v/>
      </c>
      <c r="L1471" s="69" t="str">
        <f>TEXT(ASTemp!L1471,Decimals)</f>
        <v/>
      </c>
      <c r="M1471" s="71" t="str">
        <f>TEXT(ASTemp!M1471,Percentages)</f>
        <v/>
      </c>
      <c r="N1471" s="72" t="str">
        <f>TEXT(ASTemp!N1471,Percentages)</f>
        <v/>
      </c>
    </row>
    <row r="1472" ht="14.25" customHeight="1">
      <c r="B1472" s="66" t="str">
        <f>ASTemp!B1472</f>
        <v/>
      </c>
      <c r="C1472" s="67" t="str">
        <f>ASTemp!C1472</f>
        <v/>
      </c>
      <c r="D1472" s="68" t="str">
        <f>ASTemp!D1472</f>
        <v/>
      </c>
      <c r="E1472" s="65" t="str">
        <f>ASTemp!E1472</f>
        <v/>
      </c>
      <c r="F1472" s="69" t="str">
        <f>TEXT(ASTemp!F1472,Decimals)</f>
        <v/>
      </c>
      <c r="G1472" s="69" t="str">
        <f>TEXT(ASTemp!G1472,Decimals)</f>
        <v/>
      </c>
      <c r="H1472" s="69" t="str">
        <f>TEXT(ASTemp!H1472,Decimals)</f>
        <v/>
      </c>
      <c r="I1472" s="69" t="str">
        <f>TEXT(ASTemp!I1472,Decimals)</f>
        <v/>
      </c>
      <c r="J1472" s="69" t="str">
        <f>TEXT(ASTemp!J1472,Decimals)</f>
        <v/>
      </c>
      <c r="K1472" s="69" t="str">
        <f>TEXT(ASTemp!K1472,Decimals)</f>
        <v/>
      </c>
      <c r="L1472" s="69" t="str">
        <f>TEXT(ASTemp!L1472,Decimals)</f>
        <v/>
      </c>
      <c r="M1472" s="71" t="str">
        <f>TEXT(ASTemp!M1472,Percentages)</f>
        <v/>
      </c>
      <c r="N1472" s="72" t="str">
        <f>TEXT(ASTemp!N1472,Percentages)</f>
        <v/>
      </c>
    </row>
    <row r="1473" ht="14.25" customHeight="1">
      <c r="B1473" s="66" t="str">
        <f>ASTemp!B1473</f>
        <v/>
      </c>
      <c r="C1473" s="67" t="str">
        <f>ASTemp!C1473</f>
        <v/>
      </c>
      <c r="D1473" s="68" t="str">
        <f>ASTemp!D1473</f>
        <v/>
      </c>
      <c r="E1473" s="65" t="str">
        <f>ASTemp!E1473</f>
        <v/>
      </c>
      <c r="F1473" s="69" t="str">
        <f>TEXT(ASTemp!F1473,Decimals)</f>
        <v/>
      </c>
      <c r="G1473" s="69" t="str">
        <f>TEXT(ASTemp!G1473,Decimals)</f>
        <v/>
      </c>
      <c r="H1473" s="69" t="str">
        <f>TEXT(ASTemp!H1473,Decimals)</f>
        <v/>
      </c>
      <c r="I1473" s="69" t="str">
        <f>TEXT(ASTemp!I1473,Decimals)</f>
        <v/>
      </c>
      <c r="J1473" s="69" t="str">
        <f>TEXT(ASTemp!J1473,Decimals)</f>
        <v/>
      </c>
      <c r="K1473" s="69" t="str">
        <f>TEXT(ASTemp!K1473,Decimals)</f>
        <v/>
      </c>
      <c r="L1473" s="69" t="str">
        <f>TEXT(ASTemp!L1473,Decimals)</f>
        <v/>
      </c>
      <c r="M1473" s="71" t="str">
        <f>TEXT(ASTemp!M1473,Percentages)</f>
        <v/>
      </c>
      <c r="N1473" s="72" t="str">
        <f>TEXT(ASTemp!N1473,Percentages)</f>
        <v/>
      </c>
    </row>
    <row r="1474" ht="14.25" customHeight="1">
      <c r="B1474" s="66" t="str">
        <f>ASTemp!B1474</f>
        <v/>
      </c>
      <c r="C1474" s="67" t="str">
        <f>ASTemp!C1474</f>
        <v/>
      </c>
      <c r="D1474" s="68" t="str">
        <f>ASTemp!D1474</f>
        <v/>
      </c>
      <c r="E1474" s="65" t="str">
        <f>ASTemp!E1474</f>
        <v/>
      </c>
      <c r="F1474" s="69" t="str">
        <f>TEXT(ASTemp!F1474,Decimals)</f>
        <v/>
      </c>
      <c r="G1474" s="69" t="str">
        <f>TEXT(ASTemp!G1474,Decimals)</f>
        <v/>
      </c>
      <c r="H1474" s="69" t="str">
        <f>TEXT(ASTemp!H1474,Decimals)</f>
        <v/>
      </c>
      <c r="I1474" s="69" t="str">
        <f>TEXT(ASTemp!I1474,Decimals)</f>
        <v/>
      </c>
      <c r="J1474" s="69" t="str">
        <f>TEXT(ASTemp!J1474,Decimals)</f>
        <v/>
      </c>
      <c r="K1474" s="69" t="str">
        <f>TEXT(ASTemp!K1474,Decimals)</f>
        <v/>
      </c>
      <c r="L1474" s="69" t="str">
        <f>TEXT(ASTemp!L1474,Decimals)</f>
        <v/>
      </c>
      <c r="M1474" s="71" t="str">
        <f>TEXT(ASTemp!M1474,Percentages)</f>
        <v/>
      </c>
      <c r="N1474" s="72" t="str">
        <f>TEXT(ASTemp!N1474,Percentages)</f>
        <v/>
      </c>
    </row>
    <row r="1475" ht="14.25" customHeight="1">
      <c r="B1475" s="66" t="str">
        <f>ASTemp!B1475</f>
        <v/>
      </c>
      <c r="C1475" s="67" t="str">
        <f>ASTemp!C1475</f>
        <v/>
      </c>
      <c r="D1475" s="68" t="str">
        <f>ASTemp!D1475</f>
        <v/>
      </c>
      <c r="E1475" s="65" t="str">
        <f>ASTemp!E1475</f>
        <v/>
      </c>
      <c r="F1475" s="69" t="str">
        <f>TEXT(ASTemp!F1475,Decimals)</f>
        <v/>
      </c>
      <c r="G1475" s="69" t="str">
        <f>TEXT(ASTemp!G1475,Decimals)</f>
        <v/>
      </c>
      <c r="H1475" s="69" t="str">
        <f>TEXT(ASTemp!H1475,Decimals)</f>
        <v/>
      </c>
      <c r="I1475" s="69" t="str">
        <f>TEXT(ASTemp!I1475,Decimals)</f>
        <v/>
      </c>
      <c r="J1475" s="69" t="str">
        <f>TEXT(ASTemp!J1475,Decimals)</f>
        <v/>
      </c>
      <c r="K1475" s="69" t="str">
        <f>TEXT(ASTemp!K1475,Decimals)</f>
        <v/>
      </c>
      <c r="L1475" s="69" t="str">
        <f>TEXT(ASTemp!L1475,Decimals)</f>
        <v/>
      </c>
      <c r="M1475" s="71" t="str">
        <f>TEXT(ASTemp!M1475,Percentages)</f>
        <v/>
      </c>
      <c r="N1475" s="72" t="str">
        <f>TEXT(ASTemp!N1475,Percentages)</f>
        <v/>
      </c>
    </row>
    <row r="1476" ht="14.25" customHeight="1">
      <c r="B1476" s="66" t="str">
        <f>ASTemp!B1476</f>
        <v/>
      </c>
      <c r="C1476" s="67" t="str">
        <f>ASTemp!C1476</f>
        <v/>
      </c>
      <c r="D1476" s="68" t="str">
        <f>ASTemp!D1476</f>
        <v/>
      </c>
      <c r="E1476" s="65" t="str">
        <f>ASTemp!E1476</f>
        <v/>
      </c>
      <c r="F1476" s="69" t="str">
        <f>TEXT(ASTemp!F1476,Decimals)</f>
        <v/>
      </c>
      <c r="G1476" s="69" t="str">
        <f>TEXT(ASTemp!G1476,Decimals)</f>
        <v/>
      </c>
      <c r="H1476" s="69" t="str">
        <f>TEXT(ASTemp!H1476,Decimals)</f>
        <v/>
      </c>
      <c r="I1476" s="69" t="str">
        <f>TEXT(ASTemp!I1476,Decimals)</f>
        <v/>
      </c>
      <c r="J1476" s="69" t="str">
        <f>TEXT(ASTemp!J1476,Decimals)</f>
        <v/>
      </c>
      <c r="K1476" s="69" t="str">
        <f>TEXT(ASTemp!K1476,Decimals)</f>
        <v/>
      </c>
      <c r="L1476" s="69" t="str">
        <f>TEXT(ASTemp!L1476,Decimals)</f>
        <v/>
      </c>
      <c r="M1476" s="71" t="str">
        <f>TEXT(ASTemp!M1476,Percentages)</f>
        <v/>
      </c>
      <c r="N1476" s="72" t="str">
        <f>TEXT(ASTemp!N1476,Percentages)</f>
        <v/>
      </c>
    </row>
    <row r="1477" ht="14.25" customHeight="1">
      <c r="B1477" s="66" t="str">
        <f>ASTemp!B1477</f>
        <v/>
      </c>
      <c r="C1477" s="67" t="str">
        <f>ASTemp!C1477</f>
        <v/>
      </c>
      <c r="D1477" s="68" t="str">
        <f>ASTemp!D1477</f>
        <v/>
      </c>
      <c r="E1477" s="65" t="str">
        <f>ASTemp!E1477</f>
        <v/>
      </c>
      <c r="F1477" s="69" t="str">
        <f>TEXT(ASTemp!F1477,Decimals)</f>
        <v/>
      </c>
      <c r="G1477" s="69" t="str">
        <f>TEXT(ASTemp!G1477,Decimals)</f>
        <v/>
      </c>
      <c r="H1477" s="69" t="str">
        <f>TEXT(ASTemp!H1477,Decimals)</f>
        <v/>
      </c>
      <c r="I1477" s="69" t="str">
        <f>TEXT(ASTemp!I1477,Decimals)</f>
        <v/>
      </c>
      <c r="J1477" s="69" t="str">
        <f>TEXT(ASTemp!J1477,Decimals)</f>
        <v/>
      </c>
      <c r="K1477" s="69" t="str">
        <f>TEXT(ASTemp!K1477,Decimals)</f>
        <v/>
      </c>
      <c r="L1477" s="69" t="str">
        <f>TEXT(ASTemp!L1477,Decimals)</f>
        <v/>
      </c>
      <c r="M1477" s="71" t="str">
        <f>TEXT(ASTemp!M1477,Percentages)</f>
        <v/>
      </c>
      <c r="N1477" s="72" t="str">
        <f>TEXT(ASTemp!N1477,Percentages)</f>
        <v/>
      </c>
    </row>
    <row r="1478" ht="14.25" customHeight="1">
      <c r="B1478" s="66" t="str">
        <f>ASTemp!B1478</f>
        <v/>
      </c>
      <c r="C1478" s="67" t="str">
        <f>ASTemp!C1478</f>
        <v/>
      </c>
      <c r="D1478" s="68" t="str">
        <f>ASTemp!D1478</f>
        <v/>
      </c>
      <c r="E1478" s="65" t="str">
        <f>ASTemp!E1478</f>
        <v/>
      </c>
      <c r="F1478" s="69" t="str">
        <f>TEXT(ASTemp!F1478,Decimals)</f>
        <v/>
      </c>
      <c r="G1478" s="69" t="str">
        <f>TEXT(ASTemp!G1478,Decimals)</f>
        <v/>
      </c>
      <c r="H1478" s="69" t="str">
        <f>TEXT(ASTemp!H1478,Decimals)</f>
        <v/>
      </c>
      <c r="I1478" s="69" t="str">
        <f>TEXT(ASTemp!I1478,Decimals)</f>
        <v/>
      </c>
      <c r="J1478" s="69" t="str">
        <f>TEXT(ASTemp!J1478,Decimals)</f>
        <v/>
      </c>
      <c r="K1478" s="69" t="str">
        <f>TEXT(ASTemp!K1478,Decimals)</f>
        <v/>
      </c>
      <c r="L1478" s="69" t="str">
        <f>TEXT(ASTemp!L1478,Decimals)</f>
        <v/>
      </c>
      <c r="M1478" s="71" t="str">
        <f>TEXT(ASTemp!M1478,Percentages)</f>
        <v/>
      </c>
      <c r="N1478" s="72" t="str">
        <f>TEXT(ASTemp!N1478,Percentages)</f>
        <v/>
      </c>
    </row>
    <row r="1479" ht="14.25" customHeight="1">
      <c r="B1479" s="66" t="str">
        <f>ASTemp!B1479</f>
        <v/>
      </c>
      <c r="C1479" s="67" t="str">
        <f>ASTemp!C1479</f>
        <v/>
      </c>
      <c r="D1479" s="68" t="str">
        <f>ASTemp!D1479</f>
        <v/>
      </c>
      <c r="E1479" s="65" t="str">
        <f>ASTemp!E1479</f>
        <v/>
      </c>
      <c r="F1479" s="69" t="str">
        <f>TEXT(ASTemp!F1479,Decimals)</f>
        <v/>
      </c>
      <c r="G1479" s="69" t="str">
        <f>TEXT(ASTemp!G1479,Decimals)</f>
        <v/>
      </c>
      <c r="H1479" s="69" t="str">
        <f>TEXT(ASTemp!H1479,Decimals)</f>
        <v/>
      </c>
      <c r="I1479" s="69" t="str">
        <f>TEXT(ASTemp!I1479,Decimals)</f>
        <v/>
      </c>
      <c r="J1479" s="69" t="str">
        <f>TEXT(ASTemp!J1479,Decimals)</f>
        <v/>
      </c>
      <c r="K1479" s="69" t="str">
        <f>TEXT(ASTemp!K1479,Decimals)</f>
        <v/>
      </c>
      <c r="L1479" s="69" t="str">
        <f>TEXT(ASTemp!L1479,Decimals)</f>
        <v/>
      </c>
      <c r="M1479" s="71" t="str">
        <f>TEXT(ASTemp!M1479,Percentages)</f>
        <v/>
      </c>
      <c r="N1479" s="72" t="str">
        <f>TEXT(ASTemp!N1479,Percentages)</f>
        <v/>
      </c>
    </row>
    <row r="1480" ht="14.25" customHeight="1">
      <c r="B1480" s="66" t="str">
        <f>ASTemp!B1480</f>
        <v/>
      </c>
      <c r="C1480" s="67" t="str">
        <f>ASTemp!C1480</f>
        <v/>
      </c>
      <c r="D1480" s="68" t="str">
        <f>ASTemp!D1480</f>
        <v/>
      </c>
      <c r="E1480" s="65" t="str">
        <f>ASTemp!E1480</f>
        <v/>
      </c>
      <c r="F1480" s="69" t="str">
        <f>TEXT(ASTemp!F1480,Decimals)</f>
        <v/>
      </c>
      <c r="G1480" s="69" t="str">
        <f>TEXT(ASTemp!G1480,Decimals)</f>
        <v/>
      </c>
      <c r="H1480" s="69" t="str">
        <f>TEXT(ASTemp!H1480,Decimals)</f>
        <v/>
      </c>
      <c r="I1480" s="69" t="str">
        <f>TEXT(ASTemp!I1480,Decimals)</f>
        <v/>
      </c>
      <c r="J1480" s="69" t="str">
        <f>TEXT(ASTemp!J1480,Decimals)</f>
        <v/>
      </c>
      <c r="K1480" s="69" t="str">
        <f>TEXT(ASTemp!K1480,Decimals)</f>
        <v/>
      </c>
      <c r="L1480" s="69" t="str">
        <f>TEXT(ASTemp!L1480,Decimals)</f>
        <v/>
      </c>
      <c r="M1480" s="71" t="str">
        <f>TEXT(ASTemp!M1480,Percentages)</f>
        <v/>
      </c>
      <c r="N1480" s="72" t="str">
        <f>TEXT(ASTemp!N1480,Percentages)</f>
        <v/>
      </c>
    </row>
    <row r="1481" ht="14.25" customHeight="1">
      <c r="B1481" s="66" t="str">
        <f>ASTemp!B1481</f>
        <v/>
      </c>
      <c r="C1481" s="67" t="str">
        <f>ASTemp!C1481</f>
        <v/>
      </c>
      <c r="D1481" s="68" t="str">
        <f>ASTemp!D1481</f>
        <v/>
      </c>
      <c r="E1481" s="65" t="str">
        <f>ASTemp!E1481</f>
        <v/>
      </c>
      <c r="F1481" s="69" t="str">
        <f>TEXT(ASTemp!F1481,Decimals)</f>
        <v/>
      </c>
      <c r="G1481" s="69" t="str">
        <f>TEXT(ASTemp!G1481,Decimals)</f>
        <v/>
      </c>
      <c r="H1481" s="69" t="str">
        <f>TEXT(ASTemp!H1481,Decimals)</f>
        <v/>
      </c>
      <c r="I1481" s="69" t="str">
        <f>TEXT(ASTemp!I1481,Decimals)</f>
        <v/>
      </c>
      <c r="J1481" s="69" t="str">
        <f>TEXT(ASTemp!J1481,Decimals)</f>
        <v/>
      </c>
      <c r="K1481" s="69" t="str">
        <f>TEXT(ASTemp!K1481,Decimals)</f>
        <v/>
      </c>
      <c r="L1481" s="69" t="str">
        <f>TEXT(ASTemp!L1481,Decimals)</f>
        <v/>
      </c>
      <c r="M1481" s="71" t="str">
        <f>TEXT(ASTemp!M1481,Percentages)</f>
        <v/>
      </c>
      <c r="N1481" s="72" t="str">
        <f>TEXT(ASTemp!N1481,Percentages)</f>
        <v/>
      </c>
    </row>
    <row r="1482" ht="14.25" customHeight="1">
      <c r="B1482" s="66" t="str">
        <f>ASTemp!B1482</f>
        <v/>
      </c>
      <c r="C1482" s="67" t="str">
        <f>ASTemp!C1482</f>
        <v/>
      </c>
      <c r="D1482" s="68" t="str">
        <f>ASTemp!D1482</f>
        <v/>
      </c>
      <c r="E1482" s="65" t="str">
        <f>ASTemp!E1482</f>
        <v/>
      </c>
      <c r="F1482" s="69" t="str">
        <f>TEXT(ASTemp!F1482,Decimals)</f>
        <v/>
      </c>
      <c r="G1482" s="69" t="str">
        <f>TEXT(ASTemp!G1482,Decimals)</f>
        <v/>
      </c>
      <c r="H1482" s="69" t="str">
        <f>TEXT(ASTemp!H1482,Decimals)</f>
        <v/>
      </c>
      <c r="I1482" s="69" t="str">
        <f>TEXT(ASTemp!I1482,Decimals)</f>
        <v/>
      </c>
      <c r="J1482" s="69" t="str">
        <f>TEXT(ASTemp!J1482,Decimals)</f>
        <v/>
      </c>
      <c r="K1482" s="69" t="str">
        <f>TEXT(ASTemp!K1482,Decimals)</f>
        <v/>
      </c>
      <c r="L1482" s="69" t="str">
        <f>TEXT(ASTemp!L1482,Decimals)</f>
        <v/>
      </c>
      <c r="M1482" s="71" t="str">
        <f>TEXT(ASTemp!M1482,Percentages)</f>
        <v/>
      </c>
      <c r="N1482" s="72" t="str">
        <f>TEXT(ASTemp!N1482,Percentages)</f>
        <v/>
      </c>
    </row>
    <row r="1483" ht="14.25" customHeight="1">
      <c r="B1483" s="66" t="str">
        <f>ASTemp!B1483</f>
        <v/>
      </c>
      <c r="C1483" s="67" t="str">
        <f>ASTemp!C1483</f>
        <v/>
      </c>
      <c r="D1483" s="68" t="str">
        <f>ASTemp!D1483</f>
        <v/>
      </c>
      <c r="E1483" s="65" t="str">
        <f>ASTemp!E1483</f>
        <v/>
      </c>
      <c r="F1483" s="69" t="str">
        <f>TEXT(ASTemp!F1483,Decimals)</f>
        <v/>
      </c>
      <c r="G1483" s="69" t="str">
        <f>TEXT(ASTemp!G1483,Decimals)</f>
        <v/>
      </c>
      <c r="H1483" s="69" t="str">
        <f>TEXT(ASTemp!H1483,Decimals)</f>
        <v/>
      </c>
      <c r="I1483" s="69" t="str">
        <f>TEXT(ASTemp!I1483,Decimals)</f>
        <v/>
      </c>
      <c r="J1483" s="69" t="str">
        <f>TEXT(ASTemp!J1483,Decimals)</f>
        <v/>
      </c>
      <c r="K1483" s="69" t="str">
        <f>TEXT(ASTemp!K1483,Decimals)</f>
        <v/>
      </c>
      <c r="L1483" s="69" t="str">
        <f>TEXT(ASTemp!L1483,Decimals)</f>
        <v/>
      </c>
      <c r="M1483" s="71" t="str">
        <f>TEXT(ASTemp!M1483,Percentages)</f>
        <v/>
      </c>
      <c r="N1483" s="72" t="str">
        <f>TEXT(ASTemp!N1483,Percentages)</f>
        <v/>
      </c>
    </row>
    <row r="1484" ht="14.25" customHeight="1">
      <c r="B1484" s="66" t="str">
        <f>ASTemp!B1484</f>
        <v/>
      </c>
      <c r="C1484" s="67" t="str">
        <f>ASTemp!C1484</f>
        <v/>
      </c>
      <c r="D1484" s="68" t="str">
        <f>ASTemp!D1484</f>
        <v/>
      </c>
      <c r="E1484" s="65" t="str">
        <f>ASTemp!E1484</f>
        <v/>
      </c>
      <c r="F1484" s="69" t="str">
        <f>TEXT(ASTemp!F1484,Decimals)</f>
        <v/>
      </c>
      <c r="G1484" s="69" t="str">
        <f>TEXT(ASTemp!G1484,Decimals)</f>
        <v/>
      </c>
      <c r="H1484" s="69" t="str">
        <f>TEXT(ASTemp!H1484,Decimals)</f>
        <v/>
      </c>
      <c r="I1484" s="69" t="str">
        <f>TEXT(ASTemp!I1484,Decimals)</f>
        <v/>
      </c>
      <c r="J1484" s="69" t="str">
        <f>TEXT(ASTemp!J1484,Decimals)</f>
        <v/>
      </c>
      <c r="K1484" s="69" t="str">
        <f>TEXT(ASTemp!K1484,Decimals)</f>
        <v/>
      </c>
      <c r="L1484" s="69" t="str">
        <f>TEXT(ASTemp!L1484,Decimals)</f>
        <v/>
      </c>
      <c r="M1484" s="71" t="str">
        <f>TEXT(ASTemp!M1484,Percentages)</f>
        <v/>
      </c>
      <c r="N1484" s="72" t="str">
        <f>TEXT(ASTemp!N1484,Percentages)</f>
        <v/>
      </c>
    </row>
    <row r="1485" ht="14.25" customHeight="1">
      <c r="B1485" s="66" t="str">
        <f>ASTemp!B1485</f>
        <v/>
      </c>
      <c r="C1485" s="67" t="str">
        <f>ASTemp!C1485</f>
        <v/>
      </c>
      <c r="D1485" s="68" t="str">
        <f>ASTemp!D1485</f>
        <v/>
      </c>
      <c r="E1485" s="65" t="str">
        <f>ASTemp!E1485</f>
        <v/>
      </c>
      <c r="F1485" s="69" t="str">
        <f>TEXT(ASTemp!F1485,Decimals)</f>
        <v/>
      </c>
      <c r="G1485" s="69" t="str">
        <f>TEXT(ASTemp!G1485,Decimals)</f>
        <v/>
      </c>
      <c r="H1485" s="69" t="str">
        <f>TEXT(ASTemp!H1485,Decimals)</f>
        <v/>
      </c>
      <c r="I1485" s="69" t="str">
        <f>TEXT(ASTemp!I1485,Decimals)</f>
        <v/>
      </c>
      <c r="J1485" s="69" t="str">
        <f>TEXT(ASTemp!J1485,Decimals)</f>
        <v/>
      </c>
      <c r="K1485" s="69" t="str">
        <f>TEXT(ASTemp!K1485,Decimals)</f>
        <v/>
      </c>
      <c r="L1485" s="69" t="str">
        <f>TEXT(ASTemp!L1485,Decimals)</f>
        <v/>
      </c>
      <c r="M1485" s="71" t="str">
        <f>TEXT(ASTemp!M1485,Percentages)</f>
        <v/>
      </c>
      <c r="N1485" s="72" t="str">
        <f>TEXT(ASTemp!N1485,Percentages)</f>
        <v/>
      </c>
    </row>
    <row r="1486" ht="14.25" customHeight="1">
      <c r="B1486" s="66" t="str">
        <f>ASTemp!B1486</f>
        <v/>
      </c>
      <c r="C1486" s="67" t="str">
        <f>ASTemp!C1486</f>
        <v/>
      </c>
      <c r="D1486" s="68" t="str">
        <f>ASTemp!D1486</f>
        <v/>
      </c>
      <c r="E1486" s="65" t="str">
        <f>ASTemp!E1486</f>
        <v/>
      </c>
      <c r="F1486" s="69" t="str">
        <f>TEXT(ASTemp!F1486,Decimals)</f>
        <v/>
      </c>
      <c r="G1486" s="69" t="str">
        <f>TEXT(ASTemp!G1486,Decimals)</f>
        <v/>
      </c>
      <c r="H1486" s="69" t="str">
        <f>TEXT(ASTemp!H1486,Decimals)</f>
        <v/>
      </c>
      <c r="I1486" s="69" t="str">
        <f>TEXT(ASTemp!I1486,Decimals)</f>
        <v/>
      </c>
      <c r="J1486" s="69" t="str">
        <f>TEXT(ASTemp!J1486,Decimals)</f>
        <v/>
      </c>
      <c r="K1486" s="69" t="str">
        <f>TEXT(ASTemp!K1486,Decimals)</f>
        <v/>
      </c>
      <c r="L1486" s="69" t="str">
        <f>TEXT(ASTemp!L1486,Decimals)</f>
        <v/>
      </c>
      <c r="M1486" s="71" t="str">
        <f>TEXT(ASTemp!M1486,Percentages)</f>
        <v/>
      </c>
      <c r="N1486" s="72" t="str">
        <f>TEXT(ASTemp!N1486,Percentages)</f>
        <v/>
      </c>
    </row>
    <row r="1487" ht="14.25" customHeight="1">
      <c r="B1487" s="66" t="str">
        <f>ASTemp!B1487</f>
        <v/>
      </c>
      <c r="C1487" s="67" t="str">
        <f>ASTemp!C1487</f>
        <v/>
      </c>
      <c r="D1487" s="68" t="str">
        <f>ASTemp!D1487</f>
        <v/>
      </c>
      <c r="E1487" s="65" t="str">
        <f>ASTemp!E1487</f>
        <v/>
      </c>
      <c r="F1487" s="69" t="str">
        <f>TEXT(ASTemp!F1487,Decimals)</f>
        <v/>
      </c>
      <c r="G1487" s="69" t="str">
        <f>TEXT(ASTemp!G1487,Decimals)</f>
        <v/>
      </c>
      <c r="H1487" s="69" t="str">
        <f>TEXT(ASTemp!H1487,Decimals)</f>
        <v/>
      </c>
      <c r="I1487" s="69" t="str">
        <f>TEXT(ASTemp!I1487,Decimals)</f>
        <v/>
      </c>
      <c r="J1487" s="69" t="str">
        <f>TEXT(ASTemp!J1487,Decimals)</f>
        <v/>
      </c>
      <c r="K1487" s="69" t="str">
        <f>TEXT(ASTemp!K1487,Decimals)</f>
        <v/>
      </c>
      <c r="L1487" s="69" t="str">
        <f>TEXT(ASTemp!L1487,Decimals)</f>
        <v/>
      </c>
      <c r="M1487" s="71" t="str">
        <f>TEXT(ASTemp!M1487,Percentages)</f>
        <v/>
      </c>
      <c r="N1487" s="72" t="str">
        <f>TEXT(ASTemp!N1487,Percentages)</f>
        <v/>
      </c>
    </row>
    <row r="1488" ht="14.25" customHeight="1">
      <c r="B1488" s="66" t="str">
        <f>ASTemp!B1488</f>
        <v/>
      </c>
      <c r="C1488" s="67" t="str">
        <f>ASTemp!C1488</f>
        <v/>
      </c>
      <c r="D1488" s="68" t="str">
        <f>ASTemp!D1488</f>
        <v/>
      </c>
      <c r="E1488" s="65" t="str">
        <f>ASTemp!E1488</f>
        <v/>
      </c>
      <c r="F1488" s="69" t="str">
        <f>TEXT(ASTemp!F1488,Decimals)</f>
        <v/>
      </c>
      <c r="G1488" s="69" t="str">
        <f>TEXT(ASTemp!G1488,Decimals)</f>
        <v/>
      </c>
      <c r="H1488" s="69" t="str">
        <f>TEXT(ASTemp!H1488,Decimals)</f>
        <v/>
      </c>
      <c r="I1488" s="69" t="str">
        <f>TEXT(ASTemp!I1488,Decimals)</f>
        <v/>
      </c>
      <c r="J1488" s="69" t="str">
        <f>TEXT(ASTemp!J1488,Decimals)</f>
        <v/>
      </c>
      <c r="K1488" s="69" t="str">
        <f>TEXT(ASTemp!K1488,Decimals)</f>
        <v/>
      </c>
      <c r="L1488" s="69" t="str">
        <f>TEXT(ASTemp!L1488,Decimals)</f>
        <v/>
      </c>
      <c r="M1488" s="71" t="str">
        <f>TEXT(ASTemp!M1488,Percentages)</f>
        <v/>
      </c>
      <c r="N1488" s="72" t="str">
        <f>TEXT(ASTemp!N1488,Percentages)</f>
        <v/>
      </c>
    </row>
    <row r="1489" ht="14.25" customHeight="1">
      <c r="B1489" s="66" t="str">
        <f>ASTemp!B1489</f>
        <v/>
      </c>
      <c r="C1489" s="67" t="str">
        <f>ASTemp!C1489</f>
        <v/>
      </c>
      <c r="D1489" s="68" t="str">
        <f>ASTemp!D1489</f>
        <v/>
      </c>
      <c r="E1489" s="65" t="str">
        <f>ASTemp!E1489</f>
        <v/>
      </c>
      <c r="F1489" s="69" t="str">
        <f>TEXT(ASTemp!F1489,Decimals)</f>
        <v/>
      </c>
      <c r="G1489" s="69" t="str">
        <f>TEXT(ASTemp!G1489,Decimals)</f>
        <v/>
      </c>
      <c r="H1489" s="69" t="str">
        <f>TEXT(ASTemp!H1489,Decimals)</f>
        <v/>
      </c>
      <c r="I1489" s="69" t="str">
        <f>TEXT(ASTemp!I1489,Decimals)</f>
        <v/>
      </c>
      <c r="J1489" s="69" t="str">
        <f>TEXT(ASTemp!J1489,Decimals)</f>
        <v/>
      </c>
      <c r="K1489" s="69" t="str">
        <f>TEXT(ASTemp!K1489,Decimals)</f>
        <v/>
      </c>
      <c r="L1489" s="69" t="str">
        <f>TEXT(ASTemp!L1489,Decimals)</f>
        <v/>
      </c>
      <c r="M1489" s="71" t="str">
        <f>TEXT(ASTemp!M1489,Percentages)</f>
        <v/>
      </c>
      <c r="N1489" s="72" t="str">
        <f>TEXT(ASTemp!N1489,Percentages)</f>
        <v/>
      </c>
    </row>
    <row r="1490" ht="14.25" customHeight="1">
      <c r="B1490" s="66" t="str">
        <f>ASTemp!B1490</f>
        <v/>
      </c>
      <c r="C1490" s="67" t="str">
        <f>ASTemp!C1490</f>
        <v/>
      </c>
      <c r="D1490" s="68" t="str">
        <f>ASTemp!D1490</f>
        <v/>
      </c>
      <c r="E1490" s="65" t="str">
        <f>ASTemp!E1490</f>
        <v/>
      </c>
      <c r="F1490" s="69" t="str">
        <f>TEXT(ASTemp!F1490,Decimals)</f>
        <v/>
      </c>
      <c r="G1490" s="69" t="str">
        <f>TEXT(ASTemp!G1490,Decimals)</f>
        <v/>
      </c>
      <c r="H1490" s="69" t="str">
        <f>TEXT(ASTemp!H1490,Decimals)</f>
        <v/>
      </c>
      <c r="I1490" s="69" t="str">
        <f>TEXT(ASTemp!I1490,Decimals)</f>
        <v/>
      </c>
      <c r="J1490" s="69" t="str">
        <f>TEXT(ASTemp!J1490,Decimals)</f>
        <v/>
      </c>
      <c r="K1490" s="69" t="str">
        <f>TEXT(ASTemp!K1490,Decimals)</f>
        <v/>
      </c>
      <c r="L1490" s="69" t="str">
        <f>TEXT(ASTemp!L1490,Decimals)</f>
        <v/>
      </c>
      <c r="M1490" s="71" t="str">
        <f>TEXT(ASTemp!M1490,Percentages)</f>
        <v/>
      </c>
      <c r="N1490" s="72" t="str">
        <f>TEXT(ASTemp!N1490,Percentages)</f>
        <v/>
      </c>
    </row>
    <row r="1491" ht="14.25" customHeight="1">
      <c r="B1491" s="66" t="str">
        <f>ASTemp!B1491</f>
        <v/>
      </c>
      <c r="C1491" s="67" t="str">
        <f>ASTemp!C1491</f>
        <v/>
      </c>
      <c r="D1491" s="68" t="str">
        <f>ASTemp!D1491</f>
        <v/>
      </c>
      <c r="E1491" s="65" t="str">
        <f>ASTemp!E1491</f>
        <v/>
      </c>
      <c r="F1491" s="69" t="str">
        <f>TEXT(ASTemp!F1491,Decimals)</f>
        <v/>
      </c>
      <c r="G1491" s="69" t="str">
        <f>TEXT(ASTemp!G1491,Decimals)</f>
        <v/>
      </c>
      <c r="H1491" s="69" t="str">
        <f>TEXT(ASTemp!H1491,Decimals)</f>
        <v/>
      </c>
      <c r="I1491" s="69" t="str">
        <f>TEXT(ASTemp!I1491,Decimals)</f>
        <v/>
      </c>
      <c r="J1491" s="69" t="str">
        <f>TEXT(ASTemp!J1491,Decimals)</f>
        <v/>
      </c>
      <c r="K1491" s="69" t="str">
        <f>TEXT(ASTemp!K1491,Decimals)</f>
        <v/>
      </c>
      <c r="L1491" s="69" t="str">
        <f>TEXT(ASTemp!L1491,Decimals)</f>
        <v/>
      </c>
      <c r="M1491" s="71" t="str">
        <f>TEXT(ASTemp!M1491,Percentages)</f>
        <v/>
      </c>
      <c r="N1491" s="72" t="str">
        <f>TEXT(ASTemp!N1491,Percentages)</f>
        <v/>
      </c>
    </row>
    <row r="1492" ht="14.25" customHeight="1">
      <c r="B1492" s="66" t="str">
        <f>ASTemp!B1492</f>
        <v/>
      </c>
      <c r="C1492" s="67" t="str">
        <f>ASTemp!C1492</f>
        <v/>
      </c>
      <c r="D1492" s="68" t="str">
        <f>ASTemp!D1492</f>
        <v/>
      </c>
      <c r="E1492" s="65" t="str">
        <f>ASTemp!E1492</f>
        <v/>
      </c>
      <c r="F1492" s="69" t="str">
        <f>TEXT(ASTemp!F1492,Decimals)</f>
        <v/>
      </c>
      <c r="G1492" s="69" t="str">
        <f>TEXT(ASTemp!G1492,Decimals)</f>
        <v/>
      </c>
      <c r="H1492" s="69" t="str">
        <f>TEXT(ASTemp!H1492,Decimals)</f>
        <v/>
      </c>
      <c r="I1492" s="69" t="str">
        <f>TEXT(ASTemp!I1492,Decimals)</f>
        <v/>
      </c>
      <c r="J1492" s="69" t="str">
        <f>TEXT(ASTemp!J1492,Decimals)</f>
        <v/>
      </c>
      <c r="K1492" s="69" t="str">
        <f>TEXT(ASTemp!K1492,Decimals)</f>
        <v/>
      </c>
      <c r="L1492" s="69" t="str">
        <f>TEXT(ASTemp!L1492,Decimals)</f>
        <v/>
      </c>
      <c r="M1492" s="71" t="str">
        <f>TEXT(ASTemp!M1492,Percentages)</f>
        <v/>
      </c>
      <c r="N1492" s="72" t="str">
        <f>TEXT(ASTemp!N1492,Percentages)</f>
        <v/>
      </c>
    </row>
    <row r="1493" ht="14.25" customHeight="1">
      <c r="B1493" s="66" t="str">
        <f>ASTemp!B1493</f>
        <v/>
      </c>
      <c r="C1493" s="67" t="str">
        <f>ASTemp!C1493</f>
        <v/>
      </c>
      <c r="D1493" s="68" t="str">
        <f>ASTemp!D1493</f>
        <v/>
      </c>
      <c r="E1493" s="65" t="str">
        <f>ASTemp!E1493</f>
        <v/>
      </c>
      <c r="F1493" s="69" t="str">
        <f>TEXT(ASTemp!F1493,Decimals)</f>
        <v/>
      </c>
      <c r="G1493" s="69" t="str">
        <f>TEXT(ASTemp!G1493,Decimals)</f>
        <v/>
      </c>
      <c r="H1493" s="69" t="str">
        <f>TEXT(ASTemp!H1493,Decimals)</f>
        <v/>
      </c>
      <c r="I1493" s="69" t="str">
        <f>TEXT(ASTemp!I1493,Decimals)</f>
        <v/>
      </c>
      <c r="J1493" s="69" t="str">
        <f>TEXT(ASTemp!J1493,Decimals)</f>
        <v/>
      </c>
      <c r="K1493" s="69" t="str">
        <f>TEXT(ASTemp!K1493,Decimals)</f>
        <v/>
      </c>
      <c r="L1493" s="69" t="str">
        <f>TEXT(ASTemp!L1493,Decimals)</f>
        <v/>
      </c>
      <c r="M1493" s="71" t="str">
        <f>TEXT(ASTemp!M1493,Percentages)</f>
        <v/>
      </c>
      <c r="N1493" s="72" t="str">
        <f>TEXT(ASTemp!N1493,Percentages)</f>
        <v/>
      </c>
    </row>
    <row r="1494" ht="14.25" customHeight="1">
      <c r="B1494" s="66" t="str">
        <f>ASTemp!B1494</f>
        <v/>
      </c>
      <c r="C1494" s="67" t="str">
        <f>ASTemp!C1494</f>
        <v/>
      </c>
      <c r="D1494" s="68" t="str">
        <f>ASTemp!D1494</f>
        <v/>
      </c>
      <c r="E1494" s="65" t="str">
        <f>ASTemp!E1494</f>
        <v/>
      </c>
      <c r="F1494" s="69" t="str">
        <f>TEXT(ASTemp!F1494,Decimals)</f>
        <v/>
      </c>
      <c r="G1494" s="69" t="str">
        <f>TEXT(ASTemp!G1494,Decimals)</f>
        <v/>
      </c>
      <c r="H1494" s="69" t="str">
        <f>TEXT(ASTemp!H1494,Decimals)</f>
        <v/>
      </c>
      <c r="I1494" s="69" t="str">
        <f>TEXT(ASTemp!I1494,Decimals)</f>
        <v/>
      </c>
      <c r="J1494" s="69" t="str">
        <f>TEXT(ASTemp!J1494,Decimals)</f>
        <v/>
      </c>
      <c r="K1494" s="69" t="str">
        <f>TEXT(ASTemp!K1494,Decimals)</f>
        <v/>
      </c>
      <c r="L1494" s="69" t="str">
        <f>TEXT(ASTemp!L1494,Decimals)</f>
        <v/>
      </c>
      <c r="M1494" s="71" t="str">
        <f>TEXT(ASTemp!M1494,Percentages)</f>
        <v/>
      </c>
      <c r="N1494" s="72" t="str">
        <f>TEXT(ASTemp!N1494,Percentages)</f>
        <v/>
      </c>
    </row>
    <row r="1495" ht="14.25" customHeight="1">
      <c r="B1495" s="66" t="str">
        <f>ASTemp!B1495</f>
        <v/>
      </c>
      <c r="C1495" s="67" t="str">
        <f>ASTemp!C1495</f>
        <v/>
      </c>
      <c r="D1495" s="68" t="str">
        <f>ASTemp!D1495</f>
        <v/>
      </c>
      <c r="E1495" s="65" t="str">
        <f>ASTemp!E1495</f>
        <v/>
      </c>
      <c r="F1495" s="69" t="str">
        <f>TEXT(ASTemp!F1495,Decimals)</f>
        <v/>
      </c>
      <c r="G1495" s="69" t="str">
        <f>TEXT(ASTemp!G1495,Decimals)</f>
        <v/>
      </c>
      <c r="H1495" s="69" t="str">
        <f>TEXT(ASTemp!H1495,Decimals)</f>
        <v/>
      </c>
      <c r="I1495" s="69" t="str">
        <f>TEXT(ASTemp!I1495,Decimals)</f>
        <v/>
      </c>
      <c r="J1495" s="69" t="str">
        <f>TEXT(ASTemp!J1495,Decimals)</f>
        <v/>
      </c>
      <c r="K1495" s="69" t="str">
        <f>TEXT(ASTemp!K1495,Decimals)</f>
        <v/>
      </c>
      <c r="L1495" s="69" t="str">
        <f>TEXT(ASTemp!L1495,Decimals)</f>
        <v/>
      </c>
      <c r="M1495" s="71" t="str">
        <f>TEXT(ASTemp!M1495,Percentages)</f>
        <v/>
      </c>
      <c r="N1495" s="72" t="str">
        <f>TEXT(ASTemp!N1495,Percentages)</f>
        <v/>
      </c>
    </row>
    <row r="1496" ht="14.25" customHeight="1">
      <c r="B1496" s="66" t="str">
        <f>ASTemp!B1496</f>
        <v/>
      </c>
      <c r="C1496" s="67" t="str">
        <f>ASTemp!C1496</f>
        <v/>
      </c>
      <c r="D1496" s="68" t="str">
        <f>ASTemp!D1496</f>
        <v/>
      </c>
      <c r="E1496" s="65" t="str">
        <f>ASTemp!E1496</f>
        <v/>
      </c>
      <c r="F1496" s="69" t="str">
        <f>TEXT(ASTemp!F1496,Decimals)</f>
        <v/>
      </c>
      <c r="G1496" s="69" t="str">
        <f>TEXT(ASTemp!G1496,Decimals)</f>
        <v/>
      </c>
      <c r="H1496" s="69" t="str">
        <f>TEXT(ASTemp!H1496,Decimals)</f>
        <v/>
      </c>
      <c r="I1496" s="69" t="str">
        <f>TEXT(ASTemp!I1496,Decimals)</f>
        <v/>
      </c>
      <c r="J1496" s="69" t="str">
        <f>TEXT(ASTemp!J1496,Decimals)</f>
        <v/>
      </c>
      <c r="K1496" s="69" t="str">
        <f>TEXT(ASTemp!K1496,Decimals)</f>
        <v/>
      </c>
      <c r="L1496" s="69" t="str">
        <f>TEXT(ASTemp!L1496,Decimals)</f>
        <v/>
      </c>
      <c r="M1496" s="71" t="str">
        <f>TEXT(ASTemp!M1496,Percentages)</f>
        <v/>
      </c>
      <c r="N1496" s="72" t="str">
        <f>TEXT(ASTemp!N1496,Percentages)</f>
        <v/>
      </c>
    </row>
    <row r="1497" ht="14.25" customHeight="1">
      <c r="B1497" s="66" t="str">
        <f>ASTemp!B1497</f>
        <v/>
      </c>
      <c r="C1497" s="67" t="str">
        <f>ASTemp!C1497</f>
        <v/>
      </c>
      <c r="D1497" s="68" t="str">
        <f>ASTemp!D1497</f>
        <v/>
      </c>
      <c r="E1497" s="65" t="str">
        <f>ASTemp!E1497</f>
        <v/>
      </c>
      <c r="F1497" s="69" t="str">
        <f>TEXT(ASTemp!F1497,Decimals)</f>
        <v/>
      </c>
      <c r="G1497" s="69" t="str">
        <f>TEXT(ASTemp!G1497,Decimals)</f>
        <v/>
      </c>
      <c r="H1497" s="69" t="str">
        <f>TEXT(ASTemp!H1497,Decimals)</f>
        <v/>
      </c>
      <c r="I1497" s="69" t="str">
        <f>TEXT(ASTemp!I1497,Decimals)</f>
        <v/>
      </c>
      <c r="J1497" s="69" t="str">
        <f>TEXT(ASTemp!J1497,Decimals)</f>
        <v/>
      </c>
      <c r="K1497" s="69" t="str">
        <f>TEXT(ASTemp!K1497,Decimals)</f>
        <v/>
      </c>
      <c r="L1497" s="69" t="str">
        <f>TEXT(ASTemp!L1497,Decimals)</f>
        <v/>
      </c>
      <c r="M1497" s="71" t="str">
        <f>TEXT(ASTemp!M1497,Percentages)</f>
        <v/>
      </c>
      <c r="N1497" s="72" t="str">
        <f>TEXT(ASTemp!N1497,Percentages)</f>
        <v/>
      </c>
    </row>
    <row r="1498" ht="14.25" customHeight="1">
      <c r="B1498" s="66" t="str">
        <f>ASTemp!B1498</f>
        <v/>
      </c>
      <c r="C1498" s="67" t="str">
        <f>ASTemp!C1498</f>
        <v/>
      </c>
      <c r="D1498" s="68" t="str">
        <f>ASTemp!D1498</f>
        <v/>
      </c>
      <c r="E1498" s="65" t="str">
        <f>ASTemp!E1498</f>
        <v/>
      </c>
      <c r="F1498" s="69" t="str">
        <f>TEXT(ASTemp!F1498,Decimals)</f>
        <v/>
      </c>
      <c r="G1498" s="69" t="str">
        <f>TEXT(ASTemp!G1498,Decimals)</f>
        <v/>
      </c>
      <c r="H1498" s="69" t="str">
        <f>TEXT(ASTemp!H1498,Decimals)</f>
        <v/>
      </c>
      <c r="I1498" s="69" t="str">
        <f>TEXT(ASTemp!I1498,Decimals)</f>
        <v/>
      </c>
      <c r="J1498" s="69" t="str">
        <f>TEXT(ASTemp!J1498,Decimals)</f>
        <v/>
      </c>
      <c r="K1498" s="69" t="str">
        <f>TEXT(ASTemp!K1498,Decimals)</f>
        <v/>
      </c>
      <c r="L1498" s="69" t="str">
        <f>TEXT(ASTemp!L1498,Decimals)</f>
        <v/>
      </c>
      <c r="M1498" s="71" t="str">
        <f>TEXT(ASTemp!M1498,Percentages)</f>
        <v/>
      </c>
      <c r="N1498" s="72" t="str">
        <f>TEXT(ASTemp!N1498,Percentages)</f>
        <v/>
      </c>
    </row>
    <row r="1499" ht="14.25" customHeight="1">
      <c r="B1499" s="66" t="str">
        <f>ASTemp!B1499</f>
        <v/>
      </c>
      <c r="C1499" s="67" t="str">
        <f>ASTemp!C1499</f>
        <v/>
      </c>
      <c r="D1499" s="68" t="str">
        <f>ASTemp!D1499</f>
        <v/>
      </c>
      <c r="E1499" s="65" t="str">
        <f>ASTemp!E1499</f>
        <v/>
      </c>
      <c r="F1499" s="69" t="str">
        <f>TEXT(ASTemp!F1499,Decimals)</f>
        <v/>
      </c>
      <c r="G1499" s="69" t="str">
        <f>TEXT(ASTemp!G1499,Decimals)</f>
        <v/>
      </c>
      <c r="H1499" s="69" t="str">
        <f>TEXT(ASTemp!H1499,Decimals)</f>
        <v/>
      </c>
      <c r="I1499" s="69" t="str">
        <f>TEXT(ASTemp!I1499,Decimals)</f>
        <v/>
      </c>
      <c r="J1499" s="69" t="str">
        <f>TEXT(ASTemp!J1499,Decimals)</f>
        <v/>
      </c>
      <c r="K1499" s="69" t="str">
        <f>TEXT(ASTemp!K1499,Decimals)</f>
        <v/>
      </c>
      <c r="L1499" s="69" t="str">
        <f>TEXT(ASTemp!L1499,Decimals)</f>
        <v/>
      </c>
      <c r="M1499" s="71" t="str">
        <f>TEXT(ASTemp!M1499,Percentages)</f>
        <v/>
      </c>
      <c r="N1499" s="72" t="str">
        <f>TEXT(ASTemp!N1499,Percentages)</f>
        <v/>
      </c>
    </row>
    <row r="1500" ht="14.25" customHeight="1">
      <c r="B1500" s="66" t="str">
        <f>ASTemp!B1500</f>
        <v/>
      </c>
      <c r="C1500" s="67" t="str">
        <f>ASTemp!C1500</f>
        <v/>
      </c>
      <c r="D1500" s="68" t="str">
        <f>ASTemp!D1500</f>
        <v/>
      </c>
      <c r="E1500" s="65" t="str">
        <f>ASTemp!E1500</f>
        <v/>
      </c>
      <c r="F1500" s="69" t="str">
        <f>TEXT(ASTemp!F1500,Decimals)</f>
        <v/>
      </c>
      <c r="G1500" s="69" t="str">
        <f>TEXT(ASTemp!G1500,Decimals)</f>
        <v/>
      </c>
      <c r="H1500" s="69" t="str">
        <f>TEXT(ASTemp!H1500,Decimals)</f>
        <v/>
      </c>
      <c r="I1500" s="69" t="str">
        <f>TEXT(ASTemp!I1500,Decimals)</f>
        <v/>
      </c>
      <c r="J1500" s="69" t="str">
        <f>TEXT(ASTemp!J1500,Decimals)</f>
        <v/>
      </c>
      <c r="K1500" s="69" t="str">
        <f>TEXT(ASTemp!K1500,Decimals)</f>
        <v/>
      </c>
      <c r="L1500" s="69" t="str">
        <f>TEXT(ASTemp!L1500,Decimals)</f>
        <v/>
      </c>
      <c r="M1500" s="71" t="str">
        <f>TEXT(ASTemp!M1500,Percentages)</f>
        <v/>
      </c>
      <c r="N1500" s="72" t="str">
        <f>TEXT(ASTemp!N1500,Percentages)</f>
        <v/>
      </c>
    </row>
    <row r="1501" ht="14.25" customHeight="1">
      <c r="B1501" s="66" t="str">
        <f>ASTemp!B1501</f>
        <v/>
      </c>
      <c r="C1501" s="67" t="str">
        <f>ASTemp!C1501</f>
        <v/>
      </c>
      <c r="D1501" s="68" t="str">
        <f>ASTemp!D1501</f>
        <v/>
      </c>
      <c r="E1501" s="65" t="str">
        <f>ASTemp!E1501</f>
        <v/>
      </c>
      <c r="F1501" s="69" t="str">
        <f>TEXT(ASTemp!F1501,Decimals)</f>
        <v/>
      </c>
      <c r="G1501" s="69" t="str">
        <f>TEXT(ASTemp!G1501,Decimals)</f>
        <v/>
      </c>
      <c r="H1501" s="69" t="str">
        <f>TEXT(ASTemp!H1501,Decimals)</f>
        <v/>
      </c>
      <c r="I1501" s="69" t="str">
        <f>TEXT(ASTemp!I1501,Decimals)</f>
        <v/>
      </c>
      <c r="J1501" s="69" t="str">
        <f>TEXT(ASTemp!J1501,Decimals)</f>
        <v/>
      </c>
      <c r="K1501" s="69" t="str">
        <f>TEXT(ASTemp!K1501,Decimals)</f>
        <v/>
      </c>
      <c r="L1501" s="69" t="str">
        <f>TEXT(ASTemp!L1501,Decimals)</f>
        <v/>
      </c>
      <c r="M1501" s="71" t="str">
        <f>TEXT(ASTemp!M1501,Percentages)</f>
        <v/>
      </c>
      <c r="N1501" s="72" t="str">
        <f>TEXT(ASTemp!N1501,Percentages)</f>
        <v/>
      </c>
    </row>
    <row r="1502" ht="14.25" customHeight="1">
      <c r="B1502" s="66" t="str">
        <f>ASTemp!B1502</f>
        <v/>
      </c>
      <c r="C1502" s="67" t="str">
        <f>ASTemp!C1502</f>
        <v/>
      </c>
      <c r="D1502" s="68" t="str">
        <f>ASTemp!D1502</f>
        <v/>
      </c>
      <c r="E1502" s="65" t="str">
        <f>ASTemp!E1502</f>
        <v/>
      </c>
      <c r="F1502" s="69" t="str">
        <f>TEXT(ASTemp!F1502,Decimals)</f>
        <v/>
      </c>
      <c r="G1502" s="69" t="str">
        <f>TEXT(ASTemp!G1502,Decimals)</f>
        <v/>
      </c>
      <c r="H1502" s="69" t="str">
        <f>TEXT(ASTemp!H1502,Decimals)</f>
        <v/>
      </c>
      <c r="I1502" s="69" t="str">
        <f>TEXT(ASTemp!I1502,Decimals)</f>
        <v/>
      </c>
      <c r="J1502" s="69" t="str">
        <f>TEXT(ASTemp!J1502,Decimals)</f>
        <v/>
      </c>
      <c r="K1502" s="69" t="str">
        <f>TEXT(ASTemp!K1502,Decimals)</f>
        <v/>
      </c>
      <c r="L1502" s="69" t="str">
        <f>TEXT(ASTemp!L1502,Decimals)</f>
        <v/>
      </c>
      <c r="M1502" s="71" t="str">
        <f>TEXT(ASTemp!M1502,Percentages)</f>
        <v/>
      </c>
      <c r="N1502" s="72" t="str">
        <f>TEXT(ASTemp!N1502,Percentages)</f>
        <v/>
      </c>
    </row>
    <row r="1503" ht="14.25" customHeight="1">
      <c r="B1503" s="66" t="str">
        <f>ASTemp!B1503</f>
        <v/>
      </c>
      <c r="C1503" s="67" t="str">
        <f>ASTemp!C1503</f>
        <v/>
      </c>
      <c r="D1503" s="68" t="str">
        <f>ASTemp!D1503</f>
        <v/>
      </c>
      <c r="E1503" s="65" t="str">
        <f>ASTemp!E1503</f>
        <v/>
      </c>
      <c r="F1503" s="69" t="str">
        <f>TEXT(ASTemp!F1503,Decimals)</f>
        <v/>
      </c>
      <c r="G1503" s="69" t="str">
        <f>TEXT(ASTemp!G1503,Decimals)</f>
        <v/>
      </c>
      <c r="H1503" s="69" t="str">
        <f>TEXT(ASTemp!H1503,Decimals)</f>
        <v/>
      </c>
      <c r="I1503" s="69" t="str">
        <f>TEXT(ASTemp!I1503,Decimals)</f>
        <v/>
      </c>
      <c r="J1503" s="69" t="str">
        <f>TEXT(ASTemp!J1503,Decimals)</f>
        <v/>
      </c>
      <c r="K1503" s="69" t="str">
        <f>TEXT(ASTemp!K1503,Decimals)</f>
        <v/>
      </c>
      <c r="L1503" s="69" t="str">
        <f>TEXT(ASTemp!L1503,Decimals)</f>
        <v/>
      </c>
      <c r="M1503" s="71" t="str">
        <f>TEXT(ASTemp!M1503,Percentages)</f>
        <v/>
      </c>
      <c r="N1503" s="72" t="str">
        <f>TEXT(ASTemp!N1503,Percentages)</f>
        <v/>
      </c>
    </row>
    <row r="1504" ht="14.25" customHeight="1">
      <c r="B1504" s="66" t="str">
        <f>ASTemp!B1504</f>
        <v/>
      </c>
      <c r="C1504" s="67" t="str">
        <f>ASTemp!C1504</f>
        <v/>
      </c>
      <c r="D1504" s="68" t="str">
        <f>ASTemp!D1504</f>
        <v/>
      </c>
      <c r="E1504" s="65" t="str">
        <f>ASTemp!E1504</f>
        <v/>
      </c>
      <c r="F1504" s="69" t="str">
        <f>TEXT(ASTemp!F1504,Decimals)</f>
        <v/>
      </c>
      <c r="G1504" s="69" t="str">
        <f>TEXT(ASTemp!G1504,Decimals)</f>
        <v/>
      </c>
      <c r="H1504" s="69" t="str">
        <f>TEXT(ASTemp!H1504,Decimals)</f>
        <v/>
      </c>
      <c r="I1504" s="69" t="str">
        <f>TEXT(ASTemp!I1504,Decimals)</f>
        <v/>
      </c>
      <c r="J1504" s="69" t="str">
        <f>TEXT(ASTemp!J1504,Decimals)</f>
        <v/>
      </c>
      <c r="K1504" s="69" t="str">
        <f>TEXT(ASTemp!K1504,Decimals)</f>
        <v/>
      </c>
      <c r="L1504" s="69" t="str">
        <f>TEXT(ASTemp!L1504,Decimals)</f>
        <v/>
      </c>
      <c r="M1504" s="71" t="str">
        <f>TEXT(ASTemp!M1504,Percentages)</f>
        <v/>
      </c>
      <c r="N1504" s="72" t="str">
        <f>TEXT(ASTemp!N1504,Percentages)</f>
        <v/>
      </c>
    </row>
    <row r="1505" ht="14.25" customHeight="1">
      <c r="B1505" s="66" t="str">
        <f>ASTemp!B1505</f>
        <v/>
      </c>
      <c r="C1505" s="67" t="str">
        <f>ASTemp!C1505</f>
        <v/>
      </c>
      <c r="D1505" s="68" t="str">
        <f>ASTemp!D1505</f>
        <v/>
      </c>
      <c r="E1505" s="65" t="str">
        <f>ASTemp!E1505</f>
        <v/>
      </c>
      <c r="F1505" s="69" t="str">
        <f>TEXT(ASTemp!F1505,Decimals)</f>
        <v/>
      </c>
      <c r="G1505" s="69" t="str">
        <f>TEXT(ASTemp!G1505,Decimals)</f>
        <v/>
      </c>
      <c r="H1505" s="69" t="str">
        <f>TEXT(ASTemp!H1505,Decimals)</f>
        <v/>
      </c>
      <c r="I1505" s="69" t="str">
        <f>TEXT(ASTemp!I1505,Decimals)</f>
        <v/>
      </c>
      <c r="J1505" s="69" t="str">
        <f>TEXT(ASTemp!J1505,Decimals)</f>
        <v/>
      </c>
      <c r="K1505" s="69" t="str">
        <f>TEXT(ASTemp!K1505,Decimals)</f>
        <v/>
      </c>
      <c r="L1505" s="69" t="str">
        <f>TEXT(ASTemp!L1505,Decimals)</f>
        <v/>
      </c>
      <c r="M1505" s="71" t="str">
        <f>TEXT(ASTemp!M1505,Percentages)</f>
        <v/>
      </c>
      <c r="N1505" s="72" t="str">
        <f>TEXT(ASTemp!N1505,Percentages)</f>
        <v/>
      </c>
    </row>
    <row r="1506" ht="14.25" customHeight="1">
      <c r="B1506" s="66" t="str">
        <f>ASTemp!B1506</f>
        <v/>
      </c>
      <c r="C1506" s="67" t="str">
        <f>ASTemp!C1506</f>
        <v/>
      </c>
      <c r="D1506" s="68" t="str">
        <f>ASTemp!D1506</f>
        <v/>
      </c>
      <c r="E1506" s="65" t="str">
        <f>ASTemp!E1506</f>
        <v/>
      </c>
      <c r="F1506" s="69" t="str">
        <f>TEXT(ASTemp!F1506,Decimals)</f>
        <v/>
      </c>
      <c r="G1506" s="69" t="str">
        <f>TEXT(ASTemp!G1506,Decimals)</f>
        <v/>
      </c>
      <c r="H1506" s="69" t="str">
        <f>TEXT(ASTemp!H1506,Decimals)</f>
        <v/>
      </c>
      <c r="I1506" s="69" t="str">
        <f>TEXT(ASTemp!I1506,Decimals)</f>
        <v/>
      </c>
      <c r="J1506" s="69" t="str">
        <f>TEXT(ASTemp!J1506,Decimals)</f>
        <v/>
      </c>
      <c r="K1506" s="69" t="str">
        <f>TEXT(ASTemp!K1506,Decimals)</f>
        <v/>
      </c>
      <c r="L1506" s="69" t="str">
        <f>TEXT(ASTemp!L1506,Decimals)</f>
        <v/>
      </c>
      <c r="M1506" s="71" t="str">
        <f>TEXT(ASTemp!M1506,Percentages)</f>
        <v/>
      </c>
      <c r="N1506" s="72" t="str">
        <f>TEXT(ASTemp!N1506,Percentages)</f>
        <v/>
      </c>
    </row>
    <row r="1507" ht="14.25" customHeight="1">
      <c r="B1507" s="66" t="str">
        <f>ASTemp!B1507</f>
        <v/>
      </c>
      <c r="C1507" s="67" t="str">
        <f>ASTemp!C1507</f>
        <v/>
      </c>
      <c r="D1507" s="68" t="str">
        <f>ASTemp!D1507</f>
        <v/>
      </c>
      <c r="E1507" s="65" t="str">
        <f>ASTemp!E1507</f>
        <v/>
      </c>
      <c r="F1507" s="69" t="str">
        <f>TEXT(ASTemp!F1507,Decimals)</f>
        <v/>
      </c>
      <c r="G1507" s="69" t="str">
        <f>TEXT(ASTemp!G1507,Decimals)</f>
        <v/>
      </c>
      <c r="H1507" s="69" t="str">
        <f>TEXT(ASTemp!H1507,Decimals)</f>
        <v/>
      </c>
      <c r="I1507" s="69" t="str">
        <f>TEXT(ASTemp!I1507,Decimals)</f>
        <v/>
      </c>
      <c r="J1507" s="69" t="str">
        <f>TEXT(ASTemp!J1507,Decimals)</f>
        <v/>
      </c>
      <c r="K1507" s="69" t="str">
        <f>TEXT(ASTemp!K1507,Decimals)</f>
        <v/>
      </c>
      <c r="L1507" s="69" t="str">
        <f>TEXT(ASTemp!L1507,Decimals)</f>
        <v/>
      </c>
      <c r="M1507" s="71" t="str">
        <f>TEXT(ASTemp!M1507,Percentages)</f>
        <v/>
      </c>
      <c r="N1507" s="72" t="str">
        <f>TEXT(ASTemp!N1507,Percentages)</f>
        <v/>
      </c>
    </row>
    <row r="1508" ht="14.25" customHeight="1">
      <c r="B1508" s="66" t="str">
        <f>ASTemp!B1508</f>
        <v/>
      </c>
      <c r="C1508" s="67" t="str">
        <f>ASTemp!C1508</f>
        <v/>
      </c>
      <c r="D1508" s="68" t="str">
        <f>ASTemp!D1508</f>
        <v/>
      </c>
      <c r="E1508" s="65" t="str">
        <f>ASTemp!E1508</f>
        <v/>
      </c>
      <c r="F1508" s="69" t="str">
        <f>TEXT(ASTemp!F1508,Decimals)</f>
        <v/>
      </c>
      <c r="G1508" s="69" t="str">
        <f>TEXT(ASTemp!G1508,Decimals)</f>
        <v/>
      </c>
      <c r="H1508" s="69" t="str">
        <f>TEXT(ASTemp!H1508,Decimals)</f>
        <v/>
      </c>
      <c r="I1508" s="69" t="str">
        <f>TEXT(ASTemp!I1508,Decimals)</f>
        <v/>
      </c>
      <c r="J1508" s="69" t="str">
        <f>TEXT(ASTemp!J1508,Decimals)</f>
        <v/>
      </c>
      <c r="K1508" s="69" t="str">
        <f>TEXT(ASTemp!K1508,Decimals)</f>
        <v/>
      </c>
      <c r="L1508" s="69" t="str">
        <f>TEXT(ASTemp!L1508,Decimals)</f>
        <v/>
      </c>
      <c r="M1508" s="71" t="str">
        <f>TEXT(ASTemp!M1508,Percentages)</f>
        <v/>
      </c>
      <c r="N1508" s="72" t="str">
        <f>TEXT(ASTemp!N1508,Percentages)</f>
        <v/>
      </c>
    </row>
    <row r="1509" ht="14.25" customHeight="1">
      <c r="B1509" s="66" t="str">
        <f>ASTemp!B1509</f>
        <v/>
      </c>
      <c r="C1509" s="67" t="str">
        <f>ASTemp!C1509</f>
        <v/>
      </c>
      <c r="D1509" s="68" t="str">
        <f>ASTemp!D1509</f>
        <v/>
      </c>
      <c r="E1509" s="65" t="str">
        <f>ASTemp!E1509</f>
        <v/>
      </c>
      <c r="F1509" s="69" t="str">
        <f>TEXT(ASTemp!F1509,Decimals)</f>
        <v/>
      </c>
      <c r="G1509" s="69" t="str">
        <f>TEXT(ASTemp!G1509,Decimals)</f>
        <v/>
      </c>
      <c r="H1509" s="69" t="str">
        <f>TEXT(ASTemp!H1509,Decimals)</f>
        <v/>
      </c>
      <c r="I1509" s="69" t="str">
        <f>TEXT(ASTemp!I1509,Decimals)</f>
        <v/>
      </c>
      <c r="J1509" s="69" t="str">
        <f>TEXT(ASTemp!J1509,Decimals)</f>
        <v/>
      </c>
      <c r="K1509" s="69" t="str">
        <f>TEXT(ASTemp!K1509,Decimals)</f>
        <v/>
      </c>
      <c r="L1509" s="69" t="str">
        <f>TEXT(ASTemp!L1509,Decimals)</f>
        <v/>
      </c>
      <c r="M1509" s="71" t="str">
        <f>TEXT(ASTemp!M1509,Percentages)</f>
        <v/>
      </c>
      <c r="N1509" s="72" t="str">
        <f>TEXT(ASTemp!N1509,Percentages)</f>
        <v/>
      </c>
    </row>
    <row r="1510" ht="14.25" customHeight="1">
      <c r="B1510" s="66" t="str">
        <f>ASTemp!B1510</f>
        <v/>
      </c>
      <c r="C1510" s="67" t="str">
        <f>ASTemp!C1510</f>
        <v/>
      </c>
      <c r="D1510" s="68" t="str">
        <f>ASTemp!D1510</f>
        <v/>
      </c>
      <c r="E1510" s="65" t="str">
        <f>ASTemp!E1510</f>
        <v/>
      </c>
      <c r="F1510" s="69" t="str">
        <f>TEXT(ASTemp!F1510,Decimals)</f>
        <v/>
      </c>
      <c r="G1510" s="69" t="str">
        <f>TEXT(ASTemp!G1510,Decimals)</f>
        <v/>
      </c>
      <c r="H1510" s="69" t="str">
        <f>TEXT(ASTemp!H1510,Decimals)</f>
        <v/>
      </c>
      <c r="I1510" s="69" t="str">
        <f>TEXT(ASTemp!I1510,Decimals)</f>
        <v/>
      </c>
      <c r="J1510" s="69" t="str">
        <f>TEXT(ASTemp!J1510,Decimals)</f>
        <v/>
      </c>
      <c r="K1510" s="69" t="str">
        <f>TEXT(ASTemp!K1510,Decimals)</f>
        <v/>
      </c>
      <c r="L1510" s="69" t="str">
        <f>TEXT(ASTemp!L1510,Decimals)</f>
        <v/>
      </c>
      <c r="M1510" s="71" t="str">
        <f>TEXT(ASTemp!M1510,Percentages)</f>
        <v/>
      </c>
      <c r="N1510" s="72" t="str">
        <f>TEXT(ASTemp!N1510,Percentages)</f>
        <v/>
      </c>
    </row>
    <row r="1511" ht="14.25" customHeight="1">
      <c r="B1511" s="66" t="str">
        <f>ASTemp!B1511</f>
        <v/>
      </c>
      <c r="C1511" s="67" t="str">
        <f>ASTemp!C1511</f>
        <v/>
      </c>
      <c r="D1511" s="68" t="str">
        <f>ASTemp!D1511</f>
        <v/>
      </c>
      <c r="E1511" s="65" t="str">
        <f>ASTemp!E1511</f>
        <v/>
      </c>
      <c r="F1511" s="69" t="str">
        <f>TEXT(ASTemp!F1511,Decimals)</f>
        <v/>
      </c>
      <c r="G1511" s="69" t="str">
        <f>TEXT(ASTemp!G1511,Decimals)</f>
        <v/>
      </c>
      <c r="H1511" s="69" t="str">
        <f>TEXT(ASTemp!H1511,Decimals)</f>
        <v/>
      </c>
      <c r="I1511" s="69" t="str">
        <f>TEXT(ASTemp!I1511,Decimals)</f>
        <v/>
      </c>
      <c r="J1511" s="69" t="str">
        <f>TEXT(ASTemp!J1511,Decimals)</f>
        <v/>
      </c>
      <c r="K1511" s="69" t="str">
        <f>TEXT(ASTemp!K1511,Decimals)</f>
        <v/>
      </c>
      <c r="L1511" s="69" t="str">
        <f>TEXT(ASTemp!L1511,Decimals)</f>
        <v/>
      </c>
      <c r="M1511" s="71" t="str">
        <f>TEXT(ASTemp!M1511,Percentages)</f>
        <v/>
      </c>
      <c r="N1511" s="72" t="str">
        <f>TEXT(ASTemp!N1511,Percentages)</f>
        <v/>
      </c>
    </row>
    <row r="1512" ht="14.25" customHeight="1">
      <c r="B1512" s="66" t="str">
        <f>ASTemp!B1512</f>
        <v/>
      </c>
      <c r="C1512" s="67" t="str">
        <f>ASTemp!C1512</f>
        <v/>
      </c>
      <c r="D1512" s="68" t="str">
        <f>ASTemp!D1512</f>
        <v/>
      </c>
      <c r="E1512" s="65" t="str">
        <f>ASTemp!E1512</f>
        <v/>
      </c>
      <c r="F1512" s="69" t="str">
        <f>TEXT(ASTemp!F1512,Decimals)</f>
        <v/>
      </c>
      <c r="G1512" s="69" t="str">
        <f>TEXT(ASTemp!G1512,Decimals)</f>
        <v/>
      </c>
      <c r="H1512" s="69" t="str">
        <f>TEXT(ASTemp!H1512,Decimals)</f>
        <v/>
      </c>
      <c r="I1512" s="69" t="str">
        <f>TEXT(ASTemp!I1512,Decimals)</f>
        <v/>
      </c>
      <c r="J1512" s="69" t="str">
        <f>TEXT(ASTemp!J1512,Decimals)</f>
        <v/>
      </c>
      <c r="K1512" s="69" t="str">
        <f>TEXT(ASTemp!K1512,Decimals)</f>
        <v/>
      </c>
      <c r="L1512" s="69" t="str">
        <f>TEXT(ASTemp!L1512,Decimals)</f>
        <v/>
      </c>
      <c r="M1512" s="71" t="str">
        <f>TEXT(ASTemp!M1512,Percentages)</f>
        <v/>
      </c>
      <c r="N1512" s="72" t="str">
        <f>TEXT(ASTemp!N1512,Percentages)</f>
        <v/>
      </c>
    </row>
    <row r="1513" ht="14.25" customHeight="1">
      <c r="B1513" s="66" t="str">
        <f>ASTemp!B1513</f>
        <v/>
      </c>
      <c r="C1513" s="67" t="str">
        <f>ASTemp!C1513</f>
        <v/>
      </c>
      <c r="D1513" s="68" t="str">
        <f>ASTemp!D1513</f>
        <v/>
      </c>
      <c r="E1513" s="65" t="str">
        <f>ASTemp!E1513</f>
        <v/>
      </c>
      <c r="F1513" s="69" t="str">
        <f>TEXT(ASTemp!F1513,Decimals)</f>
        <v/>
      </c>
      <c r="G1513" s="69" t="str">
        <f>TEXT(ASTemp!G1513,Decimals)</f>
        <v/>
      </c>
      <c r="H1513" s="69" t="str">
        <f>TEXT(ASTemp!H1513,Decimals)</f>
        <v/>
      </c>
      <c r="I1513" s="69" t="str">
        <f>TEXT(ASTemp!I1513,Decimals)</f>
        <v/>
      </c>
      <c r="J1513" s="69" t="str">
        <f>TEXT(ASTemp!J1513,Decimals)</f>
        <v/>
      </c>
      <c r="K1513" s="69" t="str">
        <f>TEXT(ASTemp!K1513,Decimals)</f>
        <v/>
      </c>
      <c r="L1513" s="69" t="str">
        <f>TEXT(ASTemp!L1513,Decimals)</f>
        <v/>
      </c>
      <c r="M1513" s="71" t="str">
        <f>TEXT(ASTemp!M1513,Percentages)</f>
        <v/>
      </c>
      <c r="N1513" s="72" t="str">
        <f>TEXT(ASTemp!N1513,Percentages)</f>
        <v/>
      </c>
    </row>
    <row r="1514" ht="14.25" customHeight="1">
      <c r="B1514" s="66" t="str">
        <f>ASTemp!B1514</f>
        <v/>
      </c>
      <c r="C1514" s="67" t="str">
        <f>ASTemp!C1514</f>
        <v/>
      </c>
      <c r="D1514" s="68" t="str">
        <f>ASTemp!D1514</f>
        <v/>
      </c>
      <c r="E1514" s="65" t="str">
        <f>ASTemp!E1514</f>
        <v/>
      </c>
      <c r="F1514" s="69" t="str">
        <f>TEXT(ASTemp!F1514,Decimals)</f>
        <v/>
      </c>
      <c r="G1514" s="69" t="str">
        <f>TEXT(ASTemp!G1514,Decimals)</f>
        <v/>
      </c>
      <c r="H1514" s="69" t="str">
        <f>TEXT(ASTemp!H1514,Decimals)</f>
        <v/>
      </c>
      <c r="I1514" s="69" t="str">
        <f>TEXT(ASTemp!I1514,Decimals)</f>
        <v/>
      </c>
      <c r="J1514" s="69" t="str">
        <f>TEXT(ASTemp!J1514,Decimals)</f>
        <v/>
      </c>
      <c r="K1514" s="69" t="str">
        <f>TEXT(ASTemp!K1514,Decimals)</f>
        <v/>
      </c>
      <c r="L1514" s="69" t="str">
        <f>TEXT(ASTemp!L1514,Decimals)</f>
        <v/>
      </c>
      <c r="M1514" s="71" t="str">
        <f>TEXT(ASTemp!M1514,Percentages)</f>
        <v/>
      </c>
      <c r="N1514" s="72" t="str">
        <f>TEXT(ASTemp!N1514,Percentages)</f>
        <v/>
      </c>
    </row>
    <row r="1515" ht="14.25" customHeight="1">
      <c r="B1515" s="66" t="str">
        <f>ASTemp!B1515</f>
        <v/>
      </c>
      <c r="C1515" s="67" t="str">
        <f>ASTemp!C1515</f>
        <v/>
      </c>
      <c r="D1515" s="68" t="str">
        <f>ASTemp!D1515</f>
        <v/>
      </c>
      <c r="E1515" s="65" t="str">
        <f>ASTemp!E1515</f>
        <v/>
      </c>
      <c r="F1515" s="69" t="str">
        <f>TEXT(ASTemp!F1515,Decimals)</f>
        <v/>
      </c>
      <c r="G1515" s="69" t="str">
        <f>TEXT(ASTemp!G1515,Decimals)</f>
        <v/>
      </c>
      <c r="H1515" s="69" t="str">
        <f>TEXT(ASTemp!H1515,Decimals)</f>
        <v/>
      </c>
      <c r="I1515" s="69" t="str">
        <f>TEXT(ASTemp!I1515,Decimals)</f>
        <v/>
      </c>
      <c r="J1515" s="69" t="str">
        <f>TEXT(ASTemp!J1515,Decimals)</f>
        <v/>
      </c>
      <c r="K1515" s="69" t="str">
        <f>TEXT(ASTemp!K1515,Decimals)</f>
        <v/>
      </c>
      <c r="L1515" s="69" t="str">
        <f>TEXT(ASTemp!L1515,Decimals)</f>
        <v/>
      </c>
      <c r="M1515" s="71" t="str">
        <f>TEXT(ASTemp!M1515,Percentages)</f>
        <v/>
      </c>
      <c r="N1515" s="72" t="str">
        <f>TEXT(ASTemp!N1515,Percentages)</f>
        <v/>
      </c>
    </row>
    <row r="1516" ht="14.25" customHeight="1">
      <c r="B1516" s="66" t="str">
        <f>ASTemp!B1516</f>
        <v/>
      </c>
      <c r="C1516" s="67" t="str">
        <f>ASTemp!C1516</f>
        <v/>
      </c>
      <c r="D1516" s="68" t="str">
        <f>ASTemp!D1516</f>
        <v/>
      </c>
      <c r="E1516" s="65" t="str">
        <f>ASTemp!E1516</f>
        <v/>
      </c>
      <c r="F1516" s="69" t="str">
        <f>TEXT(ASTemp!F1516,Decimals)</f>
        <v/>
      </c>
      <c r="G1516" s="69" t="str">
        <f>TEXT(ASTemp!G1516,Decimals)</f>
        <v/>
      </c>
      <c r="H1516" s="69" t="str">
        <f>TEXT(ASTemp!H1516,Decimals)</f>
        <v/>
      </c>
      <c r="I1516" s="69" t="str">
        <f>TEXT(ASTemp!I1516,Decimals)</f>
        <v/>
      </c>
      <c r="J1516" s="69" t="str">
        <f>TEXT(ASTemp!J1516,Decimals)</f>
        <v/>
      </c>
      <c r="K1516" s="69" t="str">
        <f>TEXT(ASTemp!K1516,Decimals)</f>
        <v/>
      </c>
      <c r="L1516" s="69" t="str">
        <f>TEXT(ASTemp!L1516,Decimals)</f>
        <v/>
      </c>
      <c r="M1516" s="71" t="str">
        <f>TEXT(ASTemp!M1516,Percentages)</f>
        <v/>
      </c>
      <c r="N1516" s="72" t="str">
        <f>TEXT(ASTemp!N1516,Percentages)</f>
        <v/>
      </c>
    </row>
    <row r="1517" ht="14.25" customHeight="1">
      <c r="B1517" s="66" t="str">
        <f>ASTemp!B1517</f>
        <v/>
      </c>
      <c r="C1517" s="67" t="str">
        <f>ASTemp!C1517</f>
        <v/>
      </c>
      <c r="D1517" s="68" t="str">
        <f>ASTemp!D1517</f>
        <v/>
      </c>
      <c r="E1517" s="65" t="str">
        <f>ASTemp!E1517</f>
        <v/>
      </c>
      <c r="F1517" s="69" t="str">
        <f>TEXT(ASTemp!F1517,Decimals)</f>
        <v/>
      </c>
      <c r="G1517" s="69" t="str">
        <f>TEXT(ASTemp!G1517,Decimals)</f>
        <v/>
      </c>
      <c r="H1517" s="69" t="str">
        <f>TEXT(ASTemp!H1517,Decimals)</f>
        <v/>
      </c>
      <c r="I1517" s="69" t="str">
        <f>TEXT(ASTemp!I1517,Decimals)</f>
        <v/>
      </c>
      <c r="J1517" s="69" t="str">
        <f>TEXT(ASTemp!J1517,Decimals)</f>
        <v/>
      </c>
      <c r="K1517" s="69" t="str">
        <f>TEXT(ASTemp!K1517,Decimals)</f>
        <v/>
      </c>
      <c r="L1517" s="69" t="str">
        <f>TEXT(ASTemp!L1517,Decimals)</f>
        <v/>
      </c>
      <c r="M1517" s="71" t="str">
        <f>TEXT(ASTemp!M1517,Percentages)</f>
        <v/>
      </c>
      <c r="N1517" s="72" t="str">
        <f>TEXT(ASTemp!N1517,Percentages)</f>
        <v/>
      </c>
    </row>
    <row r="1518" ht="14.25" customHeight="1">
      <c r="B1518" s="66" t="str">
        <f>ASTemp!B1518</f>
        <v/>
      </c>
      <c r="C1518" s="67" t="str">
        <f>ASTemp!C1518</f>
        <v/>
      </c>
      <c r="D1518" s="68" t="str">
        <f>ASTemp!D1518</f>
        <v/>
      </c>
      <c r="E1518" s="65" t="str">
        <f>ASTemp!E1518</f>
        <v/>
      </c>
      <c r="F1518" s="69" t="str">
        <f>TEXT(ASTemp!F1518,Decimals)</f>
        <v/>
      </c>
      <c r="G1518" s="69" t="str">
        <f>TEXT(ASTemp!G1518,Decimals)</f>
        <v/>
      </c>
      <c r="H1518" s="69" t="str">
        <f>TEXT(ASTemp!H1518,Decimals)</f>
        <v/>
      </c>
      <c r="I1518" s="69" t="str">
        <f>TEXT(ASTemp!I1518,Decimals)</f>
        <v/>
      </c>
      <c r="J1518" s="69" t="str">
        <f>TEXT(ASTemp!J1518,Decimals)</f>
        <v/>
      </c>
      <c r="K1518" s="69" t="str">
        <f>TEXT(ASTemp!K1518,Decimals)</f>
        <v/>
      </c>
      <c r="L1518" s="69" t="str">
        <f>TEXT(ASTemp!L1518,Decimals)</f>
        <v/>
      </c>
      <c r="M1518" s="71" t="str">
        <f>TEXT(ASTemp!M1518,Percentages)</f>
        <v/>
      </c>
      <c r="N1518" s="72" t="str">
        <f>TEXT(ASTemp!N1518,Percentages)</f>
        <v/>
      </c>
    </row>
    <row r="1519" ht="14.25" customHeight="1">
      <c r="B1519" s="66" t="str">
        <f>ASTemp!B1519</f>
        <v/>
      </c>
      <c r="C1519" s="67" t="str">
        <f>ASTemp!C1519</f>
        <v/>
      </c>
      <c r="D1519" s="68" t="str">
        <f>ASTemp!D1519</f>
        <v/>
      </c>
      <c r="E1519" s="65" t="str">
        <f>ASTemp!E1519</f>
        <v/>
      </c>
      <c r="F1519" s="69" t="str">
        <f>TEXT(ASTemp!F1519,Decimals)</f>
        <v/>
      </c>
      <c r="G1519" s="69" t="str">
        <f>TEXT(ASTemp!G1519,Decimals)</f>
        <v/>
      </c>
      <c r="H1519" s="69" t="str">
        <f>TEXT(ASTemp!H1519,Decimals)</f>
        <v/>
      </c>
      <c r="I1519" s="69" t="str">
        <f>TEXT(ASTemp!I1519,Decimals)</f>
        <v/>
      </c>
      <c r="J1519" s="69" t="str">
        <f>TEXT(ASTemp!J1519,Decimals)</f>
        <v/>
      </c>
      <c r="K1519" s="69" t="str">
        <f>TEXT(ASTemp!K1519,Decimals)</f>
        <v/>
      </c>
      <c r="L1519" s="69" t="str">
        <f>TEXT(ASTemp!L1519,Decimals)</f>
        <v/>
      </c>
      <c r="M1519" s="71" t="str">
        <f>TEXT(ASTemp!M1519,Percentages)</f>
        <v/>
      </c>
      <c r="N1519" s="72" t="str">
        <f>TEXT(ASTemp!N1519,Percentages)</f>
        <v/>
      </c>
    </row>
    <row r="1520" ht="14.25" customHeight="1">
      <c r="B1520" s="66" t="str">
        <f>ASTemp!B1520</f>
        <v/>
      </c>
      <c r="C1520" s="67" t="str">
        <f>ASTemp!C1520</f>
        <v/>
      </c>
      <c r="D1520" s="68" t="str">
        <f>ASTemp!D1520</f>
        <v/>
      </c>
      <c r="E1520" s="65" t="str">
        <f>ASTemp!E1520</f>
        <v/>
      </c>
      <c r="F1520" s="69" t="str">
        <f>TEXT(ASTemp!F1520,Decimals)</f>
        <v/>
      </c>
      <c r="G1520" s="69" t="str">
        <f>TEXT(ASTemp!G1520,Decimals)</f>
        <v/>
      </c>
      <c r="H1520" s="69" t="str">
        <f>TEXT(ASTemp!H1520,Decimals)</f>
        <v/>
      </c>
      <c r="I1520" s="69" t="str">
        <f>TEXT(ASTemp!I1520,Decimals)</f>
        <v/>
      </c>
      <c r="J1520" s="69" t="str">
        <f>TEXT(ASTemp!J1520,Decimals)</f>
        <v/>
      </c>
      <c r="K1520" s="69" t="str">
        <f>TEXT(ASTemp!K1520,Decimals)</f>
        <v/>
      </c>
      <c r="L1520" s="69" t="str">
        <f>TEXT(ASTemp!L1520,Decimals)</f>
        <v/>
      </c>
      <c r="M1520" s="71" t="str">
        <f>TEXT(ASTemp!M1520,Percentages)</f>
        <v/>
      </c>
      <c r="N1520" s="72" t="str">
        <f>TEXT(ASTemp!N1520,Percentages)</f>
        <v/>
      </c>
    </row>
    <row r="1521" ht="14.25" customHeight="1">
      <c r="B1521" s="66" t="str">
        <f>ASTemp!B1521</f>
        <v/>
      </c>
      <c r="C1521" s="67" t="str">
        <f>ASTemp!C1521</f>
        <v/>
      </c>
      <c r="D1521" s="68" t="str">
        <f>ASTemp!D1521</f>
        <v/>
      </c>
      <c r="E1521" s="65" t="str">
        <f>ASTemp!E1521</f>
        <v/>
      </c>
      <c r="F1521" s="69" t="str">
        <f>TEXT(ASTemp!F1521,Decimals)</f>
        <v/>
      </c>
      <c r="G1521" s="69" t="str">
        <f>TEXT(ASTemp!G1521,Decimals)</f>
        <v/>
      </c>
      <c r="H1521" s="69" t="str">
        <f>TEXT(ASTemp!H1521,Decimals)</f>
        <v/>
      </c>
      <c r="I1521" s="69" t="str">
        <f>TEXT(ASTemp!I1521,Decimals)</f>
        <v/>
      </c>
      <c r="J1521" s="69" t="str">
        <f>TEXT(ASTemp!J1521,Decimals)</f>
        <v/>
      </c>
      <c r="K1521" s="69" t="str">
        <f>TEXT(ASTemp!K1521,Decimals)</f>
        <v/>
      </c>
      <c r="L1521" s="69" t="str">
        <f>TEXT(ASTemp!L1521,Decimals)</f>
        <v/>
      </c>
      <c r="M1521" s="71" t="str">
        <f>TEXT(ASTemp!M1521,Percentages)</f>
        <v/>
      </c>
      <c r="N1521" s="72" t="str">
        <f>TEXT(ASTemp!N1521,Percentages)</f>
        <v/>
      </c>
    </row>
    <row r="1522" ht="14.25" customHeight="1">
      <c r="B1522" s="66" t="str">
        <f>ASTemp!B1522</f>
        <v/>
      </c>
      <c r="C1522" s="67" t="str">
        <f>ASTemp!C1522</f>
        <v/>
      </c>
      <c r="D1522" s="68" t="str">
        <f>ASTemp!D1522</f>
        <v/>
      </c>
      <c r="E1522" s="65" t="str">
        <f>ASTemp!E1522</f>
        <v/>
      </c>
      <c r="F1522" s="69" t="str">
        <f>TEXT(ASTemp!F1522,Decimals)</f>
        <v/>
      </c>
      <c r="G1522" s="69" t="str">
        <f>TEXT(ASTemp!G1522,Decimals)</f>
        <v/>
      </c>
      <c r="H1522" s="69" t="str">
        <f>TEXT(ASTemp!H1522,Decimals)</f>
        <v/>
      </c>
      <c r="I1522" s="69" t="str">
        <f>TEXT(ASTemp!I1522,Decimals)</f>
        <v/>
      </c>
      <c r="J1522" s="69" t="str">
        <f>TEXT(ASTemp!J1522,Decimals)</f>
        <v/>
      </c>
      <c r="K1522" s="69" t="str">
        <f>TEXT(ASTemp!K1522,Decimals)</f>
        <v/>
      </c>
      <c r="L1522" s="69" t="str">
        <f>TEXT(ASTemp!L1522,Decimals)</f>
        <v/>
      </c>
      <c r="M1522" s="71" t="str">
        <f>TEXT(ASTemp!M1522,Percentages)</f>
        <v/>
      </c>
      <c r="N1522" s="72" t="str">
        <f>TEXT(ASTemp!N1522,Percentages)</f>
        <v/>
      </c>
    </row>
    <row r="1523" ht="14.25" customHeight="1">
      <c r="B1523" s="66" t="str">
        <f>ASTemp!B1523</f>
        <v/>
      </c>
      <c r="C1523" s="67" t="str">
        <f>ASTemp!C1523</f>
        <v/>
      </c>
      <c r="D1523" s="68" t="str">
        <f>ASTemp!D1523</f>
        <v/>
      </c>
      <c r="E1523" s="65" t="str">
        <f>ASTemp!E1523</f>
        <v/>
      </c>
      <c r="F1523" s="69" t="str">
        <f>TEXT(ASTemp!F1523,Decimals)</f>
        <v/>
      </c>
      <c r="G1523" s="69" t="str">
        <f>TEXT(ASTemp!G1523,Decimals)</f>
        <v/>
      </c>
      <c r="H1523" s="69" t="str">
        <f>TEXT(ASTemp!H1523,Decimals)</f>
        <v/>
      </c>
      <c r="I1523" s="69" t="str">
        <f>TEXT(ASTemp!I1523,Decimals)</f>
        <v/>
      </c>
      <c r="J1523" s="69" t="str">
        <f>TEXT(ASTemp!J1523,Decimals)</f>
        <v/>
      </c>
      <c r="K1523" s="69" t="str">
        <f>TEXT(ASTemp!K1523,Decimals)</f>
        <v/>
      </c>
      <c r="L1523" s="69" t="str">
        <f>TEXT(ASTemp!L1523,Decimals)</f>
        <v/>
      </c>
      <c r="M1523" s="71" t="str">
        <f>TEXT(ASTemp!M1523,Percentages)</f>
        <v/>
      </c>
      <c r="N1523" s="72" t="str">
        <f>TEXT(ASTemp!N1523,Percentages)</f>
        <v/>
      </c>
    </row>
    <row r="1524" ht="14.25" customHeight="1">
      <c r="B1524" s="66" t="str">
        <f>ASTemp!B1524</f>
        <v/>
      </c>
      <c r="C1524" s="67" t="str">
        <f>ASTemp!C1524</f>
        <v/>
      </c>
      <c r="D1524" s="68" t="str">
        <f>ASTemp!D1524</f>
        <v/>
      </c>
      <c r="E1524" s="65" t="str">
        <f>ASTemp!E1524</f>
        <v/>
      </c>
      <c r="F1524" s="69" t="str">
        <f>TEXT(ASTemp!F1524,Decimals)</f>
        <v/>
      </c>
      <c r="G1524" s="69" t="str">
        <f>TEXT(ASTemp!G1524,Decimals)</f>
        <v/>
      </c>
      <c r="H1524" s="69" t="str">
        <f>TEXT(ASTemp!H1524,Decimals)</f>
        <v/>
      </c>
      <c r="I1524" s="69" t="str">
        <f>TEXT(ASTemp!I1524,Decimals)</f>
        <v/>
      </c>
      <c r="J1524" s="69" t="str">
        <f>TEXT(ASTemp!J1524,Decimals)</f>
        <v/>
      </c>
      <c r="K1524" s="69" t="str">
        <f>TEXT(ASTemp!K1524,Decimals)</f>
        <v/>
      </c>
      <c r="L1524" s="69" t="str">
        <f>TEXT(ASTemp!L1524,Decimals)</f>
        <v/>
      </c>
      <c r="M1524" s="71" t="str">
        <f>TEXT(ASTemp!M1524,Percentages)</f>
        <v/>
      </c>
      <c r="N1524" s="72" t="str">
        <f>TEXT(ASTemp!N1524,Percentages)</f>
        <v/>
      </c>
    </row>
    <row r="1525" ht="14.25" customHeight="1">
      <c r="B1525" s="66" t="str">
        <f>ASTemp!B1525</f>
        <v/>
      </c>
      <c r="C1525" s="67" t="str">
        <f>ASTemp!C1525</f>
        <v/>
      </c>
      <c r="D1525" s="68" t="str">
        <f>ASTemp!D1525</f>
        <v/>
      </c>
      <c r="E1525" s="65" t="str">
        <f>ASTemp!E1525</f>
        <v/>
      </c>
      <c r="F1525" s="69" t="str">
        <f>TEXT(ASTemp!F1525,Decimals)</f>
        <v/>
      </c>
      <c r="G1525" s="69" t="str">
        <f>TEXT(ASTemp!G1525,Decimals)</f>
        <v/>
      </c>
      <c r="H1525" s="69" t="str">
        <f>TEXT(ASTemp!H1525,Decimals)</f>
        <v/>
      </c>
      <c r="I1525" s="69" t="str">
        <f>TEXT(ASTemp!I1525,Decimals)</f>
        <v/>
      </c>
      <c r="J1525" s="69" t="str">
        <f>TEXT(ASTemp!J1525,Decimals)</f>
        <v/>
      </c>
      <c r="K1525" s="69" t="str">
        <f>TEXT(ASTemp!K1525,Decimals)</f>
        <v/>
      </c>
      <c r="L1525" s="69" t="str">
        <f>TEXT(ASTemp!L1525,Decimals)</f>
        <v/>
      </c>
      <c r="M1525" s="71" t="str">
        <f>TEXT(ASTemp!M1525,Percentages)</f>
        <v/>
      </c>
      <c r="N1525" s="72" t="str">
        <f>TEXT(ASTemp!N1525,Percentages)</f>
        <v/>
      </c>
    </row>
    <row r="1526" ht="14.25" customHeight="1">
      <c r="B1526" s="66" t="str">
        <f>ASTemp!B1526</f>
        <v/>
      </c>
      <c r="C1526" s="67" t="str">
        <f>ASTemp!C1526</f>
        <v/>
      </c>
      <c r="D1526" s="68" t="str">
        <f>ASTemp!D1526</f>
        <v/>
      </c>
      <c r="E1526" s="65" t="str">
        <f>ASTemp!E1526</f>
        <v/>
      </c>
      <c r="F1526" s="69" t="str">
        <f>TEXT(ASTemp!F1526,Decimals)</f>
        <v/>
      </c>
      <c r="G1526" s="69" t="str">
        <f>TEXT(ASTemp!G1526,Decimals)</f>
        <v/>
      </c>
      <c r="H1526" s="69" t="str">
        <f>TEXT(ASTemp!H1526,Decimals)</f>
        <v/>
      </c>
      <c r="I1526" s="69" t="str">
        <f>TEXT(ASTemp!I1526,Decimals)</f>
        <v/>
      </c>
      <c r="J1526" s="69" t="str">
        <f>TEXT(ASTemp!J1526,Decimals)</f>
        <v/>
      </c>
      <c r="K1526" s="69" t="str">
        <f>TEXT(ASTemp!K1526,Decimals)</f>
        <v/>
      </c>
      <c r="L1526" s="69" t="str">
        <f>TEXT(ASTemp!L1526,Decimals)</f>
        <v/>
      </c>
      <c r="M1526" s="71" t="str">
        <f>TEXT(ASTemp!M1526,Percentages)</f>
        <v/>
      </c>
      <c r="N1526" s="72" t="str">
        <f>TEXT(ASTemp!N1526,Percentages)</f>
        <v/>
      </c>
    </row>
    <row r="1527" ht="14.25" customHeight="1">
      <c r="B1527" s="66" t="str">
        <f>ASTemp!B1527</f>
        <v/>
      </c>
      <c r="C1527" s="67" t="str">
        <f>ASTemp!C1527</f>
        <v/>
      </c>
      <c r="D1527" s="68" t="str">
        <f>ASTemp!D1527</f>
        <v/>
      </c>
      <c r="E1527" s="65" t="str">
        <f>ASTemp!E1527</f>
        <v/>
      </c>
      <c r="F1527" s="69" t="str">
        <f>TEXT(ASTemp!F1527,Decimals)</f>
        <v/>
      </c>
      <c r="G1527" s="69" t="str">
        <f>TEXT(ASTemp!G1527,Decimals)</f>
        <v/>
      </c>
      <c r="H1527" s="69" t="str">
        <f>TEXT(ASTemp!H1527,Decimals)</f>
        <v/>
      </c>
      <c r="I1527" s="69" t="str">
        <f>TEXT(ASTemp!I1527,Decimals)</f>
        <v/>
      </c>
      <c r="J1527" s="69" t="str">
        <f>TEXT(ASTemp!J1527,Decimals)</f>
        <v/>
      </c>
      <c r="K1527" s="69" t="str">
        <f>TEXT(ASTemp!K1527,Decimals)</f>
        <v/>
      </c>
      <c r="L1527" s="69" t="str">
        <f>TEXT(ASTemp!L1527,Decimals)</f>
        <v/>
      </c>
      <c r="M1527" s="71" t="str">
        <f>TEXT(ASTemp!M1527,Percentages)</f>
        <v/>
      </c>
      <c r="N1527" s="72" t="str">
        <f>TEXT(ASTemp!N1527,Percentages)</f>
        <v/>
      </c>
    </row>
    <row r="1528" ht="14.25" customHeight="1">
      <c r="B1528" s="66" t="str">
        <f>ASTemp!B1528</f>
        <v/>
      </c>
      <c r="C1528" s="67" t="str">
        <f>ASTemp!C1528</f>
        <v/>
      </c>
      <c r="D1528" s="68" t="str">
        <f>ASTemp!D1528</f>
        <v/>
      </c>
      <c r="E1528" s="65" t="str">
        <f>ASTemp!E1528</f>
        <v/>
      </c>
      <c r="F1528" s="69" t="str">
        <f>TEXT(ASTemp!F1528,Decimals)</f>
        <v/>
      </c>
      <c r="G1528" s="69" t="str">
        <f>TEXT(ASTemp!G1528,Decimals)</f>
        <v/>
      </c>
      <c r="H1528" s="69" t="str">
        <f>TEXT(ASTemp!H1528,Decimals)</f>
        <v/>
      </c>
      <c r="I1528" s="69" t="str">
        <f>TEXT(ASTemp!I1528,Decimals)</f>
        <v/>
      </c>
      <c r="J1528" s="69" t="str">
        <f>TEXT(ASTemp!J1528,Decimals)</f>
        <v/>
      </c>
      <c r="K1528" s="69" t="str">
        <f>TEXT(ASTemp!K1528,Decimals)</f>
        <v/>
      </c>
      <c r="L1528" s="69" t="str">
        <f>TEXT(ASTemp!L1528,Decimals)</f>
        <v/>
      </c>
      <c r="M1528" s="71" t="str">
        <f>TEXT(ASTemp!M1528,Percentages)</f>
        <v/>
      </c>
      <c r="N1528" s="72" t="str">
        <f>TEXT(ASTemp!N1528,Percentages)</f>
        <v/>
      </c>
    </row>
    <row r="1529" ht="14.25" customHeight="1">
      <c r="B1529" s="66" t="str">
        <f>ASTemp!B1529</f>
        <v/>
      </c>
      <c r="C1529" s="67" t="str">
        <f>ASTemp!C1529</f>
        <v/>
      </c>
      <c r="D1529" s="68" t="str">
        <f>ASTemp!D1529</f>
        <v/>
      </c>
      <c r="E1529" s="65" t="str">
        <f>ASTemp!E1529</f>
        <v/>
      </c>
      <c r="F1529" s="69" t="str">
        <f>TEXT(ASTemp!F1529,Decimals)</f>
        <v/>
      </c>
      <c r="G1529" s="69" t="str">
        <f>TEXT(ASTemp!G1529,Decimals)</f>
        <v/>
      </c>
      <c r="H1529" s="69" t="str">
        <f>TEXT(ASTemp!H1529,Decimals)</f>
        <v/>
      </c>
      <c r="I1529" s="69" t="str">
        <f>TEXT(ASTemp!I1529,Decimals)</f>
        <v/>
      </c>
      <c r="J1529" s="69" t="str">
        <f>TEXT(ASTemp!J1529,Decimals)</f>
        <v/>
      </c>
      <c r="K1529" s="69" t="str">
        <f>TEXT(ASTemp!K1529,Decimals)</f>
        <v/>
      </c>
      <c r="L1529" s="69" t="str">
        <f>TEXT(ASTemp!L1529,Decimals)</f>
        <v/>
      </c>
      <c r="M1529" s="71" t="str">
        <f>TEXT(ASTemp!M1529,Percentages)</f>
        <v/>
      </c>
      <c r="N1529" s="72" t="str">
        <f>TEXT(ASTemp!N1529,Percentages)</f>
        <v/>
      </c>
    </row>
    <row r="1530" ht="14.25" customHeight="1">
      <c r="B1530" s="66" t="str">
        <f>ASTemp!B1530</f>
        <v/>
      </c>
      <c r="C1530" s="67" t="str">
        <f>ASTemp!C1530</f>
        <v/>
      </c>
      <c r="D1530" s="68" t="str">
        <f>ASTemp!D1530</f>
        <v/>
      </c>
      <c r="E1530" s="65" t="str">
        <f>ASTemp!E1530</f>
        <v/>
      </c>
      <c r="F1530" s="69" t="str">
        <f>TEXT(ASTemp!F1530,Decimals)</f>
        <v/>
      </c>
      <c r="G1530" s="69" t="str">
        <f>TEXT(ASTemp!G1530,Decimals)</f>
        <v/>
      </c>
      <c r="H1530" s="69" t="str">
        <f>TEXT(ASTemp!H1530,Decimals)</f>
        <v/>
      </c>
      <c r="I1530" s="69" t="str">
        <f>TEXT(ASTemp!I1530,Decimals)</f>
        <v/>
      </c>
      <c r="J1530" s="69" t="str">
        <f>TEXT(ASTemp!J1530,Decimals)</f>
        <v/>
      </c>
      <c r="K1530" s="69" t="str">
        <f>TEXT(ASTemp!K1530,Decimals)</f>
        <v/>
      </c>
      <c r="L1530" s="69" t="str">
        <f>TEXT(ASTemp!L1530,Decimals)</f>
        <v/>
      </c>
      <c r="M1530" s="71" t="str">
        <f>TEXT(ASTemp!M1530,Percentages)</f>
        <v/>
      </c>
      <c r="N1530" s="72" t="str">
        <f>TEXT(ASTemp!N1530,Percentages)</f>
        <v/>
      </c>
    </row>
    <row r="1531" ht="14.25" customHeight="1">
      <c r="B1531" s="66" t="str">
        <f>ASTemp!B1531</f>
        <v/>
      </c>
      <c r="C1531" s="67" t="str">
        <f>ASTemp!C1531</f>
        <v/>
      </c>
      <c r="D1531" s="68" t="str">
        <f>ASTemp!D1531</f>
        <v/>
      </c>
      <c r="E1531" s="65" t="str">
        <f>ASTemp!E1531</f>
        <v/>
      </c>
      <c r="F1531" s="69" t="str">
        <f>TEXT(ASTemp!F1531,Decimals)</f>
        <v/>
      </c>
      <c r="G1531" s="69" t="str">
        <f>TEXT(ASTemp!G1531,Decimals)</f>
        <v/>
      </c>
      <c r="H1531" s="69" t="str">
        <f>TEXT(ASTemp!H1531,Decimals)</f>
        <v/>
      </c>
      <c r="I1531" s="69" t="str">
        <f>TEXT(ASTemp!I1531,Decimals)</f>
        <v/>
      </c>
      <c r="J1531" s="69" t="str">
        <f>TEXT(ASTemp!J1531,Decimals)</f>
        <v/>
      </c>
      <c r="K1531" s="69" t="str">
        <f>TEXT(ASTemp!K1531,Decimals)</f>
        <v/>
      </c>
      <c r="L1531" s="69" t="str">
        <f>TEXT(ASTemp!L1531,Decimals)</f>
        <v/>
      </c>
      <c r="M1531" s="71" t="str">
        <f>TEXT(ASTemp!M1531,Percentages)</f>
        <v/>
      </c>
      <c r="N1531" s="72" t="str">
        <f>TEXT(ASTemp!N1531,Percentages)</f>
        <v/>
      </c>
    </row>
    <row r="1532" ht="14.25" customHeight="1">
      <c r="B1532" s="66" t="str">
        <f>ASTemp!B1532</f>
        <v/>
      </c>
      <c r="C1532" s="67" t="str">
        <f>ASTemp!C1532</f>
        <v/>
      </c>
      <c r="D1532" s="68" t="str">
        <f>ASTemp!D1532</f>
        <v/>
      </c>
      <c r="E1532" s="65" t="str">
        <f>ASTemp!E1532</f>
        <v/>
      </c>
      <c r="F1532" s="69" t="str">
        <f>TEXT(ASTemp!F1532,Decimals)</f>
        <v/>
      </c>
      <c r="G1532" s="69" t="str">
        <f>TEXT(ASTemp!G1532,Decimals)</f>
        <v/>
      </c>
      <c r="H1532" s="69" t="str">
        <f>TEXT(ASTemp!H1532,Decimals)</f>
        <v/>
      </c>
      <c r="I1532" s="69" t="str">
        <f>TEXT(ASTemp!I1532,Decimals)</f>
        <v/>
      </c>
      <c r="J1532" s="69" t="str">
        <f>TEXT(ASTemp!J1532,Decimals)</f>
        <v/>
      </c>
      <c r="K1532" s="69" t="str">
        <f>TEXT(ASTemp!K1532,Decimals)</f>
        <v/>
      </c>
      <c r="L1532" s="69" t="str">
        <f>TEXT(ASTemp!L1532,Decimals)</f>
        <v/>
      </c>
      <c r="M1532" s="71" t="str">
        <f>TEXT(ASTemp!M1532,Percentages)</f>
        <v/>
      </c>
      <c r="N1532" s="72" t="str">
        <f>TEXT(ASTemp!N1532,Percentages)</f>
        <v/>
      </c>
    </row>
    <row r="1533" ht="14.25" customHeight="1">
      <c r="B1533" s="66" t="str">
        <f>ASTemp!B1533</f>
        <v/>
      </c>
      <c r="C1533" s="67" t="str">
        <f>ASTemp!C1533</f>
        <v/>
      </c>
      <c r="D1533" s="68" t="str">
        <f>ASTemp!D1533</f>
        <v/>
      </c>
      <c r="E1533" s="65" t="str">
        <f>ASTemp!E1533</f>
        <v/>
      </c>
      <c r="F1533" s="69" t="str">
        <f>TEXT(ASTemp!F1533,Decimals)</f>
        <v/>
      </c>
      <c r="G1533" s="69" t="str">
        <f>TEXT(ASTemp!G1533,Decimals)</f>
        <v/>
      </c>
      <c r="H1533" s="69" t="str">
        <f>TEXT(ASTemp!H1533,Decimals)</f>
        <v/>
      </c>
      <c r="I1533" s="69" t="str">
        <f>TEXT(ASTemp!I1533,Decimals)</f>
        <v/>
      </c>
      <c r="J1533" s="69" t="str">
        <f>TEXT(ASTemp!J1533,Decimals)</f>
        <v/>
      </c>
      <c r="K1533" s="69" t="str">
        <f>TEXT(ASTemp!K1533,Decimals)</f>
        <v/>
      </c>
      <c r="L1533" s="69" t="str">
        <f>TEXT(ASTemp!L1533,Decimals)</f>
        <v/>
      </c>
      <c r="M1533" s="71" t="str">
        <f>TEXT(ASTemp!M1533,Percentages)</f>
        <v/>
      </c>
      <c r="N1533" s="72" t="str">
        <f>TEXT(ASTemp!N1533,Percentages)</f>
        <v/>
      </c>
    </row>
    <row r="1534" ht="14.25" customHeight="1">
      <c r="B1534" s="66" t="str">
        <f>ASTemp!B1534</f>
        <v/>
      </c>
      <c r="C1534" s="67" t="str">
        <f>ASTemp!C1534</f>
        <v/>
      </c>
      <c r="D1534" s="68" t="str">
        <f>ASTemp!D1534</f>
        <v/>
      </c>
      <c r="E1534" s="65" t="str">
        <f>ASTemp!E1534</f>
        <v/>
      </c>
      <c r="F1534" s="69" t="str">
        <f>TEXT(ASTemp!F1534,Decimals)</f>
        <v/>
      </c>
      <c r="G1534" s="69" t="str">
        <f>TEXT(ASTemp!G1534,Decimals)</f>
        <v/>
      </c>
      <c r="H1534" s="69" t="str">
        <f>TEXT(ASTemp!H1534,Decimals)</f>
        <v/>
      </c>
      <c r="I1534" s="69" t="str">
        <f>TEXT(ASTemp!I1534,Decimals)</f>
        <v/>
      </c>
      <c r="J1534" s="69" t="str">
        <f>TEXT(ASTemp!J1534,Decimals)</f>
        <v/>
      </c>
      <c r="K1534" s="69" t="str">
        <f>TEXT(ASTemp!K1534,Decimals)</f>
        <v/>
      </c>
      <c r="L1534" s="69" t="str">
        <f>TEXT(ASTemp!L1534,Decimals)</f>
        <v/>
      </c>
      <c r="M1534" s="71" t="str">
        <f>TEXT(ASTemp!M1534,Percentages)</f>
        <v/>
      </c>
      <c r="N1534" s="72" t="str">
        <f>TEXT(ASTemp!N1534,Percentages)</f>
        <v/>
      </c>
    </row>
    <row r="1535" ht="14.25" customHeight="1">
      <c r="B1535" s="66" t="str">
        <f>ASTemp!B1535</f>
        <v/>
      </c>
      <c r="C1535" s="67" t="str">
        <f>ASTemp!C1535</f>
        <v/>
      </c>
      <c r="D1535" s="68" t="str">
        <f>ASTemp!D1535</f>
        <v/>
      </c>
      <c r="E1535" s="65" t="str">
        <f>ASTemp!E1535</f>
        <v/>
      </c>
      <c r="F1535" s="69" t="str">
        <f>TEXT(ASTemp!F1535,Decimals)</f>
        <v/>
      </c>
      <c r="G1535" s="69" t="str">
        <f>TEXT(ASTemp!G1535,Decimals)</f>
        <v/>
      </c>
      <c r="H1535" s="69" t="str">
        <f>TEXT(ASTemp!H1535,Decimals)</f>
        <v/>
      </c>
      <c r="I1535" s="69" t="str">
        <f>TEXT(ASTemp!I1535,Decimals)</f>
        <v/>
      </c>
      <c r="J1535" s="69" t="str">
        <f>TEXT(ASTemp!J1535,Decimals)</f>
        <v/>
      </c>
      <c r="K1535" s="69" t="str">
        <f>TEXT(ASTemp!K1535,Decimals)</f>
        <v/>
      </c>
      <c r="L1535" s="69" t="str">
        <f>TEXT(ASTemp!L1535,Decimals)</f>
        <v/>
      </c>
      <c r="M1535" s="71" t="str">
        <f>TEXT(ASTemp!M1535,Percentages)</f>
        <v/>
      </c>
      <c r="N1535" s="72" t="str">
        <f>TEXT(ASTemp!N1535,Percentages)</f>
        <v/>
      </c>
    </row>
    <row r="1536" ht="14.25" customHeight="1">
      <c r="B1536" s="66" t="str">
        <f>ASTemp!B1536</f>
        <v/>
      </c>
      <c r="C1536" s="67" t="str">
        <f>ASTemp!C1536</f>
        <v/>
      </c>
      <c r="D1536" s="68" t="str">
        <f>ASTemp!D1536</f>
        <v/>
      </c>
      <c r="E1536" s="65" t="str">
        <f>ASTemp!E1536</f>
        <v/>
      </c>
      <c r="F1536" s="69" t="str">
        <f>TEXT(ASTemp!F1536,Decimals)</f>
        <v/>
      </c>
      <c r="G1536" s="69" t="str">
        <f>TEXT(ASTemp!G1536,Decimals)</f>
        <v/>
      </c>
      <c r="H1536" s="69" t="str">
        <f>TEXT(ASTemp!H1536,Decimals)</f>
        <v/>
      </c>
      <c r="I1536" s="69" t="str">
        <f>TEXT(ASTemp!I1536,Decimals)</f>
        <v/>
      </c>
      <c r="J1536" s="69" t="str">
        <f>TEXT(ASTemp!J1536,Decimals)</f>
        <v/>
      </c>
      <c r="K1536" s="69" t="str">
        <f>TEXT(ASTemp!K1536,Decimals)</f>
        <v/>
      </c>
      <c r="L1536" s="69" t="str">
        <f>TEXT(ASTemp!L1536,Decimals)</f>
        <v/>
      </c>
      <c r="M1536" s="71" t="str">
        <f>TEXT(ASTemp!M1536,Percentages)</f>
        <v/>
      </c>
      <c r="N1536" s="72" t="str">
        <f>TEXT(ASTemp!N1536,Percentages)</f>
        <v/>
      </c>
    </row>
    <row r="1537" ht="14.25" customHeight="1">
      <c r="B1537" s="66" t="str">
        <f>ASTemp!B1537</f>
        <v/>
      </c>
      <c r="C1537" s="67" t="str">
        <f>ASTemp!C1537</f>
        <v/>
      </c>
      <c r="D1537" s="68" t="str">
        <f>ASTemp!D1537</f>
        <v/>
      </c>
      <c r="E1537" s="65" t="str">
        <f>ASTemp!E1537</f>
        <v/>
      </c>
      <c r="F1537" s="69" t="str">
        <f>TEXT(ASTemp!F1537,Decimals)</f>
        <v/>
      </c>
      <c r="G1537" s="69" t="str">
        <f>TEXT(ASTemp!G1537,Decimals)</f>
        <v/>
      </c>
      <c r="H1537" s="69" t="str">
        <f>TEXT(ASTemp!H1537,Decimals)</f>
        <v/>
      </c>
      <c r="I1537" s="69" t="str">
        <f>TEXT(ASTemp!I1537,Decimals)</f>
        <v/>
      </c>
      <c r="J1537" s="69" t="str">
        <f>TEXT(ASTemp!J1537,Decimals)</f>
        <v/>
      </c>
      <c r="K1537" s="69" t="str">
        <f>TEXT(ASTemp!K1537,Decimals)</f>
        <v/>
      </c>
      <c r="L1537" s="69" t="str">
        <f>TEXT(ASTemp!L1537,Decimals)</f>
        <v/>
      </c>
      <c r="M1537" s="71" t="str">
        <f>TEXT(ASTemp!M1537,Percentages)</f>
        <v/>
      </c>
      <c r="N1537" s="72" t="str">
        <f>TEXT(ASTemp!N1537,Percentages)</f>
        <v/>
      </c>
    </row>
    <row r="1538" ht="14.25" customHeight="1">
      <c r="B1538" s="66" t="str">
        <f>ASTemp!B1538</f>
        <v/>
      </c>
      <c r="C1538" s="67" t="str">
        <f>ASTemp!C1538</f>
        <v/>
      </c>
      <c r="D1538" s="68" t="str">
        <f>ASTemp!D1538</f>
        <v/>
      </c>
      <c r="E1538" s="65" t="str">
        <f>ASTemp!E1538</f>
        <v/>
      </c>
      <c r="F1538" s="69" t="str">
        <f>TEXT(ASTemp!F1538,Decimals)</f>
        <v/>
      </c>
      <c r="G1538" s="69" t="str">
        <f>TEXT(ASTemp!G1538,Decimals)</f>
        <v/>
      </c>
      <c r="H1538" s="69" t="str">
        <f>TEXT(ASTemp!H1538,Decimals)</f>
        <v/>
      </c>
      <c r="I1538" s="69" t="str">
        <f>TEXT(ASTemp!I1538,Decimals)</f>
        <v/>
      </c>
      <c r="J1538" s="69" t="str">
        <f>TEXT(ASTemp!J1538,Decimals)</f>
        <v/>
      </c>
      <c r="K1538" s="69" t="str">
        <f>TEXT(ASTemp!K1538,Decimals)</f>
        <v/>
      </c>
      <c r="L1538" s="69" t="str">
        <f>TEXT(ASTemp!L1538,Decimals)</f>
        <v/>
      </c>
      <c r="M1538" s="71" t="str">
        <f>TEXT(ASTemp!M1538,Percentages)</f>
        <v/>
      </c>
      <c r="N1538" s="72" t="str">
        <f>TEXT(ASTemp!N1538,Percentages)</f>
        <v/>
      </c>
    </row>
    <row r="1539" ht="14.25" customHeight="1">
      <c r="B1539" s="66" t="str">
        <f>ASTemp!B1539</f>
        <v/>
      </c>
      <c r="C1539" s="67" t="str">
        <f>ASTemp!C1539</f>
        <v/>
      </c>
      <c r="D1539" s="68" t="str">
        <f>ASTemp!D1539</f>
        <v/>
      </c>
      <c r="E1539" s="65" t="str">
        <f>ASTemp!E1539</f>
        <v/>
      </c>
      <c r="F1539" s="69" t="str">
        <f>TEXT(ASTemp!F1539,Decimals)</f>
        <v/>
      </c>
      <c r="G1539" s="69" t="str">
        <f>TEXT(ASTemp!G1539,Decimals)</f>
        <v/>
      </c>
      <c r="H1539" s="69" t="str">
        <f>TEXT(ASTemp!H1539,Decimals)</f>
        <v/>
      </c>
      <c r="I1539" s="69" t="str">
        <f>TEXT(ASTemp!I1539,Decimals)</f>
        <v/>
      </c>
      <c r="J1539" s="69" t="str">
        <f>TEXT(ASTemp!J1539,Decimals)</f>
        <v/>
      </c>
      <c r="K1539" s="69" t="str">
        <f>TEXT(ASTemp!K1539,Decimals)</f>
        <v/>
      </c>
      <c r="L1539" s="69" t="str">
        <f>TEXT(ASTemp!L1539,Decimals)</f>
        <v/>
      </c>
      <c r="M1539" s="71" t="str">
        <f>TEXT(ASTemp!M1539,Percentages)</f>
        <v/>
      </c>
      <c r="N1539" s="72" t="str">
        <f>TEXT(ASTemp!N1539,Percentages)</f>
        <v/>
      </c>
    </row>
    <row r="1540" ht="14.25" customHeight="1">
      <c r="B1540" s="66" t="str">
        <f>ASTemp!B1540</f>
        <v/>
      </c>
      <c r="C1540" s="67" t="str">
        <f>ASTemp!C1540</f>
        <v/>
      </c>
      <c r="D1540" s="68" t="str">
        <f>ASTemp!D1540</f>
        <v/>
      </c>
      <c r="E1540" s="65" t="str">
        <f>ASTemp!E1540</f>
        <v/>
      </c>
      <c r="F1540" s="69" t="str">
        <f>TEXT(ASTemp!F1540,Decimals)</f>
        <v/>
      </c>
      <c r="G1540" s="69" t="str">
        <f>TEXT(ASTemp!G1540,Decimals)</f>
        <v/>
      </c>
      <c r="H1540" s="69" t="str">
        <f>TEXT(ASTemp!H1540,Decimals)</f>
        <v/>
      </c>
      <c r="I1540" s="69" t="str">
        <f>TEXT(ASTemp!I1540,Decimals)</f>
        <v/>
      </c>
      <c r="J1540" s="69" t="str">
        <f>TEXT(ASTemp!J1540,Decimals)</f>
        <v/>
      </c>
      <c r="K1540" s="69" t="str">
        <f>TEXT(ASTemp!K1540,Decimals)</f>
        <v/>
      </c>
      <c r="L1540" s="69" t="str">
        <f>TEXT(ASTemp!L1540,Decimals)</f>
        <v/>
      </c>
      <c r="M1540" s="71" t="str">
        <f>TEXT(ASTemp!M1540,Percentages)</f>
        <v/>
      </c>
      <c r="N1540" s="72" t="str">
        <f>TEXT(ASTemp!N1540,Percentages)</f>
        <v/>
      </c>
    </row>
    <row r="1541" ht="14.25" customHeight="1">
      <c r="B1541" s="66" t="str">
        <f>ASTemp!B1541</f>
        <v/>
      </c>
      <c r="C1541" s="67" t="str">
        <f>ASTemp!C1541</f>
        <v/>
      </c>
      <c r="D1541" s="68" t="str">
        <f>ASTemp!D1541</f>
        <v/>
      </c>
      <c r="E1541" s="65" t="str">
        <f>ASTemp!E1541</f>
        <v/>
      </c>
      <c r="F1541" s="69" t="str">
        <f>TEXT(ASTemp!F1541,Decimals)</f>
        <v/>
      </c>
      <c r="G1541" s="69" t="str">
        <f>TEXT(ASTemp!G1541,Decimals)</f>
        <v/>
      </c>
      <c r="H1541" s="69" t="str">
        <f>TEXT(ASTemp!H1541,Decimals)</f>
        <v/>
      </c>
      <c r="I1541" s="69" t="str">
        <f>TEXT(ASTemp!I1541,Decimals)</f>
        <v/>
      </c>
      <c r="J1541" s="69" t="str">
        <f>TEXT(ASTemp!J1541,Decimals)</f>
        <v/>
      </c>
      <c r="K1541" s="69" t="str">
        <f>TEXT(ASTemp!K1541,Decimals)</f>
        <v/>
      </c>
      <c r="L1541" s="69" t="str">
        <f>TEXT(ASTemp!L1541,Decimals)</f>
        <v/>
      </c>
      <c r="M1541" s="71" t="str">
        <f>TEXT(ASTemp!M1541,Percentages)</f>
        <v/>
      </c>
      <c r="N1541" s="72" t="str">
        <f>TEXT(ASTemp!N1541,Percentages)</f>
        <v/>
      </c>
    </row>
    <row r="1542" ht="14.25" customHeight="1">
      <c r="B1542" s="66" t="str">
        <f>ASTemp!B1542</f>
        <v/>
      </c>
      <c r="C1542" s="67" t="str">
        <f>ASTemp!C1542</f>
        <v/>
      </c>
      <c r="D1542" s="68" t="str">
        <f>ASTemp!D1542</f>
        <v/>
      </c>
      <c r="E1542" s="65" t="str">
        <f>ASTemp!E1542</f>
        <v/>
      </c>
      <c r="F1542" s="69" t="str">
        <f>TEXT(ASTemp!F1542,Decimals)</f>
        <v/>
      </c>
      <c r="G1542" s="69" t="str">
        <f>TEXT(ASTemp!G1542,Decimals)</f>
        <v/>
      </c>
      <c r="H1542" s="69" t="str">
        <f>TEXT(ASTemp!H1542,Decimals)</f>
        <v/>
      </c>
      <c r="I1542" s="69" t="str">
        <f>TEXT(ASTemp!I1542,Decimals)</f>
        <v/>
      </c>
      <c r="J1542" s="69" t="str">
        <f>TEXT(ASTemp!J1542,Decimals)</f>
        <v/>
      </c>
      <c r="K1542" s="69" t="str">
        <f>TEXT(ASTemp!K1542,Decimals)</f>
        <v/>
      </c>
      <c r="L1542" s="69" t="str">
        <f>TEXT(ASTemp!L1542,Decimals)</f>
        <v/>
      </c>
      <c r="M1542" s="71" t="str">
        <f>TEXT(ASTemp!M1542,Percentages)</f>
        <v/>
      </c>
      <c r="N1542" s="72" t="str">
        <f>TEXT(ASTemp!N1542,Percentages)</f>
        <v/>
      </c>
    </row>
    <row r="1543" ht="14.25" customHeight="1">
      <c r="B1543" s="66" t="str">
        <f>ASTemp!B1543</f>
        <v/>
      </c>
      <c r="C1543" s="67" t="str">
        <f>ASTemp!C1543</f>
        <v/>
      </c>
      <c r="D1543" s="68" t="str">
        <f>ASTemp!D1543</f>
        <v/>
      </c>
      <c r="E1543" s="65" t="str">
        <f>ASTemp!E1543</f>
        <v/>
      </c>
      <c r="F1543" s="69" t="str">
        <f>TEXT(ASTemp!F1543,Decimals)</f>
        <v/>
      </c>
      <c r="G1543" s="69" t="str">
        <f>TEXT(ASTemp!G1543,Decimals)</f>
        <v/>
      </c>
      <c r="H1543" s="69" t="str">
        <f>TEXT(ASTemp!H1543,Decimals)</f>
        <v/>
      </c>
      <c r="I1543" s="69" t="str">
        <f>TEXT(ASTemp!I1543,Decimals)</f>
        <v/>
      </c>
      <c r="J1543" s="69" t="str">
        <f>TEXT(ASTemp!J1543,Decimals)</f>
        <v/>
      </c>
      <c r="K1543" s="69" t="str">
        <f>TEXT(ASTemp!K1543,Decimals)</f>
        <v/>
      </c>
      <c r="L1543" s="69" t="str">
        <f>TEXT(ASTemp!L1543,Decimals)</f>
        <v/>
      </c>
      <c r="M1543" s="71" t="str">
        <f>TEXT(ASTemp!M1543,Percentages)</f>
        <v/>
      </c>
      <c r="N1543" s="72" t="str">
        <f>TEXT(ASTemp!N1543,Percentages)</f>
        <v/>
      </c>
    </row>
    <row r="1544" ht="14.25" customHeight="1">
      <c r="B1544" s="66" t="str">
        <f>ASTemp!B1544</f>
        <v/>
      </c>
      <c r="C1544" s="67" t="str">
        <f>ASTemp!C1544</f>
        <v/>
      </c>
      <c r="D1544" s="68" t="str">
        <f>ASTemp!D1544</f>
        <v/>
      </c>
      <c r="E1544" s="65" t="str">
        <f>ASTemp!E1544</f>
        <v/>
      </c>
      <c r="F1544" s="69" t="str">
        <f>TEXT(ASTemp!F1544,Decimals)</f>
        <v/>
      </c>
      <c r="G1544" s="69" t="str">
        <f>TEXT(ASTemp!G1544,Decimals)</f>
        <v/>
      </c>
      <c r="H1544" s="69" t="str">
        <f>TEXT(ASTemp!H1544,Decimals)</f>
        <v/>
      </c>
      <c r="I1544" s="69" t="str">
        <f>TEXT(ASTemp!I1544,Decimals)</f>
        <v/>
      </c>
      <c r="J1544" s="69" t="str">
        <f>TEXT(ASTemp!J1544,Decimals)</f>
        <v/>
      </c>
      <c r="K1544" s="69" t="str">
        <f>TEXT(ASTemp!K1544,Decimals)</f>
        <v/>
      </c>
      <c r="L1544" s="69" t="str">
        <f>TEXT(ASTemp!L1544,Decimals)</f>
        <v/>
      </c>
      <c r="M1544" s="71" t="str">
        <f>TEXT(ASTemp!M1544,Percentages)</f>
        <v/>
      </c>
      <c r="N1544" s="72" t="str">
        <f>TEXT(ASTemp!N1544,Percentages)</f>
        <v/>
      </c>
    </row>
    <row r="1545" ht="14.25" customHeight="1">
      <c r="B1545" s="66" t="str">
        <f>ASTemp!B1545</f>
        <v/>
      </c>
      <c r="C1545" s="67" t="str">
        <f>ASTemp!C1545</f>
        <v/>
      </c>
      <c r="D1545" s="68" t="str">
        <f>ASTemp!D1545</f>
        <v/>
      </c>
      <c r="E1545" s="65" t="str">
        <f>ASTemp!E1545</f>
        <v/>
      </c>
      <c r="F1545" s="69" t="str">
        <f>TEXT(ASTemp!F1545,Decimals)</f>
        <v/>
      </c>
      <c r="G1545" s="69" t="str">
        <f>TEXT(ASTemp!G1545,Decimals)</f>
        <v/>
      </c>
      <c r="H1545" s="69" t="str">
        <f>TEXT(ASTemp!H1545,Decimals)</f>
        <v/>
      </c>
      <c r="I1545" s="69" t="str">
        <f>TEXT(ASTemp!I1545,Decimals)</f>
        <v/>
      </c>
      <c r="J1545" s="69" t="str">
        <f>TEXT(ASTemp!J1545,Decimals)</f>
        <v/>
      </c>
      <c r="K1545" s="69" t="str">
        <f>TEXT(ASTemp!K1545,Decimals)</f>
        <v/>
      </c>
      <c r="L1545" s="69" t="str">
        <f>TEXT(ASTemp!L1545,Decimals)</f>
        <v/>
      </c>
      <c r="M1545" s="71" t="str">
        <f>TEXT(ASTemp!M1545,Percentages)</f>
        <v/>
      </c>
      <c r="N1545" s="72" t="str">
        <f>TEXT(ASTemp!N1545,Percentages)</f>
        <v/>
      </c>
    </row>
    <row r="1546" ht="14.25" customHeight="1">
      <c r="B1546" s="66" t="str">
        <f>ASTemp!B1546</f>
        <v/>
      </c>
      <c r="C1546" s="67" t="str">
        <f>ASTemp!C1546</f>
        <v/>
      </c>
      <c r="D1546" s="68" t="str">
        <f>ASTemp!D1546</f>
        <v/>
      </c>
      <c r="E1546" s="65" t="str">
        <f>ASTemp!E1546</f>
        <v/>
      </c>
      <c r="F1546" s="69" t="str">
        <f>TEXT(ASTemp!F1546,Decimals)</f>
        <v/>
      </c>
      <c r="G1546" s="69" t="str">
        <f>TEXT(ASTemp!G1546,Decimals)</f>
        <v/>
      </c>
      <c r="H1546" s="69" t="str">
        <f>TEXT(ASTemp!H1546,Decimals)</f>
        <v/>
      </c>
      <c r="I1546" s="69" t="str">
        <f>TEXT(ASTemp!I1546,Decimals)</f>
        <v/>
      </c>
      <c r="J1546" s="69" t="str">
        <f>TEXT(ASTemp!J1546,Decimals)</f>
        <v/>
      </c>
      <c r="K1546" s="69" t="str">
        <f>TEXT(ASTemp!K1546,Decimals)</f>
        <v/>
      </c>
      <c r="L1546" s="69" t="str">
        <f>TEXT(ASTemp!L1546,Decimals)</f>
        <v/>
      </c>
      <c r="M1546" s="71" t="str">
        <f>TEXT(ASTemp!M1546,Percentages)</f>
        <v/>
      </c>
      <c r="N1546" s="72" t="str">
        <f>TEXT(ASTemp!N1546,Percentages)</f>
        <v/>
      </c>
    </row>
    <row r="1547" ht="14.25" customHeight="1">
      <c r="B1547" s="66" t="str">
        <f>ASTemp!B1547</f>
        <v/>
      </c>
      <c r="C1547" s="67" t="str">
        <f>ASTemp!C1547</f>
        <v/>
      </c>
      <c r="D1547" s="68" t="str">
        <f>ASTemp!D1547</f>
        <v/>
      </c>
      <c r="E1547" s="65" t="str">
        <f>ASTemp!E1547</f>
        <v/>
      </c>
      <c r="F1547" s="69" t="str">
        <f>TEXT(ASTemp!F1547,Decimals)</f>
        <v/>
      </c>
      <c r="G1547" s="69" t="str">
        <f>TEXT(ASTemp!G1547,Decimals)</f>
        <v/>
      </c>
      <c r="H1547" s="69" t="str">
        <f>TEXT(ASTemp!H1547,Decimals)</f>
        <v/>
      </c>
      <c r="I1547" s="69" t="str">
        <f>TEXT(ASTemp!I1547,Decimals)</f>
        <v/>
      </c>
      <c r="J1547" s="69" t="str">
        <f>TEXT(ASTemp!J1547,Decimals)</f>
        <v/>
      </c>
      <c r="K1547" s="69" t="str">
        <f>TEXT(ASTemp!K1547,Decimals)</f>
        <v/>
      </c>
      <c r="L1547" s="69" t="str">
        <f>TEXT(ASTemp!L1547,Decimals)</f>
        <v/>
      </c>
      <c r="M1547" s="71" t="str">
        <f>TEXT(ASTemp!M1547,Percentages)</f>
        <v/>
      </c>
      <c r="N1547" s="72" t="str">
        <f>TEXT(ASTemp!N1547,Percentages)</f>
        <v/>
      </c>
    </row>
    <row r="1548" ht="14.25" customHeight="1">
      <c r="B1548" s="66" t="str">
        <f>ASTemp!B1548</f>
        <v/>
      </c>
      <c r="C1548" s="67" t="str">
        <f>ASTemp!C1548</f>
        <v/>
      </c>
      <c r="D1548" s="68" t="str">
        <f>ASTemp!D1548</f>
        <v/>
      </c>
      <c r="E1548" s="65" t="str">
        <f>ASTemp!E1548</f>
        <v/>
      </c>
      <c r="F1548" s="69" t="str">
        <f>TEXT(ASTemp!F1548,Decimals)</f>
        <v/>
      </c>
      <c r="G1548" s="69" t="str">
        <f>TEXT(ASTemp!G1548,Decimals)</f>
        <v/>
      </c>
      <c r="H1548" s="69" t="str">
        <f>TEXT(ASTemp!H1548,Decimals)</f>
        <v/>
      </c>
      <c r="I1548" s="69" t="str">
        <f>TEXT(ASTemp!I1548,Decimals)</f>
        <v/>
      </c>
      <c r="J1548" s="69" t="str">
        <f>TEXT(ASTemp!J1548,Decimals)</f>
        <v/>
      </c>
      <c r="K1548" s="69" t="str">
        <f>TEXT(ASTemp!K1548,Decimals)</f>
        <v/>
      </c>
      <c r="L1548" s="69" t="str">
        <f>TEXT(ASTemp!L1548,Decimals)</f>
        <v/>
      </c>
      <c r="M1548" s="71" t="str">
        <f>TEXT(ASTemp!M1548,Percentages)</f>
        <v/>
      </c>
      <c r="N1548" s="72" t="str">
        <f>TEXT(ASTemp!N1548,Percentages)</f>
        <v/>
      </c>
    </row>
    <row r="1549" ht="14.25" customHeight="1">
      <c r="B1549" s="66" t="str">
        <f>ASTemp!B1549</f>
        <v/>
      </c>
      <c r="C1549" s="67" t="str">
        <f>ASTemp!C1549</f>
        <v/>
      </c>
      <c r="D1549" s="68" t="str">
        <f>ASTemp!D1549</f>
        <v/>
      </c>
      <c r="E1549" s="65" t="str">
        <f>ASTemp!E1549</f>
        <v/>
      </c>
      <c r="F1549" s="69" t="str">
        <f>TEXT(ASTemp!F1549,Decimals)</f>
        <v/>
      </c>
      <c r="G1549" s="69" t="str">
        <f>TEXT(ASTemp!G1549,Decimals)</f>
        <v/>
      </c>
      <c r="H1549" s="69" t="str">
        <f>TEXT(ASTemp!H1549,Decimals)</f>
        <v/>
      </c>
      <c r="I1549" s="69" t="str">
        <f>TEXT(ASTemp!I1549,Decimals)</f>
        <v/>
      </c>
      <c r="J1549" s="69" t="str">
        <f>TEXT(ASTemp!J1549,Decimals)</f>
        <v/>
      </c>
      <c r="K1549" s="69" t="str">
        <f>TEXT(ASTemp!K1549,Decimals)</f>
        <v/>
      </c>
      <c r="L1549" s="69" t="str">
        <f>TEXT(ASTemp!L1549,Decimals)</f>
        <v/>
      </c>
      <c r="M1549" s="71" t="str">
        <f>TEXT(ASTemp!M1549,Percentages)</f>
        <v/>
      </c>
      <c r="N1549" s="72" t="str">
        <f>TEXT(ASTemp!N1549,Percentages)</f>
        <v/>
      </c>
    </row>
    <row r="1550" ht="14.25" customHeight="1">
      <c r="B1550" s="66" t="str">
        <f>ASTemp!B1550</f>
        <v/>
      </c>
      <c r="C1550" s="67" t="str">
        <f>ASTemp!C1550</f>
        <v/>
      </c>
      <c r="D1550" s="68" t="str">
        <f>ASTemp!D1550</f>
        <v/>
      </c>
      <c r="E1550" s="65" t="str">
        <f>ASTemp!E1550</f>
        <v/>
      </c>
      <c r="F1550" s="69" t="str">
        <f>TEXT(ASTemp!F1550,Decimals)</f>
        <v/>
      </c>
      <c r="G1550" s="69" t="str">
        <f>TEXT(ASTemp!G1550,Decimals)</f>
        <v/>
      </c>
      <c r="H1550" s="69" t="str">
        <f>TEXT(ASTemp!H1550,Decimals)</f>
        <v/>
      </c>
      <c r="I1550" s="69" t="str">
        <f>TEXT(ASTemp!I1550,Decimals)</f>
        <v/>
      </c>
      <c r="J1550" s="69" t="str">
        <f>TEXT(ASTemp!J1550,Decimals)</f>
        <v/>
      </c>
      <c r="K1550" s="69" t="str">
        <f>TEXT(ASTemp!K1550,Decimals)</f>
        <v/>
      </c>
      <c r="L1550" s="69" t="str">
        <f>TEXT(ASTemp!L1550,Decimals)</f>
        <v/>
      </c>
      <c r="M1550" s="71" t="str">
        <f>TEXT(ASTemp!M1550,Percentages)</f>
        <v/>
      </c>
      <c r="N1550" s="72" t="str">
        <f>TEXT(ASTemp!N1550,Percentages)</f>
        <v/>
      </c>
    </row>
    <row r="1551" ht="14.25" customHeight="1">
      <c r="B1551" s="66" t="str">
        <f>ASTemp!B1551</f>
        <v/>
      </c>
      <c r="C1551" s="67" t="str">
        <f>ASTemp!C1551</f>
        <v/>
      </c>
      <c r="D1551" s="68" t="str">
        <f>ASTemp!D1551</f>
        <v/>
      </c>
      <c r="E1551" s="65" t="str">
        <f>ASTemp!E1551</f>
        <v/>
      </c>
      <c r="F1551" s="69" t="str">
        <f>TEXT(ASTemp!F1551,Decimals)</f>
        <v/>
      </c>
      <c r="G1551" s="69" t="str">
        <f>TEXT(ASTemp!G1551,Decimals)</f>
        <v/>
      </c>
      <c r="H1551" s="69" t="str">
        <f>TEXT(ASTemp!H1551,Decimals)</f>
        <v/>
      </c>
      <c r="I1551" s="69" t="str">
        <f>TEXT(ASTemp!I1551,Decimals)</f>
        <v/>
      </c>
      <c r="J1551" s="69" t="str">
        <f>TEXT(ASTemp!J1551,Decimals)</f>
        <v/>
      </c>
      <c r="K1551" s="69" t="str">
        <f>TEXT(ASTemp!K1551,Decimals)</f>
        <v/>
      </c>
      <c r="L1551" s="69" t="str">
        <f>TEXT(ASTemp!L1551,Decimals)</f>
        <v/>
      </c>
      <c r="M1551" s="71" t="str">
        <f>TEXT(ASTemp!M1551,Percentages)</f>
        <v/>
      </c>
      <c r="N1551" s="72" t="str">
        <f>TEXT(ASTemp!N1551,Percentages)</f>
        <v/>
      </c>
    </row>
    <row r="1552" ht="14.25" customHeight="1">
      <c r="B1552" s="66" t="str">
        <f>ASTemp!B1552</f>
        <v/>
      </c>
      <c r="C1552" s="67" t="str">
        <f>ASTemp!C1552</f>
        <v/>
      </c>
      <c r="D1552" s="68" t="str">
        <f>ASTemp!D1552</f>
        <v/>
      </c>
      <c r="E1552" s="65" t="str">
        <f>ASTemp!E1552</f>
        <v/>
      </c>
      <c r="F1552" s="69" t="str">
        <f>TEXT(ASTemp!F1552,Decimals)</f>
        <v/>
      </c>
      <c r="G1552" s="69" t="str">
        <f>TEXT(ASTemp!G1552,Decimals)</f>
        <v/>
      </c>
      <c r="H1552" s="69" t="str">
        <f>TEXT(ASTemp!H1552,Decimals)</f>
        <v/>
      </c>
      <c r="I1552" s="69" t="str">
        <f>TEXT(ASTemp!I1552,Decimals)</f>
        <v/>
      </c>
      <c r="J1552" s="69" t="str">
        <f>TEXT(ASTemp!J1552,Decimals)</f>
        <v/>
      </c>
      <c r="K1552" s="69" t="str">
        <f>TEXT(ASTemp!K1552,Decimals)</f>
        <v/>
      </c>
      <c r="L1552" s="69" t="str">
        <f>TEXT(ASTemp!L1552,Decimals)</f>
        <v/>
      </c>
      <c r="M1552" s="71" t="str">
        <f>TEXT(ASTemp!M1552,Percentages)</f>
        <v/>
      </c>
      <c r="N1552" s="72" t="str">
        <f>TEXT(ASTemp!N1552,Percentages)</f>
        <v/>
      </c>
    </row>
    <row r="1553" ht="14.25" customHeight="1">
      <c r="B1553" s="66" t="str">
        <f>ASTemp!B1553</f>
        <v/>
      </c>
      <c r="C1553" s="67" t="str">
        <f>ASTemp!C1553</f>
        <v/>
      </c>
      <c r="D1553" s="68" t="str">
        <f>ASTemp!D1553</f>
        <v/>
      </c>
      <c r="E1553" s="65" t="str">
        <f>ASTemp!E1553</f>
        <v/>
      </c>
      <c r="F1553" s="69" t="str">
        <f>TEXT(ASTemp!F1553,Decimals)</f>
        <v/>
      </c>
      <c r="G1553" s="69" t="str">
        <f>TEXT(ASTemp!G1553,Decimals)</f>
        <v/>
      </c>
      <c r="H1553" s="69" t="str">
        <f>TEXT(ASTemp!H1553,Decimals)</f>
        <v/>
      </c>
      <c r="I1553" s="69" t="str">
        <f>TEXT(ASTemp!I1553,Decimals)</f>
        <v/>
      </c>
      <c r="J1553" s="69" t="str">
        <f>TEXT(ASTemp!J1553,Decimals)</f>
        <v/>
      </c>
      <c r="K1553" s="69" t="str">
        <f>TEXT(ASTemp!K1553,Decimals)</f>
        <v/>
      </c>
      <c r="L1553" s="69" t="str">
        <f>TEXT(ASTemp!L1553,Decimals)</f>
        <v/>
      </c>
      <c r="M1553" s="71" t="str">
        <f>TEXT(ASTemp!M1553,Percentages)</f>
        <v/>
      </c>
      <c r="N1553" s="72" t="str">
        <f>TEXT(ASTemp!N1553,Percentages)</f>
        <v/>
      </c>
    </row>
    <row r="1554" ht="14.25" customHeight="1">
      <c r="B1554" s="66" t="str">
        <f>ASTemp!B1554</f>
        <v/>
      </c>
      <c r="C1554" s="67" t="str">
        <f>ASTemp!C1554</f>
        <v/>
      </c>
      <c r="D1554" s="68" t="str">
        <f>ASTemp!D1554</f>
        <v/>
      </c>
      <c r="E1554" s="65" t="str">
        <f>ASTemp!E1554</f>
        <v/>
      </c>
      <c r="F1554" s="69" t="str">
        <f>TEXT(ASTemp!F1554,Decimals)</f>
        <v/>
      </c>
      <c r="G1554" s="69" t="str">
        <f>TEXT(ASTemp!G1554,Decimals)</f>
        <v/>
      </c>
      <c r="H1554" s="69" t="str">
        <f>TEXT(ASTemp!H1554,Decimals)</f>
        <v/>
      </c>
      <c r="I1554" s="69" t="str">
        <f>TEXT(ASTemp!I1554,Decimals)</f>
        <v/>
      </c>
      <c r="J1554" s="69" t="str">
        <f>TEXT(ASTemp!J1554,Decimals)</f>
        <v/>
      </c>
      <c r="K1554" s="69" t="str">
        <f>TEXT(ASTemp!K1554,Decimals)</f>
        <v/>
      </c>
      <c r="L1554" s="69" t="str">
        <f>TEXT(ASTemp!L1554,Decimals)</f>
        <v/>
      </c>
      <c r="M1554" s="71" t="str">
        <f>TEXT(ASTemp!M1554,Percentages)</f>
        <v/>
      </c>
      <c r="N1554" s="72" t="str">
        <f>TEXT(ASTemp!N1554,Percentages)</f>
        <v/>
      </c>
    </row>
    <row r="1555" ht="14.25" customHeight="1">
      <c r="B1555" s="66" t="str">
        <f>ASTemp!B1555</f>
        <v/>
      </c>
      <c r="C1555" s="67" t="str">
        <f>ASTemp!C1555</f>
        <v/>
      </c>
      <c r="D1555" s="68" t="str">
        <f>ASTemp!D1555</f>
        <v/>
      </c>
      <c r="E1555" s="65" t="str">
        <f>ASTemp!E1555</f>
        <v/>
      </c>
      <c r="F1555" s="69" t="str">
        <f>TEXT(ASTemp!F1555,Decimals)</f>
        <v/>
      </c>
      <c r="G1555" s="69" t="str">
        <f>TEXT(ASTemp!G1555,Decimals)</f>
        <v/>
      </c>
      <c r="H1555" s="69" t="str">
        <f>TEXT(ASTemp!H1555,Decimals)</f>
        <v/>
      </c>
      <c r="I1555" s="69" t="str">
        <f>TEXT(ASTemp!I1555,Decimals)</f>
        <v/>
      </c>
      <c r="J1555" s="69" t="str">
        <f>TEXT(ASTemp!J1555,Decimals)</f>
        <v/>
      </c>
      <c r="K1555" s="69" t="str">
        <f>TEXT(ASTemp!K1555,Decimals)</f>
        <v/>
      </c>
      <c r="L1555" s="69" t="str">
        <f>TEXT(ASTemp!L1555,Decimals)</f>
        <v/>
      </c>
      <c r="M1555" s="71" t="str">
        <f>TEXT(ASTemp!M1555,Percentages)</f>
        <v/>
      </c>
      <c r="N1555" s="72" t="str">
        <f>TEXT(ASTemp!N1555,Percentages)</f>
        <v/>
      </c>
    </row>
    <row r="1556" ht="14.25" customHeight="1">
      <c r="B1556" s="66" t="str">
        <f>ASTemp!B1556</f>
        <v/>
      </c>
      <c r="C1556" s="67" t="str">
        <f>ASTemp!C1556</f>
        <v/>
      </c>
      <c r="D1556" s="68" t="str">
        <f>ASTemp!D1556</f>
        <v/>
      </c>
      <c r="E1556" s="65" t="str">
        <f>ASTemp!E1556</f>
        <v/>
      </c>
      <c r="F1556" s="69" t="str">
        <f>TEXT(ASTemp!F1556,Decimals)</f>
        <v/>
      </c>
      <c r="G1556" s="69" t="str">
        <f>TEXT(ASTemp!G1556,Decimals)</f>
        <v/>
      </c>
      <c r="H1556" s="69" t="str">
        <f>TEXT(ASTemp!H1556,Decimals)</f>
        <v/>
      </c>
      <c r="I1556" s="69" t="str">
        <f>TEXT(ASTemp!I1556,Decimals)</f>
        <v/>
      </c>
      <c r="J1556" s="69" t="str">
        <f>TEXT(ASTemp!J1556,Decimals)</f>
        <v/>
      </c>
      <c r="K1556" s="69" t="str">
        <f>TEXT(ASTemp!K1556,Decimals)</f>
        <v/>
      </c>
      <c r="L1556" s="69" t="str">
        <f>TEXT(ASTemp!L1556,Decimals)</f>
        <v/>
      </c>
      <c r="M1556" s="71" t="str">
        <f>TEXT(ASTemp!M1556,Percentages)</f>
        <v/>
      </c>
      <c r="N1556" s="72" t="str">
        <f>TEXT(ASTemp!N1556,Percentages)</f>
        <v/>
      </c>
    </row>
    <row r="1557" ht="14.25" customHeight="1">
      <c r="B1557" s="66" t="str">
        <f>ASTemp!B1557</f>
        <v/>
      </c>
      <c r="C1557" s="67" t="str">
        <f>ASTemp!C1557</f>
        <v/>
      </c>
      <c r="D1557" s="68" t="str">
        <f>ASTemp!D1557</f>
        <v/>
      </c>
      <c r="E1557" s="65" t="str">
        <f>ASTemp!E1557</f>
        <v/>
      </c>
      <c r="F1557" s="69" t="str">
        <f>TEXT(ASTemp!F1557,Decimals)</f>
        <v/>
      </c>
      <c r="G1557" s="69" t="str">
        <f>TEXT(ASTemp!G1557,Decimals)</f>
        <v/>
      </c>
      <c r="H1557" s="69" t="str">
        <f>TEXT(ASTemp!H1557,Decimals)</f>
        <v/>
      </c>
      <c r="I1557" s="69" t="str">
        <f>TEXT(ASTemp!I1557,Decimals)</f>
        <v/>
      </c>
      <c r="J1557" s="69" t="str">
        <f>TEXT(ASTemp!J1557,Decimals)</f>
        <v/>
      </c>
      <c r="K1557" s="69" t="str">
        <f>TEXT(ASTemp!K1557,Decimals)</f>
        <v/>
      </c>
      <c r="L1557" s="69" t="str">
        <f>TEXT(ASTemp!L1557,Decimals)</f>
        <v/>
      </c>
      <c r="M1557" s="71" t="str">
        <f>TEXT(ASTemp!M1557,Percentages)</f>
        <v/>
      </c>
      <c r="N1557" s="72" t="str">
        <f>TEXT(ASTemp!N1557,Percentages)</f>
        <v/>
      </c>
    </row>
    <row r="1558" ht="14.25" customHeight="1">
      <c r="B1558" s="66" t="str">
        <f>ASTemp!B1558</f>
        <v/>
      </c>
      <c r="C1558" s="67" t="str">
        <f>ASTemp!C1558</f>
        <v/>
      </c>
      <c r="D1558" s="68" t="str">
        <f>ASTemp!D1558</f>
        <v/>
      </c>
      <c r="E1558" s="65" t="str">
        <f>ASTemp!E1558</f>
        <v/>
      </c>
      <c r="F1558" s="69" t="str">
        <f>TEXT(ASTemp!F1558,Decimals)</f>
        <v/>
      </c>
      <c r="G1558" s="69" t="str">
        <f>TEXT(ASTemp!G1558,Decimals)</f>
        <v/>
      </c>
      <c r="H1558" s="69" t="str">
        <f>TEXT(ASTemp!H1558,Decimals)</f>
        <v/>
      </c>
      <c r="I1558" s="69" t="str">
        <f>TEXT(ASTemp!I1558,Decimals)</f>
        <v/>
      </c>
      <c r="J1558" s="69" t="str">
        <f>TEXT(ASTemp!J1558,Decimals)</f>
        <v/>
      </c>
      <c r="K1558" s="69" t="str">
        <f>TEXT(ASTemp!K1558,Decimals)</f>
        <v/>
      </c>
      <c r="L1558" s="69" t="str">
        <f>TEXT(ASTemp!L1558,Decimals)</f>
        <v/>
      </c>
      <c r="M1558" s="71" t="str">
        <f>TEXT(ASTemp!M1558,Percentages)</f>
        <v/>
      </c>
      <c r="N1558" s="72" t="str">
        <f>TEXT(ASTemp!N1558,Percentages)</f>
        <v/>
      </c>
    </row>
    <row r="1559" ht="14.25" customHeight="1">
      <c r="B1559" s="66" t="str">
        <f>ASTemp!B1559</f>
        <v/>
      </c>
      <c r="C1559" s="67" t="str">
        <f>ASTemp!C1559</f>
        <v/>
      </c>
      <c r="D1559" s="68" t="str">
        <f>ASTemp!D1559</f>
        <v/>
      </c>
      <c r="E1559" s="65" t="str">
        <f>ASTemp!E1559</f>
        <v/>
      </c>
      <c r="F1559" s="69" t="str">
        <f>TEXT(ASTemp!F1559,Decimals)</f>
        <v/>
      </c>
      <c r="G1559" s="69" t="str">
        <f>TEXT(ASTemp!G1559,Decimals)</f>
        <v/>
      </c>
      <c r="H1559" s="69" t="str">
        <f>TEXT(ASTemp!H1559,Decimals)</f>
        <v/>
      </c>
      <c r="I1559" s="69" t="str">
        <f>TEXT(ASTemp!I1559,Decimals)</f>
        <v/>
      </c>
      <c r="J1559" s="69" t="str">
        <f>TEXT(ASTemp!J1559,Decimals)</f>
        <v/>
      </c>
      <c r="K1559" s="69" t="str">
        <f>TEXT(ASTemp!K1559,Decimals)</f>
        <v/>
      </c>
      <c r="L1559" s="69" t="str">
        <f>TEXT(ASTemp!L1559,Decimals)</f>
        <v/>
      </c>
      <c r="M1559" s="71" t="str">
        <f>TEXT(ASTemp!M1559,Percentages)</f>
        <v/>
      </c>
      <c r="N1559" s="72" t="str">
        <f>TEXT(ASTemp!N1559,Percentages)</f>
        <v/>
      </c>
    </row>
    <row r="1560" ht="14.25" customHeight="1">
      <c r="B1560" s="66" t="str">
        <f>ASTemp!B1560</f>
        <v/>
      </c>
      <c r="C1560" s="67" t="str">
        <f>ASTemp!C1560</f>
        <v/>
      </c>
      <c r="D1560" s="68" t="str">
        <f>ASTemp!D1560</f>
        <v/>
      </c>
      <c r="E1560" s="65" t="str">
        <f>ASTemp!E1560</f>
        <v/>
      </c>
      <c r="F1560" s="69" t="str">
        <f>TEXT(ASTemp!F1560,Decimals)</f>
        <v/>
      </c>
      <c r="G1560" s="69" t="str">
        <f>TEXT(ASTemp!G1560,Decimals)</f>
        <v/>
      </c>
      <c r="H1560" s="69" t="str">
        <f>TEXT(ASTemp!H1560,Decimals)</f>
        <v/>
      </c>
      <c r="I1560" s="69" t="str">
        <f>TEXT(ASTemp!I1560,Decimals)</f>
        <v/>
      </c>
      <c r="J1560" s="69" t="str">
        <f>TEXT(ASTemp!J1560,Decimals)</f>
        <v/>
      </c>
      <c r="K1560" s="69" t="str">
        <f>TEXT(ASTemp!K1560,Decimals)</f>
        <v/>
      </c>
      <c r="L1560" s="69" t="str">
        <f>TEXT(ASTemp!L1560,Decimals)</f>
        <v/>
      </c>
      <c r="M1560" s="71" t="str">
        <f>TEXT(ASTemp!M1560,Percentages)</f>
        <v/>
      </c>
      <c r="N1560" s="72" t="str">
        <f>TEXT(ASTemp!N1560,Percentages)</f>
        <v/>
      </c>
    </row>
    <row r="1561" ht="14.25" customHeight="1">
      <c r="B1561" s="66" t="str">
        <f>ASTemp!B1561</f>
        <v/>
      </c>
      <c r="C1561" s="67" t="str">
        <f>ASTemp!C1561</f>
        <v/>
      </c>
      <c r="D1561" s="68" t="str">
        <f>ASTemp!D1561</f>
        <v/>
      </c>
      <c r="E1561" s="65" t="str">
        <f>ASTemp!E1561</f>
        <v/>
      </c>
      <c r="F1561" s="69" t="str">
        <f>TEXT(ASTemp!F1561,Decimals)</f>
        <v/>
      </c>
      <c r="G1561" s="69" t="str">
        <f>TEXT(ASTemp!G1561,Decimals)</f>
        <v/>
      </c>
      <c r="H1561" s="69" t="str">
        <f>TEXT(ASTemp!H1561,Decimals)</f>
        <v/>
      </c>
      <c r="I1561" s="69" t="str">
        <f>TEXT(ASTemp!I1561,Decimals)</f>
        <v/>
      </c>
      <c r="J1561" s="69" t="str">
        <f>TEXT(ASTemp!J1561,Decimals)</f>
        <v/>
      </c>
      <c r="K1561" s="69" t="str">
        <f>TEXT(ASTemp!K1561,Decimals)</f>
        <v/>
      </c>
      <c r="L1561" s="69" t="str">
        <f>TEXT(ASTemp!L1561,Decimals)</f>
        <v/>
      </c>
      <c r="M1561" s="71" t="str">
        <f>TEXT(ASTemp!M1561,Percentages)</f>
        <v/>
      </c>
      <c r="N1561" s="72" t="str">
        <f>TEXT(ASTemp!N1561,Percentages)</f>
        <v/>
      </c>
    </row>
    <row r="1562" ht="14.25" customHeight="1">
      <c r="B1562" s="66" t="str">
        <f>ASTemp!B1562</f>
        <v/>
      </c>
      <c r="C1562" s="67" t="str">
        <f>ASTemp!C1562</f>
        <v/>
      </c>
      <c r="D1562" s="68" t="str">
        <f>ASTemp!D1562</f>
        <v/>
      </c>
      <c r="E1562" s="65" t="str">
        <f>ASTemp!E1562</f>
        <v/>
      </c>
      <c r="F1562" s="69" t="str">
        <f>TEXT(ASTemp!F1562,Decimals)</f>
        <v/>
      </c>
      <c r="G1562" s="69" t="str">
        <f>TEXT(ASTemp!G1562,Decimals)</f>
        <v/>
      </c>
      <c r="H1562" s="69" t="str">
        <f>TEXT(ASTemp!H1562,Decimals)</f>
        <v/>
      </c>
      <c r="I1562" s="69" t="str">
        <f>TEXT(ASTemp!I1562,Decimals)</f>
        <v/>
      </c>
      <c r="J1562" s="69" t="str">
        <f>TEXT(ASTemp!J1562,Decimals)</f>
        <v/>
      </c>
      <c r="K1562" s="69" t="str">
        <f>TEXT(ASTemp!K1562,Decimals)</f>
        <v/>
      </c>
      <c r="L1562" s="69" t="str">
        <f>TEXT(ASTemp!L1562,Decimals)</f>
        <v/>
      </c>
      <c r="M1562" s="71" t="str">
        <f>TEXT(ASTemp!M1562,Percentages)</f>
        <v/>
      </c>
      <c r="N1562" s="72" t="str">
        <f>TEXT(ASTemp!N1562,Percentages)</f>
        <v/>
      </c>
    </row>
    <row r="1563" ht="14.25" customHeight="1">
      <c r="B1563" s="66" t="str">
        <f>ASTemp!B1563</f>
        <v/>
      </c>
      <c r="C1563" s="67" t="str">
        <f>ASTemp!C1563</f>
        <v/>
      </c>
      <c r="D1563" s="68" t="str">
        <f>ASTemp!D1563</f>
        <v/>
      </c>
      <c r="E1563" s="65" t="str">
        <f>ASTemp!E1563</f>
        <v/>
      </c>
      <c r="F1563" s="69" t="str">
        <f>TEXT(ASTemp!F1563,Decimals)</f>
        <v/>
      </c>
      <c r="G1563" s="69" t="str">
        <f>TEXT(ASTemp!G1563,Decimals)</f>
        <v/>
      </c>
      <c r="H1563" s="69" t="str">
        <f>TEXT(ASTemp!H1563,Decimals)</f>
        <v/>
      </c>
      <c r="I1563" s="69" t="str">
        <f>TEXT(ASTemp!I1563,Decimals)</f>
        <v/>
      </c>
      <c r="J1563" s="69" t="str">
        <f>TEXT(ASTemp!J1563,Decimals)</f>
        <v/>
      </c>
      <c r="K1563" s="69" t="str">
        <f>TEXT(ASTemp!K1563,Decimals)</f>
        <v/>
      </c>
      <c r="L1563" s="69" t="str">
        <f>TEXT(ASTemp!L1563,Decimals)</f>
        <v/>
      </c>
      <c r="M1563" s="71" t="str">
        <f>TEXT(ASTemp!M1563,Percentages)</f>
        <v/>
      </c>
      <c r="N1563" s="72" t="str">
        <f>TEXT(ASTemp!N1563,Percentages)</f>
        <v/>
      </c>
    </row>
    <row r="1564" ht="14.25" customHeight="1">
      <c r="B1564" s="66" t="str">
        <f>ASTemp!B1564</f>
        <v/>
      </c>
      <c r="C1564" s="67" t="str">
        <f>ASTemp!C1564</f>
        <v/>
      </c>
      <c r="D1564" s="68" t="str">
        <f>ASTemp!D1564</f>
        <v/>
      </c>
      <c r="E1564" s="65" t="str">
        <f>ASTemp!E1564</f>
        <v/>
      </c>
      <c r="F1564" s="69" t="str">
        <f>TEXT(ASTemp!F1564,Decimals)</f>
        <v/>
      </c>
      <c r="G1564" s="69" t="str">
        <f>TEXT(ASTemp!G1564,Decimals)</f>
        <v/>
      </c>
      <c r="H1564" s="69" t="str">
        <f>TEXT(ASTemp!H1564,Decimals)</f>
        <v/>
      </c>
      <c r="I1564" s="69" t="str">
        <f>TEXT(ASTemp!I1564,Decimals)</f>
        <v/>
      </c>
      <c r="J1564" s="69" t="str">
        <f>TEXT(ASTemp!J1564,Decimals)</f>
        <v/>
      </c>
      <c r="K1564" s="69" t="str">
        <f>TEXT(ASTemp!K1564,Decimals)</f>
        <v/>
      </c>
      <c r="L1564" s="69" t="str">
        <f>TEXT(ASTemp!L1564,Decimals)</f>
        <v/>
      </c>
      <c r="M1564" s="71" t="str">
        <f>TEXT(ASTemp!M1564,Percentages)</f>
        <v/>
      </c>
      <c r="N1564" s="72" t="str">
        <f>TEXT(ASTemp!N1564,Percentages)</f>
        <v/>
      </c>
    </row>
    <row r="1565" ht="14.25" customHeight="1">
      <c r="B1565" s="66" t="str">
        <f>ASTemp!B1565</f>
        <v/>
      </c>
      <c r="C1565" s="67" t="str">
        <f>ASTemp!C1565</f>
        <v/>
      </c>
      <c r="D1565" s="68" t="str">
        <f>ASTemp!D1565</f>
        <v/>
      </c>
      <c r="E1565" s="65" t="str">
        <f>ASTemp!E1565</f>
        <v/>
      </c>
      <c r="F1565" s="69" t="str">
        <f>TEXT(ASTemp!F1565,Decimals)</f>
        <v/>
      </c>
      <c r="G1565" s="69" t="str">
        <f>TEXT(ASTemp!G1565,Decimals)</f>
        <v/>
      </c>
      <c r="H1565" s="69" t="str">
        <f>TEXT(ASTemp!H1565,Decimals)</f>
        <v/>
      </c>
      <c r="I1565" s="69" t="str">
        <f>TEXT(ASTemp!I1565,Decimals)</f>
        <v/>
      </c>
      <c r="J1565" s="69" t="str">
        <f>TEXT(ASTemp!J1565,Decimals)</f>
        <v/>
      </c>
      <c r="K1565" s="69" t="str">
        <f>TEXT(ASTemp!K1565,Decimals)</f>
        <v/>
      </c>
      <c r="L1565" s="69" t="str">
        <f>TEXT(ASTemp!L1565,Decimals)</f>
        <v/>
      </c>
      <c r="M1565" s="71" t="str">
        <f>TEXT(ASTemp!M1565,Percentages)</f>
        <v/>
      </c>
      <c r="N1565" s="72" t="str">
        <f>TEXT(ASTemp!N1565,Percentages)</f>
        <v/>
      </c>
    </row>
    <row r="1566" ht="14.25" customHeight="1">
      <c r="B1566" s="66" t="str">
        <f>ASTemp!B1566</f>
        <v/>
      </c>
      <c r="C1566" s="67" t="str">
        <f>ASTemp!C1566</f>
        <v/>
      </c>
      <c r="D1566" s="68" t="str">
        <f>ASTemp!D1566</f>
        <v/>
      </c>
      <c r="E1566" s="65" t="str">
        <f>ASTemp!E1566</f>
        <v/>
      </c>
      <c r="F1566" s="69" t="str">
        <f>TEXT(ASTemp!F1566,Decimals)</f>
        <v/>
      </c>
      <c r="G1566" s="69" t="str">
        <f>TEXT(ASTemp!G1566,Decimals)</f>
        <v/>
      </c>
      <c r="H1566" s="69" t="str">
        <f>TEXT(ASTemp!H1566,Decimals)</f>
        <v/>
      </c>
      <c r="I1566" s="69" t="str">
        <f>TEXT(ASTemp!I1566,Decimals)</f>
        <v/>
      </c>
      <c r="J1566" s="69" t="str">
        <f>TEXT(ASTemp!J1566,Decimals)</f>
        <v/>
      </c>
      <c r="K1566" s="69" t="str">
        <f>TEXT(ASTemp!K1566,Decimals)</f>
        <v/>
      </c>
      <c r="L1566" s="69" t="str">
        <f>TEXT(ASTemp!L1566,Decimals)</f>
        <v/>
      </c>
      <c r="M1566" s="71" t="str">
        <f>TEXT(ASTemp!M1566,Percentages)</f>
        <v/>
      </c>
      <c r="N1566" s="72" t="str">
        <f>TEXT(ASTemp!N1566,Percentages)</f>
        <v/>
      </c>
    </row>
    <row r="1567" ht="14.25" customHeight="1">
      <c r="B1567" s="66" t="str">
        <f>ASTemp!B1567</f>
        <v/>
      </c>
      <c r="C1567" s="67" t="str">
        <f>ASTemp!C1567</f>
        <v/>
      </c>
      <c r="D1567" s="68" t="str">
        <f>ASTemp!D1567</f>
        <v/>
      </c>
      <c r="E1567" s="65" t="str">
        <f>ASTemp!E1567</f>
        <v/>
      </c>
      <c r="F1567" s="69" t="str">
        <f>TEXT(ASTemp!F1567,Decimals)</f>
        <v/>
      </c>
      <c r="G1567" s="69" t="str">
        <f>TEXT(ASTemp!G1567,Decimals)</f>
        <v/>
      </c>
      <c r="H1567" s="69" t="str">
        <f>TEXT(ASTemp!H1567,Decimals)</f>
        <v/>
      </c>
      <c r="I1567" s="69" t="str">
        <f>TEXT(ASTemp!I1567,Decimals)</f>
        <v/>
      </c>
      <c r="J1567" s="69" t="str">
        <f>TEXT(ASTemp!J1567,Decimals)</f>
        <v/>
      </c>
      <c r="K1567" s="69" t="str">
        <f>TEXT(ASTemp!K1567,Decimals)</f>
        <v/>
      </c>
      <c r="L1567" s="69" t="str">
        <f>TEXT(ASTemp!L1567,Decimals)</f>
        <v/>
      </c>
      <c r="M1567" s="71" t="str">
        <f>TEXT(ASTemp!M1567,Percentages)</f>
        <v/>
      </c>
      <c r="N1567" s="72" t="str">
        <f>TEXT(ASTemp!N1567,Percentages)</f>
        <v/>
      </c>
    </row>
    <row r="1568" ht="14.25" customHeight="1">
      <c r="B1568" s="66" t="str">
        <f>ASTemp!B1568</f>
        <v/>
      </c>
      <c r="C1568" s="67" t="str">
        <f>ASTemp!C1568</f>
        <v/>
      </c>
      <c r="D1568" s="68" t="str">
        <f>ASTemp!D1568</f>
        <v/>
      </c>
      <c r="E1568" s="65" t="str">
        <f>ASTemp!E1568</f>
        <v/>
      </c>
      <c r="F1568" s="69" t="str">
        <f>TEXT(ASTemp!F1568,Decimals)</f>
        <v/>
      </c>
      <c r="G1568" s="69" t="str">
        <f>TEXT(ASTemp!G1568,Decimals)</f>
        <v/>
      </c>
      <c r="H1568" s="69" t="str">
        <f>TEXT(ASTemp!H1568,Decimals)</f>
        <v/>
      </c>
      <c r="I1568" s="69" t="str">
        <f>TEXT(ASTemp!I1568,Decimals)</f>
        <v/>
      </c>
      <c r="J1568" s="69" t="str">
        <f>TEXT(ASTemp!J1568,Decimals)</f>
        <v/>
      </c>
      <c r="K1568" s="69" t="str">
        <f>TEXT(ASTemp!K1568,Decimals)</f>
        <v/>
      </c>
      <c r="L1568" s="69" t="str">
        <f>TEXT(ASTemp!L1568,Decimals)</f>
        <v/>
      </c>
      <c r="M1568" s="71" t="str">
        <f>TEXT(ASTemp!M1568,Percentages)</f>
        <v/>
      </c>
      <c r="N1568" s="72" t="str">
        <f>TEXT(ASTemp!N1568,Percentages)</f>
        <v/>
      </c>
    </row>
    <row r="1569" ht="14.25" customHeight="1">
      <c r="B1569" s="66" t="str">
        <f>ASTemp!B1569</f>
        <v/>
      </c>
      <c r="C1569" s="67" t="str">
        <f>ASTemp!C1569</f>
        <v/>
      </c>
      <c r="D1569" s="68" t="str">
        <f>ASTemp!D1569</f>
        <v/>
      </c>
      <c r="E1569" s="65" t="str">
        <f>ASTemp!E1569</f>
        <v/>
      </c>
      <c r="F1569" s="69" t="str">
        <f>TEXT(ASTemp!F1569,Decimals)</f>
        <v/>
      </c>
      <c r="G1569" s="69" t="str">
        <f>TEXT(ASTemp!G1569,Decimals)</f>
        <v/>
      </c>
      <c r="H1569" s="69" t="str">
        <f>TEXT(ASTemp!H1569,Decimals)</f>
        <v/>
      </c>
      <c r="I1569" s="69" t="str">
        <f>TEXT(ASTemp!I1569,Decimals)</f>
        <v/>
      </c>
      <c r="J1569" s="69" t="str">
        <f>TEXT(ASTemp!J1569,Decimals)</f>
        <v/>
      </c>
      <c r="K1569" s="69" t="str">
        <f>TEXT(ASTemp!K1569,Decimals)</f>
        <v/>
      </c>
      <c r="L1569" s="69" t="str">
        <f>TEXT(ASTemp!L1569,Decimals)</f>
        <v/>
      </c>
      <c r="M1569" s="71" t="str">
        <f>TEXT(ASTemp!M1569,Percentages)</f>
        <v/>
      </c>
      <c r="N1569" s="72" t="str">
        <f>TEXT(ASTemp!N1569,Percentages)</f>
        <v/>
      </c>
    </row>
    <row r="1570" ht="14.25" customHeight="1">
      <c r="B1570" s="66" t="str">
        <f>ASTemp!B1570</f>
        <v/>
      </c>
      <c r="C1570" s="67" t="str">
        <f>ASTemp!C1570</f>
        <v/>
      </c>
      <c r="D1570" s="68" t="str">
        <f>ASTemp!D1570</f>
        <v/>
      </c>
      <c r="E1570" s="65" t="str">
        <f>ASTemp!E1570</f>
        <v/>
      </c>
      <c r="F1570" s="69" t="str">
        <f>TEXT(ASTemp!F1570,Decimals)</f>
        <v/>
      </c>
      <c r="G1570" s="69" t="str">
        <f>TEXT(ASTemp!G1570,Decimals)</f>
        <v/>
      </c>
      <c r="H1570" s="69" t="str">
        <f>TEXT(ASTemp!H1570,Decimals)</f>
        <v/>
      </c>
      <c r="I1570" s="69" t="str">
        <f>TEXT(ASTemp!I1570,Decimals)</f>
        <v/>
      </c>
      <c r="J1570" s="69" t="str">
        <f>TEXT(ASTemp!J1570,Decimals)</f>
        <v/>
      </c>
      <c r="K1570" s="69" t="str">
        <f>TEXT(ASTemp!K1570,Decimals)</f>
        <v/>
      </c>
      <c r="L1570" s="69" t="str">
        <f>TEXT(ASTemp!L1570,Decimals)</f>
        <v/>
      </c>
      <c r="M1570" s="71" t="str">
        <f>TEXT(ASTemp!M1570,Percentages)</f>
        <v/>
      </c>
      <c r="N1570" s="72" t="str">
        <f>TEXT(ASTemp!N1570,Percentages)</f>
        <v/>
      </c>
    </row>
    <row r="1571" ht="14.25" customHeight="1">
      <c r="B1571" s="66" t="str">
        <f>ASTemp!B1571</f>
        <v/>
      </c>
      <c r="C1571" s="67" t="str">
        <f>ASTemp!C1571</f>
        <v/>
      </c>
      <c r="D1571" s="68" t="str">
        <f>ASTemp!D1571</f>
        <v/>
      </c>
      <c r="E1571" s="65" t="str">
        <f>ASTemp!E1571</f>
        <v/>
      </c>
      <c r="F1571" s="69" t="str">
        <f>TEXT(ASTemp!F1571,Decimals)</f>
        <v/>
      </c>
      <c r="G1571" s="69" t="str">
        <f>TEXT(ASTemp!G1571,Decimals)</f>
        <v/>
      </c>
      <c r="H1571" s="69" t="str">
        <f>TEXT(ASTemp!H1571,Decimals)</f>
        <v/>
      </c>
      <c r="I1571" s="69" t="str">
        <f>TEXT(ASTemp!I1571,Decimals)</f>
        <v/>
      </c>
      <c r="J1571" s="69" t="str">
        <f>TEXT(ASTemp!J1571,Decimals)</f>
        <v/>
      </c>
      <c r="K1571" s="69" t="str">
        <f>TEXT(ASTemp!K1571,Decimals)</f>
        <v/>
      </c>
      <c r="L1571" s="69" t="str">
        <f>TEXT(ASTemp!L1571,Decimals)</f>
        <v/>
      </c>
      <c r="M1571" s="71" t="str">
        <f>TEXT(ASTemp!M1571,Percentages)</f>
        <v/>
      </c>
      <c r="N1571" s="72" t="str">
        <f>TEXT(ASTemp!N1571,Percentages)</f>
        <v/>
      </c>
    </row>
    <row r="1572" ht="14.25" customHeight="1">
      <c r="B1572" s="66" t="str">
        <f>ASTemp!B1572</f>
        <v/>
      </c>
      <c r="C1572" s="67" t="str">
        <f>ASTemp!C1572</f>
        <v/>
      </c>
      <c r="D1572" s="68" t="str">
        <f>ASTemp!D1572</f>
        <v/>
      </c>
      <c r="E1572" s="65" t="str">
        <f>ASTemp!E1572</f>
        <v/>
      </c>
      <c r="F1572" s="69" t="str">
        <f>TEXT(ASTemp!F1572,Decimals)</f>
        <v/>
      </c>
      <c r="G1572" s="69" t="str">
        <f>TEXT(ASTemp!G1572,Decimals)</f>
        <v/>
      </c>
      <c r="H1572" s="69" t="str">
        <f>TEXT(ASTemp!H1572,Decimals)</f>
        <v/>
      </c>
      <c r="I1572" s="69" t="str">
        <f>TEXT(ASTemp!I1572,Decimals)</f>
        <v/>
      </c>
      <c r="J1572" s="69" t="str">
        <f>TEXT(ASTemp!J1572,Decimals)</f>
        <v/>
      </c>
      <c r="K1572" s="69" t="str">
        <f>TEXT(ASTemp!K1572,Decimals)</f>
        <v/>
      </c>
      <c r="L1572" s="69" t="str">
        <f>TEXT(ASTemp!L1572,Decimals)</f>
        <v/>
      </c>
      <c r="M1572" s="71" t="str">
        <f>TEXT(ASTemp!M1572,Percentages)</f>
        <v/>
      </c>
      <c r="N1572" s="72" t="str">
        <f>TEXT(ASTemp!N1572,Percentages)</f>
        <v/>
      </c>
    </row>
    <row r="1573" ht="14.25" customHeight="1">
      <c r="B1573" s="66" t="str">
        <f>ASTemp!B1573</f>
        <v/>
      </c>
      <c r="C1573" s="67" t="str">
        <f>ASTemp!C1573</f>
        <v/>
      </c>
      <c r="D1573" s="68" t="str">
        <f>ASTemp!D1573</f>
        <v/>
      </c>
      <c r="E1573" s="65" t="str">
        <f>ASTemp!E1573</f>
        <v/>
      </c>
      <c r="F1573" s="69" t="str">
        <f>TEXT(ASTemp!F1573,Decimals)</f>
        <v/>
      </c>
      <c r="G1573" s="69" t="str">
        <f>TEXT(ASTemp!G1573,Decimals)</f>
        <v/>
      </c>
      <c r="H1573" s="69" t="str">
        <f>TEXT(ASTemp!H1573,Decimals)</f>
        <v/>
      </c>
      <c r="I1573" s="69" t="str">
        <f>TEXT(ASTemp!I1573,Decimals)</f>
        <v/>
      </c>
      <c r="J1573" s="69" t="str">
        <f>TEXT(ASTemp!J1573,Decimals)</f>
        <v/>
      </c>
      <c r="K1573" s="69" t="str">
        <f>TEXT(ASTemp!K1573,Decimals)</f>
        <v/>
      </c>
      <c r="L1573" s="69" t="str">
        <f>TEXT(ASTemp!L1573,Decimals)</f>
        <v/>
      </c>
      <c r="M1573" s="71" t="str">
        <f>TEXT(ASTemp!M1573,Percentages)</f>
        <v/>
      </c>
      <c r="N1573" s="72" t="str">
        <f>TEXT(ASTemp!N1573,Percentages)</f>
        <v/>
      </c>
    </row>
    <row r="1574" ht="14.25" customHeight="1">
      <c r="B1574" s="66" t="str">
        <f>ASTemp!B1574</f>
        <v/>
      </c>
      <c r="C1574" s="67" t="str">
        <f>ASTemp!C1574</f>
        <v/>
      </c>
      <c r="D1574" s="68" t="str">
        <f>ASTemp!D1574</f>
        <v/>
      </c>
      <c r="E1574" s="65" t="str">
        <f>ASTemp!E1574</f>
        <v/>
      </c>
      <c r="F1574" s="69" t="str">
        <f>TEXT(ASTemp!F1574,Decimals)</f>
        <v/>
      </c>
      <c r="G1574" s="69" t="str">
        <f>TEXT(ASTemp!G1574,Decimals)</f>
        <v/>
      </c>
      <c r="H1574" s="69" t="str">
        <f>TEXT(ASTemp!H1574,Decimals)</f>
        <v/>
      </c>
      <c r="I1574" s="69" t="str">
        <f>TEXT(ASTemp!I1574,Decimals)</f>
        <v/>
      </c>
      <c r="J1574" s="69" t="str">
        <f>TEXT(ASTemp!J1574,Decimals)</f>
        <v/>
      </c>
      <c r="K1574" s="69" t="str">
        <f>TEXT(ASTemp!K1574,Decimals)</f>
        <v/>
      </c>
      <c r="L1574" s="69" t="str">
        <f>TEXT(ASTemp!L1574,Decimals)</f>
        <v/>
      </c>
      <c r="M1574" s="71" t="str">
        <f>TEXT(ASTemp!M1574,Percentages)</f>
        <v/>
      </c>
      <c r="N1574" s="72" t="str">
        <f>TEXT(ASTemp!N1574,Percentages)</f>
        <v/>
      </c>
    </row>
    <row r="1575" ht="14.25" customHeight="1">
      <c r="B1575" s="66" t="str">
        <f>ASTemp!B1575</f>
        <v/>
      </c>
      <c r="C1575" s="67" t="str">
        <f>ASTemp!C1575</f>
        <v/>
      </c>
      <c r="D1575" s="68" t="str">
        <f>ASTemp!D1575</f>
        <v/>
      </c>
      <c r="E1575" s="65" t="str">
        <f>ASTemp!E1575</f>
        <v/>
      </c>
      <c r="F1575" s="69" t="str">
        <f>TEXT(ASTemp!F1575,Decimals)</f>
        <v/>
      </c>
      <c r="G1575" s="69" t="str">
        <f>TEXT(ASTemp!G1575,Decimals)</f>
        <v/>
      </c>
      <c r="H1575" s="69" t="str">
        <f>TEXT(ASTemp!H1575,Decimals)</f>
        <v/>
      </c>
      <c r="I1575" s="69" t="str">
        <f>TEXT(ASTemp!I1575,Decimals)</f>
        <v/>
      </c>
      <c r="J1575" s="69" t="str">
        <f>TEXT(ASTemp!J1575,Decimals)</f>
        <v/>
      </c>
      <c r="K1575" s="69" t="str">
        <f>TEXT(ASTemp!K1575,Decimals)</f>
        <v/>
      </c>
      <c r="L1575" s="69" t="str">
        <f>TEXT(ASTemp!L1575,Decimals)</f>
        <v/>
      </c>
      <c r="M1575" s="71" t="str">
        <f>TEXT(ASTemp!M1575,Percentages)</f>
        <v/>
      </c>
      <c r="N1575" s="72" t="str">
        <f>TEXT(ASTemp!N1575,Percentages)</f>
        <v/>
      </c>
    </row>
    <row r="1576" ht="14.25" customHeight="1">
      <c r="B1576" s="66" t="str">
        <f>ASTemp!B1576</f>
        <v/>
      </c>
      <c r="C1576" s="67" t="str">
        <f>ASTemp!C1576</f>
        <v/>
      </c>
      <c r="D1576" s="68" t="str">
        <f>ASTemp!D1576</f>
        <v/>
      </c>
      <c r="E1576" s="65" t="str">
        <f>ASTemp!E1576</f>
        <v/>
      </c>
      <c r="F1576" s="69" t="str">
        <f>TEXT(ASTemp!F1576,Decimals)</f>
        <v/>
      </c>
      <c r="G1576" s="69" t="str">
        <f>TEXT(ASTemp!G1576,Decimals)</f>
        <v/>
      </c>
      <c r="H1576" s="69" t="str">
        <f>TEXT(ASTemp!H1576,Decimals)</f>
        <v/>
      </c>
      <c r="I1576" s="69" t="str">
        <f>TEXT(ASTemp!I1576,Decimals)</f>
        <v/>
      </c>
      <c r="J1576" s="69" t="str">
        <f>TEXT(ASTemp!J1576,Decimals)</f>
        <v/>
      </c>
      <c r="K1576" s="69" t="str">
        <f>TEXT(ASTemp!K1576,Decimals)</f>
        <v/>
      </c>
      <c r="L1576" s="69" t="str">
        <f>TEXT(ASTemp!L1576,Decimals)</f>
        <v/>
      </c>
      <c r="M1576" s="71" t="str">
        <f>TEXT(ASTemp!M1576,Percentages)</f>
        <v/>
      </c>
      <c r="N1576" s="72" t="str">
        <f>TEXT(ASTemp!N1576,Percentages)</f>
        <v/>
      </c>
    </row>
    <row r="1577" ht="14.25" customHeight="1">
      <c r="B1577" s="66" t="str">
        <f>ASTemp!B1577</f>
        <v/>
      </c>
      <c r="C1577" s="67" t="str">
        <f>ASTemp!C1577</f>
        <v/>
      </c>
      <c r="D1577" s="68" t="str">
        <f>ASTemp!D1577</f>
        <v/>
      </c>
      <c r="E1577" s="65" t="str">
        <f>ASTemp!E1577</f>
        <v/>
      </c>
      <c r="F1577" s="69" t="str">
        <f>TEXT(ASTemp!F1577,Decimals)</f>
        <v/>
      </c>
      <c r="G1577" s="69" t="str">
        <f>TEXT(ASTemp!G1577,Decimals)</f>
        <v/>
      </c>
      <c r="H1577" s="69" t="str">
        <f>TEXT(ASTemp!H1577,Decimals)</f>
        <v/>
      </c>
      <c r="I1577" s="69" t="str">
        <f>TEXT(ASTemp!I1577,Decimals)</f>
        <v/>
      </c>
      <c r="J1577" s="69" t="str">
        <f>TEXT(ASTemp!J1577,Decimals)</f>
        <v/>
      </c>
      <c r="K1577" s="69" t="str">
        <f>TEXT(ASTemp!K1577,Decimals)</f>
        <v/>
      </c>
      <c r="L1577" s="69" t="str">
        <f>TEXT(ASTemp!L1577,Decimals)</f>
        <v/>
      </c>
      <c r="M1577" s="71" t="str">
        <f>TEXT(ASTemp!M1577,Percentages)</f>
        <v/>
      </c>
      <c r="N1577" s="72" t="str">
        <f>TEXT(ASTemp!N1577,Percentages)</f>
        <v/>
      </c>
    </row>
    <row r="1578" ht="14.25" customHeight="1">
      <c r="B1578" s="66" t="str">
        <f>ASTemp!B1578</f>
        <v/>
      </c>
      <c r="C1578" s="67" t="str">
        <f>ASTemp!C1578</f>
        <v/>
      </c>
      <c r="D1578" s="68" t="str">
        <f>ASTemp!D1578</f>
        <v/>
      </c>
      <c r="E1578" s="65" t="str">
        <f>ASTemp!E1578</f>
        <v/>
      </c>
      <c r="F1578" s="69" t="str">
        <f>TEXT(ASTemp!F1578,Decimals)</f>
        <v/>
      </c>
      <c r="G1578" s="69" t="str">
        <f>TEXT(ASTemp!G1578,Decimals)</f>
        <v/>
      </c>
      <c r="H1578" s="69" t="str">
        <f>TEXT(ASTemp!H1578,Decimals)</f>
        <v/>
      </c>
      <c r="I1578" s="69" t="str">
        <f>TEXT(ASTemp!I1578,Decimals)</f>
        <v/>
      </c>
      <c r="J1578" s="69" t="str">
        <f>TEXT(ASTemp!J1578,Decimals)</f>
        <v/>
      </c>
      <c r="K1578" s="69" t="str">
        <f>TEXT(ASTemp!K1578,Decimals)</f>
        <v/>
      </c>
      <c r="L1578" s="69" t="str">
        <f>TEXT(ASTemp!L1578,Decimals)</f>
        <v/>
      </c>
      <c r="M1578" s="71" t="str">
        <f>TEXT(ASTemp!M1578,Percentages)</f>
        <v/>
      </c>
      <c r="N1578" s="72" t="str">
        <f>TEXT(ASTemp!N1578,Percentages)</f>
        <v/>
      </c>
    </row>
    <row r="1579" ht="14.25" customHeight="1">
      <c r="B1579" s="66" t="str">
        <f>ASTemp!B1579</f>
        <v/>
      </c>
      <c r="C1579" s="67" t="str">
        <f>ASTemp!C1579</f>
        <v/>
      </c>
      <c r="D1579" s="68" t="str">
        <f>ASTemp!D1579</f>
        <v/>
      </c>
      <c r="E1579" s="65" t="str">
        <f>ASTemp!E1579</f>
        <v/>
      </c>
      <c r="F1579" s="69" t="str">
        <f>TEXT(ASTemp!F1579,Decimals)</f>
        <v/>
      </c>
      <c r="G1579" s="69" t="str">
        <f>TEXT(ASTemp!G1579,Decimals)</f>
        <v/>
      </c>
      <c r="H1579" s="69" t="str">
        <f>TEXT(ASTemp!H1579,Decimals)</f>
        <v/>
      </c>
      <c r="I1579" s="69" t="str">
        <f>TEXT(ASTemp!I1579,Decimals)</f>
        <v/>
      </c>
      <c r="J1579" s="69" t="str">
        <f>TEXT(ASTemp!J1579,Decimals)</f>
        <v/>
      </c>
      <c r="K1579" s="69" t="str">
        <f>TEXT(ASTemp!K1579,Decimals)</f>
        <v/>
      </c>
      <c r="L1579" s="69" t="str">
        <f>TEXT(ASTemp!L1579,Decimals)</f>
        <v/>
      </c>
      <c r="M1579" s="71" t="str">
        <f>TEXT(ASTemp!M1579,Percentages)</f>
        <v/>
      </c>
      <c r="N1579" s="72" t="str">
        <f>TEXT(ASTemp!N1579,Percentages)</f>
        <v/>
      </c>
    </row>
    <row r="1580" ht="14.25" customHeight="1">
      <c r="B1580" s="66" t="str">
        <f>ASTemp!B1580</f>
        <v/>
      </c>
      <c r="C1580" s="67" t="str">
        <f>ASTemp!C1580</f>
        <v/>
      </c>
      <c r="D1580" s="68" t="str">
        <f>ASTemp!D1580</f>
        <v/>
      </c>
      <c r="E1580" s="65" t="str">
        <f>ASTemp!E1580</f>
        <v/>
      </c>
      <c r="F1580" s="69" t="str">
        <f>TEXT(ASTemp!F1580,Decimals)</f>
        <v/>
      </c>
      <c r="G1580" s="69" t="str">
        <f>TEXT(ASTemp!G1580,Decimals)</f>
        <v/>
      </c>
      <c r="H1580" s="69" t="str">
        <f>TEXT(ASTemp!H1580,Decimals)</f>
        <v/>
      </c>
      <c r="I1580" s="69" t="str">
        <f>TEXT(ASTemp!I1580,Decimals)</f>
        <v/>
      </c>
      <c r="J1580" s="69" t="str">
        <f>TEXT(ASTemp!J1580,Decimals)</f>
        <v/>
      </c>
      <c r="K1580" s="69" t="str">
        <f>TEXT(ASTemp!K1580,Decimals)</f>
        <v/>
      </c>
      <c r="L1580" s="69" t="str">
        <f>TEXT(ASTemp!L1580,Decimals)</f>
        <v/>
      </c>
      <c r="M1580" s="71" t="str">
        <f>TEXT(ASTemp!M1580,Percentages)</f>
        <v/>
      </c>
      <c r="N1580" s="72" t="str">
        <f>TEXT(ASTemp!N1580,Percentages)</f>
        <v/>
      </c>
    </row>
    <row r="1581" ht="14.25" customHeight="1">
      <c r="B1581" s="66" t="str">
        <f>ASTemp!B1581</f>
        <v/>
      </c>
      <c r="C1581" s="67" t="str">
        <f>ASTemp!C1581</f>
        <v/>
      </c>
      <c r="D1581" s="68" t="str">
        <f>ASTemp!D1581</f>
        <v/>
      </c>
      <c r="E1581" s="65" t="str">
        <f>ASTemp!E1581</f>
        <v/>
      </c>
      <c r="F1581" s="69" t="str">
        <f>TEXT(ASTemp!F1581,Decimals)</f>
        <v/>
      </c>
      <c r="G1581" s="69" t="str">
        <f>TEXT(ASTemp!G1581,Decimals)</f>
        <v/>
      </c>
      <c r="H1581" s="69" t="str">
        <f>TEXT(ASTemp!H1581,Decimals)</f>
        <v/>
      </c>
      <c r="I1581" s="69" t="str">
        <f>TEXT(ASTemp!I1581,Decimals)</f>
        <v/>
      </c>
      <c r="J1581" s="69" t="str">
        <f>TEXT(ASTemp!J1581,Decimals)</f>
        <v/>
      </c>
      <c r="K1581" s="69" t="str">
        <f>TEXT(ASTemp!K1581,Decimals)</f>
        <v/>
      </c>
      <c r="L1581" s="69" t="str">
        <f>TEXT(ASTemp!L1581,Decimals)</f>
        <v/>
      </c>
      <c r="M1581" s="71" t="str">
        <f>TEXT(ASTemp!M1581,Percentages)</f>
        <v/>
      </c>
      <c r="N1581" s="72" t="str">
        <f>TEXT(ASTemp!N1581,Percentages)</f>
        <v/>
      </c>
    </row>
    <row r="1582" ht="14.25" customHeight="1">
      <c r="B1582" s="66" t="str">
        <f>ASTemp!B1582</f>
        <v/>
      </c>
      <c r="C1582" s="67" t="str">
        <f>ASTemp!C1582</f>
        <v/>
      </c>
      <c r="D1582" s="68" t="str">
        <f>ASTemp!D1582</f>
        <v/>
      </c>
      <c r="E1582" s="65" t="str">
        <f>ASTemp!E1582</f>
        <v/>
      </c>
      <c r="F1582" s="69" t="str">
        <f>TEXT(ASTemp!F1582,Decimals)</f>
        <v/>
      </c>
      <c r="G1582" s="69" t="str">
        <f>TEXT(ASTemp!G1582,Decimals)</f>
        <v/>
      </c>
      <c r="H1582" s="69" t="str">
        <f>TEXT(ASTemp!H1582,Decimals)</f>
        <v/>
      </c>
      <c r="I1582" s="69" t="str">
        <f>TEXT(ASTemp!I1582,Decimals)</f>
        <v/>
      </c>
      <c r="J1582" s="69" t="str">
        <f>TEXT(ASTemp!J1582,Decimals)</f>
        <v/>
      </c>
      <c r="K1582" s="69" t="str">
        <f>TEXT(ASTemp!K1582,Decimals)</f>
        <v/>
      </c>
      <c r="L1582" s="69" t="str">
        <f>TEXT(ASTemp!L1582,Decimals)</f>
        <v/>
      </c>
      <c r="M1582" s="71" t="str">
        <f>TEXT(ASTemp!M1582,Percentages)</f>
        <v/>
      </c>
      <c r="N1582" s="72" t="str">
        <f>TEXT(ASTemp!N1582,Percentages)</f>
        <v/>
      </c>
    </row>
    <row r="1583" ht="14.25" customHeight="1">
      <c r="B1583" s="66" t="str">
        <f>ASTemp!B1583</f>
        <v/>
      </c>
      <c r="C1583" s="67" t="str">
        <f>ASTemp!C1583</f>
        <v/>
      </c>
      <c r="D1583" s="68" t="str">
        <f>ASTemp!D1583</f>
        <v/>
      </c>
      <c r="E1583" s="65" t="str">
        <f>ASTemp!E1583</f>
        <v/>
      </c>
      <c r="F1583" s="69" t="str">
        <f>TEXT(ASTemp!F1583,Decimals)</f>
        <v/>
      </c>
      <c r="G1583" s="69" t="str">
        <f>TEXT(ASTemp!G1583,Decimals)</f>
        <v/>
      </c>
      <c r="H1583" s="69" t="str">
        <f>TEXT(ASTemp!H1583,Decimals)</f>
        <v/>
      </c>
      <c r="I1583" s="69" t="str">
        <f>TEXT(ASTemp!I1583,Decimals)</f>
        <v/>
      </c>
      <c r="J1583" s="69" t="str">
        <f>TEXT(ASTemp!J1583,Decimals)</f>
        <v/>
      </c>
      <c r="K1583" s="69" t="str">
        <f>TEXT(ASTemp!K1583,Decimals)</f>
        <v/>
      </c>
      <c r="L1583" s="69" t="str">
        <f>TEXT(ASTemp!L1583,Decimals)</f>
        <v/>
      </c>
      <c r="M1583" s="71" t="str">
        <f>TEXT(ASTemp!M1583,Percentages)</f>
        <v/>
      </c>
      <c r="N1583" s="72" t="str">
        <f>TEXT(ASTemp!N1583,Percentages)</f>
        <v/>
      </c>
    </row>
    <row r="1584" ht="14.25" customHeight="1">
      <c r="B1584" s="66" t="str">
        <f>ASTemp!B1584</f>
        <v/>
      </c>
      <c r="C1584" s="67" t="str">
        <f>ASTemp!C1584</f>
        <v/>
      </c>
      <c r="D1584" s="68" t="str">
        <f>ASTemp!D1584</f>
        <v/>
      </c>
      <c r="E1584" s="65" t="str">
        <f>ASTemp!E1584</f>
        <v/>
      </c>
      <c r="F1584" s="69" t="str">
        <f>TEXT(ASTemp!F1584,Decimals)</f>
        <v/>
      </c>
      <c r="G1584" s="69" t="str">
        <f>TEXT(ASTemp!G1584,Decimals)</f>
        <v/>
      </c>
      <c r="H1584" s="69" t="str">
        <f>TEXT(ASTemp!H1584,Decimals)</f>
        <v/>
      </c>
      <c r="I1584" s="69" t="str">
        <f>TEXT(ASTemp!I1584,Decimals)</f>
        <v/>
      </c>
      <c r="J1584" s="69" t="str">
        <f>TEXT(ASTemp!J1584,Decimals)</f>
        <v/>
      </c>
      <c r="K1584" s="69" t="str">
        <f>TEXT(ASTemp!K1584,Decimals)</f>
        <v/>
      </c>
      <c r="L1584" s="69" t="str">
        <f>TEXT(ASTemp!L1584,Decimals)</f>
        <v/>
      </c>
      <c r="M1584" s="71" t="str">
        <f>TEXT(ASTemp!M1584,Percentages)</f>
        <v/>
      </c>
      <c r="N1584" s="72" t="str">
        <f>TEXT(ASTemp!N1584,Percentages)</f>
        <v/>
      </c>
    </row>
    <row r="1585" ht="14.25" customHeight="1">
      <c r="B1585" s="66" t="str">
        <f>ASTemp!B1585</f>
        <v/>
      </c>
      <c r="C1585" s="67" t="str">
        <f>ASTemp!C1585</f>
        <v/>
      </c>
      <c r="D1585" s="68" t="str">
        <f>ASTemp!D1585</f>
        <v/>
      </c>
      <c r="E1585" s="65" t="str">
        <f>ASTemp!E1585</f>
        <v/>
      </c>
      <c r="F1585" s="69" t="str">
        <f>TEXT(ASTemp!F1585,Decimals)</f>
        <v/>
      </c>
      <c r="G1585" s="69" t="str">
        <f>TEXT(ASTemp!G1585,Decimals)</f>
        <v/>
      </c>
      <c r="H1585" s="69" t="str">
        <f>TEXT(ASTemp!H1585,Decimals)</f>
        <v/>
      </c>
      <c r="I1585" s="69" t="str">
        <f>TEXT(ASTemp!I1585,Decimals)</f>
        <v/>
      </c>
      <c r="J1585" s="69" t="str">
        <f>TEXT(ASTemp!J1585,Decimals)</f>
        <v/>
      </c>
      <c r="K1585" s="69" t="str">
        <f>TEXT(ASTemp!K1585,Decimals)</f>
        <v/>
      </c>
      <c r="L1585" s="69" t="str">
        <f>TEXT(ASTemp!L1585,Decimals)</f>
        <v/>
      </c>
      <c r="M1585" s="71" t="str">
        <f>TEXT(ASTemp!M1585,Percentages)</f>
        <v/>
      </c>
      <c r="N1585" s="72" t="str">
        <f>TEXT(ASTemp!N1585,Percentages)</f>
        <v/>
      </c>
    </row>
    <row r="1586" ht="14.25" customHeight="1">
      <c r="B1586" s="66" t="str">
        <f>ASTemp!B1586</f>
        <v/>
      </c>
      <c r="C1586" s="67" t="str">
        <f>ASTemp!C1586</f>
        <v/>
      </c>
      <c r="D1586" s="68" t="str">
        <f>ASTemp!D1586</f>
        <v/>
      </c>
      <c r="E1586" s="65" t="str">
        <f>ASTemp!E1586</f>
        <v/>
      </c>
      <c r="F1586" s="69" t="str">
        <f>TEXT(ASTemp!F1586,Decimals)</f>
        <v/>
      </c>
      <c r="G1586" s="69" t="str">
        <f>TEXT(ASTemp!G1586,Decimals)</f>
        <v/>
      </c>
      <c r="H1586" s="69" t="str">
        <f>TEXT(ASTemp!H1586,Decimals)</f>
        <v/>
      </c>
      <c r="I1586" s="69" t="str">
        <f>TEXT(ASTemp!I1586,Decimals)</f>
        <v/>
      </c>
      <c r="J1586" s="69" t="str">
        <f>TEXT(ASTemp!J1586,Decimals)</f>
        <v/>
      </c>
      <c r="K1586" s="69" t="str">
        <f>TEXT(ASTemp!K1586,Decimals)</f>
        <v/>
      </c>
      <c r="L1586" s="69" t="str">
        <f>TEXT(ASTemp!L1586,Decimals)</f>
        <v/>
      </c>
      <c r="M1586" s="71" t="str">
        <f>TEXT(ASTemp!M1586,Percentages)</f>
        <v/>
      </c>
      <c r="N1586" s="72" t="str">
        <f>TEXT(ASTemp!N1586,Percentages)</f>
        <v/>
      </c>
    </row>
    <row r="1587" ht="14.25" customHeight="1">
      <c r="B1587" s="66" t="str">
        <f>ASTemp!B1587</f>
        <v/>
      </c>
      <c r="C1587" s="67" t="str">
        <f>ASTemp!C1587</f>
        <v/>
      </c>
      <c r="D1587" s="68" t="str">
        <f>ASTemp!D1587</f>
        <v/>
      </c>
      <c r="E1587" s="65" t="str">
        <f>ASTemp!E1587</f>
        <v/>
      </c>
      <c r="F1587" s="69" t="str">
        <f>TEXT(ASTemp!F1587,Decimals)</f>
        <v/>
      </c>
      <c r="G1587" s="69" t="str">
        <f>TEXT(ASTemp!G1587,Decimals)</f>
        <v/>
      </c>
      <c r="H1587" s="69" t="str">
        <f>TEXT(ASTemp!H1587,Decimals)</f>
        <v/>
      </c>
      <c r="I1587" s="69" t="str">
        <f>TEXT(ASTemp!I1587,Decimals)</f>
        <v/>
      </c>
      <c r="J1587" s="69" t="str">
        <f>TEXT(ASTemp!J1587,Decimals)</f>
        <v/>
      </c>
      <c r="K1587" s="69" t="str">
        <f>TEXT(ASTemp!K1587,Decimals)</f>
        <v/>
      </c>
      <c r="L1587" s="69" t="str">
        <f>TEXT(ASTemp!L1587,Decimals)</f>
        <v/>
      </c>
      <c r="M1587" s="71" t="str">
        <f>TEXT(ASTemp!M1587,Percentages)</f>
        <v/>
      </c>
      <c r="N1587" s="72" t="str">
        <f>TEXT(ASTemp!N1587,Percentages)</f>
        <v/>
      </c>
    </row>
    <row r="1588" ht="14.25" customHeight="1">
      <c r="B1588" s="66" t="str">
        <f>ASTemp!B1588</f>
        <v/>
      </c>
      <c r="C1588" s="67" t="str">
        <f>ASTemp!C1588</f>
        <v/>
      </c>
      <c r="D1588" s="68" t="str">
        <f>ASTemp!D1588</f>
        <v/>
      </c>
      <c r="E1588" s="65" t="str">
        <f>ASTemp!E1588</f>
        <v/>
      </c>
      <c r="F1588" s="69" t="str">
        <f>TEXT(ASTemp!F1588,Decimals)</f>
        <v/>
      </c>
      <c r="G1588" s="69" t="str">
        <f>TEXT(ASTemp!G1588,Decimals)</f>
        <v/>
      </c>
      <c r="H1588" s="69" t="str">
        <f>TEXT(ASTemp!H1588,Decimals)</f>
        <v/>
      </c>
      <c r="I1588" s="69" t="str">
        <f>TEXT(ASTemp!I1588,Decimals)</f>
        <v/>
      </c>
      <c r="J1588" s="69" t="str">
        <f>TEXT(ASTemp!J1588,Decimals)</f>
        <v/>
      </c>
      <c r="K1588" s="69" t="str">
        <f>TEXT(ASTemp!K1588,Decimals)</f>
        <v/>
      </c>
      <c r="L1588" s="69" t="str">
        <f>TEXT(ASTemp!L1588,Decimals)</f>
        <v/>
      </c>
      <c r="M1588" s="71" t="str">
        <f>TEXT(ASTemp!M1588,Percentages)</f>
        <v/>
      </c>
      <c r="N1588" s="72" t="str">
        <f>TEXT(ASTemp!N1588,Percentages)</f>
        <v/>
      </c>
    </row>
    <row r="1589" ht="14.25" customHeight="1">
      <c r="B1589" s="66" t="str">
        <f>ASTemp!B1589</f>
        <v/>
      </c>
      <c r="C1589" s="67" t="str">
        <f>ASTemp!C1589</f>
        <v/>
      </c>
      <c r="D1589" s="68" t="str">
        <f>ASTemp!D1589</f>
        <v/>
      </c>
      <c r="E1589" s="65" t="str">
        <f>ASTemp!E1589</f>
        <v/>
      </c>
      <c r="F1589" s="69" t="str">
        <f>TEXT(ASTemp!F1589,Decimals)</f>
        <v/>
      </c>
      <c r="G1589" s="69" t="str">
        <f>TEXT(ASTemp!G1589,Decimals)</f>
        <v/>
      </c>
      <c r="H1589" s="69" t="str">
        <f>TEXT(ASTemp!H1589,Decimals)</f>
        <v/>
      </c>
      <c r="I1589" s="69" t="str">
        <f>TEXT(ASTemp!I1589,Decimals)</f>
        <v/>
      </c>
      <c r="J1589" s="69" t="str">
        <f>TEXT(ASTemp!J1589,Decimals)</f>
        <v/>
      </c>
      <c r="K1589" s="69" t="str">
        <f>TEXT(ASTemp!K1589,Decimals)</f>
        <v/>
      </c>
      <c r="L1589" s="69" t="str">
        <f>TEXT(ASTemp!L1589,Decimals)</f>
        <v/>
      </c>
      <c r="M1589" s="71" t="str">
        <f>TEXT(ASTemp!M1589,Percentages)</f>
        <v/>
      </c>
      <c r="N1589" s="72" t="str">
        <f>TEXT(ASTemp!N1589,Percentages)</f>
        <v/>
      </c>
    </row>
    <row r="1590" ht="14.25" customHeight="1">
      <c r="B1590" s="66" t="str">
        <f>ASTemp!B1590</f>
        <v/>
      </c>
      <c r="C1590" s="67" t="str">
        <f>ASTemp!C1590</f>
        <v/>
      </c>
      <c r="D1590" s="68" t="str">
        <f>ASTemp!D1590</f>
        <v/>
      </c>
      <c r="E1590" s="65" t="str">
        <f>ASTemp!E1590</f>
        <v/>
      </c>
      <c r="F1590" s="69" t="str">
        <f>TEXT(ASTemp!F1590,Decimals)</f>
        <v/>
      </c>
      <c r="G1590" s="69" t="str">
        <f>TEXT(ASTemp!G1590,Decimals)</f>
        <v/>
      </c>
      <c r="H1590" s="69" t="str">
        <f>TEXT(ASTemp!H1590,Decimals)</f>
        <v/>
      </c>
      <c r="I1590" s="69" t="str">
        <f>TEXT(ASTemp!I1590,Decimals)</f>
        <v/>
      </c>
      <c r="J1590" s="69" t="str">
        <f>TEXT(ASTemp!J1590,Decimals)</f>
        <v/>
      </c>
      <c r="K1590" s="69" t="str">
        <f>TEXT(ASTemp!K1590,Decimals)</f>
        <v/>
      </c>
      <c r="L1590" s="69" t="str">
        <f>TEXT(ASTemp!L1590,Decimals)</f>
        <v/>
      </c>
      <c r="M1590" s="71" t="str">
        <f>TEXT(ASTemp!M1590,Percentages)</f>
        <v/>
      </c>
      <c r="N1590" s="72" t="str">
        <f>TEXT(ASTemp!N1590,Percentages)</f>
        <v/>
      </c>
    </row>
    <row r="1591" ht="14.25" customHeight="1">
      <c r="B1591" s="66" t="str">
        <f>ASTemp!B1591</f>
        <v/>
      </c>
      <c r="C1591" s="67" t="str">
        <f>ASTemp!C1591</f>
        <v/>
      </c>
      <c r="D1591" s="68" t="str">
        <f>ASTemp!D1591</f>
        <v/>
      </c>
      <c r="E1591" s="65" t="str">
        <f>ASTemp!E1591</f>
        <v/>
      </c>
      <c r="F1591" s="69" t="str">
        <f>TEXT(ASTemp!F1591,Decimals)</f>
        <v/>
      </c>
      <c r="G1591" s="69" t="str">
        <f>TEXT(ASTemp!G1591,Decimals)</f>
        <v/>
      </c>
      <c r="H1591" s="69" t="str">
        <f>TEXT(ASTemp!H1591,Decimals)</f>
        <v/>
      </c>
      <c r="I1591" s="69" t="str">
        <f>TEXT(ASTemp!I1591,Decimals)</f>
        <v/>
      </c>
      <c r="J1591" s="69" t="str">
        <f>TEXT(ASTemp!J1591,Decimals)</f>
        <v/>
      </c>
      <c r="K1591" s="69" t="str">
        <f>TEXT(ASTemp!K1591,Decimals)</f>
        <v/>
      </c>
      <c r="L1591" s="69" t="str">
        <f>TEXT(ASTemp!L1591,Decimals)</f>
        <v/>
      </c>
      <c r="M1591" s="71" t="str">
        <f>TEXT(ASTemp!M1591,Percentages)</f>
        <v/>
      </c>
      <c r="N1591" s="72" t="str">
        <f>TEXT(ASTemp!N1591,Percentages)</f>
        <v/>
      </c>
    </row>
    <row r="1592" ht="14.25" customHeight="1">
      <c r="B1592" s="66" t="str">
        <f>ASTemp!B1592</f>
        <v/>
      </c>
      <c r="C1592" s="67" t="str">
        <f>ASTemp!C1592</f>
        <v/>
      </c>
      <c r="D1592" s="68" t="str">
        <f>ASTemp!D1592</f>
        <v/>
      </c>
      <c r="E1592" s="65" t="str">
        <f>ASTemp!E1592</f>
        <v/>
      </c>
      <c r="F1592" s="69" t="str">
        <f>TEXT(ASTemp!F1592,Decimals)</f>
        <v/>
      </c>
      <c r="G1592" s="69" t="str">
        <f>TEXT(ASTemp!G1592,Decimals)</f>
        <v/>
      </c>
      <c r="H1592" s="69" t="str">
        <f>TEXT(ASTemp!H1592,Decimals)</f>
        <v/>
      </c>
      <c r="I1592" s="69" t="str">
        <f>TEXT(ASTemp!I1592,Decimals)</f>
        <v/>
      </c>
      <c r="J1592" s="69" t="str">
        <f>TEXT(ASTemp!J1592,Decimals)</f>
        <v/>
      </c>
      <c r="K1592" s="69" t="str">
        <f>TEXT(ASTemp!K1592,Decimals)</f>
        <v/>
      </c>
      <c r="L1592" s="69" t="str">
        <f>TEXT(ASTemp!L1592,Decimals)</f>
        <v/>
      </c>
      <c r="M1592" s="71" t="str">
        <f>TEXT(ASTemp!M1592,Percentages)</f>
        <v/>
      </c>
      <c r="N1592" s="72" t="str">
        <f>TEXT(ASTemp!N1592,Percentages)</f>
        <v/>
      </c>
    </row>
    <row r="1593" ht="14.25" customHeight="1">
      <c r="B1593" s="66" t="str">
        <f>ASTemp!B1593</f>
        <v/>
      </c>
      <c r="C1593" s="67" t="str">
        <f>ASTemp!C1593</f>
        <v/>
      </c>
      <c r="D1593" s="68" t="str">
        <f>ASTemp!D1593</f>
        <v/>
      </c>
      <c r="E1593" s="65" t="str">
        <f>ASTemp!E1593</f>
        <v/>
      </c>
      <c r="F1593" s="69" t="str">
        <f>TEXT(ASTemp!F1593,Decimals)</f>
        <v/>
      </c>
      <c r="G1593" s="69" t="str">
        <f>TEXT(ASTemp!G1593,Decimals)</f>
        <v/>
      </c>
      <c r="H1593" s="69" t="str">
        <f>TEXT(ASTemp!H1593,Decimals)</f>
        <v/>
      </c>
      <c r="I1593" s="69" t="str">
        <f>TEXT(ASTemp!I1593,Decimals)</f>
        <v/>
      </c>
      <c r="J1593" s="69" t="str">
        <f>TEXT(ASTemp!J1593,Decimals)</f>
        <v/>
      </c>
      <c r="K1593" s="69" t="str">
        <f>TEXT(ASTemp!K1593,Decimals)</f>
        <v/>
      </c>
      <c r="L1593" s="69" t="str">
        <f>TEXT(ASTemp!L1593,Decimals)</f>
        <v/>
      </c>
      <c r="M1593" s="71" t="str">
        <f>TEXT(ASTemp!M1593,Percentages)</f>
        <v/>
      </c>
      <c r="N1593" s="72" t="str">
        <f>TEXT(ASTemp!N1593,Percentages)</f>
        <v/>
      </c>
    </row>
    <row r="1594" ht="14.25" customHeight="1">
      <c r="B1594" s="66" t="str">
        <f>ASTemp!B1594</f>
        <v/>
      </c>
      <c r="C1594" s="67" t="str">
        <f>ASTemp!C1594</f>
        <v/>
      </c>
      <c r="D1594" s="68" t="str">
        <f>ASTemp!D1594</f>
        <v/>
      </c>
      <c r="E1594" s="65" t="str">
        <f>ASTemp!E1594</f>
        <v/>
      </c>
      <c r="F1594" s="69" t="str">
        <f>TEXT(ASTemp!F1594,Decimals)</f>
        <v/>
      </c>
      <c r="G1594" s="69" t="str">
        <f>TEXT(ASTemp!G1594,Decimals)</f>
        <v/>
      </c>
      <c r="H1594" s="69" t="str">
        <f>TEXT(ASTemp!H1594,Decimals)</f>
        <v/>
      </c>
      <c r="I1594" s="69" t="str">
        <f>TEXT(ASTemp!I1594,Decimals)</f>
        <v/>
      </c>
      <c r="J1594" s="69" t="str">
        <f>TEXT(ASTemp!J1594,Decimals)</f>
        <v/>
      </c>
      <c r="K1594" s="69" t="str">
        <f>TEXT(ASTemp!K1594,Decimals)</f>
        <v/>
      </c>
      <c r="L1594" s="69" t="str">
        <f>TEXT(ASTemp!L1594,Decimals)</f>
        <v/>
      </c>
      <c r="M1594" s="71" t="str">
        <f>TEXT(ASTemp!M1594,Percentages)</f>
        <v/>
      </c>
      <c r="N1594" s="72" t="str">
        <f>TEXT(ASTemp!N1594,Percentages)</f>
        <v/>
      </c>
    </row>
    <row r="1595" ht="14.25" customHeight="1">
      <c r="B1595" s="66" t="str">
        <f>ASTemp!B1595</f>
        <v/>
      </c>
      <c r="C1595" s="67" t="str">
        <f>ASTemp!C1595</f>
        <v/>
      </c>
      <c r="D1595" s="68" t="str">
        <f>ASTemp!D1595</f>
        <v/>
      </c>
      <c r="E1595" s="65" t="str">
        <f>ASTemp!E1595</f>
        <v/>
      </c>
      <c r="F1595" s="69" t="str">
        <f>TEXT(ASTemp!F1595,Decimals)</f>
        <v/>
      </c>
      <c r="G1595" s="69" t="str">
        <f>TEXT(ASTemp!G1595,Decimals)</f>
        <v/>
      </c>
      <c r="H1595" s="69" t="str">
        <f>TEXT(ASTemp!H1595,Decimals)</f>
        <v/>
      </c>
      <c r="I1595" s="69" t="str">
        <f>TEXT(ASTemp!I1595,Decimals)</f>
        <v/>
      </c>
      <c r="J1595" s="69" t="str">
        <f>TEXT(ASTemp!J1595,Decimals)</f>
        <v/>
      </c>
      <c r="K1595" s="69" t="str">
        <f>TEXT(ASTemp!K1595,Decimals)</f>
        <v/>
      </c>
      <c r="L1595" s="69" t="str">
        <f>TEXT(ASTemp!L1595,Decimals)</f>
        <v/>
      </c>
      <c r="M1595" s="71" t="str">
        <f>TEXT(ASTemp!M1595,Percentages)</f>
        <v/>
      </c>
      <c r="N1595" s="72" t="str">
        <f>TEXT(ASTemp!N1595,Percentages)</f>
        <v/>
      </c>
    </row>
    <row r="1596" ht="14.25" customHeight="1">
      <c r="B1596" s="66" t="str">
        <f>ASTemp!B1596</f>
        <v/>
      </c>
      <c r="C1596" s="67" t="str">
        <f>ASTemp!C1596</f>
        <v/>
      </c>
      <c r="D1596" s="68" t="str">
        <f>ASTemp!D1596</f>
        <v/>
      </c>
      <c r="E1596" s="65" t="str">
        <f>ASTemp!E1596</f>
        <v/>
      </c>
      <c r="F1596" s="69" t="str">
        <f>TEXT(ASTemp!F1596,Decimals)</f>
        <v/>
      </c>
      <c r="G1596" s="69" t="str">
        <f>TEXT(ASTemp!G1596,Decimals)</f>
        <v/>
      </c>
      <c r="H1596" s="69" t="str">
        <f>TEXT(ASTemp!H1596,Decimals)</f>
        <v/>
      </c>
      <c r="I1596" s="69" t="str">
        <f>TEXT(ASTemp!I1596,Decimals)</f>
        <v/>
      </c>
      <c r="J1596" s="69" t="str">
        <f>TEXT(ASTemp!J1596,Decimals)</f>
        <v/>
      </c>
      <c r="K1596" s="69" t="str">
        <f>TEXT(ASTemp!K1596,Decimals)</f>
        <v/>
      </c>
      <c r="L1596" s="69" t="str">
        <f>TEXT(ASTemp!L1596,Decimals)</f>
        <v/>
      </c>
      <c r="M1596" s="71" t="str">
        <f>TEXT(ASTemp!M1596,Percentages)</f>
        <v/>
      </c>
      <c r="N1596" s="72" t="str">
        <f>TEXT(ASTemp!N1596,Percentages)</f>
        <v/>
      </c>
    </row>
    <row r="1597" ht="14.25" customHeight="1">
      <c r="B1597" s="66" t="str">
        <f>ASTemp!B1597</f>
        <v/>
      </c>
      <c r="C1597" s="67" t="str">
        <f>ASTemp!C1597</f>
        <v/>
      </c>
      <c r="D1597" s="68" t="str">
        <f>ASTemp!D1597</f>
        <v/>
      </c>
      <c r="E1597" s="65" t="str">
        <f>ASTemp!E1597</f>
        <v/>
      </c>
      <c r="F1597" s="69" t="str">
        <f>TEXT(ASTemp!F1597,Decimals)</f>
        <v/>
      </c>
      <c r="G1597" s="69" t="str">
        <f>TEXT(ASTemp!G1597,Decimals)</f>
        <v/>
      </c>
      <c r="H1597" s="69" t="str">
        <f>TEXT(ASTemp!H1597,Decimals)</f>
        <v/>
      </c>
      <c r="I1597" s="69" t="str">
        <f>TEXT(ASTemp!I1597,Decimals)</f>
        <v/>
      </c>
      <c r="J1597" s="69" t="str">
        <f>TEXT(ASTemp!J1597,Decimals)</f>
        <v/>
      </c>
      <c r="K1597" s="69" t="str">
        <f>TEXT(ASTemp!K1597,Decimals)</f>
        <v/>
      </c>
      <c r="L1597" s="69" t="str">
        <f>TEXT(ASTemp!L1597,Decimals)</f>
        <v/>
      </c>
      <c r="M1597" s="71" t="str">
        <f>TEXT(ASTemp!M1597,Percentages)</f>
        <v/>
      </c>
      <c r="N1597" s="72" t="str">
        <f>TEXT(ASTemp!N1597,Percentages)</f>
        <v/>
      </c>
    </row>
    <row r="1598" ht="14.25" customHeight="1">
      <c r="B1598" s="66" t="str">
        <f>ASTemp!B1598</f>
        <v/>
      </c>
      <c r="C1598" s="67" t="str">
        <f>ASTemp!C1598</f>
        <v/>
      </c>
      <c r="D1598" s="68" t="str">
        <f>ASTemp!D1598</f>
        <v/>
      </c>
      <c r="E1598" s="65" t="str">
        <f>ASTemp!E1598</f>
        <v/>
      </c>
      <c r="F1598" s="69" t="str">
        <f>TEXT(ASTemp!F1598,Decimals)</f>
        <v/>
      </c>
      <c r="G1598" s="69" t="str">
        <f>TEXT(ASTemp!G1598,Decimals)</f>
        <v/>
      </c>
      <c r="H1598" s="69" t="str">
        <f>TEXT(ASTemp!H1598,Decimals)</f>
        <v/>
      </c>
      <c r="I1598" s="69" t="str">
        <f>TEXT(ASTemp!I1598,Decimals)</f>
        <v/>
      </c>
      <c r="J1598" s="69" t="str">
        <f>TEXT(ASTemp!J1598,Decimals)</f>
        <v/>
      </c>
      <c r="K1598" s="69" t="str">
        <f>TEXT(ASTemp!K1598,Decimals)</f>
        <v/>
      </c>
      <c r="L1598" s="69" t="str">
        <f>TEXT(ASTemp!L1598,Decimals)</f>
        <v/>
      </c>
      <c r="M1598" s="71" t="str">
        <f>TEXT(ASTemp!M1598,Percentages)</f>
        <v/>
      </c>
      <c r="N1598" s="72" t="str">
        <f>TEXT(ASTemp!N1598,Percentages)</f>
        <v/>
      </c>
    </row>
    <row r="1599" ht="14.25" customHeight="1">
      <c r="B1599" s="66" t="str">
        <f>ASTemp!B1599</f>
        <v/>
      </c>
      <c r="C1599" s="67" t="str">
        <f>ASTemp!C1599</f>
        <v/>
      </c>
      <c r="D1599" s="68" t="str">
        <f>ASTemp!D1599</f>
        <v/>
      </c>
      <c r="E1599" s="65" t="str">
        <f>ASTemp!E1599</f>
        <v/>
      </c>
      <c r="F1599" s="69" t="str">
        <f>TEXT(ASTemp!F1599,Decimals)</f>
        <v/>
      </c>
      <c r="G1599" s="69" t="str">
        <f>TEXT(ASTemp!G1599,Decimals)</f>
        <v/>
      </c>
      <c r="H1599" s="69" t="str">
        <f>TEXT(ASTemp!H1599,Decimals)</f>
        <v/>
      </c>
      <c r="I1599" s="69" t="str">
        <f>TEXT(ASTemp!I1599,Decimals)</f>
        <v/>
      </c>
      <c r="J1599" s="69" t="str">
        <f>TEXT(ASTemp!J1599,Decimals)</f>
        <v/>
      </c>
      <c r="K1599" s="69" t="str">
        <f>TEXT(ASTemp!K1599,Decimals)</f>
        <v/>
      </c>
      <c r="L1599" s="69" t="str">
        <f>TEXT(ASTemp!L1599,Decimals)</f>
        <v/>
      </c>
      <c r="M1599" s="71" t="str">
        <f>TEXT(ASTemp!M1599,Percentages)</f>
        <v/>
      </c>
      <c r="N1599" s="72" t="str">
        <f>TEXT(ASTemp!N1599,Percentages)</f>
        <v/>
      </c>
    </row>
    <row r="1600" ht="14.25" customHeight="1">
      <c r="B1600" s="66" t="str">
        <f>ASTemp!B1600</f>
        <v/>
      </c>
      <c r="C1600" s="67" t="str">
        <f>ASTemp!C1600</f>
        <v/>
      </c>
      <c r="D1600" s="68" t="str">
        <f>ASTemp!D1600</f>
        <v/>
      </c>
      <c r="E1600" s="65" t="str">
        <f>ASTemp!E1600</f>
        <v/>
      </c>
      <c r="F1600" s="69" t="str">
        <f>TEXT(ASTemp!F1600,Decimals)</f>
        <v/>
      </c>
      <c r="G1600" s="69" t="str">
        <f>TEXT(ASTemp!G1600,Decimals)</f>
        <v/>
      </c>
      <c r="H1600" s="69" t="str">
        <f>TEXT(ASTemp!H1600,Decimals)</f>
        <v/>
      </c>
      <c r="I1600" s="69" t="str">
        <f>TEXT(ASTemp!I1600,Decimals)</f>
        <v/>
      </c>
      <c r="J1600" s="69" t="str">
        <f>TEXT(ASTemp!J1600,Decimals)</f>
        <v/>
      </c>
      <c r="K1600" s="69" t="str">
        <f>TEXT(ASTemp!K1600,Decimals)</f>
        <v/>
      </c>
      <c r="L1600" s="69" t="str">
        <f>TEXT(ASTemp!L1600,Decimals)</f>
        <v/>
      </c>
      <c r="M1600" s="71" t="str">
        <f>TEXT(ASTemp!M1600,Percentages)</f>
        <v/>
      </c>
      <c r="N1600" s="72" t="str">
        <f>TEXT(ASTemp!N1600,Percentages)</f>
        <v/>
      </c>
    </row>
    <row r="1601" ht="14.25" customHeight="1">
      <c r="B1601" s="66" t="str">
        <f>ASTemp!B1601</f>
        <v/>
      </c>
      <c r="C1601" s="67" t="str">
        <f>ASTemp!C1601</f>
        <v/>
      </c>
      <c r="D1601" s="68" t="str">
        <f>ASTemp!D1601</f>
        <v/>
      </c>
      <c r="E1601" s="65" t="str">
        <f>ASTemp!E1601</f>
        <v/>
      </c>
      <c r="F1601" s="69" t="str">
        <f>TEXT(ASTemp!F1601,Decimals)</f>
        <v/>
      </c>
      <c r="G1601" s="69" t="str">
        <f>TEXT(ASTemp!G1601,Decimals)</f>
        <v/>
      </c>
      <c r="H1601" s="69" t="str">
        <f>TEXT(ASTemp!H1601,Decimals)</f>
        <v/>
      </c>
      <c r="I1601" s="69" t="str">
        <f>TEXT(ASTemp!I1601,Decimals)</f>
        <v/>
      </c>
      <c r="J1601" s="69" t="str">
        <f>TEXT(ASTemp!J1601,Decimals)</f>
        <v/>
      </c>
      <c r="K1601" s="69" t="str">
        <f>TEXT(ASTemp!K1601,Decimals)</f>
        <v/>
      </c>
      <c r="L1601" s="69" t="str">
        <f>TEXT(ASTemp!L1601,Decimals)</f>
        <v/>
      </c>
      <c r="M1601" s="71" t="str">
        <f>TEXT(ASTemp!M1601,Percentages)</f>
        <v/>
      </c>
      <c r="N1601" s="72" t="str">
        <f>TEXT(ASTemp!N1601,Percentages)</f>
        <v/>
      </c>
    </row>
    <row r="1602" ht="14.25" customHeight="1">
      <c r="B1602" s="66" t="str">
        <f>ASTemp!B1602</f>
        <v/>
      </c>
      <c r="C1602" s="67" t="str">
        <f>ASTemp!C1602</f>
        <v/>
      </c>
      <c r="D1602" s="68" t="str">
        <f>ASTemp!D1602</f>
        <v/>
      </c>
      <c r="E1602" s="65" t="str">
        <f>ASTemp!E1602</f>
        <v/>
      </c>
      <c r="F1602" s="69" t="str">
        <f>TEXT(ASTemp!F1602,Decimals)</f>
        <v/>
      </c>
      <c r="G1602" s="69" t="str">
        <f>TEXT(ASTemp!G1602,Decimals)</f>
        <v/>
      </c>
      <c r="H1602" s="69" t="str">
        <f>TEXT(ASTemp!H1602,Decimals)</f>
        <v/>
      </c>
      <c r="I1602" s="69" t="str">
        <f>TEXT(ASTemp!I1602,Decimals)</f>
        <v/>
      </c>
      <c r="J1602" s="69" t="str">
        <f>TEXT(ASTemp!J1602,Decimals)</f>
        <v/>
      </c>
      <c r="K1602" s="69" t="str">
        <f>TEXT(ASTemp!K1602,Decimals)</f>
        <v/>
      </c>
      <c r="L1602" s="69" t="str">
        <f>TEXT(ASTemp!L1602,Decimals)</f>
        <v/>
      </c>
      <c r="M1602" s="71" t="str">
        <f>TEXT(ASTemp!M1602,Percentages)</f>
        <v/>
      </c>
      <c r="N1602" s="72" t="str">
        <f>TEXT(ASTemp!N1602,Percentages)</f>
        <v/>
      </c>
    </row>
    <row r="1603" ht="14.25" customHeight="1">
      <c r="B1603" s="66" t="str">
        <f>ASTemp!B1603</f>
        <v/>
      </c>
      <c r="C1603" s="67" t="str">
        <f>ASTemp!C1603</f>
        <v/>
      </c>
      <c r="D1603" s="68" t="str">
        <f>ASTemp!D1603</f>
        <v/>
      </c>
      <c r="E1603" s="65" t="str">
        <f>ASTemp!E1603</f>
        <v/>
      </c>
      <c r="F1603" s="69" t="str">
        <f>TEXT(ASTemp!F1603,Decimals)</f>
        <v/>
      </c>
      <c r="G1603" s="69" t="str">
        <f>TEXT(ASTemp!G1603,Decimals)</f>
        <v/>
      </c>
      <c r="H1603" s="69" t="str">
        <f>TEXT(ASTemp!H1603,Decimals)</f>
        <v/>
      </c>
      <c r="I1603" s="69" t="str">
        <f>TEXT(ASTemp!I1603,Decimals)</f>
        <v/>
      </c>
      <c r="J1603" s="69" t="str">
        <f>TEXT(ASTemp!J1603,Decimals)</f>
        <v/>
      </c>
      <c r="K1603" s="69" t="str">
        <f>TEXT(ASTemp!K1603,Decimals)</f>
        <v/>
      </c>
      <c r="L1603" s="69" t="str">
        <f>TEXT(ASTemp!L1603,Decimals)</f>
        <v/>
      </c>
      <c r="M1603" s="71" t="str">
        <f>TEXT(ASTemp!M1603,Percentages)</f>
        <v/>
      </c>
      <c r="N1603" s="72" t="str">
        <f>TEXT(ASTemp!N1603,Percentages)</f>
        <v/>
      </c>
    </row>
    <row r="1604" ht="14.25" customHeight="1">
      <c r="B1604" s="66" t="str">
        <f>ASTemp!B1604</f>
        <v/>
      </c>
      <c r="C1604" s="67" t="str">
        <f>ASTemp!C1604</f>
        <v/>
      </c>
      <c r="D1604" s="68" t="str">
        <f>ASTemp!D1604</f>
        <v/>
      </c>
      <c r="E1604" s="65" t="str">
        <f>ASTemp!E1604</f>
        <v/>
      </c>
      <c r="F1604" s="69" t="str">
        <f>TEXT(ASTemp!F1604,Decimals)</f>
        <v/>
      </c>
      <c r="G1604" s="69" t="str">
        <f>TEXT(ASTemp!G1604,Decimals)</f>
        <v/>
      </c>
      <c r="H1604" s="69" t="str">
        <f>TEXT(ASTemp!H1604,Decimals)</f>
        <v/>
      </c>
      <c r="I1604" s="69" t="str">
        <f>TEXT(ASTemp!I1604,Decimals)</f>
        <v/>
      </c>
      <c r="J1604" s="69" t="str">
        <f>TEXT(ASTemp!J1604,Decimals)</f>
        <v/>
      </c>
      <c r="K1604" s="69" t="str">
        <f>TEXT(ASTemp!K1604,Decimals)</f>
        <v/>
      </c>
      <c r="L1604" s="69" t="str">
        <f>TEXT(ASTemp!L1604,Decimals)</f>
        <v/>
      </c>
      <c r="M1604" s="71" t="str">
        <f>TEXT(ASTemp!M1604,Percentages)</f>
        <v/>
      </c>
      <c r="N1604" s="72" t="str">
        <f>TEXT(ASTemp!N1604,Percentages)</f>
        <v/>
      </c>
    </row>
    <row r="1605" ht="14.25" customHeight="1">
      <c r="B1605" s="66" t="str">
        <f>ASTemp!B1605</f>
        <v/>
      </c>
      <c r="C1605" s="67" t="str">
        <f>ASTemp!C1605</f>
        <v/>
      </c>
      <c r="D1605" s="68" t="str">
        <f>ASTemp!D1605</f>
        <v/>
      </c>
      <c r="E1605" s="65" t="str">
        <f>ASTemp!E1605</f>
        <v/>
      </c>
      <c r="F1605" s="69" t="str">
        <f>TEXT(ASTemp!F1605,Decimals)</f>
        <v/>
      </c>
      <c r="G1605" s="69" t="str">
        <f>TEXT(ASTemp!G1605,Decimals)</f>
        <v/>
      </c>
      <c r="H1605" s="69" t="str">
        <f>TEXT(ASTemp!H1605,Decimals)</f>
        <v/>
      </c>
      <c r="I1605" s="69" t="str">
        <f>TEXT(ASTemp!I1605,Decimals)</f>
        <v/>
      </c>
      <c r="J1605" s="69" t="str">
        <f>TEXT(ASTemp!J1605,Decimals)</f>
        <v/>
      </c>
      <c r="K1605" s="69" t="str">
        <f>TEXT(ASTemp!K1605,Decimals)</f>
        <v/>
      </c>
      <c r="L1605" s="69" t="str">
        <f>TEXT(ASTemp!L1605,Decimals)</f>
        <v/>
      </c>
      <c r="M1605" s="71" t="str">
        <f>TEXT(ASTemp!M1605,Percentages)</f>
        <v/>
      </c>
      <c r="N1605" s="72" t="str">
        <f>TEXT(ASTemp!N1605,Percentages)</f>
        <v/>
      </c>
    </row>
    <row r="1606" ht="14.25" customHeight="1">
      <c r="B1606" s="66" t="str">
        <f>ASTemp!B1606</f>
        <v/>
      </c>
      <c r="C1606" s="67" t="str">
        <f>ASTemp!C1606</f>
        <v/>
      </c>
      <c r="D1606" s="68" t="str">
        <f>ASTemp!D1606</f>
        <v/>
      </c>
      <c r="E1606" s="65" t="str">
        <f>ASTemp!E1606</f>
        <v/>
      </c>
      <c r="F1606" s="69" t="str">
        <f>TEXT(ASTemp!F1606,Decimals)</f>
        <v/>
      </c>
      <c r="G1606" s="69" t="str">
        <f>TEXT(ASTemp!G1606,Decimals)</f>
        <v/>
      </c>
      <c r="H1606" s="69" t="str">
        <f>TEXT(ASTemp!H1606,Decimals)</f>
        <v/>
      </c>
      <c r="I1606" s="69" t="str">
        <f>TEXT(ASTemp!I1606,Decimals)</f>
        <v/>
      </c>
      <c r="J1606" s="69" t="str">
        <f>TEXT(ASTemp!J1606,Decimals)</f>
        <v/>
      </c>
      <c r="K1606" s="69" t="str">
        <f>TEXT(ASTemp!K1606,Decimals)</f>
        <v/>
      </c>
      <c r="L1606" s="69" t="str">
        <f>TEXT(ASTemp!L1606,Decimals)</f>
        <v/>
      </c>
      <c r="M1606" s="71" t="str">
        <f>TEXT(ASTemp!M1606,Percentages)</f>
        <v/>
      </c>
      <c r="N1606" s="72" t="str">
        <f>TEXT(ASTemp!N1606,Percentages)</f>
        <v/>
      </c>
    </row>
    <row r="1607" ht="14.25" customHeight="1">
      <c r="B1607" s="66" t="str">
        <f>ASTemp!B1607</f>
        <v/>
      </c>
      <c r="C1607" s="67" t="str">
        <f>ASTemp!C1607</f>
        <v/>
      </c>
      <c r="D1607" s="68" t="str">
        <f>ASTemp!D1607</f>
        <v/>
      </c>
      <c r="E1607" s="65" t="str">
        <f>ASTemp!E1607</f>
        <v/>
      </c>
      <c r="F1607" s="69" t="str">
        <f>TEXT(ASTemp!F1607,Decimals)</f>
        <v/>
      </c>
      <c r="G1607" s="69" t="str">
        <f>TEXT(ASTemp!G1607,Decimals)</f>
        <v/>
      </c>
      <c r="H1607" s="69" t="str">
        <f>TEXT(ASTemp!H1607,Decimals)</f>
        <v/>
      </c>
      <c r="I1607" s="69" t="str">
        <f>TEXT(ASTemp!I1607,Decimals)</f>
        <v/>
      </c>
      <c r="J1607" s="69" t="str">
        <f>TEXT(ASTemp!J1607,Decimals)</f>
        <v/>
      </c>
      <c r="K1607" s="69" t="str">
        <f>TEXT(ASTemp!K1607,Decimals)</f>
        <v/>
      </c>
      <c r="L1607" s="69" t="str">
        <f>TEXT(ASTemp!L1607,Decimals)</f>
        <v/>
      </c>
      <c r="M1607" s="71" t="str">
        <f>TEXT(ASTemp!M1607,Percentages)</f>
        <v/>
      </c>
      <c r="N1607" s="72" t="str">
        <f>TEXT(ASTemp!N1607,Percentages)</f>
        <v/>
      </c>
    </row>
    <row r="1608" ht="14.25" customHeight="1">
      <c r="B1608" s="66" t="str">
        <f>ASTemp!B1608</f>
        <v/>
      </c>
      <c r="C1608" s="67" t="str">
        <f>ASTemp!C1608</f>
        <v/>
      </c>
      <c r="D1608" s="68" t="str">
        <f>ASTemp!D1608</f>
        <v/>
      </c>
      <c r="E1608" s="65" t="str">
        <f>ASTemp!E1608</f>
        <v/>
      </c>
      <c r="F1608" s="69" t="str">
        <f>TEXT(ASTemp!F1608,Decimals)</f>
        <v/>
      </c>
      <c r="G1608" s="69" t="str">
        <f>TEXT(ASTemp!G1608,Decimals)</f>
        <v/>
      </c>
      <c r="H1608" s="69" t="str">
        <f>TEXT(ASTemp!H1608,Decimals)</f>
        <v/>
      </c>
      <c r="I1608" s="69" t="str">
        <f>TEXT(ASTemp!I1608,Decimals)</f>
        <v/>
      </c>
      <c r="J1608" s="69" t="str">
        <f>TEXT(ASTemp!J1608,Decimals)</f>
        <v/>
      </c>
      <c r="K1608" s="69" t="str">
        <f>TEXT(ASTemp!K1608,Decimals)</f>
        <v/>
      </c>
      <c r="L1608" s="69" t="str">
        <f>TEXT(ASTemp!L1608,Decimals)</f>
        <v/>
      </c>
      <c r="M1608" s="71" t="str">
        <f>TEXT(ASTemp!M1608,Percentages)</f>
        <v/>
      </c>
      <c r="N1608" s="72" t="str">
        <f>TEXT(ASTemp!N1608,Percentages)</f>
        <v/>
      </c>
    </row>
    <row r="1609" ht="14.25" customHeight="1">
      <c r="B1609" s="66" t="str">
        <f>ASTemp!B1609</f>
        <v/>
      </c>
      <c r="C1609" s="67" t="str">
        <f>ASTemp!C1609</f>
        <v/>
      </c>
      <c r="D1609" s="68" t="str">
        <f>ASTemp!D1609</f>
        <v/>
      </c>
      <c r="E1609" s="65" t="str">
        <f>ASTemp!E1609</f>
        <v/>
      </c>
      <c r="F1609" s="69" t="str">
        <f>TEXT(ASTemp!F1609,Decimals)</f>
        <v/>
      </c>
      <c r="G1609" s="69" t="str">
        <f>TEXT(ASTemp!G1609,Decimals)</f>
        <v/>
      </c>
      <c r="H1609" s="69" t="str">
        <f>TEXT(ASTemp!H1609,Decimals)</f>
        <v/>
      </c>
      <c r="I1609" s="69" t="str">
        <f>TEXT(ASTemp!I1609,Decimals)</f>
        <v/>
      </c>
      <c r="J1609" s="69" t="str">
        <f>TEXT(ASTemp!J1609,Decimals)</f>
        <v/>
      </c>
      <c r="K1609" s="69" t="str">
        <f>TEXT(ASTemp!K1609,Decimals)</f>
        <v/>
      </c>
      <c r="L1609" s="69" t="str">
        <f>TEXT(ASTemp!L1609,Decimals)</f>
        <v/>
      </c>
      <c r="M1609" s="71" t="str">
        <f>TEXT(ASTemp!M1609,Percentages)</f>
        <v/>
      </c>
      <c r="N1609" s="72" t="str">
        <f>TEXT(ASTemp!N1609,Percentages)</f>
        <v/>
      </c>
    </row>
    <row r="1610" ht="14.25" customHeight="1">
      <c r="B1610" s="66" t="str">
        <f>ASTemp!B1610</f>
        <v/>
      </c>
      <c r="C1610" s="67" t="str">
        <f>ASTemp!C1610</f>
        <v/>
      </c>
      <c r="D1610" s="68" t="str">
        <f>ASTemp!D1610</f>
        <v/>
      </c>
      <c r="E1610" s="65" t="str">
        <f>ASTemp!E1610</f>
        <v/>
      </c>
      <c r="F1610" s="69" t="str">
        <f>TEXT(ASTemp!F1610,Decimals)</f>
        <v/>
      </c>
      <c r="G1610" s="69" t="str">
        <f>TEXT(ASTemp!G1610,Decimals)</f>
        <v/>
      </c>
      <c r="H1610" s="69" t="str">
        <f>TEXT(ASTemp!H1610,Decimals)</f>
        <v/>
      </c>
      <c r="I1610" s="69" t="str">
        <f>TEXT(ASTemp!I1610,Decimals)</f>
        <v/>
      </c>
      <c r="J1610" s="69" t="str">
        <f>TEXT(ASTemp!J1610,Decimals)</f>
        <v/>
      </c>
      <c r="K1610" s="69" t="str">
        <f>TEXT(ASTemp!K1610,Decimals)</f>
        <v/>
      </c>
      <c r="L1610" s="69" t="str">
        <f>TEXT(ASTemp!L1610,Decimals)</f>
        <v/>
      </c>
      <c r="M1610" s="71" t="str">
        <f>TEXT(ASTemp!M1610,Percentages)</f>
        <v/>
      </c>
      <c r="N1610" s="72" t="str">
        <f>TEXT(ASTemp!N1610,Percentages)</f>
        <v/>
      </c>
    </row>
    <row r="1611" ht="14.25" customHeight="1">
      <c r="B1611" s="66" t="str">
        <f>ASTemp!B1611</f>
        <v/>
      </c>
      <c r="C1611" s="67" t="str">
        <f>ASTemp!C1611</f>
        <v/>
      </c>
      <c r="D1611" s="68" t="str">
        <f>ASTemp!D1611</f>
        <v/>
      </c>
      <c r="E1611" s="65" t="str">
        <f>ASTemp!E1611</f>
        <v/>
      </c>
      <c r="F1611" s="69" t="str">
        <f>TEXT(ASTemp!F1611,Decimals)</f>
        <v/>
      </c>
      <c r="G1611" s="69" t="str">
        <f>TEXT(ASTemp!G1611,Decimals)</f>
        <v/>
      </c>
      <c r="H1611" s="69" t="str">
        <f>TEXT(ASTemp!H1611,Decimals)</f>
        <v/>
      </c>
      <c r="I1611" s="69" t="str">
        <f>TEXT(ASTemp!I1611,Decimals)</f>
        <v/>
      </c>
      <c r="J1611" s="69" t="str">
        <f>TEXT(ASTemp!J1611,Decimals)</f>
        <v/>
      </c>
      <c r="K1611" s="69" t="str">
        <f>TEXT(ASTemp!K1611,Decimals)</f>
        <v/>
      </c>
      <c r="L1611" s="69" t="str">
        <f>TEXT(ASTemp!L1611,Decimals)</f>
        <v/>
      </c>
      <c r="M1611" s="71" t="str">
        <f>TEXT(ASTemp!M1611,Percentages)</f>
        <v/>
      </c>
      <c r="N1611" s="72" t="str">
        <f>TEXT(ASTemp!N1611,Percentages)</f>
        <v/>
      </c>
    </row>
    <row r="1612" ht="14.25" customHeight="1">
      <c r="B1612" s="66" t="str">
        <f>ASTemp!B1612</f>
        <v/>
      </c>
      <c r="C1612" s="67" t="str">
        <f>ASTemp!C1612</f>
        <v/>
      </c>
      <c r="D1612" s="68" t="str">
        <f>ASTemp!D1612</f>
        <v/>
      </c>
      <c r="E1612" s="65" t="str">
        <f>ASTemp!E1612</f>
        <v/>
      </c>
      <c r="F1612" s="69" t="str">
        <f>TEXT(ASTemp!F1612,Decimals)</f>
        <v/>
      </c>
      <c r="G1612" s="69" t="str">
        <f>TEXT(ASTemp!G1612,Decimals)</f>
        <v/>
      </c>
      <c r="H1612" s="69" t="str">
        <f>TEXT(ASTemp!H1612,Decimals)</f>
        <v/>
      </c>
      <c r="I1612" s="69" t="str">
        <f>TEXT(ASTemp!I1612,Decimals)</f>
        <v/>
      </c>
      <c r="J1612" s="69" t="str">
        <f>TEXT(ASTemp!J1612,Decimals)</f>
        <v/>
      </c>
      <c r="K1612" s="69" t="str">
        <f>TEXT(ASTemp!K1612,Decimals)</f>
        <v/>
      </c>
      <c r="L1612" s="69" t="str">
        <f>TEXT(ASTemp!L1612,Decimals)</f>
        <v/>
      </c>
      <c r="M1612" s="71" t="str">
        <f>TEXT(ASTemp!M1612,Percentages)</f>
        <v/>
      </c>
      <c r="N1612" s="72" t="str">
        <f>TEXT(ASTemp!N1612,Percentages)</f>
        <v/>
      </c>
    </row>
    <row r="1613" ht="14.25" customHeight="1">
      <c r="B1613" s="66" t="str">
        <f>ASTemp!B1613</f>
        <v/>
      </c>
      <c r="C1613" s="67" t="str">
        <f>ASTemp!C1613</f>
        <v/>
      </c>
      <c r="D1613" s="68" t="str">
        <f>ASTemp!D1613</f>
        <v/>
      </c>
      <c r="E1613" s="65" t="str">
        <f>ASTemp!E1613</f>
        <v/>
      </c>
      <c r="F1613" s="69" t="str">
        <f>TEXT(ASTemp!F1613,Decimals)</f>
        <v/>
      </c>
      <c r="G1613" s="69" t="str">
        <f>TEXT(ASTemp!G1613,Decimals)</f>
        <v/>
      </c>
      <c r="H1613" s="69" t="str">
        <f>TEXT(ASTemp!H1613,Decimals)</f>
        <v/>
      </c>
      <c r="I1613" s="69" t="str">
        <f>TEXT(ASTemp!I1613,Decimals)</f>
        <v/>
      </c>
      <c r="J1613" s="69" t="str">
        <f>TEXT(ASTemp!J1613,Decimals)</f>
        <v/>
      </c>
      <c r="K1613" s="69" t="str">
        <f>TEXT(ASTemp!K1613,Decimals)</f>
        <v/>
      </c>
      <c r="L1613" s="69" t="str">
        <f>TEXT(ASTemp!L1613,Decimals)</f>
        <v/>
      </c>
      <c r="M1613" s="71" t="str">
        <f>TEXT(ASTemp!M1613,Percentages)</f>
        <v/>
      </c>
      <c r="N1613" s="72" t="str">
        <f>TEXT(ASTemp!N1613,Percentages)</f>
        <v/>
      </c>
    </row>
    <row r="1614" ht="14.25" customHeight="1">
      <c r="B1614" s="66" t="str">
        <f>ASTemp!B1614</f>
        <v/>
      </c>
      <c r="C1614" s="67" t="str">
        <f>ASTemp!C1614</f>
        <v/>
      </c>
      <c r="D1614" s="68" t="str">
        <f>ASTemp!D1614</f>
        <v/>
      </c>
      <c r="E1614" s="65" t="str">
        <f>ASTemp!E1614</f>
        <v/>
      </c>
      <c r="F1614" s="69" t="str">
        <f>TEXT(ASTemp!F1614,Decimals)</f>
        <v/>
      </c>
      <c r="G1614" s="69" t="str">
        <f>TEXT(ASTemp!G1614,Decimals)</f>
        <v/>
      </c>
      <c r="H1614" s="69" t="str">
        <f>TEXT(ASTemp!H1614,Decimals)</f>
        <v/>
      </c>
      <c r="I1614" s="69" t="str">
        <f>TEXT(ASTemp!I1614,Decimals)</f>
        <v/>
      </c>
      <c r="J1614" s="69" t="str">
        <f>TEXT(ASTemp!J1614,Decimals)</f>
        <v/>
      </c>
      <c r="K1614" s="69" t="str">
        <f>TEXT(ASTemp!K1614,Decimals)</f>
        <v/>
      </c>
      <c r="L1614" s="69" t="str">
        <f>TEXT(ASTemp!L1614,Decimals)</f>
        <v/>
      </c>
      <c r="M1614" s="71" t="str">
        <f>TEXT(ASTemp!M1614,Percentages)</f>
        <v/>
      </c>
      <c r="N1614" s="72" t="str">
        <f>TEXT(ASTemp!N1614,Percentages)</f>
        <v/>
      </c>
    </row>
    <row r="1615" ht="14.25" customHeight="1">
      <c r="B1615" s="66" t="str">
        <f>ASTemp!B1615</f>
        <v/>
      </c>
      <c r="C1615" s="67" t="str">
        <f>ASTemp!C1615</f>
        <v/>
      </c>
      <c r="D1615" s="68" t="str">
        <f>ASTemp!D1615</f>
        <v/>
      </c>
      <c r="E1615" s="65" t="str">
        <f>ASTemp!E1615</f>
        <v/>
      </c>
      <c r="F1615" s="69" t="str">
        <f>TEXT(ASTemp!F1615,Decimals)</f>
        <v/>
      </c>
      <c r="G1615" s="69" t="str">
        <f>TEXT(ASTemp!G1615,Decimals)</f>
        <v/>
      </c>
      <c r="H1615" s="69" t="str">
        <f>TEXT(ASTemp!H1615,Decimals)</f>
        <v/>
      </c>
      <c r="I1615" s="69" t="str">
        <f>TEXT(ASTemp!I1615,Decimals)</f>
        <v/>
      </c>
      <c r="J1615" s="69" t="str">
        <f>TEXT(ASTemp!J1615,Decimals)</f>
        <v/>
      </c>
      <c r="K1615" s="69" t="str">
        <f>TEXT(ASTemp!K1615,Decimals)</f>
        <v/>
      </c>
      <c r="L1615" s="69" t="str">
        <f>TEXT(ASTemp!L1615,Decimals)</f>
        <v/>
      </c>
      <c r="M1615" s="71" t="str">
        <f>TEXT(ASTemp!M1615,Percentages)</f>
        <v/>
      </c>
      <c r="N1615" s="72" t="str">
        <f>TEXT(ASTemp!N1615,Percentages)</f>
        <v/>
      </c>
    </row>
    <row r="1616" ht="14.25" customHeight="1">
      <c r="B1616" s="66" t="str">
        <f>ASTemp!B1616</f>
        <v/>
      </c>
      <c r="C1616" s="67" t="str">
        <f>ASTemp!C1616</f>
        <v/>
      </c>
      <c r="D1616" s="68" t="str">
        <f>ASTemp!D1616</f>
        <v/>
      </c>
      <c r="E1616" s="65" t="str">
        <f>ASTemp!E1616</f>
        <v/>
      </c>
      <c r="F1616" s="69" t="str">
        <f>TEXT(ASTemp!F1616,Decimals)</f>
        <v/>
      </c>
      <c r="G1616" s="69" t="str">
        <f>TEXT(ASTemp!G1616,Decimals)</f>
        <v/>
      </c>
      <c r="H1616" s="69" t="str">
        <f>TEXT(ASTemp!H1616,Decimals)</f>
        <v/>
      </c>
      <c r="I1616" s="69" t="str">
        <f>TEXT(ASTemp!I1616,Decimals)</f>
        <v/>
      </c>
      <c r="J1616" s="69" t="str">
        <f>TEXT(ASTemp!J1616,Decimals)</f>
        <v/>
      </c>
      <c r="K1616" s="69" t="str">
        <f>TEXT(ASTemp!K1616,Decimals)</f>
        <v/>
      </c>
      <c r="L1616" s="69" t="str">
        <f>TEXT(ASTemp!L1616,Decimals)</f>
        <v/>
      </c>
      <c r="M1616" s="71" t="str">
        <f>TEXT(ASTemp!M1616,Percentages)</f>
        <v/>
      </c>
      <c r="N1616" s="72" t="str">
        <f>TEXT(ASTemp!N1616,Percentages)</f>
        <v/>
      </c>
    </row>
    <row r="1617" ht="14.25" customHeight="1">
      <c r="B1617" s="66" t="str">
        <f>ASTemp!B1617</f>
        <v/>
      </c>
      <c r="C1617" s="67" t="str">
        <f>ASTemp!C1617</f>
        <v/>
      </c>
      <c r="D1617" s="68" t="str">
        <f>ASTemp!D1617</f>
        <v/>
      </c>
      <c r="E1617" s="65" t="str">
        <f>ASTemp!E1617</f>
        <v/>
      </c>
      <c r="F1617" s="69" t="str">
        <f>TEXT(ASTemp!F1617,Decimals)</f>
        <v/>
      </c>
      <c r="G1617" s="69" t="str">
        <f>TEXT(ASTemp!G1617,Decimals)</f>
        <v/>
      </c>
      <c r="H1617" s="69" t="str">
        <f>TEXT(ASTemp!H1617,Decimals)</f>
        <v/>
      </c>
      <c r="I1617" s="69" t="str">
        <f>TEXT(ASTemp!I1617,Decimals)</f>
        <v/>
      </c>
      <c r="J1617" s="69" t="str">
        <f>TEXT(ASTemp!J1617,Decimals)</f>
        <v/>
      </c>
      <c r="K1617" s="69" t="str">
        <f>TEXT(ASTemp!K1617,Decimals)</f>
        <v/>
      </c>
      <c r="L1617" s="69" t="str">
        <f>TEXT(ASTemp!L1617,Decimals)</f>
        <v/>
      </c>
      <c r="M1617" s="71" t="str">
        <f>TEXT(ASTemp!M1617,Percentages)</f>
        <v/>
      </c>
      <c r="N1617" s="72" t="str">
        <f>TEXT(ASTemp!N1617,Percentages)</f>
        <v/>
      </c>
    </row>
    <row r="1618" ht="14.25" customHeight="1">
      <c r="B1618" s="66" t="str">
        <f>ASTemp!B1618</f>
        <v/>
      </c>
      <c r="C1618" s="67" t="str">
        <f>ASTemp!C1618</f>
        <v/>
      </c>
      <c r="D1618" s="68" t="str">
        <f>ASTemp!D1618</f>
        <v/>
      </c>
      <c r="E1618" s="65" t="str">
        <f>ASTemp!E1618</f>
        <v/>
      </c>
      <c r="F1618" s="69" t="str">
        <f>TEXT(ASTemp!F1618,Decimals)</f>
        <v/>
      </c>
      <c r="G1618" s="69" t="str">
        <f>TEXT(ASTemp!G1618,Decimals)</f>
        <v/>
      </c>
      <c r="H1618" s="69" t="str">
        <f>TEXT(ASTemp!H1618,Decimals)</f>
        <v/>
      </c>
      <c r="I1618" s="69" t="str">
        <f>TEXT(ASTemp!I1618,Decimals)</f>
        <v/>
      </c>
      <c r="J1618" s="69" t="str">
        <f>TEXT(ASTemp!J1618,Decimals)</f>
        <v/>
      </c>
      <c r="K1618" s="69" t="str">
        <f>TEXT(ASTemp!K1618,Decimals)</f>
        <v/>
      </c>
      <c r="L1618" s="69" t="str">
        <f>TEXT(ASTemp!L1618,Decimals)</f>
        <v/>
      </c>
      <c r="M1618" s="71" t="str">
        <f>TEXT(ASTemp!M1618,Percentages)</f>
        <v/>
      </c>
      <c r="N1618" s="72" t="str">
        <f>TEXT(ASTemp!N1618,Percentages)</f>
        <v/>
      </c>
    </row>
    <row r="1619" ht="14.25" customHeight="1">
      <c r="B1619" s="66" t="str">
        <f>ASTemp!B1619</f>
        <v/>
      </c>
      <c r="C1619" s="67" t="str">
        <f>ASTemp!C1619</f>
        <v/>
      </c>
      <c r="D1619" s="68" t="str">
        <f>ASTemp!D1619</f>
        <v/>
      </c>
      <c r="E1619" s="65" t="str">
        <f>ASTemp!E1619</f>
        <v/>
      </c>
      <c r="F1619" s="69" t="str">
        <f>TEXT(ASTemp!F1619,Decimals)</f>
        <v/>
      </c>
      <c r="G1619" s="69" t="str">
        <f>TEXT(ASTemp!G1619,Decimals)</f>
        <v/>
      </c>
      <c r="H1619" s="69" t="str">
        <f>TEXT(ASTemp!H1619,Decimals)</f>
        <v/>
      </c>
      <c r="I1619" s="69" t="str">
        <f>TEXT(ASTemp!I1619,Decimals)</f>
        <v/>
      </c>
      <c r="J1619" s="69" t="str">
        <f>TEXT(ASTemp!J1619,Decimals)</f>
        <v/>
      </c>
      <c r="K1619" s="69" t="str">
        <f>TEXT(ASTemp!K1619,Decimals)</f>
        <v/>
      </c>
      <c r="L1619" s="69" t="str">
        <f>TEXT(ASTemp!L1619,Decimals)</f>
        <v/>
      </c>
      <c r="M1619" s="71" t="str">
        <f>TEXT(ASTemp!M1619,Percentages)</f>
        <v/>
      </c>
      <c r="N1619" s="72" t="str">
        <f>TEXT(ASTemp!N1619,Percentages)</f>
        <v/>
      </c>
    </row>
    <row r="1620" ht="14.25" customHeight="1">
      <c r="B1620" s="66" t="str">
        <f>ASTemp!B1620</f>
        <v/>
      </c>
      <c r="C1620" s="67" t="str">
        <f>ASTemp!C1620</f>
        <v/>
      </c>
      <c r="D1620" s="68" t="str">
        <f>ASTemp!D1620</f>
        <v/>
      </c>
      <c r="E1620" s="65" t="str">
        <f>ASTemp!E1620</f>
        <v/>
      </c>
      <c r="F1620" s="69" t="str">
        <f>TEXT(ASTemp!F1620,Decimals)</f>
        <v/>
      </c>
      <c r="G1620" s="69" t="str">
        <f>TEXT(ASTemp!G1620,Decimals)</f>
        <v/>
      </c>
      <c r="H1620" s="69" t="str">
        <f>TEXT(ASTemp!H1620,Decimals)</f>
        <v/>
      </c>
      <c r="I1620" s="69" t="str">
        <f>TEXT(ASTemp!I1620,Decimals)</f>
        <v/>
      </c>
      <c r="J1620" s="69" t="str">
        <f>TEXT(ASTemp!J1620,Decimals)</f>
        <v/>
      </c>
      <c r="K1620" s="69" t="str">
        <f>TEXT(ASTemp!K1620,Decimals)</f>
        <v/>
      </c>
      <c r="L1620" s="69" t="str">
        <f>TEXT(ASTemp!L1620,Decimals)</f>
        <v/>
      </c>
      <c r="M1620" s="71" t="str">
        <f>TEXT(ASTemp!M1620,Percentages)</f>
        <v/>
      </c>
      <c r="N1620" s="72" t="str">
        <f>TEXT(ASTemp!N1620,Percentages)</f>
        <v/>
      </c>
    </row>
    <row r="1621" ht="14.25" customHeight="1">
      <c r="B1621" s="66" t="str">
        <f>ASTemp!B1621</f>
        <v/>
      </c>
      <c r="C1621" s="67" t="str">
        <f>ASTemp!C1621</f>
        <v/>
      </c>
      <c r="D1621" s="68" t="str">
        <f>ASTemp!D1621</f>
        <v/>
      </c>
      <c r="E1621" s="65" t="str">
        <f>ASTemp!E1621</f>
        <v/>
      </c>
      <c r="F1621" s="69" t="str">
        <f>TEXT(ASTemp!F1621,Decimals)</f>
        <v/>
      </c>
      <c r="G1621" s="69" t="str">
        <f>TEXT(ASTemp!G1621,Decimals)</f>
        <v/>
      </c>
      <c r="H1621" s="69" t="str">
        <f>TEXT(ASTemp!H1621,Decimals)</f>
        <v/>
      </c>
      <c r="I1621" s="69" t="str">
        <f>TEXT(ASTemp!I1621,Decimals)</f>
        <v/>
      </c>
      <c r="J1621" s="69" t="str">
        <f>TEXT(ASTemp!J1621,Decimals)</f>
        <v/>
      </c>
      <c r="K1621" s="69" t="str">
        <f>TEXT(ASTemp!K1621,Decimals)</f>
        <v/>
      </c>
      <c r="L1621" s="69" t="str">
        <f>TEXT(ASTemp!L1621,Decimals)</f>
        <v/>
      </c>
      <c r="M1621" s="71" t="str">
        <f>TEXT(ASTemp!M1621,Percentages)</f>
        <v/>
      </c>
      <c r="N1621" s="72" t="str">
        <f>TEXT(ASTemp!N1621,Percentages)</f>
        <v/>
      </c>
    </row>
    <row r="1622" ht="14.25" customHeight="1">
      <c r="B1622" s="66" t="str">
        <f>ASTemp!B1622</f>
        <v/>
      </c>
      <c r="C1622" s="67" t="str">
        <f>ASTemp!C1622</f>
        <v/>
      </c>
      <c r="D1622" s="68" t="str">
        <f>ASTemp!D1622</f>
        <v/>
      </c>
      <c r="E1622" s="65" t="str">
        <f>ASTemp!E1622</f>
        <v/>
      </c>
      <c r="F1622" s="69" t="str">
        <f>TEXT(ASTemp!F1622,Decimals)</f>
        <v/>
      </c>
      <c r="G1622" s="69" t="str">
        <f>TEXT(ASTemp!G1622,Decimals)</f>
        <v/>
      </c>
      <c r="H1622" s="69" t="str">
        <f>TEXT(ASTemp!H1622,Decimals)</f>
        <v/>
      </c>
      <c r="I1622" s="69" t="str">
        <f>TEXT(ASTemp!I1622,Decimals)</f>
        <v/>
      </c>
      <c r="J1622" s="69" t="str">
        <f>TEXT(ASTemp!J1622,Decimals)</f>
        <v/>
      </c>
      <c r="K1622" s="69" t="str">
        <f>TEXT(ASTemp!K1622,Decimals)</f>
        <v/>
      </c>
      <c r="L1622" s="69" t="str">
        <f>TEXT(ASTemp!L1622,Decimals)</f>
        <v/>
      </c>
      <c r="M1622" s="71" t="str">
        <f>TEXT(ASTemp!M1622,Percentages)</f>
        <v/>
      </c>
      <c r="N1622" s="72" t="str">
        <f>TEXT(ASTemp!N1622,Percentages)</f>
        <v/>
      </c>
    </row>
    <row r="1623" ht="14.25" customHeight="1">
      <c r="B1623" s="66" t="str">
        <f>ASTemp!B1623</f>
        <v/>
      </c>
      <c r="C1623" s="67" t="str">
        <f>ASTemp!C1623</f>
        <v/>
      </c>
      <c r="D1623" s="68" t="str">
        <f>ASTemp!D1623</f>
        <v/>
      </c>
      <c r="E1623" s="65" t="str">
        <f>ASTemp!E1623</f>
        <v/>
      </c>
      <c r="F1623" s="69" t="str">
        <f>TEXT(ASTemp!F1623,Decimals)</f>
        <v/>
      </c>
      <c r="G1623" s="69" t="str">
        <f>TEXT(ASTemp!G1623,Decimals)</f>
        <v/>
      </c>
      <c r="H1623" s="69" t="str">
        <f>TEXT(ASTemp!H1623,Decimals)</f>
        <v/>
      </c>
      <c r="I1623" s="69" t="str">
        <f>TEXT(ASTemp!I1623,Decimals)</f>
        <v/>
      </c>
      <c r="J1623" s="69" t="str">
        <f>TEXT(ASTemp!J1623,Decimals)</f>
        <v/>
      </c>
      <c r="K1623" s="69" t="str">
        <f>TEXT(ASTemp!K1623,Decimals)</f>
        <v/>
      </c>
      <c r="L1623" s="69" t="str">
        <f>TEXT(ASTemp!L1623,Decimals)</f>
        <v/>
      </c>
      <c r="M1623" s="71" t="str">
        <f>TEXT(ASTemp!M1623,Percentages)</f>
        <v/>
      </c>
      <c r="N1623" s="72" t="str">
        <f>TEXT(ASTemp!N1623,Percentages)</f>
        <v/>
      </c>
    </row>
    <row r="1624" ht="14.25" customHeight="1">
      <c r="B1624" s="66" t="str">
        <f>ASTemp!B1624</f>
        <v/>
      </c>
      <c r="C1624" s="67" t="str">
        <f>ASTemp!C1624</f>
        <v/>
      </c>
      <c r="D1624" s="68" t="str">
        <f>ASTemp!D1624</f>
        <v/>
      </c>
      <c r="E1624" s="65" t="str">
        <f>ASTemp!E1624</f>
        <v/>
      </c>
      <c r="F1624" s="69" t="str">
        <f>TEXT(ASTemp!F1624,Decimals)</f>
        <v/>
      </c>
      <c r="G1624" s="69" t="str">
        <f>TEXT(ASTemp!G1624,Decimals)</f>
        <v/>
      </c>
      <c r="H1624" s="69" t="str">
        <f>TEXT(ASTemp!H1624,Decimals)</f>
        <v/>
      </c>
      <c r="I1624" s="69" t="str">
        <f>TEXT(ASTemp!I1624,Decimals)</f>
        <v/>
      </c>
      <c r="J1624" s="69" t="str">
        <f>TEXT(ASTemp!J1624,Decimals)</f>
        <v/>
      </c>
      <c r="K1624" s="69" t="str">
        <f>TEXT(ASTemp!K1624,Decimals)</f>
        <v/>
      </c>
      <c r="L1624" s="69" t="str">
        <f>TEXT(ASTemp!L1624,Decimals)</f>
        <v/>
      </c>
      <c r="M1624" s="71" t="str">
        <f>TEXT(ASTemp!M1624,Percentages)</f>
        <v/>
      </c>
      <c r="N1624" s="72" t="str">
        <f>TEXT(ASTemp!N1624,Percentages)</f>
        <v/>
      </c>
    </row>
    <row r="1625" ht="14.25" customHeight="1">
      <c r="B1625" s="66" t="str">
        <f>ASTemp!B1625</f>
        <v/>
      </c>
      <c r="C1625" s="67" t="str">
        <f>ASTemp!C1625</f>
        <v/>
      </c>
      <c r="D1625" s="68" t="str">
        <f>ASTemp!D1625</f>
        <v/>
      </c>
      <c r="E1625" s="65" t="str">
        <f>ASTemp!E1625</f>
        <v/>
      </c>
      <c r="F1625" s="69" t="str">
        <f>TEXT(ASTemp!F1625,Decimals)</f>
        <v/>
      </c>
      <c r="G1625" s="69" t="str">
        <f>TEXT(ASTemp!G1625,Decimals)</f>
        <v/>
      </c>
      <c r="H1625" s="69" t="str">
        <f>TEXT(ASTemp!H1625,Decimals)</f>
        <v/>
      </c>
      <c r="I1625" s="69" t="str">
        <f>TEXT(ASTemp!I1625,Decimals)</f>
        <v/>
      </c>
      <c r="J1625" s="69" t="str">
        <f>TEXT(ASTemp!J1625,Decimals)</f>
        <v/>
      </c>
      <c r="K1625" s="69" t="str">
        <f>TEXT(ASTemp!K1625,Decimals)</f>
        <v/>
      </c>
      <c r="L1625" s="69" t="str">
        <f>TEXT(ASTemp!L1625,Decimals)</f>
        <v/>
      </c>
      <c r="M1625" s="71" t="str">
        <f>TEXT(ASTemp!M1625,Percentages)</f>
        <v/>
      </c>
      <c r="N1625" s="72" t="str">
        <f>TEXT(ASTemp!N1625,Percentages)</f>
        <v/>
      </c>
    </row>
    <row r="1626" ht="14.25" customHeight="1">
      <c r="B1626" s="66" t="str">
        <f>ASTemp!B1626</f>
        <v/>
      </c>
      <c r="C1626" s="67" t="str">
        <f>ASTemp!C1626</f>
        <v/>
      </c>
      <c r="D1626" s="68" t="str">
        <f>ASTemp!D1626</f>
        <v/>
      </c>
      <c r="E1626" s="65" t="str">
        <f>ASTemp!E1626</f>
        <v/>
      </c>
      <c r="F1626" s="69" t="str">
        <f>TEXT(ASTemp!F1626,Decimals)</f>
        <v/>
      </c>
      <c r="G1626" s="69" t="str">
        <f>TEXT(ASTemp!G1626,Decimals)</f>
        <v/>
      </c>
      <c r="H1626" s="69" t="str">
        <f>TEXT(ASTemp!H1626,Decimals)</f>
        <v/>
      </c>
      <c r="I1626" s="69" t="str">
        <f>TEXT(ASTemp!I1626,Decimals)</f>
        <v/>
      </c>
      <c r="J1626" s="69" t="str">
        <f>TEXT(ASTemp!J1626,Decimals)</f>
        <v/>
      </c>
      <c r="K1626" s="69" t="str">
        <f>TEXT(ASTemp!K1626,Decimals)</f>
        <v/>
      </c>
      <c r="L1626" s="69" t="str">
        <f>TEXT(ASTemp!L1626,Decimals)</f>
        <v/>
      </c>
      <c r="M1626" s="71" t="str">
        <f>TEXT(ASTemp!M1626,Percentages)</f>
        <v/>
      </c>
      <c r="N1626" s="72" t="str">
        <f>TEXT(ASTemp!N1626,Percentages)</f>
        <v/>
      </c>
    </row>
    <row r="1627" ht="14.25" customHeight="1">
      <c r="B1627" s="66" t="str">
        <f>ASTemp!B1627</f>
        <v/>
      </c>
      <c r="C1627" s="67" t="str">
        <f>ASTemp!C1627</f>
        <v/>
      </c>
      <c r="D1627" s="68" t="str">
        <f>ASTemp!D1627</f>
        <v/>
      </c>
      <c r="E1627" s="65" t="str">
        <f>ASTemp!E1627</f>
        <v/>
      </c>
      <c r="F1627" s="69" t="str">
        <f>TEXT(ASTemp!F1627,Decimals)</f>
        <v/>
      </c>
      <c r="G1627" s="69" t="str">
        <f>TEXT(ASTemp!G1627,Decimals)</f>
        <v/>
      </c>
      <c r="H1627" s="69" t="str">
        <f>TEXT(ASTemp!H1627,Decimals)</f>
        <v/>
      </c>
      <c r="I1627" s="69" t="str">
        <f>TEXT(ASTemp!I1627,Decimals)</f>
        <v/>
      </c>
      <c r="J1627" s="69" t="str">
        <f>TEXT(ASTemp!J1627,Decimals)</f>
        <v/>
      </c>
      <c r="K1627" s="69" t="str">
        <f>TEXT(ASTemp!K1627,Decimals)</f>
        <v/>
      </c>
      <c r="L1627" s="69" t="str">
        <f>TEXT(ASTemp!L1627,Decimals)</f>
        <v/>
      </c>
      <c r="M1627" s="71" t="str">
        <f>TEXT(ASTemp!M1627,Percentages)</f>
        <v/>
      </c>
      <c r="N1627" s="72" t="str">
        <f>TEXT(ASTemp!N1627,Percentages)</f>
        <v/>
      </c>
    </row>
    <row r="1628" ht="14.25" customHeight="1">
      <c r="B1628" s="66" t="str">
        <f>ASTemp!B1628</f>
        <v/>
      </c>
      <c r="C1628" s="67" t="str">
        <f>ASTemp!C1628</f>
        <v/>
      </c>
      <c r="D1628" s="68" t="str">
        <f>ASTemp!D1628</f>
        <v/>
      </c>
      <c r="E1628" s="65" t="str">
        <f>ASTemp!E1628</f>
        <v/>
      </c>
      <c r="F1628" s="69" t="str">
        <f>TEXT(ASTemp!F1628,Decimals)</f>
        <v/>
      </c>
      <c r="G1628" s="69" t="str">
        <f>TEXT(ASTemp!G1628,Decimals)</f>
        <v/>
      </c>
      <c r="H1628" s="69" t="str">
        <f>TEXT(ASTemp!H1628,Decimals)</f>
        <v/>
      </c>
      <c r="I1628" s="69" t="str">
        <f>TEXT(ASTemp!I1628,Decimals)</f>
        <v/>
      </c>
      <c r="J1628" s="69" t="str">
        <f>TEXT(ASTemp!J1628,Decimals)</f>
        <v/>
      </c>
      <c r="K1628" s="69" t="str">
        <f>TEXT(ASTemp!K1628,Decimals)</f>
        <v/>
      </c>
      <c r="L1628" s="69" t="str">
        <f>TEXT(ASTemp!L1628,Decimals)</f>
        <v/>
      </c>
      <c r="M1628" s="71" t="str">
        <f>TEXT(ASTemp!M1628,Percentages)</f>
        <v/>
      </c>
      <c r="N1628" s="72" t="str">
        <f>TEXT(ASTemp!N1628,Percentages)</f>
        <v/>
      </c>
    </row>
    <row r="1629" ht="14.25" customHeight="1">
      <c r="B1629" s="66" t="str">
        <f>ASTemp!B1629</f>
        <v/>
      </c>
      <c r="C1629" s="67" t="str">
        <f>ASTemp!C1629</f>
        <v/>
      </c>
      <c r="D1629" s="68" t="str">
        <f>ASTemp!D1629</f>
        <v/>
      </c>
      <c r="E1629" s="65" t="str">
        <f>ASTemp!E1629</f>
        <v/>
      </c>
      <c r="F1629" s="69" t="str">
        <f>TEXT(ASTemp!F1629,Decimals)</f>
        <v/>
      </c>
      <c r="G1629" s="69" t="str">
        <f>TEXT(ASTemp!G1629,Decimals)</f>
        <v/>
      </c>
      <c r="H1629" s="69" t="str">
        <f>TEXT(ASTemp!H1629,Decimals)</f>
        <v/>
      </c>
      <c r="I1629" s="69" t="str">
        <f>TEXT(ASTemp!I1629,Decimals)</f>
        <v/>
      </c>
      <c r="J1629" s="69" t="str">
        <f>TEXT(ASTemp!J1629,Decimals)</f>
        <v/>
      </c>
      <c r="K1629" s="69" t="str">
        <f>TEXT(ASTemp!K1629,Decimals)</f>
        <v/>
      </c>
      <c r="L1629" s="69" t="str">
        <f>TEXT(ASTemp!L1629,Decimals)</f>
        <v/>
      </c>
      <c r="M1629" s="71" t="str">
        <f>TEXT(ASTemp!M1629,Percentages)</f>
        <v/>
      </c>
      <c r="N1629" s="72" t="str">
        <f>TEXT(ASTemp!N1629,Percentages)</f>
        <v/>
      </c>
    </row>
    <row r="1630" ht="14.25" customHeight="1">
      <c r="B1630" s="66" t="str">
        <f>ASTemp!B1630</f>
        <v/>
      </c>
      <c r="C1630" s="67" t="str">
        <f>ASTemp!C1630</f>
        <v/>
      </c>
      <c r="D1630" s="68" t="str">
        <f>ASTemp!D1630</f>
        <v/>
      </c>
      <c r="E1630" s="65" t="str">
        <f>ASTemp!E1630</f>
        <v/>
      </c>
      <c r="F1630" s="69" t="str">
        <f>TEXT(ASTemp!F1630,Decimals)</f>
        <v/>
      </c>
      <c r="G1630" s="69" t="str">
        <f>TEXT(ASTemp!G1630,Decimals)</f>
        <v/>
      </c>
      <c r="H1630" s="69" t="str">
        <f>TEXT(ASTemp!H1630,Decimals)</f>
        <v/>
      </c>
      <c r="I1630" s="69" t="str">
        <f>TEXT(ASTemp!I1630,Decimals)</f>
        <v/>
      </c>
      <c r="J1630" s="69" t="str">
        <f>TEXT(ASTemp!J1630,Decimals)</f>
        <v/>
      </c>
      <c r="K1630" s="69" t="str">
        <f>TEXT(ASTemp!K1630,Decimals)</f>
        <v/>
      </c>
      <c r="L1630" s="69" t="str">
        <f>TEXT(ASTemp!L1630,Decimals)</f>
        <v/>
      </c>
      <c r="M1630" s="71" t="str">
        <f>TEXT(ASTemp!M1630,Percentages)</f>
        <v/>
      </c>
      <c r="N1630" s="72" t="str">
        <f>TEXT(ASTemp!N1630,Percentages)</f>
        <v/>
      </c>
    </row>
    <row r="1631" ht="14.25" customHeight="1">
      <c r="B1631" s="66" t="str">
        <f>ASTemp!B1631</f>
        <v/>
      </c>
      <c r="C1631" s="67" t="str">
        <f>ASTemp!C1631</f>
        <v/>
      </c>
      <c r="D1631" s="68" t="str">
        <f>ASTemp!D1631</f>
        <v/>
      </c>
      <c r="E1631" s="65" t="str">
        <f>ASTemp!E1631</f>
        <v/>
      </c>
      <c r="F1631" s="69" t="str">
        <f>TEXT(ASTemp!F1631,Decimals)</f>
        <v/>
      </c>
      <c r="G1631" s="69" t="str">
        <f>TEXT(ASTemp!G1631,Decimals)</f>
        <v/>
      </c>
      <c r="H1631" s="69" t="str">
        <f>TEXT(ASTemp!H1631,Decimals)</f>
        <v/>
      </c>
      <c r="I1631" s="69" t="str">
        <f>TEXT(ASTemp!I1631,Decimals)</f>
        <v/>
      </c>
      <c r="J1631" s="69" t="str">
        <f>TEXT(ASTemp!J1631,Decimals)</f>
        <v/>
      </c>
      <c r="K1631" s="69" t="str">
        <f>TEXT(ASTemp!K1631,Decimals)</f>
        <v/>
      </c>
      <c r="L1631" s="69" t="str">
        <f>TEXT(ASTemp!L1631,Decimals)</f>
        <v/>
      </c>
      <c r="M1631" s="71" t="str">
        <f>TEXT(ASTemp!M1631,Percentages)</f>
        <v/>
      </c>
      <c r="N1631" s="72" t="str">
        <f>TEXT(ASTemp!N1631,Percentages)</f>
        <v/>
      </c>
    </row>
    <row r="1632" ht="14.25" customHeight="1">
      <c r="B1632" s="66" t="str">
        <f>ASTemp!B1632</f>
        <v/>
      </c>
      <c r="C1632" s="67" t="str">
        <f>ASTemp!C1632</f>
        <v/>
      </c>
      <c r="D1632" s="68" t="str">
        <f>ASTemp!D1632</f>
        <v/>
      </c>
      <c r="E1632" s="65" t="str">
        <f>ASTemp!E1632</f>
        <v/>
      </c>
      <c r="F1632" s="69" t="str">
        <f>TEXT(ASTemp!F1632,Decimals)</f>
        <v/>
      </c>
      <c r="G1632" s="69" t="str">
        <f>TEXT(ASTemp!G1632,Decimals)</f>
        <v/>
      </c>
      <c r="H1632" s="69" t="str">
        <f>TEXT(ASTemp!H1632,Decimals)</f>
        <v/>
      </c>
      <c r="I1632" s="69" t="str">
        <f>TEXT(ASTemp!I1632,Decimals)</f>
        <v/>
      </c>
      <c r="J1632" s="69" t="str">
        <f>TEXT(ASTemp!J1632,Decimals)</f>
        <v/>
      </c>
      <c r="K1632" s="69" t="str">
        <f>TEXT(ASTemp!K1632,Decimals)</f>
        <v/>
      </c>
      <c r="L1632" s="69" t="str">
        <f>TEXT(ASTemp!L1632,Decimals)</f>
        <v/>
      </c>
      <c r="M1632" s="71" t="str">
        <f>TEXT(ASTemp!M1632,Percentages)</f>
        <v/>
      </c>
      <c r="N1632" s="72" t="str">
        <f>TEXT(ASTemp!N1632,Percentages)</f>
        <v/>
      </c>
    </row>
    <row r="1633" ht="14.25" customHeight="1">
      <c r="B1633" s="66" t="str">
        <f>ASTemp!B1633</f>
        <v/>
      </c>
      <c r="C1633" s="67" t="str">
        <f>ASTemp!C1633</f>
        <v/>
      </c>
      <c r="D1633" s="68" t="str">
        <f>ASTemp!D1633</f>
        <v/>
      </c>
      <c r="E1633" s="65" t="str">
        <f>ASTemp!E1633</f>
        <v/>
      </c>
      <c r="F1633" s="69" t="str">
        <f>TEXT(ASTemp!F1633,Decimals)</f>
        <v/>
      </c>
      <c r="G1633" s="69" t="str">
        <f>TEXT(ASTemp!G1633,Decimals)</f>
        <v/>
      </c>
      <c r="H1633" s="69" t="str">
        <f>TEXT(ASTemp!H1633,Decimals)</f>
        <v/>
      </c>
      <c r="I1633" s="69" t="str">
        <f>TEXT(ASTemp!I1633,Decimals)</f>
        <v/>
      </c>
      <c r="J1633" s="69" t="str">
        <f>TEXT(ASTemp!J1633,Decimals)</f>
        <v/>
      </c>
      <c r="K1633" s="69" t="str">
        <f>TEXT(ASTemp!K1633,Decimals)</f>
        <v/>
      </c>
      <c r="L1633" s="69" t="str">
        <f>TEXT(ASTemp!L1633,Decimals)</f>
        <v/>
      </c>
      <c r="M1633" s="71" t="str">
        <f>TEXT(ASTemp!M1633,Percentages)</f>
        <v/>
      </c>
      <c r="N1633" s="72" t="str">
        <f>TEXT(ASTemp!N1633,Percentages)</f>
        <v/>
      </c>
    </row>
    <row r="1634" ht="14.25" customHeight="1">
      <c r="B1634" s="66" t="str">
        <f>ASTemp!B1634</f>
        <v/>
      </c>
      <c r="C1634" s="67" t="str">
        <f>ASTemp!C1634</f>
        <v/>
      </c>
      <c r="D1634" s="68" t="str">
        <f>ASTemp!D1634</f>
        <v/>
      </c>
      <c r="E1634" s="65" t="str">
        <f>ASTemp!E1634</f>
        <v/>
      </c>
      <c r="F1634" s="69" t="str">
        <f>TEXT(ASTemp!F1634,Decimals)</f>
        <v/>
      </c>
      <c r="G1634" s="69" t="str">
        <f>TEXT(ASTemp!G1634,Decimals)</f>
        <v/>
      </c>
      <c r="H1634" s="69" t="str">
        <f>TEXT(ASTemp!H1634,Decimals)</f>
        <v/>
      </c>
      <c r="I1634" s="69" t="str">
        <f>TEXT(ASTemp!I1634,Decimals)</f>
        <v/>
      </c>
      <c r="J1634" s="69" t="str">
        <f>TEXT(ASTemp!J1634,Decimals)</f>
        <v/>
      </c>
      <c r="K1634" s="69" t="str">
        <f>TEXT(ASTemp!K1634,Decimals)</f>
        <v/>
      </c>
      <c r="L1634" s="69" t="str">
        <f>TEXT(ASTemp!L1634,Decimals)</f>
        <v/>
      </c>
      <c r="M1634" s="71" t="str">
        <f>TEXT(ASTemp!M1634,Percentages)</f>
        <v/>
      </c>
      <c r="N1634" s="72" t="str">
        <f>TEXT(ASTemp!N1634,Percentages)</f>
        <v/>
      </c>
    </row>
    <row r="1635" ht="14.25" customHeight="1">
      <c r="B1635" s="66" t="str">
        <f>ASTemp!B1635</f>
        <v/>
      </c>
      <c r="C1635" s="67" t="str">
        <f>ASTemp!C1635</f>
        <v/>
      </c>
      <c r="D1635" s="68" t="str">
        <f>ASTemp!D1635</f>
        <v/>
      </c>
      <c r="E1635" s="65" t="str">
        <f>ASTemp!E1635</f>
        <v/>
      </c>
      <c r="F1635" s="69" t="str">
        <f>TEXT(ASTemp!F1635,Decimals)</f>
        <v/>
      </c>
      <c r="G1635" s="69" t="str">
        <f>TEXT(ASTemp!G1635,Decimals)</f>
        <v/>
      </c>
      <c r="H1635" s="69" t="str">
        <f>TEXT(ASTemp!H1635,Decimals)</f>
        <v/>
      </c>
      <c r="I1635" s="69" t="str">
        <f>TEXT(ASTemp!I1635,Decimals)</f>
        <v/>
      </c>
      <c r="J1635" s="69" t="str">
        <f>TEXT(ASTemp!J1635,Decimals)</f>
        <v/>
      </c>
      <c r="K1635" s="69" t="str">
        <f>TEXT(ASTemp!K1635,Decimals)</f>
        <v/>
      </c>
      <c r="L1635" s="69" t="str">
        <f>TEXT(ASTemp!L1635,Decimals)</f>
        <v/>
      </c>
      <c r="M1635" s="71" t="str">
        <f>TEXT(ASTemp!M1635,Percentages)</f>
        <v/>
      </c>
      <c r="N1635" s="72" t="str">
        <f>TEXT(ASTemp!N1635,Percentages)</f>
        <v/>
      </c>
    </row>
    <row r="1636" ht="14.25" customHeight="1">
      <c r="B1636" s="66" t="str">
        <f>ASTemp!B1636</f>
        <v/>
      </c>
      <c r="C1636" s="67" t="str">
        <f>ASTemp!C1636</f>
        <v/>
      </c>
      <c r="D1636" s="68" t="str">
        <f>ASTemp!D1636</f>
        <v/>
      </c>
      <c r="E1636" s="65" t="str">
        <f>ASTemp!E1636</f>
        <v/>
      </c>
      <c r="F1636" s="69" t="str">
        <f>TEXT(ASTemp!F1636,Decimals)</f>
        <v/>
      </c>
      <c r="G1636" s="69" t="str">
        <f>TEXT(ASTemp!G1636,Decimals)</f>
        <v/>
      </c>
      <c r="H1636" s="69" t="str">
        <f>TEXT(ASTemp!H1636,Decimals)</f>
        <v/>
      </c>
      <c r="I1636" s="69" t="str">
        <f>TEXT(ASTemp!I1636,Decimals)</f>
        <v/>
      </c>
      <c r="J1636" s="69" t="str">
        <f>TEXT(ASTemp!J1636,Decimals)</f>
        <v/>
      </c>
      <c r="K1636" s="69" t="str">
        <f>TEXT(ASTemp!K1636,Decimals)</f>
        <v/>
      </c>
      <c r="L1636" s="69" t="str">
        <f>TEXT(ASTemp!L1636,Decimals)</f>
        <v/>
      </c>
      <c r="M1636" s="71" t="str">
        <f>TEXT(ASTemp!M1636,Percentages)</f>
        <v/>
      </c>
      <c r="N1636" s="72" t="str">
        <f>TEXT(ASTemp!N1636,Percentages)</f>
        <v/>
      </c>
    </row>
    <row r="1637" ht="14.25" customHeight="1">
      <c r="B1637" s="66" t="str">
        <f>ASTemp!B1637</f>
        <v/>
      </c>
      <c r="C1637" s="67" t="str">
        <f>ASTemp!C1637</f>
        <v/>
      </c>
      <c r="D1637" s="68" t="str">
        <f>ASTemp!D1637</f>
        <v/>
      </c>
      <c r="E1637" s="65" t="str">
        <f>ASTemp!E1637</f>
        <v/>
      </c>
      <c r="F1637" s="69" t="str">
        <f>TEXT(ASTemp!F1637,Decimals)</f>
        <v/>
      </c>
      <c r="G1637" s="69" t="str">
        <f>TEXT(ASTemp!G1637,Decimals)</f>
        <v/>
      </c>
      <c r="H1637" s="69" t="str">
        <f>TEXT(ASTemp!H1637,Decimals)</f>
        <v/>
      </c>
      <c r="I1637" s="69" t="str">
        <f>TEXT(ASTemp!I1637,Decimals)</f>
        <v/>
      </c>
      <c r="J1637" s="69" t="str">
        <f>TEXT(ASTemp!J1637,Decimals)</f>
        <v/>
      </c>
      <c r="K1637" s="69" t="str">
        <f>TEXT(ASTemp!K1637,Decimals)</f>
        <v/>
      </c>
      <c r="L1637" s="69" t="str">
        <f>TEXT(ASTemp!L1637,Decimals)</f>
        <v/>
      </c>
      <c r="M1637" s="71" t="str">
        <f>TEXT(ASTemp!M1637,Percentages)</f>
        <v/>
      </c>
      <c r="N1637" s="72" t="str">
        <f>TEXT(ASTemp!N1637,Percentages)</f>
        <v/>
      </c>
    </row>
    <row r="1638" ht="14.25" customHeight="1">
      <c r="B1638" s="66" t="str">
        <f>ASTemp!B1638</f>
        <v/>
      </c>
      <c r="C1638" s="67" t="str">
        <f>ASTemp!C1638</f>
        <v/>
      </c>
      <c r="D1638" s="68" t="str">
        <f>ASTemp!D1638</f>
        <v/>
      </c>
      <c r="E1638" s="65" t="str">
        <f>ASTemp!E1638</f>
        <v/>
      </c>
      <c r="F1638" s="69" t="str">
        <f>TEXT(ASTemp!F1638,Decimals)</f>
        <v/>
      </c>
      <c r="G1638" s="69" t="str">
        <f>TEXT(ASTemp!G1638,Decimals)</f>
        <v/>
      </c>
      <c r="H1638" s="69" t="str">
        <f>TEXT(ASTemp!H1638,Decimals)</f>
        <v/>
      </c>
      <c r="I1638" s="69" t="str">
        <f>TEXT(ASTemp!I1638,Decimals)</f>
        <v/>
      </c>
      <c r="J1638" s="69" t="str">
        <f>TEXT(ASTemp!J1638,Decimals)</f>
        <v/>
      </c>
      <c r="K1638" s="69" t="str">
        <f>TEXT(ASTemp!K1638,Decimals)</f>
        <v/>
      </c>
      <c r="L1638" s="69" t="str">
        <f>TEXT(ASTemp!L1638,Decimals)</f>
        <v/>
      </c>
      <c r="M1638" s="71" t="str">
        <f>TEXT(ASTemp!M1638,Percentages)</f>
        <v/>
      </c>
      <c r="N1638" s="72" t="str">
        <f>TEXT(ASTemp!N1638,Percentages)</f>
        <v/>
      </c>
    </row>
    <row r="1639" ht="14.25" customHeight="1">
      <c r="B1639" s="66" t="str">
        <f>ASTemp!B1639</f>
        <v/>
      </c>
      <c r="C1639" s="67" t="str">
        <f>ASTemp!C1639</f>
        <v/>
      </c>
      <c r="D1639" s="68" t="str">
        <f>ASTemp!D1639</f>
        <v/>
      </c>
      <c r="E1639" s="65" t="str">
        <f>ASTemp!E1639</f>
        <v/>
      </c>
      <c r="F1639" s="69" t="str">
        <f>TEXT(ASTemp!F1639,Decimals)</f>
        <v/>
      </c>
      <c r="G1639" s="69" t="str">
        <f>TEXT(ASTemp!G1639,Decimals)</f>
        <v/>
      </c>
      <c r="H1639" s="69" t="str">
        <f>TEXT(ASTemp!H1639,Decimals)</f>
        <v/>
      </c>
      <c r="I1639" s="69" t="str">
        <f>TEXT(ASTemp!I1639,Decimals)</f>
        <v/>
      </c>
      <c r="J1639" s="69" t="str">
        <f>TEXT(ASTemp!J1639,Decimals)</f>
        <v/>
      </c>
      <c r="K1639" s="69" t="str">
        <f>TEXT(ASTemp!K1639,Decimals)</f>
        <v/>
      </c>
      <c r="L1639" s="69" t="str">
        <f>TEXT(ASTemp!L1639,Decimals)</f>
        <v/>
      </c>
      <c r="M1639" s="71" t="str">
        <f>TEXT(ASTemp!M1639,Percentages)</f>
        <v/>
      </c>
      <c r="N1639" s="72" t="str">
        <f>TEXT(ASTemp!N1639,Percentages)</f>
        <v/>
      </c>
    </row>
    <row r="1640" ht="14.25" customHeight="1">
      <c r="B1640" s="66" t="str">
        <f>ASTemp!B1640</f>
        <v/>
      </c>
      <c r="C1640" s="67" t="str">
        <f>ASTemp!C1640</f>
        <v/>
      </c>
      <c r="D1640" s="68" t="str">
        <f>ASTemp!D1640</f>
        <v/>
      </c>
      <c r="E1640" s="65" t="str">
        <f>ASTemp!E1640</f>
        <v/>
      </c>
      <c r="F1640" s="69" t="str">
        <f>TEXT(ASTemp!F1640,Decimals)</f>
        <v/>
      </c>
      <c r="G1640" s="69" t="str">
        <f>TEXT(ASTemp!G1640,Decimals)</f>
        <v/>
      </c>
      <c r="H1640" s="69" t="str">
        <f>TEXT(ASTemp!H1640,Decimals)</f>
        <v/>
      </c>
      <c r="I1640" s="69" t="str">
        <f>TEXT(ASTemp!I1640,Decimals)</f>
        <v/>
      </c>
      <c r="J1640" s="69" t="str">
        <f>TEXT(ASTemp!J1640,Decimals)</f>
        <v/>
      </c>
      <c r="K1640" s="69" t="str">
        <f>TEXT(ASTemp!K1640,Decimals)</f>
        <v/>
      </c>
      <c r="L1640" s="69" t="str">
        <f>TEXT(ASTemp!L1640,Decimals)</f>
        <v/>
      </c>
      <c r="M1640" s="71" t="str">
        <f>TEXT(ASTemp!M1640,Percentages)</f>
        <v/>
      </c>
      <c r="N1640" s="72" t="str">
        <f>TEXT(ASTemp!N1640,Percentages)</f>
        <v/>
      </c>
    </row>
    <row r="1641" ht="14.25" customHeight="1">
      <c r="B1641" s="66" t="str">
        <f>ASTemp!B1641</f>
        <v/>
      </c>
      <c r="C1641" s="67" t="str">
        <f>ASTemp!C1641</f>
        <v/>
      </c>
      <c r="D1641" s="68" t="str">
        <f>ASTemp!D1641</f>
        <v/>
      </c>
      <c r="E1641" s="65" t="str">
        <f>ASTemp!E1641</f>
        <v/>
      </c>
      <c r="F1641" s="69" t="str">
        <f>TEXT(ASTemp!F1641,Decimals)</f>
        <v/>
      </c>
      <c r="G1641" s="69" t="str">
        <f>TEXT(ASTemp!G1641,Decimals)</f>
        <v/>
      </c>
      <c r="H1641" s="69" t="str">
        <f>TEXT(ASTemp!H1641,Decimals)</f>
        <v/>
      </c>
      <c r="I1641" s="69" t="str">
        <f>TEXT(ASTemp!I1641,Decimals)</f>
        <v/>
      </c>
      <c r="J1641" s="69" t="str">
        <f>TEXT(ASTemp!J1641,Decimals)</f>
        <v/>
      </c>
      <c r="K1641" s="69" t="str">
        <f>TEXT(ASTemp!K1641,Decimals)</f>
        <v/>
      </c>
      <c r="L1641" s="69" t="str">
        <f>TEXT(ASTemp!L1641,Decimals)</f>
        <v/>
      </c>
      <c r="M1641" s="71" t="str">
        <f>TEXT(ASTemp!M1641,Percentages)</f>
        <v/>
      </c>
      <c r="N1641" s="72" t="str">
        <f>TEXT(ASTemp!N1641,Percentages)</f>
        <v/>
      </c>
    </row>
    <row r="1642" ht="14.25" customHeight="1">
      <c r="B1642" s="66" t="str">
        <f>ASTemp!B1642</f>
        <v/>
      </c>
      <c r="C1642" s="67" t="str">
        <f>ASTemp!C1642</f>
        <v/>
      </c>
      <c r="D1642" s="68" t="str">
        <f>ASTemp!D1642</f>
        <v/>
      </c>
      <c r="E1642" s="65" t="str">
        <f>ASTemp!E1642</f>
        <v/>
      </c>
      <c r="F1642" s="69" t="str">
        <f>TEXT(ASTemp!F1642,Decimals)</f>
        <v/>
      </c>
      <c r="G1642" s="69" t="str">
        <f>TEXT(ASTemp!G1642,Decimals)</f>
        <v/>
      </c>
      <c r="H1642" s="69" t="str">
        <f>TEXT(ASTemp!H1642,Decimals)</f>
        <v/>
      </c>
      <c r="I1642" s="69" t="str">
        <f>TEXT(ASTemp!I1642,Decimals)</f>
        <v/>
      </c>
      <c r="J1642" s="69" t="str">
        <f>TEXT(ASTemp!J1642,Decimals)</f>
        <v/>
      </c>
      <c r="K1642" s="69" t="str">
        <f>TEXT(ASTemp!K1642,Decimals)</f>
        <v/>
      </c>
      <c r="L1642" s="69" t="str">
        <f>TEXT(ASTemp!L1642,Decimals)</f>
        <v/>
      </c>
      <c r="M1642" s="71" t="str">
        <f>TEXT(ASTemp!M1642,Percentages)</f>
        <v/>
      </c>
      <c r="N1642" s="72" t="str">
        <f>TEXT(ASTemp!N1642,Percentages)</f>
        <v/>
      </c>
    </row>
    <row r="1643" ht="14.25" customHeight="1">
      <c r="B1643" s="66" t="str">
        <f>ASTemp!B1643</f>
        <v/>
      </c>
      <c r="C1643" s="67" t="str">
        <f>ASTemp!C1643</f>
        <v/>
      </c>
      <c r="D1643" s="68" t="str">
        <f>ASTemp!D1643</f>
        <v/>
      </c>
      <c r="E1643" s="65" t="str">
        <f>ASTemp!E1643</f>
        <v/>
      </c>
      <c r="F1643" s="69" t="str">
        <f>TEXT(ASTemp!F1643,Decimals)</f>
        <v/>
      </c>
      <c r="G1643" s="69" t="str">
        <f>TEXT(ASTemp!G1643,Decimals)</f>
        <v/>
      </c>
      <c r="H1643" s="69" t="str">
        <f>TEXT(ASTemp!H1643,Decimals)</f>
        <v/>
      </c>
      <c r="I1643" s="69" t="str">
        <f>TEXT(ASTemp!I1643,Decimals)</f>
        <v/>
      </c>
      <c r="J1643" s="69" t="str">
        <f>TEXT(ASTemp!J1643,Decimals)</f>
        <v/>
      </c>
      <c r="K1643" s="69" t="str">
        <f>TEXT(ASTemp!K1643,Decimals)</f>
        <v/>
      </c>
      <c r="L1643" s="69" t="str">
        <f>TEXT(ASTemp!L1643,Decimals)</f>
        <v/>
      </c>
      <c r="M1643" s="71" t="str">
        <f>TEXT(ASTemp!M1643,Percentages)</f>
        <v/>
      </c>
      <c r="N1643" s="72" t="str">
        <f>TEXT(ASTemp!N1643,Percentages)</f>
        <v/>
      </c>
    </row>
    <row r="1644" ht="14.25" customHeight="1">
      <c r="B1644" s="66" t="str">
        <f>ASTemp!B1644</f>
        <v/>
      </c>
      <c r="C1644" s="67" t="str">
        <f>ASTemp!C1644</f>
        <v/>
      </c>
      <c r="D1644" s="68" t="str">
        <f>ASTemp!D1644</f>
        <v/>
      </c>
      <c r="E1644" s="65" t="str">
        <f>ASTemp!E1644</f>
        <v/>
      </c>
      <c r="F1644" s="69" t="str">
        <f>TEXT(ASTemp!F1644,Decimals)</f>
        <v/>
      </c>
      <c r="G1644" s="69" t="str">
        <f>TEXT(ASTemp!G1644,Decimals)</f>
        <v/>
      </c>
      <c r="H1644" s="69" t="str">
        <f>TEXT(ASTemp!H1644,Decimals)</f>
        <v/>
      </c>
      <c r="I1644" s="69" t="str">
        <f>TEXT(ASTemp!I1644,Decimals)</f>
        <v/>
      </c>
      <c r="J1644" s="69" t="str">
        <f>TEXT(ASTemp!J1644,Decimals)</f>
        <v/>
      </c>
      <c r="K1644" s="69" t="str">
        <f>TEXT(ASTemp!K1644,Decimals)</f>
        <v/>
      </c>
      <c r="L1644" s="69" t="str">
        <f>TEXT(ASTemp!L1644,Decimals)</f>
        <v/>
      </c>
      <c r="M1644" s="71" t="str">
        <f>TEXT(ASTemp!M1644,Percentages)</f>
        <v/>
      </c>
      <c r="N1644" s="72" t="str">
        <f>TEXT(ASTemp!N1644,Percentages)</f>
        <v/>
      </c>
    </row>
    <row r="1645" ht="14.25" customHeight="1">
      <c r="B1645" s="66" t="str">
        <f>ASTemp!B1645</f>
        <v/>
      </c>
      <c r="C1645" s="67" t="str">
        <f>ASTemp!C1645</f>
        <v/>
      </c>
      <c r="D1645" s="68" t="str">
        <f>ASTemp!D1645</f>
        <v/>
      </c>
      <c r="E1645" s="65" t="str">
        <f>ASTemp!E1645</f>
        <v/>
      </c>
      <c r="F1645" s="69" t="str">
        <f>TEXT(ASTemp!F1645,Decimals)</f>
        <v/>
      </c>
      <c r="G1645" s="69" t="str">
        <f>TEXT(ASTemp!G1645,Decimals)</f>
        <v/>
      </c>
      <c r="H1645" s="69" t="str">
        <f>TEXT(ASTemp!H1645,Decimals)</f>
        <v/>
      </c>
      <c r="I1645" s="69" t="str">
        <f>TEXT(ASTemp!I1645,Decimals)</f>
        <v/>
      </c>
      <c r="J1645" s="69" t="str">
        <f>TEXT(ASTemp!J1645,Decimals)</f>
        <v/>
      </c>
      <c r="K1645" s="69" t="str">
        <f>TEXT(ASTemp!K1645,Decimals)</f>
        <v/>
      </c>
      <c r="L1645" s="69" t="str">
        <f>TEXT(ASTemp!L1645,Decimals)</f>
        <v/>
      </c>
      <c r="M1645" s="71" t="str">
        <f>TEXT(ASTemp!M1645,Percentages)</f>
        <v/>
      </c>
      <c r="N1645" s="72" t="str">
        <f>TEXT(ASTemp!N1645,Percentages)</f>
        <v/>
      </c>
    </row>
    <row r="1646" ht="14.25" customHeight="1">
      <c r="B1646" s="66" t="str">
        <f>ASTemp!B1646</f>
        <v/>
      </c>
      <c r="C1646" s="67" t="str">
        <f>ASTemp!C1646</f>
        <v/>
      </c>
      <c r="D1646" s="68" t="str">
        <f>ASTemp!D1646</f>
        <v/>
      </c>
      <c r="E1646" s="65" t="str">
        <f>ASTemp!E1646</f>
        <v/>
      </c>
      <c r="F1646" s="69" t="str">
        <f>TEXT(ASTemp!F1646,Decimals)</f>
        <v/>
      </c>
      <c r="G1646" s="69" t="str">
        <f>TEXT(ASTemp!G1646,Decimals)</f>
        <v/>
      </c>
      <c r="H1646" s="69" t="str">
        <f>TEXT(ASTemp!H1646,Decimals)</f>
        <v/>
      </c>
      <c r="I1646" s="69" t="str">
        <f>TEXT(ASTemp!I1646,Decimals)</f>
        <v/>
      </c>
      <c r="J1646" s="69" t="str">
        <f>TEXT(ASTemp!J1646,Decimals)</f>
        <v/>
      </c>
      <c r="K1646" s="69" t="str">
        <f>TEXT(ASTemp!K1646,Decimals)</f>
        <v/>
      </c>
      <c r="L1646" s="69" t="str">
        <f>TEXT(ASTemp!L1646,Decimals)</f>
        <v/>
      </c>
      <c r="M1646" s="71" t="str">
        <f>TEXT(ASTemp!M1646,Percentages)</f>
        <v/>
      </c>
      <c r="N1646" s="72" t="str">
        <f>TEXT(ASTemp!N1646,Percentages)</f>
        <v/>
      </c>
    </row>
    <row r="1647" ht="14.25" customHeight="1">
      <c r="B1647" s="66" t="str">
        <f>ASTemp!B1647</f>
        <v/>
      </c>
      <c r="C1647" s="67" t="str">
        <f>ASTemp!C1647</f>
        <v/>
      </c>
      <c r="D1647" s="68" t="str">
        <f>ASTemp!D1647</f>
        <v/>
      </c>
      <c r="E1647" s="65" t="str">
        <f>ASTemp!E1647</f>
        <v/>
      </c>
      <c r="F1647" s="69" t="str">
        <f>TEXT(ASTemp!F1647,Decimals)</f>
        <v/>
      </c>
      <c r="G1647" s="69" t="str">
        <f>TEXT(ASTemp!G1647,Decimals)</f>
        <v/>
      </c>
      <c r="H1647" s="69" t="str">
        <f>TEXT(ASTemp!H1647,Decimals)</f>
        <v/>
      </c>
      <c r="I1647" s="69" t="str">
        <f>TEXT(ASTemp!I1647,Decimals)</f>
        <v/>
      </c>
      <c r="J1647" s="69" t="str">
        <f>TEXT(ASTemp!J1647,Decimals)</f>
        <v/>
      </c>
      <c r="K1647" s="69" t="str">
        <f>TEXT(ASTemp!K1647,Decimals)</f>
        <v/>
      </c>
      <c r="L1647" s="69" t="str">
        <f>TEXT(ASTemp!L1647,Decimals)</f>
        <v/>
      </c>
      <c r="M1647" s="71" t="str">
        <f>TEXT(ASTemp!M1647,Percentages)</f>
        <v/>
      </c>
      <c r="N1647" s="72" t="str">
        <f>TEXT(ASTemp!N1647,Percentages)</f>
        <v/>
      </c>
    </row>
    <row r="1648" ht="14.25" customHeight="1">
      <c r="B1648" s="66" t="str">
        <f>ASTemp!B1648</f>
        <v/>
      </c>
      <c r="C1648" s="67" t="str">
        <f>ASTemp!C1648</f>
        <v/>
      </c>
      <c r="D1648" s="68" t="str">
        <f>ASTemp!D1648</f>
        <v/>
      </c>
      <c r="E1648" s="65" t="str">
        <f>ASTemp!E1648</f>
        <v/>
      </c>
      <c r="F1648" s="69" t="str">
        <f>TEXT(ASTemp!F1648,Decimals)</f>
        <v/>
      </c>
      <c r="G1648" s="69" t="str">
        <f>TEXT(ASTemp!G1648,Decimals)</f>
        <v/>
      </c>
      <c r="H1648" s="69" t="str">
        <f>TEXT(ASTemp!H1648,Decimals)</f>
        <v/>
      </c>
      <c r="I1648" s="69" t="str">
        <f>TEXT(ASTemp!I1648,Decimals)</f>
        <v/>
      </c>
      <c r="J1648" s="69" t="str">
        <f>TEXT(ASTemp!J1648,Decimals)</f>
        <v/>
      </c>
      <c r="K1648" s="69" t="str">
        <f>TEXT(ASTemp!K1648,Decimals)</f>
        <v/>
      </c>
      <c r="L1648" s="69" t="str">
        <f>TEXT(ASTemp!L1648,Decimals)</f>
        <v/>
      </c>
      <c r="M1648" s="71" t="str">
        <f>TEXT(ASTemp!M1648,Percentages)</f>
        <v/>
      </c>
      <c r="N1648" s="72" t="str">
        <f>TEXT(ASTemp!N1648,Percentages)</f>
        <v/>
      </c>
    </row>
    <row r="1649" ht="14.25" customHeight="1">
      <c r="B1649" s="66" t="str">
        <f>ASTemp!B1649</f>
        <v/>
      </c>
      <c r="C1649" s="67" t="str">
        <f>ASTemp!C1649</f>
        <v/>
      </c>
      <c r="D1649" s="68" t="str">
        <f>ASTemp!D1649</f>
        <v/>
      </c>
      <c r="E1649" s="65" t="str">
        <f>ASTemp!E1649</f>
        <v/>
      </c>
      <c r="F1649" s="69" t="str">
        <f>TEXT(ASTemp!F1649,Decimals)</f>
        <v/>
      </c>
      <c r="G1649" s="69" t="str">
        <f>TEXT(ASTemp!G1649,Decimals)</f>
        <v/>
      </c>
      <c r="H1649" s="69" t="str">
        <f>TEXT(ASTemp!H1649,Decimals)</f>
        <v/>
      </c>
      <c r="I1649" s="69" t="str">
        <f>TEXT(ASTemp!I1649,Decimals)</f>
        <v/>
      </c>
      <c r="J1649" s="69" t="str">
        <f>TEXT(ASTemp!J1649,Decimals)</f>
        <v/>
      </c>
      <c r="K1649" s="69" t="str">
        <f>TEXT(ASTemp!K1649,Decimals)</f>
        <v/>
      </c>
      <c r="L1649" s="69" t="str">
        <f>TEXT(ASTemp!L1649,Decimals)</f>
        <v/>
      </c>
      <c r="M1649" s="71" t="str">
        <f>TEXT(ASTemp!M1649,Percentages)</f>
        <v/>
      </c>
      <c r="N1649" s="72" t="str">
        <f>TEXT(ASTemp!N1649,Percentages)</f>
        <v/>
      </c>
    </row>
    <row r="1650" ht="14.25" customHeight="1">
      <c r="B1650" s="66" t="str">
        <f>ASTemp!B1650</f>
        <v/>
      </c>
      <c r="C1650" s="67" t="str">
        <f>ASTemp!C1650</f>
        <v/>
      </c>
      <c r="D1650" s="68" t="str">
        <f>ASTemp!D1650</f>
        <v/>
      </c>
      <c r="E1650" s="65" t="str">
        <f>ASTemp!E1650</f>
        <v/>
      </c>
      <c r="F1650" s="69" t="str">
        <f>TEXT(ASTemp!F1650,Decimals)</f>
        <v/>
      </c>
      <c r="G1650" s="69" t="str">
        <f>TEXT(ASTemp!G1650,Decimals)</f>
        <v/>
      </c>
      <c r="H1650" s="69" t="str">
        <f>TEXT(ASTemp!H1650,Decimals)</f>
        <v/>
      </c>
      <c r="I1650" s="69" t="str">
        <f>TEXT(ASTemp!I1650,Decimals)</f>
        <v/>
      </c>
      <c r="J1650" s="69" t="str">
        <f>TEXT(ASTemp!J1650,Decimals)</f>
        <v/>
      </c>
      <c r="K1650" s="69" t="str">
        <f>TEXT(ASTemp!K1650,Decimals)</f>
        <v/>
      </c>
      <c r="L1650" s="69" t="str">
        <f>TEXT(ASTemp!L1650,Decimals)</f>
        <v/>
      </c>
      <c r="M1650" s="71" t="str">
        <f>TEXT(ASTemp!M1650,Percentages)</f>
        <v/>
      </c>
      <c r="N1650" s="72" t="str">
        <f>TEXT(ASTemp!N1650,Percentages)</f>
        <v/>
      </c>
    </row>
    <row r="1651" ht="14.25" customHeight="1">
      <c r="B1651" s="66" t="str">
        <f>ASTemp!B1651</f>
        <v/>
      </c>
      <c r="C1651" s="67" t="str">
        <f>ASTemp!C1651</f>
        <v/>
      </c>
      <c r="D1651" s="68" t="str">
        <f>ASTemp!D1651</f>
        <v/>
      </c>
      <c r="E1651" s="65" t="str">
        <f>ASTemp!E1651</f>
        <v/>
      </c>
      <c r="F1651" s="69" t="str">
        <f>TEXT(ASTemp!F1651,Decimals)</f>
        <v/>
      </c>
      <c r="G1651" s="69" t="str">
        <f>TEXT(ASTemp!G1651,Decimals)</f>
        <v/>
      </c>
      <c r="H1651" s="69" t="str">
        <f>TEXT(ASTemp!H1651,Decimals)</f>
        <v/>
      </c>
      <c r="I1651" s="69" t="str">
        <f>TEXT(ASTemp!I1651,Decimals)</f>
        <v/>
      </c>
      <c r="J1651" s="69" t="str">
        <f>TEXT(ASTemp!J1651,Decimals)</f>
        <v/>
      </c>
      <c r="K1651" s="69" t="str">
        <f>TEXT(ASTemp!K1651,Decimals)</f>
        <v/>
      </c>
      <c r="L1651" s="69" t="str">
        <f>TEXT(ASTemp!L1651,Decimals)</f>
        <v/>
      </c>
      <c r="M1651" s="71" t="str">
        <f>TEXT(ASTemp!M1651,Percentages)</f>
        <v/>
      </c>
      <c r="N1651" s="72" t="str">
        <f>TEXT(ASTemp!N1651,Percentages)</f>
        <v/>
      </c>
    </row>
    <row r="1652" ht="14.25" customHeight="1">
      <c r="B1652" s="66" t="str">
        <f>ASTemp!B1652</f>
        <v/>
      </c>
      <c r="C1652" s="67" t="str">
        <f>ASTemp!C1652</f>
        <v/>
      </c>
      <c r="D1652" s="68" t="str">
        <f>ASTemp!D1652</f>
        <v/>
      </c>
      <c r="E1652" s="65" t="str">
        <f>ASTemp!E1652</f>
        <v/>
      </c>
      <c r="F1652" s="69" t="str">
        <f>TEXT(ASTemp!F1652,Decimals)</f>
        <v/>
      </c>
      <c r="G1652" s="69" t="str">
        <f>TEXT(ASTemp!G1652,Decimals)</f>
        <v/>
      </c>
      <c r="H1652" s="69" t="str">
        <f>TEXT(ASTemp!H1652,Decimals)</f>
        <v/>
      </c>
      <c r="I1652" s="69" t="str">
        <f>TEXT(ASTemp!I1652,Decimals)</f>
        <v/>
      </c>
      <c r="J1652" s="69" t="str">
        <f>TEXT(ASTemp!J1652,Decimals)</f>
        <v/>
      </c>
      <c r="K1652" s="69" t="str">
        <f>TEXT(ASTemp!K1652,Decimals)</f>
        <v/>
      </c>
      <c r="L1652" s="69" t="str">
        <f>TEXT(ASTemp!L1652,Decimals)</f>
        <v/>
      </c>
      <c r="M1652" s="71" t="str">
        <f>TEXT(ASTemp!M1652,Percentages)</f>
        <v/>
      </c>
      <c r="N1652" s="72" t="str">
        <f>TEXT(ASTemp!N1652,Percentages)</f>
        <v/>
      </c>
    </row>
    <row r="1653" ht="14.25" customHeight="1">
      <c r="B1653" s="66" t="str">
        <f>ASTemp!B1653</f>
        <v/>
      </c>
      <c r="C1653" s="67" t="str">
        <f>ASTemp!C1653</f>
        <v/>
      </c>
      <c r="D1653" s="68" t="str">
        <f>ASTemp!D1653</f>
        <v/>
      </c>
      <c r="E1653" s="65" t="str">
        <f>ASTemp!E1653</f>
        <v/>
      </c>
      <c r="F1653" s="69" t="str">
        <f>TEXT(ASTemp!F1653,Decimals)</f>
        <v/>
      </c>
      <c r="G1653" s="69" t="str">
        <f>TEXT(ASTemp!G1653,Decimals)</f>
        <v/>
      </c>
      <c r="H1653" s="69" t="str">
        <f>TEXT(ASTemp!H1653,Decimals)</f>
        <v/>
      </c>
      <c r="I1653" s="69" t="str">
        <f>TEXT(ASTemp!I1653,Decimals)</f>
        <v/>
      </c>
      <c r="J1653" s="69" t="str">
        <f>TEXT(ASTemp!J1653,Decimals)</f>
        <v/>
      </c>
      <c r="K1653" s="69" t="str">
        <f>TEXT(ASTemp!K1653,Decimals)</f>
        <v/>
      </c>
      <c r="L1653" s="69" t="str">
        <f>TEXT(ASTemp!L1653,Decimals)</f>
        <v/>
      </c>
      <c r="M1653" s="71" t="str">
        <f>TEXT(ASTemp!M1653,Percentages)</f>
        <v/>
      </c>
      <c r="N1653" s="72" t="str">
        <f>TEXT(ASTemp!N1653,Percentages)</f>
        <v/>
      </c>
    </row>
    <row r="1654" ht="14.25" customHeight="1">
      <c r="B1654" s="66" t="str">
        <f>ASTemp!B1654</f>
        <v/>
      </c>
      <c r="C1654" s="67" t="str">
        <f>ASTemp!C1654</f>
        <v/>
      </c>
      <c r="D1654" s="68" t="str">
        <f>ASTemp!D1654</f>
        <v/>
      </c>
      <c r="E1654" s="65" t="str">
        <f>ASTemp!E1654</f>
        <v/>
      </c>
      <c r="F1654" s="69" t="str">
        <f>TEXT(ASTemp!F1654,Decimals)</f>
        <v/>
      </c>
      <c r="G1654" s="69" t="str">
        <f>TEXT(ASTemp!G1654,Decimals)</f>
        <v/>
      </c>
      <c r="H1654" s="69" t="str">
        <f>TEXT(ASTemp!H1654,Decimals)</f>
        <v/>
      </c>
      <c r="I1654" s="69" t="str">
        <f>TEXT(ASTemp!I1654,Decimals)</f>
        <v/>
      </c>
      <c r="J1654" s="69" t="str">
        <f>TEXT(ASTemp!J1654,Decimals)</f>
        <v/>
      </c>
      <c r="K1654" s="69" t="str">
        <f>TEXT(ASTemp!K1654,Decimals)</f>
        <v/>
      </c>
      <c r="L1654" s="69" t="str">
        <f>TEXT(ASTemp!L1654,Decimals)</f>
        <v/>
      </c>
      <c r="M1654" s="71" t="str">
        <f>TEXT(ASTemp!M1654,Percentages)</f>
        <v/>
      </c>
      <c r="N1654" s="72" t="str">
        <f>TEXT(ASTemp!N1654,Percentages)</f>
        <v/>
      </c>
    </row>
    <row r="1655" ht="14.25" customHeight="1">
      <c r="B1655" s="66" t="str">
        <f>ASTemp!B1655</f>
        <v/>
      </c>
      <c r="C1655" s="67" t="str">
        <f>ASTemp!C1655</f>
        <v/>
      </c>
      <c r="D1655" s="68" t="str">
        <f>ASTemp!D1655</f>
        <v/>
      </c>
      <c r="E1655" s="65" t="str">
        <f>ASTemp!E1655</f>
        <v/>
      </c>
      <c r="F1655" s="69" t="str">
        <f>TEXT(ASTemp!F1655,Decimals)</f>
        <v/>
      </c>
      <c r="G1655" s="69" t="str">
        <f>TEXT(ASTemp!G1655,Decimals)</f>
        <v/>
      </c>
      <c r="H1655" s="69" t="str">
        <f>TEXT(ASTemp!H1655,Decimals)</f>
        <v/>
      </c>
      <c r="I1655" s="69" t="str">
        <f>TEXT(ASTemp!I1655,Decimals)</f>
        <v/>
      </c>
      <c r="J1655" s="69" t="str">
        <f>TEXT(ASTemp!J1655,Decimals)</f>
        <v/>
      </c>
      <c r="K1655" s="69" t="str">
        <f>TEXT(ASTemp!K1655,Decimals)</f>
        <v/>
      </c>
      <c r="L1655" s="69" t="str">
        <f>TEXT(ASTemp!L1655,Decimals)</f>
        <v/>
      </c>
      <c r="M1655" s="71" t="str">
        <f>TEXT(ASTemp!M1655,Percentages)</f>
        <v/>
      </c>
      <c r="N1655" s="72" t="str">
        <f>TEXT(ASTemp!N1655,Percentages)</f>
        <v/>
      </c>
    </row>
    <row r="1656" ht="14.25" customHeight="1">
      <c r="B1656" s="66" t="str">
        <f>ASTemp!B1656</f>
        <v/>
      </c>
      <c r="C1656" s="67" t="str">
        <f>ASTemp!C1656</f>
        <v/>
      </c>
      <c r="D1656" s="68" t="str">
        <f>ASTemp!D1656</f>
        <v/>
      </c>
      <c r="E1656" s="65" t="str">
        <f>ASTemp!E1656</f>
        <v/>
      </c>
      <c r="F1656" s="69" t="str">
        <f>TEXT(ASTemp!F1656,Decimals)</f>
        <v/>
      </c>
      <c r="G1656" s="69" t="str">
        <f>TEXT(ASTemp!G1656,Decimals)</f>
        <v/>
      </c>
      <c r="H1656" s="69" t="str">
        <f>TEXT(ASTemp!H1656,Decimals)</f>
        <v/>
      </c>
      <c r="I1656" s="69" t="str">
        <f>TEXT(ASTemp!I1656,Decimals)</f>
        <v/>
      </c>
      <c r="J1656" s="69" t="str">
        <f>TEXT(ASTemp!J1656,Decimals)</f>
        <v/>
      </c>
      <c r="K1656" s="69" t="str">
        <f>TEXT(ASTemp!K1656,Decimals)</f>
        <v/>
      </c>
      <c r="L1656" s="69" t="str">
        <f>TEXT(ASTemp!L1656,Decimals)</f>
        <v/>
      </c>
      <c r="M1656" s="71" t="str">
        <f>TEXT(ASTemp!M1656,Percentages)</f>
        <v/>
      </c>
      <c r="N1656" s="72" t="str">
        <f>TEXT(ASTemp!N1656,Percentages)</f>
        <v/>
      </c>
    </row>
    <row r="1657" ht="14.25" customHeight="1">
      <c r="B1657" s="66" t="str">
        <f>ASTemp!B1657</f>
        <v/>
      </c>
      <c r="C1657" s="67" t="str">
        <f>ASTemp!C1657</f>
        <v/>
      </c>
      <c r="D1657" s="68" t="str">
        <f>ASTemp!D1657</f>
        <v/>
      </c>
      <c r="E1657" s="65" t="str">
        <f>ASTemp!E1657</f>
        <v/>
      </c>
      <c r="F1657" s="69" t="str">
        <f>TEXT(ASTemp!F1657,Decimals)</f>
        <v/>
      </c>
      <c r="G1657" s="69" t="str">
        <f>TEXT(ASTemp!G1657,Decimals)</f>
        <v/>
      </c>
      <c r="H1657" s="69" t="str">
        <f>TEXT(ASTemp!H1657,Decimals)</f>
        <v/>
      </c>
      <c r="I1657" s="69" t="str">
        <f>TEXT(ASTemp!I1657,Decimals)</f>
        <v/>
      </c>
      <c r="J1657" s="69" t="str">
        <f>TEXT(ASTemp!J1657,Decimals)</f>
        <v/>
      </c>
      <c r="K1657" s="69" t="str">
        <f>TEXT(ASTemp!K1657,Decimals)</f>
        <v/>
      </c>
      <c r="L1657" s="69" t="str">
        <f>TEXT(ASTemp!L1657,Decimals)</f>
        <v/>
      </c>
      <c r="M1657" s="71" t="str">
        <f>TEXT(ASTemp!M1657,Percentages)</f>
        <v/>
      </c>
      <c r="N1657" s="72" t="str">
        <f>TEXT(ASTemp!N1657,Percentages)</f>
        <v/>
      </c>
    </row>
    <row r="1658" ht="14.25" customHeight="1">
      <c r="B1658" s="66" t="str">
        <f>ASTemp!B1658</f>
        <v/>
      </c>
      <c r="C1658" s="67" t="str">
        <f>ASTemp!C1658</f>
        <v/>
      </c>
      <c r="D1658" s="68" t="str">
        <f>ASTemp!D1658</f>
        <v/>
      </c>
      <c r="E1658" s="65" t="str">
        <f>ASTemp!E1658</f>
        <v/>
      </c>
      <c r="F1658" s="69" t="str">
        <f>TEXT(ASTemp!F1658,Decimals)</f>
        <v/>
      </c>
      <c r="G1658" s="69" t="str">
        <f>TEXT(ASTemp!G1658,Decimals)</f>
        <v/>
      </c>
      <c r="H1658" s="69" t="str">
        <f>TEXT(ASTemp!H1658,Decimals)</f>
        <v/>
      </c>
      <c r="I1658" s="69" t="str">
        <f>TEXT(ASTemp!I1658,Decimals)</f>
        <v/>
      </c>
      <c r="J1658" s="69" t="str">
        <f>TEXT(ASTemp!J1658,Decimals)</f>
        <v/>
      </c>
      <c r="K1658" s="69" t="str">
        <f>TEXT(ASTemp!K1658,Decimals)</f>
        <v/>
      </c>
      <c r="L1658" s="69" t="str">
        <f>TEXT(ASTemp!L1658,Decimals)</f>
        <v/>
      </c>
      <c r="M1658" s="71" t="str">
        <f>TEXT(ASTemp!M1658,Percentages)</f>
        <v/>
      </c>
      <c r="N1658" s="72" t="str">
        <f>TEXT(ASTemp!N1658,Percentages)</f>
        <v/>
      </c>
    </row>
    <row r="1659" ht="14.25" customHeight="1">
      <c r="B1659" s="66" t="str">
        <f>ASTemp!B1659</f>
        <v/>
      </c>
      <c r="C1659" s="67" t="str">
        <f>ASTemp!C1659</f>
        <v/>
      </c>
      <c r="D1659" s="68" t="str">
        <f>ASTemp!D1659</f>
        <v/>
      </c>
      <c r="E1659" s="65" t="str">
        <f>ASTemp!E1659</f>
        <v/>
      </c>
      <c r="F1659" s="69" t="str">
        <f>TEXT(ASTemp!F1659,Decimals)</f>
        <v/>
      </c>
      <c r="G1659" s="69" t="str">
        <f>TEXT(ASTemp!G1659,Decimals)</f>
        <v/>
      </c>
      <c r="H1659" s="69" t="str">
        <f>TEXT(ASTemp!H1659,Decimals)</f>
        <v/>
      </c>
      <c r="I1659" s="69" t="str">
        <f>TEXT(ASTemp!I1659,Decimals)</f>
        <v/>
      </c>
      <c r="J1659" s="69" t="str">
        <f>TEXT(ASTemp!J1659,Decimals)</f>
        <v/>
      </c>
      <c r="K1659" s="69" t="str">
        <f>TEXT(ASTemp!K1659,Decimals)</f>
        <v/>
      </c>
      <c r="L1659" s="69" t="str">
        <f>TEXT(ASTemp!L1659,Decimals)</f>
        <v/>
      </c>
      <c r="M1659" s="71" t="str">
        <f>TEXT(ASTemp!M1659,Percentages)</f>
        <v/>
      </c>
      <c r="N1659" s="72" t="str">
        <f>TEXT(ASTemp!N1659,Percentages)</f>
        <v/>
      </c>
    </row>
    <row r="1660" ht="14.25" customHeight="1">
      <c r="B1660" s="66" t="str">
        <f>ASTemp!B1660</f>
        <v/>
      </c>
      <c r="C1660" s="67" t="str">
        <f>ASTemp!C1660</f>
        <v/>
      </c>
      <c r="D1660" s="68" t="str">
        <f>ASTemp!D1660</f>
        <v/>
      </c>
      <c r="E1660" s="65" t="str">
        <f>ASTemp!E1660</f>
        <v/>
      </c>
      <c r="F1660" s="69" t="str">
        <f>TEXT(ASTemp!F1660,Decimals)</f>
        <v/>
      </c>
      <c r="G1660" s="69" t="str">
        <f>TEXT(ASTemp!G1660,Decimals)</f>
        <v/>
      </c>
      <c r="H1660" s="69" t="str">
        <f>TEXT(ASTemp!H1660,Decimals)</f>
        <v/>
      </c>
      <c r="I1660" s="69" t="str">
        <f>TEXT(ASTemp!I1660,Decimals)</f>
        <v/>
      </c>
      <c r="J1660" s="69" t="str">
        <f>TEXT(ASTemp!J1660,Decimals)</f>
        <v/>
      </c>
      <c r="K1660" s="69" t="str">
        <f>TEXT(ASTemp!K1660,Decimals)</f>
        <v/>
      </c>
      <c r="L1660" s="69" t="str">
        <f>TEXT(ASTemp!L1660,Decimals)</f>
        <v/>
      </c>
      <c r="M1660" s="71" t="str">
        <f>TEXT(ASTemp!M1660,Percentages)</f>
        <v/>
      </c>
      <c r="N1660" s="72" t="str">
        <f>TEXT(ASTemp!N1660,Percentages)</f>
        <v/>
      </c>
    </row>
    <row r="1661" ht="14.25" customHeight="1">
      <c r="B1661" s="66" t="str">
        <f>ASTemp!B1661</f>
        <v/>
      </c>
      <c r="C1661" s="67" t="str">
        <f>ASTemp!C1661</f>
        <v/>
      </c>
      <c r="D1661" s="68" t="str">
        <f>ASTemp!D1661</f>
        <v/>
      </c>
      <c r="E1661" s="65" t="str">
        <f>ASTemp!E1661</f>
        <v/>
      </c>
      <c r="F1661" s="69" t="str">
        <f>TEXT(ASTemp!F1661,Decimals)</f>
        <v/>
      </c>
      <c r="G1661" s="69" t="str">
        <f>TEXT(ASTemp!G1661,Decimals)</f>
        <v/>
      </c>
      <c r="H1661" s="69" t="str">
        <f>TEXT(ASTemp!H1661,Decimals)</f>
        <v/>
      </c>
      <c r="I1661" s="69" t="str">
        <f>TEXT(ASTemp!I1661,Decimals)</f>
        <v/>
      </c>
      <c r="J1661" s="69" t="str">
        <f>TEXT(ASTemp!J1661,Decimals)</f>
        <v/>
      </c>
      <c r="K1661" s="69" t="str">
        <f>TEXT(ASTemp!K1661,Decimals)</f>
        <v/>
      </c>
      <c r="L1661" s="69" t="str">
        <f>TEXT(ASTemp!L1661,Decimals)</f>
        <v/>
      </c>
      <c r="M1661" s="71" t="str">
        <f>TEXT(ASTemp!M1661,Percentages)</f>
        <v/>
      </c>
      <c r="N1661" s="72" t="str">
        <f>TEXT(ASTemp!N1661,Percentages)</f>
        <v/>
      </c>
    </row>
    <row r="1662" ht="14.25" customHeight="1">
      <c r="B1662" s="66" t="str">
        <f>ASTemp!B1662</f>
        <v/>
      </c>
      <c r="C1662" s="67" t="str">
        <f>ASTemp!C1662</f>
        <v/>
      </c>
      <c r="D1662" s="68" t="str">
        <f>ASTemp!D1662</f>
        <v/>
      </c>
      <c r="E1662" s="65" t="str">
        <f>ASTemp!E1662</f>
        <v/>
      </c>
      <c r="F1662" s="69" t="str">
        <f>TEXT(ASTemp!F1662,Decimals)</f>
        <v/>
      </c>
      <c r="G1662" s="69" t="str">
        <f>TEXT(ASTemp!G1662,Decimals)</f>
        <v/>
      </c>
      <c r="H1662" s="69" t="str">
        <f>TEXT(ASTemp!H1662,Decimals)</f>
        <v/>
      </c>
      <c r="I1662" s="69" t="str">
        <f>TEXT(ASTemp!I1662,Decimals)</f>
        <v/>
      </c>
      <c r="J1662" s="69" t="str">
        <f>TEXT(ASTemp!J1662,Decimals)</f>
        <v/>
      </c>
      <c r="K1662" s="69" t="str">
        <f>TEXT(ASTemp!K1662,Decimals)</f>
        <v/>
      </c>
      <c r="L1662" s="69" t="str">
        <f>TEXT(ASTemp!L1662,Decimals)</f>
        <v/>
      </c>
      <c r="M1662" s="71" t="str">
        <f>TEXT(ASTemp!M1662,Percentages)</f>
        <v/>
      </c>
      <c r="N1662" s="72" t="str">
        <f>TEXT(ASTemp!N1662,Percentages)</f>
        <v/>
      </c>
    </row>
    <row r="1663" ht="14.25" customHeight="1">
      <c r="B1663" s="66" t="str">
        <f>ASTemp!B1663</f>
        <v/>
      </c>
      <c r="C1663" s="67" t="str">
        <f>ASTemp!C1663</f>
        <v/>
      </c>
      <c r="D1663" s="68" t="str">
        <f>ASTemp!D1663</f>
        <v/>
      </c>
      <c r="E1663" s="65" t="str">
        <f>ASTemp!E1663</f>
        <v/>
      </c>
      <c r="F1663" s="69" t="str">
        <f>TEXT(ASTemp!F1663,Decimals)</f>
        <v/>
      </c>
      <c r="G1663" s="69" t="str">
        <f>TEXT(ASTemp!G1663,Decimals)</f>
        <v/>
      </c>
      <c r="H1663" s="69" t="str">
        <f>TEXT(ASTemp!H1663,Decimals)</f>
        <v/>
      </c>
      <c r="I1663" s="69" t="str">
        <f>TEXT(ASTemp!I1663,Decimals)</f>
        <v/>
      </c>
      <c r="J1663" s="69" t="str">
        <f>TEXT(ASTemp!J1663,Decimals)</f>
        <v/>
      </c>
      <c r="K1663" s="69" t="str">
        <f>TEXT(ASTemp!K1663,Decimals)</f>
        <v/>
      </c>
      <c r="L1663" s="69" t="str">
        <f>TEXT(ASTemp!L1663,Decimals)</f>
        <v/>
      </c>
      <c r="M1663" s="71" t="str">
        <f>TEXT(ASTemp!M1663,Percentages)</f>
        <v/>
      </c>
      <c r="N1663" s="72" t="str">
        <f>TEXT(ASTemp!N1663,Percentages)</f>
        <v/>
      </c>
    </row>
    <row r="1664" ht="14.25" customHeight="1">
      <c r="B1664" s="66" t="str">
        <f>ASTemp!B1664</f>
        <v/>
      </c>
      <c r="C1664" s="67" t="str">
        <f>ASTemp!C1664</f>
        <v/>
      </c>
      <c r="D1664" s="68" t="str">
        <f>ASTemp!D1664</f>
        <v/>
      </c>
      <c r="E1664" s="65" t="str">
        <f>ASTemp!E1664</f>
        <v/>
      </c>
      <c r="F1664" s="69" t="str">
        <f>TEXT(ASTemp!F1664,Decimals)</f>
        <v/>
      </c>
      <c r="G1664" s="69" t="str">
        <f>TEXT(ASTemp!G1664,Decimals)</f>
        <v/>
      </c>
      <c r="H1664" s="69" t="str">
        <f>TEXT(ASTemp!H1664,Decimals)</f>
        <v/>
      </c>
      <c r="I1664" s="69" t="str">
        <f>TEXT(ASTemp!I1664,Decimals)</f>
        <v/>
      </c>
      <c r="J1664" s="69" t="str">
        <f>TEXT(ASTemp!J1664,Decimals)</f>
        <v/>
      </c>
      <c r="K1664" s="69" t="str">
        <f>TEXT(ASTemp!K1664,Decimals)</f>
        <v/>
      </c>
      <c r="L1664" s="69" t="str">
        <f>TEXT(ASTemp!L1664,Decimals)</f>
        <v/>
      </c>
      <c r="M1664" s="71" t="str">
        <f>TEXT(ASTemp!M1664,Percentages)</f>
        <v/>
      </c>
      <c r="N1664" s="72" t="str">
        <f>TEXT(ASTemp!N1664,Percentages)</f>
        <v/>
      </c>
    </row>
    <row r="1665" ht="14.25" customHeight="1">
      <c r="B1665" s="66" t="str">
        <f>ASTemp!B1665</f>
        <v/>
      </c>
      <c r="C1665" s="67" t="str">
        <f>ASTemp!C1665</f>
        <v/>
      </c>
      <c r="D1665" s="68" t="str">
        <f>ASTemp!D1665</f>
        <v/>
      </c>
      <c r="E1665" s="65" t="str">
        <f>ASTemp!E1665</f>
        <v/>
      </c>
      <c r="F1665" s="69" t="str">
        <f>TEXT(ASTemp!F1665,Decimals)</f>
        <v/>
      </c>
      <c r="G1665" s="69" t="str">
        <f>TEXT(ASTemp!G1665,Decimals)</f>
        <v/>
      </c>
      <c r="H1665" s="69" t="str">
        <f>TEXT(ASTemp!H1665,Decimals)</f>
        <v/>
      </c>
      <c r="I1665" s="69" t="str">
        <f>TEXT(ASTemp!I1665,Decimals)</f>
        <v/>
      </c>
      <c r="J1665" s="69" t="str">
        <f>TEXT(ASTemp!J1665,Decimals)</f>
        <v/>
      </c>
      <c r="K1665" s="69" t="str">
        <f>TEXT(ASTemp!K1665,Decimals)</f>
        <v/>
      </c>
      <c r="L1665" s="69" t="str">
        <f>TEXT(ASTemp!L1665,Decimals)</f>
        <v/>
      </c>
      <c r="M1665" s="71" t="str">
        <f>TEXT(ASTemp!M1665,Percentages)</f>
        <v/>
      </c>
      <c r="N1665" s="72" t="str">
        <f>TEXT(ASTemp!N1665,Percentages)</f>
        <v/>
      </c>
    </row>
    <row r="1666" ht="14.25" customHeight="1">
      <c r="B1666" s="66" t="str">
        <f>ASTemp!B1666</f>
        <v/>
      </c>
      <c r="C1666" s="67" t="str">
        <f>ASTemp!C1666</f>
        <v/>
      </c>
      <c r="D1666" s="68" t="str">
        <f>ASTemp!D1666</f>
        <v/>
      </c>
      <c r="E1666" s="65" t="str">
        <f>ASTemp!E1666</f>
        <v/>
      </c>
      <c r="F1666" s="69" t="str">
        <f>TEXT(ASTemp!F1666,Decimals)</f>
        <v/>
      </c>
      <c r="G1666" s="69" t="str">
        <f>TEXT(ASTemp!G1666,Decimals)</f>
        <v/>
      </c>
      <c r="H1666" s="69" t="str">
        <f>TEXT(ASTemp!H1666,Decimals)</f>
        <v/>
      </c>
      <c r="I1666" s="69" t="str">
        <f>TEXT(ASTemp!I1666,Decimals)</f>
        <v/>
      </c>
      <c r="J1666" s="69" t="str">
        <f>TEXT(ASTemp!J1666,Decimals)</f>
        <v/>
      </c>
      <c r="K1666" s="69" t="str">
        <f>TEXT(ASTemp!K1666,Decimals)</f>
        <v/>
      </c>
      <c r="L1666" s="69" t="str">
        <f>TEXT(ASTemp!L1666,Decimals)</f>
        <v/>
      </c>
      <c r="M1666" s="71" t="str">
        <f>TEXT(ASTemp!M1666,Percentages)</f>
        <v/>
      </c>
      <c r="N1666" s="72" t="str">
        <f>TEXT(ASTemp!N1666,Percentages)</f>
        <v/>
      </c>
    </row>
    <row r="1667" ht="14.25" customHeight="1">
      <c r="B1667" s="66" t="str">
        <f>ASTemp!B1667</f>
        <v/>
      </c>
      <c r="C1667" s="67" t="str">
        <f>ASTemp!C1667</f>
        <v/>
      </c>
      <c r="D1667" s="68" t="str">
        <f>ASTemp!D1667</f>
        <v/>
      </c>
      <c r="E1667" s="65" t="str">
        <f>ASTemp!E1667</f>
        <v/>
      </c>
      <c r="F1667" s="69" t="str">
        <f>TEXT(ASTemp!F1667,Decimals)</f>
        <v/>
      </c>
      <c r="G1667" s="69" t="str">
        <f>TEXT(ASTemp!G1667,Decimals)</f>
        <v/>
      </c>
      <c r="H1667" s="69" t="str">
        <f>TEXT(ASTemp!H1667,Decimals)</f>
        <v/>
      </c>
      <c r="I1667" s="69" t="str">
        <f>TEXT(ASTemp!I1667,Decimals)</f>
        <v/>
      </c>
      <c r="J1667" s="69" t="str">
        <f>TEXT(ASTemp!J1667,Decimals)</f>
        <v/>
      </c>
      <c r="K1667" s="69" t="str">
        <f>TEXT(ASTemp!K1667,Decimals)</f>
        <v/>
      </c>
      <c r="L1667" s="69" t="str">
        <f>TEXT(ASTemp!L1667,Decimals)</f>
        <v/>
      </c>
      <c r="M1667" s="71" t="str">
        <f>TEXT(ASTemp!M1667,Percentages)</f>
        <v/>
      </c>
      <c r="N1667" s="72" t="str">
        <f>TEXT(ASTemp!N1667,Percentages)</f>
        <v/>
      </c>
    </row>
    <row r="1668" ht="14.25" customHeight="1">
      <c r="B1668" s="66" t="str">
        <f>ASTemp!B1668</f>
        <v/>
      </c>
      <c r="C1668" s="67" t="str">
        <f>ASTemp!C1668</f>
        <v/>
      </c>
      <c r="D1668" s="68" t="str">
        <f>ASTemp!D1668</f>
        <v/>
      </c>
      <c r="E1668" s="65" t="str">
        <f>ASTemp!E1668</f>
        <v/>
      </c>
      <c r="F1668" s="69" t="str">
        <f>TEXT(ASTemp!F1668,Decimals)</f>
        <v/>
      </c>
      <c r="G1668" s="69" t="str">
        <f>TEXT(ASTemp!G1668,Decimals)</f>
        <v/>
      </c>
      <c r="H1668" s="69" t="str">
        <f>TEXT(ASTemp!H1668,Decimals)</f>
        <v/>
      </c>
      <c r="I1668" s="69" t="str">
        <f>TEXT(ASTemp!I1668,Decimals)</f>
        <v/>
      </c>
      <c r="J1668" s="69" t="str">
        <f>TEXT(ASTemp!J1668,Decimals)</f>
        <v/>
      </c>
      <c r="K1668" s="69" t="str">
        <f>TEXT(ASTemp!K1668,Decimals)</f>
        <v/>
      </c>
      <c r="L1668" s="69" t="str">
        <f>TEXT(ASTemp!L1668,Decimals)</f>
        <v/>
      </c>
      <c r="M1668" s="71" t="str">
        <f>TEXT(ASTemp!M1668,Percentages)</f>
        <v/>
      </c>
      <c r="N1668" s="72" t="str">
        <f>TEXT(ASTemp!N1668,Percentages)</f>
        <v/>
      </c>
    </row>
    <row r="1669" ht="14.25" customHeight="1">
      <c r="B1669" s="66" t="str">
        <f>ASTemp!B1669</f>
        <v/>
      </c>
      <c r="C1669" s="67" t="str">
        <f>ASTemp!C1669</f>
        <v/>
      </c>
      <c r="D1669" s="68" t="str">
        <f>ASTemp!D1669</f>
        <v/>
      </c>
      <c r="E1669" s="65" t="str">
        <f>ASTemp!E1669</f>
        <v/>
      </c>
      <c r="F1669" s="69" t="str">
        <f>TEXT(ASTemp!F1669,Decimals)</f>
        <v/>
      </c>
      <c r="G1669" s="69" t="str">
        <f>TEXT(ASTemp!G1669,Decimals)</f>
        <v/>
      </c>
      <c r="H1669" s="69" t="str">
        <f>TEXT(ASTemp!H1669,Decimals)</f>
        <v/>
      </c>
      <c r="I1669" s="69" t="str">
        <f>TEXT(ASTemp!I1669,Decimals)</f>
        <v/>
      </c>
      <c r="J1669" s="69" t="str">
        <f>TEXT(ASTemp!J1669,Decimals)</f>
        <v/>
      </c>
      <c r="K1669" s="69" t="str">
        <f>TEXT(ASTemp!K1669,Decimals)</f>
        <v/>
      </c>
      <c r="L1669" s="69" t="str">
        <f>TEXT(ASTemp!L1669,Decimals)</f>
        <v/>
      </c>
      <c r="M1669" s="71" t="str">
        <f>TEXT(ASTemp!M1669,Percentages)</f>
        <v/>
      </c>
      <c r="N1669" s="72" t="str">
        <f>TEXT(ASTemp!N1669,Percentages)</f>
        <v/>
      </c>
    </row>
    <row r="1670" ht="14.25" customHeight="1">
      <c r="B1670" s="66" t="str">
        <f>ASTemp!B1670</f>
        <v/>
      </c>
      <c r="C1670" s="67" t="str">
        <f>ASTemp!C1670</f>
        <v/>
      </c>
      <c r="D1670" s="68" t="str">
        <f>ASTemp!D1670</f>
        <v/>
      </c>
      <c r="E1670" s="65" t="str">
        <f>ASTemp!E1670</f>
        <v/>
      </c>
      <c r="F1670" s="69" t="str">
        <f>TEXT(ASTemp!F1670,Decimals)</f>
        <v/>
      </c>
      <c r="G1670" s="69" t="str">
        <f>TEXT(ASTemp!G1670,Decimals)</f>
        <v/>
      </c>
      <c r="H1670" s="69" t="str">
        <f>TEXT(ASTemp!H1670,Decimals)</f>
        <v/>
      </c>
      <c r="I1670" s="69" t="str">
        <f>TEXT(ASTemp!I1670,Decimals)</f>
        <v/>
      </c>
      <c r="J1670" s="69" t="str">
        <f>TEXT(ASTemp!J1670,Decimals)</f>
        <v/>
      </c>
      <c r="K1670" s="69" t="str">
        <f>TEXT(ASTemp!K1670,Decimals)</f>
        <v/>
      </c>
      <c r="L1670" s="69" t="str">
        <f>TEXT(ASTemp!L1670,Decimals)</f>
        <v/>
      </c>
      <c r="M1670" s="71" t="str">
        <f>TEXT(ASTemp!M1670,Percentages)</f>
        <v/>
      </c>
      <c r="N1670" s="72" t="str">
        <f>TEXT(ASTemp!N1670,Percentages)</f>
        <v/>
      </c>
    </row>
    <row r="1671" ht="14.25" customHeight="1">
      <c r="B1671" s="66" t="str">
        <f>ASTemp!B1671</f>
        <v/>
      </c>
      <c r="C1671" s="67" t="str">
        <f>ASTemp!C1671</f>
        <v/>
      </c>
      <c r="D1671" s="68" t="str">
        <f>ASTemp!D1671</f>
        <v/>
      </c>
      <c r="E1671" s="65" t="str">
        <f>ASTemp!E1671</f>
        <v/>
      </c>
      <c r="F1671" s="69" t="str">
        <f>TEXT(ASTemp!F1671,Decimals)</f>
        <v/>
      </c>
      <c r="G1671" s="69" t="str">
        <f>TEXT(ASTemp!G1671,Decimals)</f>
        <v/>
      </c>
      <c r="H1671" s="69" t="str">
        <f>TEXT(ASTemp!H1671,Decimals)</f>
        <v/>
      </c>
      <c r="I1671" s="69" t="str">
        <f>TEXT(ASTemp!I1671,Decimals)</f>
        <v/>
      </c>
      <c r="J1671" s="69" t="str">
        <f>TEXT(ASTemp!J1671,Decimals)</f>
        <v/>
      </c>
      <c r="K1671" s="69" t="str">
        <f>TEXT(ASTemp!K1671,Decimals)</f>
        <v/>
      </c>
      <c r="L1671" s="69" t="str">
        <f>TEXT(ASTemp!L1671,Decimals)</f>
        <v/>
      </c>
      <c r="M1671" s="71" t="str">
        <f>TEXT(ASTemp!M1671,Percentages)</f>
        <v/>
      </c>
      <c r="N1671" s="72" t="str">
        <f>TEXT(ASTemp!N1671,Percentages)</f>
        <v/>
      </c>
    </row>
    <row r="1672" ht="14.25" customHeight="1">
      <c r="B1672" s="66" t="str">
        <f>ASTemp!B1672</f>
        <v/>
      </c>
      <c r="C1672" s="67" t="str">
        <f>ASTemp!C1672</f>
        <v/>
      </c>
      <c r="D1672" s="68" t="str">
        <f>ASTemp!D1672</f>
        <v/>
      </c>
      <c r="E1672" s="65" t="str">
        <f>ASTemp!E1672</f>
        <v/>
      </c>
      <c r="F1672" s="69" t="str">
        <f>TEXT(ASTemp!F1672,Decimals)</f>
        <v/>
      </c>
      <c r="G1672" s="69" t="str">
        <f>TEXT(ASTemp!G1672,Decimals)</f>
        <v/>
      </c>
      <c r="H1672" s="69" t="str">
        <f>TEXT(ASTemp!H1672,Decimals)</f>
        <v/>
      </c>
      <c r="I1672" s="69" t="str">
        <f>TEXT(ASTemp!I1672,Decimals)</f>
        <v/>
      </c>
      <c r="J1672" s="69" t="str">
        <f>TEXT(ASTemp!J1672,Decimals)</f>
        <v/>
      </c>
      <c r="K1672" s="69" t="str">
        <f>TEXT(ASTemp!K1672,Decimals)</f>
        <v/>
      </c>
      <c r="L1672" s="69" t="str">
        <f>TEXT(ASTemp!L1672,Decimals)</f>
        <v/>
      </c>
      <c r="M1672" s="71" t="str">
        <f>TEXT(ASTemp!M1672,Percentages)</f>
        <v/>
      </c>
      <c r="N1672" s="72" t="str">
        <f>TEXT(ASTemp!N1672,Percentages)</f>
        <v/>
      </c>
    </row>
    <row r="1673" ht="14.25" customHeight="1">
      <c r="B1673" s="66" t="str">
        <f>ASTemp!B1673</f>
        <v/>
      </c>
      <c r="C1673" s="67" t="str">
        <f>ASTemp!C1673</f>
        <v/>
      </c>
      <c r="D1673" s="68" t="str">
        <f>ASTemp!D1673</f>
        <v/>
      </c>
      <c r="E1673" s="65" t="str">
        <f>ASTemp!E1673</f>
        <v/>
      </c>
      <c r="F1673" s="69" t="str">
        <f>TEXT(ASTemp!F1673,Decimals)</f>
        <v/>
      </c>
      <c r="G1673" s="69" t="str">
        <f>TEXT(ASTemp!G1673,Decimals)</f>
        <v/>
      </c>
      <c r="H1673" s="69" t="str">
        <f>TEXT(ASTemp!H1673,Decimals)</f>
        <v/>
      </c>
      <c r="I1673" s="69" t="str">
        <f>TEXT(ASTemp!I1673,Decimals)</f>
        <v/>
      </c>
      <c r="J1673" s="69" t="str">
        <f>TEXT(ASTemp!J1673,Decimals)</f>
        <v/>
      </c>
      <c r="K1673" s="69" t="str">
        <f>TEXT(ASTemp!K1673,Decimals)</f>
        <v/>
      </c>
      <c r="L1673" s="69" t="str">
        <f>TEXT(ASTemp!L1673,Decimals)</f>
        <v/>
      </c>
      <c r="M1673" s="71" t="str">
        <f>TEXT(ASTemp!M1673,Percentages)</f>
        <v/>
      </c>
      <c r="N1673" s="72" t="str">
        <f>TEXT(ASTemp!N1673,Percentages)</f>
        <v/>
      </c>
    </row>
    <row r="1674" ht="14.25" customHeight="1">
      <c r="B1674" s="66" t="str">
        <f>ASTemp!B1674</f>
        <v/>
      </c>
      <c r="C1674" s="67" t="str">
        <f>ASTemp!C1674</f>
        <v/>
      </c>
      <c r="D1674" s="68" t="str">
        <f>ASTemp!D1674</f>
        <v/>
      </c>
      <c r="E1674" s="65" t="str">
        <f>ASTemp!E1674</f>
        <v/>
      </c>
      <c r="F1674" s="69" t="str">
        <f>TEXT(ASTemp!F1674,Decimals)</f>
        <v/>
      </c>
      <c r="G1674" s="69" t="str">
        <f>TEXT(ASTemp!G1674,Decimals)</f>
        <v/>
      </c>
      <c r="H1674" s="69" t="str">
        <f>TEXT(ASTemp!H1674,Decimals)</f>
        <v/>
      </c>
      <c r="I1674" s="69" t="str">
        <f>TEXT(ASTemp!I1674,Decimals)</f>
        <v/>
      </c>
      <c r="J1674" s="69" t="str">
        <f>TEXT(ASTemp!J1674,Decimals)</f>
        <v/>
      </c>
      <c r="K1674" s="69" t="str">
        <f>TEXT(ASTemp!K1674,Decimals)</f>
        <v/>
      </c>
      <c r="L1674" s="69" t="str">
        <f>TEXT(ASTemp!L1674,Decimals)</f>
        <v/>
      </c>
      <c r="M1674" s="71" t="str">
        <f>TEXT(ASTemp!M1674,Percentages)</f>
        <v/>
      </c>
      <c r="N1674" s="72" t="str">
        <f>TEXT(ASTemp!N1674,Percentages)</f>
        <v/>
      </c>
    </row>
    <row r="1675" ht="14.25" customHeight="1">
      <c r="B1675" s="66" t="str">
        <f>ASTemp!B1675</f>
        <v/>
      </c>
      <c r="C1675" s="67" t="str">
        <f>ASTemp!C1675</f>
        <v/>
      </c>
      <c r="D1675" s="68" t="str">
        <f>ASTemp!D1675</f>
        <v/>
      </c>
      <c r="E1675" s="65" t="str">
        <f>ASTemp!E1675</f>
        <v/>
      </c>
      <c r="F1675" s="69" t="str">
        <f>TEXT(ASTemp!F1675,Decimals)</f>
        <v/>
      </c>
      <c r="G1675" s="69" t="str">
        <f>TEXT(ASTemp!G1675,Decimals)</f>
        <v/>
      </c>
      <c r="H1675" s="69" t="str">
        <f>TEXT(ASTemp!H1675,Decimals)</f>
        <v/>
      </c>
      <c r="I1675" s="69" t="str">
        <f>TEXT(ASTemp!I1675,Decimals)</f>
        <v/>
      </c>
      <c r="J1675" s="69" t="str">
        <f>TEXT(ASTemp!J1675,Decimals)</f>
        <v/>
      </c>
      <c r="K1675" s="69" t="str">
        <f>TEXT(ASTemp!K1675,Decimals)</f>
        <v/>
      </c>
      <c r="L1675" s="69" t="str">
        <f>TEXT(ASTemp!L1675,Decimals)</f>
        <v/>
      </c>
      <c r="M1675" s="71" t="str">
        <f>TEXT(ASTemp!M1675,Percentages)</f>
        <v/>
      </c>
      <c r="N1675" s="72" t="str">
        <f>TEXT(ASTemp!N1675,Percentages)</f>
        <v/>
      </c>
    </row>
    <row r="1676" ht="14.25" customHeight="1">
      <c r="B1676" s="66" t="str">
        <f>ASTemp!B1676</f>
        <v/>
      </c>
      <c r="C1676" s="67" t="str">
        <f>ASTemp!C1676</f>
        <v/>
      </c>
      <c r="D1676" s="68" t="str">
        <f>ASTemp!D1676</f>
        <v/>
      </c>
      <c r="E1676" s="65" t="str">
        <f>ASTemp!E1676</f>
        <v/>
      </c>
      <c r="F1676" s="69" t="str">
        <f>TEXT(ASTemp!F1676,Decimals)</f>
        <v/>
      </c>
      <c r="G1676" s="69" t="str">
        <f>TEXT(ASTemp!G1676,Decimals)</f>
        <v/>
      </c>
      <c r="H1676" s="69" t="str">
        <f>TEXT(ASTemp!H1676,Decimals)</f>
        <v/>
      </c>
      <c r="I1676" s="69" t="str">
        <f>TEXT(ASTemp!I1676,Decimals)</f>
        <v/>
      </c>
      <c r="J1676" s="69" t="str">
        <f>TEXT(ASTemp!J1676,Decimals)</f>
        <v/>
      </c>
      <c r="K1676" s="69" t="str">
        <f>TEXT(ASTemp!K1676,Decimals)</f>
        <v/>
      </c>
      <c r="L1676" s="69" t="str">
        <f>TEXT(ASTemp!L1676,Decimals)</f>
        <v/>
      </c>
      <c r="M1676" s="71" t="str">
        <f>TEXT(ASTemp!M1676,Percentages)</f>
        <v/>
      </c>
      <c r="N1676" s="72" t="str">
        <f>TEXT(ASTemp!N1676,Percentages)</f>
        <v/>
      </c>
    </row>
    <row r="1677" ht="14.25" customHeight="1">
      <c r="B1677" s="66" t="str">
        <f>ASTemp!B1677</f>
        <v/>
      </c>
      <c r="C1677" s="67" t="str">
        <f>ASTemp!C1677</f>
        <v/>
      </c>
      <c r="D1677" s="68" t="str">
        <f>ASTemp!D1677</f>
        <v/>
      </c>
      <c r="E1677" s="65" t="str">
        <f>ASTemp!E1677</f>
        <v/>
      </c>
      <c r="F1677" s="69" t="str">
        <f>TEXT(ASTemp!F1677,Decimals)</f>
        <v/>
      </c>
      <c r="G1677" s="69" t="str">
        <f>TEXT(ASTemp!G1677,Decimals)</f>
        <v/>
      </c>
      <c r="H1677" s="69" t="str">
        <f>TEXT(ASTemp!H1677,Decimals)</f>
        <v/>
      </c>
      <c r="I1677" s="69" t="str">
        <f>TEXT(ASTemp!I1677,Decimals)</f>
        <v/>
      </c>
      <c r="J1677" s="69" t="str">
        <f>TEXT(ASTemp!J1677,Decimals)</f>
        <v/>
      </c>
      <c r="K1677" s="69" t="str">
        <f>TEXT(ASTemp!K1677,Decimals)</f>
        <v/>
      </c>
      <c r="L1677" s="69" t="str">
        <f>TEXT(ASTemp!L1677,Decimals)</f>
        <v/>
      </c>
      <c r="M1677" s="71" t="str">
        <f>TEXT(ASTemp!M1677,Percentages)</f>
        <v/>
      </c>
      <c r="N1677" s="72" t="str">
        <f>TEXT(ASTemp!N1677,Percentages)</f>
        <v/>
      </c>
    </row>
    <row r="1678" ht="14.25" customHeight="1">
      <c r="B1678" s="66" t="str">
        <f>ASTemp!B1678</f>
        <v/>
      </c>
      <c r="C1678" s="67" t="str">
        <f>ASTemp!C1678</f>
        <v/>
      </c>
      <c r="D1678" s="68" t="str">
        <f>ASTemp!D1678</f>
        <v/>
      </c>
      <c r="E1678" s="65" t="str">
        <f>ASTemp!E1678</f>
        <v/>
      </c>
      <c r="F1678" s="69" t="str">
        <f>TEXT(ASTemp!F1678,Decimals)</f>
        <v/>
      </c>
      <c r="G1678" s="69" t="str">
        <f>TEXT(ASTemp!G1678,Decimals)</f>
        <v/>
      </c>
      <c r="H1678" s="69" t="str">
        <f>TEXT(ASTemp!H1678,Decimals)</f>
        <v/>
      </c>
      <c r="I1678" s="69" t="str">
        <f>TEXT(ASTemp!I1678,Decimals)</f>
        <v/>
      </c>
      <c r="J1678" s="69" t="str">
        <f>TEXT(ASTemp!J1678,Decimals)</f>
        <v/>
      </c>
      <c r="K1678" s="69" t="str">
        <f>TEXT(ASTemp!K1678,Decimals)</f>
        <v/>
      </c>
      <c r="L1678" s="69" t="str">
        <f>TEXT(ASTemp!L1678,Decimals)</f>
        <v/>
      </c>
      <c r="M1678" s="71" t="str">
        <f>TEXT(ASTemp!M1678,Percentages)</f>
        <v/>
      </c>
      <c r="N1678" s="72" t="str">
        <f>TEXT(ASTemp!N1678,Percentages)</f>
        <v/>
      </c>
    </row>
    <row r="1679" ht="14.25" customHeight="1">
      <c r="B1679" s="66" t="str">
        <f>ASTemp!B1679</f>
        <v/>
      </c>
      <c r="C1679" s="67" t="str">
        <f>ASTemp!C1679</f>
        <v/>
      </c>
      <c r="D1679" s="68" t="str">
        <f>ASTemp!D1679</f>
        <v/>
      </c>
      <c r="E1679" s="65" t="str">
        <f>ASTemp!E1679</f>
        <v/>
      </c>
      <c r="F1679" s="69" t="str">
        <f>TEXT(ASTemp!F1679,Decimals)</f>
        <v/>
      </c>
      <c r="G1679" s="69" t="str">
        <f>TEXT(ASTemp!G1679,Decimals)</f>
        <v/>
      </c>
      <c r="H1679" s="69" t="str">
        <f>TEXT(ASTemp!H1679,Decimals)</f>
        <v/>
      </c>
      <c r="I1679" s="69" t="str">
        <f>TEXT(ASTemp!I1679,Decimals)</f>
        <v/>
      </c>
      <c r="J1679" s="69" t="str">
        <f>TEXT(ASTemp!J1679,Decimals)</f>
        <v/>
      </c>
      <c r="K1679" s="69" t="str">
        <f>TEXT(ASTemp!K1679,Decimals)</f>
        <v/>
      </c>
      <c r="L1679" s="69" t="str">
        <f>TEXT(ASTemp!L1679,Decimals)</f>
        <v/>
      </c>
      <c r="M1679" s="71" t="str">
        <f>TEXT(ASTemp!M1679,Percentages)</f>
        <v/>
      </c>
      <c r="N1679" s="72" t="str">
        <f>TEXT(ASTemp!N1679,Percentages)</f>
        <v/>
      </c>
    </row>
    <row r="1680" ht="14.25" customHeight="1">
      <c r="B1680" s="66" t="str">
        <f>ASTemp!B1680</f>
        <v/>
      </c>
      <c r="C1680" s="67" t="str">
        <f>ASTemp!C1680</f>
        <v/>
      </c>
      <c r="D1680" s="68" t="str">
        <f>ASTemp!D1680</f>
        <v/>
      </c>
      <c r="E1680" s="65" t="str">
        <f>ASTemp!E1680</f>
        <v/>
      </c>
      <c r="F1680" s="69" t="str">
        <f>TEXT(ASTemp!F1680,Decimals)</f>
        <v/>
      </c>
      <c r="G1680" s="69" t="str">
        <f>TEXT(ASTemp!G1680,Decimals)</f>
        <v/>
      </c>
      <c r="H1680" s="69" t="str">
        <f>TEXT(ASTemp!H1680,Decimals)</f>
        <v/>
      </c>
      <c r="I1680" s="69" t="str">
        <f>TEXT(ASTemp!I1680,Decimals)</f>
        <v/>
      </c>
      <c r="J1680" s="69" t="str">
        <f>TEXT(ASTemp!J1680,Decimals)</f>
        <v/>
      </c>
      <c r="K1680" s="69" t="str">
        <f>TEXT(ASTemp!K1680,Decimals)</f>
        <v/>
      </c>
      <c r="L1680" s="69" t="str">
        <f>TEXT(ASTemp!L1680,Decimals)</f>
        <v/>
      </c>
      <c r="M1680" s="71" t="str">
        <f>TEXT(ASTemp!M1680,Percentages)</f>
        <v/>
      </c>
      <c r="N1680" s="72" t="str">
        <f>TEXT(ASTemp!N1680,Percentages)</f>
        <v/>
      </c>
    </row>
    <row r="1681" ht="14.25" customHeight="1">
      <c r="B1681" s="66" t="str">
        <f>ASTemp!B1681</f>
        <v/>
      </c>
      <c r="C1681" s="67" t="str">
        <f>ASTemp!C1681</f>
        <v/>
      </c>
      <c r="D1681" s="68" t="str">
        <f>ASTemp!D1681</f>
        <v/>
      </c>
      <c r="E1681" s="65" t="str">
        <f>ASTemp!E1681</f>
        <v/>
      </c>
      <c r="F1681" s="69" t="str">
        <f>TEXT(ASTemp!F1681,Decimals)</f>
        <v/>
      </c>
      <c r="G1681" s="69" t="str">
        <f>TEXT(ASTemp!G1681,Decimals)</f>
        <v/>
      </c>
      <c r="H1681" s="69" t="str">
        <f>TEXT(ASTemp!H1681,Decimals)</f>
        <v/>
      </c>
      <c r="I1681" s="69" t="str">
        <f>TEXT(ASTemp!I1681,Decimals)</f>
        <v/>
      </c>
      <c r="J1681" s="69" t="str">
        <f>TEXT(ASTemp!J1681,Decimals)</f>
        <v/>
      </c>
      <c r="K1681" s="69" t="str">
        <f>TEXT(ASTemp!K1681,Decimals)</f>
        <v/>
      </c>
      <c r="L1681" s="69" t="str">
        <f>TEXT(ASTemp!L1681,Decimals)</f>
        <v/>
      </c>
      <c r="M1681" s="71" t="str">
        <f>TEXT(ASTemp!M1681,Percentages)</f>
        <v/>
      </c>
      <c r="N1681" s="72" t="str">
        <f>TEXT(ASTemp!N1681,Percentages)</f>
        <v/>
      </c>
    </row>
    <row r="1682" ht="14.25" customHeight="1">
      <c r="B1682" s="66" t="str">
        <f>ASTemp!B1682</f>
        <v/>
      </c>
      <c r="C1682" s="67" t="str">
        <f>ASTemp!C1682</f>
        <v/>
      </c>
      <c r="D1682" s="68" t="str">
        <f>ASTemp!D1682</f>
        <v/>
      </c>
      <c r="E1682" s="65" t="str">
        <f>ASTemp!E1682</f>
        <v/>
      </c>
      <c r="F1682" s="69" t="str">
        <f>TEXT(ASTemp!F1682,Decimals)</f>
        <v/>
      </c>
      <c r="G1682" s="69" t="str">
        <f>TEXT(ASTemp!G1682,Decimals)</f>
        <v/>
      </c>
      <c r="H1682" s="69" t="str">
        <f>TEXT(ASTemp!H1682,Decimals)</f>
        <v/>
      </c>
      <c r="I1682" s="69" t="str">
        <f>TEXT(ASTemp!I1682,Decimals)</f>
        <v/>
      </c>
      <c r="J1682" s="69" t="str">
        <f>TEXT(ASTemp!J1682,Decimals)</f>
        <v/>
      </c>
      <c r="K1682" s="69" t="str">
        <f>TEXT(ASTemp!K1682,Decimals)</f>
        <v/>
      </c>
      <c r="L1682" s="69" t="str">
        <f>TEXT(ASTemp!L1682,Decimals)</f>
        <v/>
      </c>
      <c r="M1682" s="71" t="str">
        <f>TEXT(ASTemp!M1682,Percentages)</f>
        <v/>
      </c>
      <c r="N1682" s="72" t="str">
        <f>TEXT(ASTemp!N1682,Percentages)</f>
        <v/>
      </c>
    </row>
    <row r="1683" ht="14.25" customHeight="1">
      <c r="B1683" s="66" t="str">
        <f>ASTemp!B1683</f>
        <v/>
      </c>
      <c r="C1683" s="67" t="str">
        <f>ASTemp!C1683</f>
        <v/>
      </c>
      <c r="D1683" s="68" t="str">
        <f>ASTemp!D1683</f>
        <v/>
      </c>
      <c r="E1683" s="65" t="str">
        <f>ASTemp!E1683</f>
        <v/>
      </c>
      <c r="F1683" s="69" t="str">
        <f>TEXT(ASTemp!F1683,Decimals)</f>
        <v/>
      </c>
      <c r="G1683" s="69" t="str">
        <f>TEXT(ASTemp!G1683,Decimals)</f>
        <v/>
      </c>
      <c r="H1683" s="69" t="str">
        <f>TEXT(ASTemp!H1683,Decimals)</f>
        <v/>
      </c>
      <c r="I1683" s="69" t="str">
        <f>TEXT(ASTemp!I1683,Decimals)</f>
        <v/>
      </c>
      <c r="J1683" s="69" t="str">
        <f>TEXT(ASTemp!J1683,Decimals)</f>
        <v/>
      </c>
      <c r="K1683" s="69" t="str">
        <f>TEXT(ASTemp!K1683,Decimals)</f>
        <v/>
      </c>
      <c r="L1683" s="69" t="str">
        <f>TEXT(ASTemp!L1683,Decimals)</f>
        <v/>
      </c>
      <c r="M1683" s="71" t="str">
        <f>TEXT(ASTemp!M1683,Percentages)</f>
        <v/>
      </c>
      <c r="N1683" s="72" t="str">
        <f>TEXT(ASTemp!N1683,Percentages)</f>
        <v/>
      </c>
    </row>
    <row r="1684" ht="14.25" customHeight="1">
      <c r="B1684" s="66" t="str">
        <f>ASTemp!B1684</f>
        <v/>
      </c>
      <c r="C1684" s="67" t="str">
        <f>ASTemp!C1684</f>
        <v/>
      </c>
      <c r="D1684" s="68" t="str">
        <f>ASTemp!D1684</f>
        <v/>
      </c>
      <c r="E1684" s="65" t="str">
        <f>ASTemp!E1684</f>
        <v/>
      </c>
      <c r="F1684" s="69" t="str">
        <f>TEXT(ASTemp!F1684,Decimals)</f>
        <v/>
      </c>
      <c r="G1684" s="69" t="str">
        <f>TEXT(ASTemp!G1684,Decimals)</f>
        <v/>
      </c>
      <c r="H1684" s="69" t="str">
        <f>TEXT(ASTemp!H1684,Decimals)</f>
        <v/>
      </c>
      <c r="I1684" s="69" t="str">
        <f>TEXT(ASTemp!I1684,Decimals)</f>
        <v/>
      </c>
      <c r="J1684" s="69" t="str">
        <f>TEXT(ASTemp!J1684,Decimals)</f>
        <v/>
      </c>
      <c r="K1684" s="69" t="str">
        <f>TEXT(ASTemp!K1684,Decimals)</f>
        <v/>
      </c>
      <c r="L1684" s="69" t="str">
        <f>TEXT(ASTemp!L1684,Decimals)</f>
        <v/>
      </c>
      <c r="M1684" s="71" t="str">
        <f>TEXT(ASTemp!M1684,Percentages)</f>
        <v/>
      </c>
      <c r="N1684" s="72" t="str">
        <f>TEXT(ASTemp!N1684,Percentages)</f>
        <v/>
      </c>
    </row>
    <row r="1685" ht="14.25" customHeight="1">
      <c r="B1685" s="66" t="str">
        <f>ASTemp!B1685</f>
        <v/>
      </c>
      <c r="C1685" s="67" t="str">
        <f>ASTemp!C1685</f>
        <v/>
      </c>
      <c r="D1685" s="68" t="str">
        <f>ASTemp!D1685</f>
        <v/>
      </c>
      <c r="E1685" s="65" t="str">
        <f>ASTemp!E1685</f>
        <v/>
      </c>
      <c r="F1685" s="69" t="str">
        <f>TEXT(ASTemp!F1685,Decimals)</f>
        <v/>
      </c>
      <c r="G1685" s="69" t="str">
        <f>TEXT(ASTemp!G1685,Decimals)</f>
        <v/>
      </c>
      <c r="H1685" s="69" t="str">
        <f>TEXT(ASTemp!H1685,Decimals)</f>
        <v/>
      </c>
      <c r="I1685" s="69" t="str">
        <f>TEXT(ASTemp!I1685,Decimals)</f>
        <v/>
      </c>
      <c r="J1685" s="69" t="str">
        <f>TEXT(ASTemp!J1685,Decimals)</f>
        <v/>
      </c>
      <c r="K1685" s="69" t="str">
        <f>TEXT(ASTemp!K1685,Decimals)</f>
        <v/>
      </c>
      <c r="L1685" s="69" t="str">
        <f>TEXT(ASTemp!L1685,Decimals)</f>
        <v/>
      </c>
      <c r="M1685" s="71" t="str">
        <f>TEXT(ASTemp!M1685,Percentages)</f>
        <v/>
      </c>
      <c r="N1685" s="72" t="str">
        <f>TEXT(ASTemp!N1685,Percentages)</f>
        <v/>
      </c>
    </row>
    <row r="1686" ht="14.25" customHeight="1">
      <c r="B1686" s="66" t="str">
        <f>ASTemp!B1686</f>
        <v/>
      </c>
      <c r="C1686" s="67" t="str">
        <f>ASTemp!C1686</f>
        <v/>
      </c>
      <c r="D1686" s="68" t="str">
        <f>ASTemp!D1686</f>
        <v/>
      </c>
      <c r="E1686" s="65" t="str">
        <f>ASTemp!E1686</f>
        <v/>
      </c>
      <c r="F1686" s="69" t="str">
        <f>TEXT(ASTemp!F1686,Decimals)</f>
        <v/>
      </c>
      <c r="G1686" s="69" t="str">
        <f>TEXT(ASTemp!G1686,Decimals)</f>
        <v/>
      </c>
      <c r="H1686" s="69" t="str">
        <f>TEXT(ASTemp!H1686,Decimals)</f>
        <v/>
      </c>
      <c r="I1686" s="69" t="str">
        <f>TEXT(ASTemp!I1686,Decimals)</f>
        <v/>
      </c>
      <c r="J1686" s="69" t="str">
        <f>TEXT(ASTemp!J1686,Decimals)</f>
        <v/>
      </c>
      <c r="K1686" s="69" t="str">
        <f>TEXT(ASTemp!K1686,Decimals)</f>
        <v/>
      </c>
      <c r="L1686" s="69" t="str">
        <f>TEXT(ASTemp!L1686,Decimals)</f>
        <v/>
      </c>
      <c r="M1686" s="71" t="str">
        <f>TEXT(ASTemp!M1686,Percentages)</f>
        <v/>
      </c>
      <c r="N1686" s="72" t="str">
        <f>TEXT(ASTemp!N1686,Percentages)</f>
        <v/>
      </c>
    </row>
    <row r="1687" ht="14.25" customHeight="1">
      <c r="B1687" s="66" t="str">
        <f>ASTemp!B1687</f>
        <v/>
      </c>
      <c r="C1687" s="67" t="str">
        <f>ASTemp!C1687</f>
        <v/>
      </c>
      <c r="D1687" s="68" t="str">
        <f>ASTemp!D1687</f>
        <v/>
      </c>
      <c r="E1687" s="65" t="str">
        <f>ASTemp!E1687</f>
        <v/>
      </c>
      <c r="F1687" s="69" t="str">
        <f>TEXT(ASTemp!F1687,Decimals)</f>
        <v/>
      </c>
      <c r="G1687" s="69" t="str">
        <f>TEXT(ASTemp!G1687,Decimals)</f>
        <v/>
      </c>
      <c r="H1687" s="69" t="str">
        <f>TEXT(ASTemp!H1687,Decimals)</f>
        <v/>
      </c>
      <c r="I1687" s="69" t="str">
        <f>TEXT(ASTemp!I1687,Decimals)</f>
        <v/>
      </c>
      <c r="J1687" s="69" t="str">
        <f>TEXT(ASTemp!J1687,Decimals)</f>
        <v/>
      </c>
      <c r="K1687" s="69" t="str">
        <f>TEXT(ASTemp!K1687,Decimals)</f>
        <v/>
      </c>
      <c r="L1687" s="69" t="str">
        <f>TEXT(ASTemp!L1687,Decimals)</f>
        <v/>
      </c>
      <c r="M1687" s="71" t="str">
        <f>TEXT(ASTemp!M1687,Percentages)</f>
        <v/>
      </c>
      <c r="N1687" s="72" t="str">
        <f>TEXT(ASTemp!N1687,Percentages)</f>
        <v/>
      </c>
    </row>
    <row r="1688" ht="14.25" customHeight="1">
      <c r="B1688" s="66" t="str">
        <f>ASTemp!B1688</f>
        <v/>
      </c>
      <c r="C1688" s="67" t="str">
        <f>ASTemp!C1688</f>
        <v/>
      </c>
      <c r="D1688" s="68" t="str">
        <f>ASTemp!D1688</f>
        <v/>
      </c>
      <c r="E1688" s="65" t="str">
        <f>ASTemp!E1688</f>
        <v/>
      </c>
      <c r="F1688" s="69" t="str">
        <f>TEXT(ASTemp!F1688,Decimals)</f>
        <v/>
      </c>
      <c r="G1688" s="69" t="str">
        <f>TEXT(ASTemp!G1688,Decimals)</f>
        <v/>
      </c>
      <c r="H1688" s="69" t="str">
        <f>TEXT(ASTemp!H1688,Decimals)</f>
        <v/>
      </c>
      <c r="I1688" s="69" t="str">
        <f>TEXT(ASTemp!I1688,Decimals)</f>
        <v/>
      </c>
      <c r="J1688" s="69" t="str">
        <f>TEXT(ASTemp!J1688,Decimals)</f>
        <v/>
      </c>
      <c r="K1688" s="69" t="str">
        <f>TEXT(ASTemp!K1688,Decimals)</f>
        <v/>
      </c>
      <c r="L1688" s="69" t="str">
        <f>TEXT(ASTemp!L1688,Decimals)</f>
        <v/>
      </c>
      <c r="M1688" s="71" t="str">
        <f>TEXT(ASTemp!M1688,Percentages)</f>
        <v/>
      </c>
      <c r="N1688" s="72" t="str">
        <f>TEXT(ASTemp!N1688,Percentages)</f>
        <v/>
      </c>
    </row>
    <row r="1689" ht="14.25" customHeight="1">
      <c r="B1689" s="66" t="str">
        <f>ASTemp!B1689</f>
        <v/>
      </c>
      <c r="C1689" s="67" t="str">
        <f>ASTemp!C1689</f>
        <v/>
      </c>
      <c r="D1689" s="68" t="str">
        <f>ASTemp!D1689</f>
        <v/>
      </c>
      <c r="E1689" s="65" t="str">
        <f>ASTemp!E1689</f>
        <v/>
      </c>
      <c r="F1689" s="69" t="str">
        <f>TEXT(ASTemp!F1689,Decimals)</f>
        <v/>
      </c>
      <c r="G1689" s="69" t="str">
        <f>TEXT(ASTemp!G1689,Decimals)</f>
        <v/>
      </c>
      <c r="H1689" s="69" t="str">
        <f>TEXT(ASTemp!H1689,Decimals)</f>
        <v/>
      </c>
      <c r="I1689" s="69" t="str">
        <f>TEXT(ASTemp!I1689,Decimals)</f>
        <v/>
      </c>
      <c r="J1689" s="69" t="str">
        <f>TEXT(ASTemp!J1689,Decimals)</f>
        <v/>
      </c>
      <c r="K1689" s="69" t="str">
        <f>TEXT(ASTemp!K1689,Decimals)</f>
        <v/>
      </c>
      <c r="L1689" s="69" t="str">
        <f>TEXT(ASTemp!L1689,Decimals)</f>
        <v/>
      </c>
      <c r="M1689" s="71" t="str">
        <f>TEXT(ASTemp!M1689,Percentages)</f>
        <v/>
      </c>
      <c r="N1689" s="72" t="str">
        <f>TEXT(ASTemp!N1689,Percentages)</f>
        <v/>
      </c>
    </row>
    <row r="1690" ht="14.25" customHeight="1">
      <c r="B1690" s="66" t="str">
        <f>ASTemp!B1690</f>
        <v/>
      </c>
      <c r="C1690" s="67" t="str">
        <f>ASTemp!C1690</f>
        <v/>
      </c>
      <c r="D1690" s="68" t="str">
        <f>ASTemp!D1690</f>
        <v/>
      </c>
      <c r="E1690" s="65" t="str">
        <f>ASTemp!E1690</f>
        <v/>
      </c>
      <c r="F1690" s="69" t="str">
        <f>TEXT(ASTemp!F1690,Decimals)</f>
        <v/>
      </c>
      <c r="G1690" s="69" t="str">
        <f>TEXT(ASTemp!G1690,Decimals)</f>
        <v/>
      </c>
      <c r="H1690" s="69" t="str">
        <f>TEXT(ASTemp!H1690,Decimals)</f>
        <v/>
      </c>
      <c r="I1690" s="69" t="str">
        <f>TEXT(ASTemp!I1690,Decimals)</f>
        <v/>
      </c>
      <c r="J1690" s="69" t="str">
        <f>TEXT(ASTemp!J1690,Decimals)</f>
        <v/>
      </c>
      <c r="K1690" s="69" t="str">
        <f>TEXT(ASTemp!K1690,Decimals)</f>
        <v/>
      </c>
      <c r="L1690" s="69" t="str">
        <f>TEXT(ASTemp!L1690,Decimals)</f>
        <v/>
      </c>
      <c r="M1690" s="71" t="str">
        <f>TEXT(ASTemp!M1690,Percentages)</f>
        <v/>
      </c>
      <c r="N1690" s="72" t="str">
        <f>TEXT(ASTemp!N1690,Percentages)</f>
        <v/>
      </c>
    </row>
    <row r="1691" ht="14.25" customHeight="1">
      <c r="B1691" s="66" t="str">
        <f>ASTemp!B1691</f>
        <v/>
      </c>
      <c r="C1691" s="67" t="str">
        <f>ASTemp!C1691</f>
        <v/>
      </c>
      <c r="D1691" s="68" t="str">
        <f>ASTemp!D1691</f>
        <v/>
      </c>
      <c r="E1691" s="65" t="str">
        <f>ASTemp!E1691</f>
        <v/>
      </c>
      <c r="F1691" s="69" t="str">
        <f>TEXT(ASTemp!F1691,Decimals)</f>
        <v/>
      </c>
      <c r="G1691" s="69" t="str">
        <f>TEXT(ASTemp!G1691,Decimals)</f>
        <v/>
      </c>
      <c r="H1691" s="69" t="str">
        <f>TEXT(ASTemp!H1691,Decimals)</f>
        <v/>
      </c>
      <c r="I1691" s="69" t="str">
        <f>TEXT(ASTemp!I1691,Decimals)</f>
        <v/>
      </c>
      <c r="J1691" s="69" t="str">
        <f>TEXT(ASTemp!J1691,Decimals)</f>
        <v/>
      </c>
      <c r="K1691" s="69" t="str">
        <f>TEXT(ASTemp!K1691,Decimals)</f>
        <v/>
      </c>
      <c r="L1691" s="69" t="str">
        <f>TEXT(ASTemp!L1691,Decimals)</f>
        <v/>
      </c>
      <c r="M1691" s="71" t="str">
        <f>TEXT(ASTemp!M1691,Percentages)</f>
        <v/>
      </c>
      <c r="N1691" s="72" t="str">
        <f>TEXT(ASTemp!N1691,Percentages)</f>
        <v/>
      </c>
    </row>
    <row r="1692" ht="14.25" customHeight="1">
      <c r="B1692" s="66" t="str">
        <f>ASTemp!B1692</f>
        <v/>
      </c>
      <c r="C1692" s="67" t="str">
        <f>ASTemp!C1692</f>
        <v/>
      </c>
      <c r="D1692" s="68" t="str">
        <f>ASTemp!D1692</f>
        <v/>
      </c>
      <c r="E1692" s="65" t="str">
        <f>ASTemp!E1692</f>
        <v/>
      </c>
      <c r="F1692" s="69" t="str">
        <f>TEXT(ASTemp!F1692,Decimals)</f>
        <v/>
      </c>
      <c r="G1692" s="69" t="str">
        <f>TEXT(ASTemp!G1692,Decimals)</f>
        <v/>
      </c>
      <c r="H1692" s="69" t="str">
        <f>TEXT(ASTemp!H1692,Decimals)</f>
        <v/>
      </c>
      <c r="I1692" s="69" t="str">
        <f>TEXT(ASTemp!I1692,Decimals)</f>
        <v/>
      </c>
      <c r="J1692" s="69" t="str">
        <f>TEXT(ASTemp!J1692,Decimals)</f>
        <v/>
      </c>
      <c r="K1692" s="69" t="str">
        <f>TEXT(ASTemp!K1692,Decimals)</f>
        <v/>
      </c>
      <c r="L1692" s="69" t="str">
        <f>TEXT(ASTemp!L1692,Decimals)</f>
        <v/>
      </c>
      <c r="M1692" s="71" t="str">
        <f>TEXT(ASTemp!M1692,Percentages)</f>
        <v/>
      </c>
      <c r="N1692" s="72" t="str">
        <f>TEXT(ASTemp!N1692,Percentages)</f>
        <v/>
      </c>
    </row>
    <row r="1693" ht="14.25" customHeight="1">
      <c r="B1693" s="66" t="str">
        <f>ASTemp!B1693</f>
        <v/>
      </c>
      <c r="C1693" s="67" t="str">
        <f>ASTemp!C1693</f>
        <v/>
      </c>
      <c r="D1693" s="68" t="str">
        <f>ASTemp!D1693</f>
        <v/>
      </c>
      <c r="E1693" s="65" t="str">
        <f>ASTemp!E1693</f>
        <v/>
      </c>
      <c r="F1693" s="69" t="str">
        <f>TEXT(ASTemp!F1693,Decimals)</f>
        <v/>
      </c>
      <c r="G1693" s="69" t="str">
        <f>TEXT(ASTemp!G1693,Decimals)</f>
        <v/>
      </c>
      <c r="H1693" s="69" t="str">
        <f>TEXT(ASTemp!H1693,Decimals)</f>
        <v/>
      </c>
      <c r="I1693" s="69" t="str">
        <f>TEXT(ASTemp!I1693,Decimals)</f>
        <v/>
      </c>
      <c r="J1693" s="69" t="str">
        <f>TEXT(ASTemp!J1693,Decimals)</f>
        <v/>
      </c>
      <c r="K1693" s="69" t="str">
        <f>TEXT(ASTemp!K1693,Decimals)</f>
        <v/>
      </c>
      <c r="L1693" s="69" t="str">
        <f>TEXT(ASTemp!L1693,Decimals)</f>
        <v/>
      </c>
      <c r="M1693" s="71" t="str">
        <f>TEXT(ASTemp!M1693,Percentages)</f>
        <v/>
      </c>
      <c r="N1693" s="72" t="str">
        <f>TEXT(ASTemp!N1693,Percentages)</f>
        <v/>
      </c>
    </row>
    <row r="1694" ht="14.25" customHeight="1">
      <c r="B1694" s="66" t="str">
        <f>ASTemp!B1694</f>
        <v/>
      </c>
      <c r="C1694" s="67" t="str">
        <f>ASTemp!C1694</f>
        <v/>
      </c>
      <c r="D1694" s="68" t="str">
        <f>ASTemp!D1694</f>
        <v/>
      </c>
      <c r="E1694" s="65" t="str">
        <f>ASTemp!E1694</f>
        <v/>
      </c>
      <c r="F1694" s="69" t="str">
        <f>TEXT(ASTemp!F1694,Decimals)</f>
        <v/>
      </c>
      <c r="G1694" s="69" t="str">
        <f>TEXT(ASTemp!G1694,Decimals)</f>
        <v/>
      </c>
      <c r="H1694" s="69" t="str">
        <f>TEXT(ASTemp!H1694,Decimals)</f>
        <v/>
      </c>
      <c r="I1694" s="69" t="str">
        <f>TEXT(ASTemp!I1694,Decimals)</f>
        <v/>
      </c>
      <c r="J1694" s="69" t="str">
        <f>TEXT(ASTemp!J1694,Decimals)</f>
        <v/>
      </c>
      <c r="K1694" s="69" t="str">
        <f>TEXT(ASTemp!K1694,Decimals)</f>
        <v/>
      </c>
      <c r="L1694" s="69" t="str">
        <f>TEXT(ASTemp!L1694,Decimals)</f>
        <v/>
      </c>
      <c r="M1694" s="71" t="str">
        <f>TEXT(ASTemp!M1694,Percentages)</f>
        <v/>
      </c>
      <c r="N1694" s="72" t="str">
        <f>TEXT(ASTemp!N1694,Percentages)</f>
        <v/>
      </c>
    </row>
    <row r="1695" ht="14.25" customHeight="1">
      <c r="B1695" s="66" t="str">
        <f>ASTemp!B1695</f>
        <v/>
      </c>
      <c r="C1695" s="67" t="str">
        <f>ASTemp!C1695</f>
        <v/>
      </c>
      <c r="D1695" s="68" t="str">
        <f>ASTemp!D1695</f>
        <v/>
      </c>
      <c r="E1695" s="65" t="str">
        <f>ASTemp!E1695</f>
        <v/>
      </c>
      <c r="F1695" s="69" t="str">
        <f>TEXT(ASTemp!F1695,Decimals)</f>
        <v/>
      </c>
      <c r="G1695" s="69" t="str">
        <f>TEXT(ASTemp!G1695,Decimals)</f>
        <v/>
      </c>
      <c r="H1695" s="69" t="str">
        <f>TEXT(ASTemp!H1695,Decimals)</f>
        <v/>
      </c>
      <c r="I1695" s="69" t="str">
        <f>TEXT(ASTemp!I1695,Decimals)</f>
        <v/>
      </c>
      <c r="J1695" s="69" t="str">
        <f>TEXT(ASTemp!J1695,Decimals)</f>
        <v/>
      </c>
      <c r="K1695" s="69" t="str">
        <f>TEXT(ASTemp!K1695,Decimals)</f>
        <v/>
      </c>
      <c r="L1695" s="69" t="str">
        <f>TEXT(ASTemp!L1695,Decimals)</f>
        <v/>
      </c>
      <c r="M1695" s="71" t="str">
        <f>TEXT(ASTemp!M1695,Percentages)</f>
        <v/>
      </c>
      <c r="N1695" s="72" t="str">
        <f>TEXT(ASTemp!N1695,Percentages)</f>
        <v/>
      </c>
    </row>
    <row r="1696" ht="14.25" customHeight="1">
      <c r="B1696" s="66" t="str">
        <f>ASTemp!B1696</f>
        <v/>
      </c>
      <c r="C1696" s="67" t="str">
        <f>ASTemp!C1696</f>
        <v/>
      </c>
      <c r="D1696" s="68" t="str">
        <f>ASTemp!D1696</f>
        <v/>
      </c>
      <c r="E1696" s="65" t="str">
        <f>ASTemp!E1696</f>
        <v/>
      </c>
      <c r="F1696" s="69" t="str">
        <f>TEXT(ASTemp!F1696,Decimals)</f>
        <v/>
      </c>
      <c r="G1696" s="69" t="str">
        <f>TEXT(ASTemp!G1696,Decimals)</f>
        <v/>
      </c>
      <c r="H1696" s="69" t="str">
        <f>TEXT(ASTemp!H1696,Decimals)</f>
        <v/>
      </c>
      <c r="I1696" s="69" t="str">
        <f>TEXT(ASTemp!I1696,Decimals)</f>
        <v/>
      </c>
      <c r="J1696" s="69" t="str">
        <f>TEXT(ASTemp!J1696,Decimals)</f>
        <v/>
      </c>
      <c r="K1696" s="69" t="str">
        <f>TEXT(ASTemp!K1696,Decimals)</f>
        <v/>
      </c>
      <c r="L1696" s="69" t="str">
        <f>TEXT(ASTemp!L1696,Decimals)</f>
        <v/>
      </c>
      <c r="M1696" s="71" t="str">
        <f>TEXT(ASTemp!M1696,Percentages)</f>
        <v/>
      </c>
      <c r="N1696" s="72" t="str">
        <f>TEXT(ASTemp!N1696,Percentages)</f>
        <v/>
      </c>
    </row>
    <row r="1697" ht="14.25" customHeight="1">
      <c r="B1697" s="66" t="str">
        <f>ASTemp!B1697</f>
        <v/>
      </c>
      <c r="C1697" s="67" t="str">
        <f>ASTemp!C1697</f>
        <v/>
      </c>
      <c r="D1697" s="68" t="str">
        <f>ASTemp!D1697</f>
        <v/>
      </c>
      <c r="E1697" s="65" t="str">
        <f>ASTemp!E1697</f>
        <v/>
      </c>
      <c r="F1697" s="69" t="str">
        <f>TEXT(ASTemp!F1697,Decimals)</f>
        <v/>
      </c>
      <c r="G1697" s="69" t="str">
        <f>TEXT(ASTemp!G1697,Decimals)</f>
        <v/>
      </c>
      <c r="H1697" s="69" t="str">
        <f>TEXT(ASTemp!H1697,Decimals)</f>
        <v/>
      </c>
      <c r="I1697" s="69" t="str">
        <f>TEXT(ASTemp!I1697,Decimals)</f>
        <v/>
      </c>
      <c r="J1697" s="69" t="str">
        <f>TEXT(ASTemp!J1697,Decimals)</f>
        <v/>
      </c>
      <c r="K1697" s="69" t="str">
        <f>TEXT(ASTemp!K1697,Decimals)</f>
        <v/>
      </c>
      <c r="L1697" s="69" t="str">
        <f>TEXT(ASTemp!L1697,Decimals)</f>
        <v/>
      </c>
      <c r="M1697" s="71" t="str">
        <f>TEXT(ASTemp!M1697,Percentages)</f>
        <v/>
      </c>
      <c r="N1697" s="72" t="str">
        <f>TEXT(ASTemp!N1697,Percentages)</f>
        <v/>
      </c>
    </row>
    <row r="1698" ht="14.25" customHeight="1">
      <c r="B1698" s="66" t="str">
        <f>ASTemp!B1698</f>
        <v/>
      </c>
      <c r="C1698" s="67" t="str">
        <f>ASTemp!C1698</f>
        <v/>
      </c>
      <c r="D1698" s="68" t="str">
        <f>ASTemp!D1698</f>
        <v/>
      </c>
      <c r="E1698" s="65" t="str">
        <f>ASTemp!E1698</f>
        <v/>
      </c>
      <c r="F1698" s="69" t="str">
        <f>TEXT(ASTemp!F1698,Decimals)</f>
        <v/>
      </c>
      <c r="G1698" s="69" t="str">
        <f>TEXT(ASTemp!G1698,Decimals)</f>
        <v/>
      </c>
      <c r="H1698" s="69" t="str">
        <f>TEXT(ASTemp!H1698,Decimals)</f>
        <v/>
      </c>
      <c r="I1698" s="69" t="str">
        <f>TEXT(ASTemp!I1698,Decimals)</f>
        <v/>
      </c>
      <c r="J1698" s="69" t="str">
        <f>TEXT(ASTemp!J1698,Decimals)</f>
        <v/>
      </c>
      <c r="K1698" s="69" t="str">
        <f>TEXT(ASTemp!K1698,Decimals)</f>
        <v/>
      </c>
      <c r="L1698" s="69" t="str">
        <f>TEXT(ASTemp!L1698,Decimals)</f>
        <v/>
      </c>
      <c r="M1698" s="71" t="str">
        <f>TEXT(ASTemp!M1698,Percentages)</f>
        <v/>
      </c>
      <c r="N1698" s="72" t="str">
        <f>TEXT(ASTemp!N1698,Percentages)</f>
        <v/>
      </c>
    </row>
    <row r="1699" ht="14.25" customHeight="1">
      <c r="B1699" s="66" t="str">
        <f>ASTemp!B1699</f>
        <v/>
      </c>
      <c r="C1699" s="67" t="str">
        <f>ASTemp!C1699</f>
        <v/>
      </c>
      <c r="D1699" s="68" t="str">
        <f>ASTemp!D1699</f>
        <v/>
      </c>
      <c r="E1699" s="65" t="str">
        <f>ASTemp!E1699</f>
        <v/>
      </c>
      <c r="F1699" s="69" t="str">
        <f>TEXT(ASTemp!F1699,Decimals)</f>
        <v/>
      </c>
      <c r="G1699" s="69" t="str">
        <f>TEXT(ASTemp!G1699,Decimals)</f>
        <v/>
      </c>
      <c r="H1699" s="69" t="str">
        <f>TEXT(ASTemp!H1699,Decimals)</f>
        <v/>
      </c>
      <c r="I1699" s="69" t="str">
        <f>TEXT(ASTemp!I1699,Decimals)</f>
        <v/>
      </c>
      <c r="J1699" s="69" t="str">
        <f>TEXT(ASTemp!J1699,Decimals)</f>
        <v/>
      </c>
      <c r="K1699" s="69" t="str">
        <f>TEXT(ASTemp!K1699,Decimals)</f>
        <v/>
      </c>
      <c r="L1699" s="69" t="str">
        <f>TEXT(ASTemp!L1699,Decimals)</f>
        <v/>
      </c>
      <c r="M1699" s="71" t="str">
        <f>TEXT(ASTemp!M1699,Percentages)</f>
        <v/>
      </c>
      <c r="N1699" s="72" t="str">
        <f>TEXT(ASTemp!N1699,Percentages)</f>
        <v/>
      </c>
    </row>
    <row r="1700" ht="14.25" customHeight="1">
      <c r="B1700" s="66" t="str">
        <f>ASTemp!B1700</f>
        <v/>
      </c>
      <c r="C1700" s="67" t="str">
        <f>ASTemp!C1700</f>
        <v/>
      </c>
      <c r="D1700" s="68" t="str">
        <f>ASTemp!D1700</f>
        <v/>
      </c>
      <c r="E1700" s="65" t="str">
        <f>ASTemp!E1700</f>
        <v/>
      </c>
      <c r="F1700" s="69" t="str">
        <f>TEXT(ASTemp!F1700,Decimals)</f>
        <v/>
      </c>
      <c r="G1700" s="69" t="str">
        <f>TEXT(ASTemp!G1700,Decimals)</f>
        <v/>
      </c>
      <c r="H1700" s="69" t="str">
        <f>TEXT(ASTemp!H1700,Decimals)</f>
        <v/>
      </c>
      <c r="I1700" s="69" t="str">
        <f>TEXT(ASTemp!I1700,Decimals)</f>
        <v/>
      </c>
      <c r="J1700" s="69" t="str">
        <f>TEXT(ASTemp!J1700,Decimals)</f>
        <v/>
      </c>
      <c r="K1700" s="69" t="str">
        <f>TEXT(ASTemp!K1700,Decimals)</f>
        <v/>
      </c>
      <c r="L1700" s="69" t="str">
        <f>TEXT(ASTemp!L1700,Decimals)</f>
        <v/>
      </c>
      <c r="M1700" s="71" t="str">
        <f>TEXT(ASTemp!M1700,Percentages)</f>
        <v/>
      </c>
      <c r="N1700" s="72" t="str">
        <f>TEXT(ASTemp!N1700,Percentages)</f>
        <v/>
      </c>
    </row>
    <row r="1701" ht="14.25" customHeight="1">
      <c r="B1701" s="66" t="str">
        <f>ASTemp!B1701</f>
        <v/>
      </c>
      <c r="C1701" s="67" t="str">
        <f>ASTemp!C1701</f>
        <v/>
      </c>
      <c r="D1701" s="68" t="str">
        <f>ASTemp!D1701</f>
        <v/>
      </c>
      <c r="E1701" s="65" t="str">
        <f>ASTemp!E1701</f>
        <v/>
      </c>
      <c r="F1701" s="69" t="str">
        <f>TEXT(ASTemp!F1701,Decimals)</f>
        <v/>
      </c>
      <c r="G1701" s="69" t="str">
        <f>TEXT(ASTemp!G1701,Decimals)</f>
        <v/>
      </c>
      <c r="H1701" s="69" t="str">
        <f>TEXT(ASTemp!H1701,Decimals)</f>
        <v/>
      </c>
      <c r="I1701" s="69" t="str">
        <f>TEXT(ASTemp!I1701,Decimals)</f>
        <v/>
      </c>
      <c r="J1701" s="69" t="str">
        <f>TEXT(ASTemp!J1701,Decimals)</f>
        <v/>
      </c>
      <c r="K1701" s="69" t="str">
        <f>TEXT(ASTemp!K1701,Decimals)</f>
        <v/>
      </c>
      <c r="L1701" s="69" t="str">
        <f>TEXT(ASTemp!L1701,Decimals)</f>
        <v/>
      </c>
      <c r="M1701" s="71" t="str">
        <f>TEXT(ASTemp!M1701,Percentages)</f>
        <v/>
      </c>
      <c r="N1701" s="72" t="str">
        <f>TEXT(ASTemp!N1701,Percentages)</f>
        <v/>
      </c>
    </row>
    <row r="1702" ht="14.25" customHeight="1">
      <c r="B1702" s="66" t="str">
        <f>ASTemp!B1702</f>
        <v/>
      </c>
      <c r="C1702" s="67" t="str">
        <f>ASTemp!C1702</f>
        <v/>
      </c>
      <c r="D1702" s="68" t="str">
        <f>ASTemp!D1702</f>
        <v/>
      </c>
      <c r="E1702" s="65" t="str">
        <f>ASTemp!E1702</f>
        <v/>
      </c>
      <c r="F1702" s="69" t="str">
        <f>TEXT(ASTemp!F1702,Decimals)</f>
        <v/>
      </c>
      <c r="G1702" s="69" t="str">
        <f>TEXT(ASTemp!G1702,Decimals)</f>
        <v/>
      </c>
      <c r="H1702" s="69" t="str">
        <f>TEXT(ASTemp!H1702,Decimals)</f>
        <v/>
      </c>
      <c r="I1702" s="69" t="str">
        <f>TEXT(ASTemp!I1702,Decimals)</f>
        <v/>
      </c>
      <c r="J1702" s="69" t="str">
        <f>TEXT(ASTemp!J1702,Decimals)</f>
        <v/>
      </c>
      <c r="K1702" s="69" t="str">
        <f>TEXT(ASTemp!K1702,Decimals)</f>
        <v/>
      </c>
      <c r="L1702" s="69" t="str">
        <f>TEXT(ASTemp!L1702,Decimals)</f>
        <v/>
      </c>
      <c r="M1702" s="71" t="str">
        <f>TEXT(ASTemp!M1702,Percentages)</f>
        <v/>
      </c>
      <c r="N1702" s="72" t="str">
        <f>TEXT(ASTemp!N1702,Percentages)</f>
        <v/>
      </c>
    </row>
    <row r="1703" ht="14.25" customHeight="1">
      <c r="B1703" s="66" t="str">
        <f>ASTemp!B1703</f>
        <v/>
      </c>
      <c r="C1703" s="67" t="str">
        <f>ASTemp!C1703</f>
        <v/>
      </c>
      <c r="D1703" s="68" t="str">
        <f>ASTemp!D1703</f>
        <v/>
      </c>
      <c r="E1703" s="65" t="str">
        <f>ASTemp!E1703</f>
        <v/>
      </c>
      <c r="F1703" s="69" t="str">
        <f>TEXT(ASTemp!F1703,Decimals)</f>
        <v/>
      </c>
      <c r="G1703" s="69" t="str">
        <f>TEXT(ASTemp!G1703,Decimals)</f>
        <v/>
      </c>
      <c r="H1703" s="69" t="str">
        <f>TEXT(ASTemp!H1703,Decimals)</f>
        <v/>
      </c>
      <c r="I1703" s="69" t="str">
        <f>TEXT(ASTemp!I1703,Decimals)</f>
        <v/>
      </c>
      <c r="J1703" s="69" t="str">
        <f>TEXT(ASTemp!J1703,Decimals)</f>
        <v/>
      </c>
      <c r="K1703" s="69" t="str">
        <f>TEXT(ASTemp!K1703,Decimals)</f>
        <v/>
      </c>
      <c r="L1703" s="69" t="str">
        <f>TEXT(ASTemp!L1703,Decimals)</f>
        <v/>
      </c>
      <c r="M1703" s="71" t="str">
        <f>TEXT(ASTemp!M1703,Percentages)</f>
        <v/>
      </c>
      <c r="N1703" s="72" t="str">
        <f>TEXT(ASTemp!N1703,Percentages)</f>
        <v/>
      </c>
    </row>
    <row r="1704" ht="14.25" customHeight="1">
      <c r="B1704" s="66" t="str">
        <f>ASTemp!B1704</f>
        <v/>
      </c>
      <c r="C1704" s="67" t="str">
        <f>ASTemp!C1704</f>
        <v/>
      </c>
      <c r="D1704" s="68" t="str">
        <f>ASTemp!D1704</f>
        <v/>
      </c>
      <c r="E1704" s="65" t="str">
        <f>ASTemp!E1704</f>
        <v/>
      </c>
      <c r="F1704" s="69" t="str">
        <f>TEXT(ASTemp!F1704,Decimals)</f>
        <v/>
      </c>
      <c r="G1704" s="69" t="str">
        <f>TEXT(ASTemp!G1704,Decimals)</f>
        <v/>
      </c>
      <c r="H1704" s="69" t="str">
        <f>TEXT(ASTemp!H1704,Decimals)</f>
        <v/>
      </c>
      <c r="I1704" s="69" t="str">
        <f>TEXT(ASTemp!I1704,Decimals)</f>
        <v/>
      </c>
      <c r="J1704" s="69" t="str">
        <f>TEXT(ASTemp!J1704,Decimals)</f>
        <v/>
      </c>
      <c r="K1704" s="69" t="str">
        <f>TEXT(ASTemp!K1704,Decimals)</f>
        <v/>
      </c>
      <c r="L1704" s="69" t="str">
        <f>TEXT(ASTemp!L1704,Decimals)</f>
        <v/>
      </c>
      <c r="M1704" s="71" t="str">
        <f>TEXT(ASTemp!M1704,Percentages)</f>
        <v/>
      </c>
      <c r="N1704" s="72" t="str">
        <f>TEXT(ASTemp!N1704,Percentages)</f>
        <v/>
      </c>
    </row>
    <row r="1705" ht="14.25" customHeight="1">
      <c r="B1705" s="66" t="str">
        <f>ASTemp!B1705</f>
        <v/>
      </c>
      <c r="C1705" s="67" t="str">
        <f>ASTemp!C1705</f>
        <v/>
      </c>
      <c r="D1705" s="68" t="str">
        <f>ASTemp!D1705</f>
        <v/>
      </c>
      <c r="E1705" s="65" t="str">
        <f>ASTemp!E1705</f>
        <v/>
      </c>
      <c r="F1705" s="69" t="str">
        <f>TEXT(ASTemp!F1705,Decimals)</f>
        <v/>
      </c>
      <c r="G1705" s="69" t="str">
        <f>TEXT(ASTemp!G1705,Decimals)</f>
        <v/>
      </c>
      <c r="H1705" s="69" t="str">
        <f>TEXT(ASTemp!H1705,Decimals)</f>
        <v/>
      </c>
      <c r="I1705" s="69" t="str">
        <f>TEXT(ASTemp!I1705,Decimals)</f>
        <v/>
      </c>
      <c r="J1705" s="69" t="str">
        <f>TEXT(ASTemp!J1705,Decimals)</f>
        <v/>
      </c>
      <c r="K1705" s="69" t="str">
        <f>TEXT(ASTemp!K1705,Decimals)</f>
        <v/>
      </c>
      <c r="L1705" s="69" t="str">
        <f>TEXT(ASTemp!L1705,Decimals)</f>
        <v/>
      </c>
      <c r="M1705" s="71" t="str">
        <f>TEXT(ASTemp!M1705,Percentages)</f>
        <v/>
      </c>
      <c r="N1705" s="72" t="str">
        <f>TEXT(ASTemp!N1705,Percentages)</f>
        <v/>
      </c>
    </row>
    <row r="1706" ht="14.25" customHeight="1">
      <c r="B1706" s="66" t="str">
        <f>ASTemp!B1706</f>
        <v/>
      </c>
      <c r="C1706" s="67" t="str">
        <f>ASTemp!C1706</f>
        <v/>
      </c>
      <c r="D1706" s="68" t="str">
        <f>ASTemp!D1706</f>
        <v/>
      </c>
      <c r="E1706" s="65" t="str">
        <f>ASTemp!E1706</f>
        <v/>
      </c>
      <c r="F1706" s="69" t="str">
        <f>TEXT(ASTemp!F1706,Decimals)</f>
        <v/>
      </c>
      <c r="G1706" s="69" t="str">
        <f>TEXT(ASTemp!G1706,Decimals)</f>
        <v/>
      </c>
      <c r="H1706" s="69" t="str">
        <f>TEXT(ASTemp!H1706,Decimals)</f>
        <v/>
      </c>
      <c r="I1706" s="69" t="str">
        <f>TEXT(ASTemp!I1706,Decimals)</f>
        <v/>
      </c>
      <c r="J1706" s="69" t="str">
        <f>TEXT(ASTemp!J1706,Decimals)</f>
        <v/>
      </c>
      <c r="K1706" s="69" t="str">
        <f>TEXT(ASTemp!K1706,Decimals)</f>
        <v/>
      </c>
      <c r="L1706" s="69" t="str">
        <f>TEXT(ASTemp!L1706,Decimals)</f>
        <v/>
      </c>
      <c r="M1706" s="71" t="str">
        <f>TEXT(ASTemp!M1706,Percentages)</f>
        <v/>
      </c>
      <c r="N1706" s="72" t="str">
        <f>TEXT(ASTemp!N1706,Percentages)</f>
        <v/>
      </c>
    </row>
    <row r="1707" ht="14.25" customHeight="1">
      <c r="B1707" s="66" t="str">
        <f>ASTemp!B1707</f>
        <v/>
      </c>
      <c r="C1707" s="67" t="str">
        <f>ASTemp!C1707</f>
        <v/>
      </c>
      <c r="D1707" s="68" t="str">
        <f>ASTemp!D1707</f>
        <v/>
      </c>
      <c r="E1707" s="65" t="str">
        <f>ASTemp!E1707</f>
        <v/>
      </c>
      <c r="F1707" s="69" t="str">
        <f>TEXT(ASTemp!F1707,Decimals)</f>
        <v/>
      </c>
      <c r="G1707" s="69" t="str">
        <f>TEXT(ASTemp!G1707,Decimals)</f>
        <v/>
      </c>
      <c r="H1707" s="69" t="str">
        <f>TEXT(ASTemp!H1707,Decimals)</f>
        <v/>
      </c>
      <c r="I1707" s="69" t="str">
        <f>TEXT(ASTemp!I1707,Decimals)</f>
        <v/>
      </c>
      <c r="J1707" s="69" t="str">
        <f>TEXT(ASTemp!J1707,Decimals)</f>
        <v/>
      </c>
      <c r="K1707" s="69" t="str">
        <f>TEXT(ASTemp!K1707,Decimals)</f>
        <v/>
      </c>
      <c r="L1707" s="69" t="str">
        <f>TEXT(ASTemp!L1707,Decimals)</f>
        <v/>
      </c>
      <c r="M1707" s="71" t="str">
        <f>TEXT(ASTemp!M1707,Percentages)</f>
        <v/>
      </c>
      <c r="N1707" s="72" t="str">
        <f>TEXT(ASTemp!N1707,Percentages)</f>
        <v/>
      </c>
    </row>
    <row r="1708" ht="14.25" customHeight="1">
      <c r="B1708" s="66" t="str">
        <f>ASTemp!B1708</f>
        <v/>
      </c>
      <c r="C1708" s="67" t="str">
        <f>ASTemp!C1708</f>
        <v/>
      </c>
      <c r="D1708" s="68" t="str">
        <f>ASTemp!D1708</f>
        <v/>
      </c>
      <c r="E1708" s="65" t="str">
        <f>ASTemp!E1708</f>
        <v/>
      </c>
      <c r="F1708" s="69" t="str">
        <f>TEXT(ASTemp!F1708,Decimals)</f>
        <v/>
      </c>
      <c r="G1708" s="69" t="str">
        <f>TEXT(ASTemp!G1708,Decimals)</f>
        <v/>
      </c>
      <c r="H1708" s="69" t="str">
        <f>TEXT(ASTemp!H1708,Decimals)</f>
        <v/>
      </c>
      <c r="I1708" s="69" t="str">
        <f>TEXT(ASTemp!I1708,Decimals)</f>
        <v/>
      </c>
      <c r="J1708" s="69" t="str">
        <f>TEXT(ASTemp!J1708,Decimals)</f>
        <v/>
      </c>
      <c r="K1708" s="69" t="str">
        <f>TEXT(ASTemp!K1708,Decimals)</f>
        <v/>
      </c>
      <c r="L1708" s="69" t="str">
        <f>TEXT(ASTemp!L1708,Decimals)</f>
        <v/>
      </c>
      <c r="M1708" s="71" t="str">
        <f>TEXT(ASTemp!M1708,Percentages)</f>
        <v/>
      </c>
      <c r="N1708" s="72" t="str">
        <f>TEXT(ASTemp!N1708,Percentages)</f>
        <v/>
      </c>
    </row>
    <row r="1709" ht="14.25" customHeight="1">
      <c r="B1709" s="66" t="str">
        <f>ASTemp!B1709</f>
        <v/>
      </c>
      <c r="C1709" s="67" t="str">
        <f>ASTemp!C1709</f>
        <v/>
      </c>
      <c r="D1709" s="68" t="str">
        <f>ASTemp!D1709</f>
        <v/>
      </c>
      <c r="E1709" s="65" t="str">
        <f>ASTemp!E1709</f>
        <v/>
      </c>
      <c r="F1709" s="69" t="str">
        <f>TEXT(ASTemp!F1709,Decimals)</f>
        <v/>
      </c>
      <c r="G1709" s="69" t="str">
        <f>TEXT(ASTemp!G1709,Decimals)</f>
        <v/>
      </c>
      <c r="H1709" s="69" t="str">
        <f>TEXT(ASTemp!H1709,Decimals)</f>
        <v/>
      </c>
      <c r="I1709" s="69" t="str">
        <f>TEXT(ASTemp!I1709,Decimals)</f>
        <v/>
      </c>
      <c r="J1709" s="69" t="str">
        <f>TEXT(ASTemp!J1709,Decimals)</f>
        <v/>
      </c>
      <c r="K1709" s="69" t="str">
        <f>TEXT(ASTemp!K1709,Decimals)</f>
        <v/>
      </c>
      <c r="L1709" s="69" t="str">
        <f>TEXT(ASTemp!L1709,Decimals)</f>
        <v/>
      </c>
      <c r="M1709" s="71" t="str">
        <f>TEXT(ASTemp!M1709,Percentages)</f>
        <v/>
      </c>
      <c r="N1709" s="72" t="str">
        <f>TEXT(ASTemp!N1709,Percentages)</f>
        <v/>
      </c>
    </row>
    <row r="1710" ht="14.25" customHeight="1">
      <c r="B1710" s="66" t="str">
        <f>ASTemp!B1710</f>
        <v/>
      </c>
      <c r="C1710" s="67" t="str">
        <f>ASTemp!C1710</f>
        <v/>
      </c>
      <c r="D1710" s="68" t="str">
        <f>ASTemp!D1710</f>
        <v/>
      </c>
      <c r="E1710" s="65" t="str">
        <f>ASTemp!E1710</f>
        <v/>
      </c>
      <c r="F1710" s="69" t="str">
        <f>TEXT(ASTemp!F1710,Decimals)</f>
        <v/>
      </c>
      <c r="G1710" s="69" t="str">
        <f>TEXT(ASTemp!G1710,Decimals)</f>
        <v/>
      </c>
      <c r="H1710" s="69" t="str">
        <f>TEXT(ASTemp!H1710,Decimals)</f>
        <v/>
      </c>
      <c r="I1710" s="69" t="str">
        <f>TEXT(ASTemp!I1710,Decimals)</f>
        <v/>
      </c>
      <c r="J1710" s="69" t="str">
        <f>TEXT(ASTemp!J1710,Decimals)</f>
        <v/>
      </c>
      <c r="K1710" s="69" t="str">
        <f>TEXT(ASTemp!K1710,Decimals)</f>
        <v/>
      </c>
      <c r="L1710" s="69" t="str">
        <f>TEXT(ASTemp!L1710,Decimals)</f>
        <v/>
      </c>
      <c r="M1710" s="71" t="str">
        <f>TEXT(ASTemp!M1710,Percentages)</f>
        <v/>
      </c>
      <c r="N1710" s="72" t="str">
        <f>TEXT(ASTemp!N1710,Percentages)</f>
        <v/>
      </c>
    </row>
    <row r="1711" ht="14.25" customHeight="1">
      <c r="B1711" s="66" t="str">
        <f>ASTemp!B1711</f>
        <v/>
      </c>
      <c r="C1711" s="67" t="str">
        <f>ASTemp!C1711</f>
        <v/>
      </c>
      <c r="D1711" s="68" t="str">
        <f>ASTemp!D1711</f>
        <v/>
      </c>
      <c r="E1711" s="65" t="str">
        <f>ASTemp!E1711</f>
        <v/>
      </c>
      <c r="F1711" s="69" t="str">
        <f>TEXT(ASTemp!F1711,Decimals)</f>
        <v/>
      </c>
      <c r="G1711" s="69" t="str">
        <f>TEXT(ASTemp!G1711,Decimals)</f>
        <v/>
      </c>
      <c r="H1711" s="69" t="str">
        <f>TEXT(ASTemp!H1711,Decimals)</f>
        <v/>
      </c>
      <c r="I1711" s="69" t="str">
        <f>TEXT(ASTemp!I1711,Decimals)</f>
        <v/>
      </c>
      <c r="J1711" s="69" t="str">
        <f>TEXT(ASTemp!J1711,Decimals)</f>
        <v/>
      </c>
      <c r="K1711" s="69" t="str">
        <f>TEXT(ASTemp!K1711,Decimals)</f>
        <v/>
      </c>
      <c r="L1711" s="69" t="str">
        <f>TEXT(ASTemp!L1711,Decimals)</f>
        <v/>
      </c>
      <c r="M1711" s="71" t="str">
        <f>TEXT(ASTemp!M1711,Percentages)</f>
        <v/>
      </c>
      <c r="N1711" s="72" t="str">
        <f>TEXT(ASTemp!N1711,Percentages)</f>
        <v/>
      </c>
    </row>
    <row r="1712" ht="14.25" customHeight="1">
      <c r="B1712" s="66" t="str">
        <f>ASTemp!B1712</f>
        <v/>
      </c>
      <c r="C1712" s="67" t="str">
        <f>ASTemp!C1712</f>
        <v/>
      </c>
      <c r="D1712" s="68" t="str">
        <f>ASTemp!D1712</f>
        <v/>
      </c>
      <c r="E1712" s="65" t="str">
        <f>ASTemp!E1712</f>
        <v/>
      </c>
      <c r="F1712" s="69" t="str">
        <f>TEXT(ASTemp!F1712,Decimals)</f>
        <v/>
      </c>
      <c r="G1712" s="69" t="str">
        <f>TEXT(ASTemp!G1712,Decimals)</f>
        <v/>
      </c>
      <c r="H1712" s="69" t="str">
        <f>TEXT(ASTemp!H1712,Decimals)</f>
        <v/>
      </c>
      <c r="I1712" s="69" t="str">
        <f>TEXT(ASTemp!I1712,Decimals)</f>
        <v/>
      </c>
      <c r="J1712" s="69" t="str">
        <f>TEXT(ASTemp!J1712,Decimals)</f>
        <v/>
      </c>
      <c r="K1712" s="69" t="str">
        <f>TEXT(ASTemp!K1712,Decimals)</f>
        <v/>
      </c>
      <c r="L1712" s="69" t="str">
        <f>TEXT(ASTemp!L1712,Decimals)</f>
        <v/>
      </c>
      <c r="M1712" s="71" t="str">
        <f>TEXT(ASTemp!M1712,Percentages)</f>
        <v/>
      </c>
      <c r="N1712" s="72" t="str">
        <f>TEXT(ASTemp!N1712,Percentages)</f>
        <v/>
      </c>
    </row>
    <row r="1713" ht="14.25" customHeight="1">
      <c r="B1713" s="66" t="str">
        <f>ASTemp!B1713</f>
        <v/>
      </c>
      <c r="C1713" s="67" t="str">
        <f>ASTemp!C1713</f>
        <v/>
      </c>
      <c r="D1713" s="68" t="str">
        <f>ASTemp!D1713</f>
        <v/>
      </c>
      <c r="E1713" s="65" t="str">
        <f>ASTemp!E1713</f>
        <v/>
      </c>
      <c r="F1713" s="69" t="str">
        <f>TEXT(ASTemp!F1713,Decimals)</f>
        <v/>
      </c>
      <c r="G1713" s="69" t="str">
        <f>TEXT(ASTemp!G1713,Decimals)</f>
        <v/>
      </c>
      <c r="H1713" s="69" t="str">
        <f>TEXT(ASTemp!H1713,Decimals)</f>
        <v/>
      </c>
      <c r="I1713" s="69" t="str">
        <f>TEXT(ASTemp!I1713,Decimals)</f>
        <v/>
      </c>
      <c r="J1713" s="69" t="str">
        <f>TEXT(ASTemp!J1713,Decimals)</f>
        <v/>
      </c>
      <c r="K1713" s="69" t="str">
        <f>TEXT(ASTemp!K1713,Decimals)</f>
        <v/>
      </c>
      <c r="L1713" s="69" t="str">
        <f>TEXT(ASTemp!L1713,Decimals)</f>
        <v/>
      </c>
      <c r="M1713" s="71" t="str">
        <f>TEXT(ASTemp!M1713,Percentages)</f>
        <v/>
      </c>
      <c r="N1713" s="72" t="str">
        <f>TEXT(ASTemp!N1713,Percentages)</f>
        <v/>
      </c>
    </row>
    <row r="1714" ht="14.25" customHeight="1">
      <c r="B1714" s="66" t="str">
        <f>ASTemp!B1714</f>
        <v/>
      </c>
      <c r="C1714" s="67" t="str">
        <f>ASTemp!C1714</f>
        <v/>
      </c>
      <c r="D1714" s="68" t="str">
        <f>ASTemp!D1714</f>
        <v/>
      </c>
      <c r="E1714" s="65" t="str">
        <f>ASTemp!E1714</f>
        <v/>
      </c>
      <c r="F1714" s="69" t="str">
        <f>TEXT(ASTemp!F1714,Decimals)</f>
        <v/>
      </c>
      <c r="G1714" s="69" t="str">
        <f>TEXT(ASTemp!G1714,Decimals)</f>
        <v/>
      </c>
      <c r="H1714" s="69" t="str">
        <f>TEXT(ASTemp!H1714,Decimals)</f>
        <v/>
      </c>
      <c r="I1714" s="69" t="str">
        <f>TEXT(ASTemp!I1714,Decimals)</f>
        <v/>
      </c>
      <c r="J1714" s="69" t="str">
        <f>TEXT(ASTemp!J1714,Decimals)</f>
        <v/>
      </c>
      <c r="K1714" s="69" t="str">
        <f>TEXT(ASTemp!K1714,Decimals)</f>
        <v/>
      </c>
      <c r="L1714" s="69" t="str">
        <f>TEXT(ASTemp!L1714,Decimals)</f>
        <v/>
      </c>
      <c r="M1714" s="71" t="str">
        <f>TEXT(ASTemp!M1714,Percentages)</f>
        <v/>
      </c>
      <c r="N1714" s="72" t="str">
        <f>TEXT(ASTemp!N1714,Percentages)</f>
        <v/>
      </c>
    </row>
    <row r="1715" ht="14.25" customHeight="1">
      <c r="B1715" s="66" t="str">
        <f>ASTemp!B1715</f>
        <v/>
      </c>
      <c r="C1715" s="67" t="str">
        <f>ASTemp!C1715</f>
        <v/>
      </c>
      <c r="D1715" s="68" t="str">
        <f>ASTemp!D1715</f>
        <v/>
      </c>
      <c r="E1715" s="65" t="str">
        <f>ASTemp!E1715</f>
        <v/>
      </c>
      <c r="F1715" s="69" t="str">
        <f>TEXT(ASTemp!F1715,Decimals)</f>
        <v/>
      </c>
      <c r="G1715" s="69" t="str">
        <f>TEXT(ASTemp!G1715,Decimals)</f>
        <v/>
      </c>
      <c r="H1715" s="69" t="str">
        <f>TEXT(ASTemp!H1715,Decimals)</f>
        <v/>
      </c>
      <c r="I1715" s="69" t="str">
        <f>TEXT(ASTemp!I1715,Decimals)</f>
        <v/>
      </c>
      <c r="J1715" s="69" t="str">
        <f>TEXT(ASTemp!J1715,Decimals)</f>
        <v/>
      </c>
      <c r="K1715" s="69" t="str">
        <f>TEXT(ASTemp!K1715,Decimals)</f>
        <v/>
      </c>
      <c r="L1715" s="69" t="str">
        <f>TEXT(ASTemp!L1715,Decimals)</f>
        <v/>
      </c>
      <c r="M1715" s="71" t="str">
        <f>TEXT(ASTemp!M1715,Percentages)</f>
        <v/>
      </c>
      <c r="N1715" s="72" t="str">
        <f>TEXT(ASTemp!N1715,Percentages)</f>
        <v/>
      </c>
    </row>
    <row r="1716" ht="14.25" customHeight="1">
      <c r="B1716" s="66" t="str">
        <f>ASTemp!B1716</f>
        <v/>
      </c>
      <c r="C1716" s="67" t="str">
        <f>ASTemp!C1716</f>
        <v/>
      </c>
      <c r="D1716" s="68" t="str">
        <f>ASTemp!D1716</f>
        <v/>
      </c>
      <c r="E1716" s="65" t="str">
        <f>ASTemp!E1716</f>
        <v/>
      </c>
      <c r="F1716" s="69" t="str">
        <f>TEXT(ASTemp!F1716,Decimals)</f>
        <v/>
      </c>
      <c r="G1716" s="69" t="str">
        <f>TEXT(ASTemp!G1716,Decimals)</f>
        <v/>
      </c>
      <c r="H1716" s="69" t="str">
        <f>TEXT(ASTemp!H1716,Decimals)</f>
        <v/>
      </c>
      <c r="I1716" s="69" t="str">
        <f>TEXT(ASTemp!I1716,Decimals)</f>
        <v/>
      </c>
      <c r="J1716" s="69" t="str">
        <f>TEXT(ASTemp!J1716,Decimals)</f>
        <v/>
      </c>
      <c r="K1716" s="69" t="str">
        <f>TEXT(ASTemp!K1716,Decimals)</f>
        <v/>
      </c>
      <c r="L1716" s="69" t="str">
        <f>TEXT(ASTemp!L1716,Decimals)</f>
        <v/>
      </c>
      <c r="M1716" s="71" t="str">
        <f>TEXT(ASTemp!M1716,Percentages)</f>
        <v/>
      </c>
      <c r="N1716" s="72" t="str">
        <f>TEXT(ASTemp!N1716,Percentages)</f>
        <v/>
      </c>
    </row>
    <row r="1717" ht="14.25" customHeight="1">
      <c r="B1717" s="66" t="str">
        <f>ASTemp!B1717</f>
        <v/>
      </c>
      <c r="C1717" s="67" t="str">
        <f>ASTemp!C1717</f>
        <v/>
      </c>
      <c r="D1717" s="68" t="str">
        <f>ASTemp!D1717</f>
        <v/>
      </c>
      <c r="E1717" s="65" t="str">
        <f>ASTemp!E1717</f>
        <v/>
      </c>
      <c r="F1717" s="69" t="str">
        <f>TEXT(ASTemp!F1717,Decimals)</f>
        <v/>
      </c>
      <c r="G1717" s="69" t="str">
        <f>TEXT(ASTemp!G1717,Decimals)</f>
        <v/>
      </c>
      <c r="H1717" s="69" t="str">
        <f>TEXT(ASTemp!H1717,Decimals)</f>
        <v/>
      </c>
      <c r="I1717" s="69" t="str">
        <f>TEXT(ASTemp!I1717,Decimals)</f>
        <v/>
      </c>
      <c r="J1717" s="69" t="str">
        <f>TEXT(ASTemp!J1717,Decimals)</f>
        <v/>
      </c>
      <c r="K1717" s="69" t="str">
        <f>TEXT(ASTemp!K1717,Decimals)</f>
        <v/>
      </c>
      <c r="L1717" s="69" t="str">
        <f>TEXT(ASTemp!L1717,Decimals)</f>
        <v/>
      </c>
      <c r="M1717" s="71" t="str">
        <f>TEXT(ASTemp!M1717,Percentages)</f>
        <v/>
      </c>
      <c r="N1717" s="72" t="str">
        <f>TEXT(ASTemp!N1717,Percentages)</f>
        <v/>
      </c>
    </row>
    <row r="1718" ht="14.25" customHeight="1">
      <c r="B1718" s="66" t="str">
        <f>ASTemp!B1718</f>
        <v/>
      </c>
      <c r="C1718" s="67" t="str">
        <f>ASTemp!C1718</f>
        <v/>
      </c>
      <c r="D1718" s="68" t="str">
        <f>ASTemp!D1718</f>
        <v/>
      </c>
      <c r="E1718" s="65" t="str">
        <f>ASTemp!E1718</f>
        <v/>
      </c>
      <c r="F1718" s="69" t="str">
        <f>TEXT(ASTemp!F1718,Decimals)</f>
        <v/>
      </c>
      <c r="G1718" s="69" t="str">
        <f>TEXT(ASTemp!G1718,Decimals)</f>
        <v/>
      </c>
      <c r="H1718" s="69" t="str">
        <f>TEXT(ASTemp!H1718,Decimals)</f>
        <v/>
      </c>
      <c r="I1718" s="69" t="str">
        <f>TEXT(ASTemp!I1718,Decimals)</f>
        <v/>
      </c>
      <c r="J1718" s="69" t="str">
        <f>TEXT(ASTemp!J1718,Decimals)</f>
        <v/>
      </c>
      <c r="K1718" s="69" t="str">
        <f>TEXT(ASTemp!K1718,Decimals)</f>
        <v/>
      </c>
      <c r="L1718" s="69" t="str">
        <f>TEXT(ASTemp!L1718,Decimals)</f>
        <v/>
      </c>
      <c r="M1718" s="71" t="str">
        <f>TEXT(ASTemp!M1718,Percentages)</f>
        <v/>
      </c>
      <c r="N1718" s="72" t="str">
        <f>TEXT(ASTemp!N1718,Percentages)</f>
        <v/>
      </c>
    </row>
    <row r="1719" ht="14.25" customHeight="1">
      <c r="B1719" s="66" t="str">
        <f>ASTemp!B1719</f>
        <v/>
      </c>
      <c r="C1719" s="67" t="str">
        <f>ASTemp!C1719</f>
        <v/>
      </c>
      <c r="D1719" s="68" t="str">
        <f>ASTemp!D1719</f>
        <v/>
      </c>
      <c r="E1719" s="65" t="str">
        <f>ASTemp!E1719</f>
        <v/>
      </c>
      <c r="F1719" s="69" t="str">
        <f>TEXT(ASTemp!F1719,Decimals)</f>
        <v/>
      </c>
      <c r="G1719" s="69" t="str">
        <f>TEXT(ASTemp!G1719,Decimals)</f>
        <v/>
      </c>
      <c r="H1719" s="69" t="str">
        <f>TEXT(ASTemp!H1719,Decimals)</f>
        <v/>
      </c>
      <c r="I1719" s="69" t="str">
        <f>TEXT(ASTemp!I1719,Decimals)</f>
        <v/>
      </c>
      <c r="J1719" s="69" t="str">
        <f>TEXT(ASTemp!J1719,Decimals)</f>
        <v/>
      </c>
      <c r="K1719" s="69" t="str">
        <f>TEXT(ASTemp!K1719,Decimals)</f>
        <v/>
      </c>
      <c r="L1719" s="69" t="str">
        <f>TEXT(ASTemp!L1719,Decimals)</f>
        <v/>
      </c>
      <c r="M1719" s="71" t="str">
        <f>TEXT(ASTemp!M1719,Percentages)</f>
        <v/>
      </c>
      <c r="N1719" s="72" t="str">
        <f>TEXT(ASTemp!N1719,Percentages)</f>
        <v/>
      </c>
    </row>
    <row r="1720" ht="14.25" customHeight="1">
      <c r="B1720" s="66" t="str">
        <f>ASTemp!B1720</f>
        <v/>
      </c>
      <c r="C1720" s="67" t="str">
        <f>ASTemp!C1720</f>
        <v/>
      </c>
      <c r="D1720" s="68" t="str">
        <f>ASTemp!D1720</f>
        <v/>
      </c>
      <c r="E1720" s="65" t="str">
        <f>ASTemp!E1720</f>
        <v/>
      </c>
      <c r="F1720" s="69" t="str">
        <f>TEXT(ASTemp!F1720,Decimals)</f>
        <v/>
      </c>
      <c r="G1720" s="69" t="str">
        <f>TEXT(ASTemp!G1720,Decimals)</f>
        <v/>
      </c>
      <c r="H1720" s="69" t="str">
        <f>TEXT(ASTemp!H1720,Decimals)</f>
        <v/>
      </c>
      <c r="I1720" s="69" t="str">
        <f>TEXT(ASTemp!I1720,Decimals)</f>
        <v/>
      </c>
      <c r="J1720" s="69" t="str">
        <f>TEXT(ASTemp!J1720,Decimals)</f>
        <v/>
      </c>
      <c r="K1720" s="69" t="str">
        <f>TEXT(ASTemp!K1720,Decimals)</f>
        <v/>
      </c>
      <c r="L1720" s="69" t="str">
        <f>TEXT(ASTemp!L1720,Decimals)</f>
        <v/>
      </c>
      <c r="M1720" s="71" t="str">
        <f>TEXT(ASTemp!M1720,Percentages)</f>
        <v/>
      </c>
      <c r="N1720" s="72" t="str">
        <f>TEXT(ASTemp!N1720,Percentages)</f>
        <v/>
      </c>
    </row>
    <row r="1721" ht="14.25" customHeight="1">
      <c r="B1721" s="66" t="str">
        <f>ASTemp!B1721</f>
        <v/>
      </c>
      <c r="C1721" s="67" t="str">
        <f>ASTemp!C1721</f>
        <v/>
      </c>
      <c r="D1721" s="68" t="str">
        <f>ASTemp!D1721</f>
        <v/>
      </c>
      <c r="E1721" s="65" t="str">
        <f>ASTemp!E1721</f>
        <v/>
      </c>
      <c r="F1721" s="69" t="str">
        <f>TEXT(ASTemp!F1721,Decimals)</f>
        <v/>
      </c>
      <c r="G1721" s="69" t="str">
        <f>TEXT(ASTemp!G1721,Decimals)</f>
        <v/>
      </c>
      <c r="H1721" s="69" t="str">
        <f>TEXT(ASTemp!H1721,Decimals)</f>
        <v/>
      </c>
      <c r="I1721" s="69" t="str">
        <f>TEXT(ASTemp!I1721,Decimals)</f>
        <v/>
      </c>
      <c r="J1721" s="69" t="str">
        <f>TEXT(ASTemp!J1721,Decimals)</f>
        <v/>
      </c>
      <c r="K1721" s="69" t="str">
        <f>TEXT(ASTemp!K1721,Decimals)</f>
        <v/>
      </c>
      <c r="L1721" s="69" t="str">
        <f>TEXT(ASTemp!L1721,Decimals)</f>
        <v/>
      </c>
      <c r="M1721" s="71" t="str">
        <f>TEXT(ASTemp!M1721,Percentages)</f>
        <v/>
      </c>
      <c r="N1721" s="72" t="str">
        <f>TEXT(ASTemp!N1721,Percentages)</f>
        <v/>
      </c>
    </row>
    <row r="1722" ht="14.25" customHeight="1">
      <c r="B1722" s="66" t="str">
        <f>ASTemp!B1722</f>
        <v/>
      </c>
      <c r="C1722" s="67" t="str">
        <f>ASTemp!C1722</f>
        <v/>
      </c>
      <c r="D1722" s="68" t="str">
        <f>ASTemp!D1722</f>
        <v/>
      </c>
      <c r="E1722" s="65" t="str">
        <f>ASTemp!E1722</f>
        <v/>
      </c>
      <c r="F1722" s="69" t="str">
        <f>TEXT(ASTemp!F1722,Decimals)</f>
        <v/>
      </c>
      <c r="G1722" s="69" t="str">
        <f>TEXT(ASTemp!G1722,Decimals)</f>
        <v/>
      </c>
      <c r="H1722" s="69" t="str">
        <f>TEXT(ASTemp!H1722,Decimals)</f>
        <v/>
      </c>
      <c r="I1722" s="69" t="str">
        <f>TEXT(ASTemp!I1722,Decimals)</f>
        <v/>
      </c>
      <c r="J1722" s="69" t="str">
        <f>TEXT(ASTemp!J1722,Decimals)</f>
        <v/>
      </c>
      <c r="K1722" s="69" t="str">
        <f>TEXT(ASTemp!K1722,Decimals)</f>
        <v/>
      </c>
      <c r="L1722" s="69" t="str">
        <f>TEXT(ASTemp!L1722,Decimals)</f>
        <v/>
      </c>
      <c r="M1722" s="71" t="str">
        <f>TEXT(ASTemp!M1722,Percentages)</f>
        <v/>
      </c>
      <c r="N1722" s="72" t="str">
        <f>TEXT(ASTemp!N1722,Percentages)</f>
        <v/>
      </c>
    </row>
    <row r="1723" ht="14.25" customHeight="1">
      <c r="B1723" s="66" t="str">
        <f>ASTemp!B1723</f>
        <v/>
      </c>
      <c r="C1723" s="67" t="str">
        <f>ASTemp!C1723</f>
        <v/>
      </c>
      <c r="D1723" s="68" t="str">
        <f>ASTemp!D1723</f>
        <v/>
      </c>
      <c r="E1723" s="65" t="str">
        <f>ASTemp!E1723</f>
        <v/>
      </c>
      <c r="F1723" s="69" t="str">
        <f>TEXT(ASTemp!F1723,Decimals)</f>
        <v/>
      </c>
      <c r="G1723" s="69" t="str">
        <f>TEXT(ASTemp!G1723,Decimals)</f>
        <v/>
      </c>
      <c r="H1723" s="69" t="str">
        <f>TEXT(ASTemp!H1723,Decimals)</f>
        <v/>
      </c>
      <c r="I1723" s="69" t="str">
        <f>TEXT(ASTemp!I1723,Decimals)</f>
        <v/>
      </c>
      <c r="J1723" s="69" t="str">
        <f>TEXT(ASTemp!J1723,Decimals)</f>
        <v/>
      </c>
      <c r="K1723" s="69" t="str">
        <f>TEXT(ASTemp!K1723,Decimals)</f>
        <v/>
      </c>
      <c r="L1723" s="69" t="str">
        <f>TEXT(ASTemp!L1723,Decimals)</f>
        <v/>
      </c>
      <c r="M1723" s="71" t="str">
        <f>TEXT(ASTemp!M1723,Percentages)</f>
        <v/>
      </c>
      <c r="N1723" s="72" t="str">
        <f>TEXT(ASTemp!N1723,Percentages)</f>
        <v/>
      </c>
    </row>
    <row r="1724" ht="14.25" customHeight="1">
      <c r="B1724" s="66" t="str">
        <f>ASTemp!B1724</f>
        <v/>
      </c>
      <c r="C1724" s="67" t="str">
        <f>ASTemp!C1724</f>
        <v/>
      </c>
      <c r="D1724" s="68" t="str">
        <f>ASTemp!D1724</f>
        <v/>
      </c>
      <c r="E1724" s="65" t="str">
        <f>ASTemp!E1724</f>
        <v/>
      </c>
      <c r="F1724" s="69" t="str">
        <f>TEXT(ASTemp!F1724,Decimals)</f>
        <v/>
      </c>
      <c r="G1724" s="69" t="str">
        <f>TEXT(ASTemp!G1724,Decimals)</f>
        <v/>
      </c>
      <c r="H1724" s="69" t="str">
        <f>TEXT(ASTemp!H1724,Decimals)</f>
        <v/>
      </c>
      <c r="I1724" s="69" t="str">
        <f>TEXT(ASTemp!I1724,Decimals)</f>
        <v/>
      </c>
      <c r="J1724" s="69" t="str">
        <f>TEXT(ASTemp!J1724,Decimals)</f>
        <v/>
      </c>
      <c r="K1724" s="69" t="str">
        <f>TEXT(ASTemp!K1724,Decimals)</f>
        <v/>
      </c>
      <c r="L1724" s="69" t="str">
        <f>TEXT(ASTemp!L1724,Decimals)</f>
        <v/>
      </c>
      <c r="M1724" s="71" t="str">
        <f>TEXT(ASTemp!M1724,Percentages)</f>
        <v/>
      </c>
      <c r="N1724" s="72" t="str">
        <f>TEXT(ASTemp!N1724,Percentages)</f>
        <v/>
      </c>
    </row>
    <row r="1725" ht="14.25" customHeight="1">
      <c r="B1725" s="66" t="str">
        <f>ASTemp!B1725</f>
        <v/>
      </c>
      <c r="C1725" s="67" t="str">
        <f>ASTemp!C1725</f>
        <v/>
      </c>
      <c r="D1725" s="68" t="str">
        <f>ASTemp!D1725</f>
        <v/>
      </c>
      <c r="E1725" s="65" t="str">
        <f>ASTemp!E1725</f>
        <v/>
      </c>
      <c r="F1725" s="69" t="str">
        <f>TEXT(ASTemp!F1725,Decimals)</f>
        <v/>
      </c>
      <c r="G1725" s="69" t="str">
        <f>TEXT(ASTemp!G1725,Decimals)</f>
        <v/>
      </c>
      <c r="H1725" s="69" t="str">
        <f>TEXT(ASTemp!H1725,Decimals)</f>
        <v/>
      </c>
      <c r="I1725" s="69" t="str">
        <f>TEXT(ASTemp!I1725,Decimals)</f>
        <v/>
      </c>
      <c r="J1725" s="69" t="str">
        <f>TEXT(ASTemp!J1725,Decimals)</f>
        <v/>
      </c>
      <c r="K1725" s="69" t="str">
        <f>TEXT(ASTemp!K1725,Decimals)</f>
        <v/>
      </c>
      <c r="L1725" s="69" t="str">
        <f>TEXT(ASTemp!L1725,Decimals)</f>
        <v/>
      </c>
      <c r="M1725" s="71" t="str">
        <f>TEXT(ASTemp!M1725,Percentages)</f>
        <v/>
      </c>
      <c r="N1725" s="72" t="str">
        <f>TEXT(ASTemp!N1725,Percentages)</f>
        <v/>
      </c>
    </row>
    <row r="1726" ht="14.25" customHeight="1">
      <c r="B1726" s="66" t="str">
        <f>ASTemp!B1726</f>
        <v/>
      </c>
      <c r="C1726" s="67" t="str">
        <f>ASTemp!C1726</f>
        <v/>
      </c>
      <c r="D1726" s="68" t="str">
        <f>ASTemp!D1726</f>
        <v/>
      </c>
      <c r="E1726" s="65" t="str">
        <f>ASTemp!E1726</f>
        <v/>
      </c>
      <c r="F1726" s="69" t="str">
        <f>TEXT(ASTemp!F1726,Decimals)</f>
        <v/>
      </c>
      <c r="G1726" s="69" t="str">
        <f>TEXT(ASTemp!G1726,Decimals)</f>
        <v/>
      </c>
      <c r="H1726" s="69" t="str">
        <f>TEXT(ASTemp!H1726,Decimals)</f>
        <v/>
      </c>
      <c r="I1726" s="69" t="str">
        <f>TEXT(ASTemp!I1726,Decimals)</f>
        <v/>
      </c>
      <c r="J1726" s="69" t="str">
        <f>TEXT(ASTemp!J1726,Decimals)</f>
        <v/>
      </c>
      <c r="K1726" s="69" t="str">
        <f>TEXT(ASTemp!K1726,Decimals)</f>
        <v/>
      </c>
      <c r="L1726" s="69" t="str">
        <f>TEXT(ASTemp!L1726,Decimals)</f>
        <v/>
      </c>
      <c r="M1726" s="71" t="str">
        <f>TEXT(ASTemp!M1726,Percentages)</f>
        <v/>
      </c>
      <c r="N1726" s="72" t="str">
        <f>TEXT(ASTemp!N1726,Percentages)</f>
        <v/>
      </c>
    </row>
    <row r="1727" ht="14.25" customHeight="1">
      <c r="B1727" s="66" t="str">
        <f>ASTemp!B1727</f>
        <v/>
      </c>
      <c r="C1727" s="67" t="str">
        <f>ASTemp!C1727</f>
        <v/>
      </c>
      <c r="D1727" s="68" t="str">
        <f>ASTemp!D1727</f>
        <v/>
      </c>
      <c r="E1727" s="65" t="str">
        <f>ASTemp!E1727</f>
        <v/>
      </c>
      <c r="F1727" s="69" t="str">
        <f>TEXT(ASTemp!F1727,Decimals)</f>
        <v/>
      </c>
      <c r="G1727" s="69" t="str">
        <f>TEXT(ASTemp!G1727,Decimals)</f>
        <v/>
      </c>
      <c r="H1727" s="69" t="str">
        <f>TEXT(ASTemp!H1727,Decimals)</f>
        <v/>
      </c>
      <c r="I1727" s="69" t="str">
        <f>TEXT(ASTemp!I1727,Decimals)</f>
        <v/>
      </c>
      <c r="J1727" s="69" t="str">
        <f>TEXT(ASTemp!J1727,Decimals)</f>
        <v/>
      </c>
      <c r="K1727" s="69" t="str">
        <f>TEXT(ASTemp!K1727,Decimals)</f>
        <v/>
      </c>
      <c r="L1727" s="69" t="str">
        <f>TEXT(ASTemp!L1727,Decimals)</f>
        <v/>
      </c>
      <c r="M1727" s="71" t="str">
        <f>TEXT(ASTemp!M1727,Percentages)</f>
        <v/>
      </c>
      <c r="N1727" s="72" t="str">
        <f>TEXT(ASTemp!N1727,Percentages)</f>
        <v/>
      </c>
    </row>
    <row r="1728" ht="14.25" customHeight="1">
      <c r="B1728" s="66" t="str">
        <f>ASTemp!B1728</f>
        <v/>
      </c>
      <c r="C1728" s="67" t="str">
        <f>ASTemp!C1728</f>
        <v/>
      </c>
      <c r="D1728" s="68" t="str">
        <f>ASTemp!D1728</f>
        <v/>
      </c>
      <c r="E1728" s="65" t="str">
        <f>ASTemp!E1728</f>
        <v/>
      </c>
      <c r="F1728" s="69" t="str">
        <f>TEXT(ASTemp!F1728,Decimals)</f>
        <v/>
      </c>
      <c r="G1728" s="69" t="str">
        <f>TEXT(ASTemp!G1728,Decimals)</f>
        <v/>
      </c>
      <c r="H1728" s="69" t="str">
        <f>TEXT(ASTemp!H1728,Decimals)</f>
        <v/>
      </c>
      <c r="I1728" s="69" t="str">
        <f>TEXT(ASTemp!I1728,Decimals)</f>
        <v/>
      </c>
      <c r="J1728" s="69" t="str">
        <f>TEXT(ASTemp!J1728,Decimals)</f>
        <v/>
      </c>
      <c r="K1728" s="69" t="str">
        <f>TEXT(ASTemp!K1728,Decimals)</f>
        <v/>
      </c>
      <c r="L1728" s="69" t="str">
        <f>TEXT(ASTemp!L1728,Decimals)</f>
        <v/>
      </c>
      <c r="M1728" s="71" t="str">
        <f>TEXT(ASTemp!M1728,Percentages)</f>
        <v/>
      </c>
      <c r="N1728" s="72" t="str">
        <f>TEXT(ASTemp!N1728,Percentages)</f>
        <v/>
      </c>
    </row>
    <row r="1729" ht="14.25" customHeight="1">
      <c r="B1729" s="66" t="str">
        <f>ASTemp!B1729</f>
        <v/>
      </c>
      <c r="C1729" s="67" t="str">
        <f>ASTemp!C1729</f>
        <v/>
      </c>
      <c r="D1729" s="68" t="str">
        <f>ASTemp!D1729</f>
        <v/>
      </c>
      <c r="E1729" s="65" t="str">
        <f>ASTemp!E1729</f>
        <v/>
      </c>
      <c r="F1729" s="69" t="str">
        <f>TEXT(ASTemp!F1729,Decimals)</f>
        <v/>
      </c>
      <c r="G1729" s="69" t="str">
        <f>TEXT(ASTemp!G1729,Decimals)</f>
        <v/>
      </c>
      <c r="H1729" s="69" t="str">
        <f>TEXT(ASTemp!H1729,Decimals)</f>
        <v/>
      </c>
      <c r="I1729" s="69" t="str">
        <f>TEXT(ASTemp!I1729,Decimals)</f>
        <v/>
      </c>
      <c r="J1729" s="69" t="str">
        <f>TEXT(ASTemp!J1729,Decimals)</f>
        <v/>
      </c>
      <c r="K1729" s="69" t="str">
        <f>TEXT(ASTemp!K1729,Decimals)</f>
        <v/>
      </c>
      <c r="L1729" s="69" t="str">
        <f>TEXT(ASTemp!L1729,Decimals)</f>
        <v/>
      </c>
      <c r="M1729" s="71" t="str">
        <f>TEXT(ASTemp!M1729,Percentages)</f>
        <v/>
      </c>
      <c r="N1729" s="72" t="str">
        <f>TEXT(ASTemp!N1729,Percentages)</f>
        <v/>
      </c>
    </row>
    <row r="1730" ht="14.25" customHeight="1">
      <c r="B1730" s="66" t="str">
        <f>ASTemp!B1730</f>
        <v/>
      </c>
      <c r="C1730" s="67" t="str">
        <f>ASTemp!C1730</f>
        <v/>
      </c>
      <c r="D1730" s="68" t="str">
        <f>ASTemp!D1730</f>
        <v/>
      </c>
      <c r="E1730" s="65" t="str">
        <f>ASTemp!E1730</f>
        <v/>
      </c>
      <c r="F1730" s="69" t="str">
        <f>TEXT(ASTemp!F1730,Decimals)</f>
        <v/>
      </c>
      <c r="G1730" s="69" t="str">
        <f>TEXT(ASTemp!G1730,Decimals)</f>
        <v/>
      </c>
      <c r="H1730" s="69" t="str">
        <f>TEXT(ASTemp!H1730,Decimals)</f>
        <v/>
      </c>
      <c r="I1730" s="69" t="str">
        <f>TEXT(ASTemp!I1730,Decimals)</f>
        <v/>
      </c>
      <c r="J1730" s="69" t="str">
        <f>TEXT(ASTemp!J1730,Decimals)</f>
        <v/>
      </c>
      <c r="K1730" s="69" t="str">
        <f>TEXT(ASTemp!K1730,Decimals)</f>
        <v/>
      </c>
      <c r="L1730" s="69" t="str">
        <f>TEXT(ASTemp!L1730,Decimals)</f>
        <v/>
      </c>
      <c r="M1730" s="71" t="str">
        <f>TEXT(ASTemp!M1730,Percentages)</f>
        <v/>
      </c>
      <c r="N1730" s="72" t="str">
        <f>TEXT(ASTemp!N1730,Percentages)</f>
        <v/>
      </c>
    </row>
    <row r="1731" ht="14.25" customHeight="1">
      <c r="B1731" s="66" t="str">
        <f>ASTemp!B1731</f>
        <v/>
      </c>
      <c r="C1731" s="67" t="str">
        <f>ASTemp!C1731</f>
        <v/>
      </c>
      <c r="D1731" s="68" t="str">
        <f>ASTemp!D1731</f>
        <v/>
      </c>
      <c r="E1731" s="65" t="str">
        <f>ASTemp!E1731</f>
        <v/>
      </c>
      <c r="F1731" s="69" t="str">
        <f>TEXT(ASTemp!F1731,Decimals)</f>
        <v/>
      </c>
      <c r="G1731" s="69" t="str">
        <f>TEXT(ASTemp!G1731,Decimals)</f>
        <v/>
      </c>
      <c r="H1731" s="69" t="str">
        <f>TEXT(ASTemp!H1731,Decimals)</f>
        <v/>
      </c>
      <c r="I1731" s="69" t="str">
        <f>TEXT(ASTemp!I1731,Decimals)</f>
        <v/>
      </c>
      <c r="J1731" s="69" t="str">
        <f>TEXT(ASTemp!J1731,Decimals)</f>
        <v/>
      </c>
      <c r="K1731" s="69" t="str">
        <f>TEXT(ASTemp!K1731,Decimals)</f>
        <v/>
      </c>
      <c r="L1731" s="69" t="str">
        <f>TEXT(ASTemp!L1731,Decimals)</f>
        <v/>
      </c>
      <c r="M1731" s="71" t="str">
        <f>TEXT(ASTemp!M1731,Percentages)</f>
        <v/>
      </c>
      <c r="N1731" s="72" t="str">
        <f>TEXT(ASTemp!N1731,Percentages)</f>
        <v/>
      </c>
    </row>
    <row r="1732" ht="14.25" customHeight="1">
      <c r="B1732" s="66" t="str">
        <f>ASTemp!B1732</f>
        <v/>
      </c>
      <c r="C1732" s="67" t="str">
        <f>ASTemp!C1732</f>
        <v/>
      </c>
      <c r="D1732" s="68" t="str">
        <f>ASTemp!D1732</f>
        <v/>
      </c>
      <c r="E1732" s="65" t="str">
        <f>ASTemp!E1732</f>
        <v/>
      </c>
      <c r="F1732" s="69" t="str">
        <f>TEXT(ASTemp!F1732,Decimals)</f>
        <v/>
      </c>
      <c r="G1732" s="69" t="str">
        <f>TEXT(ASTemp!G1732,Decimals)</f>
        <v/>
      </c>
      <c r="H1732" s="69" t="str">
        <f>TEXT(ASTemp!H1732,Decimals)</f>
        <v/>
      </c>
      <c r="I1732" s="69" t="str">
        <f>TEXT(ASTemp!I1732,Decimals)</f>
        <v/>
      </c>
      <c r="J1732" s="69" t="str">
        <f>TEXT(ASTemp!J1732,Decimals)</f>
        <v/>
      </c>
      <c r="K1732" s="69" t="str">
        <f>TEXT(ASTemp!K1732,Decimals)</f>
        <v/>
      </c>
      <c r="L1732" s="69" t="str">
        <f>TEXT(ASTemp!L1732,Decimals)</f>
        <v/>
      </c>
      <c r="M1732" s="71" t="str">
        <f>TEXT(ASTemp!M1732,Percentages)</f>
        <v/>
      </c>
      <c r="N1732" s="72" t="str">
        <f>TEXT(ASTemp!N1732,Percentages)</f>
        <v/>
      </c>
    </row>
    <row r="1733" ht="14.25" customHeight="1">
      <c r="B1733" s="66" t="str">
        <f>ASTemp!B1733</f>
        <v/>
      </c>
      <c r="C1733" s="67" t="str">
        <f>ASTemp!C1733</f>
        <v/>
      </c>
      <c r="D1733" s="68" t="str">
        <f>ASTemp!D1733</f>
        <v/>
      </c>
      <c r="E1733" s="65" t="str">
        <f>ASTemp!E1733</f>
        <v/>
      </c>
      <c r="F1733" s="69" t="str">
        <f>TEXT(ASTemp!F1733,Decimals)</f>
        <v/>
      </c>
      <c r="G1733" s="69" t="str">
        <f>TEXT(ASTemp!G1733,Decimals)</f>
        <v/>
      </c>
      <c r="H1733" s="69" t="str">
        <f>TEXT(ASTemp!H1733,Decimals)</f>
        <v/>
      </c>
      <c r="I1733" s="69" t="str">
        <f>TEXT(ASTemp!I1733,Decimals)</f>
        <v/>
      </c>
      <c r="J1733" s="69" t="str">
        <f>TEXT(ASTemp!J1733,Decimals)</f>
        <v/>
      </c>
      <c r="K1733" s="69" t="str">
        <f>TEXT(ASTemp!K1733,Decimals)</f>
        <v/>
      </c>
      <c r="L1733" s="69" t="str">
        <f>TEXT(ASTemp!L1733,Decimals)</f>
        <v/>
      </c>
      <c r="M1733" s="71" t="str">
        <f>TEXT(ASTemp!M1733,Percentages)</f>
        <v/>
      </c>
      <c r="N1733" s="72" t="str">
        <f>TEXT(ASTemp!N1733,Percentages)</f>
        <v/>
      </c>
    </row>
    <row r="1734" ht="14.25" customHeight="1">
      <c r="B1734" s="66" t="str">
        <f>ASTemp!B1734</f>
        <v/>
      </c>
      <c r="C1734" s="67" t="str">
        <f>ASTemp!C1734</f>
        <v/>
      </c>
      <c r="D1734" s="68" t="str">
        <f>ASTemp!D1734</f>
        <v/>
      </c>
      <c r="E1734" s="65" t="str">
        <f>ASTemp!E1734</f>
        <v/>
      </c>
      <c r="F1734" s="69" t="str">
        <f>TEXT(ASTemp!F1734,Decimals)</f>
        <v/>
      </c>
      <c r="G1734" s="69" t="str">
        <f>TEXT(ASTemp!G1734,Decimals)</f>
        <v/>
      </c>
      <c r="H1734" s="69" t="str">
        <f>TEXT(ASTemp!H1734,Decimals)</f>
        <v/>
      </c>
      <c r="I1734" s="69" t="str">
        <f>TEXT(ASTemp!I1734,Decimals)</f>
        <v/>
      </c>
      <c r="J1734" s="69" t="str">
        <f>TEXT(ASTemp!J1734,Decimals)</f>
        <v/>
      </c>
      <c r="K1734" s="69" t="str">
        <f>TEXT(ASTemp!K1734,Decimals)</f>
        <v/>
      </c>
      <c r="L1734" s="69" t="str">
        <f>TEXT(ASTemp!L1734,Decimals)</f>
        <v/>
      </c>
      <c r="M1734" s="71" t="str">
        <f>TEXT(ASTemp!M1734,Percentages)</f>
        <v/>
      </c>
      <c r="N1734" s="72" t="str">
        <f>TEXT(ASTemp!N1734,Percentages)</f>
        <v/>
      </c>
    </row>
    <row r="1735" ht="14.25" customHeight="1">
      <c r="B1735" s="66" t="str">
        <f>ASTemp!B1735</f>
        <v/>
      </c>
      <c r="C1735" s="67" t="str">
        <f>ASTemp!C1735</f>
        <v/>
      </c>
      <c r="D1735" s="68" t="str">
        <f>ASTemp!D1735</f>
        <v/>
      </c>
      <c r="E1735" s="65" t="str">
        <f>ASTemp!E1735</f>
        <v/>
      </c>
      <c r="F1735" s="69" t="str">
        <f>TEXT(ASTemp!F1735,Decimals)</f>
        <v/>
      </c>
      <c r="G1735" s="69" t="str">
        <f>TEXT(ASTemp!G1735,Decimals)</f>
        <v/>
      </c>
      <c r="H1735" s="69" t="str">
        <f>TEXT(ASTemp!H1735,Decimals)</f>
        <v/>
      </c>
      <c r="I1735" s="69" t="str">
        <f>TEXT(ASTemp!I1735,Decimals)</f>
        <v/>
      </c>
      <c r="J1735" s="69" t="str">
        <f>TEXT(ASTemp!J1735,Decimals)</f>
        <v/>
      </c>
      <c r="K1735" s="69" t="str">
        <f>TEXT(ASTemp!K1735,Decimals)</f>
        <v/>
      </c>
      <c r="L1735" s="69" t="str">
        <f>TEXT(ASTemp!L1735,Decimals)</f>
        <v/>
      </c>
      <c r="M1735" s="71" t="str">
        <f>TEXT(ASTemp!M1735,Percentages)</f>
        <v/>
      </c>
      <c r="N1735" s="72" t="str">
        <f>TEXT(ASTemp!N1735,Percentages)</f>
        <v/>
      </c>
    </row>
    <row r="1736" ht="14.25" customHeight="1">
      <c r="B1736" s="66" t="str">
        <f>ASTemp!B1736</f>
        <v/>
      </c>
      <c r="C1736" s="67" t="str">
        <f>ASTemp!C1736</f>
        <v/>
      </c>
      <c r="D1736" s="68" t="str">
        <f>ASTemp!D1736</f>
        <v/>
      </c>
      <c r="E1736" s="65" t="str">
        <f>ASTemp!E1736</f>
        <v/>
      </c>
      <c r="F1736" s="69" t="str">
        <f>TEXT(ASTemp!F1736,Decimals)</f>
        <v/>
      </c>
      <c r="G1736" s="69" t="str">
        <f>TEXT(ASTemp!G1736,Decimals)</f>
        <v/>
      </c>
      <c r="H1736" s="69" t="str">
        <f>TEXT(ASTemp!H1736,Decimals)</f>
        <v/>
      </c>
      <c r="I1736" s="69" t="str">
        <f>TEXT(ASTemp!I1736,Decimals)</f>
        <v/>
      </c>
      <c r="J1736" s="69" t="str">
        <f>TEXT(ASTemp!J1736,Decimals)</f>
        <v/>
      </c>
      <c r="K1736" s="69" t="str">
        <f>TEXT(ASTemp!K1736,Decimals)</f>
        <v/>
      </c>
      <c r="L1736" s="69" t="str">
        <f>TEXT(ASTemp!L1736,Decimals)</f>
        <v/>
      </c>
      <c r="M1736" s="71" t="str">
        <f>TEXT(ASTemp!M1736,Percentages)</f>
        <v/>
      </c>
      <c r="N1736" s="72" t="str">
        <f>TEXT(ASTemp!N1736,Percentages)</f>
        <v/>
      </c>
    </row>
    <row r="1737" ht="14.25" customHeight="1">
      <c r="B1737" s="66" t="str">
        <f>ASTemp!B1737</f>
        <v/>
      </c>
      <c r="C1737" s="67" t="str">
        <f>ASTemp!C1737</f>
        <v/>
      </c>
      <c r="D1737" s="68" t="str">
        <f>ASTemp!D1737</f>
        <v/>
      </c>
      <c r="E1737" s="65" t="str">
        <f>ASTemp!E1737</f>
        <v/>
      </c>
      <c r="F1737" s="69" t="str">
        <f>TEXT(ASTemp!F1737,Decimals)</f>
        <v/>
      </c>
      <c r="G1737" s="69" t="str">
        <f>TEXT(ASTemp!G1737,Decimals)</f>
        <v/>
      </c>
      <c r="H1737" s="69" t="str">
        <f>TEXT(ASTemp!H1737,Decimals)</f>
        <v/>
      </c>
      <c r="I1737" s="69" t="str">
        <f>TEXT(ASTemp!I1737,Decimals)</f>
        <v/>
      </c>
      <c r="J1737" s="69" t="str">
        <f>TEXT(ASTemp!J1737,Decimals)</f>
        <v/>
      </c>
      <c r="K1737" s="69" t="str">
        <f>TEXT(ASTemp!K1737,Decimals)</f>
        <v/>
      </c>
      <c r="L1737" s="69" t="str">
        <f>TEXT(ASTemp!L1737,Decimals)</f>
        <v/>
      </c>
      <c r="M1737" s="71" t="str">
        <f>TEXT(ASTemp!M1737,Percentages)</f>
        <v/>
      </c>
      <c r="N1737" s="72" t="str">
        <f>TEXT(ASTemp!N1737,Percentages)</f>
        <v/>
      </c>
    </row>
    <row r="1738" ht="14.25" customHeight="1">
      <c r="B1738" s="66" t="str">
        <f>ASTemp!B1738</f>
        <v/>
      </c>
      <c r="C1738" s="67" t="str">
        <f>ASTemp!C1738</f>
        <v/>
      </c>
      <c r="D1738" s="68" t="str">
        <f>ASTemp!D1738</f>
        <v/>
      </c>
      <c r="E1738" s="65" t="str">
        <f>ASTemp!E1738</f>
        <v/>
      </c>
      <c r="F1738" s="69" t="str">
        <f>TEXT(ASTemp!F1738,Decimals)</f>
        <v/>
      </c>
      <c r="G1738" s="69" t="str">
        <f>TEXT(ASTemp!G1738,Decimals)</f>
        <v/>
      </c>
      <c r="H1738" s="69" t="str">
        <f>TEXT(ASTemp!H1738,Decimals)</f>
        <v/>
      </c>
      <c r="I1738" s="69" t="str">
        <f>TEXT(ASTemp!I1738,Decimals)</f>
        <v/>
      </c>
      <c r="J1738" s="69" t="str">
        <f>TEXT(ASTemp!J1738,Decimals)</f>
        <v/>
      </c>
      <c r="K1738" s="69" t="str">
        <f>TEXT(ASTemp!K1738,Decimals)</f>
        <v/>
      </c>
      <c r="L1738" s="69" t="str">
        <f>TEXT(ASTemp!L1738,Decimals)</f>
        <v/>
      </c>
      <c r="M1738" s="71" t="str">
        <f>TEXT(ASTemp!M1738,Percentages)</f>
        <v/>
      </c>
      <c r="N1738" s="72" t="str">
        <f>TEXT(ASTemp!N1738,Percentages)</f>
        <v/>
      </c>
    </row>
    <row r="1739" ht="14.25" customHeight="1">
      <c r="B1739" s="66" t="str">
        <f>ASTemp!B1739</f>
        <v/>
      </c>
      <c r="C1739" s="67" t="str">
        <f>ASTemp!C1739</f>
        <v/>
      </c>
      <c r="D1739" s="68" t="str">
        <f>ASTemp!D1739</f>
        <v/>
      </c>
      <c r="E1739" s="65" t="str">
        <f>ASTemp!E1739</f>
        <v/>
      </c>
      <c r="F1739" s="69" t="str">
        <f>TEXT(ASTemp!F1739,Decimals)</f>
        <v/>
      </c>
      <c r="G1739" s="69" t="str">
        <f>TEXT(ASTemp!G1739,Decimals)</f>
        <v/>
      </c>
      <c r="H1739" s="69" t="str">
        <f>TEXT(ASTemp!H1739,Decimals)</f>
        <v/>
      </c>
      <c r="I1739" s="69" t="str">
        <f>TEXT(ASTemp!I1739,Decimals)</f>
        <v/>
      </c>
      <c r="J1739" s="69" t="str">
        <f>TEXT(ASTemp!J1739,Decimals)</f>
        <v/>
      </c>
      <c r="K1739" s="69" t="str">
        <f>TEXT(ASTemp!K1739,Decimals)</f>
        <v/>
      </c>
      <c r="L1739" s="69" t="str">
        <f>TEXT(ASTemp!L1739,Decimals)</f>
        <v/>
      </c>
      <c r="M1739" s="71" t="str">
        <f>TEXT(ASTemp!M1739,Percentages)</f>
        <v/>
      </c>
      <c r="N1739" s="72" t="str">
        <f>TEXT(ASTemp!N1739,Percentages)</f>
        <v/>
      </c>
    </row>
    <row r="1740" ht="14.25" customHeight="1">
      <c r="B1740" s="66" t="str">
        <f>ASTemp!B1740</f>
        <v/>
      </c>
      <c r="C1740" s="67" t="str">
        <f>ASTemp!C1740</f>
        <v/>
      </c>
      <c r="D1740" s="68" t="str">
        <f>ASTemp!D1740</f>
        <v/>
      </c>
      <c r="E1740" s="65" t="str">
        <f>ASTemp!E1740</f>
        <v/>
      </c>
      <c r="F1740" s="69" t="str">
        <f>TEXT(ASTemp!F1740,Decimals)</f>
        <v/>
      </c>
      <c r="G1740" s="69" t="str">
        <f>TEXT(ASTemp!G1740,Decimals)</f>
        <v/>
      </c>
      <c r="H1740" s="69" t="str">
        <f>TEXT(ASTemp!H1740,Decimals)</f>
        <v/>
      </c>
      <c r="I1740" s="69" t="str">
        <f>TEXT(ASTemp!I1740,Decimals)</f>
        <v/>
      </c>
      <c r="J1740" s="69" t="str">
        <f>TEXT(ASTemp!J1740,Decimals)</f>
        <v/>
      </c>
      <c r="K1740" s="69" t="str">
        <f>TEXT(ASTemp!K1740,Decimals)</f>
        <v/>
      </c>
      <c r="L1740" s="69" t="str">
        <f>TEXT(ASTemp!L1740,Decimals)</f>
        <v/>
      </c>
      <c r="M1740" s="71" t="str">
        <f>TEXT(ASTemp!M1740,Percentages)</f>
        <v/>
      </c>
      <c r="N1740" s="72" t="str">
        <f>TEXT(ASTemp!N1740,Percentages)</f>
        <v/>
      </c>
    </row>
    <row r="1741" ht="14.25" customHeight="1">
      <c r="B1741" s="66" t="str">
        <f>ASTemp!B1741</f>
        <v/>
      </c>
      <c r="C1741" s="67" t="str">
        <f>ASTemp!C1741</f>
        <v/>
      </c>
      <c r="D1741" s="68" t="str">
        <f>ASTemp!D1741</f>
        <v/>
      </c>
      <c r="E1741" s="65" t="str">
        <f>ASTemp!E1741</f>
        <v/>
      </c>
      <c r="F1741" s="69" t="str">
        <f>TEXT(ASTemp!F1741,Decimals)</f>
        <v/>
      </c>
      <c r="G1741" s="69" t="str">
        <f>TEXT(ASTemp!G1741,Decimals)</f>
        <v/>
      </c>
      <c r="H1741" s="69" t="str">
        <f>TEXT(ASTemp!H1741,Decimals)</f>
        <v/>
      </c>
      <c r="I1741" s="69" t="str">
        <f>TEXT(ASTemp!I1741,Decimals)</f>
        <v/>
      </c>
      <c r="J1741" s="69" t="str">
        <f>TEXT(ASTemp!J1741,Decimals)</f>
        <v/>
      </c>
      <c r="K1741" s="69" t="str">
        <f>TEXT(ASTemp!K1741,Decimals)</f>
        <v/>
      </c>
      <c r="L1741" s="69" t="str">
        <f>TEXT(ASTemp!L1741,Decimals)</f>
        <v/>
      </c>
      <c r="M1741" s="71" t="str">
        <f>TEXT(ASTemp!M1741,Percentages)</f>
        <v/>
      </c>
      <c r="N1741" s="72" t="str">
        <f>TEXT(ASTemp!N1741,Percentages)</f>
        <v/>
      </c>
    </row>
    <row r="1742" ht="14.25" customHeight="1">
      <c r="B1742" s="66" t="str">
        <f>ASTemp!B1742</f>
        <v/>
      </c>
      <c r="C1742" s="67" t="str">
        <f>ASTemp!C1742</f>
        <v/>
      </c>
      <c r="D1742" s="68" t="str">
        <f>ASTemp!D1742</f>
        <v/>
      </c>
      <c r="E1742" s="65" t="str">
        <f>ASTemp!E1742</f>
        <v/>
      </c>
      <c r="F1742" s="69" t="str">
        <f>TEXT(ASTemp!F1742,Decimals)</f>
        <v/>
      </c>
      <c r="G1742" s="69" t="str">
        <f>TEXT(ASTemp!G1742,Decimals)</f>
        <v/>
      </c>
      <c r="H1742" s="69" t="str">
        <f>TEXT(ASTemp!H1742,Decimals)</f>
        <v/>
      </c>
      <c r="I1742" s="69" t="str">
        <f>TEXT(ASTemp!I1742,Decimals)</f>
        <v/>
      </c>
      <c r="J1742" s="69" t="str">
        <f>TEXT(ASTemp!J1742,Decimals)</f>
        <v/>
      </c>
      <c r="K1742" s="69" t="str">
        <f>TEXT(ASTemp!K1742,Decimals)</f>
        <v/>
      </c>
      <c r="L1742" s="69" t="str">
        <f>TEXT(ASTemp!L1742,Decimals)</f>
        <v/>
      </c>
      <c r="M1742" s="71" t="str">
        <f>TEXT(ASTemp!M1742,Percentages)</f>
        <v/>
      </c>
      <c r="N1742" s="72" t="str">
        <f>TEXT(ASTemp!N1742,Percentages)</f>
        <v/>
      </c>
    </row>
    <row r="1743" ht="14.25" customHeight="1">
      <c r="B1743" s="66" t="str">
        <f>ASTemp!B1743</f>
        <v/>
      </c>
      <c r="C1743" s="67" t="str">
        <f>ASTemp!C1743</f>
        <v/>
      </c>
      <c r="D1743" s="68" t="str">
        <f>ASTemp!D1743</f>
        <v/>
      </c>
      <c r="E1743" s="65" t="str">
        <f>ASTemp!E1743</f>
        <v/>
      </c>
      <c r="F1743" s="69" t="str">
        <f>TEXT(ASTemp!F1743,Decimals)</f>
        <v/>
      </c>
      <c r="G1743" s="69" t="str">
        <f>TEXT(ASTemp!G1743,Decimals)</f>
        <v/>
      </c>
      <c r="H1743" s="69" t="str">
        <f>TEXT(ASTemp!H1743,Decimals)</f>
        <v/>
      </c>
      <c r="I1743" s="69" t="str">
        <f>TEXT(ASTemp!I1743,Decimals)</f>
        <v/>
      </c>
      <c r="J1743" s="69" t="str">
        <f>TEXT(ASTemp!J1743,Decimals)</f>
        <v/>
      </c>
      <c r="K1743" s="69" t="str">
        <f>TEXT(ASTemp!K1743,Decimals)</f>
        <v/>
      </c>
      <c r="L1743" s="69" t="str">
        <f>TEXT(ASTemp!L1743,Decimals)</f>
        <v/>
      </c>
      <c r="M1743" s="71" t="str">
        <f>TEXT(ASTemp!M1743,Percentages)</f>
        <v/>
      </c>
      <c r="N1743" s="72" t="str">
        <f>TEXT(ASTemp!N1743,Percentages)</f>
        <v/>
      </c>
    </row>
    <row r="1744" ht="14.25" customHeight="1">
      <c r="B1744" s="66" t="str">
        <f>ASTemp!B1744</f>
        <v/>
      </c>
      <c r="C1744" s="67" t="str">
        <f>ASTemp!C1744</f>
        <v/>
      </c>
      <c r="D1744" s="68" t="str">
        <f>ASTemp!D1744</f>
        <v/>
      </c>
      <c r="E1744" s="65" t="str">
        <f>ASTemp!E1744</f>
        <v/>
      </c>
      <c r="F1744" s="69" t="str">
        <f>TEXT(ASTemp!F1744,Decimals)</f>
        <v/>
      </c>
      <c r="G1744" s="69" t="str">
        <f>TEXT(ASTemp!G1744,Decimals)</f>
        <v/>
      </c>
      <c r="H1744" s="69" t="str">
        <f>TEXT(ASTemp!H1744,Decimals)</f>
        <v/>
      </c>
      <c r="I1744" s="69" t="str">
        <f>TEXT(ASTemp!I1744,Decimals)</f>
        <v/>
      </c>
      <c r="J1744" s="69" t="str">
        <f>TEXT(ASTemp!J1744,Decimals)</f>
        <v/>
      </c>
      <c r="K1744" s="69" t="str">
        <f>TEXT(ASTemp!K1744,Decimals)</f>
        <v/>
      </c>
      <c r="L1744" s="69" t="str">
        <f>TEXT(ASTemp!L1744,Decimals)</f>
        <v/>
      </c>
      <c r="M1744" s="71" t="str">
        <f>TEXT(ASTemp!M1744,Percentages)</f>
        <v/>
      </c>
      <c r="N1744" s="72" t="str">
        <f>TEXT(ASTemp!N1744,Percentages)</f>
        <v/>
      </c>
    </row>
    <row r="1745" ht="14.25" customHeight="1">
      <c r="B1745" s="66" t="str">
        <f>ASTemp!B1745</f>
        <v/>
      </c>
      <c r="C1745" s="67" t="str">
        <f>ASTemp!C1745</f>
        <v/>
      </c>
      <c r="D1745" s="68" t="str">
        <f>ASTemp!D1745</f>
        <v/>
      </c>
      <c r="E1745" s="65" t="str">
        <f>ASTemp!E1745</f>
        <v/>
      </c>
      <c r="F1745" s="69" t="str">
        <f>TEXT(ASTemp!F1745,Decimals)</f>
        <v/>
      </c>
      <c r="G1745" s="69" t="str">
        <f>TEXT(ASTemp!G1745,Decimals)</f>
        <v/>
      </c>
      <c r="H1745" s="69" t="str">
        <f>TEXT(ASTemp!H1745,Decimals)</f>
        <v/>
      </c>
      <c r="I1745" s="69" t="str">
        <f>TEXT(ASTemp!I1745,Decimals)</f>
        <v/>
      </c>
      <c r="J1745" s="69" t="str">
        <f>TEXT(ASTemp!J1745,Decimals)</f>
        <v/>
      </c>
      <c r="K1745" s="69" t="str">
        <f>TEXT(ASTemp!K1745,Decimals)</f>
        <v/>
      </c>
      <c r="L1745" s="69" t="str">
        <f>TEXT(ASTemp!L1745,Decimals)</f>
        <v/>
      </c>
      <c r="M1745" s="71" t="str">
        <f>TEXT(ASTemp!M1745,Percentages)</f>
        <v/>
      </c>
      <c r="N1745" s="72" t="str">
        <f>TEXT(ASTemp!N1745,Percentages)</f>
        <v/>
      </c>
    </row>
    <row r="1746" ht="14.25" customHeight="1">
      <c r="B1746" s="66" t="str">
        <f>ASTemp!B1746</f>
        <v/>
      </c>
      <c r="C1746" s="67" t="str">
        <f>ASTemp!C1746</f>
        <v/>
      </c>
      <c r="D1746" s="68" t="str">
        <f>ASTemp!D1746</f>
        <v/>
      </c>
      <c r="E1746" s="65" t="str">
        <f>ASTemp!E1746</f>
        <v/>
      </c>
      <c r="F1746" s="69" t="str">
        <f>TEXT(ASTemp!F1746,Decimals)</f>
        <v/>
      </c>
      <c r="G1746" s="69" t="str">
        <f>TEXT(ASTemp!G1746,Decimals)</f>
        <v/>
      </c>
      <c r="H1746" s="69" t="str">
        <f>TEXT(ASTemp!H1746,Decimals)</f>
        <v/>
      </c>
      <c r="I1746" s="69" t="str">
        <f>TEXT(ASTemp!I1746,Decimals)</f>
        <v/>
      </c>
      <c r="J1746" s="69" t="str">
        <f>TEXT(ASTemp!J1746,Decimals)</f>
        <v/>
      </c>
      <c r="K1746" s="69" t="str">
        <f>TEXT(ASTemp!K1746,Decimals)</f>
        <v/>
      </c>
      <c r="L1746" s="69" t="str">
        <f>TEXT(ASTemp!L1746,Decimals)</f>
        <v/>
      </c>
      <c r="M1746" s="71" t="str">
        <f>TEXT(ASTemp!M1746,Percentages)</f>
        <v/>
      </c>
      <c r="N1746" s="72" t="str">
        <f>TEXT(ASTemp!N1746,Percentages)</f>
        <v/>
      </c>
    </row>
    <row r="1747" ht="14.25" customHeight="1">
      <c r="B1747" s="66" t="str">
        <f>ASTemp!B1747</f>
        <v/>
      </c>
      <c r="C1747" s="67" t="str">
        <f>ASTemp!C1747</f>
        <v/>
      </c>
      <c r="D1747" s="68" t="str">
        <f>ASTemp!D1747</f>
        <v/>
      </c>
      <c r="E1747" s="65" t="str">
        <f>ASTemp!E1747</f>
        <v/>
      </c>
      <c r="F1747" s="69" t="str">
        <f>TEXT(ASTemp!F1747,Decimals)</f>
        <v/>
      </c>
      <c r="G1747" s="69" t="str">
        <f>TEXT(ASTemp!G1747,Decimals)</f>
        <v/>
      </c>
      <c r="H1747" s="69" t="str">
        <f>TEXT(ASTemp!H1747,Decimals)</f>
        <v/>
      </c>
      <c r="I1747" s="69" t="str">
        <f>TEXT(ASTemp!I1747,Decimals)</f>
        <v/>
      </c>
      <c r="J1747" s="69" t="str">
        <f>TEXT(ASTemp!J1747,Decimals)</f>
        <v/>
      </c>
      <c r="K1747" s="69" t="str">
        <f>TEXT(ASTemp!K1747,Decimals)</f>
        <v/>
      </c>
      <c r="L1747" s="69" t="str">
        <f>TEXT(ASTemp!L1747,Decimals)</f>
        <v/>
      </c>
      <c r="M1747" s="71" t="str">
        <f>TEXT(ASTemp!M1747,Percentages)</f>
        <v/>
      </c>
      <c r="N1747" s="72" t="str">
        <f>TEXT(ASTemp!N1747,Percentages)</f>
        <v/>
      </c>
    </row>
    <row r="1748" ht="14.25" customHeight="1">
      <c r="B1748" s="66" t="str">
        <f>ASTemp!B1748</f>
        <v/>
      </c>
      <c r="C1748" s="67" t="str">
        <f>ASTemp!C1748</f>
        <v/>
      </c>
      <c r="D1748" s="68" t="str">
        <f>ASTemp!D1748</f>
        <v/>
      </c>
      <c r="E1748" s="65" t="str">
        <f>ASTemp!E1748</f>
        <v/>
      </c>
      <c r="F1748" s="69" t="str">
        <f>TEXT(ASTemp!F1748,Decimals)</f>
        <v/>
      </c>
      <c r="G1748" s="69" t="str">
        <f>TEXT(ASTemp!G1748,Decimals)</f>
        <v/>
      </c>
      <c r="H1748" s="69" t="str">
        <f>TEXT(ASTemp!H1748,Decimals)</f>
        <v/>
      </c>
      <c r="I1748" s="69" t="str">
        <f>TEXT(ASTemp!I1748,Decimals)</f>
        <v/>
      </c>
      <c r="J1748" s="69" t="str">
        <f>TEXT(ASTemp!J1748,Decimals)</f>
        <v/>
      </c>
      <c r="K1748" s="69" t="str">
        <f>TEXT(ASTemp!K1748,Decimals)</f>
        <v/>
      </c>
      <c r="L1748" s="69" t="str">
        <f>TEXT(ASTemp!L1748,Decimals)</f>
        <v/>
      </c>
      <c r="M1748" s="71" t="str">
        <f>TEXT(ASTemp!M1748,Percentages)</f>
        <v/>
      </c>
      <c r="N1748" s="72" t="str">
        <f>TEXT(ASTemp!N1748,Percentages)</f>
        <v/>
      </c>
    </row>
    <row r="1749" ht="14.25" customHeight="1">
      <c r="B1749" s="66" t="str">
        <f>ASTemp!B1749</f>
        <v/>
      </c>
      <c r="C1749" s="67" t="str">
        <f>ASTemp!C1749</f>
        <v/>
      </c>
      <c r="D1749" s="68" t="str">
        <f>ASTemp!D1749</f>
        <v/>
      </c>
      <c r="E1749" s="65" t="str">
        <f>ASTemp!E1749</f>
        <v/>
      </c>
      <c r="F1749" s="69" t="str">
        <f>TEXT(ASTemp!F1749,Decimals)</f>
        <v/>
      </c>
      <c r="G1749" s="69" t="str">
        <f>TEXT(ASTemp!G1749,Decimals)</f>
        <v/>
      </c>
      <c r="H1749" s="69" t="str">
        <f>TEXT(ASTemp!H1749,Decimals)</f>
        <v/>
      </c>
      <c r="I1749" s="69" t="str">
        <f>TEXT(ASTemp!I1749,Decimals)</f>
        <v/>
      </c>
      <c r="J1749" s="69" t="str">
        <f>TEXT(ASTemp!J1749,Decimals)</f>
        <v/>
      </c>
      <c r="K1749" s="69" t="str">
        <f>TEXT(ASTemp!K1749,Decimals)</f>
        <v/>
      </c>
      <c r="L1749" s="69" t="str">
        <f>TEXT(ASTemp!L1749,Decimals)</f>
        <v/>
      </c>
      <c r="M1749" s="71" t="str">
        <f>TEXT(ASTemp!M1749,Percentages)</f>
        <v/>
      </c>
      <c r="N1749" s="72" t="str">
        <f>TEXT(ASTemp!N1749,Percentages)</f>
        <v/>
      </c>
    </row>
    <row r="1750" ht="14.25" customHeight="1">
      <c r="B1750" s="66" t="str">
        <f>ASTemp!B1750</f>
        <v/>
      </c>
      <c r="C1750" s="67" t="str">
        <f>ASTemp!C1750</f>
        <v/>
      </c>
      <c r="D1750" s="68" t="str">
        <f>ASTemp!D1750</f>
        <v/>
      </c>
      <c r="E1750" s="65" t="str">
        <f>ASTemp!E1750</f>
        <v/>
      </c>
      <c r="F1750" s="69" t="str">
        <f>TEXT(ASTemp!F1750,Decimals)</f>
        <v/>
      </c>
      <c r="G1750" s="69" t="str">
        <f>TEXT(ASTemp!G1750,Decimals)</f>
        <v/>
      </c>
      <c r="H1750" s="69" t="str">
        <f>TEXT(ASTemp!H1750,Decimals)</f>
        <v/>
      </c>
      <c r="I1750" s="69" t="str">
        <f>TEXT(ASTemp!I1750,Decimals)</f>
        <v/>
      </c>
      <c r="J1750" s="69" t="str">
        <f>TEXT(ASTemp!J1750,Decimals)</f>
        <v/>
      </c>
      <c r="K1750" s="69" t="str">
        <f>TEXT(ASTemp!K1750,Decimals)</f>
        <v/>
      </c>
      <c r="L1750" s="69" t="str">
        <f>TEXT(ASTemp!L1750,Decimals)</f>
        <v/>
      </c>
      <c r="M1750" s="71" t="str">
        <f>TEXT(ASTemp!M1750,Percentages)</f>
        <v/>
      </c>
      <c r="N1750" s="72" t="str">
        <f>TEXT(ASTemp!N1750,Percentages)</f>
        <v/>
      </c>
    </row>
    <row r="1751" ht="14.25" customHeight="1">
      <c r="B1751" s="66" t="str">
        <f>ASTemp!B1751</f>
        <v/>
      </c>
      <c r="C1751" s="67" t="str">
        <f>ASTemp!C1751</f>
        <v/>
      </c>
      <c r="D1751" s="68" t="str">
        <f>ASTemp!D1751</f>
        <v/>
      </c>
      <c r="E1751" s="65" t="str">
        <f>ASTemp!E1751</f>
        <v/>
      </c>
      <c r="F1751" s="69" t="str">
        <f>TEXT(ASTemp!F1751,Decimals)</f>
        <v/>
      </c>
      <c r="G1751" s="69" t="str">
        <f>TEXT(ASTemp!G1751,Decimals)</f>
        <v/>
      </c>
      <c r="H1751" s="69" t="str">
        <f>TEXT(ASTemp!H1751,Decimals)</f>
        <v/>
      </c>
      <c r="I1751" s="69" t="str">
        <f>TEXT(ASTemp!I1751,Decimals)</f>
        <v/>
      </c>
      <c r="J1751" s="69" t="str">
        <f>TEXT(ASTemp!J1751,Decimals)</f>
        <v/>
      </c>
      <c r="K1751" s="69" t="str">
        <f>TEXT(ASTemp!K1751,Decimals)</f>
        <v/>
      </c>
      <c r="L1751" s="69" t="str">
        <f>TEXT(ASTemp!L1751,Decimals)</f>
        <v/>
      </c>
      <c r="M1751" s="71" t="str">
        <f>TEXT(ASTemp!M1751,Percentages)</f>
        <v/>
      </c>
      <c r="N1751" s="72" t="str">
        <f>TEXT(ASTemp!N1751,Percentages)</f>
        <v/>
      </c>
    </row>
    <row r="1752" ht="14.25" customHeight="1">
      <c r="B1752" s="66" t="str">
        <f>ASTemp!B1752</f>
        <v/>
      </c>
      <c r="C1752" s="67" t="str">
        <f>ASTemp!C1752</f>
        <v/>
      </c>
      <c r="D1752" s="68" t="str">
        <f>ASTemp!D1752</f>
        <v/>
      </c>
      <c r="E1752" s="65" t="str">
        <f>ASTemp!E1752</f>
        <v/>
      </c>
      <c r="F1752" s="69" t="str">
        <f>TEXT(ASTemp!F1752,Decimals)</f>
        <v/>
      </c>
      <c r="G1752" s="69" t="str">
        <f>TEXT(ASTemp!G1752,Decimals)</f>
        <v/>
      </c>
      <c r="H1752" s="69" t="str">
        <f>TEXT(ASTemp!H1752,Decimals)</f>
        <v/>
      </c>
      <c r="I1752" s="69" t="str">
        <f>TEXT(ASTemp!I1752,Decimals)</f>
        <v/>
      </c>
      <c r="J1752" s="69" t="str">
        <f>TEXT(ASTemp!J1752,Decimals)</f>
        <v/>
      </c>
      <c r="K1752" s="69" t="str">
        <f>TEXT(ASTemp!K1752,Decimals)</f>
        <v/>
      </c>
      <c r="L1752" s="69" t="str">
        <f>TEXT(ASTemp!L1752,Decimals)</f>
        <v/>
      </c>
      <c r="M1752" s="71" t="str">
        <f>TEXT(ASTemp!M1752,Percentages)</f>
        <v/>
      </c>
      <c r="N1752" s="72" t="str">
        <f>TEXT(ASTemp!N1752,Percentages)</f>
        <v/>
      </c>
    </row>
    <row r="1753" ht="14.25" customHeight="1">
      <c r="B1753" s="66" t="str">
        <f>ASTemp!B1753</f>
        <v/>
      </c>
      <c r="C1753" s="67" t="str">
        <f>ASTemp!C1753</f>
        <v/>
      </c>
      <c r="D1753" s="68" t="str">
        <f>ASTemp!D1753</f>
        <v/>
      </c>
      <c r="E1753" s="65" t="str">
        <f>ASTemp!E1753</f>
        <v/>
      </c>
      <c r="F1753" s="69" t="str">
        <f>TEXT(ASTemp!F1753,Decimals)</f>
        <v/>
      </c>
      <c r="G1753" s="69" t="str">
        <f>TEXT(ASTemp!G1753,Decimals)</f>
        <v/>
      </c>
      <c r="H1753" s="69" t="str">
        <f>TEXT(ASTemp!H1753,Decimals)</f>
        <v/>
      </c>
      <c r="I1753" s="69" t="str">
        <f>TEXT(ASTemp!I1753,Decimals)</f>
        <v/>
      </c>
      <c r="J1753" s="69" t="str">
        <f>TEXT(ASTemp!J1753,Decimals)</f>
        <v/>
      </c>
      <c r="K1753" s="69" t="str">
        <f>TEXT(ASTemp!K1753,Decimals)</f>
        <v/>
      </c>
      <c r="L1753" s="69" t="str">
        <f>TEXT(ASTemp!L1753,Decimals)</f>
        <v/>
      </c>
      <c r="M1753" s="71" t="str">
        <f>TEXT(ASTemp!M1753,Percentages)</f>
        <v/>
      </c>
      <c r="N1753" s="72" t="str">
        <f>TEXT(ASTemp!N1753,Percentages)</f>
        <v/>
      </c>
    </row>
    <row r="1754" ht="14.25" customHeight="1">
      <c r="B1754" s="66" t="str">
        <f>ASTemp!B1754</f>
        <v/>
      </c>
      <c r="C1754" s="67" t="str">
        <f>ASTemp!C1754</f>
        <v/>
      </c>
      <c r="D1754" s="68" t="str">
        <f>ASTemp!D1754</f>
        <v/>
      </c>
      <c r="E1754" s="65" t="str">
        <f>ASTemp!E1754</f>
        <v/>
      </c>
      <c r="F1754" s="69" t="str">
        <f>TEXT(ASTemp!F1754,Decimals)</f>
        <v/>
      </c>
      <c r="G1754" s="69" t="str">
        <f>TEXT(ASTemp!G1754,Decimals)</f>
        <v/>
      </c>
      <c r="H1754" s="69" t="str">
        <f>TEXT(ASTemp!H1754,Decimals)</f>
        <v/>
      </c>
      <c r="I1754" s="69" t="str">
        <f>TEXT(ASTemp!I1754,Decimals)</f>
        <v/>
      </c>
      <c r="J1754" s="69" t="str">
        <f>TEXT(ASTemp!J1754,Decimals)</f>
        <v/>
      </c>
      <c r="K1754" s="69" t="str">
        <f>TEXT(ASTemp!K1754,Decimals)</f>
        <v/>
      </c>
      <c r="L1754" s="69" t="str">
        <f>TEXT(ASTemp!L1754,Decimals)</f>
        <v/>
      </c>
      <c r="M1754" s="71" t="str">
        <f>TEXT(ASTemp!M1754,Percentages)</f>
        <v/>
      </c>
      <c r="N1754" s="72" t="str">
        <f>TEXT(ASTemp!N1754,Percentages)</f>
        <v/>
      </c>
    </row>
    <row r="1755" ht="14.25" customHeight="1">
      <c r="B1755" s="66" t="str">
        <f>ASTemp!B1755</f>
        <v/>
      </c>
      <c r="C1755" s="67" t="str">
        <f>ASTemp!C1755</f>
        <v/>
      </c>
      <c r="D1755" s="68" t="str">
        <f>ASTemp!D1755</f>
        <v/>
      </c>
      <c r="E1755" s="65" t="str">
        <f>ASTemp!E1755</f>
        <v/>
      </c>
      <c r="F1755" s="69" t="str">
        <f>TEXT(ASTemp!F1755,Decimals)</f>
        <v/>
      </c>
      <c r="G1755" s="69" t="str">
        <f>TEXT(ASTemp!G1755,Decimals)</f>
        <v/>
      </c>
      <c r="H1755" s="69" t="str">
        <f>TEXT(ASTemp!H1755,Decimals)</f>
        <v/>
      </c>
      <c r="I1755" s="69" t="str">
        <f>TEXT(ASTemp!I1755,Decimals)</f>
        <v/>
      </c>
      <c r="J1755" s="69" t="str">
        <f>TEXT(ASTemp!J1755,Decimals)</f>
        <v/>
      </c>
      <c r="K1755" s="69" t="str">
        <f>TEXT(ASTemp!K1755,Decimals)</f>
        <v/>
      </c>
      <c r="L1755" s="69" t="str">
        <f>TEXT(ASTemp!L1755,Decimals)</f>
        <v/>
      </c>
      <c r="M1755" s="71" t="str">
        <f>TEXT(ASTemp!M1755,Percentages)</f>
        <v/>
      </c>
      <c r="N1755" s="72" t="str">
        <f>TEXT(ASTemp!N1755,Percentages)</f>
        <v/>
      </c>
    </row>
    <row r="1756" ht="14.25" customHeight="1">
      <c r="B1756" s="66" t="str">
        <f>ASTemp!B1756</f>
        <v/>
      </c>
      <c r="C1756" s="67" t="str">
        <f>ASTemp!C1756</f>
        <v/>
      </c>
      <c r="D1756" s="68" t="str">
        <f>ASTemp!D1756</f>
        <v/>
      </c>
      <c r="E1756" s="65" t="str">
        <f>ASTemp!E1756</f>
        <v/>
      </c>
      <c r="F1756" s="69" t="str">
        <f>TEXT(ASTemp!F1756,Decimals)</f>
        <v/>
      </c>
      <c r="G1756" s="69" t="str">
        <f>TEXT(ASTemp!G1756,Decimals)</f>
        <v/>
      </c>
      <c r="H1756" s="69" t="str">
        <f>TEXT(ASTemp!H1756,Decimals)</f>
        <v/>
      </c>
      <c r="I1756" s="69" t="str">
        <f>TEXT(ASTemp!I1756,Decimals)</f>
        <v/>
      </c>
      <c r="J1756" s="69" t="str">
        <f>TEXT(ASTemp!J1756,Decimals)</f>
        <v/>
      </c>
      <c r="K1756" s="69" t="str">
        <f>TEXT(ASTemp!K1756,Decimals)</f>
        <v/>
      </c>
      <c r="L1756" s="69" t="str">
        <f>TEXT(ASTemp!L1756,Decimals)</f>
        <v/>
      </c>
      <c r="M1756" s="71" t="str">
        <f>TEXT(ASTemp!M1756,Percentages)</f>
        <v/>
      </c>
      <c r="N1756" s="72" t="str">
        <f>TEXT(ASTemp!N1756,Percentages)</f>
        <v/>
      </c>
    </row>
    <row r="1757" ht="14.25" customHeight="1">
      <c r="B1757" s="66" t="str">
        <f>ASTemp!B1757</f>
        <v/>
      </c>
      <c r="C1757" s="67" t="str">
        <f>ASTemp!C1757</f>
        <v/>
      </c>
      <c r="D1757" s="68" t="str">
        <f>ASTemp!D1757</f>
        <v/>
      </c>
      <c r="E1757" s="65" t="str">
        <f>ASTemp!E1757</f>
        <v/>
      </c>
      <c r="F1757" s="69" t="str">
        <f>TEXT(ASTemp!F1757,Decimals)</f>
        <v/>
      </c>
      <c r="G1757" s="69" t="str">
        <f>TEXT(ASTemp!G1757,Decimals)</f>
        <v/>
      </c>
      <c r="H1757" s="69" t="str">
        <f>TEXT(ASTemp!H1757,Decimals)</f>
        <v/>
      </c>
      <c r="I1757" s="69" t="str">
        <f>TEXT(ASTemp!I1757,Decimals)</f>
        <v/>
      </c>
      <c r="J1757" s="69" t="str">
        <f>TEXT(ASTemp!J1757,Decimals)</f>
        <v/>
      </c>
      <c r="K1757" s="69" t="str">
        <f>TEXT(ASTemp!K1757,Decimals)</f>
        <v/>
      </c>
      <c r="L1757" s="69" t="str">
        <f>TEXT(ASTemp!L1757,Decimals)</f>
        <v/>
      </c>
      <c r="M1757" s="71" t="str">
        <f>TEXT(ASTemp!M1757,Percentages)</f>
        <v/>
      </c>
      <c r="N1757" s="72" t="str">
        <f>TEXT(ASTemp!N1757,Percentages)</f>
        <v/>
      </c>
    </row>
    <row r="1758" ht="14.25" customHeight="1">
      <c r="B1758" s="66" t="str">
        <f>ASTemp!B1758</f>
        <v/>
      </c>
      <c r="C1758" s="67" t="str">
        <f>ASTemp!C1758</f>
        <v/>
      </c>
      <c r="D1758" s="68" t="str">
        <f>ASTemp!D1758</f>
        <v/>
      </c>
      <c r="E1758" s="65" t="str">
        <f>ASTemp!E1758</f>
        <v/>
      </c>
      <c r="F1758" s="69" t="str">
        <f>TEXT(ASTemp!F1758,Decimals)</f>
        <v/>
      </c>
      <c r="G1758" s="69" t="str">
        <f>TEXT(ASTemp!G1758,Decimals)</f>
        <v/>
      </c>
      <c r="H1758" s="69" t="str">
        <f>TEXT(ASTemp!H1758,Decimals)</f>
        <v/>
      </c>
      <c r="I1758" s="69" t="str">
        <f>TEXT(ASTemp!I1758,Decimals)</f>
        <v/>
      </c>
      <c r="J1758" s="69" t="str">
        <f>TEXT(ASTemp!J1758,Decimals)</f>
        <v/>
      </c>
      <c r="K1758" s="69" t="str">
        <f>TEXT(ASTemp!K1758,Decimals)</f>
        <v/>
      </c>
      <c r="L1758" s="69" t="str">
        <f>TEXT(ASTemp!L1758,Decimals)</f>
        <v/>
      </c>
      <c r="M1758" s="71" t="str">
        <f>TEXT(ASTemp!M1758,Percentages)</f>
        <v/>
      </c>
      <c r="N1758" s="72" t="str">
        <f>TEXT(ASTemp!N1758,Percentages)</f>
        <v/>
      </c>
    </row>
    <row r="1759" ht="14.25" customHeight="1">
      <c r="B1759" s="66" t="str">
        <f>ASTemp!B1759</f>
        <v/>
      </c>
      <c r="C1759" s="67" t="str">
        <f>ASTemp!C1759</f>
        <v/>
      </c>
      <c r="D1759" s="68" t="str">
        <f>ASTemp!D1759</f>
        <v/>
      </c>
      <c r="E1759" s="65" t="str">
        <f>ASTemp!E1759</f>
        <v/>
      </c>
      <c r="F1759" s="69" t="str">
        <f>TEXT(ASTemp!F1759,Decimals)</f>
        <v/>
      </c>
      <c r="G1759" s="69" t="str">
        <f>TEXT(ASTemp!G1759,Decimals)</f>
        <v/>
      </c>
      <c r="H1759" s="69" t="str">
        <f>TEXT(ASTemp!H1759,Decimals)</f>
        <v/>
      </c>
      <c r="I1759" s="69" t="str">
        <f>TEXT(ASTemp!I1759,Decimals)</f>
        <v/>
      </c>
      <c r="J1759" s="69" t="str">
        <f>TEXT(ASTemp!J1759,Decimals)</f>
        <v/>
      </c>
      <c r="K1759" s="69" t="str">
        <f>TEXT(ASTemp!K1759,Decimals)</f>
        <v/>
      </c>
      <c r="L1759" s="69" t="str">
        <f>TEXT(ASTemp!L1759,Decimals)</f>
        <v/>
      </c>
      <c r="M1759" s="71" t="str">
        <f>TEXT(ASTemp!M1759,Percentages)</f>
        <v/>
      </c>
      <c r="N1759" s="72" t="str">
        <f>TEXT(ASTemp!N1759,Percentages)</f>
        <v/>
      </c>
    </row>
    <row r="1760" ht="14.25" customHeight="1">
      <c r="B1760" s="66" t="str">
        <f>ASTemp!B1760</f>
        <v/>
      </c>
      <c r="C1760" s="67" t="str">
        <f>ASTemp!C1760</f>
        <v/>
      </c>
      <c r="D1760" s="68" t="str">
        <f>ASTemp!D1760</f>
        <v/>
      </c>
      <c r="E1760" s="65" t="str">
        <f>ASTemp!E1760</f>
        <v/>
      </c>
      <c r="F1760" s="69" t="str">
        <f>TEXT(ASTemp!F1760,Decimals)</f>
        <v/>
      </c>
      <c r="G1760" s="69" t="str">
        <f>TEXT(ASTemp!G1760,Decimals)</f>
        <v/>
      </c>
      <c r="H1760" s="69" t="str">
        <f>TEXT(ASTemp!H1760,Decimals)</f>
        <v/>
      </c>
      <c r="I1760" s="69" t="str">
        <f>TEXT(ASTemp!I1760,Decimals)</f>
        <v/>
      </c>
      <c r="J1760" s="69" t="str">
        <f>TEXT(ASTemp!J1760,Decimals)</f>
        <v/>
      </c>
      <c r="K1760" s="69" t="str">
        <f>TEXT(ASTemp!K1760,Decimals)</f>
        <v/>
      </c>
      <c r="L1760" s="69" t="str">
        <f>TEXT(ASTemp!L1760,Decimals)</f>
        <v/>
      </c>
      <c r="M1760" s="71" t="str">
        <f>TEXT(ASTemp!M1760,Percentages)</f>
        <v/>
      </c>
      <c r="N1760" s="72" t="str">
        <f>TEXT(ASTemp!N1760,Percentages)</f>
        <v/>
      </c>
    </row>
    <row r="1761" ht="14.25" customHeight="1">
      <c r="B1761" s="66" t="str">
        <f>ASTemp!B1761</f>
        <v/>
      </c>
      <c r="C1761" s="67" t="str">
        <f>ASTemp!C1761</f>
        <v/>
      </c>
      <c r="D1761" s="68" t="str">
        <f>ASTemp!D1761</f>
        <v/>
      </c>
      <c r="E1761" s="65" t="str">
        <f>ASTemp!E1761</f>
        <v/>
      </c>
      <c r="F1761" s="69" t="str">
        <f>TEXT(ASTemp!F1761,Decimals)</f>
        <v/>
      </c>
      <c r="G1761" s="69" t="str">
        <f>TEXT(ASTemp!G1761,Decimals)</f>
        <v/>
      </c>
      <c r="H1761" s="69" t="str">
        <f>TEXT(ASTemp!H1761,Decimals)</f>
        <v/>
      </c>
      <c r="I1761" s="69" t="str">
        <f>TEXT(ASTemp!I1761,Decimals)</f>
        <v/>
      </c>
      <c r="J1761" s="69" t="str">
        <f>TEXT(ASTemp!J1761,Decimals)</f>
        <v/>
      </c>
      <c r="K1761" s="69" t="str">
        <f>TEXT(ASTemp!K1761,Decimals)</f>
        <v/>
      </c>
      <c r="L1761" s="69" t="str">
        <f>TEXT(ASTemp!L1761,Decimals)</f>
        <v/>
      </c>
      <c r="M1761" s="71" t="str">
        <f>TEXT(ASTemp!M1761,Percentages)</f>
        <v/>
      </c>
      <c r="N1761" s="72" t="str">
        <f>TEXT(ASTemp!N1761,Percentages)</f>
        <v/>
      </c>
    </row>
    <row r="1762" ht="14.25" customHeight="1">
      <c r="B1762" s="66" t="str">
        <f>ASTemp!B1762</f>
        <v/>
      </c>
      <c r="C1762" s="67" t="str">
        <f>ASTemp!C1762</f>
        <v/>
      </c>
      <c r="D1762" s="68" t="str">
        <f>ASTemp!D1762</f>
        <v/>
      </c>
      <c r="E1762" s="65" t="str">
        <f>ASTemp!E1762</f>
        <v/>
      </c>
      <c r="F1762" s="69" t="str">
        <f>TEXT(ASTemp!F1762,Decimals)</f>
        <v/>
      </c>
      <c r="G1762" s="69" t="str">
        <f>TEXT(ASTemp!G1762,Decimals)</f>
        <v/>
      </c>
      <c r="H1762" s="69" t="str">
        <f>TEXT(ASTemp!H1762,Decimals)</f>
        <v/>
      </c>
      <c r="I1762" s="69" t="str">
        <f>TEXT(ASTemp!I1762,Decimals)</f>
        <v/>
      </c>
      <c r="J1762" s="69" t="str">
        <f>TEXT(ASTemp!J1762,Decimals)</f>
        <v/>
      </c>
      <c r="K1762" s="69" t="str">
        <f>TEXT(ASTemp!K1762,Decimals)</f>
        <v/>
      </c>
      <c r="L1762" s="69" t="str">
        <f>TEXT(ASTemp!L1762,Decimals)</f>
        <v/>
      </c>
      <c r="M1762" s="71" t="str">
        <f>TEXT(ASTemp!M1762,Percentages)</f>
        <v/>
      </c>
      <c r="N1762" s="72" t="str">
        <f>TEXT(ASTemp!N1762,Percentages)</f>
        <v/>
      </c>
    </row>
    <row r="1763" ht="14.25" customHeight="1">
      <c r="B1763" s="66" t="str">
        <f>ASTemp!B1763</f>
        <v/>
      </c>
      <c r="C1763" s="67" t="str">
        <f>ASTemp!C1763</f>
        <v/>
      </c>
      <c r="D1763" s="68" t="str">
        <f>ASTemp!D1763</f>
        <v/>
      </c>
      <c r="E1763" s="65" t="str">
        <f>ASTemp!E1763</f>
        <v/>
      </c>
      <c r="F1763" s="69" t="str">
        <f>TEXT(ASTemp!F1763,Decimals)</f>
        <v/>
      </c>
      <c r="G1763" s="69" t="str">
        <f>TEXT(ASTemp!G1763,Decimals)</f>
        <v/>
      </c>
      <c r="H1763" s="69" t="str">
        <f>TEXT(ASTemp!H1763,Decimals)</f>
        <v/>
      </c>
      <c r="I1763" s="69" t="str">
        <f>TEXT(ASTemp!I1763,Decimals)</f>
        <v/>
      </c>
      <c r="J1763" s="69" t="str">
        <f>TEXT(ASTemp!J1763,Decimals)</f>
        <v/>
      </c>
      <c r="K1763" s="69" t="str">
        <f>TEXT(ASTemp!K1763,Decimals)</f>
        <v/>
      </c>
      <c r="L1763" s="69" t="str">
        <f>TEXT(ASTemp!L1763,Decimals)</f>
        <v/>
      </c>
      <c r="M1763" s="71" t="str">
        <f>TEXT(ASTemp!M1763,Percentages)</f>
        <v/>
      </c>
      <c r="N1763" s="72" t="str">
        <f>TEXT(ASTemp!N1763,Percentages)</f>
        <v/>
      </c>
    </row>
    <row r="1764" ht="14.25" customHeight="1">
      <c r="B1764" s="66" t="str">
        <f>ASTemp!B1764</f>
        <v/>
      </c>
      <c r="C1764" s="67" t="str">
        <f>ASTemp!C1764</f>
        <v/>
      </c>
      <c r="D1764" s="68" t="str">
        <f>ASTemp!D1764</f>
        <v/>
      </c>
      <c r="E1764" s="65" t="str">
        <f>ASTemp!E1764</f>
        <v/>
      </c>
      <c r="F1764" s="69" t="str">
        <f>TEXT(ASTemp!F1764,Decimals)</f>
        <v/>
      </c>
      <c r="G1764" s="69" t="str">
        <f>TEXT(ASTemp!G1764,Decimals)</f>
        <v/>
      </c>
      <c r="H1764" s="69" t="str">
        <f>TEXT(ASTemp!H1764,Decimals)</f>
        <v/>
      </c>
      <c r="I1764" s="69" t="str">
        <f>TEXT(ASTemp!I1764,Decimals)</f>
        <v/>
      </c>
      <c r="J1764" s="69" t="str">
        <f>TEXT(ASTemp!J1764,Decimals)</f>
        <v/>
      </c>
      <c r="K1764" s="69" t="str">
        <f>TEXT(ASTemp!K1764,Decimals)</f>
        <v/>
      </c>
      <c r="L1764" s="69" t="str">
        <f>TEXT(ASTemp!L1764,Decimals)</f>
        <v/>
      </c>
      <c r="M1764" s="71" t="str">
        <f>TEXT(ASTemp!M1764,Percentages)</f>
        <v/>
      </c>
      <c r="N1764" s="72" t="str">
        <f>TEXT(ASTemp!N1764,Percentages)</f>
        <v/>
      </c>
    </row>
    <row r="1765" ht="14.25" customHeight="1">
      <c r="B1765" s="66" t="str">
        <f>ASTemp!B1765</f>
        <v/>
      </c>
      <c r="C1765" s="67" t="str">
        <f>ASTemp!C1765</f>
        <v/>
      </c>
      <c r="D1765" s="68" t="str">
        <f>ASTemp!D1765</f>
        <v/>
      </c>
      <c r="E1765" s="65" t="str">
        <f>ASTemp!E1765</f>
        <v/>
      </c>
      <c r="F1765" s="69" t="str">
        <f>TEXT(ASTemp!F1765,Decimals)</f>
        <v/>
      </c>
      <c r="G1765" s="69" t="str">
        <f>TEXT(ASTemp!G1765,Decimals)</f>
        <v/>
      </c>
      <c r="H1765" s="69" t="str">
        <f>TEXT(ASTemp!H1765,Decimals)</f>
        <v/>
      </c>
      <c r="I1765" s="69" t="str">
        <f>TEXT(ASTemp!I1765,Decimals)</f>
        <v/>
      </c>
      <c r="J1765" s="69" t="str">
        <f>TEXT(ASTemp!J1765,Decimals)</f>
        <v/>
      </c>
      <c r="K1765" s="69" t="str">
        <f>TEXT(ASTemp!K1765,Decimals)</f>
        <v/>
      </c>
      <c r="L1765" s="69" t="str">
        <f>TEXT(ASTemp!L1765,Decimals)</f>
        <v/>
      </c>
      <c r="M1765" s="71" t="str">
        <f>TEXT(ASTemp!M1765,Percentages)</f>
        <v/>
      </c>
      <c r="N1765" s="72" t="str">
        <f>TEXT(ASTemp!N1765,Percentages)</f>
        <v/>
      </c>
    </row>
    <row r="1766" ht="14.25" customHeight="1">
      <c r="B1766" s="66" t="str">
        <f>ASTemp!B1766</f>
        <v/>
      </c>
      <c r="C1766" s="67" t="str">
        <f>ASTemp!C1766</f>
        <v/>
      </c>
      <c r="D1766" s="68" t="str">
        <f>ASTemp!D1766</f>
        <v/>
      </c>
      <c r="E1766" s="65" t="str">
        <f>ASTemp!E1766</f>
        <v/>
      </c>
      <c r="F1766" s="69" t="str">
        <f>TEXT(ASTemp!F1766,Decimals)</f>
        <v/>
      </c>
      <c r="G1766" s="69" t="str">
        <f>TEXT(ASTemp!G1766,Decimals)</f>
        <v/>
      </c>
      <c r="H1766" s="69" t="str">
        <f>TEXT(ASTemp!H1766,Decimals)</f>
        <v/>
      </c>
      <c r="I1766" s="69" t="str">
        <f>TEXT(ASTemp!I1766,Decimals)</f>
        <v/>
      </c>
      <c r="J1766" s="69" t="str">
        <f>TEXT(ASTemp!J1766,Decimals)</f>
        <v/>
      </c>
      <c r="K1766" s="69" t="str">
        <f>TEXT(ASTemp!K1766,Decimals)</f>
        <v/>
      </c>
      <c r="L1766" s="69" t="str">
        <f>TEXT(ASTemp!L1766,Decimals)</f>
        <v/>
      </c>
      <c r="M1766" s="71" t="str">
        <f>TEXT(ASTemp!M1766,Percentages)</f>
        <v/>
      </c>
      <c r="N1766" s="72" t="str">
        <f>TEXT(ASTemp!N1766,Percentages)</f>
        <v/>
      </c>
    </row>
    <row r="1767" ht="14.25" customHeight="1">
      <c r="B1767" s="66" t="str">
        <f>ASTemp!B1767</f>
        <v/>
      </c>
      <c r="C1767" s="67" t="str">
        <f>ASTemp!C1767</f>
        <v/>
      </c>
      <c r="D1767" s="68" t="str">
        <f>ASTemp!D1767</f>
        <v/>
      </c>
      <c r="E1767" s="65" t="str">
        <f>ASTemp!E1767</f>
        <v/>
      </c>
      <c r="F1767" s="69" t="str">
        <f>TEXT(ASTemp!F1767,Decimals)</f>
        <v/>
      </c>
      <c r="G1767" s="69" t="str">
        <f>TEXT(ASTemp!G1767,Decimals)</f>
        <v/>
      </c>
      <c r="H1767" s="69" t="str">
        <f>TEXT(ASTemp!H1767,Decimals)</f>
        <v/>
      </c>
      <c r="I1767" s="69" t="str">
        <f>TEXT(ASTemp!I1767,Decimals)</f>
        <v/>
      </c>
      <c r="J1767" s="69" t="str">
        <f>TEXT(ASTemp!J1767,Decimals)</f>
        <v/>
      </c>
      <c r="K1767" s="69" t="str">
        <f>TEXT(ASTemp!K1767,Decimals)</f>
        <v/>
      </c>
      <c r="L1767" s="69" t="str">
        <f>TEXT(ASTemp!L1767,Decimals)</f>
        <v/>
      </c>
      <c r="M1767" s="71" t="str">
        <f>TEXT(ASTemp!M1767,Percentages)</f>
        <v/>
      </c>
      <c r="N1767" s="72" t="str">
        <f>TEXT(ASTemp!N1767,Percentages)</f>
        <v/>
      </c>
    </row>
    <row r="1768" ht="14.25" customHeight="1">
      <c r="B1768" s="66" t="str">
        <f>ASTemp!B1768</f>
        <v/>
      </c>
      <c r="C1768" s="67" t="str">
        <f>ASTemp!C1768</f>
        <v/>
      </c>
      <c r="D1768" s="68" t="str">
        <f>ASTemp!D1768</f>
        <v/>
      </c>
      <c r="E1768" s="65" t="str">
        <f>ASTemp!E1768</f>
        <v/>
      </c>
      <c r="F1768" s="69" t="str">
        <f>TEXT(ASTemp!F1768,Decimals)</f>
        <v/>
      </c>
      <c r="G1768" s="69" t="str">
        <f>TEXT(ASTemp!G1768,Decimals)</f>
        <v/>
      </c>
      <c r="H1768" s="69" t="str">
        <f>TEXT(ASTemp!H1768,Decimals)</f>
        <v/>
      </c>
      <c r="I1768" s="69" t="str">
        <f>TEXT(ASTemp!I1768,Decimals)</f>
        <v/>
      </c>
      <c r="J1768" s="69" t="str">
        <f>TEXT(ASTemp!J1768,Decimals)</f>
        <v/>
      </c>
      <c r="K1768" s="69" t="str">
        <f>TEXT(ASTemp!K1768,Decimals)</f>
        <v/>
      </c>
      <c r="L1768" s="69" t="str">
        <f>TEXT(ASTemp!L1768,Decimals)</f>
        <v/>
      </c>
      <c r="M1768" s="71" t="str">
        <f>TEXT(ASTemp!M1768,Percentages)</f>
        <v/>
      </c>
      <c r="N1768" s="72" t="str">
        <f>TEXT(ASTemp!N1768,Percentages)</f>
        <v/>
      </c>
    </row>
    <row r="1769" ht="14.25" customHeight="1">
      <c r="B1769" s="66" t="str">
        <f>ASTemp!B1769</f>
        <v/>
      </c>
      <c r="C1769" s="67" t="str">
        <f>ASTemp!C1769</f>
        <v/>
      </c>
      <c r="D1769" s="68" t="str">
        <f>ASTemp!D1769</f>
        <v/>
      </c>
      <c r="E1769" s="65" t="str">
        <f>ASTemp!E1769</f>
        <v/>
      </c>
      <c r="F1769" s="69" t="str">
        <f>TEXT(ASTemp!F1769,Decimals)</f>
        <v/>
      </c>
      <c r="G1769" s="69" t="str">
        <f>TEXT(ASTemp!G1769,Decimals)</f>
        <v/>
      </c>
      <c r="H1769" s="69" t="str">
        <f>TEXT(ASTemp!H1769,Decimals)</f>
        <v/>
      </c>
      <c r="I1769" s="69" t="str">
        <f>TEXT(ASTemp!I1769,Decimals)</f>
        <v/>
      </c>
      <c r="J1769" s="69" t="str">
        <f>TEXT(ASTemp!J1769,Decimals)</f>
        <v/>
      </c>
      <c r="K1769" s="69" t="str">
        <f>TEXT(ASTemp!K1769,Decimals)</f>
        <v/>
      </c>
      <c r="L1769" s="69" t="str">
        <f>TEXT(ASTemp!L1769,Decimals)</f>
        <v/>
      </c>
      <c r="M1769" s="71" t="str">
        <f>TEXT(ASTemp!M1769,Percentages)</f>
        <v/>
      </c>
      <c r="N1769" s="72" t="str">
        <f>TEXT(ASTemp!N1769,Percentages)</f>
        <v/>
      </c>
    </row>
    <row r="1770" ht="14.25" customHeight="1">
      <c r="B1770" s="66" t="str">
        <f>ASTemp!B1770</f>
        <v/>
      </c>
      <c r="C1770" s="67" t="str">
        <f>ASTemp!C1770</f>
        <v/>
      </c>
      <c r="D1770" s="68" t="str">
        <f>ASTemp!D1770</f>
        <v/>
      </c>
      <c r="E1770" s="65" t="str">
        <f>ASTemp!E1770</f>
        <v/>
      </c>
      <c r="F1770" s="69" t="str">
        <f>TEXT(ASTemp!F1770,Decimals)</f>
        <v/>
      </c>
      <c r="G1770" s="69" t="str">
        <f>TEXT(ASTemp!G1770,Decimals)</f>
        <v/>
      </c>
      <c r="H1770" s="69" t="str">
        <f>TEXT(ASTemp!H1770,Decimals)</f>
        <v/>
      </c>
      <c r="I1770" s="69" t="str">
        <f>TEXT(ASTemp!I1770,Decimals)</f>
        <v/>
      </c>
      <c r="J1770" s="69" t="str">
        <f>TEXT(ASTemp!J1770,Decimals)</f>
        <v/>
      </c>
      <c r="K1770" s="69" t="str">
        <f>TEXT(ASTemp!K1770,Decimals)</f>
        <v/>
      </c>
      <c r="L1770" s="69" t="str">
        <f>TEXT(ASTemp!L1770,Decimals)</f>
        <v/>
      </c>
      <c r="M1770" s="71" t="str">
        <f>TEXT(ASTemp!M1770,Percentages)</f>
        <v/>
      </c>
      <c r="N1770" s="72" t="str">
        <f>TEXT(ASTemp!N1770,Percentages)</f>
        <v/>
      </c>
    </row>
    <row r="1771" ht="14.25" customHeight="1">
      <c r="B1771" s="66" t="str">
        <f>ASTemp!B1771</f>
        <v/>
      </c>
      <c r="C1771" s="67" t="str">
        <f>ASTemp!C1771</f>
        <v/>
      </c>
      <c r="D1771" s="68" t="str">
        <f>ASTemp!D1771</f>
        <v/>
      </c>
      <c r="E1771" s="65" t="str">
        <f>ASTemp!E1771</f>
        <v/>
      </c>
      <c r="F1771" s="69" t="str">
        <f>TEXT(ASTemp!F1771,Decimals)</f>
        <v/>
      </c>
      <c r="G1771" s="69" t="str">
        <f>TEXT(ASTemp!G1771,Decimals)</f>
        <v/>
      </c>
      <c r="H1771" s="69" t="str">
        <f>TEXT(ASTemp!H1771,Decimals)</f>
        <v/>
      </c>
      <c r="I1771" s="69" t="str">
        <f>TEXT(ASTemp!I1771,Decimals)</f>
        <v/>
      </c>
      <c r="J1771" s="69" t="str">
        <f>TEXT(ASTemp!J1771,Decimals)</f>
        <v/>
      </c>
      <c r="K1771" s="69" t="str">
        <f>TEXT(ASTemp!K1771,Decimals)</f>
        <v/>
      </c>
      <c r="L1771" s="69" t="str">
        <f>TEXT(ASTemp!L1771,Decimals)</f>
        <v/>
      </c>
      <c r="M1771" s="71" t="str">
        <f>TEXT(ASTemp!M1771,Percentages)</f>
        <v/>
      </c>
      <c r="N1771" s="72" t="str">
        <f>TEXT(ASTemp!N1771,Percentages)</f>
        <v/>
      </c>
    </row>
    <row r="1772" ht="14.25" customHeight="1">
      <c r="B1772" s="66" t="str">
        <f>ASTemp!B1772</f>
        <v/>
      </c>
      <c r="C1772" s="67" t="str">
        <f>ASTemp!C1772</f>
        <v/>
      </c>
      <c r="D1772" s="68" t="str">
        <f>ASTemp!D1772</f>
        <v/>
      </c>
      <c r="E1772" s="65" t="str">
        <f>ASTemp!E1772</f>
        <v/>
      </c>
      <c r="F1772" s="69" t="str">
        <f>TEXT(ASTemp!F1772,Decimals)</f>
        <v/>
      </c>
      <c r="G1772" s="69" t="str">
        <f>TEXT(ASTemp!G1772,Decimals)</f>
        <v/>
      </c>
      <c r="H1772" s="69" t="str">
        <f>TEXT(ASTemp!H1772,Decimals)</f>
        <v/>
      </c>
      <c r="I1772" s="69" t="str">
        <f>TEXT(ASTemp!I1772,Decimals)</f>
        <v/>
      </c>
      <c r="J1772" s="69" t="str">
        <f>TEXT(ASTemp!J1772,Decimals)</f>
        <v/>
      </c>
      <c r="K1772" s="69" t="str">
        <f>TEXT(ASTemp!K1772,Decimals)</f>
        <v/>
      </c>
      <c r="L1772" s="69" t="str">
        <f>TEXT(ASTemp!L1772,Decimals)</f>
        <v/>
      </c>
      <c r="M1772" s="71" t="str">
        <f>TEXT(ASTemp!M1772,Percentages)</f>
        <v/>
      </c>
      <c r="N1772" s="72" t="str">
        <f>TEXT(ASTemp!N1772,Percentages)</f>
        <v/>
      </c>
    </row>
    <row r="1773" ht="14.25" customHeight="1">
      <c r="B1773" s="66" t="str">
        <f>ASTemp!B1773</f>
        <v/>
      </c>
      <c r="C1773" s="67" t="str">
        <f>ASTemp!C1773</f>
        <v/>
      </c>
      <c r="D1773" s="68" t="str">
        <f>ASTemp!D1773</f>
        <v/>
      </c>
      <c r="E1773" s="65" t="str">
        <f>ASTemp!E1773</f>
        <v/>
      </c>
      <c r="F1773" s="69" t="str">
        <f>TEXT(ASTemp!F1773,Decimals)</f>
        <v/>
      </c>
      <c r="G1773" s="69" t="str">
        <f>TEXT(ASTemp!G1773,Decimals)</f>
        <v/>
      </c>
      <c r="H1773" s="69" t="str">
        <f>TEXT(ASTemp!H1773,Decimals)</f>
        <v/>
      </c>
      <c r="I1773" s="69" t="str">
        <f>TEXT(ASTemp!I1773,Decimals)</f>
        <v/>
      </c>
      <c r="J1773" s="69" t="str">
        <f>TEXT(ASTemp!J1773,Decimals)</f>
        <v/>
      </c>
      <c r="K1773" s="69" t="str">
        <f>TEXT(ASTemp!K1773,Decimals)</f>
        <v/>
      </c>
      <c r="L1773" s="69" t="str">
        <f>TEXT(ASTemp!L1773,Decimals)</f>
        <v/>
      </c>
      <c r="M1773" s="71" t="str">
        <f>TEXT(ASTemp!M1773,Percentages)</f>
        <v/>
      </c>
      <c r="N1773" s="72" t="str">
        <f>TEXT(ASTemp!N1773,Percentages)</f>
        <v/>
      </c>
    </row>
    <row r="1774" ht="14.25" customHeight="1">
      <c r="B1774" s="66" t="str">
        <f>ASTemp!B1774</f>
        <v/>
      </c>
      <c r="C1774" s="67" t="str">
        <f>ASTemp!C1774</f>
        <v/>
      </c>
      <c r="D1774" s="68" t="str">
        <f>ASTemp!D1774</f>
        <v/>
      </c>
      <c r="E1774" s="65" t="str">
        <f>ASTemp!E1774</f>
        <v/>
      </c>
      <c r="F1774" s="69" t="str">
        <f>TEXT(ASTemp!F1774,Decimals)</f>
        <v/>
      </c>
      <c r="G1774" s="69" t="str">
        <f>TEXT(ASTemp!G1774,Decimals)</f>
        <v/>
      </c>
      <c r="H1774" s="69" t="str">
        <f>TEXT(ASTemp!H1774,Decimals)</f>
        <v/>
      </c>
      <c r="I1774" s="69" t="str">
        <f>TEXT(ASTemp!I1774,Decimals)</f>
        <v/>
      </c>
      <c r="J1774" s="69" t="str">
        <f>TEXT(ASTemp!J1774,Decimals)</f>
        <v/>
      </c>
      <c r="K1774" s="69" t="str">
        <f>TEXT(ASTemp!K1774,Decimals)</f>
        <v/>
      </c>
      <c r="L1774" s="69" t="str">
        <f>TEXT(ASTemp!L1774,Decimals)</f>
        <v/>
      </c>
      <c r="M1774" s="71" t="str">
        <f>TEXT(ASTemp!M1774,Percentages)</f>
        <v/>
      </c>
      <c r="N1774" s="72" t="str">
        <f>TEXT(ASTemp!N1774,Percentages)</f>
        <v/>
      </c>
    </row>
    <row r="1775" ht="14.25" customHeight="1">
      <c r="B1775" s="66" t="str">
        <f>ASTemp!B1775</f>
        <v/>
      </c>
      <c r="C1775" s="67" t="str">
        <f>ASTemp!C1775</f>
        <v/>
      </c>
      <c r="D1775" s="68" t="str">
        <f>ASTemp!D1775</f>
        <v/>
      </c>
      <c r="E1775" s="65" t="str">
        <f>ASTemp!E1775</f>
        <v/>
      </c>
      <c r="F1775" s="69" t="str">
        <f>TEXT(ASTemp!F1775,Decimals)</f>
        <v/>
      </c>
      <c r="G1775" s="69" t="str">
        <f>TEXT(ASTemp!G1775,Decimals)</f>
        <v/>
      </c>
      <c r="H1775" s="69" t="str">
        <f>TEXT(ASTemp!H1775,Decimals)</f>
        <v/>
      </c>
      <c r="I1775" s="69" t="str">
        <f>TEXT(ASTemp!I1775,Decimals)</f>
        <v/>
      </c>
      <c r="J1775" s="69" t="str">
        <f>TEXT(ASTemp!J1775,Decimals)</f>
        <v/>
      </c>
      <c r="K1775" s="69" t="str">
        <f>TEXT(ASTemp!K1775,Decimals)</f>
        <v/>
      </c>
      <c r="L1775" s="69" t="str">
        <f>TEXT(ASTemp!L1775,Decimals)</f>
        <v/>
      </c>
      <c r="M1775" s="71" t="str">
        <f>TEXT(ASTemp!M1775,Percentages)</f>
        <v/>
      </c>
      <c r="N1775" s="72" t="str">
        <f>TEXT(ASTemp!N1775,Percentages)</f>
        <v/>
      </c>
    </row>
    <row r="1776" ht="14.25" customHeight="1">
      <c r="B1776" s="66" t="str">
        <f>ASTemp!B1776</f>
        <v/>
      </c>
      <c r="C1776" s="67" t="str">
        <f>ASTemp!C1776</f>
        <v/>
      </c>
      <c r="D1776" s="68" t="str">
        <f>ASTemp!D1776</f>
        <v/>
      </c>
      <c r="E1776" s="65" t="str">
        <f>ASTemp!E1776</f>
        <v/>
      </c>
      <c r="F1776" s="69" t="str">
        <f>TEXT(ASTemp!F1776,Decimals)</f>
        <v/>
      </c>
      <c r="G1776" s="69" t="str">
        <f>TEXT(ASTemp!G1776,Decimals)</f>
        <v/>
      </c>
      <c r="H1776" s="69" t="str">
        <f>TEXT(ASTemp!H1776,Decimals)</f>
        <v/>
      </c>
      <c r="I1776" s="69" t="str">
        <f>TEXT(ASTemp!I1776,Decimals)</f>
        <v/>
      </c>
      <c r="J1776" s="69" t="str">
        <f>TEXT(ASTemp!J1776,Decimals)</f>
        <v/>
      </c>
      <c r="K1776" s="69" t="str">
        <f>TEXT(ASTemp!K1776,Decimals)</f>
        <v/>
      </c>
      <c r="L1776" s="69" t="str">
        <f>TEXT(ASTemp!L1776,Decimals)</f>
        <v/>
      </c>
      <c r="M1776" s="71" t="str">
        <f>TEXT(ASTemp!M1776,Percentages)</f>
        <v/>
      </c>
      <c r="N1776" s="72" t="str">
        <f>TEXT(ASTemp!N1776,Percentages)</f>
        <v/>
      </c>
    </row>
    <row r="1777" ht="14.25" customHeight="1">
      <c r="B1777" s="66" t="str">
        <f>ASTemp!B1777</f>
        <v/>
      </c>
      <c r="C1777" s="67" t="str">
        <f>ASTemp!C1777</f>
        <v/>
      </c>
      <c r="D1777" s="68" t="str">
        <f>ASTemp!D1777</f>
        <v/>
      </c>
      <c r="E1777" s="65" t="str">
        <f>ASTemp!E1777</f>
        <v/>
      </c>
      <c r="F1777" s="69" t="str">
        <f>TEXT(ASTemp!F1777,Decimals)</f>
        <v/>
      </c>
      <c r="G1777" s="69" t="str">
        <f>TEXT(ASTemp!G1777,Decimals)</f>
        <v/>
      </c>
      <c r="H1777" s="69" t="str">
        <f>TEXT(ASTemp!H1777,Decimals)</f>
        <v/>
      </c>
      <c r="I1777" s="69" t="str">
        <f>TEXT(ASTemp!I1777,Decimals)</f>
        <v/>
      </c>
      <c r="J1777" s="69" t="str">
        <f>TEXT(ASTemp!J1777,Decimals)</f>
        <v/>
      </c>
      <c r="K1777" s="69" t="str">
        <f>TEXT(ASTemp!K1777,Decimals)</f>
        <v/>
      </c>
      <c r="L1777" s="69" t="str">
        <f>TEXT(ASTemp!L1777,Decimals)</f>
        <v/>
      </c>
      <c r="M1777" s="71" t="str">
        <f>TEXT(ASTemp!M1777,Percentages)</f>
        <v/>
      </c>
      <c r="N1777" s="72" t="str">
        <f>TEXT(ASTemp!N1777,Percentages)</f>
        <v/>
      </c>
    </row>
    <row r="1778" ht="14.25" customHeight="1">
      <c r="B1778" s="66" t="str">
        <f>ASTemp!B1778</f>
        <v/>
      </c>
      <c r="C1778" s="67" t="str">
        <f>ASTemp!C1778</f>
        <v/>
      </c>
      <c r="D1778" s="68" t="str">
        <f>ASTemp!D1778</f>
        <v/>
      </c>
      <c r="E1778" s="65" t="str">
        <f>ASTemp!E1778</f>
        <v/>
      </c>
      <c r="F1778" s="69" t="str">
        <f>TEXT(ASTemp!F1778,Decimals)</f>
        <v/>
      </c>
      <c r="G1778" s="69" t="str">
        <f>TEXT(ASTemp!G1778,Decimals)</f>
        <v/>
      </c>
      <c r="H1778" s="69" t="str">
        <f>TEXT(ASTemp!H1778,Decimals)</f>
        <v/>
      </c>
      <c r="I1778" s="69" t="str">
        <f>TEXT(ASTemp!I1778,Decimals)</f>
        <v/>
      </c>
      <c r="J1778" s="69" t="str">
        <f>TEXT(ASTemp!J1778,Decimals)</f>
        <v/>
      </c>
      <c r="K1778" s="69" t="str">
        <f>TEXT(ASTemp!K1778,Decimals)</f>
        <v/>
      </c>
      <c r="L1778" s="69" t="str">
        <f>TEXT(ASTemp!L1778,Decimals)</f>
        <v/>
      </c>
      <c r="M1778" s="71" t="str">
        <f>TEXT(ASTemp!M1778,Percentages)</f>
        <v/>
      </c>
      <c r="N1778" s="72" t="str">
        <f>TEXT(ASTemp!N1778,Percentages)</f>
        <v/>
      </c>
    </row>
    <row r="1779" ht="14.25" customHeight="1">
      <c r="B1779" s="66" t="str">
        <f>ASTemp!B1779</f>
        <v/>
      </c>
      <c r="C1779" s="67" t="str">
        <f>ASTemp!C1779</f>
        <v/>
      </c>
      <c r="D1779" s="68" t="str">
        <f>ASTemp!D1779</f>
        <v/>
      </c>
      <c r="E1779" s="65" t="str">
        <f>ASTemp!E1779</f>
        <v/>
      </c>
      <c r="F1779" s="69" t="str">
        <f>TEXT(ASTemp!F1779,Decimals)</f>
        <v/>
      </c>
      <c r="G1779" s="69" t="str">
        <f>TEXT(ASTemp!G1779,Decimals)</f>
        <v/>
      </c>
      <c r="H1779" s="69" t="str">
        <f>TEXT(ASTemp!H1779,Decimals)</f>
        <v/>
      </c>
      <c r="I1779" s="69" t="str">
        <f>TEXT(ASTemp!I1779,Decimals)</f>
        <v/>
      </c>
      <c r="J1779" s="69" t="str">
        <f>TEXT(ASTemp!J1779,Decimals)</f>
        <v/>
      </c>
      <c r="K1779" s="69" t="str">
        <f>TEXT(ASTemp!K1779,Decimals)</f>
        <v/>
      </c>
      <c r="L1779" s="69" t="str">
        <f>TEXT(ASTemp!L1779,Decimals)</f>
        <v/>
      </c>
      <c r="M1779" s="71" t="str">
        <f>TEXT(ASTemp!M1779,Percentages)</f>
        <v/>
      </c>
      <c r="N1779" s="72" t="str">
        <f>TEXT(ASTemp!N1779,Percentages)</f>
        <v/>
      </c>
    </row>
    <row r="1780" ht="14.25" customHeight="1">
      <c r="B1780" s="66" t="str">
        <f>ASTemp!B1780</f>
        <v/>
      </c>
      <c r="C1780" s="67" t="str">
        <f>ASTemp!C1780</f>
        <v/>
      </c>
      <c r="D1780" s="68" t="str">
        <f>ASTemp!D1780</f>
        <v/>
      </c>
      <c r="E1780" s="65" t="str">
        <f>ASTemp!E1780</f>
        <v/>
      </c>
      <c r="F1780" s="69" t="str">
        <f>TEXT(ASTemp!F1780,Decimals)</f>
        <v/>
      </c>
      <c r="G1780" s="69" t="str">
        <f>TEXT(ASTemp!G1780,Decimals)</f>
        <v/>
      </c>
      <c r="H1780" s="69" t="str">
        <f>TEXT(ASTemp!H1780,Decimals)</f>
        <v/>
      </c>
      <c r="I1780" s="69" t="str">
        <f>TEXT(ASTemp!I1780,Decimals)</f>
        <v/>
      </c>
      <c r="J1780" s="69" t="str">
        <f>TEXT(ASTemp!J1780,Decimals)</f>
        <v/>
      </c>
      <c r="K1780" s="69" t="str">
        <f>TEXT(ASTemp!K1780,Decimals)</f>
        <v/>
      </c>
      <c r="L1780" s="69" t="str">
        <f>TEXT(ASTemp!L1780,Decimals)</f>
        <v/>
      </c>
      <c r="M1780" s="71" t="str">
        <f>TEXT(ASTemp!M1780,Percentages)</f>
        <v/>
      </c>
      <c r="N1780" s="72" t="str">
        <f>TEXT(ASTemp!N1780,Percentages)</f>
        <v/>
      </c>
    </row>
    <row r="1781" ht="14.25" customHeight="1">
      <c r="B1781" s="66" t="str">
        <f>ASTemp!B1781</f>
        <v/>
      </c>
      <c r="C1781" s="67" t="str">
        <f>ASTemp!C1781</f>
        <v/>
      </c>
      <c r="D1781" s="68" t="str">
        <f>ASTemp!D1781</f>
        <v/>
      </c>
      <c r="E1781" s="65" t="str">
        <f>ASTemp!E1781</f>
        <v/>
      </c>
      <c r="F1781" s="69" t="str">
        <f>TEXT(ASTemp!F1781,Decimals)</f>
        <v/>
      </c>
      <c r="G1781" s="69" t="str">
        <f>TEXT(ASTemp!G1781,Decimals)</f>
        <v/>
      </c>
      <c r="H1781" s="69" t="str">
        <f>TEXT(ASTemp!H1781,Decimals)</f>
        <v/>
      </c>
      <c r="I1781" s="69" t="str">
        <f>TEXT(ASTemp!I1781,Decimals)</f>
        <v/>
      </c>
      <c r="J1781" s="69" t="str">
        <f>TEXT(ASTemp!J1781,Decimals)</f>
        <v/>
      </c>
      <c r="K1781" s="69" t="str">
        <f>TEXT(ASTemp!K1781,Decimals)</f>
        <v/>
      </c>
      <c r="L1781" s="69" t="str">
        <f>TEXT(ASTemp!L1781,Decimals)</f>
        <v/>
      </c>
      <c r="M1781" s="71" t="str">
        <f>TEXT(ASTemp!M1781,Percentages)</f>
        <v/>
      </c>
      <c r="N1781" s="72" t="str">
        <f>TEXT(ASTemp!N1781,Percentages)</f>
        <v/>
      </c>
    </row>
    <row r="1782" ht="14.25" customHeight="1">
      <c r="B1782" s="66" t="str">
        <f>ASTemp!B1782</f>
        <v/>
      </c>
      <c r="C1782" s="67" t="str">
        <f>ASTemp!C1782</f>
        <v/>
      </c>
      <c r="D1782" s="68" t="str">
        <f>ASTemp!D1782</f>
        <v/>
      </c>
      <c r="E1782" s="65" t="str">
        <f>ASTemp!E1782</f>
        <v/>
      </c>
      <c r="F1782" s="69" t="str">
        <f>TEXT(ASTemp!F1782,Decimals)</f>
        <v/>
      </c>
      <c r="G1782" s="69" t="str">
        <f>TEXT(ASTemp!G1782,Decimals)</f>
        <v/>
      </c>
      <c r="H1782" s="69" t="str">
        <f>TEXT(ASTemp!H1782,Decimals)</f>
        <v/>
      </c>
      <c r="I1782" s="69" t="str">
        <f>TEXT(ASTemp!I1782,Decimals)</f>
        <v/>
      </c>
      <c r="J1782" s="69" t="str">
        <f>TEXT(ASTemp!J1782,Decimals)</f>
        <v/>
      </c>
      <c r="K1782" s="69" t="str">
        <f>TEXT(ASTemp!K1782,Decimals)</f>
        <v/>
      </c>
      <c r="L1782" s="69" t="str">
        <f>TEXT(ASTemp!L1782,Decimals)</f>
        <v/>
      </c>
      <c r="M1782" s="71" t="str">
        <f>TEXT(ASTemp!M1782,Percentages)</f>
        <v/>
      </c>
      <c r="N1782" s="72" t="str">
        <f>TEXT(ASTemp!N1782,Percentages)</f>
        <v/>
      </c>
    </row>
    <row r="1783" ht="14.25" customHeight="1">
      <c r="B1783" s="66" t="str">
        <f>ASTemp!B1783</f>
        <v/>
      </c>
      <c r="C1783" s="67" t="str">
        <f>ASTemp!C1783</f>
        <v/>
      </c>
      <c r="D1783" s="68" t="str">
        <f>ASTemp!D1783</f>
        <v/>
      </c>
      <c r="E1783" s="65" t="str">
        <f>ASTemp!E1783</f>
        <v/>
      </c>
      <c r="F1783" s="69" t="str">
        <f>TEXT(ASTemp!F1783,Decimals)</f>
        <v/>
      </c>
      <c r="G1783" s="69" t="str">
        <f>TEXT(ASTemp!G1783,Decimals)</f>
        <v/>
      </c>
      <c r="H1783" s="69" t="str">
        <f>TEXT(ASTemp!H1783,Decimals)</f>
        <v/>
      </c>
      <c r="I1783" s="69" t="str">
        <f>TEXT(ASTemp!I1783,Decimals)</f>
        <v/>
      </c>
      <c r="J1783" s="69" t="str">
        <f>TEXT(ASTemp!J1783,Decimals)</f>
        <v/>
      </c>
      <c r="K1783" s="69" t="str">
        <f>TEXT(ASTemp!K1783,Decimals)</f>
        <v/>
      </c>
      <c r="L1783" s="69" t="str">
        <f>TEXT(ASTemp!L1783,Decimals)</f>
        <v/>
      </c>
      <c r="M1783" s="71" t="str">
        <f>TEXT(ASTemp!M1783,Percentages)</f>
        <v/>
      </c>
      <c r="N1783" s="72" t="str">
        <f>TEXT(ASTemp!N1783,Percentages)</f>
        <v/>
      </c>
    </row>
    <row r="1784" ht="14.25" customHeight="1">
      <c r="B1784" s="66" t="str">
        <f>ASTemp!B1784</f>
        <v/>
      </c>
      <c r="C1784" s="67" t="str">
        <f>ASTemp!C1784</f>
        <v/>
      </c>
      <c r="D1784" s="68" t="str">
        <f>ASTemp!D1784</f>
        <v/>
      </c>
      <c r="E1784" s="65" t="str">
        <f>ASTemp!E1784</f>
        <v/>
      </c>
      <c r="F1784" s="69" t="str">
        <f>TEXT(ASTemp!F1784,Decimals)</f>
        <v/>
      </c>
      <c r="G1784" s="69" t="str">
        <f>TEXT(ASTemp!G1784,Decimals)</f>
        <v/>
      </c>
      <c r="H1784" s="69" t="str">
        <f>TEXT(ASTemp!H1784,Decimals)</f>
        <v/>
      </c>
      <c r="I1784" s="69" t="str">
        <f>TEXT(ASTemp!I1784,Decimals)</f>
        <v/>
      </c>
      <c r="J1784" s="69" t="str">
        <f>TEXT(ASTemp!J1784,Decimals)</f>
        <v/>
      </c>
      <c r="K1784" s="69" t="str">
        <f>TEXT(ASTemp!K1784,Decimals)</f>
        <v/>
      </c>
      <c r="L1784" s="69" t="str">
        <f>TEXT(ASTemp!L1784,Decimals)</f>
        <v/>
      </c>
      <c r="M1784" s="71" t="str">
        <f>TEXT(ASTemp!M1784,Percentages)</f>
        <v/>
      </c>
      <c r="N1784" s="72" t="str">
        <f>TEXT(ASTemp!N1784,Percentages)</f>
        <v/>
      </c>
    </row>
    <row r="1785" ht="14.25" customHeight="1">
      <c r="B1785" s="66" t="str">
        <f>ASTemp!B1785</f>
        <v/>
      </c>
      <c r="C1785" s="67" t="str">
        <f>ASTemp!C1785</f>
        <v/>
      </c>
      <c r="D1785" s="68" t="str">
        <f>ASTemp!D1785</f>
        <v/>
      </c>
      <c r="E1785" s="65" t="str">
        <f>ASTemp!E1785</f>
        <v/>
      </c>
      <c r="F1785" s="69" t="str">
        <f>TEXT(ASTemp!F1785,Decimals)</f>
        <v/>
      </c>
      <c r="G1785" s="69" t="str">
        <f>TEXT(ASTemp!G1785,Decimals)</f>
        <v/>
      </c>
      <c r="H1785" s="69" t="str">
        <f>TEXT(ASTemp!H1785,Decimals)</f>
        <v/>
      </c>
      <c r="I1785" s="69" t="str">
        <f>TEXT(ASTemp!I1785,Decimals)</f>
        <v/>
      </c>
      <c r="J1785" s="69" t="str">
        <f>TEXT(ASTemp!J1785,Decimals)</f>
        <v/>
      </c>
      <c r="K1785" s="69" t="str">
        <f>TEXT(ASTemp!K1785,Decimals)</f>
        <v/>
      </c>
      <c r="L1785" s="69" t="str">
        <f>TEXT(ASTemp!L1785,Decimals)</f>
        <v/>
      </c>
      <c r="M1785" s="71" t="str">
        <f>TEXT(ASTemp!M1785,Percentages)</f>
        <v/>
      </c>
      <c r="N1785" s="72" t="str">
        <f>TEXT(ASTemp!N1785,Percentages)</f>
        <v/>
      </c>
    </row>
    <row r="1786" ht="14.25" customHeight="1">
      <c r="B1786" s="66" t="str">
        <f>ASTemp!B1786</f>
        <v/>
      </c>
      <c r="C1786" s="67" t="str">
        <f>ASTemp!C1786</f>
        <v/>
      </c>
      <c r="D1786" s="68" t="str">
        <f>ASTemp!D1786</f>
        <v/>
      </c>
      <c r="E1786" s="65" t="str">
        <f>ASTemp!E1786</f>
        <v/>
      </c>
      <c r="F1786" s="69" t="str">
        <f>TEXT(ASTemp!F1786,Decimals)</f>
        <v/>
      </c>
      <c r="G1786" s="69" t="str">
        <f>TEXT(ASTemp!G1786,Decimals)</f>
        <v/>
      </c>
      <c r="H1786" s="69" t="str">
        <f>TEXT(ASTemp!H1786,Decimals)</f>
        <v/>
      </c>
      <c r="I1786" s="69" t="str">
        <f>TEXT(ASTemp!I1786,Decimals)</f>
        <v/>
      </c>
      <c r="J1786" s="69" t="str">
        <f>TEXT(ASTemp!J1786,Decimals)</f>
        <v/>
      </c>
      <c r="K1786" s="69" t="str">
        <f>TEXT(ASTemp!K1786,Decimals)</f>
        <v/>
      </c>
      <c r="L1786" s="69" t="str">
        <f>TEXT(ASTemp!L1786,Decimals)</f>
        <v/>
      </c>
      <c r="M1786" s="71" t="str">
        <f>TEXT(ASTemp!M1786,Percentages)</f>
        <v/>
      </c>
      <c r="N1786" s="72" t="str">
        <f>TEXT(ASTemp!N1786,Percentages)</f>
        <v/>
      </c>
    </row>
    <row r="1787" ht="14.25" customHeight="1">
      <c r="B1787" s="66" t="str">
        <f>ASTemp!B1787</f>
        <v/>
      </c>
      <c r="C1787" s="67" t="str">
        <f>ASTemp!C1787</f>
        <v/>
      </c>
      <c r="D1787" s="68" t="str">
        <f>ASTemp!D1787</f>
        <v/>
      </c>
      <c r="E1787" s="65" t="str">
        <f>ASTemp!E1787</f>
        <v/>
      </c>
      <c r="F1787" s="69" t="str">
        <f>TEXT(ASTemp!F1787,Decimals)</f>
        <v/>
      </c>
      <c r="G1787" s="69" t="str">
        <f>TEXT(ASTemp!G1787,Decimals)</f>
        <v/>
      </c>
      <c r="H1787" s="69" t="str">
        <f>TEXT(ASTemp!H1787,Decimals)</f>
        <v/>
      </c>
      <c r="I1787" s="69" t="str">
        <f>TEXT(ASTemp!I1787,Decimals)</f>
        <v/>
      </c>
      <c r="J1787" s="69" t="str">
        <f>TEXT(ASTemp!J1787,Decimals)</f>
        <v/>
      </c>
      <c r="K1787" s="69" t="str">
        <f>TEXT(ASTemp!K1787,Decimals)</f>
        <v/>
      </c>
      <c r="L1787" s="69" t="str">
        <f>TEXT(ASTemp!L1787,Decimals)</f>
        <v/>
      </c>
      <c r="M1787" s="71" t="str">
        <f>TEXT(ASTemp!M1787,Percentages)</f>
        <v/>
      </c>
      <c r="N1787" s="72" t="str">
        <f>TEXT(ASTemp!N1787,Percentages)</f>
        <v/>
      </c>
    </row>
    <row r="1788" ht="14.25" customHeight="1">
      <c r="B1788" s="66" t="str">
        <f>ASTemp!B1788</f>
        <v/>
      </c>
      <c r="C1788" s="67" t="str">
        <f>ASTemp!C1788</f>
        <v/>
      </c>
      <c r="D1788" s="68" t="str">
        <f>ASTemp!D1788</f>
        <v/>
      </c>
      <c r="E1788" s="65" t="str">
        <f>ASTemp!E1788</f>
        <v/>
      </c>
      <c r="F1788" s="69" t="str">
        <f>TEXT(ASTemp!F1788,Decimals)</f>
        <v/>
      </c>
      <c r="G1788" s="69" t="str">
        <f>TEXT(ASTemp!G1788,Decimals)</f>
        <v/>
      </c>
      <c r="H1788" s="69" t="str">
        <f>TEXT(ASTemp!H1788,Decimals)</f>
        <v/>
      </c>
      <c r="I1788" s="69" t="str">
        <f>TEXT(ASTemp!I1788,Decimals)</f>
        <v/>
      </c>
      <c r="J1788" s="69" t="str">
        <f>TEXT(ASTemp!J1788,Decimals)</f>
        <v/>
      </c>
      <c r="K1788" s="69" t="str">
        <f>TEXT(ASTemp!K1788,Decimals)</f>
        <v/>
      </c>
      <c r="L1788" s="69" t="str">
        <f>TEXT(ASTemp!L1788,Decimals)</f>
        <v/>
      </c>
      <c r="M1788" s="71" t="str">
        <f>TEXT(ASTemp!M1788,Percentages)</f>
        <v/>
      </c>
      <c r="N1788" s="72" t="str">
        <f>TEXT(ASTemp!N1788,Percentages)</f>
        <v/>
      </c>
    </row>
    <row r="1789" ht="14.25" customHeight="1">
      <c r="B1789" s="66" t="str">
        <f>ASTemp!B1789</f>
        <v/>
      </c>
      <c r="C1789" s="67" t="str">
        <f>ASTemp!C1789</f>
        <v/>
      </c>
      <c r="D1789" s="68" t="str">
        <f>ASTemp!D1789</f>
        <v/>
      </c>
      <c r="E1789" s="65" t="str">
        <f>ASTemp!E1789</f>
        <v/>
      </c>
      <c r="F1789" s="69" t="str">
        <f>TEXT(ASTemp!F1789,Decimals)</f>
        <v/>
      </c>
      <c r="G1789" s="69" t="str">
        <f>TEXT(ASTemp!G1789,Decimals)</f>
        <v/>
      </c>
      <c r="H1789" s="69" t="str">
        <f>TEXT(ASTemp!H1789,Decimals)</f>
        <v/>
      </c>
      <c r="I1789" s="69" t="str">
        <f>TEXT(ASTemp!I1789,Decimals)</f>
        <v/>
      </c>
      <c r="J1789" s="69" t="str">
        <f>TEXT(ASTemp!J1789,Decimals)</f>
        <v/>
      </c>
      <c r="K1789" s="69" t="str">
        <f>TEXT(ASTemp!K1789,Decimals)</f>
        <v/>
      </c>
      <c r="L1789" s="69" t="str">
        <f>TEXT(ASTemp!L1789,Decimals)</f>
        <v/>
      </c>
      <c r="M1789" s="71" t="str">
        <f>TEXT(ASTemp!M1789,Percentages)</f>
        <v/>
      </c>
      <c r="N1789" s="72" t="str">
        <f>TEXT(ASTemp!N1789,Percentages)</f>
        <v/>
      </c>
    </row>
    <row r="1790" ht="14.25" customHeight="1">
      <c r="B1790" s="66" t="str">
        <f>ASTemp!B1790</f>
        <v/>
      </c>
      <c r="C1790" s="67" t="str">
        <f>ASTemp!C1790</f>
        <v/>
      </c>
      <c r="D1790" s="68" t="str">
        <f>ASTemp!D1790</f>
        <v/>
      </c>
      <c r="E1790" s="65" t="str">
        <f>ASTemp!E1790</f>
        <v/>
      </c>
      <c r="F1790" s="69" t="str">
        <f>TEXT(ASTemp!F1790,Decimals)</f>
        <v/>
      </c>
      <c r="G1790" s="69" t="str">
        <f>TEXT(ASTemp!G1790,Decimals)</f>
        <v/>
      </c>
      <c r="H1790" s="69" t="str">
        <f>TEXT(ASTemp!H1790,Decimals)</f>
        <v/>
      </c>
      <c r="I1790" s="69" t="str">
        <f>TEXT(ASTemp!I1790,Decimals)</f>
        <v/>
      </c>
      <c r="J1790" s="69" t="str">
        <f>TEXT(ASTemp!J1790,Decimals)</f>
        <v/>
      </c>
      <c r="K1790" s="69" t="str">
        <f>TEXT(ASTemp!K1790,Decimals)</f>
        <v/>
      </c>
      <c r="L1790" s="69" t="str">
        <f>TEXT(ASTemp!L1790,Decimals)</f>
        <v/>
      </c>
      <c r="M1790" s="71" t="str">
        <f>TEXT(ASTemp!M1790,Percentages)</f>
        <v/>
      </c>
      <c r="N1790" s="72" t="str">
        <f>TEXT(ASTemp!N1790,Percentages)</f>
        <v/>
      </c>
    </row>
    <row r="1791" ht="14.25" customHeight="1">
      <c r="B1791" s="66" t="str">
        <f>ASTemp!B1791</f>
        <v/>
      </c>
      <c r="C1791" s="67" t="str">
        <f>ASTemp!C1791</f>
        <v/>
      </c>
      <c r="D1791" s="68" t="str">
        <f>ASTemp!D1791</f>
        <v/>
      </c>
      <c r="E1791" s="65" t="str">
        <f>ASTemp!E1791</f>
        <v/>
      </c>
      <c r="F1791" s="69" t="str">
        <f>TEXT(ASTemp!F1791,Decimals)</f>
        <v/>
      </c>
      <c r="G1791" s="69" t="str">
        <f>TEXT(ASTemp!G1791,Decimals)</f>
        <v/>
      </c>
      <c r="H1791" s="69" t="str">
        <f>TEXT(ASTemp!H1791,Decimals)</f>
        <v/>
      </c>
      <c r="I1791" s="69" t="str">
        <f>TEXT(ASTemp!I1791,Decimals)</f>
        <v/>
      </c>
      <c r="J1791" s="69" t="str">
        <f>TEXT(ASTemp!J1791,Decimals)</f>
        <v/>
      </c>
      <c r="K1791" s="69" t="str">
        <f>TEXT(ASTemp!K1791,Decimals)</f>
        <v/>
      </c>
      <c r="L1791" s="69" t="str">
        <f>TEXT(ASTemp!L1791,Decimals)</f>
        <v/>
      </c>
      <c r="M1791" s="71" t="str">
        <f>TEXT(ASTemp!M1791,Percentages)</f>
        <v/>
      </c>
      <c r="N1791" s="72" t="str">
        <f>TEXT(ASTemp!N1791,Percentages)</f>
        <v/>
      </c>
    </row>
    <row r="1792" ht="14.25" customHeight="1">
      <c r="B1792" s="66" t="str">
        <f>ASTemp!B1792</f>
        <v/>
      </c>
      <c r="C1792" s="67" t="str">
        <f>ASTemp!C1792</f>
        <v/>
      </c>
      <c r="D1792" s="68" t="str">
        <f>ASTemp!D1792</f>
        <v/>
      </c>
      <c r="E1792" s="65" t="str">
        <f>ASTemp!E1792</f>
        <v/>
      </c>
      <c r="F1792" s="69" t="str">
        <f>TEXT(ASTemp!F1792,Decimals)</f>
        <v/>
      </c>
      <c r="G1792" s="69" t="str">
        <f>TEXT(ASTemp!G1792,Decimals)</f>
        <v/>
      </c>
      <c r="H1792" s="69" t="str">
        <f>TEXT(ASTemp!H1792,Decimals)</f>
        <v/>
      </c>
      <c r="I1792" s="69" t="str">
        <f>TEXT(ASTemp!I1792,Decimals)</f>
        <v/>
      </c>
      <c r="J1792" s="69" t="str">
        <f>TEXT(ASTemp!J1792,Decimals)</f>
        <v/>
      </c>
      <c r="K1792" s="69" t="str">
        <f>TEXT(ASTemp!K1792,Decimals)</f>
        <v/>
      </c>
      <c r="L1792" s="69" t="str">
        <f>TEXT(ASTemp!L1792,Decimals)</f>
        <v/>
      </c>
      <c r="M1792" s="71" t="str">
        <f>TEXT(ASTemp!M1792,Percentages)</f>
        <v/>
      </c>
      <c r="N1792" s="72" t="str">
        <f>TEXT(ASTemp!N1792,Percentages)</f>
        <v/>
      </c>
    </row>
    <row r="1793" ht="14.25" customHeight="1">
      <c r="B1793" s="66" t="str">
        <f>ASTemp!B1793</f>
        <v/>
      </c>
      <c r="C1793" s="67" t="str">
        <f>ASTemp!C1793</f>
        <v/>
      </c>
      <c r="D1793" s="68" t="str">
        <f>ASTemp!D1793</f>
        <v/>
      </c>
      <c r="E1793" s="65" t="str">
        <f>ASTemp!E1793</f>
        <v/>
      </c>
      <c r="F1793" s="69" t="str">
        <f>TEXT(ASTemp!F1793,Decimals)</f>
        <v/>
      </c>
      <c r="G1793" s="69" t="str">
        <f>TEXT(ASTemp!G1793,Decimals)</f>
        <v/>
      </c>
      <c r="H1793" s="69" t="str">
        <f>TEXT(ASTemp!H1793,Decimals)</f>
        <v/>
      </c>
      <c r="I1793" s="69" t="str">
        <f>TEXT(ASTemp!I1793,Decimals)</f>
        <v/>
      </c>
      <c r="J1793" s="69" t="str">
        <f>TEXT(ASTemp!J1793,Decimals)</f>
        <v/>
      </c>
      <c r="K1793" s="69" t="str">
        <f>TEXT(ASTemp!K1793,Decimals)</f>
        <v/>
      </c>
      <c r="L1793" s="69" t="str">
        <f>TEXT(ASTemp!L1793,Decimals)</f>
        <v/>
      </c>
      <c r="M1793" s="71" t="str">
        <f>TEXT(ASTemp!M1793,Percentages)</f>
        <v/>
      </c>
      <c r="N1793" s="72" t="str">
        <f>TEXT(ASTemp!N1793,Percentages)</f>
        <v/>
      </c>
    </row>
    <row r="1794" ht="14.25" customHeight="1">
      <c r="B1794" s="66" t="str">
        <f>ASTemp!B1794</f>
        <v/>
      </c>
      <c r="C1794" s="67" t="str">
        <f>ASTemp!C1794</f>
        <v/>
      </c>
      <c r="D1794" s="68" t="str">
        <f>ASTemp!D1794</f>
        <v/>
      </c>
      <c r="E1794" s="65" t="str">
        <f>ASTemp!E1794</f>
        <v/>
      </c>
      <c r="F1794" s="69" t="str">
        <f>TEXT(ASTemp!F1794,Decimals)</f>
        <v/>
      </c>
      <c r="G1794" s="69" t="str">
        <f>TEXT(ASTemp!G1794,Decimals)</f>
        <v/>
      </c>
      <c r="H1794" s="69" t="str">
        <f>TEXT(ASTemp!H1794,Decimals)</f>
        <v/>
      </c>
      <c r="I1794" s="69" t="str">
        <f>TEXT(ASTemp!I1794,Decimals)</f>
        <v/>
      </c>
      <c r="J1794" s="69" t="str">
        <f>TEXT(ASTemp!J1794,Decimals)</f>
        <v/>
      </c>
      <c r="K1794" s="69" t="str">
        <f>TEXT(ASTemp!K1794,Decimals)</f>
        <v/>
      </c>
      <c r="L1794" s="69" t="str">
        <f>TEXT(ASTemp!L1794,Decimals)</f>
        <v/>
      </c>
      <c r="M1794" s="71" t="str">
        <f>TEXT(ASTemp!M1794,Percentages)</f>
        <v/>
      </c>
      <c r="N1794" s="72" t="str">
        <f>TEXT(ASTemp!N1794,Percentages)</f>
        <v/>
      </c>
    </row>
    <row r="1795" ht="14.25" customHeight="1">
      <c r="B1795" s="66" t="str">
        <f>ASTemp!B1795</f>
        <v/>
      </c>
      <c r="C1795" s="67" t="str">
        <f>ASTemp!C1795</f>
        <v/>
      </c>
      <c r="D1795" s="68" t="str">
        <f>ASTemp!D1795</f>
        <v/>
      </c>
      <c r="E1795" s="65" t="str">
        <f>ASTemp!E1795</f>
        <v/>
      </c>
      <c r="F1795" s="69" t="str">
        <f>TEXT(ASTemp!F1795,Decimals)</f>
        <v/>
      </c>
      <c r="G1795" s="69" t="str">
        <f>TEXT(ASTemp!G1795,Decimals)</f>
        <v/>
      </c>
      <c r="H1795" s="69" t="str">
        <f>TEXT(ASTemp!H1795,Decimals)</f>
        <v/>
      </c>
      <c r="I1795" s="69" t="str">
        <f>TEXT(ASTemp!I1795,Decimals)</f>
        <v/>
      </c>
      <c r="J1795" s="69" t="str">
        <f>TEXT(ASTemp!J1795,Decimals)</f>
        <v/>
      </c>
      <c r="K1795" s="69" t="str">
        <f>TEXT(ASTemp!K1795,Decimals)</f>
        <v/>
      </c>
      <c r="L1795" s="69" t="str">
        <f>TEXT(ASTemp!L1795,Decimals)</f>
        <v/>
      </c>
      <c r="M1795" s="71" t="str">
        <f>TEXT(ASTemp!M1795,Percentages)</f>
        <v/>
      </c>
      <c r="N1795" s="72" t="str">
        <f>TEXT(ASTemp!N1795,Percentages)</f>
        <v/>
      </c>
    </row>
    <row r="1796" ht="14.25" customHeight="1">
      <c r="B1796" s="66" t="str">
        <f>ASTemp!B1796</f>
        <v/>
      </c>
      <c r="C1796" s="67" t="str">
        <f>ASTemp!C1796</f>
        <v/>
      </c>
      <c r="D1796" s="68" t="str">
        <f>ASTemp!D1796</f>
        <v/>
      </c>
      <c r="E1796" s="65" t="str">
        <f>ASTemp!E1796</f>
        <v/>
      </c>
      <c r="F1796" s="69" t="str">
        <f>TEXT(ASTemp!F1796,Decimals)</f>
        <v/>
      </c>
      <c r="G1796" s="69" t="str">
        <f>TEXT(ASTemp!G1796,Decimals)</f>
        <v/>
      </c>
      <c r="H1796" s="69" t="str">
        <f>TEXT(ASTemp!H1796,Decimals)</f>
        <v/>
      </c>
      <c r="I1796" s="69" t="str">
        <f>TEXT(ASTemp!I1796,Decimals)</f>
        <v/>
      </c>
      <c r="J1796" s="69" t="str">
        <f>TEXT(ASTemp!J1796,Decimals)</f>
        <v/>
      </c>
      <c r="K1796" s="69" t="str">
        <f>TEXT(ASTemp!K1796,Decimals)</f>
        <v/>
      </c>
      <c r="L1796" s="69" t="str">
        <f>TEXT(ASTemp!L1796,Decimals)</f>
        <v/>
      </c>
      <c r="M1796" s="71" t="str">
        <f>TEXT(ASTemp!M1796,Percentages)</f>
        <v/>
      </c>
      <c r="N1796" s="72" t="str">
        <f>TEXT(ASTemp!N1796,Percentages)</f>
        <v/>
      </c>
    </row>
    <row r="1797" ht="14.25" customHeight="1">
      <c r="B1797" s="66" t="str">
        <f>ASTemp!B1797</f>
        <v/>
      </c>
      <c r="C1797" s="67" t="str">
        <f>ASTemp!C1797</f>
        <v/>
      </c>
      <c r="D1797" s="68" t="str">
        <f>ASTemp!D1797</f>
        <v/>
      </c>
      <c r="E1797" s="65" t="str">
        <f>ASTemp!E1797</f>
        <v/>
      </c>
      <c r="F1797" s="69" t="str">
        <f>TEXT(ASTemp!F1797,Decimals)</f>
        <v/>
      </c>
      <c r="G1797" s="69" t="str">
        <f>TEXT(ASTemp!G1797,Decimals)</f>
        <v/>
      </c>
      <c r="H1797" s="69" t="str">
        <f>TEXT(ASTemp!H1797,Decimals)</f>
        <v/>
      </c>
      <c r="I1797" s="69" t="str">
        <f>TEXT(ASTemp!I1797,Decimals)</f>
        <v/>
      </c>
      <c r="J1797" s="69" t="str">
        <f>TEXT(ASTemp!J1797,Decimals)</f>
        <v/>
      </c>
      <c r="K1797" s="69" t="str">
        <f>TEXT(ASTemp!K1797,Decimals)</f>
        <v/>
      </c>
      <c r="L1797" s="69" t="str">
        <f>TEXT(ASTemp!L1797,Decimals)</f>
        <v/>
      </c>
      <c r="M1797" s="71" t="str">
        <f>TEXT(ASTemp!M1797,Percentages)</f>
        <v/>
      </c>
      <c r="N1797" s="72" t="str">
        <f>TEXT(ASTemp!N1797,Percentages)</f>
        <v/>
      </c>
    </row>
    <row r="1798" ht="14.25" customHeight="1">
      <c r="B1798" s="66" t="str">
        <f>ASTemp!B1798</f>
        <v/>
      </c>
      <c r="C1798" s="67" t="str">
        <f>ASTemp!C1798</f>
        <v/>
      </c>
      <c r="D1798" s="68" t="str">
        <f>ASTemp!D1798</f>
        <v/>
      </c>
      <c r="E1798" s="65" t="str">
        <f>ASTemp!E1798</f>
        <v/>
      </c>
      <c r="F1798" s="69" t="str">
        <f>TEXT(ASTemp!F1798,Decimals)</f>
        <v/>
      </c>
      <c r="G1798" s="69" t="str">
        <f>TEXT(ASTemp!G1798,Decimals)</f>
        <v/>
      </c>
      <c r="H1798" s="69" t="str">
        <f>TEXT(ASTemp!H1798,Decimals)</f>
        <v/>
      </c>
      <c r="I1798" s="69" t="str">
        <f>TEXT(ASTemp!I1798,Decimals)</f>
        <v/>
      </c>
      <c r="J1798" s="69" t="str">
        <f>TEXT(ASTemp!J1798,Decimals)</f>
        <v/>
      </c>
      <c r="K1798" s="69" t="str">
        <f>TEXT(ASTemp!K1798,Decimals)</f>
        <v/>
      </c>
      <c r="L1798" s="69" t="str">
        <f>TEXT(ASTemp!L1798,Decimals)</f>
        <v/>
      </c>
      <c r="M1798" s="71" t="str">
        <f>TEXT(ASTemp!M1798,Percentages)</f>
        <v/>
      </c>
      <c r="N1798" s="72" t="str">
        <f>TEXT(ASTemp!N1798,Percentages)</f>
        <v/>
      </c>
    </row>
    <row r="1799" ht="14.25" customHeight="1">
      <c r="B1799" s="66" t="str">
        <f>ASTemp!B1799</f>
        <v/>
      </c>
      <c r="C1799" s="67" t="str">
        <f>ASTemp!C1799</f>
        <v/>
      </c>
      <c r="D1799" s="68" t="str">
        <f>ASTemp!D1799</f>
        <v/>
      </c>
      <c r="E1799" s="65" t="str">
        <f>ASTemp!E1799</f>
        <v/>
      </c>
      <c r="F1799" s="69" t="str">
        <f>TEXT(ASTemp!F1799,Decimals)</f>
        <v/>
      </c>
      <c r="G1799" s="69" t="str">
        <f>TEXT(ASTemp!G1799,Decimals)</f>
        <v/>
      </c>
      <c r="H1799" s="69" t="str">
        <f>TEXT(ASTemp!H1799,Decimals)</f>
        <v/>
      </c>
      <c r="I1799" s="69" t="str">
        <f>TEXT(ASTemp!I1799,Decimals)</f>
        <v/>
      </c>
      <c r="J1799" s="69" t="str">
        <f>TEXT(ASTemp!J1799,Decimals)</f>
        <v/>
      </c>
      <c r="K1799" s="69" t="str">
        <f>TEXT(ASTemp!K1799,Decimals)</f>
        <v/>
      </c>
      <c r="L1799" s="69" t="str">
        <f>TEXT(ASTemp!L1799,Decimals)</f>
        <v/>
      </c>
      <c r="M1799" s="71" t="str">
        <f>TEXT(ASTemp!M1799,Percentages)</f>
        <v/>
      </c>
      <c r="N1799" s="72" t="str">
        <f>TEXT(ASTemp!N1799,Percentages)</f>
        <v/>
      </c>
    </row>
    <row r="1800" ht="14.25" customHeight="1">
      <c r="B1800" s="66" t="str">
        <f>ASTemp!B1800</f>
        <v/>
      </c>
      <c r="C1800" s="67" t="str">
        <f>ASTemp!C1800</f>
        <v/>
      </c>
      <c r="D1800" s="68" t="str">
        <f>ASTemp!D1800</f>
        <v/>
      </c>
      <c r="E1800" s="65" t="str">
        <f>ASTemp!E1800</f>
        <v/>
      </c>
      <c r="F1800" s="69" t="str">
        <f>TEXT(ASTemp!F1800,Decimals)</f>
        <v/>
      </c>
      <c r="G1800" s="69" t="str">
        <f>TEXT(ASTemp!G1800,Decimals)</f>
        <v/>
      </c>
      <c r="H1800" s="69" t="str">
        <f>TEXT(ASTemp!H1800,Decimals)</f>
        <v/>
      </c>
      <c r="I1800" s="69" t="str">
        <f>TEXT(ASTemp!I1800,Decimals)</f>
        <v/>
      </c>
      <c r="J1800" s="69" t="str">
        <f>TEXT(ASTemp!J1800,Decimals)</f>
        <v/>
      </c>
      <c r="K1800" s="69" t="str">
        <f>TEXT(ASTemp!K1800,Decimals)</f>
        <v/>
      </c>
      <c r="L1800" s="69" t="str">
        <f>TEXT(ASTemp!L1800,Decimals)</f>
        <v/>
      </c>
      <c r="M1800" s="71" t="str">
        <f>TEXT(ASTemp!M1800,Percentages)</f>
        <v/>
      </c>
      <c r="N1800" s="72" t="str">
        <f>TEXT(ASTemp!N1800,Percentages)</f>
        <v/>
      </c>
    </row>
    <row r="1801" ht="14.25" customHeight="1">
      <c r="B1801" s="66" t="str">
        <f>ASTemp!B1801</f>
        <v/>
      </c>
      <c r="C1801" s="67" t="str">
        <f>ASTemp!C1801</f>
        <v/>
      </c>
      <c r="D1801" s="68" t="str">
        <f>ASTemp!D1801</f>
        <v/>
      </c>
      <c r="E1801" s="65" t="str">
        <f>ASTemp!E1801</f>
        <v/>
      </c>
      <c r="F1801" s="69" t="str">
        <f>TEXT(ASTemp!F1801,Decimals)</f>
        <v/>
      </c>
      <c r="G1801" s="69" t="str">
        <f>TEXT(ASTemp!G1801,Decimals)</f>
        <v/>
      </c>
      <c r="H1801" s="69" t="str">
        <f>TEXT(ASTemp!H1801,Decimals)</f>
        <v/>
      </c>
      <c r="I1801" s="69" t="str">
        <f>TEXT(ASTemp!I1801,Decimals)</f>
        <v/>
      </c>
      <c r="J1801" s="69" t="str">
        <f>TEXT(ASTemp!J1801,Decimals)</f>
        <v/>
      </c>
      <c r="K1801" s="69" t="str">
        <f>TEXT(ASTemp!K1801,Decimals)</f>
        <v/>
      </c>
      <c r="L1801" s="69" t="str">
        <f>TEXT(ASTemp!L1801,Decimals)</f>
        <v/>
      </c>
      <c r="M1801" s="71" t="str">
        <f>TEXT(ASTemp!M1801,Percentages)</f>
        <v/>
      </c>
      <c r="N1801" s="72" t="str">
        <f>TEXT(ASTemp!N1801,Percentages)</f>
        <v/>
      </c>
    </row>
    <row r="1802" ht="14.25" customHeight="1">
      <c r="B1802" s="66" t="str">
        <f>ASTemp!B1802</f>
        <v/>
      </c>
      <c r="C1802" s="67" t="str">
        <f>ASTemp!C1802</f>
        <v/>
      </c>
      <c r="D1802" s="68" t="str">
        <f>ASTemp!D1802</f>
        <v/>
      </c>
      <c r="E1802" s="65" t="str">
        <f>ASTemp!E1802</f>
        <v/>
      </c>
      <c r="F1802" s="69" t="str">
        <f>TEXT(ASTemp!F1802,Decimals)</f>
        <v/>
      </c>
      <c r="G1802" s="69" t="str">
        <f>TEXT(ASTemp!G1802,Decimals)</f>
        <v/>
      </c>
      <c r="H1802" s="69" t="str">
        <f>TEXT(ASTemp!H1802,Decimals)</f>
        <v/>
      </c>
      <c r="I1802" s="69" t="str">
        <f>TEXT(ASTemp!I1802,Decimals)</f>
        <v/>
      </c>
      <c r="J1802" s="69" t="str">
        <f>TEXT(ASTemp!J1802,Decimals)</f>
        <v/>
      </c>
      <c r="K1802" s="69" t="str">
        <f>TEXT(ASTemp!K1802,Decimals)</f>
        <v/>
      </c>
      <c r="L1802" s="69" t="str">
        <f>TEXT(ASTemp!L1802,Decimals)</f>
        <v/>
      </c>
      <c r="M1802" s="71" t="str">
        <f>TEXT(ASTemp!M1802,Percentages)</f>
        <v/>
      </c>
      <c r="N1802" s="72" t="str">
        <f>TEXT(ASTemp!N1802,Percentages)</f>
        <v/>
      </c>
    </row>
    <row r="1803" ht="14.25" customHeight="1">
      <c r="B1803" s="66" t="str">
        <f>ASTemp!B1803</f>
        <v/>
      </c>
      <c r="C1803" s="67" t="str">
        <f>ASTemp!C1803</f>
        <v/>
      </c>
      <c r="D1803" s="68" t="str">
        <f>ASTemp!D1803</f>
        <v/>
      </c>
      <c r="E1803" s="65" t="str">
        <f>ASTemp!E1803</f>
        <v/>
      </c>
      <c r="F1803" s="69" t="str">
        <f>TEXT(ASTemp!F1803,Decimals)</f>
        <v/>
      </c>
      <c r="G1803" s="69" t="str">
        <f>TEXT(ASTemp!G1803,Decimals)</f>
        <v/>
      </c>
      <c r="H1803" s="69" t="str">
        <f>TEXT(ASTemp!H1803,Decimals)</f>
        <v/>
      </c>
      <c r="I1803" s="69" t="str">
        <f>TEXT(ASTemp!I1803,Decimals)</f>
        <v/>
      </c>
      <c r="J1803" s="69" t="str">
        <f>TEXT(ASTemp!J1803,Decimals)</f>
        <v/>
      </c>
      <c r="K1803" s="69" t="str">
        <f>TEXT(ASTemp!K1803,Decimals)</f>
        <v/>
      </c>
      <c r="L1803" s="69" t="str">
        <f>TEXT(ASTemp!L1803,Decimals)</f>
        <v/>
      </c>
      <c r="M1803" s="71" t="str">
        <f>TEXT(ASTemp!M1803,Percentages)</f>
        <v/>
      </c>
      <c r="N1803" s="72" t="str">
        <f>TEXT(ASTemp!N1803,Percentages)</f>
        <v/>
      </c>
    </row>
    <row r="1804" ht="14.25" customHeight="1">
      <c r="B1804" s="66" t="str">
        <f>ASTemp!B1804</f>
        <v/>
      </c>
      <c r="C1804" s="67" t="str">
        <f>ASTemp!C1804</f>
        <v/>
      </c>
      <c r="D1804" s="68" t="str">
        <f>ASTemp!D1804</f>
        <v/>
      </c>
      <c r="E1804" s="65" t="str">
        <f>ASTemp!E1804</f>
        <v/>
      </c>
      <c r="F1804" s="69" t="str">
        <f>TEXT(ASTemp!F1804,Decimals)</f>
        <v/>
      </c>
      <c r="G1804" s="69" t="str">
        <f>TEXT(ASTemp!G1804,Decimals)</f>
        <v/>
      </c>
      <c r="H1804" s="69" t="str">
        <f>TEXT(ASTemp!H1804,Decimals)</f>
        <v/>
      </c>
      <c r="I1804" s="69" t="str">
        <f>TEXT(ASTemp!I1804,Decimals)</f>
        <v/>
      </c>
      <c r="J1804" s="69" t="str">
        <f>TEXT(ASTemp!J1804,Decimals)</f>
        <v/>
      </c>
      <c r="K1804" s="69" t="str">
        <f>TEXT(ASTemp!K1804,Decimals)</f>
        <v/>
      </c>
      <c r="L1804" s="69" t="str">
        <f>TEXT(ASTemp!L1804,Decimals)</f>
        <v/>
      </c>
      <c r="M1804" s="71" t="str">
        <f>TEXT(ASTemp!M1804,Percentages)</f>
        <v/>
      </c>
      <c r="N1804" s="72" t="str">
        <f>TEXT(ASTemp!N1804,Percentages)</f>
        <v/>
      </c>
    </row>
    <row r="1805" ht="14.25" customHeight="1">
      <c r="B1805" s="66" t="str">
        <f>ASTemp!B1805</f>
        <v/>
      </c>
      <c r="C1805" s="67" t="str">
        <f>ASTemp!C1805</f>
        <v/>
      </c>
      <c r="D1805" s="68" t="str">
        <f>ASTemp!D1805</f>
        <v/>
      </c>
      <c r="E1805" s="65" t="str">
        <f>ASTemp!E1805</f>
        <v/>
      </c>
      <c r="F1805" s="69" t="str">
        <f>TEXT(ASTemp!F1805,Decimals)</f>
        <v/>
      </c>
      <c r="G1805" s="69" t="str">
        <f>TEXT(ASTemp!G1805,Decimals)</f>
        <v/>
      </c>
      <c r="H1805" s="69" t="str">
        <f>TEXT(ASTemp!H1805,Decimals)</f>
        <v/>
      </c>
      <c r="I1805" s="69" t="str">
        <f>TEXT(ASTemp!I1805,Decimals)</f>
        <v/>
      </c>
      <c r="J1805" s="69" t="str">
        <f>TEXT(ASTemp!J1805,Decimals)</f>
        <v/>
      </c>
      <c r="K1805" s="69" t="str">
        <f>TEXT(ASTemp!K1805,Decimals)</f>
        <v/>
      </c>
      <c r="L1805" s="69" t="str">
        <f>TEXT(ASTemp!L1805,Decimals)</f>
        <v/>
      </c>
      <c r="M1805" s="71" t="str">
        <f>TEXT(ASTemp!M1805,Percentages)</f>
        <v/>
      </c>
      <c r="N1805" s="72" t="str">
        <f>TEXT(ASTemp!N1805,Percentages)</f>
        <v/>
      </c>
    </row>
    <row r="1806" ht="14.25" customHeight="1">
      <c r="B1806" s="66" t="str">
        <f>ASTemp!B1806</f>
        <v/>
      </c>
      <c r="C1806" s="67" t="str">
        <f>ASTemp!C1806</f>
        <v/>
      </c>
      <c r="D1806" s="68" t="str">
        <f>ASTemp!D1806</f>
        <v/>
      </c>
      <c r="E1806" s="65" t="str">
        <f>ASTemp!E1806</f>
        <v/>
      </c>
      <c r="F1806" s="69" t="str">
        <f>TEXT(ASTemp!F1806,Decimals)</f>
        <v/>
      </c>
      <c r="G1806" s="69" t="str">
        <f>TEXT(ASTemp!G1806,Decimals)</f>
        <v/>
      </c>
      <c r="H1806" s="69" t="str">
        <f>TEXT(ASTemp!H1806,Decimals)</f>
        <v/>
      </c>
      <c r="I1806" s="69" t="str">
        <f>TEXT(ASTemp!I1806,Decimals)</f>
        <v/>
      </c>
      <c r="J1806" s="69" t="str">
        <f>TEXT(ASTemp!J1806,Decimals)</f>
        <v/>
      </c>
      <c r="K1806" s="69" t="str">
        <f>TEXT(ASTemp!K1806,Decimals)</f>
        <v/>
      </c>
      <c r="L1806" s="69" t="str">
        <f>TEXT(ASTemp!L1806,Decimals)</f>
        <v/>
      </c>
      <c r="M1806" s="71" t="str">
        <f>TEXT(ASTemp!M1806,Percentages)</f>
        <v/>
      </c>
      <c r="N1806" s="72" t="str">
        <f>TEXT(ASTemp!N1806,Percentages)</f>
        <v/>
      </c>
    </row>
    <row r="1807" ht="14.25" customHeight="1">
      <c r="B1807" s="66" t="str">
        <f>ASTemp!B1807</f>
        <v/>
      </c>
      <c r="C1807" s="67" t="str">
        <f>ASTemp!C1807</f>
        <v/>
      </c>
      <c r="D1807" s="68" t="str">
        <f>ASTemp!D1807</f>
        <v/>
      </c>
      <c r="E1807" s="65" t="str">
        <f>ASTemp!E1807</f>
        <v/>
      </c>
      <c r="F1807" s="69" t="str">
        <f>TEXT(ASTemp!F1807,Decimals)</f>
        <v/>
      </c>
      <c r="G1807" s="69" t="str">
        <f>TEXT(ASTemp!G1807,Decimals)</f>
        <v/>
      </c>
      <c r="H1807" s="69" t="str">
        <f>TEXT(ASTemp!H1807,Decimals)</f>
        <v/>
      </c>
      <c r="I1807" s="69" t="str">
        <f>TEXT(ASTemp!I1807,Decimals)</f>
        <v/>
      </c>
      <c r="J1807" s="69" t="str">
        <f>TEXT(ASTemp!J1807,Decimals)</f>
        <v/>
      </c>
      <c r="K1807" s="69" t="str">
        <f>TEXT(ASTemp!K1807,Decimals)</f>
        <v/>
      </c>
      <c r="L1807" s="69" t="str">
        <f>TEXT(ASTemp!L1807,Decimals)</f>
        <v/>
      </c>
      <c r="M1807" s="71" t="str">
        <f>TEXT(ASTemp!M1807,Percentages)</f>
        <v/>
      </c>
      <c r="N1807" s="72" t="str">
        <f>TEXT(ASTemp!N1807,Percentages)</f>
        <v/>
      </c>
    </row>
    <row r="1808" ht="14.25" customHeight="1">
      <c r="B1808" s="66" t="str">
        <f>ASTemp!B1808</f>
        <v/>
      </c>
      <c r="C1808" s="67" t="str">
        <f>ASTemp!C1808</f>
        <v/>
      </c>
      <c r="D1808" s="68" t="str">
        <f>ASTemp!D1808</f>
        <v/>
      </c>
      <c r="E1808" s="65" t="str">
        <f>ASTemp!E1808</f>
        <v/>
      </c>
      <c r="F1808" s="69" t="str">
        <f>TEXT(ASTemp!F1808,Decimals)</f>
        <v/>
      </c>
      <c r="G1808" s="69" t="str">
        <f>TEXT(ASTemp!G1808,Decimals)</f>
        <v/>
      </c>
      <c r="H1808" s="69" t="str">
        <f>TEXT(ASTemp!H1808,Decimals)</f>
        <v/>
      </c>
      <c r="I1808" s="69" t="str">
        <f>TEXT(ASTemp!I1808,Decimals)</f>
        <v/>
      </c>
      <c r="J1808" s="69" t="str">
        <f>TEXT(ASTemp!J1808,Decimals)</f>
        <v/>
      </c>
      <c r="K1808" s="69" t="str">
        <f>TEXT(ASTemp!K1808,Decimals)</f>
        <v/>
      </c>
      <c r="L1808" s="69" t="str">
        <f>TEXT(ASTemp!L1808,Decimals)</f>
        <v/>
      </c>
      <c r="M1808" s="71" t="str">
        <f>TEXT(ASTemp!M1808,Percentages)</f>
        <v/>
      </c>
      <c r="N1808" s="72" t="str">
        <f>TEXT(ASTemp!N1808,Percentages)</f>
        <v/>
      </c>
    </row>
    <row r="1809" ht="14.25" customHeight="1">
      <c r="B1809" s="66" t="str">
        <f>ASTemp!B1809</f>
        <v/>
      </c>
      <c r="C1809" s="67" t="str">
        <f>ASTemp!C1809</f>
        <v/>
      </c>
      <c r="D1809" s="68" t="str">
        <f>ASTemp!D1809</f>
        <v/>
      </c>
      <c r="E1809" s="65" t="str">
        <f>ASTemp!E1809</f>
        <v/>
      </c>
      <c r="F1809" s="69" t="str">
        <f>TEXT(ASTemp!F1809,Decimals)</f>
        <v/>
      </c>
      <c r="G1809" s="69" t="str">
        <f>TEXT(ASTemp!G1809,Decimals)</f>
        <v/>
      </c>
      <c r="H1809" s="69" t="str">
        <f>TEXT(ASTemp!H1809,Decimals)</f>
        <v/>
      </c>
      <c r="I1809" s="69" t="str">
        <f>TEXT(ASTemp!I1809,Decimals)</f>
        <v/>
      </c>
      <c r="J1809" s="69" t="str">
        <f>TEXT(ASTemp!J1809,Decimals)</f>
        <v/>
      </c>
      <c r="K1809" s="69" t="str">
        <f>TEXT(ASTemp!K1809,Decimals)</f>
        <v/>
      </c>
      <c r="L1809" s="69" t="str">
        <f>TEXT(ASTemp!L1809,Decimals)</f>
        <v/>
      </c>
      <c r="M1809" s="71" t="str">
        <f>TEXT(ASTemp!M1809,Percentages)</f>
        <v/>
      </c>
      <c r="N1809" s="72" t="str">
        <f>TEXT(ASTemp!N1809,Percentages)</f>
        <v/>
      </c>
    </row>
    <row r="1810" ht="14.25" customHeight="1">
      <c r="B1810" s="66" t="str">
        <f>ASTemp!B1810</f>
        <v/>
      </c>
      <c r="C1810" s="67" t="str">
        <f>ASTemp!C1810</f>
        <v/>
      </c>
      <c r="D1810" s="68" t="str">
        <f>ASTemp!D1810</f>
        <v/>
      </c>
      <c r="E1810" s="65" t="str">
        <f>ASTemp!E1810</f>
        <v/>
      </c>
      <c r="F1810" s="69" t="str">
        <f>TEXT(ASTemp!F1810,Decimals)</f>
        <v/>
      </c>
      <c r="G1810" s="69" t="str">
        <f>TEXT(ASTemp!G1810,Decimals)</f>
        <v/>
      </c>
      <c r="H1810" s="69" t="str">
        <f>TEXT(ASTemp!H1810,Decimals)</f>
        <v/>
      </c>
      <c r="I1810" s="69" t="str">
        <f>TEXT(ASTemp!I1810,Decimals)</f>
        <v/>
      </c>
      <c r="J1810" s="69" t="str">
        <f>TEXT(ASTemp!J1810,Decimals)</f>
        <v/>
      </c>
      <c r="K1810" s="69" t="str">
        <f>TEXT(ASTemp!K1810,Decimals)</f>
        <v/>
      </c>
      <c r="L1810" s="69" t="str">
        <f>TEXT(ASTemp!L1810,Decimals)</f>
        <v/>
      </c>
      <c r="M1810" s="71" t="str">
        <f>TEXT(ASTemp!M1810,Percentages)</f>
        <v/>
      </c>
      <c r="N1810" s="72" t="str">
        <f>TEXT(ASTemp!N1810,Percentages)</f>
        <v/>
      </c>
    </row>
    <row r="1811" ht="14.25" customHeight="1">
      <c r="B1811" s="66" t="str">
        <f>ASTemp!B1811</f>
        <v/>
      </c>
      <c r="C1811" s="67" t="str">
        <f>ASTemp!C1811</f>
        <v/>
      </c>
      <c r="D1811" s="68" t="str">
        <f>ASTemp!D1811</f>
        <v/>
      </c>
      <c r="E1811" s="65" t="str">
        <f>ASTemp!E1811</f>
        <v/>
      </c>
      <c r="F1811" s="69" t="str">
        <f>TEXT(ASTemp!F1811,Decimals)</f>
        <v/>
      </c>
      <c r="G1811" s="69" t="str">
        <f>TEXT(ASTemp!G1811,Decimals)</f>
        <v/>
      </c>
      <c r="H1811" s="69" t="str">
        <f>TEXT(ASTemp!H1811,Decimals)</f>
        <v/>
      </c>
      <c r="I1811" s="69" t="str">
        <f>TEXT(ASTemp!I1811,Decimals)</f>
        <v/>
      </c>
      <c r="J1811" s="69" t="str">
        <f>TEXT(ASTemp!J1811,Decimals)</f>
        <v/>
      </c>
      <c r="K1811" s="69" t="str">
        <f>TEXT(ASTemp!K1811,Decimals)</f>
        <v/>
      </c>
      <c r="L1811" s="69" t="str">
        <f>TEXT(ASTemp!L1811,Decimals)</f>
        <v/>
      </c>
      <c r="M1811" s="71" t="str">
        <f>TEXT(ASTemp!M1811,Percentages)</f>
        <v/>
      </c>
      <c r="N1811" s="72" t="str">
        <f>TEXT(ASTemp!N1811,Percentages)</f>
        <v/>
      </c>
    </row>
    <row r="1812" ht="14.25" customHeight="1">
      <c r="B1812" s="66" t="str">
        <f>ASTemp!B1812</f>
        <v/>
      </c>
      <c r="C1812" s="67" t="str">
        <f>ASTemp!C1812</f>
        <v/>
      </c>
      <c r="D1812" s="68" t="str">
        <f>ASTemp!D1812</f>
        <v/>
      </c>
      <c r="E1812" s="65" t="str">
        <f>ASTemp!E1812</f>
        <v/>
      </c>
      <c r="F1812" s="69" t="str">
        <f>TEXT(ASTemp!F1812,Decimals)</f>
        <v/>
      </c>
      <c r="G1812" s="69" t="str">
        <f>TEXT(ASTemp!G1812,Decimals)</f>
        <v/>
      </c>
      <c r="H1812" s="69" t="str">
        <f>TEXT(ASTemp!H1812,Decimals)</f>
        <v/>
      </c>
      <c r="I1812" s="69" t="str">
        <f>TEXT(ASTemp!I1812,Decimals)</f>
        <v/>
      </c>
      <c r="J1812" s="69" t="str">
        <f>TEXT(ASTemp!J1812,Decimals)</f>
        <v/>
      </c>
      <c r="K1812" s="69" t="str">
        <f>TEXT(ASTemp!K1812,Decimals)</f>
        <v/>
      </c>
      <c r="L1812" s="69" t="str">
        <f>TEXT(ASTemp!L1812,Decimals)</f>
        <v/>
      </c>
      <c r="M1812" s="71" t="str">
        <f>TEXT(ASTemp!M1812,Percentages)</f>
        <v/>
      </c>
      <c r="N1812" s="72" t="str">
        <f>TEXT(ASTemp!N1812,Percentages)</f>
        <v/>
      </c>
    </row>
    <row r="1813" ht="14.25" customHeight="1">
      <c r="B1813" s="66" t="str">
        <f>ASTemp!B1813</f>
        <v/>
      </c>
      <c r="C1813" s="67" t="str">
        <f>ASTemp!C1813</f>
        <v/>
      </c>
      <c r="D1813" s="68" t="str">
        <f>ASTemp!D1813</f>
        <v/>
      </c>
      <c r="E1813" s="65" t="str">
        <f>ASTemp!E1813</f>
        <v/>
      </c>
      <c r="F1813" s="69" t="str">
        <f>TEXT(ASTemp!F1813,Decimals)</f>
        <v/>
      </c>
      <c r="G1813" s="69" t="str">
        <f>TEXT(ASTemp!G1813,Decimals)</f>
        <v/>
      </c>
      <c r="H1813" s="69" t="str">
        <f>TEXT(ASTemp!H1813,Decimals)</f>
        <v/>
      </c>
      <c r="I1813" s="69" t="str">
        <f>TEXT(ASTemp!I1813,Decimals)</f>
        <v/>
      </c>
      <c r="J1813" s="69" t="str">
        <f>TEXT(ASTemp!J1813,Decimals)</f>
        <v/>
      </c>
      <c r="K1813" s="69" t="str">
        <f>TEXT(ASTemp!K1813,Decimals)</f>
        <v/>
      </c>
      <c r="L1813" s="69" t="str">
        <f>TEXT(ASTemp!L1813,Decimals)</f>
        <v/>
      </c>
      <c r="M1813" s="71" t="str">
        <f>TEXT(ASTemp!M1813,Percentages)</f>
        <v/>
      </c>
      <c r="N1813" s="72" t="str">
        <f>TEXT(ASTemp!N1813,Percentages)</f>
        <v/>
      </c>
    </row>
    <row r="1814" ht="14.25" customHeight="1">
      <c r="B1814" s="66" t="str">
        <f>ASTemp!B1814</f>
        <v/>
      </c>
      <c r="C1814" s="67" t="str">
        <f>ASTemp!C1814</f>
        <v/>
      </c>
      <c r="D1814" s="68" t="str">
        <f>ASTemp!D1814</f>
        <v/>
      </c>
      <c r="E1814" s="65" t="str">
        <f>ASTemp!E1814</f>
        <v/>
      </c>
      <c r="F1814" s="69" t="str">
        <f>TEXT(ASTemp!F1814,Decimals)</f>
        <v/>
      </c>
      <c r="G1814" s="69" t="str">
        <f>TEXT(ASTemp!G1814,Decimals)</f>
        <v/>
      </c>
      <c r="H1814" s="69" t="str">
        <f>TEXT(ASTemp!H1814,Decimals)</f>
        <v/>
      </c>
      <c r="I1814" s="69" t="str">
        <f>TEXT(ASTemp!I1814,Decimals)</f>
        <v/>
      </c>
      <c r="J1814" s="69" t="str">
        <f>TEXT(ASTemp!J1814,Decimals)</f>
        <v/>
      </c>
      <c r="K1814" s="69" t="str">
        <f>TEXT(ASTemp!K1814,Decimals)</f>
        <v/>
      </c>
      <c r="L1814" s="69" t="str">
        <f>TEXT(ASTemp!L1814,Decimals)</f>
        <v/>
      </c>
      <c r="M1814" s="71" t="str">
        <f>TEXT(ASTemp!M1814,Percentages)</f>
        <v/>
      </c>
      <c r="N1814" s="72" t="str">
        <f>TEXT(ASTemp!N1814,Percentages)</f>
        <v/>
      </c>
    </row>
    <row r="1815" ht="14.25" customHeight="1">
      <c r="B1815" s="66" t="str">
        <f>ASTemp!B1815</f>
        <v/>
      </c>
      <c r="C1815" s="67" t="str">
        <f>ASTemp!C1815</f>
        <v/>
      </c>
      <c r="D1815" s="68" t="str">
        <f>ASTemp!D1815</f>
        <v/>
      </c>
      <c r="E1815" s="65" t="str">
        <f>ASTemp!E1815</f>
        <v/>
      </c>
      <c r="F1815" s="69" t="str">
        <f>TEXT(ASTemp!F1815,Decimals)</f>
        <v/>
      </c>
      <c r="G1815" s="69" t="str">
        <f>TEXT(ASTemp!G1815,Decimals)</f>
        <v/>
      </c>
      <c r="H1815" s="69" t="str">
        <f>TEXT(ASTemp!H1815,Decimals)</f>
        <v/>
      </c>
      <c r="I1815" s="69" t="str">
        <f>TEXT(ASTemp!I1815,Decimals)</f>
        <v/>
      </c>
      <c r="J1815" s="69" t="str">
        <f>TEXT(ASTemp!J1815,Decimals)</f>
        <v/>
      </c>
      <c r="K1815" s="69" t="str">
        <f>TEXT(ASTemp!K1815,Decimals)</f>
        <v/>
      </c>
      <c r="L1815" s="69" t="str">
        <f>TEXT(ASTemp!L1815,Decimals)</f>
        <v/>
      </c>
      <c r="M1815" s="71" t="str">
        <f>TEXT(ASTemp!M1815,Percentages)</f>
        <v/>
      </c>
      <c r="N1815" s="72" t="str">
        <f>TEXT(ASTemp!N1815,Percentages)</f>
        <v/>
      </c>
    </row>
    <row r="1816" ht="14.25" customHeight="1">
      <c r="B1816" s="66" t="str">
        <f>ASTemp!B1816</f>
        <v/>
      </c>
      <c r="C1816" s="67" t="str">
        <f>ASTemp!C1816</f>
        <v/>
      </c>
      <c r="D1816" s="68" t="str">
        <f>ASTemp!D1816</f>
        <v/>
      </c>
      <c r="E1816" s="65" t="str">
        <f>ASTemp!E1816</f>
        <v/>
      </c>
      <c r="F1816" s="69" t="str">
        <f>TEXT(ASTemp!F1816,Decimals)</f>
        <v/>
      </c>
      <c r="G1816" s="69" t="str">
        <f>TEXT(ASTemp!G1816,Decimals)</f>
        <v/>
      </c>
      <c r="H1816" s="69" t="str">
        <f>TEXT(ASTemp!H1816,Decimals)</f>
        <v/>
      </c>
      <c r="I1816" s="69" t="str">
        <f>TEXT(ASTemp!I1816,Decimals)</f>
        <v/>
      </c>
      <c r="J1816" s="69" t="str">
        <f>TEXT(ASTemp!J1816,Decimals)</f>
        <v/>
      </c>
      <c r="K1816" s="69" t="str">
        <f>TEXT(ASTemp!K1816,Decimals)</f>
        <v/>
      </c>
      <c r="L1816" s="69" t="str">
        <f>TEXT(ASTemp!L1816,Decimals)</f>
        <v/>
      </c>
      <c r="M1816" s="71" t="str">
        <f>TEXT(ASTemp!M1816,Percentages)</f>
        <v/>
      </c>
      <c r="N1816" s="72" t="str">
        <f>TEXT(ASTemp!N1816,Percentages)</f>
        <v/>
      </c>
    </row>
    <row r="1817" ht="14.25" customHeight="1">
      <c r="B1817" s="66" t="str">
        <f>ASTemp!B1817</f>
        <v/>
      </c>
      <c r="C1817" s="67" t="str">
        <f>ASTemp!C1817</f>
        <v/>
      </c>
      <c r="D1817" s="68" t="str">
        <f>ASTemp!D1817</f>
        <v/>
      </c>
      <c r="E1817" s="65" t="str">
        <f>ASTemp!E1817</f>
        <v/>
      </c>
      <c r="F1817" s="69" t="str">
        <f>TEXT(ASTemp!F1817,Decimals)</f>
        <v/>
      </c>
      <c r="G1817" s="69" t="str">
        <f>TEXT(ASTemp!G1817,Decimals)</f>
        <v/>
      </c>
      <c r="H1817" s="69" t="str">
        <f>TEXT(ASTemp!H1817,Decimals)</f>
        <v/>
      </c>
      <c r="I1817" s="69" t="str">
        <f>TEXT(ASTemp!I1817,Decimals)</f>
        <v/>
      </c>
      <c r="J1817" s="69" t="str">
        <f>TEXT(ASTemp!J1817,Decimals)</f>
        <v/>
      </c>
      <c r="K1817" s="69" t="str">
        <f>TEXT(ASTemp!K1817,Decimals)</f>
        <v/>
      </c>
      <c r="L1817" s="69" t="str">
        <f>TEXT(ASTemp!L1817,Decimals)</f>
        <v/>
      </c>
      <c r="M1817" s="71" t="str">
        <f>TEXT(ASTemp!M1817,Percentages)</f>
        <v/>
      </c>
      <c r="N1817" s="72" t="str">
        <f>TEXT(ASTemp!N1817,Percentages)</f>
        <v/>
      </c>
    </row>
    <row r="1818" ht="14.25" customHeight="1">
      <c r="B1818" s="66" t="str">
        <f>ASTemp!B1818</f>
        <v/>
      </c>
      <c r="C1818" s="67" t="str">
        <f>ASTemp!C1818</f>
        <v/>
      </c>
      <c r="D1818" s="68" t="str">
        <f>ASTemp!D1818</f>
        <v/>
      </c>
      <c r="E1818" s="65" t="str">
        <f>ASTemp!E1818</f>
        <v/>
      </c>
      <c r="F1818" s="69" t="str">
        <f>TEXT(ASTemp!F1818,Decimals)</f>
        <v/>
      </c>
      <c r="G1818" s="69" t="str">
        <f>TEXT(ASTemp!G1818,Decimals)</f>
        <v/>
      </c>
      <c r="H1818" s="69" t="str">
        <f>TEXT(ASTemp!H1818,Decimals)</f>
        <v/>
      </c>
      <c r="I1818" s="69" t="str">
        <f>TEXT(ASTemp!I1818,Decimals)</f>
        <v/>
      </c>
      <c r="J1818" s="69" t="str">
        <f>TEXT(ASTemp!J1818,Decimals)</f>
        <v/>
      </c>
      <c r="K1818" s="69" t="str">
        <f>TEXT(ASTemp!K1818,Decimals)</f>
        <v/>
      </c>
      <c r="L1818" s="69" t="str">
        <f>TEXT(ASTemp!L1818,Decimals)</f>
        <v/>
      </c>
      <c r="M1818" s="71" t="str">
        <f>TEXT(ASTemp!M1818,Percentages)</f>
        <v/>
      </c>
      <c r="N1818" s="72" t="str">
        <f>TEXT(ASTemp!N1818,Percentages)</f>
        <v/>
      </c>
    </row>
    <row r="1819" ht="14.25" customHeight="1">
      <c r="B1819" s="66" t="str">
        <f>ASTemp!B1819</f>
        <v/>
      </c>
      <c r="C1819" s="67" t="str">
        <f>ASTemp!C1819</f>
        <v/>
      </c>
      <c r="D1819" s="68" t="str">
        <f>ASTemp!D1819</f>
        <v/>
      </c>
      <c r="E1819" s="65" t="str">
        <f>ASTemp!E1819</f>
        <v/>
      </c>
      <c r="F1819" s="69" t="str">
        <f>TEXT(ASTemp!F1819,Decimals)</f>
        <v/>
      </c>
      <c r="G1819" s="69" t="str">
        <f>TEXT(ASTemp!G1819,Decimals)</f>
        <v/>
      </c>
      <c r="H1819" s="69" t="str">
        <f>TEXT(ASTemp!H1819,Decimals)</f>
        <v/>
      </c>
      <c r="I1819" s="69" t="str">
        <f>TEXT(ASTemp!I1819,Decimals)</f>
        <v/>
      </c>
      <c r="J1819" s="69" t="str">
        <f>TEXT(ASTemp!J1819,Decimals)</f>
        <v/>
      </c>
      <c r="K1819" s="69" t="str">
        <f>TEXT(ASTemp!K1819,Decimals)</f>
        <v/>
      </c>
      <c r="L1819" s="69" t="str">
        <f>TEXT(ASTemp!L1819,Decimals)</f>
        <v/>
      </c>
      <c r="M1819" s="71" t="str">
        <f>TEXT(ASTemp!M1819,Percentages)</f>
        <v/>
      </c>
      <c r="N1819" s="72" t="str">
        <f>TEXT(ASTemp!N1819,Percentages)</f>
        <v/>
      </c>
    </row>
    <row r="1820" ht="14.25" customHeight="1">
      <c r="B1820" s="66" t="str">
        <f>ASTemp!B1820</f>
        <v/>
      </c>
      <c r="C1820" s="67" t="str">
        <f>ASTemp!C1820</f>
        <v/>
      </c>
      <c r="D1820" s="68" t="str">
        <f>ASTemp!D1820</f>
        <v/>
      </c>
      <c r="E1820" s="65" t="str">
        <f>ASTemp!E1820</f>
        <v/>
      </c>
      <c r="F1820" s="69" t="str">
        <f>TEXT(ASTemp!F1820,Decimals)</f>
        <v/>
      </c>
      <c r="G1820" s="69" t="str">
        <f>TEXT(ASTemp!G1820,Decimals)</f>
        <v/>
      </c>
      <c r="H1820" s="69" t="str">
        <f>TEXT(ASTemp!H1820,Decimals)</f>
        <v/>
      </c>
      <c r="I1820" s="69" t="str">
        <f>TEXT(ASTemp!I1820,Decimals)</f>
        <v/>
      </c>
      <c r="J1820" s="69" t="str">
        <f>TEXT(ASTemp!J1820,Decimals)</f>
        <v/>
      </c>
      <c r="K1820" s="69" t="str">
        <f>TEXT(ASTemp!K1820,Decimals)</f>
        <v/>
      </c>
      <c r="L1820" s="69" t="str">
        <f>TEXT(ASTemp!L1820,Decimals)</f>
        <v/>
      </c>
      <c r="M1820" s="71" t="str">
        <f>TEXT(ASTemp!M1820,Percentages)</f>
        <v/>
      </c>
      <c r="N1820" s="72" t="str">
        <f>TEXT(ASTemp!N1820,Percentages)</f>
        <v/>
      </c>
    </row>
    <row r="1821" ht="14.25" customHeight="1">
      <c r="B1821" s="66" t="str">
        <f>ASTemp!B1821</f>
        <v/>
      </c>
      <c r="C1821" s="67" t="str">
        <f>ASTemp!C1821</f>
        <v/>
      </c>
      <c r="D1821" s="68" t="str">
        <f>ASTemp!D1821</f>
        <v/>
      </c>
      <c r="E1821" s="65" t="str">
        <f>ASTemp!E1821</f>
        <v/>
      </c>
      <c r="F1821" s="69" t="str">
        <f>TEXT(ASTemp!F1821,Decimals)</f>
        <v/>
      </c>
      <c r="G1821" s="69" t="str">
        <f>TEXT(ASTemp!G1821,Decimals)</f>
        <v/>
      </c>
      <c r="H1821" s="69" t="str">
        <f>TEXT(ASTemp!H1821,Decimals)</f>
        <v/>
      </c>
      <c r="I1821" s="69" t="str">
        <f>TEXT(ASTemp!I1821,Decimals)</f>
        <v/>
      </c>
      <c r="J1821" s="69" t="str">
        <f>TEXT(ASTemp!J1821,Decimals)</f>
        <v/>
      </c>
      <c r="K1821" s="69" t="str">
        <f>TEXT(ASTemp!K1821,Decimals)</f>
        <v/>
      </c>
      <c r="L1821" s="69" t="str">
        <f>TEXT(ASTemp!L1821,Decimals)</f>
        <v/>
      </c>
      <c r="M1821" s="71" t="str">
        <f>TEXT(ASTemp!M1821,Percentages)</f>
        <v/>
      </c>
      <c r="N1821" s="72" t="str">
        <f>TEXT(ASTemp!N1821,Percentages)</f>
        <v/>
      </c>
    </row>
    <row r="1822" ht="14.25" customHeight="1">
      <c r="B1822" s="66" t="str">
        <f>ASTemp!B1822</f>
        <v/>
      </c>
      <c r="C1822" s="67" t="str">
        <f>ASTemp!C1822</f>
        <v/>
      </c>
      <c r="D1822" s="68" t="str">
        <f>ASTemp!D1822</f>
        <v/>
      </c>
      <c r="E1822" s="65" t="str">
        <f>ASTemp!E1822</f>
        <v/>
      </c>
      <c r="F1822" s="69" t="str">
        <f>TEXT(ASTemp!F1822,Decimals)</f>
        <v/>
      </c>
      <c r="G1822" s="69" t="str">
        <f>TEXT(ASTemp!G1822,Decimals)</f>
        <v/>
      </c>
      <c r="H1822" s="69" t="str">
        <f>TEXT(ASTemp!H1822,Decimals)</f>
        <v/>
      </c>
      <c r="I1822" s="69" t="str">
        <f>TEXT(ASTemp!I1822,Decimals)</f>
        <v/>
      </c>
      <c r="J1822" s="69" t="str">
        <f>TEXT(ASTemp!J1822,Decimals)</f>
        <v/>
      </c>
      <c r="K1822" s="69" t="str">
        <f>TEXT(ASTemp!K1822,Decimals)</f>
        <v/>
      </c>
      <c r="L1822" s="69" t="str">
        <f>TEXT(ASTemp!L1822,Decimals)</f>
        <v/>
      </c>
      <c r="M1822" s="71" t="str">
        <f>TEXT(ASTemp!M1822,Percentages)</f>
        <v/>
      </c>
      <c r="N1822" s="72" t="str">
        <f>TEXT(ASTemp!N1822,Percentages)</f>
        <v/>
      </c>
    </row>
    <row r="1823" ht="14.25" customHeight="1">
      <c r="B1823" s="66" t="str">
        <f>ASTemp!B1823</f>
        <v/>
      </c>
      <c r="C1823" s="67" t="str">
        <f>ASTemp!C1823</f>
        <v/>
      </c>
      <c r="D1823" s="68" t="str">
        <f>ASTemp!D1823</f>
        <v/>
      </c>
      <c r="E1823" s="65" t="str">
        <f>ASTemp!E1823</f>
        <v/>
      </c>
      <c r="F1823" s="69" t="str">
        <f>TEXT(ASTemp!F1823,Decimals)</f>
        <v/>
      </c>
      <c r="G1823" s="69" t="str">
        <f>TEXT(ASTemp!G1823,Decimals)</f>
        <v/>
      </c>
      <c r="H1823" s="69" t="str">
        <f>TEXT(ASTemp!H1823,Decimals)</f>
        <v/>
      </c>
      <c r="I1823" s="69" t="str">
        <f>TEXT(ASTemp!I1823,Decimals)</f>
        <v/>
      </c>
      <c r="J1823" s="69" t="str">
        <f>TEXT(ASTemp!J1823,Decimals)</f>
        <v/>
      </c>
      <c r="K1823" s="69" t="str">
        <f>TEXT(ASTemp!K1823,Decimals)</f>
        <v/>
      </c>
      <c r="L1823" s="69" t="str">
        <f>TEXT(ASTemp!L1823,Decimals)</f>
        <v/>
      </c>
      <c r="M1823" s="71" t="str">
        <f>TEXT(ASTemp!M1823,Percentages)</f>
        <v/>
      </c>
      <c r="N1823" s="72" t="str">
        <f>TEXT(ASTemp!N1823,Percentages)</f>
        <v/>
      </c>
    </row>
    <row r="1824" ht="14.25" customHeight="1">
      <c r="B1824" s="66" t="str">
        <f>ASTemp!B1824</f>
        <v/>
      </c>
      <c r="C1824" s="67" t="str">
        <f>ASTemp!C1824</f>
        <v/>
      </c>
      <c r="D1824" s="68" t="str">
        <f>ASTemp!D1824</f>
        <v/>
      </c>
      <c r="E1824" s="65" t="str">
        <f>ASTemp!E1824</f>
        <v/>
      </c>
      <c r="F1824" s="69" t="str">
        <f>TEXT(ASTemp!F1824,Decimals)</f>
        <v/>
      </c>
      <c r="G1824" s="69" t="str">
        <f>TEXT(ASTemp!G1824,Decimals)</f>
        <v/>
      </c>
      <c r="H1824" s="69" t="str">
        <f>TEXT(ASTemp!H1824,Decimals)</f>
        <v/>
      </c>
      <c r="I1824" s="69" t="str">
        <f>TEXT(ASTemp!I1824,Decimals)</f>
        <v/>
      </c>
      <c r="J1824" s="69" t="str">
        <f>TEXT(ASTemp!J1824,Decimals)</f>
        <v/>
      </c>
      <c r="K1824" s="69" t="str">
        <f>TEXT(ASTemp!K1824,Decimals)</f>
        <v/>
      </c>
      <c r="L1824" s="69" t="str">
        <f>TEXT(ASTemp!L1824,Decimals)</f>
        <v/>
      </c>
      <c r="M1824" s="71" t="str">
        <f>TEXT(ASTemp!M1824,Percentages)</f>
        <v/>
      </c>
      <c r="N1824" s="72" t="str">
        <f>TEXT(ASTemp!N1824,Percentages)</f>
        <v/>
      </c>
    </row>
    <row r="1825" ht="14.25" customHeight="1">
      <c r="B1825" s="66" t="str">
        <f>ASTemp!B1825</f>
        <v/>
      </c>
      <c r="C1825" s="67" t="str">
        <f>ASTemp!C1825</f>
        <v/>
      </c>
      <c r="D1825" s="68" t="str">
        <f>ASTemp!D1825</f>
        <v/>
      </c>
      <c r="E1825" s="65" t="str">
        <f>ASTemp!E1825</f>
        <v/>
      </c>
      <c r="F1825" s="69" t="str">
        <f>TEXT(ASTemp!F1825,Decimals)</f>
        <v/>
      </c>
      <c r="G1825" s="69" t="str">
        <f>TEXT(ASTemp!G1825,Decimals)</f>
        <v/>
      </c>
      <c r="H1825" s="69" t="str">
        <f>TEXT(ASTemp!H1825,Decimals)</f>
        <v/>
      </c>
      <c r="I1825" s="69" t="str">
        <f>TEXT(ASTemp!I1825,Decimals)</f>
        <v/>
      </c>
      <c r="J1825" s="69" t="str">
        <f>TEXT(ASTemp!J1825,Decimals)</f>
        <v/>
      </c>
      <c r="K1825" s="69" t="str">
        <f>TEXT(ASTemp!K1825,Decimals)</f>
        <v/>
      </c>
      <c r="L1825" s="69" t="str">
        <f>TEXT(ASTemp!L1825,Decimals)</f>
        <v/>
      </c>
      <c r="M1825" s="71" t="str">
        <f>TEXT(ASTemp!M1825,Percentages)</f>
        <v/>
      </c>
      <c r="N1825" s="72" t="str">
        <f>TEXT(ASTemp!N1825,Percentages)</f>
        <v/>
      </c>
    </row>
    <row r="1826" ht="14.25" customHeight="1">
      <c r="B1826" s="66" t="str">
        <f>ASTemp!B1826</f>
        <v/>
      </c>
      <c r="C1826" s="67" t="str">
        <f>ASTemp!C1826</f>
        <v/>
      </c>
      <c r="D1826" s="68" t="str">
        <f>ASTemp!D1826</f>
        <v/>
      </c>
      <c r="E1826" s="65" t="str">
        <f>ASTemp!E1826</f>
        <v/>
      </c>
      <c r="F1826" s="69" t="str">
        <f>TEXT(ASTemp!F1826,Decimals)</f>
        <v/>
      </c>
      <c r="G1826" s="69" t="str">
        <f>TEXT(ASTemp!G1826,Decimals)</f>
        <v/>
      </c>
      <c r="H1826" s="69" t="str">
        <f>TEXT(ASTemp!H1826,Decimals)</f>
        <v/>
      </c>
      <c r="I1826" s="69" t="str">
        <f>TEXT(ASTemp!I1826,Decimals)</f>
        <v/>
      </c>
      <c r="J1826" s="69" t="str">
        <f>TEXT(ASTemp!J1826,Decimals)</f>
        <v/>
      </c>
      <c r="K1826" s="69" t="str">
        <f>TEXT(ASTemp!K1826,Decimals)</f>
        <v/>
      </c>
      <c r="L1826" s="69" t="str">
        <f>TEXT(ASTemp!L1826,Decimals)</f>
        <v/>
      </c>
      <c r="M1826" s="71" t="str">
        <f>TEXT(ASTemp!M1826,Percentages)</f>
        <v/>
      </c>
      <c r="N1826" s="72" t="str">
        <f>TEXT(ASTemp!N1826,Percentages)</f>
        <v/>
      </c>
    </row>
    <row r="1827" ht="14.25" customHeight="1">
      <c r="B1827" s="66" t="str">
        <f>ASTemp!B1827</f>
        <v/>
      </c>
      <c r="C1827" s="67" t="str">
        <f>ASTemp!C1827</f>
        <v/>
      </c>
      <c r="D1827" s="68" t="str">
        <f>ASTemp!D1827</f>
        <v/>
      </c>
      <c r="E1827" s="65" t="str">
        <f>ASTemp!E1827</f>
        <v/>
      </c>
      <c r="F1827" s="69" t="str">
        <f>TEXT(ASTemp!F1827,Decimals)</f>
        <v/>
      </c>
      <c r="G1827" s="69" t="str">
        <f>TEXT(ASTemp!G1827,Decimals)</f>
        <v/>
      </c>
      <c r="H1827" s="69" t="str">
        <f>TEXT(ASTemp!H1827,Decimals)</f>
        <v/>
      </c>
      <c r="I1827" s="69" t="str">
        <f>TEXT(ASTemp!I1827,Decimals)</f>
        <v/>
      </c>
      <c r="J1827" s="69" t="str">
        <f>TEXT(ASTemp!J1827,Decimals)</f>
        <v/>
      </c>
      <c r="K1827" s="69" t="str">
        <f>TEXT(ASTemp!K1827,Decimals)</f>
        <v/>
      </c>
      <c r="L1827" s="69" t="str">
        <f>TEXT(ASTemp!L1827,Decimals)</f>
        <v/>
      </c>
      <c r="M1827" s="71" t="str">
        <f>TEXT(ASTemp!M1827,Percentages)</f>
        <v/>
      </c>
      <c r="N1827" s="72" t="str">
        <f>TEXT(ASTemp!N1827,Percentages)</f>
        <v/>
      </c>
    </row>
    <row r="1828" ht="14.25" customHeight="1">
      <c r="B1828" s="66" t="str">
        <f>ASTemp!B1828</f>
        <v/>
      </c>
      <c r="C1828" s="67" t="str">
        <f>ASTemp!C1828</f>
        <v/>
      </c>
      <c r="D1828" s="68" t="str">
        <f>ASTemp!D1828</f>
        <v/>
      </c>
      <c r="E1828" s="65" t="str">
        <f>ASTemp!E1828</f>
        <v/>
      </c>
      <c r="F1828" s="69" t="str">
        <f>TEXT(ASTemp!F1828,Decimals)</f>
        <v/>
      </c>
      <c r="G1828" s="69" t="str">
        <f>TEXT(ASTemp!G1828,Decimals)</f>
        <v/>
      </c>
      <c r="H1828" s="69" t="str">
        <f>TEXT(ASTemp!H1828,Decimals)</f>
        <v/>
      </c>
      <c r="I1828" s="69" t="str">
        <f>TEXT(ASTemp!I1828,Decimals)</f>
        <v/>
      </c>
      <c r="J1828" s="69" t="str">
        <f>TEXT(ASTemp!J1828,Decimals)</f>
        <v/>
      </c>
      <c r="K1828" s="69" t="str">
        <f>TEXT(ASTemp!K1828,Decimals)</f>
        <v/>
      </c>
      <c r="L1828" s="69" t="str">
        <f>TEXT(ASTemp!L1828,Decimals)</f>
        <v/>
      </c>
      <c r="M1828" s="71" t="str">
        <f>TEXT(ASTemp!M1828,Percentages)</f>
        <v/>
      </c>
      <c r="N1828" s="72" t="str">
        <f>TEXT(ASTemp!N1828,Percentages)</f>
        <v/>
      </c>
    </row>
    <row r="1829" ht="14.25" customHeight="1">
      <c r="B1829" s="66" t="str">
        <f>ASTemp!B1829</f>
        <v/>
      </c>
      <c r="C1829" s="67" t="str">
        <f>ASTemp!C1829</f>
        <v/>
      </c>
      <c r="D1829" s="68" t="str">
        <f>ASTemp!D1829</f>
        <v/>
      </c>
      <c r="E1829" s="65" t="str">
        <f>ASTemp!E1829</f>
        <v/>
      </c>
      <c r="F1829" s="69" t="str">
        <f>TEXT(ASTemp!F1829,Decimals)</f>
        <v/>
      </c>
      <c r="G1829" s="69" t="str">
        <f>TEXT(ASTemp!G1829,Decimals)</f>
        <v/>
      </c>
      <c r="H1829" s="69" t="str">
        <f>TEXT(ASTemp!H1829,Decimals)</f>
        <v/>
      </c>
      <c r="I1829" s="69" t="str">
        <f>TEXT(ASTemp!I1829,Decimals)</f>
        <v/>
      </c>
      <c r="J1829" s="69" t="str">
        <f>TEXT(ASTemp!J1829,Decimals)</f>
        <v/>
      </c>
      <c r="K1829" s="69" t="str">
        <f>TEXT(ASTemp!K1829,Decimals)</f>
        <v/>
      </c>
      <c r="L1829" s="69" t="str">
        <f>TEXT(ASTemp!L1829,Decimals)</f>
        <v/>
      </c>
      <c r="M1829" s="71" t="str">
        <f>TEXT(ASTemp!M1829,Percentages)</f>
        <v/>
      </c>
      <c r="N1829" s="72" t="str">
        <f>TEXT(ASTemp!N1829,Percentages)</f>
        <v/>
      </c>
    </row>
    <row r="1830" ht="14.25" customHeight="1">
      <c r="B1830" s="66" t="str">
        <f>ASTemp!B1830</f>
        <v/>
      </c>
      <c r="C1830" s="67" t="str">
        <f>ASTemp!C1830</f>
        <v/>
      </c>
      <c r="D1830" s="68" t="str">
        <f>ASTemp!D1830</f>
        <v/>
      </c>
      <c r="E1830" s="65" t="str">
        <f>ASTemp!E1830</f>
        <v/>
      </c>
      <c r="F1830" s="69" t="str">
        <f>TEXT(ASTemp!F1830,Decimals)</f>
        <v/>
      </c>
      <c r="G1830" s="69" t="str">
        <f>TEXT(ASTemp!G1830,Decimals)</f>
        <v/>
      </c>
      <c r="H1830" s="69" t="str">
        <f>TEXT(ASTemp!H1830,Decimals)</f>
        <v/>
      </c>
      <c r="I1830" s="69" t="str">
        <f>TEXT(ASTemp!I1830,Decimals)</f>
        <v/>
      </c>
      <c r="J1830" s="69" t="str">
        <f>TEXT(ASTemp!J1830,Decimals)</f>
        <v/>
      </c>
      <c r="K1830" s="69" t="str">
        <f>TEXT(ASTemp!K1830,Decimals)</f>
        <v/>
      </c>
      <c r="L1830" s="69" t="str">
        <f>TEXT(ASTemp!L1830,Decimals)</f>
        <v/>
      </c>
      <c r="M1830" s="71" t="str">
        <f>TEXT(ASTemp!M1830,Percentages)</f>
        <v/>
      </c>
      <c r="N1830" s="72" t="str">
        <f>TEXT(ASTemp!N1830,Percentages)</f>
        <v/>
      </c>
    </row>
    <row r="1831" ht="14.25" customHeight="1">
      <c r="B1831" s="66" t="str">
        <f>ASTemp!B1831</f>
        <v/>
      </c>
      <c r="C1831" s="67" t="str">
        <f>ASTemp!C1831</f>
        <v/>
      </c>
      <c r="D1831" s="68" t="str">
        <f>ASTemp!D1831</f>
        <v/>
      </c>
      <c r="E1831" s="65" t="str">
        <f>ASTemp!E1831</f>
        <v/>
      </c>
      <c r="F1831" s="69" t="str">
        <f>TEXT(ASTemp!F1831,Decimals)</f>
        <v/>
      </c>
      <c r="G1831" s="69" t="str">
        <f>TEXT(ASTemp!G1831,Decimals)</f>
        <v/>
      </c>
      <c r="H1831" s="69" t="str">
        <f>TEXT(ASTemp!H1831,Decimals)</f>
        <v/>
      </c>
      <c r="I1831" s="69" t="str">
        <f>TEXT(ASTemp!I1831,Decimals)</f>
        <v/>
      </c>
      <c r="J1831" s="69" t="str">
        <f>TEXT(ASTemp!J1831,Decimals)</f>
        <v/>
      </c>
      <c r="K1831" s="69" t="str">
        <f>TEXT(ASTemp!K1831,Decimals)</f>
        <v/>
      </c>
      <c r="L1831" s="69" t="str">
        <f>TEXT(ASTemp!L1831,Decimals)</f>
        <v/>
      </c>
      <c r="M1831" s="71" t="str">
        <f>TEXT(ASTemp!M1831,Percentages)</f>
        <v/>
      </c>
      <c r="N1831" s="72" t="str">
        <f>TEXT(ASTemp!N1831,Percentages)</f>
        <v/>
      </c>
    </row>
    <row r="1832" ht="14.25" customHeight="1">
      <c r="B1832" s="66" t="str">
        <f>ASTemp!B1832</f>
        <v/>
      </c>
      <c r="C1832" s="67" t="str">
        <f>ASTemp!C1832</f>
        <v/>
      </c>
      <c r="D1832" s="68" t="str">
        <f>ASTemp!D1832</f>
        <v/>
      </c>
      <c r="E1832" s="65" t="str">
        <f>ASTemp!E1832</f>
        <v/>
      </c>
      <c r="F1832" s="69" t="str">
        <f>TEXT(ASTemp!F1832,Decimals)</f>
        <v/>
      </c>
      <c r="G1832" s="69" t="str">
        <f>TEXT(ASTemp!G1832,Decimals)</f>
        <v/>
      </c>
      <c r="H1832" s="69" t="str">
        <f>TEXT(ASTemp!H1832,Decimals)</f>
        <v/>
      </c>
      <c r="I1832" s="69" t="str">
        <f>TEXT(ASTemp!I1832,Decimals)</f>
        <v/>
      </c>
      <c r="J1832" s="69" t="str">
        <f>TEXT(ASTemp!J1832,Decimals)</f>
        <v/>
      </c>
      <c r="K1832" s="69" t="str">
        <f>TEXT(ASTemp!K1832,Decimals)</f>
        <v/>
      </c>
      <c r="L1832" s="69" t="str">
        <f>TEXT(ASTemp!L1832,Decimals)</f>
        <v/>
      </c>
      <c r="M1832" s="71" t="str">
        <f>TEXT(ASTemp!M1832,Percentages)</f>
        <v/>
      </c>
      <c r="N1832" s="72" t="str">
        <f>TEXT(ASTemp!N1832,Percentages)</f>
        <v/>
      </c>
    </row>
    <row r="1833" ht="14.25" customHeight="1">
      <c r="B1833" s="66" t="str">
        <f>ASTemp!B1833</f>
        <v/>
      </c>
      <c r="C1833" s="67" t="str">
        <f>ASTemp!C1833</f>
        <v/>
      </c>
      <c r="D1833" s="68" t="str">
        <f>ASTemp!D1833</f>
        <v/>
      </c>
      <c r="E1833" s="65" t="str">
        <f>ASTemp!E1833</f>
        <v/>
      </c>
      <c r="F1833" s="69" t="str">
        <f>TEXT(ASTemp!F1833,Decimals)</f>
        <v/>
      </c>
      <c r="G1833" s="69" t="str">
        <f>TEXT(ASTemp!G1833,Decimals)</f>
        <v/>
      </c>
      <c r="H1833" s="69" t="str">
        <f>TEXT(ASTemp!H1833,Decimals)</f>
        <v/>
      </c>
      <c r="I1833" s="69" t="str">
        <f>TEXT(ASTemp!I1833,Decimals)</f>
        <v/>
      </c>
      <c r="J1833" s="69" t="str">
        <f>TEXT(ASTemp!J1833,Decimals)</f>
        <v/>
      </c>
      <c r="K1833" s="69" t="str">
        <f>TEXT(ASTemp!K1833,Decimals)</f>
        <v/>
      </c>
      <c r="L1833" s="69" t="str">
        <f>TEXT(ASTemp!L1833,Decimals)</f>
        <v/>
      </c>
      <c r="M1833" s="71" t="str">
        <f>TEXT(ASTemp!M1833,Percentages)</f>
        <v/>
      </c>
      <c r="N1833" s="72" t="str">
        <f>TEXT(ASTemp!N1833,Percentages)</f>
        <v/>
      </c>
    </row>
    <row r="1834" ht="14.25" customHeight="1">
      <c r="B1834" s="66" t="str">
        <f>ASTemp!B1834</f>
        <v/>
      </c>
      <c r="C1834" s="67" t="str">
        <f>ASTemp!C1834</f>
        <v/>
      </c>
      <c r="D1834" s="68" t="str">
        <f>ASTemp!D1834</f>
        <v/>
      </c>
      <c r="E1834" s="65" t="str">
        <f>ASTemp!E1834</f>
        <v/>
      </c>
      <c r="F1834" s="69" t="str">
        <f>TEXT(ASTemp!F1834,Decimals)</f>
        <v/>
      </c>
      <c r="G1834" s="69" t="str">
        <f>TEXT(ASTemp!G1834,Decimals)</f>
        <v/>
      </c>
      <c r="H1834" s="69" t="str">
        <f>TEXT(ASTemp!H1834,Decimals)</f>
        <v/>
      </c>
      <c r="I1834" s="69" t="str">
        <f>TEXT(ASTemp!I1834,Decimals)</f>
        <v/>
      </c>
      <c r="J1834" s="69" t="str">
        <f>TEXT(ASTemp!J1834,Decimals)</f>
        <v/>
      </c>
      <c r="K1834" s="69" t="str">
        <f>TEXT(ASTemp!K1834,Decimals)</f>
        <v/>
      </c>
      <c r="L1834" s="69" t="str">
        <f>TEXT(ASTemp!L1834,Decimals)</f>
        <v/>
      </c>
      <c r="M1834" s="71" t="str">
        <f>TEXT(ASTemp!M1834,Percentages)</f>
        <v/>
      </c>
      <c r="N1834" s="72" t="str">
        <f>TEXT(ASTemp!N1834,Percentages)</f>
        <v/>
      </c>
    </row>
    <row r="1835" ht="14.25" customHeight="1">
      <c r="B1835" s="66" t="str">
        <f>ASTemp!B1835</f>
        <v/>
      </c>
      <c r="C1835" s="67" t="str">
        <f>ASTemp!C1835</f>
        <v/>
      </c>
      <c r="D1835" s="68" t="str">
        <f>ASTemp!D1835</f>
        <v/>
      </c>
      <c r="E1835" s="65" t="str">
        <f>ASTemp!E1835</f>
        <v/>
      </c>
      <c r="F1835" s="69" t="str">
        <f>TEXT(ASTemp!F1835,Decimals)</f>
        <v/>
      </c>
      <c r="G1835" s="69" t="str">
        <f>TEXT(ASTemp!G1835,Decimals)</f>
        <v/>
      </c>
      <c r="H1835" s="69" t="str">
        <f>TEXT(ASTemp!H1835,Decimals)</f>
        <v/>
      </c>
      <c r="I1835" s="69" t="str">
        <f>TEXT(ASTemp!I1835,Decimals)</f>
        <v/>
      </c>
      <c r="J1835" s="69" t="str">
        <f>TEXT(ASTemp!J1835,Decimals)</f>
        <v/>
      </c>
      <c r="K1835" s="69" t="str">
        <f>TEXT(ASTemp!K1835,Decimals)</f>
        <v/>
      </c>
      <c r="L1835" s="69" t="str">
        <f>TEXT(ASTemp!L1835,Decimals)</f>
        <v/>
      </c>
      <c r="M1835" s="71" t="str">
        <f>TEXT(ASTemp!M1835,Percentages)</f>
        <v/>
      </c>
      <c r="N1835" s="72" t="str">
        <f>TEXT(ASTemp!N1835,Percentages)</f>
        <v/>
      </c>
    </row>
    <row r="1836" ht="14.25" customHeight="1">
      <c r="B1836" s="66" t="str">
        <f>ASTemp!B1836</f>
        <v/>
      </c>
      <c r="C1836" s="67" t="str">
        <f>ASTemp!C1836</f>
        <v/>
      </c>
      <c r="D1836" s="68" t="str">
        <f>ASTemp!D1836</f>
        <v/>
      </c>
      <c r="E1836" s="65" t="str">
        <f>ASTemp!E1836</f>
        <v/>
      </c>
      <c r="F1836" s="69" t="str">
        <f>TEXT(ASTemp!F1836,Decimals)</f>
        <v/>
      </c>
      <c r="G1836" s="69" t="str">
        <f>TEXT(ASTemp!G1836,Decimals)</f>
        <v/>
      </c>
      <c r="H1836" s="69" t="str">
        <f>TEXT(ASTemp!H1836,Decimals)</f>
        <v/>
      </c>
      <c r="I1836" s="69" t="str">
        <f>TEXT(ASTemp!I1836,Decimals)</f>
        <v/>
      </c>
      <c r="J1836" s="69" t="str">
        <f>TEXT(ASTemp!J1836,Decimals)</f>
        <v/>
      </c>
      <c r="K1836" s="69" t="str">
        <f>TEXT(ASTemp!K1836,Decimals)</f>
        <v/>
      </c>
      <c r="L1836" s="69" t="str">
        <f>TEXT(ASTemp!L1836,Decimals)</f>
        <v/>
      </c>
      <c r="M1836" s="71" t="str">
        <f>TEXT(ASTemp!M1836,Percentages)</f>
        <v/>
      </c>
      <c r="N1836" s="72" t="str">
        <f>TEXT(ASTemp!N1836,Percentages)</f>
        <v/>
      </c>
    </row>
    <row r="1837" ht="14.25" customHeight="1">
      <c r="B1837" s="66" t="str">
        <f>ASTemp!B1837</f>
        <v/>
      </c>
      <c r="C1837" s="67" t="str">
        <f>ASTemp!C1837</f>
        <v/>
      </c>
      <c r="D1837" s="68" t="str">
        <f>ASTemp!D1837</f>
        <v/>
      </c>
      <c r="E1837" s="65" t="str">
        <f>ASTemp!E1837</f>
        <v/>
      </c>
      <c r="F1837" s="69" t="str">
        <f>TEXT(ASTemp!F1837,Decimals)</f>
        <v/>
      </c>
      <c r="G1837" s="69" t="str">
        <f>TEXT(ASTemp!G1837,Decimals)</f>
        <v/>
      </c>
      <c r="H1837" s="69" t="str">
        <f>TEXT(ASTemp!H1837,Decimals)</f>
        <v/>
      </c>
      <c r="I1837" s="69" t="str">
        <f>TEXT(ASTemp!I1837,Decimals)</f>
        <v/>
      </c>
      <c r="J1837" s="69" t="str">
        <f>TEXT(ASTemp!J1837,Decimals)</f>
        <v/>
      </c>
      <c r="K1837" s="69" t="str">
        <f>TEXT(ASTemp!K1837,Decimals)</f>
        <v/>
      </c>
      <c r="L1837" s="69" t="str">
        <f>TEXT(ASTemp!L1837,Decimals)</f>
        <v/>
      </c>
      <c r="M1837" s="71" t="str">
        <f>TEXT(ASTemp!M1837,Percentages)</f>
        <v/>
      </c>
      <c r="N1837" s="72" t="str">
        <f>TEXT(ASTemp!N1837,Percentages)</f>
        <v/>
      </c>
    </row>
    <row r="1838" ht="14.25" customHeight="1">
      <c r="B1838" s="66" t="str">
        <f>ASTemp!B1838</f>
        <v/>
      </c>
      <c r="C1838" s="67" t="str">
        <f>ASTemp!C1838</f>
        <v/>
      </c>
      <c r="D1838" s="68" t="str">
        <f>ASTemp!D1838</f>
        <v/>
      </c>
      <c r="E1838" s="65" t="str">
        <f>ASTemp!E1838</f>
        <v/>
      </c>
      <c r="F1838" s="69" t="str">
        <f>TEXT(ASTemp!F1838,Decimals)</f>
        <v/>
      </c>
      <c r="G1838" s="69" t="str">
        <f>TEXT(ASTemp!G1838,Decimals)</f>
        <v/>
      </c>
      <c r="H1838" s="69" t="str">
        <f>TEXT(ASTemp!H1838,Decimals)</f>
        <v/>
      </c>
      <c r="I1838" s="69" t="str">
        <f>TEXT(ASTemp!I1838,Decimals)</f>
        <v/>
      </c>
      <c r="J1838" s="69" t="str">
        <f>TEXT(ASTemp!J1838,Decimals)</f>
        <v/>
      </c>
      <c r="K1838" s="69" t="str">
        <f>TEXT(ASTemp!K1838,Decimals)</f>
        <v/>
      </c>
      <c r="L1838" s="69" t="str">
        <f>TEXT(ASTemp!L1838,Decimals)</f>
        <v/>
      </c>
      <c r="M1838" s="71" t="str">
        <f>TEXT(ASTemp!M1838,Percentages)</f>
        <v/>
      </c>
      <c r="N1838" s="72" t="str">
        <f>TEXT(ASTemp!N1838,Percentages)</f>
        <v/>
      </c>
    </row>
    <row r="1839" ht="14.25" customHeight="1">
      <c r="B1839" s="66" t="str">
        <f>ASTemp!B1839</f>
        <v/>
      </c>
      <c r="C1839" s="67" t="str">
        <f>ASTemp!C1839</f>
        <v/>
      </c>
      <c r="D1839" s="68" t="str">
        <f>ASTemp!D1839</f>
        <v/>
      </c>
      <c r="E1839" s="65" t="str">
        <f>ASTemp!E1839</f>
        <v/>
      </c>
      <c r="F1839" s="69" t="str">
        <f>TEXT(ASTemp!F1839,Decimals)</f>
        <v/>
      </c>
      <c r="G1839" s="69" t="str">
        <f>TEXT(ASTemp!G1839,Decimals)</f>
        <v/>
      </c>
      <c r="H1839" s="69" t="str">
        <f>TEXT(ASTemp!H1839,Decimals)</f>
        <v/>
      </c>
      <c r="I1839" s="69" t="str">
        <f>TEXT(ASTemp!I1839,Decimals)</f>
        <v/>
      </c>
      <c r="J1839" s="69" t="str">
        <f>TEXT(ASTemp!J1839,Decimals)</f>
        <v/>
      </c>
      <c r="K1839" s="69" t="str">
        <f>TEXT(ASTemp!K1839,Decimals)</f>
        <v/>
      </c>
      <c r="L1839" s="69" t="str">
        <f>TEXT(ASTemp!L1839,Decimals)</f>
        <v/>
      </c>
      <c r="M1839" s="71" t="str">
        <f>TEXT(ASTemp!M1839,Percentages)</f>
        <v/>
      </c>
      <c r="N1839" s="72" t="str">
        <f>TEXT(ASTemp!N1839,Percentages)</f>
        <v/>
      </c>
    </row>
    <row r="1840" ht="14.25" customHeight="1">
      <c r="B1840" s="66" t="str">
        <f>ASTemp!B1840</f>
        <v/>
      </c>
      <c r="C1840" s="67" t="str">
        <f>ASTemp!C1840</f>
        <v/>
      </c>
      <c r="D1840" s="68" t="str">
        <f>ASTemp!D1840</f>
        <v/>
      </c>
      <c r="E1840" s="65" t="str">
        <f>ASTemp!E1840</f>
        <v/>
      </c>
      <c r="F1840" s="69" t="str">
        <f>TEXT(ASTemp!F1840,Decimals)</f>
        <v/>
      </c>
      <c r="G1840" s="69" t="str">
        <f>TEXT(ASTemp!G1840,Decimals)</f>
        <v/>
      </c>
      <c r="H1840" s="69" t="str">
        <f>TEXT(ASTemp!H1840,Decimals)</f>
        <v/>
      </c>
      <c r="I1840" s="69" t="str">
        <f>TEXT(ASTemp!I1840,Decimals)</f>
        <v/>
      </c>
      <c r="J1840" s="69" t="str">
        <f>TEXT(ASTemp!J1840,Decimals)</f>
        <v/>
      </c>
      <c r="K1840" s="69" t="str">
        <f>TEXT(ASTemp!K1840,Decimals)</f>
        <v/>
      </c>
      <c r="L1840" s="69" t="str">
        <f>TEXT(ASTemp!L1840,Decimals)</f>
        <v/>
      </c>
      <c r="M1840" s="71" t="str">
        <f>TEXT(ASTemp!M1840,Percentages)</f>
        <v/>
      </c>
      <c r="N1840" s="72" t="str">
        <f>TEXT(ASTemp!N1840,Percentages)</f>
        <v/>
      </c>
    </row>
    <row r="1841" ht="14.25" customHeight="1">
      <c r="B1841" s="66" t="str">
        <f>ASTemp!B1841</f>
        <v/>
      </c>
      <c r="C1841" s="67" t="str">
        <f>ASTemp!C1841</f>
        <v/>
      </c>
      <c r="D1841" s="68" t="str">
        <f>ASTemp!D1841</f>
        <v/>
      </c>
      <c r="E1841" s="65" t="str">
        <f>ASTemp!E1841</f>
        <v/>
      </c>
      <c r="F1841" s="69" t="str">
        <f>TEXT(ASTemp!F1841,Decimals)</f>
        <v/>
      </c>
      <c r="G1841" s="69" t="str">
        <f>TEXT(ASTemp!G1841,Decimals)</f>
        <v/>
      </c>
      <c r="H1841" s="69" t="str">
        <f>TEXT(ASTemp!H1841,Decimals)</f>
        <v/>
      </c>
      <c r="I1841" s="69" t="str">
        <f>TEXT(ASTemp!I1841,Decimals)</f>
        <v/>
      </c>
      <c r="J1841" s="69" t="str">
        <f>TEXT(ASTemp!J1841,Decimals)</f>
        <v/>
      </c>
      <c r="K1841" s="69" t="str">
        <f>TEXT(ASTemp!K1841,Decimals)</f>
        <v/>
      </c>
      <c r="L1841" s="69" t="str">
        <f>TEXT(ASTemp!L1841,Decimals)</f>
        <v/>
      </c>
      <c r="M1841" s="71" t="str">
        <f>TEXT(ASTemp!M1841,Percentages)</f>
        <v/>
      </c>
      <c r="N1841" s="72" t="str">
        <f>TEXT(ASTemp!N1841,Percentages)</f>
        <v/>
      </c>
    </row>
    <row r="1842" ht="14.25" customHeight="1">
      <c r="B1842" s="66" t="str">
        <f>ASTemp!B1842</f>
        <v/>
      </c>
      <c r="C1842" s="67" t="str">
        <f>ASTemp!C1842</f>
        <v/>
      </c>
      <c r="D1842" s="68" t="str">
        <f>ASTemp!D1842</f>
        <v/>
      </c>
      <c r="E1842" s="65" t="str">
        <f>ASTemp!E1842</f>
        <v/>
      </c>
      <c r="F1842" s="69" t="str">
        <f>TEXT(ASTemp!F1842,Decimals)</f>
        <v/>
      </c>
      <c r="G1842" s="69" t="str">
        <f>TEXT(ASTemp!G1842,Decimals)</f>
        <v/>
      </c>
      <c r="H1842" s="69" t="str">
        <f>TEXT(ASTemp!H1842,Decimals)</f>
        <v/>
      </c>
      <c r="I1842" s="69" t="str">
        <f>TEXT(ASTemp!I1842,Decimals)</f>
        <v/>
      </c>
      <c r="J1842" s="69" t="str">
        <f>TEXT(ASTemp!J1842,Decimals)</f>
        <v/>
      </c>
      <c r="K1842" s="69" t="str">
        <f>TEXT(ASTemp!K1842,Decimals)</f>
        <v/>
      </c>
      <c r="L1842" s="69" t="str">
        <f>TEXT(ASTemp!L1842,Decimals)</f>
        <v/>
      </c>
      <c r="M1842" s="71" t="str">
        <f>TEXT(ASTemp!M1842,Percentages)</f>
        <v/>
      </c>
      <c r="N1842" s="72" t="str">
        <f>TEXT(ASTemp!N1842,Percentages)</f>
        <v/>
      </c>
    </row>
    <row r="1843" ht="14.25" customHeight="1">
      <c r="B1843" s="66" t="str">
        <f>ASTemp!B1843</f>
        <v/>
      </c>
      <c r="C1843" s="67" t="str">
        <f>ASTemp!C1843</f>
        <v/>
      </c>
      <c r="D1843" s="68" t="str">
        <f>ASTemp!D1843</f>
        <v/>
      </c>
      <c r="E1843" s="65" t="str">
        <f>ASTemp!E1843</f>
        <v/>
      </c>
      <c r="F1843" s="69" t="str">
        <f>TEXT(ASTemp!F1843,Decimals)</f>
        <v/>
      </c>
      <c r="G1843" s="69" t="str">
        <f>TEXT(ASTemp!G1843,Decimals)</f>
        <v/>
      </c>
      <c r="H1843" s="69" t="str">
        <f>TEXT(ASTemp!H1843,Decimals)</f>
        <v/>
      </c>
      <c r="I1843" s="69" t="str">
        <f>TEXT(ASTemp!I1843,Decimals)</f>
        <v/>
      </c>
      <c r="J1843" s="69" t="str">
        <f>TEXT(ASTemp!J1843,Decimals)</f>
        <v/>
      </c>
      <c r="K1843" s="69" t="str">
        <f>TEXT(ASTemp!K1843,Decimals)</f>
        <v/>
      </c>
      <c r="L1843" s="69" t="str">
        <f>TEXT(ASTemp!L1843,Decimals)</f>
        <v/>
      </c>
      <c r="M1843" s="71" t="str">
        <f>TEXT(ASTemp!M1843,Percentages)</f>
        <v/>
      </c>
      <c r="N1843" s="72" t="str">
        <f>TEXT(ASTemp!N1843,Percentages)</f>
        <v/>
      </c>
    </row>
    <row r="1844" ht="14.25" customHeight="1">
      <c r="B1844" s="66" t="str">
        <f>ASTemp!B1844</f>
        <v/>
      </c>
      <c r="C1844" s="67" t="str">
        <f>ASTemp!C1844</f>
        <v/>
      </c>
      <c r="D1844" s="68" t="str">
        <f>ASTemp!D1844</f>
        <v/>
      </c>
      <c r="E1844" s="65" t="str">
        <f>ASTemp!E1844</f>
        <v/>
      </c>
      <c r="F1844" s="69" t="str">
        <f>TEXT(ASTemp!F1844,Decimals)</f>
        <v/>
      </c>
      <c r="G1844" s="69" t="str">
        <f>TEXT(ASTemp!G1844,Decimals)</f>
        <v/>
      </c>
      <c r="H1844" s="69" t="str">
        <f>TEXT(ASTemp!H1844,Decimals)</f>
        <v/>
      </c>
      <c r="I1844" s="69" t="str">
        <f>TEXT(ASTemp!I1844,Decimals)</f>
        <v/>
      </c>
      <c r="J1844" s="69" t="str">
        <f>TEXT(ASTemp!J1844,Decimals)</f>
        <v/>
      </c>
      <c r="K1844" s="69" t="str">
        <f>TEXT(ASTemp!K1844,Decimals)</f>
        <v/>
      </c>
      <c r="L1844" s="69" t="str">
        <f>TEXT(ASTemp!L1844,Decimals)</f>
        <v/>
      </c>
      <c r="M1844" s="71" t="str">
        <f>TEXT(ASTemp!M1844,Percentages)</f>
        <v/>
      </c>
      <c r="N1844" s="72" t="str">
        <f>TEXT(ASTemp!N1844,Percentages)</f>
        <v/>
      </c>
    </row>
    <row r="1845" ht="14.25" customHeight="1">
      <c r="B1845" s="66" t="str">
        <f>ASTemp!B1845</f>
        <v/>
      </c>
      <c r="C1845" s="67" t="str">
        <f>ASTemp!C1845</f>
        <v/>
      </c>
      <c r="D1845" s="68" t="str">
        <f>ASTemp!D1845</f>
        <v/>
      </c>
      <c r="E1845" s="65" t="str">
        <f>ASTemp!E1845</f>
        <v/>
      </c>
      <c r="F1845" s="69" t="str">
        <f>TEXT(ASTemp!F1845,Decimals)</f>
        <v/>
      </c>
      <c r="G1845" s="69" t="str">
        <f>TEXT(ASTemp!G1845,Decimals)</f>
        <v/>
      </c>
      <c r="H1845" s="69" t="str">
        <f>TEXT(ASTemp!H1845,Decimals)</f>
        <v/>
      </c>
      <c r="I1845" s="69" t="str">
        <f>TEXT(ASTemp!I1845,Decimals)</f>
        <v/>
      </c>
      <c r="J1845" s="69" t="str">
        <f>TEXT(ASTemp!J1845,Decimals)</f>
        <v/>
      </c>
      <c r="K1845" s="69" t="str">
        <f>TEXT(ASTemp!K1845,Decimals)</f>
        <v/>
      </c>
      <c r="L1845" s="69" t="str">
        <f>TEXT(ASTemp!L1845,Decimals)</f>
        <v/>
      </c>
      <c r="M1845" s="71" t="str">
        <f>TEXT(ASTemp!M1845,Percentages)</f>
        <v/>
      </c>
      <c r="N1845" s="72" t="str">
        <f>TEXT(ASTemp!N1845,Percentages)</f>
        <v/>
      </c>
    </row>
    <row r="1846" ht="14.25" customHeight="1">
      <c r="B1846" s="66" t="str">
        <f>ASTemp!B1846</f>
        <v/>
      </c>
      <c r="C1846" s="67" t="str">
        <f>ASTemp!C1846</f>
        <v/>
      </c>
      <c r="D1846" s="68" t="str">
        <f>ASTemp!D1846</f>
        <v/>
      </c>
      <c r="E1846" s="65" t="str">
        <f>ASTemp!E1846</f>
        <v/>
      </c>
      <c r="F1846" s="69" t="str">
        <f>TEXT(ASTemp!F1846,Decimals)</f>
        <v/>
      </c>
      <c r="G1846" s="69" t="str">
        <f>TEXT(ASTemp!G1846,Decimals)</f>
        <v/>
      </c>
      <c r="H1846" s="69" t="str">
        <f>TEXT(ASTemp!H1846,Decimals)</f>
        <v/>
      </c>
      <c r="I1846" s="69" t="str">
        <f>TEXT(ASTemp!I1846,Decimals)</f>
        <v/>
      </c>
      <c r="J1846" s="69" t="str">
        <f>TEXT(ASTemp!J1846,Decimals)</f>
        <v/>
      </c>
      <c r="K1846" s="69" t="str">
        <f>TEXT(ASTemp!K1846,Decimals)</f>
        <v/>
      </c>
      <c r="L1846" s="69" t="str">
        <f>TEXT(ASTemp!L1846,Decimals)</f>
        <v/>
      </c>
      <c r="M1846" s="71" t="str">
        <f>TEXT(ASTemp!M1846,Percentages)</f>
        <v/>
      </c>
      <c r="N1846" s="72" t="str">
        <f>TEXT(ASTemp!N1846,Percentages)</f>
        <v/>
      </c>
    </row>
    <row r="1847" ht="14.25" customHeight="1">
      <c r="B1847" s="66" t="str">
        <f>ASTemp!B1847</f>
        <v/>
      </c>
      <c r="C1847" s="67" t="str">
        <f>ASTemp!C1847</f>
        <v/>
      </c>
      <c r="D1847" s="68" t="str">
        <f>ASTemp!D1847</f>
        <v/>
      </c>
      <c r="E1847" s="65" t="str">
        <f>ASTemp!E1847</f>
        <v/>
      </c>
      <c r="F1847" s="69" t="str">
        <f>TEXT(ASTemp!F1847,Decimals)</f>
        <v/>
      </c>
      <c r="G1847" s="69" t="str">
        <f>TEXT(ASTemp!G1847,Decimals)</f>
        <v/>
      </c>
      <c r="H1847" s="69" t="str">
        <f>TEXT(ASTemp!H1847,Decimals)</f>
        <v/>
      </c>
      <c r="I1847" s="69" t="str">
        <f>TEXT(ASTemp!I1847,Decimals)</f>
        <v/>
      </c>
      <c r="J1847" s="69" t="str">
        <f>TEXT(ASTemp!J1847,Decimals)</f>
        <v/>
      </c>
      <c r="K1847" s="69" t="str">
        <f>TEXT(ASTemp!K1847,Decimals)</f>
        <v/>
      </c>
      <c r="L1847" s="69" t="str">
        <f>TEXT(ASTemp!L1847,Decimals)</f>
        <v/>
      </c>
      <c r="M1847" s="71" t="str">
        <f>TEXT(ASTemp!M1847,Percentages)</f>
        <v/>
      </c>
      <c r="N1847" s="72" t="str">
        <f>TEXT(ASTemp!N1847,Percentages)</f>
        <v/>
      </c>
    </row>
    <row r="1848" ht="14.25" customHeight="1">
      <c r="B1848" s="66" t="str">
        <f>ASTemp!B1848</f>
        <v/>
      </c>
      <c r="C1848" s="67" t="str">
        <f>ASTemp!C1848</f>
        <v/>
      </c>
      <c r="D1848" s="68" t="str">
        <f>ASTemp!D1848</f>
        <v/>
      </c>
      <c r="E1848" s="65" t="str">
        <f>ASTemp!E1848</f>
        <v/>
      </c>
      <c r="F1848" s="69" t="str">
        <f>TEXT(ASTemp!F1848,Decimals)</f>
        <v/>
      </c>
      <c r="G1848" s="69" t="str">
        <f>TEXT(ASTemp!G1848,Decimals)</f>
        <v/>
      </c>
      <c r="H1848" s="69" t="str">
        <f>TEXT(ASTemp!H1848,Decimals)</f>
        <v/>
      </c>
      <c r="I1848" s="69" t="str">
        <f>TEXT(ASTemp!I1848,Decimals)</f>
        <v/>
      </c>
      <c r="J1848" s="69" t="str">
        <f>TEXT(ASTemp!J1848,Decimals)</f>
        <v/>
      </c>
      <c r="K1848" s="69" t="str">
        <f>TEXT(ASTemp!K1848,Decimals)</f>
        <v/>
      </c>
      <c r="L1848" s="69" t="str">
        <f>TEXT(ASTemp!L1848,Decimals)</f>
        <v/>
      </c>
      <c r="M1848" s="71" t="str">
        <f>TEXT(ASTemp!M1848,Percentages)</f>
        <v/>
      </c>
      <c r="N1848" s="72" t="str">
        <f>TEXT(ASTemp!N1848,Percentages)</f>
        <v/>
      </c>
    </row>
    <row r="1849" ht="14.25" customHeight="1">
      <c r="B1849" s="66" t="str">
        <f>ASTemp!B1849</f>
        <v/>
      </c>
      <c r="C1849" s="67" t="str">
        <f>ASTemp!C1849</f>
        <v/>
      </c>
      <c r="D1849" s="68" t="str">
        <f>ASTemp!D1849</f>
        <v/>
      </c>
      <c r="E1849" s="65" t="str">
        <f>ASTemp!E1849</f>
        <v/>
      </c>
      <c r="F1849" s="69" t="str">
        <f>TEXT(ASTemp!F1849,Decimals)</f>
        <v/>
      </c>
      <c r="G1849" s="69" t="str">
        <f>TEXT(ASTemp!G1849,Decimals)</f>
        <v/>
      </c>
      <c r="H1849" s="69" t="str">
        <f>TEXT(ASTemp!H1849,Decimals)</f>
        <v/>
      </c>
      <c r="I1849" s="69" t="str">
        <f>TEXT(ASTemp!I1849,Decimals)</f>
        <v/>
      </c>
      <c r="J1849" s="69" t="str">
        <f>TEXT(ASTemp!J1849,Decimals)</f>
        <v/>
      </c>
      <c r="K1849" s="69" t="str">
        <f>TEXT(ASTemp!K1849,Decimals)</f>
        <v/>
      </c>
      <c r="L1849" s="69" t="str">
        <f>TEXT(ASTemp!L1849,Decimals)</f>
        <v/>
      </c>
      <c r="M1849" s="71" t="str">
        <f>TEXT(ASTemp!M1849,Percentages)</f>
        <v/>
      </c>
      <c r="N1849" s="72" t="str">
        <f>TEXT(ASTemp!N1849,Percentages)</f>
        <v/>
      </c>
    </row>
    <row r="1850" ht="14.25" customHeight="1">
      <c r="B1850" s="66" t="str">
        <f>ASTemp!B1850</f>
        <v/>
      </c>
      <c r="C1850" s="67" t="str">
        <f>ASTemp!C1850</f>
        <v/>
      </c>
      <c r="D1850" s="68" t="str">
        <f>ASTemp!D1850</f>
        <v/>
      </c>
      <c r="E1850" s="65" t="str">
        <f>ASTemp!E1850</f>
        <v/>
      </c>
      <c r="F1850" s="69" t="str">
        <f>TEXT(ASTemp!F1850,Decimals)</f>
        <v/>
      </c>
      <c r="G1850" s="69" t="str">
        <f>TEXT(ASTemp!G1850,Decimals)</f>
        <v/>
      </c>
      <c r="H1850" s="69" t="str">
        <f>TEXT(ASTemp!H1850,Decimals)</f>
        <v/>
      </c>
      <c r="I1850" s="69" t="str">
        <f>TEXT(ASTemp!I1850,Decimals)</f>
        <v/>
      </c>
      <c r="J1850" s="69" t="str">
        <f>TEXT(ASTemp!J1850,Decimals)</f>
        <v/>
      </c>
      <c r="K1850" s="69" t="str">
        <f>TEXT(ASTemp!K1850,Decimals)</f>
        <v/>
      </c>
      <c r="L1850" s="69" t="str">
        <f>TEXT(ASTemp!L1850,Decimals)</f>
        <v/>
      </c>
      <c r="M1850" s="71" t="str">
        <f>TEXT(ASTemp!M1850,Percentages)</f>
        <v/>
      </c>
      <c r="N1850" s="72" t="str">
        <f>TEXT(ASTemp!N1850,Percentages)</f>
        <v/>
      </c>
    </row>
    <row r="1851" ht="14.25" customHeight="1">
      <c r="B1851" s="66" t="str">
        <f>ASTemp!B1851</f>
        <v/>
      </c>
      <c r="C1851" s="67" t="str">
        <f>ASTemp!C1851</f>
        <v/>
      </c>
      <c r="D1851" s="68" t="str">
        <f>ASTemp!D1851</f>
        <v/>
      </c>
      <c r="E1851" s="65" t="str">
        <f>ASTemp!E1851</f>
        <v/>
      </c>
      <c r="F1851" s="69" t="str">
        <f>TEXT(ASTemp!F1851,Decimals)</f>
        <v/>
      </c>
      <c r="G1851" s="69" t="str">
        <f>TEXT(ASTemp!G1851,Decimals)</f>
        <v/>
      </c>
      <c r="H1851" s="69" t="str">
        <f>TEXT(ASTemp!H1851,Decimals)</f>
        <v/>
      </c>
      <c r="I1851" s="69" t="str">
        <f>TEXT(ASTemp!I1851,Decimals)</f>
        <v/>
      </c>
      <c r="J1851" s="69" t="str">
        <f>TEXT(ASTemp!J1851,Decimals)</f>
        <v/>
      </c>
      <c r="K1851" s="69" t="str">
        <f>TEXT(ASTemp!K1851,Decimals)</f>
        <v/>
      </c>
      <c r="L1851" s="69" t="str">
        <f>TEXT(ASTemp!L1851,Decimals)</f>
        <v/>
      </c>
      <c r="M1851" s="71" t="str">
        <f>TEXT(ASTemp!M1851,Percentages)</f>
        <v/>
      </c>
      <c r="N1851" s="72" t="str">
        <f>TEXT(ASTemp!N1851,Percentages)</f>
        <v/>
      </c>
    </row>
    <row r="1852" ht="14.25" customHeight="1">
      <c r="B1852" s="66" t="str">
        <f>ASTemp!B1852</f>
        <v/>
      </c>
      <c r="C1852" s="67" t="str">
        <f>ASTemp!C1852</f>
        <v/>
      </c>
      <c r="D1852" s="68" t="str">
        <f>ASTemp!D1852</f>
        <v/>
      </c>
      <c r="E1852" s="65" t="str">
        <f>ASTemp!E1852</f>
        <v/>
      </c>
      <c r="F1852" s="69" t="str">
        <f>TEXT(ASTemp!F1852,Decimals)</f>
        <v/>
      </c>
      <c r="G1852" s="69" t="str">
        <f>TEXT(ASTemp!G1852,Decimals)</f>
        <v/>
      </c>
      <c r="H1852" s="69" t="str">
        <f>TEXT(ASTemp!H1852,Decimals)</f>
        <v/>
      </c>
      <c r="I1852" s="69" t="str">
        <f>TEXT(ASTemp!I1852,Decimals)</f>
        <v/>
      </c>
      <c r="J1852" s="69" t="str">
        <f>TEXT(ASTemp!J1852,Decimals)</f>
        <v/>
      </c>
      <c r="K1852" s="69" t="str">
        <f>TEXT(ASTemp!K1852,Decimals)</f>
        <v/>
      </c>
      <c r="L1852" s="69" t="str">
        <f>TEXT(ASTemp!L1852,Decimals)</f>
        <v/>
      </c>
      <c r="M1852" s="71" t="str">
        <f>TEXT(ASTemp!M1852,Percentages)</f>
        <v/>
      </c>
      <c r="N1852" s="72" t="str">
        <f>TEXT(ASTemp!N1852,Percentages)</f>
        <v/>
      </c>
    </row>
    <row r="1853" ht="14.25" customHeight="1">
      <c r="B1853" s="66" t="str">
        <f>ASTemp!B1853</f>
        <v/>
      </c>
      <c r="C1853" s="67" t="str">
        <f>ASTemp!C1853</f>
        <v/>
      </c>
      <c r="D1853" s="68" t="str">
        <f>ASTemp!D1853</f>
        <v/>
      </c>
      <c r="E1853" s="65" t="str">
        <f>ASTemp!E1853</f>
        <v/>
      </c>
      <c r="F1853" s="69" t="str">
        <f>TEXT(ASTemp!F1853,Decimals)</f>
        <v/>
      </c>
      <c r="G1853" s="69" t="str">
        <f>TEXT(ASTemp!G1853,Decimals)</f>
        <v/>
      </c>
      <c r="H1853" s="69" t="str">
        <f>TEXT(ASTemp!H1853,Decimals)</f>
        <v/>
      </c>
      <c r="I1853" s="69" t="str">
        <f>TEXT(ASTemp!I1853,Decimals)</f>
        <v/>
      </c>
      <c r="J1853" s="69" t="str">
        <f>TEXT(ASTemp!J1853,Decimals)</f>
        <v/>
      </c>
      <c r="K1853" s="69" t="str">
        <f>TEXT(ASTemp!K1853,Decimals)</f>
        <v/>
      </c>
      <c r="L1853" s="69" t="str">
        <f>TEXT(ASTemp!L1853,Decimals)</f>
        <v/>
      </c>
      <c r="M1853" s="71" t="str">
        <f>TEXT(ASTemp!M1853,Percentages)</f>
        <v/>
      </c>
      <c r="N1853" s="72" t="str">
        <f>TEXT(ASTemp!N1853,Percentages)</f>
        <v/>
      </c>
    </row>
    <row r="1854" ht="14.25" customHeight="1">
      <c r="B1854" s="66" t="str">
        <f>ASTemp!B1854</f>
        <v/>
      </c>
      <c r="C1854" s="67" t="str">
        <f>ASTemp!C1854</f>
        <v/>
      </c>
      <c r="D1854" s="68" t="str">
        <f>ASTemp!D1854</f>
        <v/>
      </c>
      <c r="E1854" s="65" t="str">
        <f>ASTemp!E1854</f>
        <v/>
      </c>
      <c r="F1854" s="69" t="str">
        <f>TEXT(ASTemp!F1854,Decimals)</f>
        <v/>
      </c>
      <c r="G1854" s="69" t="str">
        <f>TEXT(ASTemp!G1854,Decimals)</f>
        <v/>
      </c>
      <c r="H1854" s="69" t="str">
        <f>TEXT(ASTemp!H1854,Decimals)</f>
        <v/>
      </c>
      <c r="I1854" s="69" t="str">
        <f>TEXT(ASTemp!I1854,Decimals)</f>
        <v/>
      </c>
      <c r="J1854" s="69" t="str">
        <f>TEXT(ASTemp!J1854,Decimals)</f>
        <v/>
      </c>
      <c r="K1854" s="69" t="str">
        <f>TEXT(ASTemp!K1854,Decimals)</f>
        <v/>
      </c>
      <c r="L1854" s="69" t="str">
        <f>TEXT(ASTemp!L1854,Decimals)</f>
        <v/>
      </c>
      <c r="M1854" s="71" t="str">
        <f>TEXT(ASTemp!M1854,Percentages)</f>
        <v/>
      </c>
      <c r="N1854" s="72" t="str">
        <f>TEXT(ASTemp!N1854,Percentages)</f>
        <v/>
      </c>
    </row>
    <row r="1855" ht="14.25" customHeight="1">
      <c r="B1855" s="66" t="str">
        <f>ASTemp!B1855</f>
        <v/>
      </c>
      <c r="C1855" s="67" t="str">
        <f>ASTemp!C1855</f>
        <v/>
      </c>
      <c r="D1855" s="68" t="str">
        <f>ASTemp!D1855</f>
        <v/>
      </c>
      <c r="E1855" s="65" t="str">
        <f>ASTemp!E1855</f>
        <v/>
      </c>
      <c r="F1855" s="69" t="str">
        <f>TEXT(ASTemp!F1855,Decimals)</f>
        <v/>
      </c>
      <c r="G1855" s="69" t="str">
        <f>TEXT(ASTemp!G1855,Decimals)</f>
        <v/>
      </c>
      <c r="H1855" s="69" t="str">
        <f>TEXT(ASTemp!H1855,Decimals)</f>
        <v/>
      </c>
      <c r="I1855" s="69" t="str">
        <f>TEXT(ASTemp!I1855,Decimals)</f>
        <v/>
      </c>
      <c r="J1855" s="69" t="str">
        <f>TEXT(ASTemp!J1855,Decimals)</f>
        <v/>
      </c>
      <c r="K1855" s="69" t="str">
        <f>TEXT(ASTemp!K1855,Decimals)</f>
        <v/>
      </c>
      <c r="L1855" s="69" t="str">
        <f>TEXT(ASTemp!L1855,Decimals)</f>
        <v/>
      </c>
      <c r="M1855" s="71" t="str">
        <f>TEXT(ASTemp!M1855,Percentages)</f>
        <v/>
      </c>
      <c r="N1855" s="72" t="str">
        <f>TEXT(ASTemp!N1855,Percentages)</f>
        <v/>
      </c>
    </row>
    <row r="1856" ht="14.25" customHeight="1">
      <c r="B1856" s="66" t="str">
        <f>ASTemp!B1856</f>
        <v/>
      </c>
      <c r="C1856" s="67" t="str">
        <f>ASTemp!C1856</f>
        <v/>
      </c>
      <c r="D1856" s="68" t="str">
        <f>ASTemp!D1856</f>
        <v/>
      </c>
      <c r="E1856" s="65" t="str">
        <f>ASTemp!E1856</f>
        <v/>
      </c>
      <c r="F1856" s="69" t="str">
        <f>TEXT(ASTemp!F1856,Decimals)</f>
        <v/>
      </c>
      <c r="G1856" s="69" t="str">
        <f>TEXT(ASTemp!G1856,Decimals)</f>
        <v/>
      </c>
      <c r="H1856" s="69" t="str">
        <f>TEXT(ASTemp!H1856,Decimals)</f>
        <v/>
      </c>
      <c r="I1856" s="69" t="str">
        <f>TEXT(ASTemp!I1856,Decimals)</f>
        <v/>
      </c>
      <c r="J1856" s="69" t="str">
        <f>TEXT(ASTemp!J1856,Decimals)</f>
        <v/>
      </c>
      <c r="K1856" s="69" t="str">
        <f>TEXT(ASTemp!K1856,Decimals)</f>
        <v/>
      </c>
      <c r="L1856" s="69" t="str">
        <f>TEXT(ASTemp!L1856,Decimals)</f>
        <v/>
      </c>
      <c r="M1856" s="71" t="str">
        <f>TEXT(ASTemp!M1856,Percentages)</f>
        <v/>
      </c>
      <c r="N1856" s="72" t="str">
        <f>TEXT(ASTemp!N1856,Percentages)</f>
        <v/>
      </c>
    </row>
    <row r="1857" ht="14.25" customHeight="1">
      <c r="B1857" s="66" t="str">
        <f>ASTemp!B1857</f>
        <v/>
      </c>
      <c r="C1857" s="67" t="str">
        <f>ASTemp!C1857</f>
        <v/>
      </c>
      <c r="D1857" s="68" t="str">
        <f>ASTemp!D1857</f>
        <v/>
      </c>
      <c r="E1857" s="65" t="str">
        <f>ASTemp!E1857</f>
        <v/>
      </c>
      <c r="F1857" s="69" t="str">
        <f>TEXT(ASTemp!F1857,Decimals)</f>
        <v/>
      </c>
      <c r="G1857" s="69" t="str">
        <f>TEXT(ASTemp!G1857,Decimals)</f>
        <v/>
      </c>
      <c r="H1857" s="69" t="str">
        <f>TEXT(ASTemp!H1857,Decimals)</f>
        <v/>
      </c>
      <c r="I1857" s="69" t="str">
        <f>TEXT(ASTemp!I1857,Decimals)</f>
        <v/>
      </c>
      <c r="J1857" s="69" t="str">
        <f>TEXT(ASTemp!J1857,Decimals)</f>
        <v/>
      </c>
      <c r="K1857" s="69" t="str">
        <f>TEXT(ASTemp!K1857,Decimals)</f>
        <v/>
      </c>
      <c r="L1857" s="69" t="str">
        <f>TEXT(ASTemp!L1857,Decimals)</f>
        <v/>
      </c>
      <c r="M1857" s="71" t="str">
        <f>TEXT(ASTemp!M1857,Percentages)</f>
        <v/>
      </c>
      <c r="N1857" s="72" t="str">
        <f>TEXT(ASTemp!N1857,Percentages)</f>
        <v/>
      </c>
    </row>
    <row r="1858" ht="14.25" customHeight="1">
      <c r="B1858" s="66" t="str">
        <f>ASTemp!B1858</f>
        <v/>
      </c>
      <c r="C1858" s="67" t="str">
        <f>ASTemp!C1858</f>
        <v/>
      </c>
      <c r="D1858" s="68" t="str">
        <f>ASTemp!D1858</f>
        <v/>
      </c>
      <c r="E1858" s="65" t="str">
        <f>ASTemp!E1858</f>
        <v/>
      </c>
      <c r="F1858" s="69" t="str">
        <f>TEXT(ASTemp!F1858,Decimals)</f>
        <v/>
      </c>
      <c r="G1858" s="69" t="str">
        <f>TEXT(ASTemp!G1858,Decimals)</f>
        <v/>
      </c>
      <c r="H1858" s="69" t="str">
        <f>TEXT(ASTemp!H1858,Decimals)</f>
        <v/>
      </c>
      <c r="I1858" s="69" t="str">
        <f>TEXT(ASTemp!I1858,Decimals)</f>
        <v/>
      </c>
      <c r="J1858" s="69" t="str">
        <f>TEXT(ASTemp!J1858,Decimals)</f>
        <v/>
      </c>
      <c r="K1858" s="69" t="str">
        <f>TEXT(ASTemp!K1858,Decimals)</f>
        <v/>
      </c>
      <c r="L1858" s="69" t="str">
        <f>TEXT(ASTemp!L1858,Decimals)</f>
        <v/>
      </c>
      <c r="M1858" s="71" t="str">
        <f>TEXT(ASTemp!M1858,Percentages)</f>
        <v/>
      </c>
      <c r="N1858" s="72" t="str">
        <f>TEXT(ASTemp!N1858,Percentages)</f>
        <v/>
      </c>
    </row>
    <row r="1859" ht="14.25" customHeight="1">
      <c r="B1859" s="66" t="str">
        <f>ASTemp!B1859</f>
        <v/>
      </c>
      <c r="C1859" s="67" t="str">
        <f>ASTemp!C1859</f>
        <v/>
      </c>
      <c r="D1859" s="68" t="str">
        <f>ASTemp!D1859</f>
        <v/>
      </c>
      <c r="E1859" s="65" t="str">
        <f>ASTemp!E1859</f>
        <v/>
      </c>
      <c r="F1859" s="69" t="str">
        <f>TEXT(ASTemp!F1859,Decimals)</f>
        <v/>
      </c>
      <c r="G1859" s="69" t="str">
        <f>TEXT(ASTemp!G1859,Decimals)</f>
        <v/>
      </c>
      <c r="H1859" s="69" t="str">
        <f>TEXT(ASTemp!H1859,Decimals)</f>
        <v/>
      </c>
      <c r="I1859" s="69" t="str">
        <f>TEXT(ASTemp!I1859,Decimals)</f>
        <v/>
      </c>
      <c r="J1859" s="69" t="str">
        <f>TEXT(ASTemp!J1859,Decimals)</f>
        <v/>
      </c>
      <c r="K1859" s="69" t="str">
        <f>TEXT(ASTemp!K1859,Decimals)</f>
        <v/>
      </c>
      <c r="L1859" s="69" t="str">
        <f>TEXT(ASTemp!L1859,Decimals)</f>
        <v/>
      </c>
      <c r="M1859" s="71" t="str">
        <f>TEXT(ASTemp!M1859,Percentages)</f>
        <v/>
      </c>
      <c r="N1859" s="72" t="str">
        <f>TEXT(ASTemp!N1859,Percentages)</f>
        <v/>
      </c>
    </row>
    <row r="1860" ht="14.25" customHeight="1">
      <c r="B1860" s="66" t="str">
        <f>ASTemp!B1860</f>
        <v/>
      </c>
      <c r="C1860" s="67" t="str">
        <f>ASTemp!C1860</f>
        <v/>
      </c>
      <c r="D1860" s="68" t="str">
        <f>ASTemp!D1860</f>
        <v/>
      </c>
      <c r="E1860" s="65" t="str">
        <f>ASTemp!E1860</f>
        <v/>
      </c>
      <c r="F1860" s="69" t="str">
        <f>TEXT(ASTemp!F1860,Decimals)</f>
        <v/>
      </c>
      <c r="G1860" s="69" t="str">
        <f>TEXT(ASTemp!G1860,Decimals)</f>
        <v/>
      </c>
      <c r="H1860" s="69" t="str">
        <f>TEXT(ASTemp!H1860,Decimals)</f>
        <v/>
      </c>
      <c r="I1860" s="69" t="str">
        <f>TEXT(ASTemp!I1860,Decimals)</f>
        <v/>
      </c>
      <c r="J1860" s="69" t="str">
        <f>TEXT(ASTemp!J1860,Decimals)</f>
        <v/>
      </c>
      <c r="K1860" s="69" t="str">
        <f>TEXT(ASTemp!K1860,Decimals)</f>
        <v/>
      </c>
      <c r="L1860" s="69" t="str">
        <f>TEXT(ASTemp!L1860,Decimals)</f>
        <v/>
      </c>
      <c r="M1860" s="71" t="str">
        <f>TEXT(ASTemp!M1860,Percentages)</f>
        <v/>
      </c>
      <c r="N1860" s="72" t="str">
        <f>TEXT(ASTemp!N1860,Percentages)</f>
        <v/>
      </c>
    </row>
    <row r="1861" ht="14.25" customHeight="1">
      <c r="B1861" s="66" t="str">
        <f>ASTemp!B1861</f>
        <v/>
      </c>
      <c r="C1861" s="67" t="str">
        <f>ASTemp!C1861</f>
        <v/>
      </c>
      <c r="D1861" s="68" t="str">
        <f>ASTemp!D1861</f>
        <v/>
      </c>
      <c r="E1861" s="65" t="str">
        <f>ASTemp!E1861</f>
        <v/>
      </c>
      <c r="F1861" s="69" t="str">
        <f>TEXT(ASTemp!F1861,Decimals)</f>
        <v/>
      </c>
      <c r="G1861" s="69" t="str">
        <f>TEXT(ASTemp!G1861,Decimals)</f>
        <v/>
      </c>
      <c r="H1861" s="69" t="str">
        <f>TEXT(ASTemp!H1861,Decimals)</f>
        <v/>
      </c>
      <c r="I1861" s="69" t="str">
        <f>TEXT(ASTemp!I1861,Decimals)</f>
        <v/>
      </c>
      <c r="J1861" s="69" t="str">
        <f>TEXT(ASTemp!J1861,Decimals)</f>
        <v/>
      </c>
      <c r="K1861" s="69" t="str">
        <f>TEXT(ASTemp!K1861,Decimals)</f>
        <v/>
      </c>
      <c r="L1861" s="69" t="str">
        <f>TEXT(ASTemp!L1861,Decimals)</f>
        <v/>
      </c>
      <c r="M1861" s="71" t="str">
        <f>TEXT(ASTemp!M1861,Percentages)</f>
        <v/>
      </c>
      <c r="N1861" s="72" t="str">
        <f>TEXT(ASTemp!N1861,Percentages)</f>
        <v/>
      </c>
    </row>
    <row r="1862" ht="14.25" customHeight="1">
      <c r="B1862" s="66" t="str">
        <f>ASTemp!B1862</f>
        <v/>
      </c>
      <c r="C1862" s="67" t="str">
        <f>ASTemp!C1862</f>
        <v/>
      </c>
      <c r="D1862" s="68" t="str">
        <f>ASTemp!D1862</f>
        <v/>
      </c>
      <c r="E1862" s="65" t="str">
        <f>ASTemp!E1862</f>
        <v/>
      </c>
      <c r="F1862" s="69" t="str">
        <f>TEXT(ASTemp!F1862,Decimals)</f>
        <v/>
      </c>
      <c r="G1862" s="69" t="str">
        <f>TEXT(ASTemp!G1862,Decimals)</f>
        <v/>
      </c>
      <c r="H1862" s="69" t="str">
        <f>TEXT(ASTemp!H1862,Decimals)</f>
        <v/>
      </c>
      <c r="I1862" s="69" t="str">
        <f>TEXT(ASTemp!I1862,Decimals)</f>
        <v/>
      </c>
      <c r="J1862" s="69" t="str">
        <f>TEXT(ASTemp!J1862,Decimals)</f>
        <v/>
      </c>
      <c r="K1862" s="69" t="str">
        <f>TEXT(ASTemp!K1862,Decimals)</f>
        <v/>
      </c>
      <c r="L1862" s="69" t="str">
        <f>TEXT(ASTemp!L1862,Decimals)</f>
        <v/>
      </c>
      <c r="M1862" s="71" t="str">
        <f>TEXT(ASTemp!M1862,Percentages)</f>
        <v/>
      </c>
      <c r="N1862" s="72" t="str">
        <f>TEXT(ASTemp!N1862,Percentages)</f>
        <v/>
      </c>
    </row>
    <row r="1863" ht="14.25" customHeight="1">
      <c r="B1863" s="66" t="str">
        <f>ASTemp!B1863</f>
        <v/>
      </c>
      <c r="C1863" s="67" t="str">
        <f>ASTemp!C1863</f>
        <v/>
      </c>
      <c r="D1863" s="68" t="str">
        <f>ASTemp!D1863</f>
        <v/>
      </c>
      <c r="E1863" s="65" t="str">
        <f>ASTemp!E1863</f>
        <v/>
      </c>
      <c r="F1863" s="69" t="str">
        <f>TEXT(ASTemp!F1863,Decimals)</f>
        <v/>
      </c>
      <c r="G1863" s="69" t="str">
        <f>TEXT(ASTemp!G1863,Decimals)</f>
        <v/>
      </c>
      <c r="H1863" s="69" t="str">
        <f>TEXT(ASTemp!H1863,Decimals)</f>
        <v/>
      </c>
      <c r="I1863" s="69" t="str">
        <f>TEXT(ASTemp!I1863,Decimals)</f>
        <v/>
      </c>
      <c r="J1863" s="69" t="str">
        <f>TEXT(ASTemp!J1863,Decimals)</f>
        <v/>
      </c>
      <c r="K1863" s="69" t="str">
        <f>TEXT(ASTemp!K1863,Decimals)</f>
        <v/>
      </c>
      <c r="L1863" s="69" t="str">
        <f>TEXT(ASTemp!L1863,Decimals)</f>
        <v/>
      </c>
      <c r="M1863" s="71" t="str">
        <f>TEXT(ASTemp!M1863,Percentages)</f>
        <v/>
      </c>
      <c r="N1863" s="72" t="str">
        <f>TEXT(ASTemp!N1863,Percentages)</f>
        <v/>
      </c>
    </row>
    <row r="1864" ht="14.25" customHeight="1">
      <c r="B1864" s="66" t="str">
        <f>ASTemp!B1864</f>
        <v/>
      </c>
      <c r="C1864" s="67" t="str">
        <f>ASTemp!C1864</f>
        <v/>
      </c>
      <c r="D1864" s="68" t="str">
        <f>ASTemp!D1864</f>
        <v/>
      </c>
      <c r="E1864" s="65" t="str">
        <f>ASTemp!E1864</f>
        <v/>
      </c>
      <c r="F1864" s="69" t="str">
        <f>TEXT(ASTemp!F1864,Decimals)</f>
        <v/>
      </c>
      <c r="G1864" s="69" t="str">
        <f>TEXT(ASTemp!G1864,Decimals)</f>
        <v/>
      </c>
      <c r="H1864" s="69" t="str">
        <f>TEXT(ASTemp!H1864,Decimals)</f>
        <v/>
      </c>
      <c r="I1864" s="69" t="str">
        <f>TEXT(ASTemp!I1864,Decimals)</f>
        <v/>
      </c>
      <c r="J1864" s="69" t="str">
        <f>TEXT(ASTemp!J1864,Decimals)</f>
        <v/>
      </c>
      <c r="K1864" s="69" t="str">
        <f>TEXT(ASTemp!K1864,Decimals)</f>
        <v/>
      </c>
      <c r="L1864" s="69" t="str">
        <f>TEXT(ASTemp!L1864,Decimals)</f>
        <v/>
      </c>
      <c r="M1864" s="71" t="str">
        <f>TEXT(ASTemp!M1864,Percentages)</f>
        <v/>
      </c>
      <c r="N1864" s="72" t="str">
        <f>TEXT(ASTemp!N1864,Percentages)</f>
        <v/>
      </c>
    </row>
    <row r="1865" ht="14.25" customHeight="1">
      <c r="B1865" s="66" t="str">
        <f>ASTemp!B1865</f>
        <v/>
      </c>
      <c r="C1865" s="67" t="str">
        <f>ASTemp!C1865</f>
        <v/>
      </c>
      <c r="D1865" s="68" t="str">
        <f>ASTemp!D1865</f>
        <v/>
      </c>
      <c r="E1865" s="65" t="str">
        <f>ASTemp!E1865</f>
        <v/>
      </c>
      <c r="F1865" s="69" t="str">
        <f>TEXT(ASTemp!F1865,Decimals)</f>
        <v/>
      </c>
      <c r="G1865" s="69" t="str">
        <f>TEXT(ASTemp!G1865,Decimals)</f>
        <v/>
      </c>
      <c r="H1865" s="69" t="str">
        <f>TEXT(ASTemp!H1865,Decimals)</f>
        <v/>
      </c>
      <c r="I1865" s="69" t="str">
        <f>TEXT(ASTemp!I1865,Decimals)</f>
        <v/>
      </c>
      <c r="J1865" s="69" t="str">
        <f>TEXT(ASTemp!J1865,Decimals)</f>
        <v/>
      </c>
      <c r="K1865" s="69" t="str">
        <f>TEXT(ASTemp!K1865,Decimals)</f>
        <v/>
      </c>
      <c r="L1865" s="69" t="str">
        <f>TEXT(ASTemp!L1865,Decimals)</f>
        <v/>
      </c>
      <c r="M1865" s="71" t="str">
        <f>TEXT(ASTemp!M1865,Percentages)</f>
        <v/>
      </c>
      <c r="N1865" s="72" t="str">
        <f>TEXT(ASTemp!N1865,Percentages)</f>
        <v/>
      </c>
    </row>
    <row r="1866" ht="14.25" customHeight="1">
      <c r="B1866" s="66" t="str">
        <f>ASTemp!B1866</f>
        <v/>
      </c>
      <c r="C1866" s="67" t="str">
        <f>ASTemp!C1866</f>
        <v/>
      </c>
      <c r="D1866" s="68" t="str">
        <f>ASTemp!D1866</f>
        <v/>
      </c>
      <c r="E1866" s="65" t="str">
        <f>ASTemp!E1866</f>
        <v/>
      </c>
      <c r="F1866" s="69" t="str">
        <f>TEXT(ASTemp!F1866,Decimals)</f>
        <v/>
      </c>
      <c r="G1866" s="69" t="str">
        <f>TEXT(ASTemp!G1866,Decimals)</f>
        <v/>
      </c>
      <c r="H1866" s="69" t="str">
        <f>TEXT(ASTemp!H1866,Decimals)</f>
        <v/>
      </c>
      <c r="I1866" s="69" t="str">
        <f>TEXT(ASTemp!I1866,Decimals)</f>
        <v/>
      </c>
      <c r="J1866" s="69" t="str">
        <f>TEXT(ASTemp!J1866,Decimals)</f>
        <v/>
      </c>
      <c r="K1866" s="69" t="str">
        <f>TEXT(ASTemp!K1866,Decimals)</f>
        <v/>
      </c>
      <c r="L1866" s="69" t="str">
        <f>TEXT(ASTemp!L1866,Decimals)</f>
        <v/>
      </c>
      <c r="M1866" s="71" t="str">
        <f>TEXT(ASTemp!M1866,Percentages)</f>
        <v/>
      </c>
      <c r="N1866" s="72" t="str">
        <f>TEXT(ASTemp!N1866,Percentages)</f>
        <v/>
      </c>
    </row>
    <row r="1867" ht="14.25" customHeight="1">
      <c r="B1867" s="66" t="str">
        <f>ASTemp!B1867</f>
        <v/>
      </c>
      <c r="C1867" s="67" t="str">
        <f>ASTemp!C1867</f>
        <v/>
      </c>
      <c r="D1867" s="68" t="str">
        <f>ASTemp!D1867</f>
        <v/>
      </c>
      <c r="E1867" s="65" t="str">
        <f>ASTemp!E1867</f>
        <v/>
      </c>
      <c r="F1867" s="69" t="str">
        <f>TEXT(ASTemp!F1867,Decimals)</f>
        <v/>
      </c>
      <c r="G1867" s="69" t="str">
        <f>TEXT(ASTemp!G1867,Decimals)</f>
        <v/>
      </c>
      <c r="H1867" s="69" t="str">
        <f>TEXT(ASTemp!H1867,Decimals)</f>
        <v/>
      </c>
      <c r="I1867" s="69" t="str">
        <f>TEXT(ASTemp!I1867,Decimals)</f>
        <v/>
      </c>
      <c r="J1867" s="69" t="str">
        <f>TEXT(ASTemp!J1867,Decimals)</f>
        <v/>
      </c>
      <c r="K1867" s="69" t="str">
        <f>TEXT(ASTemp!K1867,Decimals)</f>
        <v/>
      </c>
      <c r="L1867" s="69" t="str">
        <f>TEXT(ASTemp!L1867,Decimals)</f>
        <v/>
      </c>
      <c r="M1867" s="71" t="str">
        <f>TEXT(ASTemp!M1867,Percentages)</f>
        <v/>
      </c>
      <c r="N1867" s="72" t="str">
        <f>TEXT(ASTemp!N1867,Percentages)</f>
        <v/>
      </c>
    </row>
    <row r="1868" ht="14.25" customHeight="1">
      <c r="B1868" s="66" t="str">
        <f>ASTemp!B1868</f>
        <v/>
      </c>
      <c r="C1868" s="67" t="str">
        <f>ASTemp!C1868</f>
        <v/>
      </c>
      <c r="D1868" s="68" t="str">
        <f>ASTemp!D1868</f>
        <v/>
      </c>
      <c r="E1868" s="65" t="str">
        <f>ASTemp!E1868</f>
        <v/>
      </c>
      <c r="F1868" s="69" t="str">
        <f>TEXT(ASTemp!F1868,Decimals)</f>
        <v/>
      </c>
      <c r="G1868" s="69" t="str">
        <f>TEXT(ASTemp!G1868,Decimals)</f>
        <v/>
      </c>
      <c r="H1868" s="69" t="str">
        <f>TEXT(ASTemp!H1868,Decimals)</f>
        <v/>
      </c>
      <c r="I1868" s="69" t="str">
        <f>TEXT(ASTemp!I1868,Decimals)</f>
        <v/>
      </c>
      <c r="J1868" s="69" t="str">
        <f>TEXT(ASTemp!J1868,Decimals)</f>
        <v/>
      </c>
      <c r="K1868" s="69" t="str">
        <f>TEXT(ASTemp!K1868,Decimals)</f>
        <v/>
      </c>
      <c r="L1868" s="69" t="str">
        <f>TEXT(ASTemp!L1868,Decimals)</f>
        <v/>
      </c>
      <c r="M1868" s="71" t="str">
        <f>TEXT(ASTemp!M1868,Percentages)</f>
        <v/>
      </c>
      <c r="N1868" s="72" t="str">
        <f>TEXT(ASTemp!N1868,Percentages)</f>
        <v/>
      </c>
    </row>
    <row r="1869" ht="14.25" customHeight="1">
      <c r="B1869" s="66" t="str">
        <f>ASTemp!B1869</f>
        <v/>
      </c>
      <c r="C1869" s="67" t="str">
        <f>ASTemp!C1869</f>
        <v/>
      </c>
      <c r="D1869" s="68" t="str">
        <f>ASTemp!D1869</f>
        <v/>
      </c>
      <c r="E1869" s="65" t="str">
        <f>ASTemp!E1869</f>
        <v/>
      </c>
      <c r="F1869" s="69" t="str">
        <f>TEXT(ASTemp!F1869,Decimals)</f>
        <v/>
      </c>
      <c r="G1869" s="69" t="str">
        <f>TEXT(ASTemp!G1869,Decimals)</f>
        <v/>
      </c>
      <c r="H1869" s="69" t="str">
        <f>TEXT(ASTemp!H1869,Decimals)</f>
        <v/>
      </c>
      <c r="I1869" s="69" t="str">
        <f>TEXT(ASTemp!I1869,Decimals)</f>
        <v/>
      </c>
      <c r="J1869" s="69" t="str">
        <f>TEXT(ASTemp!J1869,Decimals)</f>
        <v/>
      </c>
      <c r="K1869" s="69" t="str">
        <f>TEXT(ASTemp!K1869,Decimals)</f>
        <v/>
      </c>
      <c r="L1869" s="69" t="str">
        <f>TEXT(ASTemp!L1869,Decimals)</f>
        <v/>
      </c>
      <c r="M1869" s="71" t="str">
        <f>TEXT(ASTemp!M1869,Percentages)</f>
        <v/>
      </c>
      <c r="N1869" s="72" t="str">
        <f>TEXT(ASTemp!N1869,Percentages)</f>
        <v/>
      </c>
    </row>
    <row r="1870" ht="14.25" customHeight="1">
      <c r="B1870" s="66" t="str">
        <f>ASTemp!B1870</f>
        <v/>
      </c>
      <c r="C1870" s="67" t="str">
        <f>ASTemp!C1870</f>
        <v/>
      </c>
      <c r="D1870" s="68" t="str">
        <f>ASTemp!D1870</f>
        <v/>
      </c>
      <c r="E1870" s="65" t="str">
        <f>ASTemp!E1870</f>
        <v/>
      </c>
      <c r="F1870" s="69" t="str">
        <f>TEXT(ASTemp!F1870,Decimals)</f>
        <v/>
      </c>
      <c r="G1870" s="69" t="str">
        <f>TEXT(ASTemp!G1870,Decimals)</f>
        <v/>
      </c>
      <c r="H1870" s="69" t="str">
        <f>TEXT(ASTemp!H1870,Decimals)</f>
        <v/>
      </c>
      <c r="I1870" s="69" t="str">
        <f>TEXT(ASTemp!I1870,Decimals)</f>
        <v/>
      </c>
      <c r="J1870" s="69" t="str">
        <f>TEXT(ASTemp!J1870,Decimals)</f>
        <v/>
      </c>
      <c r="K1870" s="69" t="str">
        <f>TEXT(ASTemp!K1870,Decimals)</f>
        <v/>
      </c>
      <c r="L1870" s="69" t="str">
        <f>TEXT(ASTemp!L1870,Decimals)</f>
        <v/>
      </c>
      <c r="M1870" s="71" t="str">
        <f>TEXT(ASTemp!M1870,Percentages)</f>
        <v/>
      </c>
      <c r="N1870" s="72" t="str">
        <f>TEXT(ASTemp!N1870,Percentages)</f>
        <v/>
      </c>
    </row>
    <row r="1871" ht="14.25" customHeight="1">
      <c r="B1871" s="66" t="str">
        <f>ASTemp!B1871</f>
        <v/>
      </c>
      <c r="C1871" s="67" t="str">
        <f>ASTemp!C1871</f>
        <v/>
      </c>
      <c r="D1871" s="68" t="str">
        <f>ASTemp!D1871</f>
        <v/>
      </c>
      <c r="E1871" s="65" t="str">
        <f>ASTemp!E1871</f>
        <v/>
      </c>
      <c r="F1871" s="69" t="str">
        <f>TEXT(ASTemp!F1871,Decimals)</f>
        <v/>
      </c>
      <c r="G1871" s="69" t="str">
        <f>TEXT(ASTemp!G1871,Decimals)</f>
        <v/>
      </c>
      <c r="H1871" s="69" t="str">
        <f>TEXT(ASTemp!H1871,Decimals)</f>
        <v/>
      </c>
      <c r="I1871" s="69" t="str">
        <f>TEXT(ASTemp!I1871,Decimals)</f>
        <v/>
      </c>
      <c r="J1871" s="69" t="str">
        <f>TEXT(ASTemp!J1871,Decimals)</f>
        <v/>
      </c>
      <c r="K1871" s="69" t="str">
        <f>TEXT(ASTemp!K1871,Decimals)</f>
        <v/>
      </c>
      <c r="L1871" s="69" t="str">
        <f>TEXT(ASTemp!L1871,Decimals)</f>
        <v/>
      </c>
      <c r="M1871" s="71" t="str">
        <f>TEXT(ASTemp!M1871,Percentages)</f>
        <v/>
      </c>
      <c r="N1871" s="72" t="str">
        <f>TEXT(ASTemp!N1871,Percentages)</f>
        <v/>
      </c>
    </row>
    <row r="1872" ht="14.25" customHeight="1">
      <c r="B1872" s="66" t="str">
        <f>ASTemp!B1872</f>
        <v/>
      </c>
      <c r="C1872" s="67" t="str">
        <f>ASTemp!C1872</f>
        <v/>
      </c>
      <c r="D1872" s="68" t="str">
        <f>ASTemp!D1872</f>
        <v/>
      </c>
      <c r="E1872" s="65" t="str">
        <f>ASTemp!E1872</f>
        <v/>
      </c>
      <c r="F1872" s="69" t="str">
        <f>TEXT(ASTemp!F1872,Decimals)</f>
        <v/>
      </c>
      <c r="G1872" s="69" t="str">
        <f>TEXT(ASTemp!G1872,Decimals)</f>
        <v/>
      </c>
      <c r="H1872" s="69" t="str">
        <f>TEXT(ASTemp!H1872,Decimals)</f>
        <v/>
      </c>
      <c r="I1872" s="69" t="str">
        <f>TEXT(ASTemp!I1872,Decimals)</f>
        <v/>
      </c>
      <c r="J1872" s="69" t="str">
        <f>TEXT(ASTemp!J1872,Decimals)</f>
        <v/>
      </c>
      <c r="K1872" s="69" t="str">
        <f>TEXT(ASTemp!K1872,Decimals)</f>
        <v/>
      </c>
      <c r="L1872" s="69" t="str">
        <f>TEXT(ASTemp!L1872,Decimals)</f>
        <v/>
      </c>
      <c r="M1872" s="71" t="str">
        <f>TEXT(ASTemp!M1872,Percentages)</f>
        <v/>
      </c>
      <c r="N1872" s="72" t="str">
        <f>TEXT(ASTemp!N1872,Percentages)</f>
        <v/>
      </c>
    </row>
    <row r="1873" ht="14.25" customHeight="1">
      <c r="B1873" s="66" t="str">
        <f>ASTemp!B1873</f>
        <v/>
      </c>
      <c r="C1873" s="67" t="str">
        <f>ASTemp!C1873</f>
        <v/>
      </c>
      <c r="D1873" s="68" t="str">
        <f>ASTemp!D1873</f>
        <v/>
      </c>
      <c r="E1873" s="65" t="str">
        <f>ASTemp!E1873</f>
        <v/>
      </c>
      <c r="F1873" s="69" t="str">
        <f>TEXT(ASTemp!F1873,Decimals)</f>
        <v/>
      </c>
      <c r="G1873" s="69" t="str">
        <f>TEXT(ASTemp!G1873,Decimals)</f>
        <v/>
      </c>
      <c r="H1873" s="69" t="str">
        <f>TEXT(ASTemp!H1873,Decimals)</f>
        <v/>
      </c>
      <c r="I1873" s="69" t="str">
        <f>TEXT(ASTemp!I1873,Decimals)</f>
        <v/>
      </c>
      <c r="J1873" s="69" t="str">
        <f>TEXT(ASTemp!J1873,Decimals)</f>
        <v/>
      </c>
      <c r="K1873" s="69" t="str">
        <f>TEXT(ASTemp!K1873,Decimals)</f>
        <v/>
      </c>
      <c r="L1873" s="69" t="str">
        <f>TEXT(ASTemp!L1873,Decimals)</f>
        <v/>
      </c>
      <c r="M1873" s="71" t="str">
        <f>TEXT(ASTemp!M1873,Percentages)</f>
        <v/>
      </c>
      <c r="N1873" s="72" t="str">
        <f>TEXT(ASTemp!N1873,Percentages)</f>
        <v/>
      </c>
    </row>
    <row r="1874" ht="14.25" customHeight="1">
      <c r="B1874" s="66" t="str">
        <f>ASTemp!B1874</f>
        <v/>
      </c>
      <c r="C1874" s="67" t="str">
        <f>ASTemp!C1874</f>
        <v/>
      </c>
      <c r="D1874" s="68" t="str">
        <f>ASTemp!D1874</f>
        <v/>
      </c>
      <c r="E1874" s="65" t="str">
        <f>ASTemp!E1874</f>
        <v/>
      </c>
      <c r="F1874" s="69" t="str">
        <f>TEXT(ASTemp!F1874,Decimals)</f>
        <v/>
      </c>
      <c r="G1874" s="69" t="str">
        <f>TEXT(ASTemp!G1874,Decimals)</f>
        <v/>
      </c>
      <c r="H1874" s="69" t="str">
        <f>TEXT(ASTemp!H1874,Decimals)</f>
        <v/>
      </c>
      <c r="I1874" s="69" t="str">
        <f>TEXT(ASTemp!I1874,Decimals)</f>
        <v/>
      </c>
      <c r="J1874" s="69" t="str">
        <f>TEXT(ASTemp!J1874,Decimals)</f>
        <v/>
      </c>
      <c r="K1874" s="69" t="str">
        <f>TEXT(ASTemp!K1874,Decimals)</f>
        <v/>
      </c>
      <c r="L1874" s="69" t="str">
        <f>TEXT(ASTemp!L1874,Decimals)</f>
        <v/>
      </c>
      <c r="M1874" s="71" t="str">
        <f>TEXT(ASTemp!M1874,Percentages)</f>
        <v/>
      </c>
      <c r="N1874" s="72" t="str">
        <f>TEXT(ASTemp!N1874,Percentages)</f>
        <v/>
      </c>
    </row>
    <row r="1875" ht="14.25" customHeight="1">
      <c r="B1875" s="66" t="str">
        <f>ASTemp!B1875</f>
        <v/>
      </c>
      <c r="C1875" s="67" t="str">
        <f>ASTemp!C1875</f>
        <v/>
      </c>
      <c r="D1875" s="68" t="str">
        <f>ASTemp!D1875</f>
        <v/>
      </c>
      <c r="E1875" s="65" t="str">
        <f>ASTemp!E1875</f>
        <v/>
      </c>
      <c r="F1875" s="69" t="str">
        <f>TEXT(ASTemp!F1875,Decimals)</f>
        <v/>
      </c>
      <c r="G1875" s="69" t="str">
        <f>TEXT(ASTemp!G1875,Decimals)</f>
        <v/>
      </c>
      <c r="H1875" s="69" t="str">
        <f>TEXT(ASTemp!H1875,Decimals)</f>
        <v/>
      </c>
      <c r="I1875" s="69" t="str">
        <f>TEXT(ASTemp!I1875,Decimals)</f>
        <v/>
      </c>
      <c r="J1875" s="69" t="str">
        <f>TEXT(ASTemp!J1875,Decimals)</f>
        <v/>
      </c>
      <c r="K1875" s="69" t="str">
        <f>TEXT(ASTemp!K1875,Decimals)</f>
        <v/>
      </c>
      <c r="L1875" s="69" t="str">
        <f>TEXT(ASTemp!L1875,Decimals)</f>
        <v/>
      </c>
      <c r="M1875" s="71" t="str">
        <f>TEXT(ASTemp!M1875,Percentages)</f>
        <v/>
      </c>
      <c r="N1875" s="72" t="str">
        <f>TEXT(ASTemp!N1875,Percentages)</f>
        <v/>
      </c>
    </row>
    <row r="1876" ht="14.25" customHeight="1">
      <c r="B1876" s="66" t="str">
        <f>ASTemp!B1876</f>
        <v/>
      </c>
      <c r="C1876" s="67" t="str">
        <f>ASTemp!C1876</f>
        <v/>
      </c>
      <c r="D1876" s="68" t="str">
        <f>ASTemp!D1876</f>
        <v/>
      </c>
      <c r="E1876" s="65" t="str">
        <f>ASTemp!E1876</f>
        <v/>
      </c>
      <c r="F1876" s="69" t="str">
        <f>TEXT(ASTemp!F1876,Decimals)</f>
        <v/>
      </c>
      <c r="G1876" s="69" t="str">
        <f>TEXT(ASTemp!G1876,Decimals)</f>
        <v/>
      </c>
      <c r="H1876" s="69" t="str">
        <f>TEXT(ASTemp!H1876,Decimals)</f>
        <v/>
      </c>
      <c r="I1876" s="69" t="str">
        <f>TEXT(ASTemp!I1876,Decimals)</f>
        <v/>
      </c>
      <c r="J1876" s="69" t="str">
        <f>TEXT(ASTemp!J1876,Decimals)</f>
        <v/>
      </c>
      <c r="K1876" s="69" t="str">
        <f>TEXT(ASTemp!K1876,Decimals)</f>
        <v/>
      </c>
      <c r="L1876" s="69" t="str">
        <f>TEXT(ASTemp!L1876,Decimals)</f>
        <v/>
      </c>
      <c r="M1876" s="71" t="str">
        <f>TEXT(ASTemp!M1876,Percentages)</f>
        <v/>
      </c>
      <c r="N1876" s="72" t="str">
        <f>TEXT(ASTemp!N1876,Percentages)</f>
        <v/>
      </c>
    </row>
    <row r="1877" ht="14.25" customHeight="1">
      <c r="B1877" s="66" t="str">
        <f>ASTemp!B1877</f>
        <v/>
      </c>
      <c r="C1877" s="67" t="str">
        <f>ASTemp!C1877</f>
        <v/>
      </c>
      <c r="D1877" s="68" t="str">
        <f>ASTemp!D1877</f>
        <v/>
      </c>
      <c r="E1877" s="65" t="str">
        <f>ASTemp!E1877</f>
        <v/>
      </c>
      <c r="F1877" s="69" t="str">
        <f>TEXT(ASTemp!F1877,Decimals)</f>
        <v/>
      </c>
      <c r="G1877" s="69" t="str">
        <f>TEXT(ASTemp!G1877,Decimals)</f>
        <v/>
      </c>
      <c r="H1877" s="69" t="str">
        <f>TEXT(ASTemp!H1877,Decimals)</f>
        <v/>
      </c>
      <c r="I1877" s="69" t="str">
        <f>TEXT(ASTemp!I1877,Decimals)</f>
        <v/>
      </c>
      <c r="J1877" s="69" t="str">
        <f>TEXT(ASTemp!J1877,Decimals)</f>
        <v/>
      </c>
      <c r="K1877" s="69" t="str">
        <f>TEXT(ASTemp!K1877,Decimals)</f>
        <v/>
      </c>
      <c r="L1877" s="69" t="str">
        <f>TEXT(ASTemp!L1877,Decimals)</f>
        <v/>
      </c>
      <c r="M1877" s="71" t="str">
        <f>TEXT(ASTemp!M1877,Percentages)</f>
        <v/>
      </c>
      <c r="N1877" s="72" t="str">
        <f>TEXT(ASTemp!N1877,Percentages)</f>
        <v/>
      </c>
    </row>
    <row r="1878" ht="14.25" customHeight="1">
      <c r="B1878" s="66" t="str">
        <f>ASTemp!B1878</f>
        <v/>
      </c>
      <c r="C1878" s="67" t="str">
        <f>ASTemp!C1878</f>
        <v/>
      </c>
      <c r="D1878" s="68" t="str">
        <f>ASTemp!D1878</f>
        <v/>
      </c>
      <c r="E1878" s="65" t="str">
        <f>ASTemp!E1878</f>
        <v/>
      </c>
      <c r="F1878" s="69" t="str">
        <f>TEXT(ASTemp!F1878,Decimals)</f>
        <v/>
      </c>
      <c r="G1878" s="69" t="str">
        <f>TEXT(ASTemp!G1878,Decimals)</f>
        <v/>
      </c>
      <c r="H1878" s="69" t="str">
        <f>TEXT(ASTemp!H1878,Decimals)</f>
        <v/>
      </c>
      <c r="I1878" s="69" t="str">
        <f>TEXT(ASTemp!I1878,Decimals)</f>
        <v/>
      </c>
      <c r="J1878" s="69" t="str">
        <f>TEXT(ASTemp!J1878,Decimals)</f>
        <v/>
      </c>
      <c r="K1878" s="69" t="str">
        <f>TEXT(ASTemp!K1878,Decimals)</f>
        <v/>
      </c>
      <c r="L1878" s="69" t="str">
        <f>TEXT(ASTemp!L1878,Decimals)</f>
        <v/>
      </c>
      <c r="M1878" s="71" t="str">
        <f>TEXT(ASTemp!M1878,Percentages)</f>
        <v/>
      </c>
      <c r="N1878" s="72" t="str">
        <f>TEXT(ASTemp!N1878,Percentages)</f>
        <v/>
      </c>
    </row>
    <row r="1879" ht="14.25" customHeight="1">
      <c r="B1879" s="66" t="str">
        <f>ASTemp!B1879</f>
        <v/>
      </c>
      <c r="C1879" s="67" t="str">
        <f>ASTemp!C1879</f>
        <v/>
      </c>
      <c r="D1879" s="68" t="str">
        <f>ASTemp!D1879</f>
        <v/>
      </c>
      <c r="E1879" s="65" t="str">
        <f>ASTemp!E1879</f>
        <v/>
      </c>
      <c r="F1879" s="69" t="str">
        <f>TEXT(ASTemp!F1879,Decimals)</f>
        <v/>
      </c>
      <c r="G1879" s="69" t="str">
        <f>TEXT(ASTemp!G1879,Decimals)</f>
        <v/>
      </c>
      <c r="H1879" s="69" t="str">
        <f>TEXT(ASTemp!H1879,Decimals)</f>
        <v/>
      </c>
      <c r="I1879" s="69" t="str">
        <f>TEXT(ASTemp!I1879,Decimals)</f>
        <v/>
      </c>
      <c r="J1879" s="69" t="str">
        <f>TEXT(ASTemp!J1879,Decimals)</f>
        <v/>
      </c>
      <c r="K1879" s="69" t="str">
        <f>TEXT(ASTemp!K1879,Decimals)</f>
        <v/>
      </c>
      <c r="L1879" s="69" t="str">
        <f>TEXT(ASTemp!L1879,Decimals)</f>
        <v/>
      </c>
      <c r="M1879" s="71" t="str">
        <f>TEXT(ASTemp!M1879,Percentages)</f>
        <v/>
      </c>
      <c r="N1879" s="72" t="str">
        <f>TEXT(ASTemp!N1879,Percentages)</f>
        <v/>
      </c>
    </row>
    <row r="1880" ht="14.25" customHeight="1">
      <c r="B1880" s="66" t="str">
        <f>ASTemp!B1880</f>
        <v/>
      </c>
      <c r="C1880" s="67" t="str">
        <f>ASTemp!C1880</f>
        <v/>
      </c>
      <c r="D1880" s="68" t="str">
        <f>ASTemp!D1880</f>
        <v/>
      </c>
      <c r="E1880" s="65" t="str">
        <f>ASTemp!E1880</f>
        <v/>
      </c>
      <c r="F1880" s="69" t="str">
        <f>TEXT(ASTemp!F1880,Decimals)</f>
        <v/>
      </c>
      <c r="G1880" s="69" t="str">
        <f>TEXT(ASTemp!G1880,Decimals)</f>
        <v/>
      </c>
      <c r="H1880" s="69" t="str">
        <f>TEXT(ASTemp!H1880,Decimals)</f>
        <v/>
      </c>
      <c r="I1880" s="69" t="str">
        <f>TEXT(ASTemp!I1880,Decimals)</f>
        <v/>
      </c>
      <c r="J1880" s="69" t="str">
        <f>TEXT(ASTemp!J1880,Decimals)</f>
        <v/>
      </c>
      <c r="K1880" s="69" t="str">
        <f>TEXT(ASTemp!K1880,Decimals)</f>
        <v/>
      </c>
      <c r="L1880" s="69" t="str">
        <f>TEXT(ASTemp!L1880,Decimals)</f>
        <v/>
      </c>
      <c r="M1880" s="71" t="str">
        <f>TEXT(ASTemp!M1880,Percentages)</f>
        <v/>
      </c>
      <c r="N1880" s="72" t="str">
        <f>TEXT(ASTemp!N1880,Percentages)</f>
        <v/>
      </c>
    </row>
    <row r="1881" ht="14.25" customHeight="1">
      <c r="B1881" s="66" t="str">
        <f>ASTemp!B1881</f>
        <v/>
      </c>
      <c r="C1881" s="67" t="str">
        <f>ASTemp!C1881</f>
        <v/>
      </c>
      <c r="D1881" s="68" t="str">
        <f>ASTemp!D1881</f>
        <v/>
      </c>
      <c r="E1881" s="65" t="str">
        <f>ASTemp!E1881</f>
        <v/>
      </c>
      <c r="F1881" s="69" t="str">
        <f>TEXT(ASTemp!F1881,Decimals)</f>
        <v/>
      </c>
      <c r="G1881" s="69" t="str">
        <f>TEXT(ASTemp!G1881,Decimals)</f>
        <v/>
      </c>
      <c r="H1881" s="69" t="str">
        <f>TEXT(ASTemp!H1881,Decimals)</f>
        <v/>
      </c>
      <c r="I1881" s="69" t="str">
        <f>TEXT(ASTemp!I1881,Decimals)</f>
        <v/>
      </c>
      <c r="J1881" s="69" t="str">
        <f>TEXT(ASTemp!J1881,Decimals)</f>
        <v/>
      </c>
      <c r="K1881" s="69" t="str">
        <f>TEXT(ASTemp!K1881,Decimals)</f>
        <v/>
      </c>
      <c r="L1881" s="69" t="str">
        <f>TEXT(ASTemp!L1881,Decimals)</f>
        <v/>
      </c>
      <c r="M1881" s="71" t="str">
        <f>TEXT(ASTemp!M1881,Percentages)</f>
        <v/>
      </c>
      <c r="N1881" s="72" t="str">
        <f>TEXT(ASTemp!N1881,Percentages)</f>
        <v/>
      </c>
    </row>
    <row r="1882" ht="14.25" customHeight="1">
      <c r="B1882" s="66" t="str">
        <f>ASTemp!B1882</f>
        <v/>
      </c>
      <c r="C1882" s="67" t="str">
        <f>ASTemp!C1882</f>
        <v/>
      </c>
      <c r="D1882" s="68" t="str">
        <f>ASTemp!D1882</f>
        <v/>
      </c>
      <c r="E1882" s="65" t="str">
        <f>ASTemp!E1882</f>
        <v/>
      </c>
      <c r="F1882" s="69" t="str">
        <f>TEXT(ASTemp!F1882,Decimals)</f>
        <v/>
      </c>
      <c r="G1882" s="69" t="str">
        <f>TEXT(ASTemp!G1882,Decimals)</f>
        <v/>
      </c>
      <c r="H1882" s="69" t="str">
        <f>TEXT(ASTemp!H1882,Decimals)</f>
        <v/>
      </c>
      <c r="I1882" s="69" t="str">
        <f>TEXT(ASTemp!I1882,Decimals)</f>
        <v/>
      </c>
      <c r="J1882" s="69" t="str">
        <f>TEXT(ASTemp!J1882,Decimals)</f>
        <v/>
      </c>
      <c r="K1882" s="69" t="str">
        <f>TEXT(ASTemp!K1882,Decimals)</f>
        <v/>
      </c>
      <c r="L1882" s="69" t="str">
        <f>TEXT(ASTemp!L1882,Decimals)</f>
        <v/>
      </c>
      <c r="M1882" s="71" t="str">
        <f>TEXT(ASTemp!M1882,Percentages)</f>
        <v/>
      </c>
      <c r="N1882" s="72" t="str">
        <f>TEXT(ASTemp!N1882,Percentages)</f>
        <v/>
      </c>
    </row>
    <row r="1883" ht="14.25" customHeight="1">
      <c r="B1883" s="66" t="str">
        <f>ASTemp!B1883</f>
        <v/>
      </c>
      <c r="C1883" s="67" t="str">
        <f>ASTemp!C1883</f>
        <v/>
      </c>
      <c r="D1883" s="68" t="str">
        <f>ASTemp!D1883</f>
        <v/>
      </c>
      <c r="E1883" s="65" t="str">
        <f>ASTemp!E1883</f>
        <v/>
      </c>
      <c r="F1883" s="69" t="str">
        <f>TEXT(ASTemp!F1883,Decimals)</f>
        <v/>
      </c>
      <c r="G1883" s="69" t="str">
        <f>TEXT(ASTemp!G1883,Decimals)</f>
        <v/>
      </c>
      <c r="H1883" s="69" t="str">
        <f>TEXT(ASTemp!H1883,Decimals)</f>
        <v/>
      </c>
      <c r="I1883" s="69" t="str">
        <f>TEXT(ASTemp!I1883,Decimals)</f>
        <v/>
      </c>
      <c r="J1883" s="69" t="str">
        <f>TEXT(ASTemp!J1883,Decimals)</f>
        <v/>
      </c>
      <c r="K1883" s="69" t="str">
        <f>TEXT(ASTemp!K1883,Decimals)</f>
        <v/>
      </c>
      <c r="L1883" s="69" t="str">
        <f>TEXT(ASTemp!L1883,Decimals)</f>
        <v/>
      </c>
      <c r="M1883" s="71" t="str">
        <f>TEXT(ASTemp!M1883,Percentages)</f>
        <v/>
      </c>
      <c r="N1883" s="72" t="str">
        <f>TEXT(ASTemp!N1883,Percentages)</f>
        <v/>
      </c>
    </row>
    <row r="1884" ht="14.25" customHeight="1">
      <c r="B1884" s="66" t="str">
        <f>ASTemp!B1884</f>
        <v/>
      </c>
      <c r="C1884" s="67" t="str">
        <f>ASTemp!C1884</f>
        <v/>
      </c>
      <c r="D1884" s="68" t="str">
        <f>ASTemp!D1884</f>
        <v/>
      </c>
      <c r="E1884" s="65" t="str">
        <f>ASTemp!E1884</f>
        <v/>
      </c>
      <c r="F1884" s="69" t="str">
        <f>TEXT(ASTemp!F1884,Decimals)</f>
        <v/>
      </c>
      <c r="G1884" s="69" t="str">
        <f>TEXT(ASTemp!G1884,Decimals)</f>
        <v/>
      </c>
      <c r="H1884" s="69" t="str">
        <f>TEXT(ASTemp!H1884,Decimals)</f>
        <v/>
      </c>
      <c r="I1884" s="69" t="str">
        <f>TEXT(ASTemp!I1884,Decimals)</f>
        <v/>
      </c>
      <c r="J1884" s="69" t="str">
        <f>TEXT(ASTemp!J1884,Decimals)</f>
        <v/>
      </c>
      <c r="K1884" s="69" t="str">
        <f>TEXT(ASTemp!K1884,Decimals)</f>
        <v/>
      </c>
      <c r="L1884" s="69" t="str">
        <f>TEXT(ASTemp!L1884,Decimals)</f>
        <v/>
      </c>
      <c r="M1884" s="71" t="str">
        <f>TEXT(ASTemp!M1884,Percentages)</f>
        <v/>
      </c>
      <c r="N1884" s="72" t="str">
        <f>TEXT(ASTemp!N1884,Percentages)</f>
        <v/>
      </c>
    </row>
    <row r="1885" ht="14.25" customHeight="1">
      <c r="B1885" s="66" t="str">
        <f>ASTemp!B1885</f>
        <v/>
      </c>
      <c r="C1885" s="67" t="str">
        <f>ASTemp!C1885</f>
        <v/>
      </c>
      <c r="D1885" s="68" t="str">
        <f>ASTemp!D1885</f>
        <v/>
      </c>
      <c r="E1885" s="65" t="str">
        <f>ASTemp!E1885</f>
        <v/>
      </c>
      <c r="F1885" s="69" t="str">
        <f>TEXT(ASTemp!F1885,Decimals)</f>
        <v/>
      </c>
      <c r="G1885" s="69" t="str">
        <f>TEXT(ASTemp!G1885,Decimals)</f>
        <v/>
      </c>
      <c r="H1885" s="69" t="str">
        <f>TEXT(ASTemp!H1885,Decimals)</f>
        <v/>
      </c>
      <c r="I1885" s="69" t="str">
        <f>TEXT(ASTemp!I1885,Decimals)</f>
        <v/>
      </c>
      <c r="J1885" s="69" t="str">
        <f>TEXT(ASTemp!J1885,Decimals)</f>
        <v/>
      </c>
      <c r="K1885" s="69" t="str">
        <f>TEXT(ASTemp!K1885,Decimals)</f>
        <v/>
      </c>
      <c r="L1885" s="69" t="str">
        <f>TEXT(ASTemp!L1885,Decimals)</f>
        <v/>
      </c>
      <c r="M1885" s="71" t="str">
        <f>TEXT(ASTemp!M1885,Percentages)</f>
        <v/>
      </c>
      <c r="N1885" s="72" t="str">
        <f>TEXT(ASTemp!N1885,Percentages)</f>
        <v/>
      </c>
    </row>
    <row r="1886" ht="14.25" customHeight="1">
      <c r="B1886" s="66" t="str">
        <f>ASTemp!B1886</f>
        <v/>
      </c>
      <c r="C1886" s="67" t="str">
        <f>ASTemp!C1886</f>
        <v/>
      </c>
      <c r="D1886" s="68" t="str">
        <f>ASTemp!D1886</f>
        <v/>
      </c>
      <c r="E1886" s="65" t="str">
        <f>ASTemp!E1886</f>
        <v/>
      </c>
      <c r="F1886" s="69" t="str">
        <f>TEXT(ASTemp!F1886,Decimals)</f>
        <v/>
      </c>
      <c r="G1886" s="69" t="str">
        <f>TEXT(ASTemp!G1886,Decimals)</f>
        <v/>
      </c>
      <c r="H1886" s="69" t="str">
        <f>TEXT(ASTemp!H1886,Decimals)</f>
        <v/>
      </c>
      <c r="I1886" s="69" t="str">
        <f>TEXT(ASTemp!I1886,Decimals)</f>
        <v/>
      </c>
      <c r="J1886" s="69" t="str">
        <f>TEXT(ASTemp!J1886,Decimals)</f>
        <v/>
      </c>
      <c r="K1886" s="69" t="str">
        <f>TEXT(ASTemp!K1886,Decimals)</f>
        <v/>
      </c>
      <c r="L1886" s="69" t="str">
        <f>TEXT(ASTemp!L1886,Decimals)</f>
        <v/>
      </c>
      <c r="M1886" s="71" t="str">
        <f>TEXT(ASTemp!M1886,Percentages)</f>
        <v/>
      </c>
      <c r="N1886" s="72" t="str">
        <f>TEXT(ASTemp!N1886,Percentages)</f>
        <v/>
      </c>
    </row>
    <row r="1887" ht="14.25" customHeight="1">
      <c r="B1887" s="66" t="str">
        <f>ASTemp!B1887</f>
        <v/>
      </c>
      <c r="C1887" s="67" t="str">
        <f>ASTemp!C1887</f>
        <v/>
      </c>
      <c r="D1887" s="68" t="str">
        <f>ASTemp!D1887</f>
        <v/>
      </c>
      <c r="E1887" s="65" t="str">
        <f>ASTemp!E1887</f>
        <v/>
      </c>
      <c r="F1887" s="69" t="str">
        <f>TEXT(ASTemp!F1887,Decimals)</f>
        <v/>
      </c>
      <c r="G1887" s="69" t="str">
        <f>TEXT(ASTemp!G1887,Decimals)</f>
        <v/>
      </c>
      <c r="H1887" s="69" t="str">
        <f>TEXT(ASTemp!H1887,Decimals)</f>
        <v/>
      </c>
      <c r="I1887" s="69" t="str">
        <f>TEXT(ASTemp!I1887,Decimals)</f>
        <v/>
      </c>
      <c r="J1887" s="69" t="str">
        <f>TEXT(ASTemp!J1887,Decimals)</f>
        <v/>
      </c>
      <c r="K1887" s="69" t="str">
        <f>TEXT(ASTemp!K1887,Decimals)</f>
        <v/>
      </c>
      <c r="L1887" s="69" t="str">
        <f>TEXT(ASTemp!L1887,Decimals)</f>
        <v/>
      </c>
      <c r="M1887" s="71" t="str">
        <f>TEXT(ASTemp!M1887,Percentages)</f>
        <v/>
      </c>
      <c r="N1887" s="72" t="str">
        <f>TEXT(ASTemp!N1887,Percentages)</f>
        <v/>
      </c>
    </row>
    <row r="1888" ht="14.25" customHeight="1">
      <c r="B1888" s="66" t="str">
        <f>ASTemp!B1888</f>
        <v/>
      </c>
      <c r="C1888" s="67" t="str">
        <f>ASTemp!C1888</f>
        <v/>
      </c>
      <c r="D1888" s="68" t="str">
        <f>ASTemp!D1888</f>
        <v/>
      </c>
      <c r="E1888" s="65" t="str">
        <f>ASTemp!E1888</f>
        <v/>
      </c>
      <c r="F1888" s="69" t="str">
        <f>TEXT(ASTemp!F1888,Decimals)</f>
        <v/>
      </c>
      <c r="G1888" s="69" t="str">
        <f>TEXT(ASTemp!G1888,Decimals)</f>
        <v/>
      </c>
      <c r="H1888" s="69" t="str">
        <f>TEXT(ASTemp!H1888,Decimals)</f>
        <v/>
      </c>
      <c r="I1888" s="69" t="str">
        <f>TEXT(ASTemp!I1888,Decimals)</f>
        <v/>
      </c>
      <c r="J1888" s="69" t="str">
        <f>TEXT(ASTemp!J1888,Decimals)</f>
        <v/>
      </c>
      <c r="K1888" s="69" t="str">
        <f>TEXT(ASTemp!K1888,Decimals)</f>
        <v/>
      </c>
      <c r="L1888" s="69" t="str">
        <f>TEXT(ASTemp!L1888,Decimals)</f>
        <v/>
      </c>
      <c r="M1888" s="71" t="str">
        <f>TEXT(ASTemp!M1888,Percentages)</f>
        <v/>
      </c>
      <c r="N1888" s="72" t="str">
        <f>TEXT(ASTemp!N1888,Percentages)</f>
        <v/>
      </c>
    </row>
    <row r="1889" ht="14.25" customHeight="1">
      <c r="B1889" s="66" t="str">
        <f>ASTemp!B1889</f>
        <v/>
      </c>
      <c r="C1889" s="67" t="str">
        <f>ASTemp!C1889</f>
        <v/>
      </c>
      <c r="D1889" s="68" t="str">
        <f>ASTemp!D1889</f>
        <v/>
      </c>
      <c r="E1889" s="65" t="str">
        <f>ASTemp!E1889</f>
        <v/>
      </c>
      <c r="F1889" s="69" t="str">
        <f>TEXT(ASTemp!F1889,Decimals)</f>
        <v/>
      </c>
      <c r="G1889" s="69" t="str">
        <f>TEXT(ASTemp!G1889,Decimals)</f>
        <v/>
      </c>
      <c r="H1889" s="69" t="str">
        <f>TEXT(ASTemp!H1889,Decimals)</f>
        <v/>
      </c>
      <c r="I1889" s="69" t="str">
        <f>TEXT(ASTemp!I1889,Decimals)</f>
        <v/>
      </c>
      <c r="J1889" s="69" t="str">
        <f>TEXT(ASTemp!J1889,Decimals)</f>
        <v/>
      </c>
      <c r="K1889" s="69" t="str">
        <f>TEXT(ASTemp!K1889,Decimals)</f>
        <v/>
      </c>
      <c r="L1889" s="69" t="str">
        <f>TEXT(ASTemp!L1889,Decimals)</f>
        <v/>
      </c>
      <c r="M1889" s="71" t="str">
        <f>TEXT(ASTemp!M1889,Percentages)</f>
        <v/>
      </c>
      <c r="N1889" s="72" t="str">
        <f>TEXT(ASTemp!N1889,Percentages)</f>
        <v/>
      </c>
    </row>
    <row r="1890" ht="14.25" customHeight="1">
      <c r="B1890" s="66" t="str">
        <f>ASTemp!B1890</f>
        <v/>
      </c>
      <c r="C1890" s="67" t="str">
        <f>ASTemp!C1890</f>
        <v/>
      </c>
      <c r="D1890" s="68" t="str">
        <f>ASTemp!D1890</f>
        <v/>
      </c>
      <c r="E1890" s="65" t="str">
        <f>ASTemp!E1890</f>
        <v/>
      </c>
      <c r="F1890" s="69" t="str">
        <f>TEXT(ASTemp!F1890,Decimals)</f>
        <v/>
      </c>
      <c r="G1890" s="69" t="str">
        <f>TEXT(ASTemp!G1890,Decimals)</f>
        <v/>
      </c>
      <c r="H1890" s="69" t="str">
        <f>TEXT(ASTemp!H1890,Decimals)</f>
        <v/>
      </c>
      <c r="I1890" s="69" t="str">
        <f>TEXT(ASTemp!I1890,Decimals)</f>
        <v/>
      </c>
      <c r="J1890" s="69" t="str">
        <f>TEXT(ASTemp!J1890,Decimals)</f>
        <v/>
      </c>
      <c r="K1890" s="69" t="str">
        <f>TEXT(ASTemp!K1890,Decimals)</f>
        <v/>
      </c>
      <c r="L1890" s="69" t="str">
        <f>TEXT(ASTemp!L1890,Decimals)</f>
        <v/>
      </c>
      <c r="M1890" s="71" t="str">
        <f>TEXT(ASTemp!M1890,Percentages)</f>
        <v/>
      </c>
      <c r="N1890" s="72" t="str">
        <f>TEXT(ASTemp!N1890,Percentages)</f>
        <v/>
      </c>
    </row>
    <row r="1891" ht="14.25" customHeight="1">
      <c r="B1891" s="66" t="str">
        <f>ASTemp!B1891</f>
        <v/>
      </c>
      <c r="C1891" s="67" t="str">
        <f>ASTemp!C1891</f>
        <v/>
      </c>
      <c r="D1891" s="68" t="str">
        <f>ASTemp!D1891</f>
        <v/>
      </c>
      <c r="E1891" s="65" t="str">
        <f>ASTemp!E1891</f>
        <v/>
      </c>
      <c r="F1891" s="69" t="str">
        <f>TEXT(ASTemp!F1891,Decimals)</f>
        <v/>
      </c>
      <c r="G1891" s="69" t="str">
        <f>TEXT(ASTemp!G1891,Decimals)</f>
        <v/>
      </c>
      <c r="H1891" s="69" t="str">
        <f>TEXT(ASTemp!H1891,Decimals)</f>
        <v/>
      </c>
      <c r="I1891" s="69" t="str">
        <f>TEXT(ASTemp!I1891,Decimals)</f>
        <v/>
      </c>
      <c r="J1891" s="69" t="str">
        <f>TEXT(ASTemp!J1891,Decimals)</f>
        <v/>
      </c>
      <c r="K1891" s="69" t="str">
        <f>TEXT(ASTemp!K1891,Decimals)</f>
        <v/>
      </c>
      <c r="L1891" s="69" t="str">
        <f>TEXT(ASTemp!L1891,Decimals)</f>
        <v/>
      </c>
      <c r="M1891" s="71" t="str">
        <f>TEXT(ASTemp!M1891,Percentages)</f>
        <v/>
      </c>
      <c r="N1891" s="72" t="str">
        <f>TEXT(ASTemp!N1891,Percentages)</f>
        <v/>
      </c>
    </row>
    <row r="1892" ht="14.25" customHeight="1">
      <c r="B1892" s="66" t="str">
        <f>ASTemp!B1892</f>
        <v/>
      </c>
      <c r="C1892" s="67" t="str">
        <f>ASTemp!C1892</f>
        <v/>
      </c>
      <c r="D1892" s="68" t="str">
        <f>ASTemp!D1892</f>
        <v/>
      </c>
      <c r="E1892" s="65" t="str">
        <f>ASTemp!E1892</f>
        <v/>
      </c>
      <c r="F1892" s="69" t="str">
        <f>TEXT(ASTemp!F1892,Decimals)</f>
        <v/>
      </c>
      <c r="G1892" s="69" t="str">
        <f>TEXT(ASTemp!G1892,Decimals)</f>
        <v/>
      </c>
      <c r="H1892" s="69" t="str">
        <f>TEXT(ASTemp!H1892,Decimals)</f>
        <v/>
      </c>
      <c r="I1892" s="69" t="str">
        <f>TEXT(ASTemp!I1892,Decimals)</f>
        <v/>
      </c>
      <c r="J1892" s="69" t="str">
        <f>TEXT(ASTemp!J1892,Decimals)</f>
        <v/>
      </c>
      <c r="K1892" s="69" t="str">
        <f>TEXT(ASTemp!K1892,Decimals)</f>
        <v/>
      </c>
      <c r="L1892" s="69" t="str">
        <f>TEXT(ASTemp!L1892,Decimals)</f>
        <v/>
      </c>
      <c r="M1892" s="71" t="str">
        <f>TEXT(ASTemp!M1892,Percentages)</f>
        <v/>
      </c>
      <c r="N1892" s="72" t="str">
        <f>TEXT(ASTemp!N1892,Percentages)</f>
        <v/>
      </c>
    </row>
    <row r="1893" ht="14.25" customHeight="1">
      <c r="B1893" s="66" t="str">
        <f>ASTemp!B1893</f>
        <v/>
      </c>
      <c r="C1893" s="67" t="str">
        <f>ASTemp!C1893</f>
        <v/>
      </c>
      <c r="D1893" s="68" t="str">
        <f>ASTemp!D1893</f>
        <v/>
      </c>
      <c r="E1893" s="65" t="str">
        <f>ASTemp!E1893</f>
        <v/>
      </c>
      <c r="F1893" s="69" t="str">
        <f>TEXT(ASTemp!F1893,Decimals)</f>
        <v/>
      </c>
      <c r="G1893" s="69" t="str">
        <f>TEXT(ASTemp!G1893,Decimals)</f>
        <v/>
      </c>
      <c r="H1893" s="69" t="str">
        <f>TEXT(ASTemp!H1893,Decimals)</f>
        <v/>
      </c>
      <c r="I1893" s="69" t="str">
        <f>TEXT(ASTemp!I1893,Decimals)</f>
        <v/>
      </c>
      <c r="J1893" s="69" t="str">
        <f>TEXT(ASTemp!J1893,Decimals)</f>
        <v/>
      </c>
      <c r="K1893" s="69" t="str">
        <f>TEXT(ASTemp!K1893,Decimals)</f>
        <v/>
      </c>
      <c r="L1893" s="69" t="str">
        <f>TEXT(ASTemp!L1893,Decimals)</f>
        <v/>
      </c>
      <c r="M1893" s="71" t="str">
        <f>TEXT(ASTemp!M1893,Percentages)</f>
        <v/>
      </c>
      <c r="N1893" s="72" t="str">
        <f>TEXT(ASTemp!N1893,Percentages)</f>
        <v/>
      </c>
    </row>
    <row r="1894" ht="14.25" customHeight="1">
      <c r="B1894" s="66" t="str">
        <f>ASTemp!B1894</f>
        <v/>
      </c>
      <c r="C1894" s="67" t="str">
        <f>ASTemp!C1894</f>
        <v/>
      </c>
      <c r="D1894" s="68" t="str">
        <f>ASTemp!D1894</f>
        <v/>
      </c>
      <c r="E1894" s="65" t="str">
        <f>ASTemp!E1894</f>
        <v/>
      </c>
      <c r="F1894" s="69" t="str">
        <f>TEXT(ASTemp!F1894,Decimals)</f>
        <v/>
      </c>
      <c r="G1894" s="69" t="str">
        <f>TEXT(ASTemp!G1894,Decimals)</f>
        <v/>
      </c>
      <c r="H1894" s="69" t="str">
        <f>TEXT(ASTemp!H1894,Decimals)</f>
        <v/>
      </c>
      <c r="I1894" s="69" t="str">
        <f>TEXT(ASTemp!I1894,Decimals)</f>
        <v/>
      </c>
      <c r="J1894" s="69" t="str">
        <f>TEXT(ASTemp!J1894,Decimals)</f>
        <v/>
      </c>
      <c r="K1894" s="69" t="str">
        <f>TEXT(ASTemp!K1894,Decimals)</f>
        <v/>
      </c>
      <c r="L1894" s="69" t="str">
        <f>TEXT(ASTemp!L1894,Decimals)</f>
        <v/>
      </c>
      <c r="M1894" s="71" t="str">
        <f>TEXT(ASTemp!M1894,Percentages)</f>
        <v/>
      </c>
      <c r="N1894" s="72" t="str">
        <f>TEXT(ASTemp!N1894,Percentages)</f>
        <v/>
      </c>
    </row>
    <row r="1895" ht="14.25" customHeight="1">
      <c r="B1895" s="66" t="str">
        <f>ASTemp!B1895</f>
        <v/>
      </c>
      <c r="C1895" s="67" t="str">
        <f>ASTemp!C1895</f>
        <v/>
      </c>
      <c r="D1895" s="68" t="str">
        <f>ASTemp!D1895</f>
        <v/>
      </c>
      <c r="E1895" s="65" t="str">
        <f>ASTemp!E1895</f>
        <v/>
      </c>
      <c r="F1895" s="69" t="str">
        <f>TEXT(ASTemp!F1895,Decimals)</f>
        <v/>
      </c>
      <c r="G1895" s="69" t="str">
        <f>TEXT(ASTemp!G1895,Decimals)</f>
        <v/>
      </c>
      <c r="H1895" s="69" t="str">
        <f>TEXT(ASTemp!H1895,Decimals)</f>
        <v/>
      </c>
      <c r="I1895" s="69" t="str">
        <f>TEXT(ASTemp!I1895,Decimals)</f>
        <v/>
      </c>
      <c r="J1895" s="69" t="str">
        <f>TEXT(ASTemp!J1895,Decimals)</f>
        <v/>
      </c>
      <c r="K1895" s="69" t="str">
        <f>TEXT(ASTemp!K1895,Decimals)</f>
        <v/>
      </c>
      <c r="L1895" s="69" t="str">
        <f>TEXT(ASTemp!L1895,Decimals)</f>
        <v/>
      </c>
      <c r="M1895" s="71" t="str">
        <f>TEXT(ASTemp!M1895,Percentages)</f>
        <v/>
      </c>
      <c r="N1895" s="72" t="str">
        <f>TEXT(ASTemp!N1895,Percentages)</f>
        <v/>
      </c>
    </row>
    <row r="1896" ht="14.25" customHeight="1">
      <c r="B1896" s="66" t="str">
        <f>ASTemp!B1896</f>
        <v/>
      </c>
      <c r="C1896" s="67" t="str">
        <f>ASTemp!C1896</f>
        <v/>
      </c>
      <c r="D1896" s="68" t="str">
        <f>ASTemp!D1896</f>
        <v/>
      </c>
      <c r="E1896" s="65" t="str">
        <f>ASTemp!E1896</f>
        <v/>
      </c>
      <c r="F1896" s="69" t="str">
        <f>TEXT(ASTemp!F1896,Decimals)</f>
        <v/>
      </c>
      <c r="G1896" s="69" t="str">
        <f>TEXT(ASTemp!G1896,Decimals)</f>
        <v/>
      </c>
      <c r="H1896" s="69" t="str">
        <f>TEXT(ASTemp!H1896,Decimals)</f>
        <v/>
      </c>
      <c r="I1896" s="69" t="str">
        <f>TEXT(ASTemp!I1896,Decimals)</f>
        <v/>
      </c>
      <c r="J1896" s="69" t="str">
        <f>TEXT(ASTemp!J1896,Decimals)</f>
        <v/>
      </c>
      <c r="K1896" s="69" t="str">
        <f>TEXT(ASTemp!K1896,Decimals)</f>
        <v/>
      </c>
      <c r="L1896" s="69" t="str">
        <f>TEXT(ASTemp!L1896,Decimals)</f>
        <v/>
      </c>
      <c r="M1896" s="71" t="str">
        <f>TEXT(ASTemp!M1896,Percentages)</f>
        <v/>
      </c>
      <c r="N1896" s="72" t="str">
        <f>TEXT(ASTemp!N1896,Percentages)</f>
        <v/>
      </c>
    </row>
    <row r="1897" ht="14.25" customHeight="1">
      <c r="B1897" s="66" t="str">
        <f>ASTemp!B1897</f>
        <v/>
      </c>
      <c r="C1897" s="67" t="str">
        <f>ASTemp!C1897</f>
        <v/>
      </c>
      <c r="D1897" s="68" t="str">
        <f>ASTemp!D1897</f>
        <v/>
      </c>
      <c r="E1897" s="65" t="str">
        <f>ASTemp!E1897</f>
        <v/>
      </c>
      <c r="F1897" s="69" t="str">
        <f>TEXT(ASTemp!F1897,Decimals)</f>
        <v/>
      </c>
      <c r="G1897" s="69" t="str">
        <f>TEXT(ASTemp!G1897,Decimals)</f>
        <v/>
      </c>
      <c r="H1897" s="69" t="str">
        <f>TEXT(ASTemp!H1897,Decimals)</f>
        <v/>
      </c>
      <c r="I1897" s="69" t="str">
        <f>TEXT(ASTemp!I1897,Decimals)</f>
        <v/>
      </c>
      <c r="J1897" s="69" t="str">
        <f>TEXT(ASTemp!J1897,Decimals)</f>
        <v/>
      </c>
      <c r="K1897" s="69" t="str">
        <f>TEXT(ASTemp!K1897,Decimals)</f>
        <v/>
      </c>
      <c r="L1897" s="69" t="str">
        <f>TEXT(ASTemp!L1897,Decimals)</f>
        <v/>
      </c>
      <c r="M1897" s="71" t="str">
        <f>TEXT(ASTemp!M1897,Percentages)</f>
        <v/>
      </c>
      <c r="N1897" s="72" t="str">
        <f>TEXT(ASTemp!N1897,Percentages)</f>
        <v/>
      </c>
    </row>
    <row r="1898" ht="14.25" customHeight="1">
      <c r="B1898" s="66" t="str">
        <f>ASTemp!B1898</f>
        <v/>
      </c>
      <c r="C1898" s="67" t="str">
        <f>ASTemp!C1898</f>
        <v/>
      </c>
      <c r="D1898" s="68" t="str">
        <f>ASTemp!D1898</f>
        <v/>
      </c>
      <c r="E1898" s="65" t="str">
        <f>ASTemp!E1898</f>
        <v/>
      </c>
      <c r="F1898" s="69" t="str">
        <f>TEXT(ASTemp!F1898,Decimals)</f>
        <v/>
      </c>
      <c r="G1898" s="69" t="str">
        <f>TEXT(ASTemp!G1898,Decimals)</f>
        <v/>
      </c>
      <c r="H1898" s="69" t="str">
        <f>TEXT(ASTemp!H1898,Decimals)</f>
        <v/>
      </c>
      <c r="I1898" s="69" t="str">
        <f>TEXT(ASTemp!I1898,Decimals)</f>
        <v/>
      </c>
      <c r="J1898" s="69" t="str">
        <f>TEXT(ASTemp!J1898,Decimals)</f>
        <v/>
      </c>
      <c r="K1898" s="69" t="str">
        <f>TEXT(ASTemp!K1898,Decimals)</f>
        <v/>
      </c>
      <c r="L1898" s="69" t="str">
        <f>TEXT(ASTemp!L1898,Decimals)</f>
        <v/>
      </c>
      <c r="M1898" s="71" t="str">
        <f>TEXT(ASTemp!M1898,Percentages)</f>
        <v/>
      </c>
      <c r="N1898" s="72" t="str">
        <f>TEXT(ASTemp!N1898,Percentages)</f>
        <v/>
      </c>
    </row>
    <row r="1899" ht="14.25" customHeight="1">
      <c r="B1899" s="66" t="str">
        <f>ASTemp!B1899</f>
        <v/>
      </c>
      <c r="C1899" s="67" t="str">
        <f>ASTemp!C1899</f>
        <v/>
      </c>
      <c r="D1899" s="68" t="str">
        <f>ASTemp!D1899</f>
        <v/>
      </c>
      <c r="E1899" s="65" t="str">
        <f>ASTemp!E1899</f>
        <v/>
      </c>
      <c r="F1899" s="69" t="str">
        <f>TEXT(ASTemp!F1899,Decimals)</f>
        <v/>
      </c>
      <c r="G1899" s="69" t="str">
        <f>TEXT(ASTemp!G1899,Decimals)</f>
        <v/>
      </c>
      <c r="H1899" s="69" t="str">
        <f>TEXT(ASTemp!H1899,Decimals)</f>
        <v/>
      </c>
      <c r="I1899" s="69" t="str">
        <f>TEXT(ASTemp!I1899,Decimals)</f>
        <v/>
      </c>
      <c r="J1899" s="69" t="str">
        <f>TEXT(ASTemp!J1899,Decimals)</f>
        <v/>
      </c>
      <c r="K1899" s="69" t="str">
        <f>TEXT(ASTemp!K1899,Decimals)</f>
        <v/>
      </c>
      <c r="L1899" s="69" t="str">
        <f>TEXT(ASTemp!L1899,Decimals)</f>
        <v/>
      </c>
      <c r="M1899" s="71" t="str">
        <f>TEXT(ASTemp!M1899,Percentages)</f>
        <v/>
      </c>
      <c r="N1899" s="72" t="str">
        <f>TEXT(ASTemp!N1899,Percentages)</f>
        <v/>
      </c>
    </row>
    <row r="1900" ht="14.25" customHeight="1">
      <c r="B1900" s="66" t="str">
        <f>ASTemp!B1900</f>
        <v/>
      </c>
      <c r="C1900" s="67" t="str">
        <f>ASTemp!C1900</f>
        <v/>
      </c>
      <c r="D1900" s="68" t="str">
        <f>ASTemp!D1900</f>
        <v/>
      </c>
      <c r="E1900" s="65" t="str">
        <f>ASTemp!E1900</f>
        <v/>
      </c>
      <c r="F1900" s="69" t="str">
        <f>TEXT(ASTemp!F1900,Decimals)</f>
        <v/>
      </c>
      <c r="G1900" s="69" t="str">
        <f>TEXT(ASTemp!G1900,Decimals)</f>
        <v/>
      </c>
      <c r="H1900" s="69" t="str">
        <f>TEXT(ASTemp!H1900,Decimals)</f>
        <v/>
      </c>
      <c r="I1900" s="69" t="str">
        <f>TEXT(ASTemp!I1900,Decimals)</f>
        <v/>
      </c>
      <c r="J1900" s="69" t="str">
        <f>TEXT(ASTemp!J1900,Decimals)</f>
        <v/>
      </c>
      <c r="K1900" s="69" t="str">
        <f>TEXT(ASTemp!K1900,Decimals)</f>
        <v/>
      </c>
      <c r="L1900" s="69" t="str">
        <f>TEXT(ASTemp!L1900,Decimals)</f>
        <v/>
      </c>
      <c r="M1900" s="71" t="str">
        <f>TEXT(ASTemp!M1900,Percentages)</f>
        <v/>
      </c>
      <c r="N1900" s="72" t="str">
        <f>TEXT(ASTemp!N1900,Percentages)</f>
        <v/>
      </c>
    </row>
    <row r="1901" ht="14.25" customHeight="1">
      <c r="B1901" s="66" t="str">
        <f>ASTemp!B1901</f>
        <v/>
      </c>
      <c r="C1901" s="67" t="str">
        <f>ASTemp!C1901</f>
        <v/>
      </c>
      <c r="D1901" s="68" t="str">
        <f>ASTemp!D1901</f>
        <v/>
      </c>
      <c r="E1901" s="65" t="str">
        <f>ASTemp!E1901</f>
        <v/>
      </c>
      <c r="F1901" s="69" t="str">
        <f>TEXT(ASTemp!F1901,Decimals)</f>
        <v/>
      </c>
      <c r="G1901" s="69" t="str">
        <f>TEXT(ASTemp!G1901,Decimals)</f>
        <v/>
      </c>
      <c r="H1901" s="69" t="str">
        <f>TEXT(ASTemp!H1901,Decimals)</f>
        <v/>
      </c>
      <c r="I1901" s="69" t="str">
        <f>TEXT(ASTemp!I1901,Decimals)</f>
        <v/>
      </c>
      <c r="J1901" s="69" t="str">
        <f>TEXT(ASTemp!J1901,Decimals)</f>
        <v/>
      </c>
      <c r="K1901" s="69" t="str">
        <f>TEXT(ASTemp!K1901,Decimals)</f>
        <v/>
      </c>
      <c r="L1901" s="69" t="str">
        <f>TEXT(ASTemp!L1901,Decimals)</f>
        <v/>
      </c>
      <c r="M1901" s="71" t="str">
        <f>TEXT(ASTemp!M1901,Percentages)</f>
        <v/>
      </c>
      <c r="N1901" s="72" t="str">
        <f>TEXT(ASTemp!N1901,Percentages)</f>
        <v/>
      </c>
    </row>
    <row r="1902" ht="14.25" customHeight="1">
      <c r="B1902" s="66" t="str">
        <f>ASTemp!B1902</f>
        <v/>
      </c>
      <c r="C1902" s="67" t="str">
        <f>ASTemp!C1902</f>
        <v/>
      </c>
      <c r="D1902" s="68" t="str">
        <f>ASTemp!D1902</f>
        <v/>
      </c>
      <c r="E1902" s="65" t="str">
        <f>ASTemp!E1902</f>
        <v/>
      </c>
      <c r="F1902" s="69" t="str">
        <f>TEXT(ASTemp!F1902,Decimals)</f>
        <v/>
      </c>
      <c r="G1902" s="69" t="str">
        <f>TEXT(ASTemp!G1902,Decimals)</f>
        <v/>
      </c>
      <c r="H1902" s="69" t="str">
        <f>TEXT(ASTemp!H1902,Decimals)</f>
        <v/>
      </c>
      <c r="I1902" s="69" t="str">
        <f>TEXT(ASTemp!I1902,Decimals)</f>
        <v/>
      </c>
      <c r="J1902" s="69" t="str">
        <f>TEXT(ASTemp!J1902,Decimals)</f>
        <v/>
      </c>
      <c r="K1902" s="69" t="str">
        <f>TEXT(ASTemp!K1902,Decimals)</f>
        <v/>
      </c>
      <c r="L1902" s="69" t="str">
        <f>TEXT(ASTemp!L1902,Decimals)</f>
        <v/>
      </c>
      <c r="M1902" s="71" t="str">
        <f>TEXT(ASTemp!M1902,Percentages)</f>
        <v/>
      </c>
      <c r="N1902" s="72" t="str">
        <f>TEXT(ASTemp!N1902,Percentages)</f>
        <v/>
      </c>
    </row>
    <row r="1903" ht="14.25" customHeight="1">
      <c r="B1903" s="66" t="str">
        <f>ASTemp!B1903</f>
        <v/>
      </c>
      <c r="C1903" s="67" t="str">
        <f>ASTemp!C1903</f>
        <v/>
      </c>
      <c r="D1903" s="68" t="str">
        <f>ASTemp!D1903</f>
        <v/>
      </c>
      <c r="E1903" s="65" t="str">
        <f>ASTemp!E1903</f>
        <v/>
      </c>
      <c r="F1903" s="69" t="str">
        <f>TEXT(ASTemp!F1903,Decimals)</f>
        <v/>
      </c>
      <c r="G1903" s="69" t="str">
        <f>TEXT(ASTemp!G1903,Decimals)</f>
        <v/>
      </c>
      <c r="H1903" s="69" t="str">
        <f>TEXT(ASTemp!H1903,Decimals)</f>
        <v/>
      </c>
      <c r="I1903" s="69" t="str">
        <f>TEXT(ASTemp!I1903,Decimals)</f>
        <v/>
      </c>
      <c r="J1903" s="69" t="str">
        <f>TEXT(ASTemp!J1903,Decimals)</f>
        <v/>
      </c>
      <c r="K1903" s="69" t="str">
        <f>TEXT(ASTemp!K1903,Decimals)</f>
        <v/>
      </c>
      <c r="L1903" s="69" t="str">
        <f>TEXT(ASTemp!L1903,Decimals)</f>
        <v/>
      </c>
      <c r="M1903" s="71" t="str">
        <f>TEXT(ASTemp!M1903,Percentages)</f>
        <v/>
      </c>
      <c r="N1903" s="72" t="str">
        <f>TEXT(ASTemp!N1903,Percentages)</f>
        <v/>
      </c>
    </row>
    <row r="1904" ht="14.25" customHeight="1">
      <c r="B1904" s="66" t="str">
        <f>ASTemp!B1904</f>
        <v/>
      </c>
      <c r="C1904" s="67" t="str">
        <f>ASTemp!C1904</f>
        <v/>
      </c>
      <c r="D1904" s="68" t="str">
        <f>ASTemp!D1904</f>
        <v/>
      </c>
      <c r="E1904" s="65" t="str">
        <f>ASTemp!E1904</f>
        <v/>
      </c>
      <c r="F1904" s="69" t="str">
        <f>TEXT(ASTemp!F1904,Decimals)</f>
        <v/>
      </c>
      <c r="G1904" s="69" t="str">
        <f>TEXT(ASTemp!G1904,Decimals)</f>
        <v/>
      </c>
      <c r="H1904" s="69" t="str">
        <f>TEXT(ASTemp!H1904,Decimals)</f>
        <v/>
      </c>
      <c r="I1904" s="69" t="str">
        <f>TEXT(ASTemp!I1904,Decimals)</f>
        <v/>
      </c>
      <c r="J1904" s="69" t="str">
        <f>TEXT(ASTemp!J1904,Decimals)</f>
        <v/>
      </c>
      <c r="K1904" s="69" t="str">
        <f>TEXT(ASTemp!K1904,Decimals)</f>
        <v/>
      </c>
      <c r="L1904" s="69" t="str">
        <f>TEXT(ASTemp!L1904,Decimals)</f>
        <v/>
      </c>
      <c r="M1904" s="71" t="str">
        <f>TEXT(ASTemp!M1904,Percentages)</f>
        <v/>
      </c>
      <c r="N1904" s="72" t="str">
        <f>TEXT(ASTemp!N1904,Percentages)</f>
        <v/>
      </c>
    </row>
    <row r="1905" ht="14.25" customHeight="1">
      <c r="B1905" s="66" t="str">
        <f>ASTemp!B1905</f>
        <v/>
      </c>
      <c r="C1905" s="67" t="str">
        <f>ASTemp!C1905</f>
        <v/>
      </c>
      <c r="D1905" s="68" t="str">
        <f>ASTemp!D1905</f>
        <v/>
      </c>
      <c r="E1905" s="65" t="str">
        <f>ASTemp!E1905</f>
        <v/>
      </c>
      <c r="F1905" s="69" t="str">
        <f>TEXT(ASTemp!F1905,Decimals)</f>
        <v/>
      </c>
      <c r="G1905" s="69" t="str">
        <f>TEXT(ASTemp!G1905,Decimals)</f>
        <v/>
      </c>
      <c r="H1905" s="69" t="str">
        <f>TEXT(ASTemp!H1905,Decimals)</f>
        <v/>
      </c>
      <c r="I1905" s="69" t="str">
        <f>TEXT(ASTemp!I1905,Decimals)</f>
        <v/>
      </c>
      <c r="J1905" s="69" t="str">
        <f>TEXT(ASTemp!J1905,Decimals)</f>
        <v/>
      </c>
      <c r="K1905" s="69" t="str">
        <f>TEXT(ASTemp!K1905,Decimals)</f>
        <v/>
      </c>
      <c r="L1905" s="69" t="str">
        <f>TEXT(ASTemp!L1905,Decimals)</f>
        <v/>
      </c>
      <c r="M1905" s="71" t="str">
        <f>TEXT(ASTemp!M1905,Percentages)</f>
        <v/>
      </c>
      <c r="N1905" s="72" t="str">
        <f>TEXT(ASTemp!N1905,Percentages)</f>
        <v/>
      </c>
    </row>
    <row r="1906" ht="14.25" customHeight="1">
      <c r="B1906" s="66" t="str">
        <f>ASTemp!B1906</f>
        <v/>
      </c>
      <c r="C1906" s="67" t="str">
        <f>ASTemp!C1906</f>
        <v/>
      </c>
      <c r="D1906" s="68" t="str">
        <f>ASTemp!D1906</f>
        <v/>
      </c>
      <c r="E1906" s="65" t="str">
        <f>ASTemp!E1906</f>
        <v/>
      </c>
      <c r="F1906" s="69" t="str">
        <f>TEXT(ASTemp!F1906,Decimals)</f>
        <v/>
      </c>
      <c r="G1906" s="69" t="str">
        <f>TEXT(ASTemp!G1906,Decimals)</f>
        <v/>
      </c>
      <c r="H1906" s="69" t="str">
        <f>TEXT(ASTemp!H1906,Decimals)</f>
        <v/>
      </c>
      <c r="I1906" s="69" t="str">
        <f>TEXT(ASTemp!I1906,Decimals)</f>
        <v/>
      </c>
      <c r="J1906" s="69" t="str">
        <f>TEXT(ASTemp!J1906,Decimals)</f>
        <v/>
      </c>
      <c r="K1906" s="69" t="str">
        <f>TEXT(ASTemp!K1906,Decimals)</f>
        <v/>
      </c>
      <c r="L1906" s="69" t="str">
        <f>TEXT(ASTemp!L1906,Decimals)</f>
        <v/>
      </c>
      <c r="M1906" s="71" t="str">
        <f>TEXT(ASTemp!M1906,Percentages)</f>
        <v/>
      </c>
      <c r="N1906" s="72" t="str">
        <f>TEXT(ASTemp!N1906,Percentages)</f>
        <v/>
      </c>
    </row>
    <row r="1907" ht="14.25" customHeight="1">
      <c r="B1907" s="66" t="str">
        <f>ASTemp!B1907</f>
        <v/>
      </c>
      <c r="C1907" s="67" t="str">
        <f>ASTemp!C1907</f>
        <v/>
      </c>
      <c r="D1907" s="68" t="str">
        <f>ASTemp!D1907</f>
        <v/>
      </c>
      <c r="E1907" s="65" t="str">
        <f>ASTemp!E1907</f>
        <v/>
      </c>
      <c r="F1907" s="69" t="str">
        <f>TEXT(ASTemp!F1907,Decimals)</f>
        <v/>
      </c>
      <c r="G1907" s="69" t="str">
        <f>TEXT(ASTemp!G1907,Decimals)</f>
        <v/>
      </c>
      <c r="H1907" s="69" t="str">
        <f>TEXT(ASTemp!H1907,Decimals)</f>
        <v/>
      </c>
      <c r="I1907" s="69" t="str">
        <f>TEXT(ASTemp!I1907,Decimals)</f>
        <v/>
      </c>
      <c r="J1907" s="69" t="str">
        <f>TEXT(ASTemp!J1907,Decimals)</f>
        <v/>
      </c>
      <c r="K1907" s="69" t="str">
        <f>TEXT(ASTemp!K1907,Decimals)</f>
        <v/>
      </c>
      <c r="L1907" s="69" t="str">
        <f>TEXT(ASTemp!L1907,Decimals)</f>
        <v/>
      </c>
      <c r="M1907" s="71" t="str">
        <f>TEXT(ASTemp!M1907,Percentages)</f>
        <v/>
      </c>
      <c r="N1907" s="72" t="str">
        <f>TEXT(ASTemp!N1907,Percentages)</f>
        <v/>
      </c>
    </row>
    <row r="1908" ht="14.25" customHeight="1">
      <c r="B1908" s="66" t="str">
        <f>ASTemp!B1908</f>
        <v/>
      </c>
      <c r="C1908" s="67" t="str">
        <f>ASTemp!C1908</f>
        <v/>
      </c>
      <c r="D1908" s="68" t="str">
        <f>ASTemp!D1908</f>
        <v/>
      </c>
      <c r="E1908" s="65" t="str">
        <f>ASTemp!E1908</f>
        <v/>
      </c>
      <c r="F1908" s="69" t="str">
        <f>TEXT(ASTemp!F1908,Decimals)</f>
        <v/>
      </c>
      <c r="G1908" s="69" t="str">
        <f>TEXT(ASTemp!G1908,Decimals)</f>
        <v/>
      </c>
      <c r="H1908" s="69" t="str">
        <f>TEXT(ASTemp!H1908,Decimals)</f>
        <v/>
      </c>
      <c r="I1908" s="69" t="str">
        <f>TEXT(ASTemp!I1908,Decimals)</f>
        <v/>
      </c>
      <c r="J1908" s="69" t="str">
        <f>TEXT(ASTemp!J1908,Decimals)</f>
        <v/>
      </c>
      <c r="K1908" s="69" t="str">
        <f>TEXT(ASTemp!K1908,Decimals)</f>
        <v/>
      </c>
      <c r="L1908" s="69" t="str">
        <f>TEXT(ASTemp!L1908,Decimals)</f>
        <v/>
      </c>
      <c r="M1908" s="71" t="str">
        <f>TEXT(ASTemp!M1908,Percentages)</f>
        <v/>
      </c>
      <c r="N1908" s="72" t="str">
        <f>TEXT(ASTemp!N1908,Percentages)</f>
        <v/>
      </c>
    </row>
    <row r="1909" ht="14.25" customHeight="1">
      <c r="B1909" s="66" t="str">
        <f>ASTemp!B1909</f>
        <v/>
      </c>
      <c r="C1909" s="67" t="str">
        <f>ASTemp!C1909</f>
        <v/>
      </c>
      <c r="D1909" s="68" t="str">
        <f>ASTemp!D1909</f>
        <v/>
      </c>
      <c r="E1909" s="65" t="str">
        <f>ASTemp!E1909</f>
        <v/>
      </c>
      <c r="F1909" s="69" t="str">
        <f>TEXT(ASTemp!F1909,Decimals)</f>
        <v/>
      </c>
      <c r="G1909" s="69" t="str">
        <f>TEXT(ASTemp!G1909,Decimals)</f>
        <v/>
      </c>
      <c r="H1909" s="69" t="str">
        <f>TEXT(ASTemp!H1909,Decimals)</f>
        <v/>
      </c>
      <c r="I1909" s="69" t="str">
        <f>TEXT(ASTemp!I1909,Decimals)</f>
        <v/>
      </c>
      <c r="J1909" s="69" t="str">
        <f>TEXT(ASTemp!J1909,Decimals)</f>
        <v/>
      </c>
      <c r="K1909" s="69" t="str">
        <f>TEXT(ASTemp!K1909,Decimals)</f>
        <v/>
      </c>
      <c r="L1909" s="69" t="str">
        <f>TEXT(ASTemp!L1909,Decimals)</f>
        <v/>
      </c>
      <c r="M1909" s="71" t="str">
        <f>TEXT(ASTemp!M1909,Percentages)</f>
        <v/>
      </c>
      <c r="N1909" s="72" t="str">
        <f>TEXT(ASTemp!N1909,Percentages)</f>
        <v/>
      </c>
    </row>
    <row r="1910" ht="14.25" customHeight="1">
      <c r="B1910" s="66" t="str">
        <f>ASTemp!B1910</f>
        <v/>
      </c>
      <c r="C1910" s="67" t="str">
        <f>ASTemp!C1910</f>
        <v/>
      </c>
      <c r="D1910" s="68" t="str">
        <f>ASTemp!D1910</f>
        <v/>
      </c>
      <c r="E1910" s="65" t="str">
        <f>ASTemp!E1910</f>
        <v/>
      </c>
      <c r="F1910" s="69" t="str">
        <f>TEXT(ASTemp!F1910,Decimals)</f>
        <v/>
      </c>
      <c r="G1910" s="69" t="str">
        <f>TEXT(ASTemp!G1910,Decimals)</f>
        <v/>
      </c>
      <c r="H1910" s="69" t="str">
        <f>TEXT(ASTemp!H1910,Decimals)</f>
        <v/>
      </c>
      <c r="I1910" s="69" t="str">
        <f>TEXT(ASTemp!I1910,Decimals)</f>
        <v/>
      </c>
      <c r="J1910" s="69" t="str">
        <f>TEXT(ASTemp!J1910,Decimals)</f>
        <v/>
      </c>
      <c r="K1910" s="69" t="str">
        <f>TEXT(ASTemp!K1910,Decimals)</f>
        <v/>
      </c>
      <c r="L1910" s="69" t="str">
        <f>TEXT(ASTemp!L1910,Decimals)</f>
        <v/>
      </c>
      <c r="M1910" s="71" t="str">
        <f>TEXT(ASTemp!M1910,Percentages)</f>
        <v/>
      </c>
      <c r="N1910" s="72" t="str">
        <f>TEXT(ASTemp!N1910,Percentages)</f>
        <v/>
      </c>
    </row>
    <row r="1911" ht="14.25" customHeight="1">
      <c r="B1911" s="66" t="str">
        <f>ASTemp!B1911</f>
        <v/>
      </c>
      <c r="C1911" s="67" t="str">
        <f>ASTemp!C1911</f>
        <v/>
      </c>
      <c r="D1911" s="68" t="str">
        <f>ASTemp!D1911</f>
        <v/>
      </c>
      <c r="E1911" s="65" t="str">
        <f>ASTemp!E1911</f>
        <v/>
      </c>
      <c r="F1911" s="69" t="str">
        <f>TEXT(ASTemp!F1911,Decimals)</f>
        <v/>
      </c>
      <c r="G1911" s="69" t="str">
        <f>TEXT(ASTemp!G1911,Decimals)</f>
        <v/>
      </c>
      <c r="H1911" s="69" t="str">
        <f>TEXT(ASTemp!H1911,Decimals)</f>
        <v/>
      </c>
      <c r="I1911" s="69" t="str">
        <f>TEXT(ASTemp!I1911,Decimals)</f>
        <v/>
      </c>
      <c r="J1911" s="69" t="str">
        <f>TEXT(ASTemp!J1911,Decimals)</f>
        <v/>
      </c>
      <c r="K1911" s="69" t="str">
        <f>TEXT(ASTemp!K1911,Decimals)</f>
        <v/>
      </c>
      <c r="L1911" s="69" t="str">
        <f>TEXT(ASTemp!L1911,Decimals)</f>
        <v/>
      </c>
      <c r="M1911" s="71" t="str">
        <f>TEXT(ASTemp!M1911,Percentages)</f>
        <v/>
      </c>
      <c r="N1911" s="72" t="str">
        <f>TEXT(ASTemp!N1911,Percentages)</f>
        <v/>
      </c>
    </row>
    <row r="1912" ht="14.25" customHeight="1">
      <c r="B1912" s="66" t="str">
        <f>ASTemp!B1912</f>
        <v/>
      </c>
      <c r="C1912" s="67" t="str">
        <f>ASTemp!C1912</f>
        <v/>
      </c>
      <c r="D1912" s="68" t="str">
        <f>ASTemp!D1912</f>
        <v/>
      </c>
      <c r="E1912" s="65" t="str">
        <f>ASTemp!E1912</f>
        <v/>
      </c>
      <c r="F1912" s="69" t="str">
        <f>TEXT(ASTemp!F1912,Decimals)</f>
        <v/>
      </c>
      <c r="G1912" s="69" t="str">
        <f>TEXT(ASTemp!G1912,Decimals)</f>
        <v/>
      </c>
      <c r="H1912" s="69" t="str">
        <f>TEXT(ASTemp!H1912,Decimals)</f>
        <v/>
      </c>
      <c r="I1912" s="69" t="str">
        <f>TEXT(ASTemp!I1912,Decimals)</f>
        <v/>
      </c>
      <c r="J1912" s="69" t="str">
        <f>TEXT(ASTemp!J1912,Decimals)</f>
        <v/>
      </c>
      <c r="K1912" s="69" t="str">
        <f>TEXT(ASTemp!K1912,Decimals)</f>
        <v/>
      </c>
      <c r="L1912" s="69" t="str">
        <f>TEXT(ASTemp!L1912,Decimals)</f>
        <v/>
      </c>
      <c r="M1912" s="71" t="str">
        <f>TEXT(ASTemp!M1912,Percentages)</f>
        <v/>
      </c>
      <c r="N1912" s="72" t="str">
        <f>TEXT(ASTemp!N1912,Percentages)</f>
        <v/>
      </c>
    </row>
    <row r="1913" ht="14.25" customHeight="1">
      <c r="B1913" s="66" t="str">
        <f>ASTemp!B1913</f>
        <v/>
      </c>
      <c r="C1913" s="67" t="str">
        <f>ASTemp!C1913</f>
        <v/>
      </c>
      <c r="D1913" s="68" t="str">
        <f>ASTemp!D1913</f>
        <v/>
      </c>
      <c r="E1913" s="65" t="str">
        <f>ASTemp!E1913</f>
        <v/>
      </c>
      <c r="F1913" s="69" t="str">
        <f>TEXT(ASTemp!F1913,Decimals)</f>
        <v/>
      </c>
      <c r="G1913" s="69" t="str">
        <f>TEXT(ASTemp!G1913,Decimals)</f>
        <v/>
      </c>
      <c r="H1913" s="69" t="str">
        <f>TEXT(ASTemp!H1913,Decimals)</f>
        <v/>
      </c>
      <c r="I1913" s="69" t="str">
        <f>TEXT(ASTemp!I1913,Decimals)</f>
        <v/>
      </c>
      <c r="J1913" s="69" t="str">
        <f>TEXT(ASTemp!J1913,Decimals)</f>
        <v/>
      </c>
      <c r="K1913" s="69" t="str">
        <f>TEXT(ASTemp!K1913,Decimals)</f>
        <v/>
      </c>
      <c r="L1913" s="69" t="str">
        <f>TEXT(ASTemp!L1913,Decimals)</f>
        <v/>
      </c>
      <c r="M1913" s="71" t="str">
        <f>TEXT(ASTemp!M1913,Percentages)</f>
        <v/>
      </c>
      <c r="N1913" s="72" t="str">
        <f>TEXT(ASTemp!N1913,Percentages)</f>
        <v/>
      </c>
    </row>
    <row r="1914" ht="14.25" customHeight="1">
      <c r="B1914" s="66" t="str">
        <f>ASTemp!B1914</f>
        <v/>
      </c>
      <c r="C1914" s="67" t="str">
        <f>ASTemp!C1914</f>
        <v/>
      </c>
      <c r="D1914" s="68" t="str">
        <f>ASTemp!D1914</f>
        <v/>
      </c>
      <c r="E1914" s="65" t="str">
        <f>ASTemp!E1914</f>
        <v/>
      </c>
      <c r="F1914" s="69" t="str">
        <f>TEXT(ASTemp!F1914,Decimals)</f>
        <v/>
      </c>
      <c r="G1914" s="69" t="str">
        <f>TEXT(ASTemp!G1914,Decimals)</f>
        <v/>
      </c>
      <c r="H1914" s="69" t="str">
        <f>TEXT(ASTemp!H1914,Decimals)</f>
        <v/>
      </c>
      <c r="I1914" s="69" t="str">
        <f>TEXT(ASTemp!I1914,Decimals)</f>
        <v/>
      </c>
      <c r="J1914" s="69" t="str">
        <f>TEXT(ASTemp!J1914,Decimals)</f>
        <v/>
      </c>
      <c r="K1914" s="69" t="str">
        <f>TEXT(ASTemp!K1914,Decimals)</f>
        <v/>
      </c>
      <c r="L1914" s="69" t="str">
        <f>TEXT(ASTemp!L1914,Decimals)</f>
        <v/>
      </c>
      <c r="M1914" s="71" t="str">
        <f>TEXT(ASTemp!M1914,Percentages)</f>
        <v/>
      </c>
      <c r="N1914" s="72" t="str">
        <f>TEXT(ASTemp!N1914,Percentages)</f>
        <v/>
      </c>
    </row>
    <row r="1915" ht="14.25" customHeight="1">
      <c r="B1915" s="66" t="str">
        <f>ASTemp!B1915</f>
        <v/>
      </c>
      <c r="C1915" s="67" t="str">
        <f>ASTemp!C1915</f>
        <v/>
      </c>
      <c r="D1915" s="68" t="str">
        <f>ASTemp!D1915</f>
        <v/>
      </c>
      <c r="E1915" s="65" t="str">
        <f>ASTemp!E1915</f>
        <v/>
      </c>
      <c r="F1915" s="69" t="str">
        <f>TEXT(ASTemp!F1915,Decimals)</f>
        <v/>
      </c>
      <c r="G1915" s="69" t="str">
        <f>TEXT(ASTemp!G1915,Decimals)</f>
        <v/>
      </c>
      <c r="H1915" s="69" t="str">
        <f>TEXT(ASTemp!H1915,Decimals)</f>
        <v/>
      </c>
      <c r="I1915" s="69" t="str">
        <f>TEXT(ASTemp!I1915,Decimals)</f>
        <v/>
      </c>
      <c r="J1915" s="69" t="str">
        <f>TEXT(ASTemp!J1915,Decimals)</f>
        <v/>
      </c>
      <c r="K1915" s="69" t="str">
        <f>TEXT(ASTemp!K1915,Decimals)</f>
        <v/>
      </c>
      <c r="L1915" s="69" t="str">
        <f>TEXT(ASTemp!L1915,Decimals)</f>
        <v/>
      </c>
      <c r="M1915" s="71" t="str">
        <f>TEXT(ASTemp!M1915,Percentages)</f>
        <v/>
      </c>
      <c r="N1915" s="72" t="str">
        <f>TEXT(ASTemp!N1915,Percentages)</f>
        <v/>
      </c>
    </row>
    <row r="1916" ht="14.25" customHeight="1">
      <c r="B1916" s="66" t="str">
        <f>ASTemp!B1916</f>
        <v/>
      </c>
      <c r="C1916" s="67" t="str">
        <f>ASTemp!C1916</f>
        <v/>
      </c>
      <c r="D1916" s="68" t="str">
        <f>ASTemp!D1916</f>
        <v/>
      </c>
      <c r="E1916" s="65" t="str">
        <f>ASTemp!E1916</f>
        <v/>
      </c>
      <c r="F1916" s="69" t="str">
        <f>TEXT(ASTemp!F1916,Decimals)</f>
        <v/>
      </c>
      <c r="G1916" s="69" t="str">
        <f>TEXT(ASTemp!G1916,Decimals)</f>
        <v/>
      </c>
      <c r="H1916" s="69" t="str">
        <f>TEXT(ASTemp!H1916,Decimals)</f>
        <v/>
      </c>
      <c r="I1916" s="69" t="str">
        <f>TEXT(ASTemp!I1916,Decimals)</f>
        <v/>
      </c>
      <c r="J1916" s="69" t="str">
        <f>TEXT(ASTemp!J1916,Decimals)</f>
        <v/>
      </c>
      <c r="K1916" s="69" t="str">
        <f>TEXT(ASTemp!K1916,Decimals)</f>
        <v/>
      </c>
      <c r="L1916" s="69" t="str">
        <f>TEXT(ASTemp!L1916,Decimals)</f>
        <v/>
      </c>
      <c r="M1916" s="71" t="str">
        <f>TEXT(ASTemp!M1916,Percentages)</f>
        <v/>
      </c>
      <c r="N1916" s="72" t="str">
        <f>TEXT(ASTemp!N1916,Percentages)</f>
        <v/>
      </c>
    </row>
    <row r="1917" ht="14.25" customHeight="1">
      <c r="B1917" s="66" t="str">
        <f>ASTemp!B1917</f>
        <v/>
      </c>
      <c r="C1917" s="67" t="str">
        <f>ASTemp!C1917</f>
        <v/>
      </c>
      <c r="D1917" s="68" t="str">
        <f>ASTemp!D1917</f>
        <v/>
      </c>
      <c r="E1917" s="65" t="str">
        <f>ASTemp!E1917</f>
        <v/>
      </c>
      <c r="F1917" s="69" t="str">
        <f>TEXT(ASTemp!F1917,Decimals)</f>
        <v/>
      </c>
      <c r="G1917" s="69" t="str">
        <f>TEXT(ASTemp!G1917,Decimals)</f>
        <v/>
      </c>
      <c r="H1917" s="69" t="str">
        <f>TEXT(ASTemp!H1917,Decimals)</f>
        <v/>
      </c>
      <c r="I1917" s="69" t="str">
        <f>TEXT(ASTemp!I1917,Decimals)</f>
        <v/>
      </c>
      <c r="J1917" s="69" t="str">
        <f>TEXT(ASTemp!J1917,Decimals)</f>
        <v/>
      </c>
      <c r="K1917" s="69" t="str">
        <f>TEXT(ASTemp!K1917,Decimals)</f>
        <v/>
      </c>
      <c r="L1917" s="69" t="str">
        <f>TEXT(ASTemp!L1917,Decimals)</f>
        <v/>
      </c>
      <c r="M1917" s="71" t="str">
        <f>TEXT(ASTemp!M1917,Percentages)</f>
        <v/>
      </c>
      <c r="N1917" s="72" t="str">
        <f>TEXT(ASTemp!N1917,Percentages)</f>
        <v/>
      </c>
    </row>
    <row r="1918" ht="14.25" customHeight="1">
      <c r="B1918" s="66" t="str">
        <f>ASTemp!B1918</f>
        <v/>
      </c>
      <c r="C1918" s="67" t="str">
        <f>ASTemp!C1918</f>
        <v/>
      </c>
      <c r="D1918" s="68" t="str">
        <f>ASTemp!D1918</f>
        <v/>
      </c>
      <c r="E1918" s="65" t="str">
        <f>ASTemp!E1918</f>
        <v/>
      </c>
      <c r="F1918" s="69" t="str">
        <f>TEXT(ASTemp!F1918,Decimals)</f>
        <v/>
      </c>
      <c r="G1918" s="69" t="str">
        <f>TEXT(ASTemp!G1918,Decimals)</f>
        <v/>
      </c>
      <c r="H1918" s="69" t="str">
        <f>TEXT(ASTemp!H1918,Decimals)</f>
        <v/>
      </c>
      <c r="I1918" s="69" t="str">
        <f>TEXT(ASTemp!I1918,Decimals)</f>
        <v/>
      </c>
      <c r="J1918" s="69" t="str">
        <f>TEXT(ASTemp!J1918,Decimals)</f>
        <v/>
      </c>
      <c r="K1918" s="69" t="str">
        <f>TEXT(ASTemp!K1918,Decimals)</f>
        <v/>
      </c>
      <c r="L1918" s="69" t="str">
        <f>TEXT(ASTemp!L1918,Decimals)</f>
        <v/>
      </c>
      <c r="M1918" s="71" t="str">
        <f>TEXT(ASTemp!M1918,Percentages)</f>
        <v/>
      </c>
      <c r="N1918" s="72" t="str">
        <f>TEXT(ASTemp!N1918,Percentages)</f>
        <v/>
      </c>
    </row>
    <row r="1919" ht="14.25" customHeight="1">
      <c r="B1919" s="66" t="str">
        <f>ASTemp!B1919</f>
        <v/>
      </c>
      <c r="C1919" s="67" t="str">
        <f>ASTemp!C1919</f>
        <v/>
      </c>
      <c r="D1919" s="68" t="str">
        <f>ASTemp!D1919</f>
        <v/>
      </c>
      <c r="E1919" s="65" t="str">
        <f>ASTemp!E1919</f>
        <v/>
      </c>
      <c r="F1919" s="69" t="str">
        <f>TEXT(ASTemp!F1919,Decimals)</f>
        <v/>
      </c>
      <c r="G1919" s="69" t="str">
        <f>TEXT(ASTemp!G1919,Decimals)</f>
        <v/>
      </c>
      <c r="H1919" s="69" t="str">
        <f>TEXT(ASTemp!H1919,Decimals)</f>
        <v/>
      </c>
      <c r="I1919" s="69" t="str">
        <f>TEXT(ASTemp!I1919,Decimals)</f>
        <v/>
      </c>
      <c r="J1919" s="69" t="str">
        <f>TEXT(ASTemp!J1919,Decimals)</f>
        <v/>
      </c>
      <c r="K1919" s="69" t="str">
        <f>TEXT(ASTemp!K1919,Decimals)</f>
        <v/>
      </c>
      <c r="L1919" s="69" t="str">
        <f>TEXT(ASTemp!L1919,Decimals)</f>
        <v/>
      </c>
      <c r="M1919" s="71" t="str">
        <f>TEXT(ASTemp!M1919,Percentages)</f>
        <v/>
      </c>
      <c r="N1919" s="72" t="str">
        <f>TEXT(ASTemp!N1919,Percentages)</f>
        <v/>
      </c>
    </row>
    <row r="1920" ht="14.25" customHeight="1">
      <c r="B1920" s="66" t="str">
        <f>ASTemp!B1920</f>
        <v/>
      </c>
      <c r="C1920" s="67" t="str">
        <f>ASTemp!C1920</f>
        <v/>
      </c>
      <c r="D1920" s="68" t="str">
        <f>ASTemp!D1920</f>
        <v/>
      </c>
      <c r="E1920" s="65" t="str">
        <f>ASTemp!E1920</f>
        <v/>
      </c>
      <c r="F1920" s="69" t="str">
        <f>TEXT(ASTemp!F1920,Decimals)</f>
        <v/>
      </c>
      <c r="G1920" s="69" t="str">
        <f>TEXT(ASTemp!G1920,Decimals)</f>
        <v/>
      </c>
      <c r="H1920" s="69" t="str">
        <f>TEXT(ASTemp!H1920,Decimals)</f>
        <v/>
      </c>
      <c r="I1920" s="69" t="str">
        <f>TEXT(ASTemp!I1920,Decimals)</f>
        <v/>
      </c>
      <c r="J1920" s="69" t="str">
        <f>TEXT(ASTemp!J1920,Decimals)</f>
        <v/>
      </c>
      <c r="K1920" s="69" t="str">
        <f>TEXT(ASTemp!K1920,Decimals)</f>
        <v/>
      </c>
      <c r="L1920" s="69" t="str">
        <f>TEXT(ASTemp!L1920,Decimals)</f>
        <v/>
      </c>
      <c r="M1920" s="71" t="str">
        <f>TEXT(ASTemp!M1920,Percentages)</f>
        <v/>
      </c>
      <c r="N1920" s="72" t="str">
        <f>TEXT(ASTemp!N1920,Percentages)</f>
        <v/>
      </c>
    </row>
    <row r="1921" ht="14.25" customHeight="1">
      <c r="B1921" s="66" t="str">
        <f>ASTemp!B1921</f>
        <v/>
      </c>
      <c r="C1921" s="67" t="str">
        <f>ASTemp!C1921</f>
        <v/>
      </c>
      <c r="D1921" s="68" t="str">
        <f>ASTemp!D1921</f>
        <v/>
      </c>
      <c r="E1921" s="65" t="str">
        <f>ASTemp!E1921</f>
        <v/>
      </c>
      <c r="F1921" s="69" t="str">
        <f>TEXT(ASTemp!F1921,Decimals)</f>
        <v/>
      </c>
      <c r="G1921" s="69" t="str">
        <f>TEXT(ASTemp!G1921,Decimals)</f>
        <v/>
      </c>
      <c r="H1921" s="69" t="str">
        <f>TEXT(ASTemp!H1921,Decimals)</f>
        <v/>
      </c>
      <c r="I1921" s="69" t="str">
        <f>TEXT(ASTemp!I1921,Decimals)</f>
        <v/>
      </c>
      <c r="J1921" s="69" t="str">
        <f>TEXT(ASTemp!J1921,Decimals)</f>
        <v/>
      </c>
      <c r="K1921" s="69" t="str">
        <f>TEXT(ASTemp!K1921,Decimals)</f>
        <v/>
      </c>
      <c r="L1921" s="69" t="str">
        <f>TEXT(ASTemp!L1921,Decimals)</f>
        <v/>
      </c>
      <c r="M1921" s="71" t="str">
        <f>TEXT(ASTemp!M1921,Percentages)</f>
        <v/>
      </c>
      <c r="N1921" s="72" t="str">
        <f>TEXT(ASTemp!N1921,Percentages)</f>
        <v/>
      </c>
    </row>
    <row r="1922" ht="14.25" customHeight="1">
      <c r="B1922" s="66" t="str">
        <f>ASTemp!B1922</f>
        <v/>
      </c>
      <c r="C1922" s="67" t="str">
        <f>ASTemp!C1922</f>
        <v/>
      </c>
      <c r="D1922" s="68" t="str">
        <f>ASTemp!D1922</f>
        <v/>
      </c>
      <c r="E1922" s="65" t="str">
        <f>ASTemp!E1922</f>
        <v/>
      </c>
      <c r="F1922" s="69" t="str">
        <f>TEXT(ASTemp!F1922,Decimals)</f>
        <v/>
      </c>
      <c r="G1922" s="69" t="str">
        <f>TEXT(ASTemp!G1922,Decimals)</f>
        <v/>
      </c>
      <c r="H1922" s="69" t="str">
        <f>TEXT(ASTemp!H1922,Decimals)</f>
        <v/>
      </c>
      <c r="I1922" s="69" t="str">
        <f>TEXT(ASTemp!I1922,Decimals)</f>
        <v/>
      </c>
      <c r="J1922" s="69" t="str">
        <f>TEXT(ASTemp!J1922,Decimals)</f>
        <v/>
      </c>
      <c r="K1922" s="69" t="str">
        <f>TEXT(ASTemp!K1922,Decimals)</f>
        <v/>
      </c>
      <c r="L1922" s="69" t="str">
        <f>TEXT(ASTemp!L1922,Decimals)</f>
        <v/>
      </c>
      <c r="M1922" s="71" t="str">
        <f>TEXT(ASTemp!M1922,Percentages)</f>
        <v/>
      </c>
      <c r="N1922" s="72" t="str">
        <f>TEXT(ASTemp!N1922,Percentages)</f>
        <v/>
      </c>
    </row>
    <row r="1923" ht="14.25" customHeight="1">
      <c r="B1923" s="66" t="str">
        <f>ASTemp!B1923</f>
        <v/>
      </c>
      <c r="C1923" s="67" t="str">
        <f>ASTemp!C1923</f>
        <v/>
      </c>
      <c r="D1923" s="68" t="str">
        <f>ASTemp!D1923</f>
        <v/>
      </c>
      <c r="E1923" s="65" t="str">
        <f>ASTemp!E1923</f>
        <v/>
      </c>
      <c r="F1923" s="69" t="str">
        <f>TEXT(ASTemp!F1923,Decimals)</f>
        <v/>
      </c>
      <c r="G1923" s="69" t="str">
        <f>TEXT(ASTemp!G1923,Decimals)</f>
        <v/>
      </c>
      <c r="H1923" s="69" t="str">
        <f>TEXT(ASTemp!H1923,Decimals)</f>
        <v/>
      </c>
      <c r="I1923" s="69" t="str">
        <f>TEXT(ASTemp!I1923,Decimals)</f>
        <v/>
      </c>
      <c r="J1923" s="69" t="str">
        <f>TEXT(ASTemp!J1923,Decimals)</f>
        <v/>
      </c>
      <c r="K1923" s="69" t="str">
        <f>TEXT(ASTemp!K1923,Decimals)</f>
        <v/>
      </c>
      <c r="L1923" s="69" t="str">
        <f>TEXT(ASTemp!L1923,Decimals)</f>
        <v/>
      </c>
      <c r="M1923" s="71" t="str">
        <f>TEXT(ASTemp!M1923,Percentages)</f>
        <v/>
      </c>
      <c r="N1923" s="72" t="str">
        <f>TEXT(ASTemp!N1923,Percentages)</f>
        <v/>
      </c>
    </row>
    <row r="1924" ht="14.25" customHeight="1">
      <c r="B1924" s="66" t="str">
        <f>ASTemp!B1924</f>
        <v/>
      </c>
      <c r="C1924" s="67" t="str">
        <f>ASTemp!C1924</f>
        <v/>
      </c>
      <c r="D1924" s="68" t="str">
        <f>ASTemp!D1924</f>
        <v/>
      </c>
      <c r="E1924" s="65" t="str">
        <f>ASTemp!E1924</f>
        <v/>
      </c>
      <c r="F1924" s="69" t="str">
        <f>TEXT(ASTemp!F1924,Decimals)</f>
        <v/>
      </c>
      <c r="G1924" s="69" t="str">
        <f>TEXT(ASTemp!G1924,Decimals)</f>
        <v/>
      </c>
      <c r="H1924" s="69" t="str">
        <f>TEXT(ASTemp!H1924,Decimals)</f>
        <v/>
      </c>
      <c r="I1924" s="69" t="str">
        <f>TEXT(ASTemp!I1924,Decimals)</f>
        <v/>
      </c>
      <c r="J1924" s="69" t="str">
        <f>TEXT(ASTemp!J1924,Decimals)</f>
        <v/>
      </c>
      <c r="K1924" s="69" t="str">
        <f>TEXT(ASTemp!K1924,Decimals)</f>
        <v/>
      </c>
      <c r="L1924" s="69" t="str">
        <f>TEXT(ASTemp!L1924,Decimals)</f>
        <v/>
      </c>
      <c r="M1924" s="71" t="str">
        <f>TEXT(ASTemp!M1924,Percentages)</f>
        <v/>
      </c>
      <c r="N1924" s="72" t="str">
        <f>TEXT(ASTemp!N1924,Percentages)</f>
        <v/>
      </c>
    </row>
    <row r="1925" ht="14.25" customHeight="1">
      <c r="B1925" s="66" t="str">
        <f>ASTemp!B1925</f>
        <v/>
      </c>
      <c r="C1925" s="67" t="str">
        <f>ASTemp!C1925</f>
        <v/>
      </c>
      <c r="D1925" s="68" t="str">
        <f>ASTemp!D1925</f>
        <v/>
      </c>
      <c r="E1925" s="65" t="str">
        <f>ASTemp!E1925</f>
        <v/>
      </c>
      <c r="F1925" s="69" t="str">
        <f>TEXT(ASTemp!F1925,Decimals)</f>
        <v/>
      </c>
      <c r="G1925" s="69" t="str">
        <f>TEXT(ASTemp!G1925,Decimals)</f>
        <v/>
      </c>
      <c r="H1925" s="69" t="str">
        <f>TEXT(ASTemp!H1925,Decimals)</f>
        <v/>
      </c>
      <c r="I1925" s="69" t="str">
        <f>TEXT(ASTemp!I1925,Decimals)</f>
        <v/>
      </c>
      <c r="J1925" s="69" t="str">
        <f>TEXT(ASTemp!J1925,Decimals)</f>
        <v/>
      </c>
      <c r="K1925" s="69" t="str">
        <f>TEXT(ASTemp!K1925,Decimals)</f>
        <v/>
      </c>
      <c r="L1925" s="69" t="str">
        <f>TEXT(ASTemp!L1925,Decimals)</f>
        <v/>
      </c>
      <c r="M1925" s="71" t="str">
        <f>TEXT(ASTemp!M1925,Percentages)</f>
        <v/>
      </c>
      <c r="N1925" s="72" t="str">
        <f>TEXT(ASTemp!N1925,Percentages)</f>
        <v/>
      </c>
    </row>
    <row r="1926" ht="14.25" customHeight="1">
      <c r="B1926" s="66" t="str">
        <f>ASTemp!B1926</f>
        <v/>
      </c>
      <c r="C1926" s="67" t="str">
        <f>ASTemp!C1926</f>
        <v/>
      </c>
      <c r="D1926" s="68" t="str">
        <f>ASTemp!D1926</f>
        <v/>
      </c>
      <c r="E1926" s="65" t="str">
        <f>ASTemp!E1926</f>
        <v/>
      </c>
      <c r="F1926" s="69" t="str">
        <f>TEXT(ASTemp!F1926,Decimals)</f>
        <v/>
      </c>
      <c r="G1926" s="69" t="str">
        <f>TEXT(ASTemp!G1926,Decimals)</f>
        <v/>
      </c>
      <c r="H1926" s="69" t="str">
        <f>TEXT(ASTemp!H1926,Decimals)</f>
        <v/>
      </c>
      <c r="I1926" s="69" t="str">
        <f>TEXT(ASTemp!I1926,Decimals)</f>
        <v/>
      </c>
      <c r="J1926" s="69" t="str">
        <f>TEXT(ASTemp!J1926,Decimals)</f>
        <v/>
      </c>
      <c r="K1926" s="69" t="str">
        <f>TEXT(ASTemp!K1926,Decimals)</f>
        <v/>
      </c>
      <c r="L1926" s="69" t="str">
        <f>TEXT(ASTemp!L1926,Decimals)</f>
        <v/>
      </c>
      <c r="M1926" s="71" t="str">
        <f>TEXT(ASTemp!M1926,Percentages)</f>
        <v/>
      </c>
      <c r="N1926" s="72" t="str">
        <f>TEXT(ASTemp!N1926,Percentages)</f>
        <v/>
      </c>
    </row>
    <row r="1927" ht="14.25" customHeight="1">
      <c r="B1927" s="66" t="str">
        <f>ASTemp!B1927</f>
        <v/>
      </c>
      <c r="C1927" s="67" t="str">
        <f>ASTemp!C1927</f>
        <v/>
      </c>
      <c r="D1927" s="68" t="str">
        <f>ASTemp!D1927</f>
        <v/>
      </c>
      <c r="E1927" s="65" t="str">
        <f>ASTemp!E1927</f>
        <v/>
      </c>
      <c r="F1927" s="69" t="str">
        <f>TEXT(ASTemp!F1927,Decimals)</f>
        <v/>
      </c>
      <c r="G1927" s="69" t="str">
        <f>TEXT(ASTemp!G1927,Decimals)</f>
        <v/>
      </c>
      <c r="H1927" s="69" t="str">
        <f>TEXT(ASTemp!H1927,Decimals)</f>
        <v/>
      </c>
      <c r="I1927" s="69" t="str">
        <f>TEXT(ASTemp!I1927,Decimals)</f>
        <v/>
      </c>
      <c r="J1927" s="69" t="str">
        <f>TEXT(ASTemp!J1927,Decimals)</f>
        <v/>
      </c>
      <c r="K1927" s="69" t="str">
        <f>TEXT(ASTemp!K1927,Decimals)</f>
        <v/>
      </c>
      <c r="L1927" s="69" t="str">
        <f>TEXT(ASTemp!L1927,Decimals)</f>
        <v/>
      </c>
      <c r="M1927" s="71" t="str">
        <f>TEXT(ASTemp!M1927,Percentages)</f>
        <v/>
      </c>
      <c r="N1927" s="72" t="str">
        <f>TEXT(ASTemp!N1927,Percentages)</f>
        <v/>
      </c>
    </row>
    <row r="1928" ht="14.25" customHeight="1">
      <c r="B1928" s="66" t="str">
        <f>ASTemp!B1928</f>
        <v/>
      </c>
      <c r="C1928" s="67" t="str">
        <f>ASTemp!C1928</f>
        <v/>
      </c>
      <c r="D1928" s="68" t="str">
        <f>ASTemp!D1928</f>
        <v/>
      </c>
      <c r="E1928" s="65" t="str">
        <f>ASTemp!E1928</f>
        <v/>
      </c>
      <c r="F1928" s="69" t="str">
        <f>TEXT(ASTemp!F1928,Decimals)</f>
        <v/>
      </c>
      <c r="G1928" s="69" t="str">
        <f>TEXT(ASTemp!G1928,Decimals)</f>
        <v/>
      </c>
      <c r="H1928" s="69" t="str">
        <f>TEXT(ASTemp!H1928,Decimals)</f>
        <v/>
      </c>
      <c r="I1928" s="69" t="str">
        <f>TEXT(ASTemp!I1928,Decimals)</f>
        <v/>
      </c>
      <c r="J1928" s="69" t="str">
        <f>TEXT(ASTemp!J1928,Decimals)</f>
        <v/>
      </c>
      <c r="K1928" s="69" t="str">
        <f>TEXT(ASTemp!K1928,Decimals)</f>
        <v/>
      </c>
      <c r="L1928" s="69" t="str">
        <f>TEXT(ASTemp!L1928,Decimals)</f>
        <v/>
      </c>
      <c r="M1928" s="71" t="str">
        <f>TEXT(ASTemp!M1928,Percentages)</f>
        <v/>
      </c>
      <c r="N1928" s="72" t="str">
        <f>TEXT(ASTemp!N1928,Percentages)</f>
        <v/>
      </c>
    </row>
    <row r="1929" ht="14.25" customHeight="1">
      <c r="B1929" s="66" t="str">
        <f>ASTemp!B1929</f>
        <v/>
      </c>
      <c r="C1929" s="67" t="str">
        <f>ASTemp!C1929</f>
        <v/>
      </c>
      <c r="D1929" s="68" t="str">
        <f>ASTemp!D1929</f>
        <v/>
      </c>
      <c r="E1929" s="65" t="str">
        <f>ASTemp!E1929</f>
        <v/>
      </c>
      <c r="F1929" s="69" t="str">
        <f>TEXT(ASTemp!F1929,Decimals)</f>
        <v/>
      </c>
      <c r="G1929" s="69" t="str">
        <f>TEXT(ASTemp!G1929,Decimals)</f>
        <v/>
      </c>
      <c r="H1929" s="69" t="str">
        <f>TEXT(ASTemp!H1929,Decimals)</f>
        <v/>
      </c>
      <c r="I1929" s="69" t="str">
        <f>TEXT(ASTemp!I1929,Decimals)</f>
        <v/>
      </c>
      <c r="J1929" s="69" t="str">
        <f>TEXT(ASTemp!J1929,Decimals)</f>
        <v/>
      </c>
      <c r="K1929" s="69" t="str">
        <f>TEXT(ASTemp!K1929,Decimals)</f>
        <v/>
      </c>
      <c r="L1929" s="69" t="str">
        <f>TEXT(ASTemp!L1929,Decimals)</f>
        <v/>
      </c>
      <c r="M1929" s="71" t="str">
        <f>TEXT(ASTemp!M1929,Percentages)</f>
        <v/>
      </c>
      <c r="N1929" s="72" t="str">
        <f>TEXT(ASTemp!N1929,Percentages)</f>
        <v/>
      </c>
    </row>
    <row r="1930" ht="14.25" customHeight="1">
      <c r="B1930" s="66" t="str">
        <f>ASTemp!B1930</f>
        <v/>
      </c>
      <c r="C1930" s="67" t="str">
        <f>ASTemp!C1930</f>
        <v/>
      </c>
      <c r="D1930" s="68" t="str">
        <f>ASTemp!D1930</f>
        <v/>
      </c>
      <c r="E1930" s="65" t="str">
        <f>ASTemp!E1930</f>
        <v/>
      </c>
      <c r="F1930" s="69" t="str">
        <f>TEXT(ASTemp!F1930,Decimals)</f>
        <v/>
      </c>
      <c r="G1930" s="69" t="str">
        <f>TEXT(ASTemp!G1930,Decimals)</f>
        <v/>
      </c>
      <c r="H1930" s="69" t="str">
        <f>TEXT(ASTemp!H1930,Decimals)</f>
        <v/>
      </c>
      <c r="I1930" s="69" t="str">
        <f>TEXT(ASTemp!I1930,Decimals)</f>
        <v/>
      </c>
      <c r="J1930" s="69" t="str">
        <f>TEXT(ASTemp!J1930,Decimals)</f>
        <v/>
      </c>
      <c r="K1930" s="69" t="str">
        <f>TEXT(ASTemp!K1930,Decimals)</f>
        <v/>
      </c>
      <c r="L1930" s="69" t="str">
        <f>TEXT(ASTemp!L1930,Decimals)</f>
        <v/>
      </c>
      <c r="M1930" s="71" t="str">
        <f>TEXT(ASTemp!M1930,Percentages)</f>
        <v/>
      </c>
      <c r="N1930" s="72" t="str">
        <f>TEXT(ASTemp!N1930,Percentages)</f>
        <v/>
      </c>
    </row>
    <row r="1931" ht="14.25" customHeight="1">
      <c r="B1931" s="66" t="str">
        <f>ASTemp!B1931</f>
        <v/>
      </c>
      <c r="C1931" s="67" t="str">
        <f>ASTemp!C1931</f>
        <v/>
      </c>
      <c r="D1931" s="68" t="str">
        <f>ASTemp!D1931</f>
        <v/>
      </c>
      <c r="E1931" s="65" t="str">
        <f>ASTemp!E1931</f>
        <v/>
      </c>
      <c r="F1931" s="69" t="str">
        <f>TEXT(ASTemp!F1931,Decimals)</f>
        <v/>
      </c>
      <c r="G1931" s="69" t="str">
        <f>TEXT(ASTemp!G1931,Decimals)</f>
        <v/>
      </c>
      <c r="H1931" s="69" t="str">
        <f>TEXT(ASTemp!H1931,Decimals)</f>
        <v/>
      </c>
      <c r="I1931" s="69" t="str">
        <f>TEXT(ASTemp!I1931,Decimals)</f>
        <v/>
      </c>
      <c r="J1931" s="69" t="str">
        <f>TEXT(ASTemp!J1931,Decimals)</f>
        <v/>
      </c>
      <c r="K1931" s="69" t="str">
        <f>TEXT(ASTemp!K1931,Decimals)</f>
        <v/>
      </c>
      <c r="L1931" s="69" t="str">
        <f>TEXT(ASTemp!L1931,Decimals)</f>
        <v/>
      </c>
      <c r="M1931" s="71" t="str">
        <f>TEXT(ASTemp!M1931,Percentages)</f>
        <v/>
      </c>
      <c r="N1931" s="72" t="str">
        <f>TEXT(ASTemp!N1931,Percentages)</f>
        <v/>
      </c>
    </row>
    <row r="1932" ht="14.25" customHeight="1">
      <c r="B1932" s="66" t="str">
        <f>ASTemp!B1932</f>
        <v/>
      </c>
      <c r="C1932" s="67" t="str">
        <f>ASTemp!C1932</f>
        <v/>
      </c>
      <c r="D1932" s="68" t="str">
        <f>ASTemp!D1932</f>
        <v/>
      </c>
      <c r="E1932" s="65" t="str">
        <f>ASTemp!E1932</f>
        <v/>
      </c>
      <c r="F1932" s="69" t="str">
        <f>TEXT(ASTemp!F1932,Decimals)</f>
        <v/>
      </c>
      <c r="G1932" s="69" t="str">
        <f>TEXT(ASTemp!G1932,Decimals)</f>
        <v/>
      </c>
      <c r="H1932" s="69" t="str">
        <f>TEXT(ASTemp!H1932,Decimals)</f>
        <v/>
      </c>
      <c r="I1932" s="69" t="str">
        <f>TEXT(ASTemp!I1932,Decimals)</f>
        <v/>
      </c>
      <c r="J1932" s="69" t="str">
        <f>TEXT(ASTemp!J1932,Decimals)</f>
        <v/>
      </c>
      <c r="K1932" s="69" t="str">
        <f>TEXT(ASTemp!K1932,Decimals)</f>
        <v/>
      </c>
      <c r="L1932" s="69" t="str">
        <f>TEXT(ASTemp!L1932,Decimals)</f>
        <v/>
      </c>
      <c r="M1932" s="71" t="str">
        <f>TEXT(ASTemp!M1932,Percentages)</f>
        <v/>
      </c>
      <c r="N1932" s="72" t="str">
        <f>TEXT(ASTemp!N1932,Percentages)</f>
        <v/>
      </c>
    </row>
    <row r="1933" ht="14.25" customHeight="1">
      <c r="B1933" s="66" t="str">
        <f>ASTemp!B1933</f>
        <v/>
      </c>
      <c r="C1933" s="67" t="str">
        <f>ASTemp!C1933</f>
        <v/>
      </c>
      <c r="D1933" s="68" t="str">
        <f>ASTemp!D1933</f>
        <v/>
      </c>
      <c r="E1933" s="65" t="str">
        <f>ASTemp!E1933</f>
        <v/>
      </c>
      <c r="F1933" s="69" t="str">
        <f>TEXT(ASTemp!F1933,Decimals)</f>
        <v/>
      </c>
      <c r="G1933" s="69" t="str">
        <f>TEXT(ASTemp!G1933,Decimals)</f>
        <v/>
      </c>
      <c r="H1933" s="69" t="str">
        <f>TEXT(ASTemp!H1933,Decimals)</f>
        <v/>
      </c>
      <c r="I1933" s="69" t="str">
        <f>TEXT(ASTemp!I1933,Decimals)</f>
        <v/>
      </c>
      <c r="J1933" s="69" t="str">
        <f>TEXT(ASTemp!J1933,Decimals)</f>
        <v/>
      </c>
      <c r="K1933" s="69" t="str">
        <f>TEXT(ASTemp!K1933,Decimals)</f>
        <v/>
      </c>
      <c r="L1933" s="69" t="str">
        <f>TEXT(ASTemp!L1933,Decimals)</f>
        <v/>
      </c>
      <c r="M1933" s="71" t="str">
        <f>TEXT(ASTemp!M1933,Percentages)</f>
        <v/>
      </c>
      <c r="N1933" s="72" t="str">
        <f>TEXT(ASTemp!N1933,Percentages)</f>
        <v/>
      </c>
    </row>
    <row r="1934" ht="14.25" customHeight="1">
      <c r="B1934" s="66" t="str">
        <f>ASTemp!B1934</f>
        <v/>
      </c>
      <c r="C1934" s="67" t="str">
        <f>ASTemp!C1934</f>
        <v/>
      </c>
      <c r="D1934" s="68" t="str">
        <f>ASTemp!D1934</f>
        <v/>
      </c>
      <c r="E1934" s="65" t="str">
        <f>ASTemp!E1934</f>
        <v/>
      </c>
      <c r="F1934" s="69" t="str">
        <f>TEXT(ASTemp!F1934,Decimals)</f>
        <v/>
      </c>
      <c r="G1934" s="69" t="str">
        <f>TEXT(ASTemp!G1934,Decimals)</f>
        <v/>
      </c>
      <c r="H1934" s="69" t="str">
        <f>TEXT(ASTemp!H1934,Decimals)</f>
        <v/>
      </c>
      <c r="I1934" s="69" t="str">
        <f>TEXT(ASTemp!I1934,Decimals)</f>
        <v/>
      </c>
      <c r="J1934" s="69" t="str">
        <f>TEXT(ASTemp!J1934,Decimals)</f>
        <v/>
      </c>
      <c r="K1934" s="69" t="str">
        <f>TEXT(ASTemp!K1934,Decimals)</f>
        <v/>
      </c>
      <c r="L1934" s="69" t="str">
        <f>TEXT(ASTemp!L1934,Decimals)</f>
        <v/>
      </c>
      <c r="M1934" s="71" t="str">
        <f>TEXT(ASTemp!M1934,Percentages)</f>
        <v/>
      </c>
      <c r="N1934" s="72" t="str">
        <f>TEXT(ASTemp!N1934,Percentages)</f>
        <v/>
      </c>
    </row>
    <row r="1935" ht="14.25" customHeight="1">
      <c r="B1935" s="66" t="str">
        <f>ASTemp!B1935</f>
        <v/>
      </c>
      <c r="C1935" s="67" t="str">
        <f>ASTemp!C1935</f>
        <v/>
      </c>
      <c r="D1935" s="68" t="str">
        <f>ASTemp!D1935</f>
        <v/>
      </c>
      <c r="E1935" s="65" t="str">
        <f>ASTemp!E1935</f>
        <v/>
      </c>
      <c r="F1935" s="69" t="str">
        <f>TEXT(ASTemp!F1935,Decimals)</f>
        <v/>
      </c>
      <c r="G1935" s="69" t="str">
        <f>TEXT(ASTemp!G1935,Decimals)</f>
        <v/>
      </c>
      <c r="H1935" s="69" t="str">
        <f>TEXT(ASTemp!H1935,Decimals)</f>
        <v/>
      </c>
      <c r="I1935" s="69" t="str">
        <f>TEXT(ASTemp!I1935,Decimals)</f>
        <v/>
      </c>
      <c r="J1935" s="69" t="str">
        <f>TEXT(ASTemp!J1935,Decimals)</f>
        <v/>
      </c>
      <c r="K1935" s="69" t="str">
        <f>TEXT(ASTemp!K1935,Decimals)</f>
        <v/>
      </c>
      <c r="L1935" s="69" t="str">
        <f>TEXT(ASTemp!L1935,Decimals)</f>
        <v/>
      </c>
      <c r="M1935" s="71" t="str">
        <f>TEXT(ASTemp!M1935,Percentages)</f>
        <v/>
      </c>
      <c r="N1935" s="72" t="str">
        <f>TEXT(ASTemp!N1935,Percentages)</f>
        <v/>
      </c>
    </row>
    <row r="1936" ht="14.25" customHeight="1">
      <c r="B1936" s="66" t="str">
        <f>ASTemp!B1936</f>
        <v/>
      </c>
      <c r="C1936" s="67" t="str">
        <f>ASTemp!C1936</f>
        <v/>
      </c>
      <c r="D1936" s="68" t="str">
        <f>ASTemp!D1936</f>
        <v/>
      </c>
      <c r="E1936" s="65" t="str">
        <f>ASTemp!E1936</f>
        <v/>
      </c>
      <c r="F1936" s="69" t="str">
        <f>TEXT(ASTemp!F1936,Decimals)</f>
        <v/>
      </c>
      <c r="G1936" s="69" t="str">
        <f>TEXT(ASTemp!G1936,Decimals)</f>
        <v/>
      </c>
      <c r="H1936" s="69" t="str">
        <f>TEXT(ASTemp!H1936,Decimals)</f>
        <v/>
      </c>
      <c r="I1936" s="69" t="str">
        <f>TEXT(ASTemp!I1936,Decimals)</f>
        <v/>
      </c>
      <c r="J1936" s="69" t="str">
        <f>TEXT(ASTemp!J1936,Decimals)</f>
        <v/>
      </c>
      <c r="K1936" s="69" t="str">
        <f>TEXT(ASTemp!K1936,Decimals)</f>
        <v/>
      </c>
      <c r="L1936" s="69" t="str">
        <f>TEXT(ASTemp!L1936,Decimals)</f>
        <v/>
      </c>
      <c r="M1936" s="71" t="str">
        <f>TEXT(ASTemp!M1936,Percentages)</f>
        <v/>
      </c>
      <c r="N1936" s="72" t="str">
        <f>TEXT(ASTemp!N1936,Percentages)</f>
        <v/>
      </c>
    </row>
    <row r="1937" ht="14.25" customHeight="1">
      <c r="B1937" s="66" t="str">
        <f>ASTemp!B1937</f>
        <v/>
      </c>
      <c r="C1937" s="67" t="str">
        <f>ASTemp!C1937</f>
        <v/>
      </c>
      <c r="D1937" s="68" t="str">
        <f>ASTemp!D1937</f>
        <v/>
      </c>
      <c r="E1937" s="65" t="str">
        <f>ASTemp!E1937</f>
        <v/>
      </c>
      <c r="F1937" s="69" t="str">
        <f>TEXT(ASTemp!F1937,Decimals)</f>
        <v/>
      </c>
      <c r="G1937" s="69" t="str">
        <f>TEXT(ASTemp!G1937,Decimals)</f>
        <v/>
      </c>
      <c r="H1937" s="69" t="str">
        <f>TEXT(ASTemp!H1937,Decimals)</f>
        <v/>
      </c>
      <c r="I1937" s="69" t="str">
        <f>TEXT(ASTemp!I1937,Decimals)</f>
        <v/>
      </c>
      <c r="J1937" s="69" t="str">
        <f>TEXT(ASTemp!J1937,Decimals)</f>
        <v/>
      </c>
      <c r="K1937" s="69" t="str">
        <f>TEXT(ASTemp!K1937,Decimals)</f>
        <v/>
      </c>
      <c r="L1937" s="69" t="str">
        <f>TEXT(ASTemp!L1937,Decimals)</f>
        <v/>
      </c>
      <c r="M1937" s="71" t="str">
        <f>TEXT(ASTemp!M1937,Percentages)</f>
        <v/>
      </c>
      <c r="N1937" s="72" t="str">
        <f>TEXT(ASTemp!N1937,Percentages)</f>
        <v/>
      </c>
    </row>
    <row r="1938" ht="14.25" customHeight="1">
      <c r="B1938" s="66" t="str">
        <f>ASTemp!B1938</f>
        <v/>
      </c>
      <c r="C1938" s="67" t="str">
        <f>ASTemp!C1938</f>
        <v/>
      </c>
      <c r="D1938" s="68" t="str">
        <f>ASTemp!D1938</f>
        <v/>
      </c>
      <c r="E1938" s="65" t="str">
        <f>ASTemp!E1938</f>
        <v/>
      </c>
      <c r="F1938" s="69" t="str">
        <f>TEXT(ASTemp!F1938,Decimals)</f>
        <v/>
      </c>
      <c r="G1938" s="69" t="str">
        <f>TEXT(ASTemp!G1938,Decimals)</f>
        <v/>
      </c>
      <c r="H1938" s="69" t="str">
        <f>TEXT(ASTemp!H1938,Decimals)</f>
        <v/>
      </c>
      <c r="I1938" s="69" t="str">
        <f>TEXT(ASTemp!I1938,Decimals)</f>
        <v/>
      </c>
      <c r="J1938" s="69" t="str">
        <f>TEXT(ASTemp!J1938,Decimals)</f>
        <v/>
      </c>
      <c r="K1938" s="69" t="str">
        <f>TEXT(ASTemp!K1938,Decimals)</f>
        <v/>
      </c>
      <c r="L1938" s="69" t="str">
        <f>TEXT(ASTemp!L1938,Decimals)</f>
        <v/>
      </c>
      <c r="M1938" s="71" t="str">
        <f>TEXT(ASTemp!M1938,Percentages)</f>
        <v/>
      </c>
      <c r="N1938" s="72" t="str">
        <f>TEXT(ASTemp!N1938,Percentages)</f>
        <v/>
      </c>
    </row>
    <row r="1939" ht="14.25" customHeight="1">
      <c r="B1939" s="66" t="str">
        <f>ASTemp!B1939</f>
        <v/>
      </c>
      <c r="C1939" s="67" t="str">
        <f>ASTemp!C1939</f>
        <v/>
      </c>
      <c r="D1939" s="68" t="str">
        <f>ASTemp!D1939</f>
        <v/>
      </c>
      <c r="E1939" s="65" t="str">
        <f>ASTemp!E1939</f>
        <v/>
      </c>
      <c r="F1939" s="69" t="str">
        <f>TEXT(ASTemp!F1939,Decimals)</f>
        <v/>
      </c>
      <c r="G1939" s="69" t="str">
        <f>TEXT(ASTemp!G1939,Decimals)</f>
        <v/>
      </c>
      <c r="H1939" s="69" t="str">
        <f>TEXT(ASTemp!H1939,Decimals)</f>
        <v/>
      </c>
      <c r="I1939" s="69" t="str">
        <f>TEXT(ASTemp!I1939,Decimals)</f>
        <v/>
      </c>
      <c r="J1939" s="69" t="str">
        <f>TEXT(ASTemp!J1939,Decimals)</f>
        <v/>
      </c>
      <c r="K1939" s="69" t="str">
        <f>TEXT(ASTemp!K1939,Decimals)</f>
        <v/>
      </c>
      <c r="L1939" s="69" t="str">
        <f>TEXT(ASTemp!L1939,Decimals)</f>
        <v/>
      </c>
      <c r="M1939" s="71" t="str">
        <f>TEXT(ASTemp!M1939,Percentages)</f>
        <v/>
      </c>
      <c r="N1939" s="72" t="str">
        <f>TEXT(ASTemp!N1939,Percentages)</f>
        <v/>
      </c>
    </row>
    <row r="1940" ht="14.25" customHeight="1">
      <c r="B1940" s="66" t="str">
        <f>ASTemp!B1940</f>
        <v/>
      </c>
      <c r="C1940" s="67" t="str">
        <f>ASTemp!C1940</f>
        <v/>
      </c>
      <c r="D1940" s="68" t="str">
        <f>ASTemp!D1940</f>
        <v/>
      </c>
      <c r="E1940" s="65" t="str">
        <f>ASTemp!E1940</f>
        <v/>
      </c>
      <c r="F1940" s="69" t="str">
        <f>TEXT(ASTemp!F1940,Decimals)</f>
        <v/>
      </c>
      <c r="G1940" s="69" t="str">
        <f>TEXT(ASTemp!G1940,Decimals)</f>
        <v/>
      </c>
      <c r="H1940" s="69" t="str">
        <f>TEXT(ASTemp!H1940,Decimals)</f>
        <v/>
      </c>
      <c r="I1940" s="69" t="str">
        <f>TEXT(ASTemp!I1940,Decimals)</f>
        <v/>
      </c>
      <c r="J1940" s="69" t="str">
        <f>TEXT(ASTemp!J1940,Decimals)</f>
        <v/>
      </c>
      <c r="K1940" s="69" t="str">
        <f>TEXT(ASTemp!K1940,Decimals)</f>
        <v/>
      </c>
      <c r="L1940" s="69" t="str">
        <f>TEXT(ASTemp!L1940,Decimals)</f>
        <v/>
      </c>
      <c r="M1940" s="71" t="str">
        <f>TEXT(ASTemp!M1940,Percentages)</f>
        <v/>
      </c>
      <c r="N1940" s="72" t="str">
        <f>TEXT(ASTemp!N1940,Percentages)</f>
        <v/>
      </c>
    </row>
    <row r="1941" ht="14.25" customHeight="1">
      <c r="B1941" s="66" t="str">
        <f>ASTemp!B1941</f>
        <v/>
      </c>
      <c r="C1941" s="67" t="str">
        <f>ASTemp!C1941</f>
        <v/>
      </c>
      <c r="D1941" s="68" t="str">
        <f>ASTemp!D1941</f>
        <v/>
      </c>
      <c r="E1941" s="65" t="str">
        <f>ASTemp!E1941</f>
        <v/>
      </c>
      <c r="F1941" s="69" t="str">
        <f>TEXT(ASTemp!F1941,Decimals)</f>
        <v/>
      </c>
      <c r="G1941" s="69" t="str">
        <f>TEXT(ASTemp!G1941,Decimals)</f>
        <v/>
      </c>
      <c r="H1941" s="69" t="str">
        <f>TEXT(ASTemp!H1941,Decimals)</f>
        <v/>
      </c>
      <c r="I1941" s="69" t="str">
        <f>TEXT(ASTemp!I1941,Decimals)</f>
        <v/>
      </c>
      <c r="J1941" s="69" t="str">
        <f>TEXT(ASTemp!J1941,Decimals)</f>
        <v/>
      </c>
      <c r="K1941" s="69" t="str">
        <f>TEXT(ASTemp!K1941,Decimals)</f>
        <v/>
      </c>
      <c r="L1941" s="69" t="str">
        <f>TEXT(ASTemp!L1941,Decimals)</f>
        <v/>
      </c>
      <c r="M1941" s="71" t="str">
        <f>TEXT(ASTemp!M1941,Percentages)</f>
        <v/>
      </c>
      <c r="N1941" s="72" t="str">
        <f>TEXT(ASTemp!N1941,Percentages)</f>
        <v/>
      </c>
    </row>
    <row r="1942" ht="14.25" customHeight="1">
      <c r="B1942" s="66" t="str">
        <f>ASTemp!B1942</f>
        <v/>
      </c>
      <c r="C1942" s="67" t="str">
        <f>ASTemp!C1942</f>
        <v/>
      </c>
      <c r="D1942" s="68" t="str">
        <f>ASTemp!D1942</f>
        <v/>
      </c>
      <c r="E1942" s="65" t="str">
        <f>ASTemp!E1942</f>
        <v/>
      </c>
      <c r="F1942" s="69" t="str">
        <f>TEXT(ASTemp!F1942,Decimals)</f>
        <v/>
      </c>
      <c r="G1942" s="69" t="str">
        <f>TEXT(ASTemp!G1942,Decimals)</f>
        <v/>
      </c>
      <c r="H1942" s="69" t="str">
        <f>TEXT(ASTemp!H1942,Decimals)</f>
        <v/>
      </c>
      <c r="I1942" s="69" t="str">
        <f>TEXT(ASTemp!I1942,Decimals)</f>
        <v/>
      </c>
      <c r="J1942" s="69" t="str">
        <f>TEXT(ASTemp!J1942,Decimals)</f>
        <v/>
      </c>
      <c r="K1942" s="69" t="str">
        <f>TEXT(ASTemp!K1942,Decimals)</f>
        <v/>
      </c>
      <c r="L1942" s="69" t="str">
        <f>TEXT(ASTemp!L1942,Decimals)</f>
        <v/>
      </c>
      <c r="M1942" s="71" t="str">
        <f>TEXT(ASTemp!M1942,Percentages)</f>
        <v/>
      </c>
      <c r="N1942" s="72" t="str">
        <f>TEXT(ASTemp!N1942,Percentages)</f>
        <v/>
      </c>
    </row>
    <row r="1943" ht="14.25" customHeight="1">
      <c r="B1943" s="66" t="str">
        <f>ASTemp!B1943</f>
        <v/>
      </c>
      <c r="C1943" s="67" t="str">
        <f>ASTemp!C1943</f>
        <v/>
      </c>
      <c r="D1943" s="68" t="str">
        <f>ASTemp!D1943</f>
        <v/>
      </c>
      <c r="E1943" s="65" t="str">
        <f>ASTemp!E1943</f>
        <v/>
      </c>
      <c r="F1943" s="69" t="str">
        <f>TEXT(ASTemp!F1943,Decimals)</f>
        <v/>
      </c>
      <c r="G1943" s="69" t="str">
        <f>TEXT(ASTemp!G1943,Decimals)</f>
        <v/>
      </c>
      <c r="H1943" s="69" t="str">
        <f>TEXT(ASTemp!H1943,Decimals)</f>
        <v/>
      </c>
      <c r="I1943" s="69" t="str">
        <f>TEXT(ASTemp!I1943,Decimals)</f>
        <v/>
      </c>
      <c r="J1943" s="69" t="str">
        <f>TEXT(ASTemp!J1943,Decimals)</f>
        <v/>
      </c>
      <c r="K1943" s="69" t="str">
        <f>TEXT(ASTemp!K1943,Decimals)</f>
        <v/>
      </c>
      <c r="L1943" s="69" t="str">
        <f>TEXT(ASTemp!L1943,Decimals)</f>
        <v/>
      </c>
      <c r="M1943" s="71" t="str">
        <f>TEXT(ASTemp!M1943,Percentages)</f>
        <v/>
      </c>
      <c r="N1943" s="72" t="str">
        <f>TEXT(ASTemp!N1943,Percentages)</f>
        <v/>
      </c>
    </row>
    <row r="1944" ht="14.25" customHeight="1">
      <c r="B1944" s="66" t="str">
        <f>ASTemp!B1944</f>
        <v/>
      </c>
      <c r="C1944" s="67" t="str">
        <f>ASTemp!C1944</f>
        <v/>
      </c>
      <c r="D1944" s="68" t="str">
        <f>ASTemp!D1944</f>
        <v/>
      </c>
      <c r="E1944" s="65" t="str">
        <f>ASTemp!E1944</f>
        <v/>
      </c>
      <c r="F1944" s="69" t="str">
        <f>TEXT(ASTemp!F1944,Decimals)</f>
        <v/>
      </c>
      <c r="G1944" s="69" t="str">
        <f>TEXT(ASTemp!G1944,Decimals)</f>
        <v/>
      </c>
      <c r="H1944" s="69" t="str">
        <f>TEXT(ASTemp!H1944,Decimals)</f>
        <v/>
      </c>
      <c r="I1944" s="69" t="str">
        <f>TEXT(ASTemp!I1944,Decimals)</f>
        <v/>
      </c>
      <c r="J1944" s="69" t="str">
        <f>TEXT(ASTemp!J1944,Decimals)</f>
        <v/>
      </c>
      <c r="K1944" s="69" t="str">
        <f>TEXT(ASTemp!K1944,Decimals)</f>
        <v/>
      </c>
      <c r="L1944" s="69" t="str">
        <f>TEXT(ASTemp!L1944,Decimals)</f>
        <v/>
      </c>
      <c r="M1944" s="71" t="str">
        <f>TEXT(ASTemp!M1944,Percentages)</f>
        <v/>
      </c>
      <c r="N1944" s="72" t="str">
        <f>TEXT(ASTemp!N1944,Percentages)</f>
        <v/>
      </c>
    </row>
    <row r="1945" ht="14.25" customHeight="1">
      <c r="B1945" s="66" t="str">
        <f>ASTemp!B1945</f>
        <v/>
      </c>
      <c r="C1945" s="67" t="str">
        <f>ASTemp!C1945</f>
        <v/>
      </c>
      <c r="D1945" s="68" t="str">
        <f>ASTemp!D1945</f>
        <v/>
      </c>
      <c r="E1945" s="65" t="str">
        <f>ASTemp!E1945</f>
        <v/>
      </c>
      <c r="F1945" s="69" t="str">
        <f>TEXT(ASTemp!F1945,Decimals)</f>
        <v/>
      </c>
      <c r="G1945" s="69" t="str">
        <f>TEXT(ASTemp!G1945,Decimals)</f>
        <v/>
      </c>
      <c r="H1945" s="69" t="str">
        <f>TEXT(ASTemp!H1945,Decimals)</f>
        <v/>
      </c>
      <c r="I1945" s="69" t="str">
        <f>TEXT(ASTemp!I1945,Decimals)</f>
        <v/>
      </c>
      <c r="J1945" s="69" t="str">
        <f>TEXT(ASTemp!J1945,Decimals)</f>
        <v/>
      </c>
      <c r="K1945" s="69" t="str">
        <f>TEXT(ASTemp!K1945,Decimals)</f>
        <v/>
      </c>
      <c r="L1945" s="69" t="str">
        <f>TEXT(ASTemp!L1945,Decimals)</f>
        <v/>
      </c>
      <c r="M1945" s="71" t="str">
        <f>TEXT(ASTemp!M1945,Percentages)</f>
        <v/>
      </c>
      <c r="N1945" s="72" t="str">
        <f>TEXT(ASTemp!N1945,Percentages)</f>
        <v/>
      </c>
    </row>
    <row r="1946" ht="14.25" customHeight="1">
      <c r="B1946" s="66" t="str">
        <f>ASTemp!B1946</f>
        <v/>
      </c>
      <c r="C1946" s="67" t="str">
        <f>ASTemp!C1946</f>
        <v/>
      </c>
      <c r="D1946" s="68" t="str">
        <f>ASTemp!D1946</f>
        <v/>
      </c>
      <c r="E1946" s="65" t="str">
        <f>ASTemp!E1946</f>
        <v/>
      </c>
      <c r="F1946" s="69" t="str">
        <f>TEXT(ASTemp!F1946,Decimals)</f>
        <v/>
      </c>
      <c r="G1946" s="69" t="str">
        <f>TEXT(ASTemp!G1946,Decimals)</f>
        <v/>
      </c>
      <c r="H1946" s="69" t="str">
        <f>TEXT(ASTemp!H1946,Decimals)</f>
        <v/>
      </c>
      <c r="I1946" s="69" t="str">
        <f>TEXT(ASTemp!I1946,Decimals)</f>
        <v/>
      </c>
      <c r="J1946" s="69" t="str">
        <f>TEXT(ASTemp!J1946,Decimals)</f>
        <v/>
      </c>
      <c r="K1946" s="69" t="str">
        <f>TEXT(ASTemp!K1946,Decimals)</f>
        <v/>
      </c>
      <c r="L1946" s="69" t="str">
        <f>TEXT(ASTemp!L1946,Decimals)</f>
        <v/>
      </c>
      <c r="M1946" s="71" t="str">
        <f>TEXT(ASTemp!M1946,Percentages)</f>
        <v/>
      </c>
      <c r="N1946" s="72" t="str">
        <f>TEXT(ASTemp!N1946,Percentages)</f>
        <v/>
      </c>
    </row>
    <row r="1947" ht="14.25" customHeight="1">
      <c r="B1947" s="66" t="str">
        <f>ASTemp!B1947</f>
        <v/>
      </c>
      <c r="C1947" s="67" t="str">
        <f>ASTemp!C1947</f>
        <v/>
      </c>
      <c r="D1947" s="68" t="str">
        <f>ASTemp!D1947</f>
        <v/>
      </c>
      <c r="E1947" s="65" t="str">
        <f>ASTemp!E1947</f>
        <v/>
      </c>
      <c r="F1947" s="69" t="str">
        <f>TEXT(ASTemp!F1947,Decimals)</f>
        <v/>
      </c>
      <c r="G1947" s="69" t="str">
        <f>TEXT(ASTemp!G1947,Decimals)</f>
        <v/>
      </c>
      <c r="H1947" s="69" t="str">
        <f>TEXT(ASTemp!H1947,Decimals)</f>
        <v/>
      </c>
      <c r="I1947" s="69" t="str">
        <f>TEXT(ASTemp!I1947,Decimals)</f>
        <v/>
      </c>
      <c r="J1947" s="69" t="str">
        <f>TEXT(ASTemp!J1947,Decimals)</f>
        <v/>
      </c>
      <c r="K1947" s="69" t="str">
        <f>TEXT(ASTemp!K1947,Decimals)</f>
        <v/>
      </c>
      <c r="L1947" s="69" t="str">
        <f>TEXT(ASTemp!L1947,Decimals)</f>
        <v/>
      </c>
      <c r="M1947" s="71" t="str">
        <f>TEXT(ASTemp!M1947,Percentages)</f>
        <v/>
      </c>
      <c r="N1947" s="72" t="str">
        <f>TEXT(ASTemp!N1947,Percentages)</f>
        <v/>
      </c>
    </row>
    <row r="1948" ht="14.25" customHeight="1">
      <c r="B1948" s="66" t="str">
        <f>ASTemp!B1948</f>
        <v/>
      </c>
      <c r="C1948" s="67" t="str">
        <f>ASTemp!C1948</f>
        <v/>
      </c>
      <c r="D1948" s="68" t="str">
        <f>ASTemp!D1948</f>
        <v/>
      </c>
      <c r="E1948" s="65" t="str">
        <f>ASTemp!E1948</f>
        <v/>
      </c>
      <c r="F1948" s="69" t="str">
        <f>TEXT(ASTemp!F1948,Decimals)</f>
        <v/>
      </c>
      <c r="G1948" s="69" t="str">
        <f>TEXT(ASTemp!G1948,Decimals)</f>
        <v/>
      </c>
      <c r="H1948" s="69" t="str">
        <f>TEXT(ASTemp!H1948,Decimals)</f>
        <v/>
      </c>
      <c r="I1948" s="69" t="str">
        <f>TEXT(ASTemp!I1948,Decimals)</f>
        <v/>
      </c>
      <c r="J1948" s="69" t="str">
        <f>TEXT(ASTemp!J1948,Decimals)</f>
        <v/>
      </c>
      <c r="K1948" s="69" t="str">
        <f>TEXT(ASTemp!K1948,Decimals)</f>
        <v/>
      </c>
      <c r="L1948" s="69" t="str">
        <f>TEXT(ASTemp!L1948,Decimals)</f>
        <v/>
      </c>
      <c r="M1948" s="71" t="str">
        <f>TEXT(ASTemp!M1948,Percentages)</f>
        <v/>
      </c>
      <c r="N1948" s="72" t="str">
        <f>TEXT(ASTemp!N1948,Percentages)</f>
        <v/>
      </c>
    </row>
    <row r="1949" ht="14.25" customHeight="1">
      <c r="B1949" s="66" t="str">
        <f>ASTemp!B1949</f>
        <v/>
      </c>
      <c r="C1949" s="67" t="str">
        <f>ASTemp!C1949</f>
        <v/>
      </c>
      <c r="D1949" s="68" t="str">
        <f>ASTemp!D1949</f>
        <v/>
      </c>
      <c r="E1949" s="65" t="str">
        <f>ASTemp!E1949</f>
        <v/>
      </c>
      <c r="F1949" s="69" t="str">
        <f>TEXT(ASTemp!F1949,Decimals)</f>
        <v/>
      </c>
      <c r="G1949" s="69" t="str">
        <f>TEXT(ASTemp!G1949,Decimals)</f>
        <v/>
      </c>
      <c r="H1949" s="69" t="str">
        <f>TEXT(ASTemp!H1949,Decimals)</f>
        <v/>
      </c>
      <c r="I1949" s="69" t="str">
        <f>TEXT(ASTemp!I1949,Decimals)</f>
        <v/>
      </c>
      <c r="J1949" s="69" t="str">
        <f>TEXT(ASTemp!J1949,Decimals)</f>
        <v/>
      </c>
      <c r="K1949" s="69" t="str">
        <f>TEXT(ASTemp!K1949,Decimals)</f>
        <v/>
      </c>
      <c r="L1949" s="69" t="str">
        <f>TEXT(ASTemp!L1949,Decimals)</f>
        <v/>
      </c>
      <c r="M1949" s="71" t="str">
        <f>TEXT(ASTemp!M1949,Percentages)</f>
        <v/>
      </c>
      <c r="N1949" s="72" t="str">
        <f>TEXT(ASTemp!N1949,Percentages)</f>
        <v/>
      </c>
    </row>
    <row r="1950" ht="14.25" customHeight="1">
      <c r="B1950" s="66" t="str">
        <f>ASTemp!B1950</f>
        <v/>
      </c>
      <c r="C1950" s="67" t="str">
        <f>ASTemp!C1950</f>
        <v/>
      </c>
      <c r="D1950" s="68" t="str">
        <f>ASTemp!D1950</f>
        <v/>
      </c>
      <c r="E1950" s="65" t="str">
        <f>ASTemp!E1950</f>
        <v/>
      </c>
      <c r="F1950" s="69" t="str">
        <f>TEXT(ASTemp!F1950,Decimals)</f>
        <v/>
      </c>
      <c r="G1950" s="69" t="str">
        <f>TEXT(ASTemp!G1950,Decimals)</f>
        <v/>
      </c>
      <c r="H1950" s="69" t="str">
        <f>TEXT(ASTemp!H1950,Decimals)</f>
        <v/>
      </c>
      <c r="I1950" s="69" t="str">
        <f>TEXT(ASTemp!I1950,Decimals)</f>
        <v/>
      </c>
      <c r="J1950" s="69" t="str">
        <f>TEXT(ASTemp!J1950,Decimals)</f>
        <v/>
      </c>
      <c r="K1950" s="69" t="str">
        <f>TEXT(ASTemp!K1950,Decimals)</f>
        <v/>
      </c>
      <c r="L1950" s="69" t="str">
        <f>TEXT(ASTemp!L1950,Decimals)</f>
        <v/>
      </c>
      <c r="M1950" s="71" t="str">
        <f>TEXT(ASTemp!M1950,Percentages)</f>
        <v/>
      </c>
      <c r="N1950" s="72" t="str">
        <f>TEXT(ASTemp!N1950,Percentages)</f>
        <v/>
      </c>
    </row>
    <row r="1951" ht="14.25" customHeight="1">
      <c r="B1951" s="66" t="str">
        <f>ASTemp!B1951</f>
        <v/>
      </c>
      <c r="C1951" s="67" t="str">
        <f>ASTemp!C1951</f>
        <v/>
      </c>
      <c r="D1951" s="68" t="str">
        <f>ASTemp!D1951</f>
        <v/>
      </c>
      <c r="E1951" s="65" t="str">
        <f>ASTemp!E1951</f>
        <v/>
      </c>
      <c r="F1951" s="69" t="str">
        <f>TEXT(ASTemp!F1951,Decimals)</f>
        <v/>
      </c>
      <c r="G1951" s="69" t="str">
        <f>TEXT(ASTemp!G1951,Decimals)</f>
        <v/>
      </c>
      <c r="H1951" s="69" t="str">
        <f>TEXT(ASTemp!H1951,Decimals)</f>
        <v/>
      </c>
      <c r="I1951" s="69" t="str">
        <f>TEXT(ASTemp!I1951,Decimals)</f>
        <v/>
      </c>
      <c r="J1951" s="69" t="str">
        <f>TEXT(ASTemp!J1951,Decimals)</f>
        <v/>
      </c>
      <c r="K1951" s="69" t="str">
        <f>TEXT(ASTemp!K1951,Decimals)</f>
        <v/>
      </c>
      <c r="L1951" s="69" t="str">
        <f>TEXT(ASTemp!L1951,Decimals)</f>
        <v/>
      </c>
      <c r="M1951" s="71" t="str">
        <f>TEXT(ASTemp!M1951,Percentages)</f>
        <v/>
      </c>
      <c r="N1951" s="72" t="str">
        <f>TEXT(ASTemp!N1951,Percentages)</f>
        <v/>
      </c>
    </row>
    <row r="1952" ht="14.25" customHeight="1">
      <c r="B1952" s="66" t="str">
        <f>ASTemp!B1952</f>
        <v/>
      </c>
      <c r="C1952" s="67" t="str">
        <f>ASTemp!C1952</f>
        <v/>
      </c>
      <c r="D1952" s="68" t="str">
        <f>ASTemp!D1952</f>
        <v/>
      </c>
      <c r="E1952" s="65" t="str">
        <f>ASTemp!E1952</f>
        <v/>
      </c>
      <c r="F1952" s="69" t="str">
        <f>TEXT(ASTemp!F1952,Decimals)</f>
        <v/>
      </c>
      <c r="G1952" s="69" t="str">
        <f>TEXT(ASTemp!G1952,Decimals)</f>
        <v/>
      </c>
      <c r="H1952" s="69" t="str">
        <f>TEXT(ASTemp!H1952,Decimals)</f>
        <v/>
      </c>
      <c r="I1952" s="69" t="str">
        <f>TEXT(ASTemp!I1952,Decimals)</f>
        <v/>
      </c>
      <c r="J1952" s="69" t="str">
        <f>TEXT(ASTemp!J1952,Decimals)</f>
        <v/>
      </c>
      <c r="K1952" s="69" t="str">
        <f>TEXT(ASTemp!K1952,Decimals)</f>
        <v/>
      </c>
      <c r="L1952" s="69" t="str">
        <f>TEXT(ASTemp!L1952,Decimals)</f>
        <v/>
      </c>
      <c r="M1952" s="71" t="str">
        <f>TEXT(ASTemp!M1952,Percentages)</f>
        <v/>
      </c>
      <c r="N1952" s="72" t="str">
        <f>TEXT(ASTemp!N1952,Percentages)</f>
        <v/>
      </c>
    </row>
    <row r="1953" ht="14.25" customHeight="1">
      <c r="B1953" s="66" t="str">
        <f>ASTemp!B1953</f>
        <v/>
      </c>
      <c r="C1953" s="67" t="str">
        <f>ASTemp!C1953</f>
        <v/>
      </c>
      <c r="D1953" s="68" t="str">
        <f>ASTemp!D1953</f>
        <v/>
      </c>
      <c r="E1953" s="65" t="str">
        <f>ASTemp!E1953</f>
        <v/>
      </c>
      <c r="F1953" s="69" t="str">
        <f>TEXT(ASTemp!F1953,Decimals)</f>
        <v/>
      </c>
      <c r="G1953" s="69" t="str">
        <f>TEXT(ASTemp!G1953,Decimals)</f>
        <v/>
      </c>
      <c r="H1953" s="69" t="str">
        <f>TEXT(ASTemp!H1953,Decimals)</f>
        <v/>
      </c>
      <c r="I1953" s="69" t="str">
        <f>TEXT(ASTemp!I1953,Decimals)</f>
        <v/>
      </c>
      <c r="J1953" s="69" t="str">
        <f>TEXT(ASTemp!J1953,Decimals)</f>
        <v/>
      </c>
      <c r="K1953" s="69" t="str">
        <f>TEXT(ASTemp!K1953,Decimals)</f>
        <v/>
      </c>
      <c r="L1953" s="69" t="str">
        <f>TEXT(ASTemp!L1953,Decimals)</f>
        <v/>
      </c>
      <c r="M1953" s="71" t="str">
        <f>TEXT(ASTemp!M1953,Percentages)</f>
        <v/>
      </c>
      <c r="N1953" s="72" t="str">
        <f>TEXT(ASTemp!N1953,Percentages)</f>
        <v/>
      </c>
    </row>
    <row r="1954" ht="14.25" customHeight="1">
      <c r="B1954" s="66" t="str">
        <f>ASTemp!B1954</f>
        <v/>
      </c>
      <c r="C1954" s="67" t="str">
        <f>ASTemp!C1954</f>
        <v/>
      </c>
      <c r="D1954" s="68" t="str">
        <f>ASTemp!D1954</f>
        <v/>
      </c>
      <c r="E1954" s="65" t="str">
        <f>ASTemp!E1954</f>
        <v/>
      </c>
      <c r="F1954" s="69" t="str">
        <f>TEXT(ASTemp!F1954,Decimals)</f>
        <v/>
      </c>
      <c r="G1954" s="69" t="str">
        <f>TEXT(ASTemp!G1954,Decimals)</f>
        <v/>
      </c>
      <c r="H1954" s="69" t="str">
        <f>TEXT(ASTemp!H1954,Decimals)</f>
        <v/>
      </c>
      <c r="I1954" s="69" t="str">
        <f>TEXT(ASTemp!I1954,Decimals)</f>
        <v/>
      </c>
      <c r="J1954" s="69" t="str">
        <f>TEXT(ASTemp!J1954,Decimals)</f>
        <v/>
      </c>
      <c r="K1954" s="69" t="str">
        <f>TEXT(ASTemp!K1954,Decimals)</f>
        <v/>
      </c>
      <c r="L1954" s="69" t="str">
        <f>TEXT(ASTemp!L1954,Decimals)</f>
        <v/>
      </c>
      <c r="M1954" s="71" t="str">
        <f>TEXT(ASTemp!M1954,Percentages)</f>
        <v/>
      </c>
      <c r="N1954" s="72" t="str">
        <f>TEXT(ASTemp!N1954,Percentages)</f>
        <v/>
      </c>
    </row>
    <row r="1955" ht="14.25" customHeight="1">
      <c r="B1955" s="66" t="str">
        <f>ASTemp!B1955</f>
        <v/>
      </c>
      <c r="C1955" s="67" t="str">
        <f>ASTemp!C1955</f>
        <v/>
      </c>
      <c r="D1955" s="68" t="str">
        <f>ASTemp!D1955</f>
        <v/>
      </c>
      <c r="E1955" s="65" t="str">
        <f>ASTemp!E1955</f>
        <v/>
      </c>
      <c r="F1955" s="69" t="str">
        <f>TEXT(ASTemp!F1955,Decimals)</f>
        <v/>
      </c>
      <c r="G1955" s="69" t="str">
        <f>TEXT(ASTemp!G1955,Decimals)</f>
        <v/>
      </c>
      <c r="H1955" s="69" t="str">
        <f>TEXT(ASTemp!H1955,Decimals)</f>
        <v/>
      </c>
      <c r="I1955" s="69" t="str">
        <f>TEXT(ASTemp!I1955,Decimals)</f>
        <v/>
      </c>
      <c r="J1955" s="69" t="str">
        <f>TEXT(ASTemp!J1955,Decimals)</f>
        <v/>
      </c>
      <c r="K1955" s="69" t="str">
        <f>TEXT(ASTemp!K1955,Decimals)</f>
        <v/>
      </c>
      <c r="L1955" s="69" t="str">
        <f>TEXT(ASTemp!L1955,Decimals)</f>
        <v/>
      </c>
      <c r="M1955" s="71" t="str">
        <f>TEXT(ASTemp!M1955,Percentages)</f>
        <v/>
      </c>
      <c r="N1955" s="72" t="str">
        <f>TEXT(ASTemp!N1955,Percentages)</f>
        <v/>
      </c>
    </row>
    <row r="1956" ht="14.25" customHeight="1">
      <c r="B1956" s="66" t="str">
        <f>ASTemp!B1956</f>
        <v/>
      </c>
      <c r="C1956" s="67" t="str">
        <f>ASTemp!C1956</f>
        <v/>
      </c>
      <c r="D1956" s="68" t="str">
        <f>ASTemp!D1956</f>
        <v/>
      </c>
      <c r="E1956" s="65" t="str">
        <f>ASTemp!E1956</f>
        <v/>
      </c>
      <c r="F1956" s="69" t="str">
        <f>TEXT(ASTemp!F1956,Decimals)</f>
        <v/>
      </c>
      <c r="G1956" s="69" t="str">
        <f>TEXT(ASTemp!G1956,Decimals)</f>
        <v/>
      </c>
      <c r="H1956" s="69" t="str">
        <f>TEXT(ASTemp!H1956,Decimals)</f>
        <v/>
      </c>
      <c r="I1956" s="69" t="str">
        <f>TEXT(ASTemp!I1956,Decimals)</f>
        <v/>
      </c>
      <c r="J1956" s="69" t="str">
        <f>TEXT(ASTemp!J1956,Decimals)</f>
        <v/>
      </c>
      <c r="K1956" s="69" t="str">
        <f>TEXT(ASTemp!K1956,Decimals)</f>
        <v/>
      </c>
      <c r="L1956" s="69" t="str">
        <f>TEXT(ASTemp!L1956,Decimals)</f>
        <v/>
      </c>
      <c r="M1956" s="71" t="str">
        <f>TEXT(ASTemp!M1956,Percentages)</f>
        <v/>
      </c>
      <c r="N1956" s="72" t="str">
        <f>TEXT(ASTemp!N1956,Percentages)</f>
        <v/>
      </c>
    </row>
    <row r="1957" ht="14.25" customHeight="1">
      <c r="B1957" s="66" t="str">
        <f>ASTemp!B1957</f>
        <v/>
      </c>
      <c r="C1957" s="67" t="str">
        <f>ASTemp!C1957</f>
        <v/>
      </c>
      <c r="D1957" s="68" t="str">
        <f>ASTemp!D1957</f>
        <v/>
      </c>
      <c r="E1957" s="65" t="str">
        <f>ASTemp!E1957</f>
        <v/>
      </c>
      <c r="F1957" s="69" t="str">
        <f>TEXT(ASTemp!F1957,Decimals)</f>
        <v/>
      </c>
      <c r="G1957" s="69" t="str">
        <f>TEXT(ASTemp!G1957,Decimals)</f>
        <v/>
      </c>
      <c r="H1957" s="69" t="str">
        <f>TEXT(ASTemp!H1957,Decimals)</f>
        <v/>
      </c>
      <c r="I1957" s="69" t="str">
        <f>TEXT(ASTemp!I1957,Decimals)</f>
        <v/>
      </c>
      <c r="J1957" s="69" t="str">
        <f>TEXT(ASTemp!J1957,Decimals)</f>
        <v/>
      </c>
      <c r="K1957" s="69" t="str">
        <f>TEXT(ASTemp!K1957,Decimals)</f>
        <v/>
      </c>
      <c r="L1957" s="69" t="str">
        <f>TEXT(ASTemp!L1957,Decimals)</f>
        <v/>
      </c>
      <c r="M1957" s="71" t="str">
        <f>TEXT(ASTemp!M1957,Percentages)</f>
        <v/>
      </c>
      <c r="N1957" s="72" t="str">
        <f>TEXT(ASTemp!N1957,Percentages)</f>
        <v/>
      </c>
    </row>
    <row r="1958" ht="14.25" customHeight="1">
      <c r="B1958" s="66" t="str">
        <f>ASTemp!B1958</f>
        <v/>
      </c>
      <c r="C1958" s="67" t="str">
        <f>ASTemp!C1958</f>
        <v/>
      </c>
      <c r="D1958" s="68" t="str">
        <f>ASTemp!D1958</f>
        <v/>
      </c>
      <c r="E1958" s="65" t="str">
        <f>ASTemp!E1958</f>
        <v/>
      </c>
      <c r="F1958" s="69" t="str">
        <f>TEXT(ASTemp!F1958,Decimals)</f>
        <v/>
      </c>
      <c r="G1958" s="69" t="str">
        <f>TEXT(ASTemp!G1958,Decimals)</f>
        <v/>
      </c>
      <c r="H1958" s="69" t="str">
        <f>TEXT(ASTemp!H1958,Decimals)</f>
        <v/>
      </c>
      <c r="I1958" s="69" t="str">
        <f>TEXT(ASTemp!I1958,Decimals)</f>
        <v/>
      </c>
      <c r="J1958" s="69" t="str">
        <f>TEXT(ASTemp!J1958,Decimals)</f>
        <v/>
      </c>
      <c r="K1958" s="69" t="str">
        <f>TEXT(ASTemp!K1958,Decimals)</f>
        <v/>
      </c>
      <c r="L1958" s="69" t="str">
        <f>TEXT(ASTemp!L1958,Decimals)</f>
        <v/>
      </c>
      <c r="M1958" s="71" t="str">
        <f>TEXT(ASTemp!M1958,Percentages)</f>
        <v/>
      </c>
      <c r="N1958" s="72" t="str">
        <f>TEXT(ASTemp!N1958,Percentages)</f>
        <v/>
      </c>
    </row>
    <row r="1959" ht="14.25" customHeight="1">
      <c r="B1959" s="66" t="str">
        <f>ASTemp!B1959</f>
        <v/>
      </c>
      <c r="C1959" s="67" t="str">
        <f>ASTemp!C1959</f>
        <v/>
      </c>
      <c r="D1959" s="68" t="str">
        <f>ASTemp!D1959</f>
        <v/>
      </c>
      <c r="E1959" s="65" t="str">
        <f>ASTemp!E1959</f>
        <v/>
      </c>
      <c r="F1959" s="69" t="str">
        <f>TEXT(ASTemp!F1959,Decimals)</f>
        <v/>
      </c>
      <c r="G1959" s="69" t="str">
        <f>TEXT(ASTemp!G1959,Decimals)</f>
        <v/>
      </c>
      <c r="H1959" s="69" t="str">
        <f>TEXT(ASTemp!H1959,Decimals)</f>
        <v/>
      </c>
      <c r="I1959" s="69" t="str">
        <f>TEXT(ASTemp!I1959,Decimals)</f>
        <v/>
      </c>
      <c r="J1959" s="69" t="str">
        <f>TEXT(ASTemp!J1959,Decimals)</f>
        <v/>
      </c>
      <c r="K1959" s="69" t="str">
        <f>TEXT(ASTemp!K1959,Decimals)</f>
        <v/>
      </c>
      <c r="L1959" s="69" t="str">
        <f>TEXT(ASTemp!L1959,Decimals)</f>
        <v/>
      </c>
      <c r="M1959" s="71" t="str">
        <f>TEXT(ASTemp!M1959,Percentages)</f>
        <v/>
      </c>
      <c r="N1959" s="72" t="str">
        <f>TEXT(ASTemp!N1959,Percentages)</f>
        <v/>
      </c>
    </row>
    <row r="1960" ht="14.25" customHeight="1">
      <c r="B1960" s="66" t="str">
        <f>ASTemp!B1960</f>
        <v/>
      </c>
      <c r="C1960" s="67" t="str">
        <f>ASTemp!C1960</f>
        <v/>
      </c>
      <c r="D1960" s="68" t="str">
        <f>ASTemp!D1960</f>
        <v/>
      </c>
      <c r="E1960" s="65" t="str">
        <f>ASTemp!E1960</f>
        <v/>
      </c>
      <c r="F1960" s="69" t="str">
        <f>TEXT(ASTemp!F1960,Decimals)</f>
        <v/>
      </c>
      <c r="G1960" s="69" t="str">
        <f>TEXT(ASTemp!G1960,Decimals)</f>
        <v/>
      </c>
      <c r="H1960" s="69" t="str">
        <f>TEXT(ASTemp!H1960,Decimals)</f>
        <v/>
      </c>
      <c r="I1960" s="69" t="str">
        <f>TEXT(ASTemp!I1960,Decimals)</f>
        <v/>
      </c>
      <c r="J1960" s="69" t="str">
        <f>TEXT(ASTemp!J1960,Decimals)</f>
        <v/>
      </c>
      <c r="K1960" s="69" t="str">
        <f>TEXT(ASTemp!K1960,Decimals)</f>
        <v/>
      </c>
      <c r="L1960" s="69" t="str">
        <f>TEXT(ASTemp!L1960,Decimals)</f>
        <v/>
      </c>
      <c r="M1960" s="71" t="str">
        <f>TEXT(ASTemp!M1960,Percentages)</f>
        <v/>
      </c>
      <c r="N1960" s="72" t="str">
        <f>TEXT(ASTemp!N1960,Percentages)</f>
        <v/>
      </c>
    </row>
    <row r="1961" ht="14.25" customHeight="1">
      <c r="B1961" s="66" t="str">
        <f>ASTemp!B1961</f>
        <v/>
      </c>
      <c r="C1961" s="67" t="str">
        <f>ASTemp!C1961</f>
        <v/>
      </c>
      <c r="D1961" s="68" t="str">
        <f>ASTemp!D1961</f>
        <v/>
      </c>
      <c r="E1961" s="65" t="str">
        <f>ASTemp!E1961</f>
        <v/>
      </c>
      <c r="F1961" s="69" t="str">
        <f>TEXT(ASTemp!F1961,Decimals)</f>
        <v/>
      </c>
      <c r="G1961" s="69" t="str">
        <f>TEXT(ASTemp!G1961,Decimals)</f>
        <v/>
      </c>
      <c r="H1961" s="69" t="str">
        <f>TEXT(ASTemp!H1961,Decimals)</f>
        <v/>
      </c>
      <c r="I1961" s="69" t="str">
        <f>TEXT(ASTemp!I1961,Decimals)</f>
        <v/>
      </c>
      <c r="J1961" s="69" t="str">
        <f>TEXT(ASTemp!J1961,Decimals)</f>
        <v/>
      </c>
      <c r="K1961" s="69" t="str">
        <f>TEXT(ASTemp!K1961,Decimals)</f>
        <v/>
      </c>
      <c r="L1961" s="69" t="str">
        <f>TEXT(ASTemp!L1961,Decimals)</f>
        <v/>
      </c>
      <c r="M1961" s="71" t="str">
        <f>TEXT(ASTemp!M1961,Percentages)</f>
        <v/>
      </c>
      <c r="N1961" s="72" t="str">
        <f>TEXT(ASTemp!N1961,Percentages)</f>
        <v/>
      </c>
    </row>
    <row r="1962" ht="14.25" customHeight="1">
      <c r="B1962" s="66" t="str">
        <f>ASTemp!B1962</f>
        <v/>
      </c>
      <c r="C1962" s="67" t="str">
        <f>ASTemp!C1962</f>
        <v/>
      </c>
      <c r="D1962" s="68" t="str">
        <f>ASTemp!D1962</f>
        <v/>
      </c>
      <c r="E1962" s="65" t="str">
        <f>ASTemp!E1962</f>
        <v/>
      </c>
      <c r="F1962" s="69" t="str">
        <f>TEXT(ASTemp!F1962,Decimals)</f>
        <v/>
      </c>
      <c r="G1962" s="69" t="str">
        <f>TEXT(ASTemp!G1962,Decimals)</f>
        <v/>
      </c>
      <c r="H1962" s="69" t="str">
        <f>TEXT(ASTemp!H1962,Decimals)</f>
        <v/>
      </c>
      <c r="I1962" s="69" t="str">
        <f>TEXT(ASTemp!I1962,Decimals)</f>
        <v/>
      </c>
      <c r="J1962" s="69" t="str">
        <f>TEXT(ASTemp!J1962,Decimals)</f>
        <v/>
      </c>
      <c r="K1962" s="69" t="str">
        <f>TEXT(ASTemp!K1962,Decimals)</f>
        <v/>
      </c>
      <c r="L1962" s="69" t="str">
        <f>TEXT(ASTemp!L1962,Decimals)</f>
        <v/>
      </c>
      <c r="M1962" s="71" t="str">
        <f>TEXT(ASTemp!M1962,Percentages)</f>
        <v/>
      </c>
      <c r="N1962" s="72" t="str">
        <f>TEXT(ASTemp!N1962,Percentages)</f>
        <v/>
      </c>
    </row>
    <row r="1963" ht="14.25" customHeight="1">
      <c r="B1963" s="66" t="str">
        <f>ASTemp!B1963</f>
        <v/>
      </c>
      <c r="C1963" s="67" t="str">
        <f>ASTemp!C1963</f>
        <v/>
      </c>
      <c r="D1963" s="68" t="str">
        <f>ASTemp!D1963</f>
        <v/>
      </c>
      <c r="E1963" s="65" t="str">
        <f>ASTemp!E1963</f>
        <v/>
      </c>
      <c r="F1963" s="69" t="str">
        <f>TEXT(ASTemp!F1963,Decimals)</f>
        <v/>
      </c>
      <c r="G1963" s="69" t="str">
        <f>TEXT(ASTemp!G1963,Decimals)</f>
        <v/>
      </c>
      <c r="H1963" s="69" t="str">
        <f>TEXT(ASTemp!H1963,Decimals)</f>
        <v/>
      </c>
      <c r="I1963" s="69" t="str">
        <f>TEXT(ASTemp!I1963,Decimals)</f>
        <v/>
      </c>
      <c r="J1963" s="69" t="str">
        <f>TEXT(ASTemp!J1963,Decimals)</f>
        <v/>
      </c>
      <c r="K1963" s="69" t="str">
        <f>TEXT(ASTemp!K1963,Decimals)</f>
        <v/>
      </c>
      <c r="L1963" s="69" t="str">
        <f>TEXT(ASTemp!L1963,Decimals)</f>
        <v/>
      </c>
      <c r="M1963" s="71" t="str">
        <f>TEXT(ASTemp!M1963,Percentages)</f>
        <v/>
      </c>
      <c r="N1963" s="72" t="str">
        <f>TEXT(ASTemp!N1963,Percentages)</f>
        <v/>
      </c>
    </row>
    <row r="1964" ht="14.25" customHeight="1">
      <c r="B1964" s="66" t="str">
        <f>ASTemp!B1964</f>
        <v/>
      </c>
      <c r="C1964" s="67" t="str">
        <f>ASTemp!C1964</f>
        <v/>
      </c>
      <c r="D1964" s="68" t="str">
        <f>ASTemp!D1964</f>
        <v/>
      </c>
      <c r="E1964" s="65" t="str">
        <f>ASTemp!E1964</f>
        <v/>
      </c>
      <c r="F1964" s="69" t="str">
        <f>TEXT(ASTemp!F1964,Decimals)</f>
        <v/>
      </c>
      <c r="G1964" s="69" t="str">
        <f>TEXT(ASTemp!G1964,Decimals)</f>
        <v/>
      </c>
      <c r="H1964" s="69" t="str">
        <f>TEXT(ASTemp!H1964,Decimals)</f>
        <v/>
      </c>
      <c r="I1964" s="69" t="str">
        <f>TEXT(ASTemp!I1964,Decimals)</f>
        <v/>
      </c>
      <c r="J1964" s="69" t="str">
        <f>TEXT(ASTemp!J1964,Decimals)</f>
        <v/>
      </c>
      <c r="K1964" s="69" t="str">
        <f>TEXT(ASTemp!K1964,Decimals)</f>
        <v/>
      </c>
      <c r="L1964" s="69" t="str">
        <f>TEXT(ASTemp!L1964,Decimals)</f>
        <v/>
      </c>
      <c r="M1964" s="71" t="str">
        <f>TEXT(ASTemp!M1964,Percentages)</f>
        <v/>
      </c>
      <c r="N1964" s="72" t="str">
        <f>TEXT(ASTemp!N1964,Percentages)</f>
        <v/>
      </c>
    </row>
    <row r="1965" ht="14.25" customHeight="1">
      <c r="B1965" s="66" t="str">
        <f>ASTemp!B1965</f>
        <v/>
      </c>
      <c r="C1965" s="67" t="str">
        <f>ASTemp!C1965</f>
        <v/>
      </c>
      <c r="D1965" s="68" t="str">
        <f>ASTemp!D1965</f>
        <v/>
      </c>
      <c r="E1965" s="65" t="str">
        <f>ASTemp!E1965</f>
        <v/>
      </c>
      <c r="F1965" s="69" t="str">
        <f>TEXT(ASTemp!F1965,Decimals)</f>
        <v/>
      </c>
      <c r="G1965" s="69" t="str">
        <f>TEXT(ASTemp!G1965,Decimals)</f>
        <v/>
      </c>
      <c r="H1965" s="69" t="str">
        <f>TEXT(ASTemp!H1965,Decimals)</f>
        <v/>
      </c>
      <c r="I1965" s="69" t="str">
        <f>TEXT(ASTemp!I1965,Decimals)</f>
        <v/>
      </c>
      <c r="J1965" s="69" t="str">
        <f>TEXT(ASTemp!J1965,Decimals)</f>
        <v/>
      </c>
      <c r="K1965" s="69" t="str">
        <f>TEXT(ASTemp!K1965,Decimals)</f>
        <v/>
      </c>
      <c r="L1965" s="69" t="str">
        <f>TEXT(ASTemp!L1965,Decimals)</f>
        <v/>
      </c>
      <c r="M1965" s="71" t="str">
        <f>TEXT(ASTemp!M1965,Percentages)</f>
        <v/>
      </c>
      <c r="N1965" s="72" t="str">
        <f>TEXT(ASTemp!N1965,Percentages)</f>
        <v/>
      </c>
    </row>
    <row r="1966" ht="14.25" customHeight="1">
      <c r="B1966" s="66" t="str">
        <f>ASTemp!B1966</f>
        <v/>
      </c>
      <c r="C1966" s="67" t="str">
        <f>ASTemp!C1966</f>
        <v/>
      </c>
      <c r="D1966" s="68" t="str">
        <f>ASTemp!D1966</f>
        <v/>
      </c>
      <c r="E1966" s="65" t="str">
        <f>ASTemp!E1966</f>
        <v/>
      </c>
      <c r="F1966" s="69" t="str">
        <f>TEXT(ASTemp!F1966,Decimals)</f>
        <v/>
      </c>
      <c r="G1966" s="69" t="str">
        <f>TEXT(ASTemp!G1966,Decimals)</f>
        <v/>
      </c>
      <c r="H1966" s="69" t="str">
        <f>TEXT(ASTemp!H1966,Decimals)</f>
        <v/>
      </c>
      <c r="I1966" s="69" t="str">
        <f>TEXT(ASTemp!I1966,Decimals)</f>
        <v/>
      </c>
      <c r="J1966" s="69" t="str">
        <f>TEXT(ASTemp!J1966,Decimals)</f>
        <v/>
      </c>
      <c r="K1966" s="69" t="str">
        <f>TEXT(ASTemp!K1966,Decimals)</f>
        <v/>
      </c>
      <c r="L1966" s="69" t="str">
        <f>TEXT(ASTemp!L1966,Decimals)</f>
        <v/>
      </c>
      <c r="M1966" s="71" t="str">
        <f>TEXT(ASTemp!M1966,Percentages)</f>
        <v/>
      </c>
      <c r="N1966" s="72" t="str">
        <f>TEXT(ASTemp!N1966,Percentages)</f>
        <v/>
      </c>
    </row>
    <row r="1967" ht="14.25" customHeight="1">
      <c r="B1967" s="66" t="str">
        <f>ASTemp!B1967</f>
        <v/>
      </c>
      <c r="C1967" s="67" t="str">
        <f>ASTemp!C1967</f>
        <v/>
      </c>
      <c r="D1967" s="68" t="str">
        <f>ASTemp!D1967</f>
        <v/>
      </c>
      <c r="E1967" s="65" t="str">
        <f>ASTemp!E1967</f>
        <v/>
      </c>
      <c r="F1967" s="69" t="str">
        <f>TEXT(ASTemp!F1967,Decimals)</f>
        <v/>
      </c>
      <c r="G1967" s="69" t="str">
        <f>TEXT(ASTemp!G1967,Decimals)</f>
        <v/>
      </c>
      <c r="H1967" s="69" t="str">
        <f>TEXT(ASTemp!H1967,Decimals)</f>
        <v/>
      </c>
      <c r="I1967" s="69" t="str">
        <f>TEXT(ASTemp!I1967,Decimals)</f>
        <v/>
      </c>
      <c r="J1967" s="69" t="str">
        <f>TEXT(ASTemp!J1967,Decimals)</f>
        <v/>
      </c>
      <c r="K1967" s="69" t="str">
        <f>TEXT(ASTemp!K1967,Decimals)</f>
        <v/>
      </c>
      <c r="L1967" s="69" t="str">
        <f>TEXT(ASTemp!L1967,Decimals)</f>
        <v/>
      </c>
      <c r="M1967" s="71" t="str">
        <f>TEXT(ASTemp!M1967,Percentages)</f>
        <v/>
      </c>
      <c r="N1967" s="72" t="str">
        <f>TEXT(ASTemp!N1967,Percentages)</f>
        <v/>
      </c>
    </row>
    <row r="1968" ht="14.25" customHeight="1">
      <c r="B1968" s="66" t="str">
        <f>ASTemp!B1968</f>
        <v/>
      </c>
      <c r="C1968" s="67" t="str">
        <f>ASTemp!C1968</f>
        <v/>
      </c>
      <c r="D1968" s="68" t="str">
        <f>ASTemp!D1968</f>
        <v/>
      </c>
      <c r="E1968" s="65" t="str">
        <f>ASTemp!E1968</f>
        <v/>
      </c>
      <c r="F1968" s="69" t="str">
        <f>TEXT(ASTemp!F1968,Decimals)</f>
        <v/>
      </c>
      <c r="G1968" s="69" t="str">
        <f>TEXT(ASTemp!G1968,Decimals)</f>
        <v/>
      </c>
      <c r="H1968" s="69" t="str">
        <f>TEXT(ASTemp!H1968,Decimals)</f>
        <v/>
      </c>
      <c r="I1968" s="69" t="str">
        <f>TEXT(ASTemp!I1968,Decimals)</f>
        <v/>
      </c>
      <c r="J1968" s="69" t="str">
        <f>TEXT(ASTemp!J1968,Decimals)</f>
        <v/>
      </c>
      <c r="K1968" s="69" t="str">
        <f>TEXT(ASTemp!K1968,Decimals)</f>
        <v/>
      </c>
      <c r="L1968" s="69" t="str">
        <f>TEXT(ASTemp!L1968,Decimals)</f>
        <v/>
      </c>
      <c r="M1968" s="71" t="str">
        <f>TEXT(ASTemp!M1968,Percentages)</f>
        <v/>
      </c>
      <c r="N1968" s="72" t="str">
        <f>TEXT(ASTemp!N1968,Percentages)</f>
        <v/>
      </c>
    </row>
    <row r="1969" ht="14.25" customHeight="1">
      <c r="B1969" s="66" t="str">
        <f>ASTemp!B1969</f>
        <v/>
      </c>
      <c r="C1969" s="67" t="str">
        <f>ASTemp!C1969</f>
        <v/>
      </c>
      <c r="D1969" s="68" t="str">
        <f>ASTemp!D1969</f>
        <v/>
      </c>
      <c r="E1969" s="65" t="str">
        <f>ASTemp!E1969</f>
        <v/>
      </c>
      <c r="F1969" s="69" t="str">
        <f>TEXT(ASTemp!F1969,Decimals)</f>
        <v/>
      </c>
      <c r="G1969" s="69" t="str">
        <f>TEXT(ASTemp!G1969,Decimals)</f>
        <v/>
      </c>
      <c r="H1969" s="69" t="str">
        <f>TEXT(ASTemp!H1969,Decimals)</f>
        <v/>
      </c>
      <c r="I1969" s="69" t="str">
        <f>TEXT(ASTemp!I1969,Decimals)</f>
        <v/>
      </c>
      <c r="J1969" s="69" t="str">
        <f>TEXT(ASTemp!J1969,Decimals)</f>
        <v/>
      </c>
      <c r="K1969" s="69" t="str">
        <f>TEXT(ASTemp!K1969,Decimals)</f>
        <v/>
      </c>
      <c r="L1969" s="69" t="str">
        <f>TEXT(ASTemp!L1969,Decimals)</f>
        <v/>
      </c>
      <c r="M1969" s="71" t="str">
        <f>TEXT(ASTemp!M1969,Percentages)</f>
        <v/>
      </c>
      <c r="N1969" s="72" t="str">
        <f>TEXT(ASTemp!N1969,Percentages)</f>
        <v/>
      </c>
    </row>
    <row r="1970" ht="14.25" customHeight="1">
      <c r="B1970" s="66" t="str">
        <f>ASTemp!B1970</f>
        <v/>
      </c>
      <c r="C1970" s="67" t="str">
        <f>ASTemp!C1970</f>
        <v/>
      </c>
      <c r="D1970" s="68" t="str">
        <f>ASTemp!D1970</f>
        <v/>
      </c>
      <c r="E1970" s="65" t="str">
        <f>ASTemp!E1970</f>
        <v/>
      </c>
      <c r="F1970" s="69" t="str">
        <f>TEXT(ASTemp!F1970,Decimals)</f>
        <v/>
      </c>
      <c r="G1970" s="69" t="str">
        <f>TEXT(ASTemp!G1970,Decimals)</f>
        <v/>
      </c>
      <c r="H1970" s="69" t="str">
        <f>TEXT(ASTemp!H1970,Decimals)</f>
        <v/>
      </c>
      <c r="I1970" s="69" t="str">
        <f>TEXT(ASTemp!I1970,Decimals)</f>
        <v/>
      </c>
      <c r="J1970" s="69" t="str">
        <f>TEXT(ASTemp!J1970,Decimals)</f>
        <v/>
      </c>
      <c r="K1970" s="69" t="str">
        <f>TEXT(ASTemp!K1970,Decimals)</f>
        <v/>
      </c>
      <c r="L1970" s="69" t="str">
        <f>TEXT(ASTemp!L1970,Decimals)</f>
        <v/>
      </c>
      <c r="M1970" s="71" t="str">
        <f>TEXT(ASTemp!M1970,Percentages)</f>
        <v/>
      </c>
      <c r="N1970" s="72" t="str">
        <f>TEXT(ASTemp!N1970,Percentages)</f>
        <v/>
      </c>
    </row>
    <row r="1971" ht="14.25" customHeight="1">
      <c r="B1971" s="66" t="str">
        <f>ASTemp!B1971</f>
        <v/>
      </c>
      <c r="C1971" s="67" t="str">
        <f>ASTemp!C1971</f>
        <v/>
      </c>
      <c r="D1971" s="68" t="str">
        <f>ASTemp!D1971</f>
        <v/>
      </c>
      <c r="E1971" s="65" t="str">
        <f>ASTemp!E1971</f>
        <v/>
      </c>
      <c r="F1971" s="69" t="str">
        <f>TEXT(ASTemp!F1971,Decimals)</f>
        <v/>
      </c>
      <c r="G1971" s="69" t="str">
        <f>TEXT(ASTemp!G1971,Decimals)</f>
        <v/>
      </c>
      <c r="H1971" s="69" t="str">
        <f>TEXT(ASTemp!H1971,Decimals)</f>
        <v/>
      </c>
      <c r="I1971" s="69" t="str">
        <f>TEXT(ASTemp!I1971,Decimals)</f>
        <v/>
      </c>
      <c r="J1971" s="69" t="str">
        <f>TEXT(ASTemp!J1971,Decimals)</f>
        <v/>
      </c>
      <c r="K1971" s="69" t="str">
        <f>TEXT(ASTemp!K1971,Decimals)</f>
        <v/>
      </c>
      <c r="L1971" s="69" t="str">
        <f>TEXT(ASTemp!L1971,Decimals)</f>
        <v/>
      </c>
      <c r="M1971" s="71" t="str">
        <f>TEXT(ASTemp!M1971,Percentages)</f>
        <v/>
      </c>
      <c r="N1971" s="72" t="str">
        <f>TEXT(ASTemp!N1971,Percentages)</f>
        <v/>
      </c>
    </row>
    <row r="1972" ht="14.25" customHeight="1">
      <c r="B1972" s="66" t="str">
        <f>ASTemp!B1972</f>
        <v/>
      </c>
      <c r="C1972" s="67" t="str">
        <f>ASTemp!C1972</f>
        <v/>
      </c>
      <c r="D1972" s="68" t="str">
        <f>ASTemp!D1972</f>
        <v/>
      </c>
      <c r="E1972" s="65" t="str">
        <f>ASTemp!E1972</f>
        <v/>
      </c>
      <c r="F1972" s="69" t="str">
        <f>TEXT(ASTemp!F1972,Decimals)</f>
        <v/>
      </c>
      <c r="G1972" s="69" t="str">
        <f>TEXT(ASTemp!G1972,Decimals)</f>
        <v/>
      </c>
      <c r="H1972" s="69" t="str">
        <f>TEXT(ASTemp!H1972,Decimals)</f>
        <v/>
      </c>
      <c r="I1972" s="69" t="str">
        <f>TEXT(ASTemp!I1972,Decimals)</f>
        <v/>
      </c>
      <c r="J1972" s="69" t="str">
        <f>TEXT(ASTemp!J1972,Decimals)</f>
        <v/>
      </c>
      <c r="K1972" s="69" t="str">
        <f>TEXT(ASTemp!K1972,Decimals)</f>
        <v/>
      </c>
      <c r="L1972" s="69" t="str">
        <f>TEXT(ASTemp!L1972,Decimals)</f>
        <v/>
      </c>
      <c r="M1972" s="71" t="str">
        <f>TEXT(ASTemp!M1972,Percentages)</f>
        <v/>
      </c>
      <c r="N1972" s="72" t="str">
        <f>TEXT(ASTemp!N1972,Percentages)</f>
        <v/>
      </c>
    </row>
    <row r="1973" ht="14.25" customHeight="1">
      <c r="B1973" s="66" t="str">
        <f>ASTemp!B1973</f>
        <v/>
      </c>
      <c r="C1973" s="67" t="str">
        <f>ASTemp!C1973</f>
        <v/>
      </c>
      <c r="D1973" s="68" t="str">
        <f>ASTemp!D1973</f>
        <v/>
      </c>
      <c r="E1973" s="65" t="str">
        <f>ASTemp!E1973</f>
        <v/>
      </c>
      <c r="F1973" s="69" t="str">
        <f>TEXT(ASTemp!F1973,Decimals)</f>
        <v/>
      </c>
      <c r="G1973" s="69" t="str">
        <f>TEXT(ASTemp!G1973,Decimals)</f>
        <v/>
      </c>
      <c r="H1973" s="69" t="str">
        <f>TEXT(ASTemp!H1973,Decimals)</f>
        <v/>
      </c>
      <c r="I1973" s="69" t="str">
        <f>TEXT(ASTemp!I1973,Decimals)</f>
        <v/>
      </c>
      <c r="J1973" s="69" t="str">
        <f>TEXT(ASTemp!J1973,Decimals)</f>
        <v/>
      </c>
      <c r="K1973" s="69" t="str">
        <f>TEXT(ASTemp!K1973,Decimals)</f>
        <v/>
      </c>
      <c r="L1973" s="69" t="str">
        <f>TEXT(ASTemp!L1973,Decimals)</f>
        <v/>
      </c>
      <c r="M1973" s="71" t="str">
        <f>TEXT(ASTemp!M1973,Percentages)</f>
        <v/>
      </c>
      <c r="N1973" s="72" t="str">
        <f>TEXT(ASTemp!N1973,Percentages)</f>
        <v/>
      </c>
    </row>
    <row r="1974" ht="14.25" customHeight="1">
      <c r="B1974" s="66" t="str">
        <f>ASTemp!B1974</f>
        <v/>
      </c>
      <c r="C1974" s="67" t="str">
        <f>ASTemp!C1974</f>
        <v/>
      </c>
      <c r="D1974" s="68" t="str">
        <f>ASTemp!D1974</f>
        <v/>
      </c>
      <c r="E1974" s="65" t="str">
        <f>ASTemp!E1974</f>
        <v/>
      </c>
      <c r="F1974" s="69" t="str">
        <f>TEXT(ASTemp!F1974,Decimals)</f>
        <v/>
      </c>
      <c r="G1974" s="69" t="str">
        <f>TEXT(ASTemp!G1974,Decimals)</f>
        <v/>
      </c>
      <c r="H1974" s="69" t="str">
        <f>TEXT(ASTemp!H1974,Decimals)</f>
        <v/>
      </c>
      <c r="I1974" s="69" t="str">
        <f>TEXT(ASTemp!I1974,Decimals)</f>
        <v/>
      </c>
      <c r="J1974" s="69" t="str">
        <f>TEXT(ASTemp!J1974,Decimals)</f>
        <v/>
      </c>
      <c r="K1974" s="69" t="str">
        <f>TEXT(ASTemp!K1974,Decimals)</f>
        <v/>
      </c>
      <c r="L1974" s="69" t="str">
        <f>TEXT(ASTemp!L1974,Decimals)</f>
        <v/>
      </c>
      <c r="M1974" s="71" t="str">
        <f>TEXT(ASTemp!M1974,Percentages)</f>
        <v/>
      </c>
      <c r="N1974" s="72" t="str">
        <f>TEXT(ASTemp!N1974,Percentages)</f>
        <v/>
      </c>
    </row>
    <row r="1975" ht="14.25" customHeight="1">
      <c r="B1975" s="66" t="str">
        <f>ASTemp!B1975</f>
        <v/>
      </c>
      <c r="C1975" s="67" t="str">
        <f>ASTemp!C1975</f>
        <v/>
      </c>
      <c r="D1975" s="68" t="str">
        <f>ASTemp!D1975</f>
        <v/>
      </c>
      <c r="E1975" s="65" t="str">
        <f>ASTemp!E1975</f>
        <v/>
      </c>
      <c r="F1975" s="69" t="str">
        <f>TEXT(ASTemp!F1975,Decimals)</f>
        <v/>
      </c>
      <c r="G1975" s="69" t="str">
        <f>TEXT(ASTemp!G1975,Decimals)</f>
        <v/>
      </c>
      <c r="H1975" s="69" t="str">
        <f>TEXT(ASTemp!H1975,Decimals)</f>
        <v/>
      </c>
      <c r="I1975" s="69" t="str">
        <f>TEXT(ASTemp!I1975,Decimals)</f>
        <v/>
      </c>
      <c r="J1975" s="69" t="str">
        <f>TEXT(ASTemp!J1975,Decimals)</f>
        <v/>
      </c>
      <c r="K1975" s="69" t="str">
        <f>TEXT(ASTemp!K1975,Decimals)</f>
        <v/>
      </c>
      <c r="L1975" s="69" t="str">
        <f>TEXT(ASTemp!L1975,Decimals)</f>
        <v/>
      </c>
      <c r="M1975" s="71" t="str">
        <f>TEXT(ASTemp!M1975,Percentages)</f>
        <v/>
      </c>
      <c r="N1975" s="72" t="str">
        <f>TEXT(ASTemp!N1975,Percentages)</f>
        <v/>
      </c>
    </row>
    <row r="1976" ht="14.25" customHeight="1">
      <c r="B1976" s="66" t="str">
        <f>ASTemp!B1976</f>
        <v/>
      </c>
      <c r="C1976" s="67" t="str">
        <f>ASTemp!C1976</f>
        <v/>
      </c>
      <c r="D1976" s="68" t="str">
        <f>ASTemp!D1976</f>
        <v/>
      </c>
      <c r="E1976" s="65" t="str">
        <f>ASTemp!E1976</f>
        <v/>
      </c>
      <c r="F1976" s="69" t="str">
        <f>TEXT(ASTemp!F1976,Decimals)</f>
        <v/>
      </c>
      <c r="G1976" s="69" t="str">
        <f>TEXT(ASTemp!G1976,Decimals)</f>
        <v/>
      </c>
      <c r="H1976" s="69" t="str">
        <f>TEXT(ASTemp!H1976,Decimals)</f>
        <v/>
      </c>
      <c r="I1976" s="69" t="str">
        <f>TEXT(ASTemp!I1976,Decimals)</f>
        <v/>
      </c>
      <c r="J1976" s="69" t="str">
        <f>TEXT(ASTemp!J1976,Decimals)</f>
        <v/>
      </c>
      <c r="K1976" s="69" t="str">
        <f>TEXT(ASTemp!K1976,Decimals)</f>
        <v/>
      </c>
      <c r="L1976" s="69" t="str">
        <f>TEXT(ASTemp!L1976,Decimals)</f>
        <v/>
      </c>
      <c r="M1976" s="71" t="str">
        <f>TEXT(ASTemp!M1976,Percentages)</f>
        <v/>
      </c>
      <c r="N1976" s="72" t="str">
        <f>TEXT(ASTemp!N1976,Percentages)</f>
        <v/>
      </c>
    </row>
    <row r="1977" ht="14.25" customHeight="1">
      <c r="B1977" s="66" t="str">
        <f>ASTemp!B1977</f>
        <v/>
      </c>
      <c r="C1977" s="67" t="str">
        <f>ASTemp!C1977</f>
        <v/>
      </c>
      <c r="D1977" s="68" t="str">
        <f>ASTemp!D1977</f>
        <v/>
      </c>
      <c r="E1977" s="65" t="str">
        <f>ASTemp!E1977</f>
        <v/>
      </c>
      <c r="F1977" s="69" t="str">
        <f>TEXT(ASTemp!F1977,Decimals)</f>
        <v/>
      </c>
      <c r="G1977" s="69" t="str">
        <f>TEXT(ASTemp!G1977,Decimals)</f>
        <v/>
      </c>
      <c r="H1977" s="69" t="str">
        <f>TEXT(ASTemp!H1977,Decimals)</f>
        <v/>
      </c>
      <c r="I1977" s="69" t="str">
        <f>TEXT(ASTemp!I1977,Decimals)</f>
        <v/>
      </c>
      <c r="J1977" s="69" t="str">
        <f>TEXT(ASTemp!J1977,Decimals)</f>
        <v/>
      </c>
      <c r="K1977" s="69" t="str">
        <f>TEXT(ASTemp!K1977,Decimals)</f>
        <v/>
      </c>
      <c r="L1977" s="69" t="str">
        <f>TEXT(ASTemp!L1977,Decimals)</f>
        <v/>
      </c>
      <c r="M1977" s="71" t="str">
        <f>TEXT(ASTemp!M1977,Percentages)</f>
        <v/>
      </c>
      <c r="N1977" s="72" t="str">
        <f>TEXT(ASTemp!N1977,Percentages)</f>
        <v/>
      </c>
    </row>
    <row r="1978" ht="14.25" customHeight="1">
      <c r="B1978" s="66" t="str">
        <f>ASTemp!B1978</f>
        <v/>
      </c>
      <c r="C1978" s="67" t="str">
        <f>ASTemp!C1978</f>
        <v/>
      </c>
      <c r="D1978" s="68" t="str">
        <f>ASTemp!D1978</f>
        <v/>
      </c>
      <c r="E1978" s="65" t="str">
        <f>ASTemp!E1978</f>
        <v/>
      </c>
      <c r="F1978" s="69" t="str">
        <f>TEXT(ASTemp!F1978,Decimals)</f>
        <v/>
      </c>
      <c r="G1978" s="69" t="str">
        <f>TEXT(ASTemp!G1978,Decimals)</f>
        <v/>
      </c>
      <c r="H1978" s="69" t="str">
        <f>TEXT(ASTemp!H1978,Decimals)</f>
        <v/>
      </c>
      <c r="I1978" s="69" t="str">
        <f>TEXT(ASTemp!I1978,Decimals)</f>
        <v/>
      </c>
      <c r="J1978" s="69" t="str">
        <f>TEXT(ASTemp!J1978,Decimals)</f>
        <v/>
      </c>
      <c r="K1978" s="69" t="str">
        <f>TEXT(ASTemp!K1978,Decimals)</f>
        <v/>
      </c>
      <c r="L1978" s="69" t="str">
        <f>TEXT(ASTemp!L1978,Decimals)</f>
        <v/>
      </c>
      <c r="M1978" s="71" t="str">
        <f>TEXT(ASTemp!M1978,Percentages)</f>
        <v/>
      </c>
      <c r="N1978" s="72" t="str">
        <f>TEXT(ASTemp!N1978,Percentages)</f>
        <v/>
      </c>
    </row>
    <row r="1979" ht="14.25" customHeight="1">
      <c r="B1979" s="66" t="str">
        <f>ASTemp!B1979</f>
        <v/>
      </c>
      <c r="C1979" s="67" t="str">
        <f>ASTemp!C1979</f>
        <v/>
      </c>
      <c r="D1979" s="68" t="str">
        <f>ASTemp!D1979</f>
        <v/>
      </c>
      <c r="E1979" s="65" t="str">
        <f>ASTemp!E1979</f>
        <v/>
      </c>
      <c r="F1979" s="69" t="str">
        <f>TEXT(ASTemp!F1979,Decimals)</f>
        <v/>
      </c>
      <c r="G1979" s="69" t="str">
        <f>TEXT(ASTemp!G1979,Decimals)</f>
        <v/>
      </c>
      <c r="H1979" s="69" t="str">
        <f>TEXT(ASTemp!H1979,Decimals)</f>
        <v/>
      </c>
      <c r="I1979" s="69" t="str">
        <f>TEXT(ASTemp!I1979,Decimals)</f>
        <v/>
      </c>
      <c r="J1979" s="69" t="str">
        <f>TEXT(ASTemp!J1979,Decimals)</f>
        <v/>
      </c>
      <c r="K1979" s="69" t="str">
        <f>TEXT(ASTemp!K1979,Decimals)</f>
        <v/>
      </c>
      <c r="L1979" s="69" t="str">
        <f>TEXT(ASTemp!L1979,Decimals)</f>
        <v/>
      </c>
      <c r="M1979" s="71" t="str">
        <f>TEXT(ASTemp!M1979,Percentages)</f>
        <v/>
      </c>
      <c r="N1979" s="72" t="str">
        <f>TEXT(ASTemp!N1979,Percentages)</f>
        <v/>
      </c>
    </row>
    <row r="1980" ht="14.25" customHeight="1">
      <c r="B1980" s="66" t="str">
        <f>ASTemp!B1980</f>
        <v/>
      </c>
      <c r="C1980" s="67" t="str">
        <f>ASTemp!C1980</f>
        <v/>
      </c>
      <c r="D1980" s="68" t="str">
        <f>ASTemp!D1980</f>
        <v/>
      </c>
      <c r="E1980" s="65" t="str">
        <f>ASTemp!E1980</f>
        <v/>
      </c>
      <c r="F1980" s="69" t="str">
        <f>TEXT(ASTemp!F1980,Decimals)</f>
        <v/>
      </c>
      <c r="G1980" s="69" t="str">
        <f>TEXT(ASTemp!G1980,Decimals)</f>
        <v/>
      </c>
      <c r="H1980" s="69" t="str">
        <f>TEXT(ASTemp!H1980,Decimals)</f>
        <v/>
      </c>
      <c r="I1980" s="69" t="str">
        <f>TEXT(ASTemp!I1980,Decimals)</f>
        <v/>
      </c>
      <c r="J1980" s="69" t="str">
        <f>TEXT(ASTemp!J1980,Decimals)</f>
        <v/>
      </c>
      <c r="K1980" s="69" t="str">
        <f>TEXT(ASTemp!K1980,Decimals)</f>
        <v/>
      </c>
      <c r="L1980" s="69" t="str">
        <f>TEXT(ASTemp!L1980,Decimals)</f>
        <v/>
      </c>
      <c r="M1980" s="71" t="str">
        <f>TEXT(ASTemp!M1980,Percentages)</f>
        <v/>
      </c>
      <c r="N1980" s="72" t="str">
        <f>TEXT(ASTemp!N1980,Percentages)</f>
        <v/>
      </c>
    </row>
    <row r="1981" ht="14.25" customHeight="1">
      <c r="B1981" s="66" t="str">
        <f>ASTemp!B1981</f>
        <v/>
      </c>
      <c r="C1981" s="67" t="str">
        <f>ASTemp!C1981</f>
        <v/>
      </c>
      <c r="D1981" s="68" t="str">
        <f>ASTemp!D1981</f>
        <v/>
      </c>
      <c r="E1981" s="65" t="str">
        <f>ASTemp!E1981</f>
        <v/>
      </c>
      <c r="F1981" s="69" t="str">
        <f>TEXT(ASTemp!F1981,Decimals)</f>
        <v/>
      </c>
      <c r="G1981" s="69" t="str">
        <f>TEXT(ASTemp!G1981,Decimals)</f>
        <v/>
      </c>
      <c r="H1981" s="69" t="str">
        <f>TEXT(ASTemp!H1981,Decimals)</f>
        <v/>
      </c>
      <c r="I1981" s="69" t="str">
        <f>TEXT(ASTemp!I1981,Decimals)</f>
        <v/>
      </c>
      <c r="J1981" s="69" t="str">
        <f>TEXT(ASTemp!J1981,Decimals)</f>
        <v/>
      </c>
      <c r="K1981" s="69" t="str">
        <f>TEXT(ASTemp!K1981,Decimals)</f>
        <v/>
      </c>
      <c r="L1981" s="69" t="str">
        <f>TEXT(ASTemp!L1981,Decimals)</f>
        <v/>
      </c>
      <c r="M1981" s="71" t="str">
        <f>TEXT(ASTemp!M1981,Percentages)</f>
        <v/>
      </c>
      <c r="N1981" s="72" t="str">
        <f>TEXT(ASTemp!N1981,Percentages)</f>
        <v/>
      </c>
    </row>
    <row r="1982" ht="14.25" customHeight="1">
      <c r="B1982" s="66" t="str">
        <f>ASTemp!B1982</f>
        <v/>
      </c>
      <c r="C1982" s="67" t="str">
        <f>ASTemp!C1982</f>
        <v/>
      </c>
      <c r="D1982" s="68" t="str">
        <f>ASTemp!D1982</f>
        <v/>
      </c>
      <c r="E1982" s="65" t="str">
        <f>ASTemp!E1982</f>
        <v/>
      </c>
      <c r="F1982" s="69" t="str">
        <f>TEXT(ASTemp!F1982,Decimals)</f>
        <v/>
      </c>
      <c r="G1982" s="69" t="str">
        <f>TEXT(ASTemp!G1982,Decimals)</f>
        <v/>
      </c>
      <c r="H1982" s="69" t="str">
        <f>TEXT(ASTemp!H1982,Decimals)</f>
        <v/>
      </c>
      <c r="I1982" s="69" t="str">
        <f>TEXT(ASTemp!I1982,Decimals)</f>
        <v/>
      </c>
      <c r="J1982" s="69" t="str">
        <f>TEXT(ASTemp!J1982,Decimals)</f>
        <v/>
      </c>
      <c r="K1982" s="69" t="str">
        <f>TEXT(ASTemp!K1982,Decimals)</f>
        <v/>
      </c>
      <c r="L1982" s="69" t="str">
        <f>TEXT(ASTemp!L1982,Decimals)</f>
        <v/>
      </c>
      <c r="M1982" s="71" t="str">
        <f>TEXT(ASTemp!M1982,Percentages)</f>
        <v/>
      </c>
      <c r="N1982" s="72" t="str">
        <f>TEXT(ASTemp!N1982,Percentages)</f>
        <v/>
      </c>
    </row>
    <row r="1983" ht="14.25" customHeight="1">
      <c r="B1983" s="66" t="str">
        <f>ASTemp!B1983</f>
        <v/>
      </c>
      <c r="C1983" s="67" t="str">
        <f>ASTemp!C1983</f>
        <v/>
      </c>
      <c r="D1983" s="68" t="str">
        <f>ASTemp!D1983</f>
        <v/>
      </c>
      <c r="E1983" s="65" t="str">
        <f>ASTemp!E1983</f>
        <v/>
      </c>
      <c r="F1983" s="69" t="str">
        <f>TEXT(ASTemp!F1983,Decimals)</f>
        <v/>
      </c>
      <c r="G1983" s="69" t="str">
        <f>TEXT(ASTemp!G1983,Decimals)</f>
        <v/>
      </c>
      <c r="H1983" s="69" t="str">
        <f>TEXT(ASTemp!H1983,Decimals)</f>
        <v/>
      </c>
      <c r="I1983" s="69" t="str">
        <f>TEXT(ASTemp!I1983,Decimals)</f>
        <v/>
      </c>
      <c r="J1983" s="69" t="str">
        <f>TEXT(ASTemp!J1983,Decimals)</f>
        <v/>
      </c>
      <c r="K1983" s="69" t="str">
        <f>TEXT(ASTemp!K1983,Decimals)</f>
        <v/>
      </c>
      <c r="L1983" s="69" t="str">
        <f>TEXT(ASTemp!L1983,Decimals)</f>
        <v/>
      </c>
      <c r="M1983" s="71" t="str">
        <f>TEXT(ASTemp!M1983,Percentages)</f>
        <v/>
      </c>
      <c r="N1983" s="72" t="str">
        <f>TEXT(ASTemp!N1983,Percentages)</f>
        <v/>
      </c>
    </row>
    <row r="1984" ht="14.25" customHeight="1">
      <c r="B1984" s="66" t="str">
        <f>ASTemp!B1984</f>
        <v/>
      </c>
      <c r="C1984" s="67" t="str">
        <f>ASTemp!C1984</f>
        <v/>
      </c>
      <c r="D1984" s="68" t="str">
        <f>ASTemp!D1984</f>
        <v/>
      </c>
      <c r="E1984" s="65" t="str">
        <f>ASTemp!E1984</f>
        <v/>
      </c>
      <c r="F1984" s="69" t="str">
        <f>TEXT(ASTemp!F1984,Decimals)</f>
        <v/>
      </c>
      <c r="G1984" s="69" t="str">
        <f>TEXT(ASTemp!G1984,Decimals)</f>
        <v/>
      </c>
      <c r="H1984" s="69" t="str">
        <f>TEXT(ASTemp!H1984,Decimals)</f>
        <v/>
      </c>
      <c r="I1984" s="69" t="str">
        <f>TEXT(ASTemp!I1984,Decimals)</f>
        <v/>
      </c>
      <c r="J1984" s="69" t="str">
        <f>TEXT(ASTemp!J1984,Decimals)</f>
        <v/>
      </c>
      <c r="K1984" s="69" t="str">
        <f>TEXT(ASTemp!K1984,Decimals)</f>
        <v/>
      </c>
      <c r="L1984" s="69" t="str">
        <f>TEXT(ASTemp!L1984,Decimals)</f>
        <v/>
      </c>
      <c r="M1984" s="71" t="str">
        <f>TEXT(ASTemp!M1984,Percentages)</f>
        <v/>
      </c>
      <c r="N1984" s="72" t="str">
        <f>TEXT(ASTemp!N1984,Percentages)</f>
        <v/>
      </c>
    </row>
    <row r="1985" ht="14.25" customHeight="1">
      <c r="B1985" s="66" t="str">
        <f>ASTemp!B1985</f>
        <v/>
      </c>
      <c r="C1985" s="67" t="str">
        <f>ASTemp!C1985</f>
        <v/>
      </c>
      <c r="D1985" s="68" t="str">
        <f>ASTemp!D1985</f>
        <v/>
      </c>
      <c r="E1985" s="65" t="str">
        <f>ASTemp!E1985</f>
        <v/>
      </c>
      <c r="F1985" s="69" t="str">
        <f>TEXT(ASTemp!F1985,Decimals)</f>
        <v/>
      </c>
      <c r="G1985" s="69" t="str">
        <f>TEXT(ASTemp!G1985,Decimals)</f>
        <v/>
      </c>
      <c r="H1985" s="69" t="str">
        <f>TEXT(ASTemp!H1985,Decimals)</f>
        <v/>
      </c>
      <c r="I1985" s="69" t="str">
        <f>TEXT(ASTemp!I1985,Decimals)</f>
        <v/>
      </c>
      <c r="J1985" s="69" t="str">
        <f>TEXT(ASTemp!J1985,Decimals)</f>
        <v/>
      </c>
      <c r="K1985" s="69" t="str">
        <f>TEXT(ASTemp!K1985,Decimals)</f>
        <v/>
      </c>
      <c r="L1985" s="69" t="str">
        <f>TEXT(ASTemp!L1985,Decimals)</f>
        <v/>
      </c>
      <c r="M1985" s="71" t="str">
        <f>TEXT(ASTemp!M1985,Percentages)</f>
        <v/>
      </c>
      <c r="N1985" s="72" t="str">
        <f>TEXT(ASTemp!N1985,Percentages)</f>
        <v/>
      </c>
    </row>
    <row r="1986" ht="14.25" customHeight="1">
      <c r="B1986" s="66" t="str">
        <f>ASTemp!B1986</f>
        <v/>
      </c>
      <c r="C1986" s="67" t="str">
        <f>ASTemp!C1986</f>
        <v/>
      </c>
      <c r="D1986" s="68" t="str">
        <f>ASTemp!D1986</f>
        <v/>
      </c>
      <c r="E1986" s="65" t="str">
        <f>ASTemp!E1986</f>
        <v/>
      </c>
      <c r="F1986" s="69" t="str">
        <f>TEXT(ASTemp!F1986,Decimals)</f>
        <v/>
      </c>
      <c r="G1986" s="69" t="str">
        <f>TEXT(ASTemp!G1986,Decimals)</f>
        <v/>
      </c>
      <c r="H1986" s="69" t="str">
        <f>TEXT(ASTemp!H1986,Decimals)</f>
        <v/>
      </c>
      <c r="I1986" s="69" t="str">
        <f>TEXT(ASTemp!I1986,Decimals)</f>
        <v/>
      </c>
      <c r="J1986" s="69" t="str">
        <f>TEXT(ASTemp!J1986,Decimals)</f>
        <v/>
      </c>
      <c r="K1986" s="69" t="str">
        <f>TEXT(ASTemp!K1986,Decimals)</f>
        <v/>
      </c>
      <c r="L1986" s="69" t="str">
        <f>TEXT(ASTemp!L1986,Decimals)</f>
        <v/>
      </c>
      <c r="M1986" s="71" t="str">
        <f>TEXT(ASTemp!M1986,Percentages)</f>
        <v/>
      </c>
      <c r="N1986" s="72" t="str">
        <f>TEXT(ASTemp!N1986,Percentages)</f>
        <v/>
      </c>
    </row>
    <row r="1987" ht="14.25" customHeight="1">
      <c r="B1987" s="66" t="str">
        <f>ASTemp!B1987</f>
        <v/>
      </c>
      <c r="C1987" s="67" t="str">
        <f>ASTemp!C1987</f>
        <v/>
      </c>
      <c r="D1987" s="68" t="str">
        <f>ASTemp!D1987</f>
        <v/>
      </c>
      <c r="E1987" s="65" t="str">
        <f>ASTemp!E1987</f>
        <v/>
      </c>
      <c r="F1987" s="69" t="str">
        <f>TEXT(ASTemp!F1987,Decimals)</f>
        <v/>
      </c>
      <c r="G1987" s="69" t="str">
        <f>TEXT(ASTemp!G1987,Decimals)</f>
        <v/>
      </c>
      <c r="H1987" s="69" t="str">
        <f>TEXT(ASTemp!H1987,Decimals)</f>
        <v/>
      </c>
      <c r="I1987" s="69" t="str">
        <f>TEXT(ASTemp!I1987,Decimals)</f>
        <v/>
      </c>
      <c r="J1987" s="69" t="str">
        <f>TEXT(ASTemp!J1987,Decimals)</f>
        <v/>
      </c>
      <c r="K1987" s="69" t="str">
        <f>TEXT(ASTemp!K1987,Decimals)</f>
        <v/>
      </c>
      <c r="L1987" s="69" t="str">
        <f>TEXT(ASTemp!L1987,Decimals)</f>
        <v/>
      </c>
      <c r="M1987" s="71" t="str">
        <f>TEXT(ASTemp!M1987,Percentages)</f>
        <v/>
      </c>
      <c r="N1987" s="72" t="str">
        <f>TEXT(ASTemp!N1987,Percentages)</f>
        <v/>
      </c>
    </row>
    <row r="1988" ht="14.25" customHeight="1">
      <c r="B1988" s="66" t="str">
        <f>ASTemp!B1988</f>
        <v/>
      </c>
      <c r="C1988" s="67" t="str">
        <f>ASTemp!C1988</f>
        <v/>
      </c>
      <c r="D1988" s="68" t="str">
        <f>ASTemp!D1988</f>
        <v/>
      </c>
      <c r="E1988" s="65" t="str">
        <f>ASTemp!E1988</f>
        <v/>
      </c>
      <c r="F1988" s="69" t="str">
        <f>TEXT(ASTemp!F1988,Decimals)</f>
        <v/>
      </c>
      <c r="G1988" s="69" t="str">
        <f>TEXT(ASTemp!G1988,Decimals)</f>
        <v/>
      </c>
      <c r="H1988" s="69" t="str">
        <f>TEXT(ASTemp!H1988,Decimals)</f>
        <v/>
      </c>
      <c r="I1988" s="69" t="str">
        <f>TEXT(ASTemp!I1988,Decimals)</f>
        <v/>
      </c>
      <c r="J1988" s="69" t="str">
        <f>TEXT(ASTemp!J1988,Decimals)</f>
        <v/>
      </c>
      <c r="K1988" s="69" t="str">
        <f>TEXT(ASTemp!K1988,Decimals)</f>
        <v/>
      </c>
      <c r="L1988" s="69" t="str">
        <f>TEXT(ASTemp!L1988,Decimals)</f>
        <v/>
      </c>
      <c r="M1988" s="71" t="str">
        <f>TEXT(ASTemp!M1988,Percentages)</f>
        <v/>
      </c>
      <c r="N1988" s="72" t="str">
        <f>TEXT(ASTemp!N1988,Percentages)</f>
        <v/>
      </c>
    </row>
    <row r="1989" ht="14.25" customHeight="1">
      <c r="B1989" s="66" t="str">
        <f>ASTemp!B1989</f>
        <v/>
      </c>
      <c r="C1989" s="67" t="str">
        <f>ASTemp!C1989</f>
        <v/>
      </c>
      <c r="D1989" s="68" t="str">
        <f>ASTemp!D1989</f>
        <v/>
      </c>
      <c r="E1989" s="65" t="str">
        <f>ASTemp!E1989</f>
        <v/>
      </c>
      <c r="F1989" s="69" t="str">
        <f>TEXT(ASTemp!F1989,Decimals)</f>
        <v/>
      </c>
      <c r="G1989" s="69" t="str">
        <f>TEXT(ASTemp!G1989,Decimals)</f>
        <v/>
      </c>
      <c r="H1989" s="69" t="str">
        <f>TEXT(ASTemp!H1989,Decimals)</f>
        <v/>
      </c>
      <c r="I1989" s="69" t="str">
        <f>TEXT(ASTemp!I1989,Decimals)</f>
        <v/>
      </c>
      <c r="J1989" s="69" t="str">
        <f>TEXT(ASTemp!J1989,Decimals)</f>
        <v/>
      </c>
      <c r="K1989" s="69" t="str">
        <f>TEXT(ASTemp!K1989,Decimals)</f>
        <v/>
      </c>
      <c r="L1989" s="69" t="str">
        <f>TEXT(ASTemp!L1989,Decimals)</f>
        <v/>
      </c>
      <c r="M1989" s="71" t="str">
        <f>TEXT(ASTemp!M1989,Percentages)</f>
        <v/>
      </c>
      <c r="N1989" s="72" t="str">
        <f>TEXT(ASTemp!N1989,Percentages)</f>
        <v/>
      </c>
    </row>
    <row r="1990" ht="14.25" customHeight="1">
      <c r="B1990" s="66" t="str">
        <f>ASTemp!B1990</f>
        <v/>
      </c>
      <c r="C1990" s="67" t="str">
        <f>ASTemp!C1990</f>
        <v/>
      </c>
      <c r="D1990" s="68" t="str">
        <f>ASTemp!D1990</f>
        <v/>
      </c>
      <c r="E1990" s="65" t="str">
        <f>ASTemp!E1990</f>
        <v/>
      </c>
      <c r="F1990" s="69" t="str">
        <f>TEXT(ASTemp!F1990,Decimals)</f>
        <v/>
      </c>
      <c r="G1990" s="69" t="str">
        <f>TEXT(ASTemp!G1990,Decimals)</f>
        <v/>
      </c>
      <c r="H1990" s="69" t="str">
        <f>TEXT(ASTemp!H1990,Decimals)</f>
        <v/>
      </c>
      <c r="I1990" s="69" t="str">
        <f>TEXT(ASTemp!I1990,Decimals)</f>
        <v/>
      </c>
      <c r="J1990" s="69" t="str">
        <f>TEXT(ASTemp!J1990,Decimals)</f>
        <v/>
      </c>
      <c r="K1990" s="69" t="str">
        <f>TEXT(ASTemp!K1990,Decimals)</f>
        <v/>
      </c>
      <c r="L1990" s="69" t="str">
        <f>TEXT(ASTemp!L1990,Decimals)</f>
        <v/>
      </c>
      <c r="M1990" s="71" t="str">
        <f>TEXT(ASTemp!M1990,Percentages)</f>
        <v/>
      </c>
      <c r="N1990" s="72" t="str">
        <f>TEXT(ASTemp!N1990,Percentages)</f>
        <v/>
      </c>
    </row>
    <row r="1991" ht="14.25" customHeight="1">
      <c r="B1991" s="66" t="str">
        <f>ASTemp!B1991</f>
        <v/>
      </c>
      <c r="C1991" s="67" t="str">
        <f>ASTemp!C1991</f>
        <v/>
      </c>
      <c r="D1991" s="68" t="str">
        <f>ASTemp!D1991</f>
        <v/>
      </c>
      <c r="E1991" s="65" t="str">
        <f>ASTemp!E1991</f>
        <v/>
      </c>
      <c r="F1991" s="69" t="str">
        <f>TEXT(ASTemp!F1991,Decimals)</f>
        <v/>
      </c>
      <c r="G1991" s="69" t="str">
        <f>TEXT(ASTemp!G1991,Decimals)</f>
        <v/>
      </c>
      <c r="H1991" s="69" t="str">
        <f>TEXT(ASTemp!H1991,Decimals)</f>
        <v/>
      </c>
      <c r="I1991" s="69" t="str">
        <f>TEXT(ASTemp!I1991,Decimals)</f>
        <v/>
      </c>
      <c r="J1991" s="69" t="str">
        <f>TEXT(ASTemp!J1991,Decimals)</f>
        <v/>
      </c>
      <c r="K1991" s="69" t="str">
        <f>TEXT(ASTemp!K1991,Decimals)</f>
        <v/>
      </c>
      <c r="L1991" s="69" t="str">
        <f>TEXT(ASTemp!L1991,Decimals)</f>
        <v/>
      </c>
      <c r="M1991" s="71" t="str">
        <f>TEXT(ASTemp!M1991,Percentages)</f>
        <v/>
      </c>
      <c r="N1991" s="72" t="str">
        <f>TEXT(ASTemp!N1991,Percentages)</f>
        <v/>
      </c>
    </row>
    <row r="1992" ht="14.25" customHeight="1">
      <c r="B1992" s="66" t="str">
        <f>ASTemp!B1992</f>
        <v/>
      </c>
      <c r="C1992" s="67" t="str">
        <f>ASTemp!C1992</f>
        <v/>
      </c>
      <c r="D1992" s="68" t="str">
        <f>ASTemp!D1992</f>
        <v/>
      </c>
      <c r="E1992" s="65" t="str">
        <f>ASTemp!E1992</f>
        <v/>
      </c>
      <c r="F1992" s="69" t="str">
        <f>TEXT(ASTemp!F1992,Decimals)</f>
        <v/>
      </c>
      <c r="G1992" s="69" t="str">
        <f>TEXT(ASTemp!G1992,Decimals)</f>
        <v/>
      </c>
      <c r="H1992" s="69" t="str">
        <f>TEXT(ASTemp!H1992,Decimals)</f>
        <v/>
      </c>
      <c r="I1992" s="69" t="str">
        <f>TEXT(ASTemp!I1992,Decimals)</f>
        <v/>
      </c>
      <c r="J1992" s="69" t="str">
        <f>TEXT(ASTemp!J1992,Decimals)</f>
        <v/>
      </c>
      <c r="K1992" s="69" t="str">
        <f>TEXT(ASTemp!K1992,Decimals)</f>
        <v/>
      </c>
      <c r="L1992" s="69" t="str">
        <f>TEXT(ASTemp!L1992,Decimals)</f>
        <v/>
      </c>
      <c r="M1992" s="71" t="str">
        <f>TEXT(ASTemp!M1992,Percentages)</f>
        <v/>
      </c>
      <c r="N1992" s="72" t="str">
        <f>TEXT(ASTemp!N1992,Percentages)</f>
        <v/>
      </c>
    </row>
    <row r="1993" ht="14.25" customHeight="1">
      <c r="B1993" s="66" t="str">
        <f>ASTemp!B1993</f>
        <v/>
      </c>
      <c r="C1993" s="67" t="str">
        <f>ASTemp!C1993</f>
        <v/>
      </c>
      <c r="D1993" s="68" t="str">
        <f>ASTemp!D1993</f>
        <v/>
      </c>
      <c r="E1993" s="65" t="str">
        <f>ASTemp!E1993</f>
        <v/>
      </c>
      <c r="F1993" s="69" t="str">
        <f>TEXT(ASTemp!F1993,Decimals)</f>
        <v/>
      </c>
      <c r="G1993" s="69" t="str">
        <f>TEXT(ASTemp!G1993,Decimals)</f>
        <v/>
      </c>
      <c r="H1993" s="69" t="str">
        <f>TEXT(ASTemp!H1993,Decimals)</f>
        <v/>
      </c>
      <c r="I1993" s="69" t="str">
        <f>TEXT(ASTemp!I1993,Decimals)</f>
        <v/>
      </c>
      <c r="J1993" s="69" t="str">
        <f>TEXT(ASTemp!J1993,Decimals)</f>
        <v/>
      </c>
      <c r="K1993" s="69" t="str">
        <f>TEXT(ASTemp!K1993,Decimals)</f>
        <v/>
      </c>
      <c r="L1993" s="69" t="str">
        <f>TEXT(ASTemp!L1993,Decimals)</f>
        <v/>
      </c>
      <c r="M1993" s="71" t="str">
        <f>TEXT(ASTemp!M1993,Percentages)</f>
        <v/>
      </c>
      <c r="N1993" s="72" t="str">
        <f>TEXT(ASTemp!N1993,Percentages)</f>
        <v/>
      </c>
    </row>
    <row r="1994" ht="14.25" customHeight="1">
      <c r="B1994" s="66" t="str">
        <f>ASTemp!B1994</f>
        <v/>
      </c>
      <c r="C1994" s="67" t="str">
        <f>ASTemp!C1994</f>
        <v/>
      </c>
      <c r="D1994" s="68" t="str">
        <f>ASTemp!D1994</f>
        <v/>
      </c>
      <c r="E1994" s="65" t="str">
        <f>ASTemp!E1994</f>
        <v/>
      </c>
      <c r="F1994" s="69" t="str">
        <f>TEXT(ASTemp!F1994,Decimals)</f>
        <v/>
      </c>
      <c r="G1994" s="69" t="str">
        <f>TEXT(ASTemp!G1994,Decimals)</f>
        <v/>
      </c>
      <c r="H1994" s="69" t="str">
        <f>TEXT(ASTemp!H1994,Decimals)</f>
        <v/>
      </c>
      <c r="I1994" s="69" t="str">
        <f>TEXT(ASTemp!I1994,Decimals)</f>
        <v/>
      </c>
      <c r="J1994" s="69" t="str">
        <f>TEXT(ASTemp!J1994,Decimals)</f>
        <v/>
      </c>
      <c r="K1994" s="69" t="str">
        <f>TEXT(ASTemp!K1994,Decimals)</f>
        <v/>
      </c>
      <c r="L1994" s="69" t="str">
        <f>TEXT(ASTemp!L1994,Decimals)</f>
        <v/>
      </c>
      <c r="M1994" s="71" t="str">
        <f>TEXT(ASTemp!M1994,Percentages)</f>
        <v/>
      </c>
      <c r="N1994" s="72" t="str">
        <f>TEXT(ASTemp!N1994,Percentages)</f>
        <v/>
      </c>
    </row>
    <row r="1995" ht="14.25" customHeight="1">
      <c r="B1995" s="66" t="str">
        <f>ASTemp!B1995</f>
        <v/>
      </c>
      <c r="C1995" s="67" t="str">
        <f>ASTemp!C1995</f>
        <v/>
      </c>
      <c r="D1995" s="68" t="str">
        <f>ASTemp!D1995</f>
        <v/>
      </c>
      <c r="E1995" s="65" t="str">
        <f>ASTemp!E1995</f>
        <v/>
      </c>
      <c r="F1995" s="69" t="str">
        <f>TEXT(ASTemp!F1995,Decimals)</f>
        <v/>
      </c>
      <c r="G1995" s="69" t="str">
        <f>TEXT(ASTemp!G1995,Decimals)</f>
        <v/>
      </c>
      <c r="H1995" s="69" t="str">
        <f>TEXT(ASTemp!H1995,Decimals)</f>
        <v/>
      </c>
      <c r="I1995" s="69" t="str">
        <f>TEXT(ASTemp!I1995,Decimals)</f>
        <v/>
      </c>
      <c r="J1995" s="69" t="str">
        <f>TEXT(ASTemp!J1995,Decimals)</f>
        <v/>
      </c>
      <c r="K1995" s="69" t="str">
        <f>TEXT(ASTemp!K1995,Decimals)</f>
        <v/>
      </c>
      <c r="L1995" s="69" t="str">
        <f>TEXT(ASTemp!L1995,Decimals)</f>
        <v/>
      </c>
      <c r="M1995" s="71" t="str">
        <f>TEXT(ASTemp!M1995,Percentages)</f>
        <v/>
      </c>
      <c r="N1995" s="72" t="str">
        <f>TEXT(ASTemp!N1995,Percentages)</f>
        <v/>
      </c>
    </row>
    <row r="1996" ht="14.25" customHeight="1">
      <c r="B1996" s="66" t="str">
        <f>ASTemp!B1996</f>
        <v/>
      </c>
      <c r="C1996" s="67" t="str">
        <f>ASTemp!C1996</f>
        <v/>
      </c>
      <c r="D1996" s="68" t="str">
        <f>ASTemp!D1996</f>
        <v/>
      </c>
      <c r="E1996" s="65" t="str">
        <f>ASTemp!E1996</f>
        <v/>
      </c>
      <c r="F1996" s="69" t="str">
        <f>TEXT(ASTemp!F1996,Decimals)</f>
        <v/>
      </c>
      <c r="G1996" s="69" t="str">
        <f>TEXT(ASTemp!G1996,Decimals)</f>
        <v/>
      </c>
      <c r="H1996" s="69" t="str">
        <f>TEXT(ASTemp!H1996,Decimals)</f>
        <v/>
      </c>
      <c r="I1996" s="69" t="str">
        <f>TEXT(ASTemp!I1996,Decimals)</f>
        <v/>
      </c>
      <c r="J1996" s="69" t="str">
        <f>TEXT(ASTemp!J1996,Decimals)</f>
        <v/>
      </c>
      <c r="K1996" s="69" t="str">
        <f>TEXT(ASTemp!K1996,Decimals)</f>
        <v/>
      </c>
      <c r="L1996" s="69" t="str">
        <f>TEXT(ASTemp!L1996,Decimals)</f>
        <v/>
      </c>
      <c r="M1996" s="71" t="str">
        <f>TEXT(ASTemp!M1996,Percentages)</f>
        <v/>
      </c>
      <c r="N1996" s="72" t="str">
        <f>TEXT(ASTemp!N1996,Percentages)</f>
        <v/>
      </c>
    </row>
    <row r="1997" ht="14.25" customHeight="1">
      <c r="B1997" s="66" t="str">
        <f>ASTemp!B1997</f>
        <v/>
      </c>
      <c r="C1997" s="67" t="str">
        <f>ASTemp!C1997</f>
        <v/>
      </c>
      <c r="D1997" s="68" t="str">
        <f>ASTemp!D1997</f>
        <v/>
      </c>
      <c r="E1997" s="65" t="str">
        <f>ASTemp!E1997</f>
        <v/>
      </c>
      <c r="F1997" s="69" t="str">
        <f>TEXT(ASTemp!F1997,Decimals)</f>
        <v/>
      </c>
      <c r="G1997" s="69" t="str">
        <f>TEXT(ASTemp!G1997,Decimals)</f>
        <v/>
      </c>
      <c r="H1997" s="69" t="str">
        <f>TEXT(ASTemp!H1997,Decimals)</f>
        <v/>
      </c>
      <c r="I1997" s="69" t="str">
        <f>TEXT(ASTemp!I1997,Decimals)</f>
        <v/>
      </c>
      <c r="J1997" s="69" t="str">
        <f>TEXT(ASTemp!J1997,Decimals)</f>
        <v/>
      </c>
      <c r="K1997" s="69" t="str">
        <f>TEXT(ASTemp!K1997,Decimals)</f>
        <v/>
      </c>
      <c r="L1997" s="69" t="str">
        <f>TEXT(ASTemp!L1997,Decimals)</f>
        <v/>
      </c>
      <c r="M1997" s="71" t="str">
        <f>TEXT(ASTemp!M1997,Percentages)</f>
        <v/>
      </c>
      <c r="N1997" s="72" t="str">
        <f>TEXT(ASTemp!N1997,Percentages)</f>
        <v/>
      </c>
    </row>
    <row r="1998" ht="14.25" customHeight="1">
      <c r="B1998" s="66" t="str">
        <f>ASTemp!B1998</f>
        <v/>
      </c>
      <c r="C1998" s="67" t="str">
        <f>ASTemp!C1998</f>
        <v/>
      </c>
      <c r="D1998" s="68" t="str">
        <f>ASTemp!D1998</f>
        <v/>
      </c>
      <c r="E1998" s="65" t="str">
        <f>ASTemp!E1998</f>
        <v/>
      </c>
      <c r="F1998" s="69" t="str">
        <f>TEXT(ASTemp!F1998,Decimals)</f>
        <v/>
      </c>
      <c r="G1998" s="69" t="str">
        <f>TEXT(ASTemp!G1998,Decimals)</f>
        <v/>
      </c>
      <c r="H1998" s="69" t="str">
        <f>TEXT(ASTemp!H1998,Decimals)</f>
        <v/>
      </c>
      <c r="I1998" s="69" t="str">
        <f>TEXT(ASTemp!I1998,Decimals)</f>
        <v/>
      </c>
      <c r="J1998" s="69" t="str">
        <f>TEXT(ASTemp!J1998,Decimals)</f>
        <v/>
      </c>
      <c r="K1998" s="69" t="str">
        <f>TEXT(ASTemp!K1998,Decimals)</f>
        <v/>
      </c>
      <c r="L1998" s="69" t="str">
        <f>TEXT(ASTemp!L1998,Decimals)</f>
        <v/>
      </c>
      <c r="M1998" s="71" t="str">
        <f>TEXT(ASTemp!M1998,Percentages)</f>
        <v/>
      </c>
      <c r="N1998" s="72" t="str">
        <f>TEXT(ASTemp!N1998,Percentages)</f>
        <v/>
      </c>
    </row>
    <row r="1999" ht="14.25" customHeight="1">
      <c r="B1999" s="66" t="str">
        <f>ASTemp!B1999</f>
        <v/>
      </c>
      <c r="C1999" s="67" t="str">
        <f>ASTemp!C1999</f>
        <v/>
      </c>
      <c r="D1999" s="68" t="str">
        <f>ASTemp!D1999</f>
        <v/>
      </c>
      <c r="E1999" s="65" t="str">
        <f>ASTemp!E1999</f>
        <v/>
      </c>
      <c r="F1999" s="69" t="str">
        <f>TEXT(ASTemp!F1999,Decimals)</f>
        <v/>
      </c>
      <c r="G1999" s="69" t="str">
        <f>TEXT(ASTemp!G1999,Decimals)</f>
        <v/>
      </c>
      <c r="H1999" s="69" t="str">
        <f>TEXT(ASTemp!H1999,Decimals)</f>
        <v/>
      </c>
      <c r="I1999" s="69" t="str">
        <f>TEXT(ASTemp!I1999,Decimals)</f>
        <v/>
      </c>
      <c r="J1999" s="69" t="str">
        <f>TEXT(ASTemp!J1999,Decimals)</f>
        <v/>
      </c>
      <c r="K1999" s="69" t="str">
        <f>TEXT(ASTemp!K1999,Decimals)</f>
        <v/>
      </c>
      <c r="L1999" s="69" t="str">
        <f>TEXT(ASTemp!L1999,Decimals)</f>
        <v/>
      </c>
      <c r="M1999" s="71" t="str">
        <f>TEXT(ASTemp!M1999,Percentages)</f>
        <v/>
      </c>
      <c r="N1999" s="72" t="str">
        <f>TEXT(ASTemp!N1999,Percentages)</f>
        <v/>
      </c>
    </row>
    <row r="2000" ht="14.25" customHeight="1">
      <c r="B2000" s="66" t="str">
        <f>ASTemp!B2000</f>
        <v/>
      </c>
      <c r="C2000" s="67" t="str">
        <f>ASTemp!C2000</f>
        <v/>
      </c>
      <c r="D2000" s="68" t="str">
        <f>ASTemp!D2000</f>
        <v/>
      </c>
      <c r="E2000" s="65" t="str">
        <f>ASTemp!E2000</f>
        <v/>
      </c>
      <c r="F2000" s="69" t="str">
        <f>TEXT(ASTemp!F2000,Decimals)</f>
        <v/>
      </c>
      <c r="G2000" s="69" t="str">
        <f>TEXT(ASTemp!G2000,Decimals)</f>
        <v/>
      </c>
      <c r="H2000" s="69" t="str">
        <f>TEXT(ASTemp!H2000,Decimals)</f>
        <v/>
      </c>
      <c r="I2000" s="69" t="str">
        <f>TEXT(ASTemp!I2000,Decimals)</f>
        <v/>
      </c>
      <c r="J2000" s="69" t="str">
        <f>TEXT(ASTemp!J2000,Decimals)</f>
        <v/>
      </c>
      <c r="K2000" s="69" t="str">
        <f>TEXT(ASTemp!K2000,Decimals)</f>
        <v/>
      </c>
      <c r="L2000" s="69" t="str">
        <f>TEXT(ASTemp!L2000,Decimals)</f>
        <v/>
      </c>
      <c r="M2000" s="71" t="str">
        <f>TEXT(ASTemp!M2000,Percentages)</f>
        <v/>
      </c>
      <c r="N2000" s="72" t="str">
        <f>TEXT(ASTemp!N2000,Percentages)</f>
        <v/>
      </c>
    </row>
    <row r="2001" ht="14.25" customHeight="1">
      <c r="B2001" s="66" t="str">
        <f>ASTemp!B2001</f>
        <v/>
      </c>
      <c r="C2001" s="67" t="str">
        <f>ASTemp!C2001</f>
        <v/>
      </c>
      <c r="D2001" s="68" t="str">
        <f>ASTemp!D2001</f>
        <v/>
      </c>
      <c r="E2001" s="65" t="str">
        <f>ASTemp!E2001</f>
        <v/>
      </c>
      <c r="F2001" s="69" t="str">
        <f>TEXT(ASTemp!F2001,Decimals)</f>
        <v/>
      </c>
      <c r="G2001" s="69" t="str">
        <f>TEXT(ASTemp!G2001,Decimals)</f>
        <v/>
      </c>
      <c r="H2001" s="69" t="str">
        <f>TEXT(ASTemp!H2001,Decimals)</f>
        <v/>
      </c>
      <c r="I2001" s="69" t="str">
        <f>TEXT(ASTemp!I2001,Decimals)</f>
        <v/>
      </c>
      <c r="J2001" s="69" t="str">
        <f>TEXT(ASTemp!J2001,Decimals)</f>
        <v/>
      </c>
      <c r="K2001" s="69" t="str">
        <f>TEXT(ASTemp!K2001,Decimals)</f>
        <v/>
      </c>
      <c r="L2001" s="69" t="str">
        <f>TEXT(ASTemp!L2001,Decimals)</f>
        <v/>
      </c>
      <c r="M2001" s="71" t="str">
        <f>TEXT(ASTemp!M2001,Percentages)</f>
        <v/>
      </c>
      <c r="N2001" s="72" t="str">
        <f>TEXT(ASTemp!N2001,Percentages)</f>
        <v/>
      </c>
    </row>
    <row r="2002" ht="14.25" customHeight="1">
      <c r="B2002" s="66" t="str">
        <f>ASTemp!B2002</f>
        <v/>
      </c>
      <c r="C2002" s="67" t="str">
        <f>ASTemp!C2002</f>
        <v/>
      </c>
      <c r="D2002" s="68" t="str">
        <f>ASTemp!D2002</f>
        <v/>
      </c>
      <c r="E2002" s="65" t="str">
        <f>ASTemp!E2002</f>
        <v/>
      </c>
      <c r="F2002" s="69" t="str">
        <f>TEXT(ASTemp!F2002,Decimals)</f>
        <v/>
      </c>
      <c r="G2002" s="69" t="str">
        <f>TEXT(ASTemp!G2002,Decimals)</f>
        <v/>
      </c>
      <c r="H2002" s="69" t="str">
        <f>TEXT(ASTemp!H2002,Decimals)</f>
        <v/>
      </c>
      <c r="I2002" s="69" t="str">
        <f>TEXT(ASTemp!I2002,Decimals)</f>
        <v/>
      </c>
      <c r="J2002" s="69" t="str">
        <f>TEXT(ASTemp!J2002,Decimals)</f>
        <v/>
      </c>
      <c r="K2002" s="69" t="str">
        <f>TEXT(ASTemp!K2002,Decimals)</f>
        <v/>
      </c>
      <c r="L2002" s="69" t="str">
        <f>TEXT(ASTemp!L2002,Decimals)</f>
        <v/>
      </c>
      <c r="M2002" s="71" t="str">
        <f>TEXT(ASTemp!M2002,Percentages)</f>
        <v/>
      </c>
      <c r="N2002" s="72" t="str">
        <f>TEXT(ASTemp!N2002,Percentages)</f>
        <v/>
      </c>
    </row>
    <row r="2003" ht="14.25" customHeight="1">
      <c r="B2003" s="66" t="str">
        <f>ASTemp!B2003</f>
        <v/>
      </c>
      <c r="C2003" s="67" t="str">
        <f>ASTemp!C2003</f>
        <v/>
      </c>
      <c r="D2003" s="68" t="str">
        <f>ASTemp!D2003</f>
        <v/>
      </c>
      <c r="E2003" s="65" t="str">
        <f>ASTemp!E2003</f>
        <v/>
      </c>
      <c r="F2003" s="69" t="str">
        <f>TEXT(ASTemp!F2003,Decimals)</f>
        <v/>
      </c>
      <c r="G2003" s="69" t="str">
        <f>TEXT(ASTemp!G2003,Decimals)</f>
        <v/>
      </c>
      <c r="H2003" s="69" t="str">
        <f>TEXT(ASTemp!H2003,Decimals)</f>
        <v/>
      </c>
      <c r="I2003" s="69" t="str">
        <f>TEXT(ASTemp!I2003,Decimals)</f>
        <v/>
      </c>
      <c r="J2003" s="69" t="str">
        <f>TEXT(ASTemp!J2003,Decimals)</f>
        <v/>
      </c>
      <c r="K2003" s="69" t="str">
        <f>TEXT(ASTemp!K2003,Decimals)</f>
        <v/>
      </c>
      <c r="L2003" s="69" t="str">
        <f>TEXT(ASTemp!L2003,Decimals)</f>
        <v/>
      </c>
      <c r="M2003" s="71" t="str">
        <f>TEXT(ASTemp!M2003,Percentages)</f>
        <v/>
      </c>
      <c r="N2003" s="72" t="str">
        <f>TEXT(ASTemp!N2003,Percentages)</f>
        <v/>
      </c>
    </row>
    <row r="2004" ht="14.25" customHeight="1">
      <c r="B2004" s="66" t="str">
        <f>ASTemp!B2004</f>
        <v/>
      </c>
      <c r="C2004" s="67" t="str">
        <f>ASTemp!C2004</f>
        <v/>
      </c>
      <c r="D2004" s="68" t="str">
        <f>ASTemp!D2004</f>
        <v/>
      </c>
      <c r="E2004" s="65" t="str">
        <f>ASTemp!E2004</f>
        <v/>
      </c>
      <c r="F2004" s="69" t="str">
        <f>TEXT(ASTemp!F2004,Decimals)</f>
        <v/>
      </c>
      <c r="G2004" s="69" t="str">
        <f>TEXT(ASTemp!G2004,Decimals)</f>
        <v/>
      </c>
      <c r="H2004" s="69" t="str">
        <f>TEXT(ASTemp!H2004,Decimals)</f>
        <v/>
      </c>
      <c r="I2004" s="69" t="str">
        <f>TEXT(ASTemp!I2004,Decimals)</f>
        <v/>
      </c>
      <c r="J2004" s="69" t="str">
        <f>TEXT(ASTemp!J2004,Decimals)</f>
        <v/>
      </c>
      <c r="K2004" s="69" t="str">
        <f>TEXT(ASTemp!K2004,Decimals)</f>
        <v/>
      </c>
      <c r="L2004" s="69" t="str">
        <f>TEXT(ASTemp!L2004,Decimals)</f>
        <v/>
      </c>
      <c r="M2004" s="71" t="str">
        <f>TEXT(ASTemp!M2004,Percentages)</f>
        <v/>
      </c>
      <c r="N2004" s="72" t="str">
        <f>TEXT(ASTemp!N2004,Percentages)</f>
        <v/>
      </c>
    </row>
    <row r="2005" ht="14.25" customHeight="1">
      <c r="B2005" s="66" t="str">
        <f>ASTemp!B2005</f>
        <v/>
      </c>
      <c r="C2005" s="67" t="str">
        <f>ASTemp!C2005</f>
        <v/>
      </c>
      <c r="D2005" s="68" t="str">
        <f>ASTemp!D2005</f>
        <v/>
      </c>
      <c r="E2005" s="65" t="str">
        <f>ASTemp!E2005</f>
        <v/>
      </c>
      <c r="F2005" s="69" t="str">
        <f>TEXT(ASTemp!F2005,Decimals)</f>
        <v/>
      </c>
      <c r="G2005" s="69" t="str">
        <f>TEXT(ASTemp!G2005,Decimals)</f>
        <v/>
      </c>
      <c r="H2005" s="69" t="str">
        <f>TEXT(ASTemp!H2005,Decimals)</f>
        <v/>
      </c>
      <c r="I2005" s="69" t="str">
        <f>TEXT(ASTemp!I2005,Decimals)</f>
        <v/>
      </c>
      <c r="J2005" s="69" t="str">
        <f>TEXT(ASTemp!J2005,Decimals)</f>
        <v/>
      </c>
      <c r="K2005" s="69" t="str">
        <f>TEXT(ASTemp!K2005,Decimals)</f>
        <v/>
      </c>
      <c r="L2005" s="69" t="str">
        <f>TEXT(ASTemp!L2005,Decimals)</f>
        <v/>
      </c>
      <c r="M2005" s="71" t="str">
        <f>TEXT(ASTemp!M2005,Percentages)</f>
        <v/>
      </c>
      <c r="N2005" s="72" t="str">
        <f>TEXT(ASTemp!N2005,Percentages)</f>
        <v/>
      </c>
    </row>
    <row r="2006" ht="14.25" customHeight="1">
      <c r="B2006" s="66" t="str">
        <f>ASTemp!B2006</f>
        <v/>
      </c>
      <c r="C2006" s="67" t="str">
        <f>ASTemp!C2006</f>
        <v/>
      </c>
      <c r="D2006" s="68" t="str">
        <f>ASTemp!D2006</f>
        <v/>
      </c>
      <c r="E2006" s="65" t="str">
        <f>ASTemp!E2006</f>
        <v/>
      </c>
      <c r="F2006" s="69" t="str">
        <f>TEXT(ASTemp!F2006,Decimals)</f>
        <v/>
      </c>
      <c r="G2006" s="69" t="str">
        <f>TEXT(ASTemp!G2006,Decimals)</f>
        <v/>
      </c>
      <c r="H2006" s="69" t="str">
        <f>TEXT(ASTemp!H2006,Decimals)</f>
        <v/>
      </c>
      <c r="I2006" s="69" t="str">
        <f>TEXT(ASTemp!I2006,Decimals)</f>
        <v/>
      </c>
      <c r="J2006" s="69" t="str">
        <f>TEXT(ASTemp!J2006,Decimals)</f>
        <v/>
      </c>
      <c r="K2006" s="69" t="str">
        <f>TEXT(ASTemp!K2006,Decimals)</f>
        <v/>
      </c>
      <c r="L2006" s="69" t="str">
        <f>TEXT(ASTemp!L2006,Decimals)</f>
        <v/>
      </c>
      <c r="M2006" s="71" t="str">
        <f>TEXT(ASTemp!M2006,Percentages)</f>
        <v/>
      </c>
      <c r="N2006" s="72" t="str">
        <f>TEXT(ASTemp!N2006,Percentages)</f>
        <v/>
      </c>
    </row>
    <row r="2007" ht="14.25" customHeight="1">
      <c r="B2007" s="66" t="str">
        <f>ASTemp!B2007</f>
        <v/>
      </c>
      <c r="C2007" s="67" t="str">
        <f>ASTemp!C2007</f>
        <v/>
      </c>
      <c r="D2007" s="68" t="str">
        <f>ASTemp!D2007</f>
        <v/>
      </c>
      <c r="E2007" s="65" t="str">
        <f>ASTemp!E2007</f>
        <v/>
      </c>
      <c r="F2007" s="69" t="str">
        <f>TEXT(ASTemp!F2007,Decimals)</f>
        <v/>
      </c>
      <c r="G2007" s="69" t="str">
        <f>TEXT(ASTemp!G2007,Decimals)</f>
        <v/>
      </c>
      <c r="H2007" s="69" t="str">
        <f>TEXT(ASTemp!H2007,Decimals)</f>
        <v/>
      </c>
      <c r="I2007" s="69" t="str">
        <f>TEXT(ASTemp!I2007,Decimals)</f>
        <v/>
      </c>
      <c r="J2007" s="69" t="str">
        <f>TEXT(ASTemp!J2007,Decimals)</f>
        <v/>
      </c>
      <c r="K2007" s="69" t="str">
        <f>TEXT(ASTemp!K2007,Decimals)</f>
        <v/>
      </c>
      <c r="L2007" s="69" t="str">
        <f>TEXT(ASTemp!L2007,Decimals)</f>
        <v/>
      </c>
      <c r="M2007" s="71" t="str">
        <f>TEXT(ASTemp!M2007,Percentages)</f>
        <v/>
      </c>
      <c r="N2007" s="72" t="str">
        <f>TEXT(ASTemp!N2007,Percentages)</f>
        <v/>
      </c>
    </row>
    <row r="2008" ht="14.25" customHeight="1">
      <c r="B2008" s="66" t="str">
        <f>ASTemp!B2008</f>
        <v/>
      </c>
      <c r="C2008" s="67" t="str">
        <f>ASTemp!C2008</f>
        <v/>
      </c>
      <c r="D2008" s="68" t="str">
        <f>ASTemp!D2008</f>
        <v/>
      </c>
      <c r="E2008" s="65" t="str">
        <f>ASTemp!E2008</f>
        <v/>
      </c>
      <c r="F2008" s="69" t="str">
        <f>TEXT(ASTemp!F2008,Decimals)</f>
        <v/>
      </c>
      <c r="G2008" s="69" t="str">
        <f>TEXT(ASTemp!G2008,Decimals)</f>
        <v/>
      </c>
      <c r="H2008" s="69" t="str">
        <f>TEXT(ASTemp!H2008,Decimals)</f>
        <v/>
      </c>
      <c r="I2008" s="69" t="str">
        <f>TEXT(ASTemp!I2008,Decimals)</f>
        <v/>
      </c>
      <c r="J2008" s="69" t="str">
        <f>TEXT(ASTemp!J2008,Decimals)</f>
        <v/>
      </c>
      <c r="K2008" s="69" t="str">
        <f>TEXT(ASTemp!K2008,Decimals)</f>
        <v/>
      </c>
      <c r="L2008" s="69" t="str">
        <f>TEXT(ASTemp!L2008,Decimals)</f>
        <v/>
      </c>
      <c r="M2008" s="71" t="str">
        <f>TEXT(ASTemp!M2008,Percentages)</f>
        <v/>
      </c>
      <c r="N2008" s="72" t="str">
        <f>TEXT(ASTemp!N2008,Percentages)</f>
        <v/>
      </c>
    </row>
    <row r="2009" ht="14.25" customHeight="1">
      <c r="B2009" s="66" t="str">
        <f>ASTemp!B2009</f>
        <v/>
      </c>
      <c r="C2009" s="67" t="str">
        <f>ASTemp!C2009</f>
        <v/>
      </c>
      <c r="D2009" s="68" t="str">
        <f>ASTemp!D2009</f>
        <v/>
      </c>
      <c r="E2009" s="65" t="str">
        <f>ASTemp!E2009</f>
        <v/>
      </c>
      <c r="F2009" s="69" t="str">
        <f>TEXT(ASTemp!F2009,Decimals)</f>
        <v/>
      </c>
      <c r="G2009" s="69" t="str">
        <f>TEXT(ASTemp!G2009,Decimals)</f>
        <v/>
      </c>
      <c r="H2009" s="69" t="str">
        <f>TEXT(ASTemp!H2009,Decimals)</f>
        <v/>
      </c>
      <c r="I2009" s="69" t="str">
        <f>TEXT(ASTemp!I2009,Decimals)</f>
        <v/>
      </c>
      <c r="J2009" s="69" t="str">
        <f>TEXT(ASTemp!J2009,Decimals)</f>
        <v/>
      </c>
      <c r="K2009" s="69" t="str">
        <f>TEXT(ASTemp!K2009,Decimals)</f>
        <v/>
      </c>
      <c r="L2009" s="69" t="str">
        <f>TEXT(ASTemp!L2009,Decimals)</f>
        <v/>
      </c>
      <c r="M2009" s="71" t="str">
        <f>TEXT(ASTemp!M2009,Percentages)</f>
        <v/>
      </c>
      <c r="N2009" s="72" t="str">
        <f>TEXT(ASTemp!N2009,Percentages)</f>
        <v/>
      </c>
    </row>
    <row r="2010" ht="14.25" customHeight="1">
      <c r="B2010" s="66" t="str">
        <f>ASTemp!B2010</f>
        <v/>
      </c>
      <c r="C2010" s="67" t="str">
        <f>ASTemp!C2010</f>
        <v/>
      </c>
      <c r="D2010" s="68" t="str">
        <f>ASTemp!D2010</f>
        <v/>
      </c>
      <c r="E2010" s="65" t="str">
        <f>ASTemp!E2010</f>
        <v/>
      </c>
      <c r="F2010" s="69" t="str">
        <f>TEXT(ASTemp!F2010,Decimals)</f>
        <v/>
      </c>
      <c r="G2010" s="69" t="str">
        <f>TEXT(ASTemp!G2010,Decimals)</f>
        <v/>
      </c>
      <c r="H2010" s="69" t="str">
        <f>TEXT(ASTemp!H2010,Decimals)</f>
        <v/>
      </c>
      <c r="I2010" s="69" t="str">
        <f>TEXT(ASTemp!I2010,Decimals)</f>
        <v/>
      </c>
      <c r="J2010" s="69" t="str">
        <f>TEXT(ASTemp!J2010,Decimals)</f>
        <v/>
      </c>
      <c r="K2010" s="69" t="str">
        <f>TEXT(ASTemp!K2010,Decimals)</f>
        <v/>
      </c>
      <c r="L2010" s="69" t="str">
        <f>TEXT(ASTemp!L2010,Decimals)</f>
        <v/>
      </c>
      <c r="M2010" s="71" t="str">
        <f>TEXT(ASTemp!M2010,Percentages)</f>
        <v/>
      </c>
      <c r="N2010" s="72" t="str">
        <f>TEXT(ASTemp!N2010,Percentages)</f>
        <v/>
      </c>
    </row>
    <row r="2011" ht="14.25" customHeight="1">
      <c r="B2011" s="66" t="str">
        <f>ASTemp!B2011</f>
        <v/>
      </c>
      <c r="C2011" s="67" t="str">
        <f>ASTemp!C2011</f>
        <v/>
      </c>
      <c r="D2011" s="68" t="str">
        <f>ASTemp!D2011</f>
        <v/>
      </c>
      <c r="E2011" s="65" t="str">
        <f>ASTemp!E2011</f>
        <v/>
      </c>
      <c r="F2011" s="69" t="str">
        <f>TEXT(ASTemp!F2011,Decimals)</f>
        <v/>
      </c>
      <c r="G2011" s="69" t="str">
        <f>TEXT(ASTemp!G2011,Decimals)</f>
        <v/>
      </c>
      <c r="H2011" s="69" t="str">
        <f>TEXT(ASTemp!H2011,Decimals)</f>
        <v/>
      </c>
      <c r="I2011" s="69" t="str">
        <f>TEXT(ASTemp!I2011,Decimals)</f>
        <v/>
      </c>
      <c r="J2011" s="69" t="str">
        <f>TEXT(ASTemp!J2011,Decimals)</f>
        <v/>
      </c>
      <c r="K2011" s="69" t="str">
        <f>TEXT(ASTemp!K2011,Decimals)</f>
        <v/>
      </c>
      <c r="L2011" s="69" t="str">
        <f>TEXT(ASTemp!L2011,Decimals)</f>
        <v/>
      </c>
      <c r="M2011" s="71" t="str">
        <f>TEXT(ASTemp!M2011,Percentages)</f>
        <v/>
      </c>
      <c r="N2011" s="72" t="str">
        <f>TEXT(ASTemp!N2011,Percentages)</f>
        <v/>
      </c>
    </row>
    <row r="2012" ht="14.25" customHeight="1">
      <c r="B2012" s="66" t="str">
        <f>ASTemp!B2012</f>
        <v/>
      </c>
      <c r="C2012" s="67" t="str">
        <f>ASTemp!C2012</f>
        <v/>
      </c>
      <c r="D2012" s="68" t="str">
        <f>ASTemp!D2012</f>
        <v/>
      </c>
      <c r="E2012" s="65" t="str">
        <f>ASTemp!E2012</f>
        <v/>
      </c>
      <c r="F2012" s="69" t="str">
        <f>TEXT(ASTemp!F2012,Decimals)</f>
        <v/>
      </c>
      <c r="G2012" s="69" t="str">
        <f>TEXT(ASTemp!G2012,Decimals)</f>
        <v/>
      </c>
      <c r="H2012" s="69" t="str">
        <f>TEXT(ASTemp!H2012,Decimals)</f>
        <v/>
      </c>
      <c r="I2012" s="69" t="str">
        <f>TEXT(ASTemp!I2012,Decimals)</f>
        <v/>
      </c>
      <c r="J2012" s="69" t="str">
        <f>TEXT(ASTemp!J2012,Decimals)</f>
        <v/>
      </c>
      <c r="K2012" s="69" t="str">
        <f>TEXT(ASTemp!K2012,Decimals)</f>
        <v/>
      </c>
      <c r="L2012" s="69" t="str">
        <f>TEXT(ASTemp!L2012,Decimals)</f>
        <v/>
      </c>
      <c r="M2012" s="71" t="str">
        <f>TEXT(ASTemp!M2012,Percentages)</f>
        <v/>
      </c>
      <c r="N2012" s="72" t="str">
        <f>TEXT(ASTemp!N2012,Percentages)</f>
        <v/>
      </c>
    </row>
    <row r="2013" ht="14.25" customHeight="1">
      <c r="B2013" s="66" t="str">
        <f>ASTemp!B2013</f>
        <v/>
      </c>
      <c r="C2013" s="67" t="str">
        <f>ASTemp!C2013</f>
        <v/>
      </c>
      <c r="D2013" s="68" t="str">
        <f>ASTemp!D2013</f>
        <v/>
      </c>
      <c r="E2013" s="65" t="str">
        <f>ASTemp!E2013</f>
        <v/>
      </c>
      <c r="F2013" s="69" t="str">
        <f>TEXT(ASTemp!F2013,Decimals)</f>
        <v/>
      </c>
      <c r="G2013" s="69" t="str">
        <f>TEXT(ASTemp!G2013,Decimals)</f>
        <v/>
      </c>
      <c r="H2013" s="69" t="str">
        <f>TEXT(ASTemp!H2013,Decimals)</f>
        <v/>
      </c>
      <c r="I2013" s="69" t="str">
        <f>TEXT(ASTemp!I2013,Decimals)</f>
        <v/>
      </c>
      <c r="J2013" s="69" t="str">
        <f>TEXT(ASTemp!J2013,Decimals)</f>
        <v/>
      </c>
      <c r="K2013" s="69" t="str">
        <f>TEXT(ASTemp!K2013,Decimals)</f>
        <v/>
      </c>
      <c r="L2013" s="69" t="str">
        <f>TEXT(ASTemp!L2013,Decimals)</f>
        <v/>
      </c>
      <c r="M2013" s="71" t="str">
        <f>TEXT(ASTemp!M2013,Percentages)</f>
        <v/>
      </c>
      <c r="N2013" s="72" t="str">
        <f>TEXT(ASTemp!N2013,Percentages)</f>
        <v/>
      </c>
    </row>
    <row r="2014" ht="14.25" customHeight="1">
      <c r="B2014" s="66" t="str">
        <f>ASTemp!B2014</f>
        <v/>
      </c>
      <c r="C2014" s="67" t="str">
        <f>ASTemp!C2014</f>
        <v/>
      </c>
      <c r="D2014" s="68" t="str">
        <f>ASTemp!D2014</f>
        <v/>
      </c>
      <c r="E2014" s="65" t="str">
        <f>ASTemp!E2014</f>
        <v/>
      </c>
      <c r="F2014" s="69" t="str">
        <f>TEXT(ASTemp!F2014,Decimals)</f>
        <v/>
      </c>
      <c r="G2014" s="69" t="str">
        <f>TEXT(ASTemp!G2014,Decimals)</f>
        <v/>
      </c>
      <c r="H2014" s="69" t="str">
        <f>TEXT(ASTemp!H2014,Decimals)</f>
        <v/>
      </c>
      <c r="I2014" s="69" t="str">
        <f>TEXT(ASTemp!I2014,Decimals)</f>
        <v/>
      </c>
      <c r="J2014" s="69" t="str">
        <f>TEXT(ASTemp!J2014,Decimals)</f>
        <v/>
      </c>
      <c r="K2014" s="69" t="str">
        <f>TEXT(ASTemp!K2014,Decimals)</f>
        <v/>
      </c>
      <c r="L2014" s="69" t="str">
        <f>TEXT(ASTemp!L2014,Decimals)</f>
        <v/>
      </c>
      <c r="M2014" s="71" t="str">
        <f>TEXT(ASTemp!M2014,Percentages)</f>
        <v/>
      </c>
      <c r="N2014" s="72" t="str">
        <f>TEXT(ASTemp!N2014,Percentages)</f>
        <v/>
      </c>
    </row>
    <row r="2015" ht="14.25" customHeight="1">
      <c r="B2015" s="66" t="str">
        <f>ASTemp!B2015</f>
        <v/>
      </c>
      <c r="C2015" s="67" t="str">
        <f>ASTemp!C2015</f>
        <v/>
      </c>
      <c r="D2015" s="68" t="str">
        <f>ASTemp!D2015</f>
        <v/>
      </c>
      <c r="E2015" s="65" t="str">
        <f>ASTemp!E2015</f>
        <v/>
      </c>
      <c r="F2015" s="69" t="str">
        <f>TEXT(ASTemp!F2015,Decimals)</f>
        <v/>
      </c>
      <c r="G2015" s="69" t="str">
        <f>TEXT(ASTemp!G2015,Decimals)</f>
        <v/>
      </c>
      <c r="H2015" s="69" t="str">
        <f>TEXT(ASTemp!H2015,Decimals)</f>
        <v/>
      </c>
      <c r="I2015" s="69" t="str">
        <f>TEXT(ASTemp!I2015,Decimals)</f>
        <v/>
      </c>
      <c r="J2015" s="69" t="str">
        <f>TEXT(ASTemp!J2015,Decimals)</f>
        <v/>
      </c>
      <c r="K2015" s="69" t="str">
        <f>TEXT(ASTemp!K2015,Decimals)</f>
        <v/>
      </c>
      <c r="L2015" s="69" t="str">
        <f>TEXT(ASTemp!L2015,Decimals)</f>
        <v/>
      </c>
      <c r="M2015" s="71" t="str">
        <f>TEXT(ASTemp!M2015,Percentages)</f>
        <v/>
      </c>
      <c r="N2015" s="72" t="str">
        <f>TEXT(ASTemp!N2015,Percentages)</f>
        <v/>
      </c>
    </row>
    <row r="2016" ht="14.25" customHeight="1">
      <c r="B2016" s="66" t="str">
        <f>ASTemp!B2016</f>
        <v/>
      </c>
      <c r="C2016" s="67" t="str">
        <f>ASTemp!C2016</f>
        <v/>
      </c>
      <c r="D2016" s="68" t="str">
        <f>ASTemp!D2016</f>
        <v/>
      </c>
      <c r="E2016" s="65" t="str">
        <f>ASTemp!E2016</f>
        <v/>
      </c>
      <c r="F2016" s="69" t="str">
        <f>TEXT(ASTemp!F2016,Decimals)</f>
        <v/>
      </c>
      <c r="G2016" s="69" t="str">
        <f>TEXT(ASTemp!G2016,Decimals)</f>
        <v/>
      </c>
      <c r="H2016" s="69" t="str">
        <f>TEXT(ASTemp!H2016,Decimals)</f>
        <v/>
      </c>
      <c r="I2016" s="69" t="str">
        <f>TEXT(ASTemp!I2016,Decimals)</f>
        <v/>
      </c>
      <c r="J2016" s="69" t="str">
        <f>TEXT(ASTemp!J2016,Decimals)</f>
        <v/>
      </c>
      <c r="K2016" s="69" t="str">
        <f>TEXT(ASTemp!K2016,Decimals)</f>
        <v/>
      </c>
      <c r="L2016" s="69" t="str">
        <f>TEXT(ASTemp!L2016,Decimals)</f>
        <v/>
      </c>
      <c r="M2016" s="71" t="str">
        <f>TEXT(ASTemp!M2016,Percentages)</f>
        <v/>
      </c>
      <c r="N2016" s="72" t="str">
        <f>TEXT(ASTemp!N2016,Percentages)</f>
        <v/>
      </c>
    </row>
    <row r="2017" ht="14.25" customHeight="1">
      <c r="B2017" s="66" t="str">
        <f>ASTemp!B2017</f>
        <v/>
      </c>
      <c r="C2017" s="67" t="str">
        <f>ASTemp!C2017</f>
        <v/>
      </c>
      <c r="D2017" s="68" t="str">
        <f>ASTemp!D2017</f>
        <v/>
      </c>
      <c r="E2017" s="65" t="str">
        <f>ASTemp!E2017</f>
        <v/>
      </c>
      <c r="F2017" s="69" t="str">
        <f>TEXT(ASTemp!F2017,Decimals)</f>
        <v/>
      </c>
      <c r="G2017" s="69" t="str">
        <f>TEXT(ASTemp!G2017,Decimals)</f>
        <v/>
      </c>
      <c r="H2017" s="69" t="str">
        <f>TEXT(ASTemp!H2017,Decimals)</f>
        <v/>
      </c>
      <c r="I2017" s="69" t="str">
        <f>TEXT(ASTemp!I2017,Decimals)</f>
        <v/>
      </c>
      <c r="J2017" s="69" t="str">
        <f>TEXT(ASTemp!J2017,Decimals)</f>
        <v/>
      </c>
      <c r="K2017" s="69" t="str">
        <f>TEXT(ASTemp!K2017,Decimals)</f>
        <v/>
      </c>
      <c r="L2017" s="69" t="str">
        <f>TEXT(ASTemp!L2017,Decimals)</f>
        <v/>
      </c>
      <c r="M2017" s="71" t="str">
        <f>TEXT(ASTemp!M2017,Percentages)</f>
        <v/>
      </c>
      <c r="N2017" s="72" t="str">
        <f>TEXT(ASTemp!N2017,Percentages)</f>
        <v/>
      </c>
    </row>
    <row r="2018" ht="14.25" customHeight="1">
      <c r="B2018" s="66" t="str">
        <f>ASTemp!B2018</f>
        <v/>
      </c>
      <c r="C2018" s="67" t="str">
        <f>ASTemp!C2018</f>
        <v/>
      </c>
      <c r="D2018" s="68" t="str">
        <f>ASTemp!D2018</f>
        <v/>
      </c>
      <c r="E2018" s="65" t="str">
        <f>ASTemp!E2018</f>
        <v/>
      </c>
      <c r="F2018" s="69" t="str">
        <f>TEXT(ASTemp!F2018,Decimals)</f>
        <v/>
      </c>
      <c r="G2018" s="69" t="str">
        <f>TEXT(ASTemp!G2018,Decimals)</f>
        <v/>
      </c>
      <c r="H2018" s="69" t="str">
        <f>TEXT(ASTemp!H2018,Decimals)</f>
        <v/>
      </c>
      <c r="I2018" s="69" t="str">
        <f>TEXT(ASTemp!I2018,Decimals)</f>
        <v/>
      </c>
      <c r="J2018" s="69" t="str">
        <f>TEXT(ASTemp!J2018,Decimals)</f>
        <v/>
      </c>
      <c r="K2018" s="69" t="str">
        <f>TEXT(ASTemp!K2018,Decimals)</f>
        <v/>
      </c>
      <c r="L2018" s="69" t="str">
        <f>TEXT(ASTemp!L2018,Decimals)</f>
        <v/>
      </c>
      <c r="M2018" s="71" t="str">
        <f>TEXT(ASTemp!M2018,Percentages)</f>
        <v/>
      </c>
      <c r="N2018" s="72" t="str">
        <f>TEXT(ASTemp!N2018,Percentages)</f>
        <v/>
      </c>
    </row>
    <row r="2019" ht="14.25" customHeight="1">
      <c r="B2019" s="66" t="str">
        <f>ASTemp!B2019</f>
        <v/>
      </c>
      <c r="C2019" s="67" t="str">
        <f>ASTemp!C2019</f>
        <v/>
      </c>
      <c r="D2019" s="68" t="str">
        <f>ASTemp!D2019</f>
        <v/>
      </c>
      <c r="E2019" s="65" t="str">
        <f>ASTemp!E2019</f>
        <v/>
      </c>
      <c r="F2019" s="69" t="str">
        <f>TEXT(ASTemp!F2019,Decimals)</f>
        <v/>
      </c>
      <c r="G2019" s="69" t="str">
        <f>TEXT(ASTemp!G2019,Decimals)</f>
        <v/>
      </c>
      <c r="H2019" s="69" t="str">
        <f>TEXT(ASTemp!H2019,Decimals)</f>
        <v/>
      </c>
      <c r="I2019" s="69" t="str">
        <f>TEXT(ASTemp!I2019,Decimals)</f>
        <v/>
      </c>
      <c r="J2019" s="69" t="str">
        <f>TEXT(ASTemp!J2019,Decimals)</f>
        <v/>
      </c>
      <c r="K2019" s="69" t="str">
        <f>TEXT(ASTemp!K2019,Decimals)</f>
        <v/>
      </c>
      <c r="L2019" s="69" t="str">
        <f>TEXT(ASTemp!L2019,Decimals)</f>
        <v/>
      </c>
      <c r="M2019" s="71" t="str">
        <f>TEXT(ASTemp!M2019,Percentages)</f>
        <v/>
      </c>
      <c r="N2019" s="72" t="str">
        <f>TEXT(ASTemp!N2019,Percentages)</f>
        <v/>
      </c>
    </row>
    <row r="2020" ht="14.25" customHeight="1">
      <c r="B2020" s="66" t="str">
        <f>ASTemp!B2020</f>
        <v/>
      </c>
      <c r="C2020" s="67" t="str">
        <f>ASTemp!C2020</f>
        <v/>
      </c>
      <c r="D2020" s="68" t="str">
        <f>ASTemp!D2020</f>
        <v/>
      </c>
      <c r="E2020" s="65" t="str">
        <f>ASTemp!E2020</f>
        <v/>
      </c>
      <c r="F2020" s="69" t="str">
        <f>TEXT(ASTemp!F2020,Decimals)</f>
        <v/>
      </c>
      <c r="G2020" s="69" t="str">
        <f>TEXT(ASTemp!G2020,Decimals)</f>
        <v/>
      </c>
      <c r="H2020" s="69" t="str">
        <f>TEXT(ASTemp!H2020,Decimals)</f>
        <v/>
      </c>
      <c r="I2020" s="69" t="str">
        <f>TEXT(ASTemp!I2020,Decimals)</f>
        <v/>
      </c>
      <c r="J2020" s="69" t="str">
        <f>TEXT(ASTemp!J2020,Decimals)</f>
        <v/>
      </c>
      <c r="K2020" s="69" t="str">
        <f>TEXT(ASTemp!K2020,Decimals)</f>
        <v/>
      </c>
      <c r="L2020" s="69" t="str">
        <f>TEXT(ASTemp!L2020,Decimals)</f>
        <v/>
      </c>
      <c r="M2020" s="71" t="str">
        <f>TEXT(ASTemp!M2020,Percentages)</f>
        <v/>
      </c>
      <c r="N2020" s="72" t="str">
        <f>TEXT(ASTemp!N2020,Percentages)</f>
        <v/>
      </c>
    </row>
    <row r="2021" ht="14.25" customHeight="1">
      <c r="B2021" s="66" t="str">
        <f>ASTemp!B2021</f>
        <v/>
      </c>
      <c r="C2021" s="67" t="str">
        <f>ASTemp!C2021</f>
        <v/>
      </c>
      <c r="D2021" s="68" t="str">
        <f>ASTemp!D2021</f>
        <v/>
      </c>
      <c r="E2021" s="65" t="str">
        <f>ASTemp!E2021</f>
        <v/>
      </c>
      <c r="F2021" s="69" t="str">
        <f>TEXT(ASTemp!F2021,Decimals)</f>
        <v/>
      </c>
      <c r="G2021" s="69" t="str">
        <f>TEXT(ASTemp!G2021,Decimals)</f>
        <v/>
      </c>
      <c r="H2021" s="69" t="str">
        <f>TEXT(ASTemp!H2021,Decimals)</f>
        <v/>
      </c>
      <c r="I2021" s="69" t="str">
        <f>TEXT(ASTemp!I2021,Decimals)</f>
        <v/>
      </c>
      <c r="J2021" s="69" t="str">
        <f>TEXT(ASTemp!J2021,Decimals)</f>
        <v/>
      </c>
      <c r="K2021" s="69" t="str">
        <f>TEXT(ASTemp!K2021,Decimals)</f>
        <v/>
      </c>
      <c r="L2021" s="69" t="str">
        <f>TEXT(ASTemp!L2021,Decimals)</f>
        <v/>
      </c>
      <c r="M2021" s="71" t="str">
        <f>TEXT(ASTemp!M2021,Percentages)</f>
        <v/>
      </c>
      <c r="N2021" s="72" t="str">
        <f>TEXT(ASTemp!N2021,Percentages)</f>
        <v/>
      </c>
    </row>
    <row r="2022" ht="14.25" customHeight="1">
      <c r="B2022" s="66" t="str">
        <f>ASTemp!B2022</f>
        <v/>
      </c>
      <c r="C2022" s="67" t="str">
        <f>ASTemp!C2022</f>
        <v/>
      </c>
      <c r="D2022" s="68" t="str">
        <f>ASTemp!D2022</f>
        <v/>
      </c>
      <c r="E2022" s="65" t="str">
        <f>ASTemp!E2022</f>
        <v/>
      </c>
      <c r="F2022" s="69" t="str">
        <f>TEXT(ASTemp!F2022,Decimals)</f>
        <v/>
      </c>
      <c r="G2022" s="69" t="str">
        <f>TEXT(ASTemp!G2022,Decimals)</f>
        <v/>
      </c>
      <c r="H2022" s="69" t="str">
        <f>TEXT(ASTemp!H2022,Decimals)</f>
        <v/>
      </c>
      <c r="I2022" s="69" t="str">
        <f>TEXT(ASTemp!I2022,Decimals)</f>
        <v/>
      </c>
      <c r="J2022" s="69" t="str">
        <f>TEXT(ASTemp!J2022,Decimals)</f>
        <v/>
      </c>
      <c r="K2022" s="69" t="str">
        <f>TEXT(ASTemp!K2022,Decimals)</f>
        <v/>
      </c>
      <c r="L2022" s="69" t="str">
        <f>TEXT(ASTemp!L2022,Decimals)</f>
        <v/>
      </c>
      <c r="M2022" s="71" t="str">
        <f>TEXT(ASTemp!M2022,Percentages)</f>
        <v/>
      </c>
      <c r="N2022" s="72" t="str">
        <f>TEXT(ASTemp!N2022,Percentages)</f>
        <v/>
      </c>
    </row>
    <row r="2023" ht="14.25" customHeight="1">
      <c r="B2023" s="66" t="str">
        <f>ASTemp!B2023</f>
        <v/>
      </c>
      <c r="C2023" s="67" t="str">
        <f>ASTemp!C2023</f>
        <v/>
      </c>
      <c r="D2023" s="68" t="str">
        <f>ASTemp!D2023</f>
        <v/>
      </c>
      <c r="E2023" s="65" t="str">
        <f>ASTemp!E2023</f>
        <v/>
      </c>
      <c r="F2023" s="69" t="str">
        <f>TEXT(ASTemp!F2023,Decimals)</f>
        <v/>
      </c>
      <c r="G2023" s="69" t="str">
        <f>TEXT(ASTemp!G2023,Decimals)</f>
        <v/>
      </c>
      <c r="H2023" s="69" t="str">
        <f>TEXT(ASTemp!H2023,Decimals)</f>
        <v/>
      </c>
      <c r="I2023" s="69" t="str">
        <f>TEXT(ASTemp!I2023,Decimals)</f>
        <v/>
      </c>
      <c r="J2023" s="69" t="str">
        <f>TEXT(ASTemp!J2023,Decimals)</f>
        <v/>
      </c>
      <c r="K2023" s="69" t="str">
        <f>TEXT(ASTemp!K2023,Decimals)</f>
        <v/>
      </c>
      <c r="L2023" s="69" t="str">
        <f>TEXT(ASTemp!L2023,Decimals)</f>
        <v/>
      </c>
      <c r="M2023" s="71" t="str">
        <f>TEXT(ASTemp!M2023,Percentages)</f>
        <v/>
      </c>
      <c r="N2023" s="72" t="str">
        <f>TEXT(ASTemp!N2023,Percentages)</f>
        <v/>
      </c>
    </row>
    <row r="2024" ht="14.25" customHeight="1">
      <c r="B2024" s="66" t="str">
        <f>ASTemp!B2024</f>
        <v/>
      </c>
      <c r="C2024" s="67" t="str">
        <f>ASTemp!C2024</f>
        <v/>
      </c>
      <c r="D2024" s="68" t="str">
        <f>ASTemp!D2024</f>
        <v/>
      </c>
      <c r="E2024" s="65" t="str">
        <f>ASTemp!E2024</f>
        <v/>
      </c>
      <c r="F2024" s="69" t="str">
        <f>TEXT(ASTemp!F2024,Decimals)</f>
        <v/>
      </c>
      <c r="G2024" s="69" t="str">
        <f>TEXT(ASTemp!G2024,Decimals)</f>
        <v/>
      </c>
      <c r="H2024" s="69" t="str">
        <f>TEXT(ASTemp!H2024,Decimals)</f>
        <v/>
      </c>
      <c r="I2024" s="69" t="str">
        <f>TEXT(ASTemp!I2024,Decimals)</f>
        <v/>
      </c>
      <c r="J2024" s="69" t="str">
        <f>TEXT(ASTemp!J2024,Decimals)</f>
        <v/>
      </c>
      <c r="K2024" s="69" t="str">
        <f>TEXT(ASTemp!K2024,Decimals)</f>
        <v/>
      </c>
      <c r="L2024" s="69" t="str">
        <f>TEXT(ASTemp!L2024,Decimals)</f>
        <v/>
      </c>
      <c r="M2024" s="71" t="str">
        <f>TEXT(ASTemp!M2024,Percentages)</f>
        <v/>
      </c>
      <c r="N2024" s="72" t="str">
        <f>TEXT(ASTemp!N2024,Percentages)</f>
        <v/>
      </c>
    </row>
    <row r="2025" ht="14.25" customHeight="1">
      <c r="B2025" s="66" t="str">
        <f>ASTemp!B2025</f>
        <v/>
      </c>
      <c r="C2025" s="67" t="str">
        <f>ASTemp!C2025</f>
        <v/>
      </c>
      <c r="D2025" s="68" t="str">
        <f>ASTemp!D2025</f>
        <v/>
      </c>
      <c r="E2025" s="65" t="str">
        <f>ASTemp!E2025</f>
        <v/>
      </c>
      <c r="F2025" s="69" t="str">
        <f>TEXT(ASTemp!F2025,Decimals)</f>
        <v/>
      </c>
      <c r="G2025" s="69" t="str">
        <f>TEXT(ASTemp!G2025,Decimals)</f>
        <v/>
      </c>
      <c r="H2025" s="69" t="str">
        <f>TEXT(ASTemp!H2025,Decimals)</f>
        <v/>
      </c>
      <c r="I2025" s="69" t="str">
        <f>TEXT(ASTemp!I2025,Decimals)</f>
        <v/>
      </c>
      <c r="J2025" s="69" t="str">
        <f>TEXT(ASTemp!J2025,Decimals)</f>
        <v/>
      </c>
      <c r="K2025" s="69" t="str">
        <f>TEXT(ASTemp!K2025,Decimals)</f>
        <v/>
      </c>
      <c r="L2025" s="69" t="str">
        <f>TEXT(ASTemp!L2025,Decimals)</f>
        <v/>
      </c>
      <c r="M2025" s="71" t="str">
        <f>TEXT(ASTemp!M2025,Percentages)</f>
        <v/>
      </c>
      <c r="N2025" s="72" t="str">
        <f>TEXT(ASTemp!N2025,Percentages)</f>
        <v/>
      </c>
    </row>
    <row r="2026" ht="14.25" customHeight="1">
      <c r="B2026" s="66" t="str">
        <f>ASTemp!B2026</f>
        <v/>
      </c>
      <c r="C2026" s="67" t="str">
        <f>ASTemp!C2026</f>
        <v/>
      </c>
      <c r="D2026" s="68" t="str">
        <f>ASTemp!D2026</f>
        <v/>
      </c>
      <c r="E2026" s="65" t="str">
        <f>ASTemp!E2026</f>
        <v/>
      </c>
      <c r="F2026" s="69" t="str">
        <f>TEXT(ASTemp!F2026,Decimals)</f>
        <v/>
      </c>
      <c r="G2026" s="69" t="str">
        <f>TEXT(ASTemp!G2026,Decimals)</f>
        <v/>
      </c>
      <c r="H2026" s="69" t="str">
        <f>TEXT(ASTemp!H2026,Decimals)</f>
        <v/>
      </c>
      <c r="I2026" s="69" t="str">
        <f>TEXT(ASTemp!I2026,Decimals)</f>
        <v/>
      </c>
      <c r="J2026" s="69" t="str">
        <f>TEXT(ASTemp!J2026,Decimals)</f>
        <v/>
      </c>
      <c r="K2026" s="69" t="str">
        <f>TEXT(ASTemp!K2026,Decimals)</f>
        <v/>
      </c>
      <c r="L2026" s="69" t="str">
        <f>TEXT(ASTemp!L2026,Decimals)</f>
        <v/>
      </c>
      <c r="M2026" s="71" t="str">
        <f>TEXT(ASTemp!M2026,Percentages)</f>
        <v/>
      </c>
      <c r="N2026" s="72" t="str">
        <f>TEXT(ASTemp!N2026,Percentages)</f>
        <v/>
      </c>
    </row>
    <row r="2027" ht="14.25" customHeight="1">
      <c r="B2027" s="66" t="str">
        <f>ASTemp!B2027</f>
        <v/>
      </c>
      <c r="C2027" s="67" t="str">
        <f>ASTemp!C2027</f>
        <v/>
      </c>
      <c r="D2027" s="68" t="str">
        <f>ASTemp!D2027</f>
        <v/>
      </c>
      <c r="E2027" s="65" t="str">
        <f>ASTemp!E2027</f>
        <v/>
      </c>
      <c r="F2027" s="69" t="str">
        <f>TEXT(ASTemp!F2027,Decimals)</f>
        <v/>
      </c>
      <c r="G2027" s="69" t="str">
        <f>TEXT(ASTemp!G2027,Decimals)</f>
        <v/>
      </c>
      <c r="H2027" s="69" t="str">
        <f>TEXT(ASTemp!H2027,Decimals)</f>
        <v/>
      </c>
      <c r="I2027" s="69" t="str">
        <f>TEXT(ASTemp!I2027,Decimals)</f>
        <v/>
      </c>
      <c r="J2027" s="69" t="str">
        <f>TEXT(ASTemp!J2027,Decimals)</f>
        <v/>
      </c>
      <c r="K2027" s="69" t="str">
        <f>TEXT(ASTemp!K2027,Decimals)</f>
        <v/>
      </c>
      <c r="L2027" s="69" t="str">
        <f>TEXT(ASTemp!L2027,Decimals)</f>
        <v/>
      </c>
      <c r="M2027" s="71" t="str">
        <f>TEXT(ASTemp!M2027,Percentages)</f>
        <v/>
      </c>
      <c r="N2027" s="72" t="str">
        <f>TEXT(ASTemp!N2027,Percentages)</f>
        <v/>
      </c>
    </row>
    <row r="2028" ht="14.25" customHeight="1">
      <c r="B2028" s="66" t="str">
        <f>ASTemp!B2028</f>
        <v/>
      </c>
      <c r="C2028" s="67" t="str">
        <f>ASTemp!C2028</f>
        <v/>
      </c>
      <c r="D2028" s="68" t="str">
        <f>ASTemp!D2028</f>
        <v/>
      </c>
      <c r="E2028" s="65" t="str">
        <f>ASTemp!E2028</f>
        <v/>
      </c>
      <c r="F2028" s="69" t="str">
        <f>TEXT(ASTemp!F2028,Decimals)</f>
        <v/>
      </c>
      <c r="G2028" s="69" t="str">
        <f>TEXT(ASTemp!G2028,Decimals)</f>
        <v/>
      </c>
      <c r="H2028" s="69" t="str">
        <f>TEXT(ASTemp!H2028,Decimals)</f>
        <v/>
      </c>
      <c r="I2028" s="69" t="str">
        <f>TEXT(ASTemp!I2028,Decimals)</f>
        <v/>
      </c>
      <c r="J2028" s="69" t="str">
        <f>TEXT(ASTemp!J2028,Decimals)</f>
        <v/>
      </c>
      <c r="K2028" s="69" t="str">
        <f>TEXT(ASTemp!K2028,Decimals)</f>
        <v/>
      </c>
      <c r="L2028" s="69" t="str">
        <f>TEXT(ASTemp!L2028,Decimals)</f>
        <v/>
      </c>
      <c r="M2028" s="71" t="str">
        <f>TEXT(ASTemp!M2028,Percentages)</f>
        <v/>
      </c>
      <c r="N2028" s="72" t="str">
        <f>TEXT(ASTemp!N2028,Percentages)</f>
        <v/>
      </c>
    </row>
    <row r="2029" ht="14.25" customHeight="1">
      <c r="B2029" s="66" t="str">
        <f>ASTemp!B2029</f>
        <v/>
      </c>
      <c r="C2029" s="67" t="str">
        <f>ASTemp!C2029</f>
        <v/>
      </c>
      <c r="D2029" s="68" t="str">
        <f>ASTemp!D2029</f>
        <v/>
      </c>
      <c r="E2029" s="65" t="str">
        <f>ASTemp!E2029</f>
        <v/>
      </c>
      <c r="F2029" s="69" t="str">
        <f>TEXT(ASTemp!F2029,Decimals)</f>
        <v/>
      </c>
      <c r="G2029" s="69" t="str">
        <f>TEXT(ASTemp!G2029,Decimals)</f>
        <v/>
      </c>
      <c r="H2029" s="69" t="str">
        <f>TEXT(ASTemp!H2029,Decimals)</f>
        <v/>
      </c>
      <c r="I2029" s="69" t="str">
        <f>TEXT(ASTemp!I2029,Decimals)</f>
        <v/>
      </c>
      <c r="J2029" s="69" t="str">
        <f>TEXT(ASTemp!J2029,Decimals)</f>
        <v/>
      </c>
      <c r="K2029" s="69" t="str">
        <f>TEXT(ASTemp!K2029,Decimals)</f>
        <v/>
      </c>
      <c r="L2029" s="69" t="str">
        <f>TEXT(ASTemp!L2029,Decimals)</f>
        <v/>
      </c>
      <c r="M2029" s="71" t="str">
        <f>TEXT(ASTemp!M2029,Percentages)</f>
        <v/>
      </c>
      <c r="N2029" s="72" t="str">
        <f>TEXT(ASTemp!N2029,Percentages)</f>
        <v/>
      </c>
    </row>
    <row r="2030" ht="14.25" customHeight="1">
      <c r="B2030" s="66" t="str">
        <f>ASTemp!B2030</f>
        <v/>
      </c>
      <c r="C2030" s="67" t="str">
        <f>ASTemp!C2030</f>
        <v/>
      </c>
      <c r="D2030" s="68" t="str">
        <f>ASTemp!D2030</f>
        <v/>
      </c>
      <c r="E2030" s="65" t="str">
        <f>ASTemp!E2030</f>
        <v/>
      </c>
      <c r="F2030" s="69" t="str">
        <f>TEXT(ASTemp!F2030,Decimals)</f>
        <v/>
      </c>
      <c r="G2030" s="69" t="str">
        <f>TEXT(ASTemp!G2030,Decimals)</f>
        <v/>
      </c>
      <c r="H2030" s="69" t="str">
        <f>TEXT(ASTemp!H2030,Decimals)</f>
        <v/>
      </c>
      <c r="I2030" s="69" t="str">
        <f>TEXT(ASTemp!I2030,Decimals)</f>
        <v/>
      </c>
      <c r="J2030" s="69" t="str">
        <f>TEXT(ASTemp!J2030,Decimals)</f>
        <v/>
      </c>
      <c r="K2030" s="69" t="str">
        <f>TEXT(ASTemp!K2030,Decimals)</f>
        <v/>
      </c>
      <c r="L2030" s="69" t="str">
        <f>TEXT(ASTemp!L2030,Decimals)</f>
        <v/>
      </c>
      <c r="M2030" s="71" t="str">
        <f>TEXT(ASTemp!M2030,Percentages)</f>
        <v/>
      </c>
      <c r="N2030" s="72" t="str">
        <f>TEXT(ASTemp!N2030,Percentages)</f>
        <v/>
      </c>
    </row>
    <row r="2031" ht="14.25" customHeight="1">
      <c r="B2031" s="66" t="str">
        <f>ASTemp!B2031</f>
        <v/>
      </c>
      <c r="C2031" s="67" t="str">
        <f>ASTemp!C2031</f>
        <v/>
      </c>
      <c r="D2031" s="68" t="str">
        <f>ASTemp!D2031</f>
        <v/>
      </c>
      <c r="E2031" s="65" t="str">
        <f>ASTemp!E2031</f>
        <v/>
      </c>
      <c r="F2031" s="69" t="str">
        <f>TEXT(ASTemp!F2031,Decimals)</f>
        <v/>
      </c>
      <c r="G2031" s="69" t="str">
        <f>TEXT(ASTemp!G2031,Decimals)</f>
        <v/>
      </c>
      <c r="H2031" s="69" t="str">
        <f>TEXT(ASTemp!H2031,Decimals)</f>
        <v/>
      </c>
      <c r="I2031" s="69" t="str">
        <f>TEXT(ASTemp!I2031,Decimals)</f>
        <v/>
      </c>
      <c r="J2031" s="69" t="str">
        <f>TEXT(ASTemp!J2031,Decimals)</f>
        <v/>
      </c>
      <c r="K2031" s="69" t="str">
        <f>TEXT(ASTemp!K2031,Decimals)</f>
        <v/>
      </c>
      <c r="L2031" s="69" t="str">
        <f>TEXT(ASTemp!L2031,Decimals)</f>
        <v/>
      </c>
      <c r="M2031" s="71" t="str">
        <f>TEXT(ASTemp!M2031,Percentages)</f>
        <v/>
      </c>
      <c r="N2031" s="72" t="str">
        <f>TEXT(ASTemp!N2031,Percentages)</f>
        <v/>
      </c>
    </row>
    <row r="2032" ht="14.25" customHeight="1">
      <c r="B2032" s="66" t="str">
        <f>ASTemp!B2032</f>
        <v/>
      </c>
      <c r="C2032" s="67" t="str">
        <f>ASTemp!C2032</f>
        <v/>
      </c>
      <c r="D2032" s="68" t="str">
        <f>ASTemp!D2032</f>
        <v/>
      </c>
      <c r="E2032" s="65" t="str">
        <f>ASTemp!E2032</f>
        <v/>
      </c>
      <c r="F2032" s="69" t="str">
        <f>TEXT(ASTemp!F2032,Decimals)</f>
        <v/>
      </c>
      <c r="G2032" s="69" t="str">
        <f>TEXT(ASTemp!G2032,Decimals)</f>
        <v/>
      </c>
      <c r="H2032" s="69" t="str">
        <f>TEXT(ASTemp!H2032,Decimals)</f>
        <v/>
      </c>
      <c r="I2032" s="69" t="str">
        <f>TEXT(ASTemp!I2032,Decimals)</f>
        <v/>
      </c>
      <c r="J2032" s="69" t="str">
        <f>TEXT(ASTemp!J2032,Decimals)</f>
        <v/>
      </c>
      <c r="K2032" s="69" t="str">
        <f>TEXT(ASTemp!K2032,Decimals)</f>
        <v/>
      </c>
      <c r="L2032" s="69" t="str">
        <f>TEXT(ASTemp!L2032,Decimals)</f>
        <v/>
      </c>
      <c r="M2032" s="71" t="str">
        <f>TEXT(ASTemp!M2032,Percentages)</f>
        <v/>
      </c>
      <c r="N2032" s="72" t="str">
        <f>TEXT(ASTemp!N2032,Percentages)</f>
        <v/>
      </c>
    </row>
    <row r="2033" ht="14.25" customHeight="1">
      <c r="B2033" s="66" t="str">
        <f>ASTemp!B2033</f>
        <v/>
      </c>
      <c r="C2033" s="67" t="str">
        <f>ASTemp!C2033</f>
        <v/>
      </c>
      <c r="D2033" s="68" t="str">
        <f>ASTemp!D2033</f>
        <v/>
      </c>
      <c r="E2033" s="65" t="str">
        <f>ASTemp!E2033</f>
        <v/>
      </c>
      <c r="F2033" s="69" t="str">
        <f>TEXT(ASTemp!F2033,Decimals)</f>
        <v/>
      </c>
      <c r="G2033" s="69" t="str">
        <f>TEXT(ASTemp!G2033,Decimals)</f>
        <v/>
      </c>
      <c r="H2033" s="69" t="str">
        <f>TEXT(ASTemp!H2033,Decimals)</f>
        <v/>
      </c>
      <c r="I2033" s="69" t="str">
        <f>TEXT(ASTemp!I2033,Decimals)</f>
        <v/>
      </c>
      <c r="J2033" s="69" t="str">
        <f>TEXT(ASTemp!J2033,Decimals)</f>
        <v/>
      </c>
      <c r="K2033" s="69" t="str">
        <f>TEXT(ASTemp!K2033,Decimals)</f>
        <v/>
      </c>
      <c r="L2033" s="69" t="str">
        <f>TEXT(ASTemp!L2033,Decimals)</f>
        <v/>
      </c>
      <c r="M2033" s="71" t="str">
        <f>TEXT(ASTemp!M2033,Percentages)</f>
        <v/>
      </c>
      <c r="N2033" s="72" t="str">
        <f>TEXT(ASTemp!N2033,Percentages)</f>
        <v/>
      </c>
    </row>
    <row r="2034" ht="14.25" customHeight="1">
      <c r="B2034" s="66" t="str">
        <f>ASTemp!B2034</f>
        <v/>
      </c>
      <c r="C2034" s="67" t="str">
        <f>ASTemp!C2034</f>
        <v/>
      </c>
      <c r="D2034" s="68" t="str">
        <f>ASTemp!D2034</f>
        <v/>
      </c>
      <c r="E2034" s="65" t="str">
        <f>ASTemp!E2034</f>
        <v/>
      </c>
      <c r="F2034" s="69" t="str">
        <f>TEXT(ASTemp!F2034,Decimals)</f>
        <v/>
      </c>
      <c r="G2034" s="69" t="str">
        <f>TEXT(ASTemp!G2034,Decimals)</f>
        <v/>
      </c>
      <c r="H2034" s="69" t="str">
        <f>TEXT(ASTemp!H2034,Decimals)</f>
        <v/>
      </c>
      <c r="I2034" s="69" t="str">
        <f>TEXT(ASTemp!I2034,Decimals)</f>
        <v/>
      </c>
      <c r="J2034" s="69" t="str">
        <f>TEXT(ASTemp!J2034,Decimals)</f>
        <v/>
      </c>
      <c r="K2034" s="69" t="str">
        <f>TEXT(ASTemp!K2034,Decimals)</f>
        <v/>
      </c>
      <c r="L2034" s="69" t="str">
        <f>TEXT(ASTemp!L2034,Decimals)</f>
        <v/>
      </c>
      <c r="M2034" s="71" t="str">
        <f>TEXT(ASTemp!M2034,Percentages)</f>
        <v/>
      </c>
      <c r="N2034" s="72" t="str">
        <f>TEXT(ASTemp!N2034,Percentages)</f>
        <v/>
      </c>
    </row>
    <row r="2035" ht="14.25" customHeight="1">
      <c r="B2035" s="66" t="str">
        <f>ASTemp!B2035</f>
        <v/>
      </c>
      <c r="C2035" s="67" t="str">
        <f>ASTemp!C2035</f>
        <v/>
      </c>
      <c r="D2035" s="68" t="str">
        <f>ASTemp!D2035</f>
        <v/>
      </c>
      <c r="E2035" s="65" t="str">
        <f>ASTemp!E2035</f>
        <v/>
      </c>
      <c r="F2035" s="69" t="str">
        <f>TEXT(ASTemp!F2035,Decimals)</f>
        <v/>
      </c>
      <c r="G2035" s="69" t="str">
        <f>TEXT(ASTemp!G2035,Decimals)</f>
        <v/>
      </c>
      <c r="H2035" s="69" t="str">
        <f>TEXT(ASTemp!H2035,Decimals)</f>
        <v/>
      </c>
      <c r="I2035" s="69" t="str">
        <f>TEXT(ASTemp!I2035,Decimals)</f>
        <v/>
      </c>
      <c r="J2035" s="69" t="str">
        <f>TEXT(ASTemp!J2035,Decimals)</f>
        <v/>
      </c>
      <c r="K2035" s="69" t="str">
        <f>TEXT(ASTemp!K2035,Decimals)</f>
        <v/>
      </c>
      <c r="L2035" s="69" t="str">
        <f>TEXT(ASTemp!L2035,Decimals)</f>
        <v/>
      </c>
      <c r="M2035" s="71" t="str">
        <f>TEXT(ASTemp!M2035,Percentages)</f>
        <v/>
      </c>
      <c r="N2035" s="72" t="str">
        <f>TEXT(ASTemp!N2035,Percentages)</f>
        <v/>
      </c>
    </row>
    <row r="2036" ht="14.25" customHeight="1">
      <c r="B2036" s="66" t="str">
        <f>ASTemp!B2036</f>
        <v/>
      </c>
      <c r="C2036" s="67" t="str">
        <f>ASTemp!C2036</f>
        <v/>
      </c>
      <c r="D2036" s="68" t="str">
        <f>ASTemp!D2036</f>
        <v/>
      </c>
      <c r="E2036" s="65" t="str">
        <f>ASTemp!E2036</f>
        <v/>
      </c>
      <c r="F2036" s="69" t="str">
        <f>TEXT(ASTemp!F2036,Decimals)</f>
        <v/>
      </c>
      <c r="G2036" s="69" t="str">
        <f>TEXT(ASTemp!G2036,Decimals)</f>
        <v/>
      </c>
      <c r="H2036" s="69" t="str">
        <f>TEXT(ASTemp!H2036,Decimals)</f>
        <v/>
      </c>
      <c r="I2036" s="69" t="str">
        <f>TEXT(ASTemp!I2036,Decimals)</f>
        <v/>
      </c>
      <c r="J2036" s="69" t="str">
        <f>TEXT(ASTemp!J2036,Decimals)</f>
        <v/>
      </c>
      <c r="K2036" s="69" t="str">
        <f>TEXT(ASTemp!K2036,Decimals)</f>
        <v/>
      </c>
      <c r="L2036" s="69" t="str">
        <f>TEXT(ASTemp!L2036,Decimals)</f>
        <v/>
      </c>
      <c r="M2036" s="71" t="str">
        <f>TEXT(ASTemp!M2036,Percentages)</f>
        <v/>
      </c>
      <c r="N2036" s="72" t="str">
        <f>TEXT(ASTemp!N2036,Percentages)</f>
        <v/>
      </c>
    </row>
    <row r="2037" ht="14.25" customHeight="1">
      <c r="B2037" s="66" t="str">
        <f>ASTemp!B2037</f>
        <v/>
      </c>
      <c r="C2037" s="67" t="str">
        <f>ASTemp!C2037</f>
        <v/>
      </c>
      <c r="D2037" s="68" t="str">
        <f>ASTemp!D2037</f>
        <v/>
      </c>
      <c r="E2037" s="65" t="str">
        <f>ASTemp!E2037</f>
        <v/>
      </c>
      <c r="F2037" s="69" t="str">
        <f>TEXT(ASTemp!F2037,Decimals)</f>
        <v/>
      </c>
      <c r="G2037" s="69" t="str">
        <f>TEXT(ASTemp!G2037,Decimals)</f>
        <v/>
      </c>
      <c r="H2037" s="69" t="str">
        <f>TEXT(ASTemp!H2037,Decimals)</f>
        <v/>
      </c>
      <c r="I2037" s="69" t="str">
        <f>TEXT(ASTemp!I2037,Decimals)</f>
        <v/>
      </c>
      <c r="J2037" s="69" t="str">
        <f>TEXT(ASTemp!J2037,Decimals)</f>
        <v/>
      </c>
      <c r="K2037" s="69" t="str">
        <f>TEXT(ASTemp!K2037,Decimals)</f>
        <v/>
      </c>
      <c r="L2037" s="69" t="str">
        <f>TEXT(ASTemp!L2037,Decimals)</f>
        <v/>
      </c>
      <c r="M2037" s="71" t="str">
        <f>TEXT(ASTemp!M2037,Percentages)</f>
        <v/>
      </c>
      <c r="N2037" s="72" t="str">
        <f>TEXT(ASTemp!N2037,Percentages)</f>
        <v/>
      </c>
    </row>
    <row r="2038" ht="14.25" customHeight="1">
      <c r="B2038" s="66" t="str">
        <f>ASTemp!B2038</f>
        <v/>
      </c>
      <c r="C2038" s="67" t="str">
        <f>ASTemp!C2038</f>
        <v/>
      </c>
      <c r="D2038" s="68" t="str">
        <f>ASTemp!D2038</f>
        <v/>
      </c>
      <c r="E2038" s="65" t="str">
        <f>ASTemp!E2038</f>
        <v/>
      </c>
      <c r="F2038" s="69" t="str">
        <f>TEXT(ASTemp!F2038,Decimals)</f>
        <v/>
      </c>
      <c r="G2038" s="69" t="str">
        <f>TEXT(ASTemp!G2038,Decimals)</f>
        <v/>
      </c>
      <c r="H2038" s="69" t="str">
        <f>TEXT(ASTemp!H2038,Decimals)</f>
        <v/>
      </c>
      <c r="I2038" s="69" t="str">
        <f>TEXT(ASTemp!I2038,Decimals)</f>
        <v/>
      </c>
      <c r="J2038" s="69" t="str">
        <f>TEXT(ASTemp!J2038,Decimals)</f>
        <v/>
      </c>
      <c r="K2038" s="69" t="str">
        <f>TEXT(ASTemp!K2038,Decimals)</f>
        <v/>
      </c>
      <c r="L2038" s="69" t="str">
        <f>TEXT(ASTemp!L2038,Decimals)</f>
        <v/>
      </c>
      <c r="M2038" s="71" t="str">
        <f>TEXT(ASTemp!M2038,Percentages)</f>
        <v/>
      </c>
      <c r="N2038" s="72" t="str">
        <f>TEXT(ASTemp!N2038,Percentages)</f>
        <v/>
      </c>
    </row>
    <row r="2039" ht="14.25" customHeight="1">
      <c r="B2039" s="66" t="str">
        <f>ASTemp!B2039</f>
        <v/>
      </c>
      <c r="C2039" s="67" t="str">
        <f>ASTemp!C2039</f>
        <v/>
      </c>
      <c r="D2039" s="68" t="str">
        <f>ASTemp!D2039</f>
        <v/>
      </c>
      <c r="E2039" s="65" t="str">
        <f>ASTemp!E2039</f>
        <v/>
      </c>
      <c r="F2039" s="69" t="str">
        <f>TEXT(ASTemp!F2039,Decimals)</f>
        <v/>
      </c>
      <c r="G2039" s="69" t="str">
        <f>TEXT(ASTemp!G2039,Decimals)</f>
        <v/>
      </c>
      <c r="H2039" s="69" t="str">
        <f>TEXT(ASTemp!H2039,Decimals)</f>
        <v/>
      </c>
      <c r="I2039" s="69" t="str">
        <f>TEXT(ASTemp!I2039,Decimals)</f>
        <v/>
      </c>
      <c r="J2039" s="69" t="str">
        <f>TEXT(ASTemp!J2039,Decimals)</f>
        <v/>
      </c>
      <c r="K2039" s="69" t="str">
        <f>TEXT(ASTemp!K2039,Decimals)</f>
        <v/>
      </c>
      <c r="L2039" s="69" t="str">
        <f>TEXT(ASTemp!L2039,Decimals)</f>
        <v/>
      </c>
      <c r="M2039" s="71" t="str">
        <f>TEXT(ASTemp!M2039,Percentages)</f>
        <v/>
      </c>
      <c r="N2039" s="72" t="str">
        <f>TEXT(ASTemp!N2039,Percentages)</f>
        <v/>
      </c>
    </row>
    <row r="2040" ht="14.25" customHeight="1">
      <c r="B2040" s="66" t="str">
        <f>ASTemp!B2040</f>
        <v/>
      </c>
      <c r="C2040" s="67" t="str">
        <f>ASTemp!C2040</f>
        <v/>
      </c>
      <c r="D2040" s="68" t="str">
        <f>ASTemp!D2040</f>
        <v/>
      </c>
      <c r="E2040" s="65" t="str">
        <f>ASTemp!E2040</f>
        <v/>
      </c>
      <c r="F2040" s="69" t="str">
        <f>TEXT(ASTemp!F2040,Decimals)</f>
        <v/>
      </c>
      <c r="G2040" s="69" t="str">
        <f>TEXT(ASTemp!G2040,Decimals)</f>
        <v/>
      </c>
      <c r="H2040" s="69" t="str">
        <f>TEXT(ASTemp!H2040,Decimals)</f>
        <v/>
      </c>
      <c r="I2040" s="69" t="str">
        <f>TEXT(ASTemp!I2040,Decimals)</f>
        <v/>
      </c>
      <c r="J2040" s="69" t="str">
        <f>TEXT(ASTemp!J2040,Decimals)</f>
        <v/>
      </c>
      <c r="K2040" s="69" t="str">
        <f>TEXT(ASTemp!K2040,Decimals)</f>
        <v/>
      </c>
      <c r="L2040" s="69" t="str">
        <f>TEXT(ASTemp!L2040,Decimals)</f>
        <v/>
      </c>
      <c r="M2040" s="71" t="str">
        <f>TEXT(ASTemp!M2040,Percentages)</f>
        <v/>
      </c>
      <c r="N2040" s="72" t="str">
        <f>TEXT(ASTemp!N2040,Percentages)</f>
        <v/>
      </c>
    </row>
    <row r="2041" ht="14.25" customHeight="1">
      <c r="B2041" s="66" t="str">
        <f>ASTemp!B2041</f>
        <v/>
      </c>
      <c r="C2041" s="67" t="str">
        <f>ASTemp!C2041</f>
        <v/>
      </c>
      <c r="D2041" s="68" t="str">
        <f>ASTemp!D2041</f>
        <v/>
      </c>
      <c r="E2041" s="65" t="str">
        <f>ASTemp!E2041</f>
        <v/>
      </c>
      <c r="F2041" s="69" t="str">
        <f>TEXT(ASTemp!F2041,Decimals)</f>
        <v/>
      </c>
      <c r="G2041" s="69" t="str">
        <f>TEXT(ASTemp!G2041,Decimals)</f>
        <v/>
      </c>
      <c r="H2041" s="69" t="str">
        <f>TEXT(ASTemp!H2041,Decimals)</f>
        <v/>
      </c>
      <c r="I2041" s="69" t="str">
        <f>TEXT(ASTemp!I2041,Decimals)</f>
        <v/>
      </c>
      <c r="J2041" s="69" t="str">
        <f>TEXT(ASTemp!J2041,Decimals)</f>
        <v/>
      </c>
      <c r="K2041" s="69" t="str">
        <f>TEXT(ASTemp!K2041,Decimals)</f>
        <v/>
      </c>
      <c r="L2041" s="69" t="str">
        <f>TEXT(ASTemp!L2041,Decimals)</f>
        <v/>
      </c>
      <c r="M2041" s="71" t="str">
        <f>TEXT(ASTemp!M2041,Percentages)</f>
        <v/>
      </c>
      <c r="N2041" s="72" t="str">
        <f>TEXT(ASTemp!N2041,Percentages)</f>
        <v/>
      </c>
    </row>
    <row r="2042" ht="14.25" customHeight="1">
      <c r="B2042" s="66" t="str">
        <f>ASTemp!B2042</f>
        <v/>
      </c>
      <c r="C2042" s="67" t="str">
        <f>ASTemp!C2042</f>
        <v/>
      </c>
      <c r="D2042" s="68" t="str">
        <f>ASTemp!D2042</f>
        <v/>
      </c>
      <c r="E2042" s="65" t="str">
        <f>ASTemp!E2042</f>
        <v/>
      </c>
      <c r="F2042" s="69" t="str">
        <f>TEXT(ASTemp!F2042,Decimals)</f>
        <v/>
      </c>
      <c r="G2042" s="69" t="str">
        <f>TEXT(ASTemp!G2042,Decimals)</f>
        <v/>
      </c>
      <c r="H2042" s="69" t="str">
        <f>TEXT(ASTemp!H2042,Decimals)</f>
        <v/>
      </c>
      <c r="I2042" s="69" t="str">
        <f>TEXT(ASTemp!I2042,Decimals)</f>
        <v/>
      </c>
      <c r="J2042" s="69" t="str">
        <f>TEXT(ASTemp!J2042,Decimals)</f>
        <v/>
      </c>
      <c r="K2042" s="69" t="str">
        <f>TEXT(ASTemp!K2042,Decimals)</f>
        <v/>
      </c>
      <c r="L2042" s="69" t="str">
        <f>TEXT(ASTemp!L2042,Decimals)</f>
        <v/>
      </c>
      <c r="M2042" s="71" t="str">
        <f>TEXT(ASTemp!M2042,Percentages)</f>
        <v/>
      </c>
      <c r="N2042" s="72" t="str">
        <f>TEXT(ASTemp!N2042,Percentages)</f>
        <v/>
      </c>
    </row>
    <row r="2043" ht="14.25" customHeight="1">
      <c r="B2043" s="66" t="str">
        <f>ASTemp!B2043</f>
        <v/>
      </c>
      <c r="C2043" s="67" t="str">
        <f>ASTemp!C2043</f>
        <v/>
      </c>
      <c r="D2043" s="68" t="str">
        <f>ASTemp!D2043</f>
        <v/>
      </c>
      <c r="E2043" s="65" t="str">
        <f>ASTemp!E2043</f>
        <v/>
      </c>
      <c r="F2043" s="69" t="str">
        <f>TEXT(ASTemp!F2043,Decimals)</f>
        <v/>
      </c>
      <c r="G2043" s="69" t="str">
        <f>TEXT(ASTemp!G2043,Decimals)</f>
        <v/>
      </c>
      <c r="H2043" s="69" t="str">
        <f>TEXT(ASTemp!H2043,Decimals)</f>
        <v/>
      </c>
      <c r="I2043" s="69" t="str">
        <f>TEXT(ASTemp!I2043,Decimals)</f>
        <v/>
      </c>
      <c r="J2043" s="69" t="str">
        <f>TEXT(ASTemp!J2043,Decimals)</f>
        <v/>
      </c>
      <c r="K2043" s="69" t="str">
        <f>TEXT(ASTemp!K2043,Decimals)</f>
        <v/>
      </c>
      <c r="L2043" s="69" t="str">
        <f>TEXT(ASTemp!L2043,Decimals)</f>
        <v/>
      </c>
      <c r="M2043" s="71" t="str">
        <f>TEXT(ASTemp!M2043,Percentages)</f>
        <v/>
      </c>
      <c r="N2043" s="72" t="str">
        <f>TEXT(ASTemp!N2043,Percentages)</f>
        <v/>
      </c>
    </row>
    <row r="2044" ht="14.25" customHeight="1">
      <c r="B2044" s="66" t="str">
        <f>ASTemp!B2044</f>
        <v/>
      </c>
      <c r="C2044" s="67" t="str">
        <f>ASTemp!C2044</f>
        <v/>
      </c>
      <c r="D2044" s="68" t="str">
        <f>ASTemp!D2044</f>
        <v/>
      </c>
      <c r="E2044" s="65" t="str">
        <f>ASTemp!E2044</f>
        <v/>
      </c>
      <c r="F2044" s="69" t="str">
        <f>TEXT(ASTemp!F2044,Decimals)</f>
        <v/>
      </c>
      <c r="G2044" s="69" t="str">
        <f>TEXT(ASTemp!G2044,Decimals)</f>
        <v/>
      </c>
      <c r="H2044" s="69" t="str">
        <f>TEXT(ASTemp!H2044,Decimals)</f>
        <v/>
      </c>
      <c r="I2044" s="69" t="str">
        <f>TEXT(ASTemp!I2044,Decimals)</f>
        <v/>
      </c>
      <c r="J2044" s="69" t="str">
        <f>TEXT(ASTemp!J2044,Decimals)</f>
        <v/>
      </c>
      <c r="K2044" s="69" t="str">
        <f>TEXT(ASTemp!K2044,Decimals)</f>
        <v/>
      </c>
      <c r="L2044" s="69" t="str">
        <f>TEXT(ASTemp!L2044,Decimals)</f>
        <v/>
      </c>
      <c r="M2044" s="71" t="str">
        <f>TEXT(ASTemp!M2044,Percentages)</f>
        <v/>
      </c>
      <c r="N2044" s="72" t="str">
        <f>TEXT(ASTemp!N2044,Percentages)</f>
        <v/>
      </c>
    </row>
    <row r="2045" ht="14.25" customHeight="1">
      <c r="B2045" s="66" t="str">
        <f>ASTemp!B2045</f>
        <v/>
      </c>
      <c r="C2045" s="67" t="str">
        <f>ASTemp!C2045</f>
        <v/>
      </c>
      <c r="D2045" s="68" t="str">
        <f>ASTemp!D2045</f>
        <v/>
      </c>
      <c r="E2045" s="65" t="str">
        <f>ASTemp!E2045</f>
        <v/>
      </c>
      <c r="F2045" s="69" t="str">
        <f>TEXT(ASTemp!F2045,Decimals)</f>
        <v/>
      </c>
      <c r="G2045" s="69" t="str">
        <f>TEXT(ASTemp!G2045,Decimals)</f>
        <v/>
      </c>
      <c r="H2045" s="69" t="str">
        <f>TEXT(ASTemp!H2045,Decimals)</f>
        <v/>
      </c>
      <c r="I2045" s="69" t="str">
        <f>TEXT(ASTemp!I2045,Decimals)</f>
        <v/>
      </c>
      <c r="J2045" s="69" t="str">
        <f>TEXT(ASTemp!J2045,Decimals)</f>
        <v/>
      </c>
      <c r="K2045" s="69" t="str">
        <f>TEXT(ASTemp!K2045,Decimals)</f>
        <v/>
      </c>
      <c r="L2045" s="69" t="str">
        <f>TEXT(ASTemp!L2045,Decimals)</f>
        <v/>
      </c>
      <c r="M2045" s="71" t="str">
        <f>TEXT(ASTemp!M2045,Percentages)</f>
        <v/>
      </c>
      <c r="N2045" s="72" t="str">
        <f>TEXT(ASTemp!N2045,Percentages)</f>
        <v/>
      </c>
    </row>
    <row r="2046" ht="14.25" customHeight="1">
      <c r="B2046" s="66" t="str">
        <f>ASTemp!B2046</f>
        <v/>
      </c>
      <c r="C2046" s="67" t="str">
        <f>ASTemp!C2046</f>
        <v/>
      </c>
      <c r="D2046" s="68" t="str">
        <f>ASTemp!D2046</f>
        <v/>
      </c>
      <c r="E2046" s="65" t="str">
        <f>ASTemp!E2046</f>
        <v/>
      </c>
      <c r="F2046" s="69" t="str">
        <f>TEXT(ASTemp!F2046,Decimals)</f>
        <v/>
      </c>
      <c r="G2046" s="69" t="str">
        <f>TEXT(ASTemp!G2046,Decimals)</f>
        <v/>
      </c>
      <c r="H2046" s="69" t="str">
        <f>TEXT(ASTemp!H2046,Decimals)</f>
        <v/>
      </c>
      <c r="I2046" s="69" t="str">
        <f>TEXT(ASTemp!I2046,Decimals)</f>
        <v/>
      </c>
      <c r="J2046" s="69" t="str">
        <f>TEXT(ASTemp!J2046,Decimals)</f>
        <v/>
      </c>
      <c r="K2046" s="69" t="str">
        <f>TEXT(ASTemp!K2046,Decimals)</f>
        <v/>
      </c>
      <c r="L2046" s="69" t="str">
        <f>TEXT(ASTemp!L2046,Decimals)</f>
        <v/>
      </c>
      <c r="M2046" s="71" t="str">
        <f>TEXT(ASTemp!M2046,Percentages)</f>
        <v/>
      </c>
      <c r="N2046" s="72" t="str">
        <f>TEXT(ASTemp!N2046,Percentages)</f>
        <v/>
      </c>
    </row>
    <row r="2047" ht="14.25" customHeight="1">
      <c r="B2047" s="66" t="str">
        <f>ASTemp!B2047</f>
        <v/>
      </c>
      <c r="C2047" s="67" t="str">
        <f>ASTemp!C2047</f>
        <v/>
      </c>
      <c r="D2047" s="68" t="str">
        <f>ASTemp!D2047</f>
        <v/>
      </c>
      <c r="E2047" s="65" t="str">
        <f>ASTemp!E2047</f>
        <v/>
      </c>
      <c r="F2047" s="69" t="str">
        <f>TEXT(ASTemp!F2047,Decimals)</f>
        <v/>
      </c>
      <c r="G2047" s="69" t="str">
        <f>TEXT(ASTemp!G2047,Decimals)</f>
        <v/>
      </c>
      <c r="H2047" s="69" t="str">
        <f>TEXT(ASTemp!H2047,Decimals)</f>
        <v/>
      </c>
      <c r="I2047" s="69" t="str">
        <f>TEXT(ASTemp!I2047,Decimals)</f>
        <v/>
      </c>
      <c r="J2047" s="69" t="str">
        <f>TEXT(ASTemp!J2047,Decimals)</f>
        <v/>
      </c>
      <c r="K2047" s="69" t="str">
        <f>TEXT(ASTemp!K2047,Decimals)</f>
        <v/>
      </c>
      <c r="L2047" s="69" t="str">
        <f>TEXT(ASTemp!L2047,Decimals)</f>
        <v/>
      </c>
      <c r="M2047" s="71" t="str">
        <f>TEXT(ASTemp!M2047,Percentages)</f>
        <v/>
      </c>
      <c r="N2047" s="72" t="str">
        <f>TEXT(ASTemp!N2047,Percentages)</f>
        <v/>
      </c>
    </row>
    <row r="2048" ht="14.25" customHeight="1">
      <c r="B2048" s="66" t="str">
        <f>ASTemp!B2048</f>
        <v/>
      </c>
      <c r="C2048" s="67" t="str">
        <f>ASTemp!C2048</f>
        <v/>
      </c>
      <c r="D2048" s="68" t="str">
        <f>ASTemp!D2048</f>
        <v/>
      </c>
      <c r="E2048" s="65" t="str">
        <f>ASTemp!E2048</f>
        <v/>
      </c>
      <c r="F2048" s="69" t="str">
        <f>TEXT(ASTemp!F2048,Decimals)</f>
        <v/>
      </c>
      <c r="G2048" s="69" t="str">
        <f>TEXT(ASTemp!G2048,Decimals)</f>
        <v/>
      </c>
      <c r="H2048" s="69" t="str">
        <f>TEXT(ASTemp!H2048,Decimals)</f>
        <v/>
      </c>
      <c r="I2048" s="69" t="str">
        <f>TEXT(ASTemp!I2048,Decimals)</f>
        <v/>
      </c>
      <c r="J2048" s="69" t="str">
        <f>TEXT(ASTemp!J2048,Decimals)</f>
        <v/>
      </c>
      <c r="K2048" s="69" t="str">
        <f>TEXT(ASTemp!K2048,Decimals)</f>
        <v/>
      </c>
      <c r="L2048" s="69" t="str">
        <f>TEXT(ASTemp!L2048,Decimals)</f>
        <v/>
      </c>
      <c r="M2048" s="71" t="str">
        <f>TEXT(ASTemp!M2048,Percentages)</f>
        <v/>
      </c>
      <c r="N2048" s="72" t="str">
        <f>TEXT(ASTemp!N2048,Percentages)</f>
        <v/>
      </c>
    </row>
    <row r="2049" ht="14.25" customHeight="1">
      <c r="B2049" s="66" t="str">
        <f>ASTemp!B2049</f>
        <v/>
      </c>
      <c r="C2049" s="67" t="str">
        <f>ASTemp!C2049</f>
        <v/>
      </c>
      <c r="D2049" s="68" t="str">
        <f>ASTemp!D2049</f>
        <v/>
      </c>
      <c r="E2049" s="65" t="str">
        <f>ASTemp!E2049</f>
        <v/>
      </c>
      <c r="F2049" s="69" t="str">
        <f>TEXT(ASTemp!F2049,Decimals)</f>
        <v/>
      </c>
      <c r="G2049" s="69" t="str">
        <f>TEXT(ASTemp!G2049,Decimals)</f>
        <v/>
      </c>
      <c r="H2049" s="69" t="str">
        <f>TEXT(ASTemp!H2049,Decimals)</f>
        <v/>
      </c>
      <c r="I2049" s="69" t="str">
        <f>TEXT(ASTemp!I2049,Decimals)</f>
        <v/>
      </c>
      <c r="J2049" s="69" t="str">
        <f>TEXT(ASTemp!J2049,Decimals)</f>
        <v/>
      </c>
      <c r="K2049" s="69" t="str">
        <f>TEXT(ASTemp!K2049,Decimals)</f>
        <v/>
      </c>
      <c r="L2049" s="69" t="str">
        <f>TEXT(ASTemp!L2049,Decimals)</f>
        <v/>
      </c>
      <c r="M2049" s="71" t="str">
        <f>TEXT(ASTemp!M2049,Percentages)</f>
        <v/>
      </c>
      <c r="N2049" s="72" t="str">
        <f>TEXT(ASTemp!N2049,Percentages)</f>
        <v/>
      </c>
    </row>
    <row r="2050" ht="14.25" customHeight="1">
      <c r="B2050" s="66" t="str">
        <f>ASTemp!B2050</f>
        <v/>
      </c>
      <c r="C2050" s="67" t="str">
        <f>ASTemp!C2050</f>
        <v/>
      </c>
      <c r="D2050" s="68" t="str">
        <f>ASTemp!D2050</f>
        <v/>
      </c>
      <c r="E2050" s="65" t="str">
        <f>ASTemp!E2050</f>
        <v/>
      </c>
      <c r="F2050" s="69" t="str">
        <f>TEXT(ASTemp!F2050,Decimals)</f>
        <v/>
      </c>
      <c r="G2050" s="69" t="str">
        <f>TEXT(ASTemp!G2050,Decimals)</f>
        <v/>
      </c>
      <c r="H2050" s="69" t="str">
        <f>TEXT(ASTemp!H2050,Decimals)</f>
        <v/>
      </c>
      <c r="I2050" s="69" t="str">
        <f>TEXT(ASTemp!I2050,Decimals)</f>
        <v/>
      </c>
      <c r="J2050" s="69" t="str">
        <f>TEXT(ASTemp!J2050,Decimals)</f>
        <v/>
      </c>
      <c r="K2050" s="69" t="str">
        <f>TEXT(ASTemp!K2050,Decimals)</f>
        <v/>
      </c>
      <c r="L2050" s="69" t="str">
        <f>TEXT(ASTemp!L2050,Decimals)</f>
        <v/>
      </c>
      <c r="M2050" s="71" t="str">
        <f>TEXT(ASTemp!M2050,Percentages)</f>
        <v/>
      </c>
      <c r="N2050" s="72" t="str">
        <f>TEXT(ASTemp!N2050,Percentages)</f>
        <v/>
      </c>
    </row>
    <row r="2051" ht="14.25" customHeight="1">
      <c r="B2051" s="66" t="str">
        <f>ASTemp!B2051</f>
        <v/>
      </c>
      <c r="C2051" s="67" t="str">
        <f>ASTemp!C2051</f>
        <v/>
      </c>
      <c r="D2051" s="68" t="str">
        <f>ASTemp!D2051</f>
        <v/>
      </c>
      <c r="E2051" s="65" t="str">
        <f>ASTemp!E2051</f>
        <v/>
      </c>
      <c r="F2051" s="69" t="str">
        <f>TEXT(ASTemp!F2051,Decimals)</f>
        <v/>
      </c>
      <c r="G2051" s="69" t="str">
        <f>TEXT(ASTemp!G2051,Decimals)</f>
        <v/>
      </c>
      <c r="H2051" s="69" t="str">
        <f>TEXT(ASTemp!H2051,Decimals)</f>
        <v/>
      </c>
      <c r="I2051" s="69" t="str">
        <f>TEXT(ASTemp!I2051,Decimals)</f>
        <v/>
      </c>
      <c r="J2051" s="69" t="str">
        <f>TEXT(ASTemp!J2051,Decimals)</f>
        <v/>
      </c>
      <c r="K2051" s="69" t="str">
        <f>TEXT(ASTemp!K2051,Decimals)</f>
        <v/>
      </c>
      <c r="L2051" s="69" t="str">
        <f>TEXT(ASTemp!L2051,Decimals)</f>
        <v/>
      </c>
      <c r="M2051" s="71" t="str">
        <f>TEXT(ASTemp!M2051,Percentages)</f>
        <v/>
      </c>
      <c r="N2051" s="72" t="str">
        <f>TEXT(ASTemp!N2051,Percentages)</f>
        <v/>
      </c>
    </row>
    <row r="2052" ht="14.25" customHeight="1">
      <c r="B2052" s="66" t="str">
        <f>ASTemp!B2052</f>
        <v/>
      </c>
      <c r="C2052" s="67" t="str">
        <f>ASTemp!C2052</f>
        <v/>
      </c>
      <c r="D2052" s="68" t="str">
        <f>ASTemp!D2052</f>
        <v/>
      </c>
      <c r="E2052" s="65" t="str">
        <f>ASTemp!E2052</f>
        <v/>
      </c>
      <c r="F2052" s="69" t="str">
        <f>TEXT(ASTemp!F2052,Decimals)</f>
        <v/>
      </c>
      <c r="G2052" s="69" t="str">
        <f>TEXT(ASTemp!G2052,Decimals)</f>
        <v/>
      </c>
      <c r="H2052" s="69" t="str">
        <f>TEXT(ASTemp!H2052,Decimals)</f>
        <v/>
      </c>
      <c r="I2052" s="69" t="str">
        <f>TEXT(ASTemp!I2052,Decimals)</f>
        <v/>
      </c>
      <c r="J2052" s="69" t="str">
        <f>TEXT(ASTemp!J2052,Decimals)</f>
        <v/>
      </c>
      <c r="K2052" s="69" t="str">
        <f>TEXT(ASTemp!K2052,Decimals)</f>
        <v/>
      </c>
      <c r="L2052" s="69" t="str">
        <f>TEXT(ASTemp!L2052,Decimals)</f>
        <v/>
      </c>
      <c r="M2052" s="71" t="str">
        <f>TEXT(ASTemp!M2052,Percentages)</f>
        <v/>
      </c>
      <c r="N2052" s="72" t="str">
        <f>TEXT(ASTemp!N2052,Percentages)</f>
        <v/>
      </c>
    </row>
    <row r="2053" ht="14.25" customHeight="1">
      <c r="B2053" s="66" t="str">
        <f>ASTemp!B2053</f>
        <v/>
      </c>
      <c r="C2053" s="67" t="str">
        <f>ASTemp!C2053</f>
        <v/>
      </c>
      <c r="D2053" s="68" t="str">
        <f>ASTemp!D2053</f>
        <v/>
      </c>
      <c r="E2053" s="65" t="str">
        <f>ASTemp!E2053</f>
        <v/>
      </c>
      <c r="F2053" s="69" t="str">
        <f>TEXT(ASTemp!F2053,Decimals)</f>
        <v/>
      </c>
      <c r="G2053" s="69" t="str">
        <f>TEXT(ASTemp!G2053,Decimals)</f>
        <v/>
      </c>
      <c r="H2053" s="69" t="str">
        <f>TEXT(ASTemp!H2053,Decimals)</f>
        <v/>
      </c>
      <c r="I2053" s="69" t="str">
        <f>TEXT(ASTemp!I2053,Decimals)</f>
        <v/>
      </c>
      <c r="J2053" s="69" t="str">
        <f>TEXT(ASTemp!J2053,Decimals)</f>
        <v/>
      </c>
      <c r="K2053" s="69" t="str">
        <f>TEXT(ASTemp!K2053,Decimals)</f>
        <v/>
      </c>
      <c r="L2053" s="69" t="str">
        <f>TEXT(ASTemp!L2053,Decimals)</f>
        <v/>
      </c>
      <c r="M2053" s="71" t="str">
        <f>TEXT(ASTemp!M2053,Percentages)</f>
        <v/>
      </c>
      <c r="N2053" s="72" t="str">
        <f>TEXT(ASTemp!N2053,Percentages)</f>
        <v/>
      </c>
    </row>
    <row r="2054" ht="14.25" customHeight="1">
      <c r="B2054" s="66" t="str">
        <f>ASTemp!B2054</f>
        <v/>
      </c>
      <c r="C2054" s="67" t="str">
        <f>ASTemp!C2054</f>
        <v/>
      </c>
      <c r="D2054" s="68" t="str">
        <f>ASTemp!D2054</f>
        <v/>
      </c>
      <c r="E2054" s="65" t="str">
        <f>ASTemp!E2054</f>
        <v/>
      </c>
      <c r="F2054" s="69" t="str">
        <f>TEXT(ASTemp!F2054,Decimals)</f>
        <v/>
      </c>
      <c r="G2054" s="69" t="str">
        <f>TEXT(ASTemp!G2054,Decimals)</f>
        <v/>
      </c>
      <c r="H2054" s="69" t="str">
        <f>TEXT(ASTemp!H2054,Decimals)</f>
        <v/>
      </c>
      <c r="I2054" s="69" t="str">
        <f>TEXT(ASTemp!I2054,Decimals)</f>
        <v/>
      </c>
      <c r="J2054" s="69" t="str">
        <f>TEXT(ASTemp!J2054,Decimals)</f>
        <v/>
      </c>
      <c r="K2054" s="69" t="str">
        <f>TEXT(ASTemp!K2054,Decimals)</f>
        <v/>
      </c>
      <c r="L2054" s="69" t="str">
        <f>TEXT(ASTemp!L2054,Decimals)</f>
        <v/>
      </c>
      <c r="M2054" s="71" t="str">
        <f>TEXT(ASTemp!M2054,Percentages)</f>
        <v/>
      </c>
      <c r="N2054" s="72" t="str">
        <f>TEXT(ASTemp!N2054,Percentages)</f>
        <v/>
      </c>
    </row>
    <row r="2055" ht="14.25" customHeight="1">
      <c r="B2055" s="66" t="str">
        <f>ASTemp!B2055</f>
        <v/>
      </c>
      <c r="C2055" s="67" t="str">
        <f>ASTemp!C2055</f>
        <v/>
      </c>
      <c r="D2055" s="68" t="str">
        <f>ASTemp!D2055</f>
        <v/>
      </c>
      <c r="E2055" s="65" t="str">
        <f>ASTemp!E2055</f>
        <v/>
      </c>
      <c r="F2055" s="69" t="str">
        <f>TEXT(ASTemp!F2055,Decimals)</f>
        <v/>
      </c>
      <c r="G2055" s="69" t="str">
        <f>TEXT(ASTemp!G2055,Decimals)</f>
        <v/>
      </c>
      <c r="H2055" s="69" t="str">
        <f>TEXT(ASTemp!H2055,Decimals)</f>
        <v/>
      </c>
      <c r="I2055" s="69" t="str">
        <f>TEXT(ASTemp!I2055,Decimals)</f>
        <v/>
      </c>
      <c r="J2055" s="69" t="str">
        <f>TEXT(ASTemp!J2055,Decimals)</f>
        <v/>
      </c>
      <c r="K2055" s="69" t="str">
        <f>TEXT(ASTemp!K2055,Decimals)</f>
        <v/>
      </c>
      <c r="L2055" s="69" t="str">
        <f>TEXT(ASTemp!L2055,Decimals)</f>
        <v/>
      </c>
      <c r="M2055" s="71" t="str">
        <f>TEXT(ASTemp!M2055,Percentages)</f>
        <v/>
      </c>
      <c r="N2055" s="72" t="str">
        <f>TEXT(ASTemp!N2055,Percentages)</f>
        <v/>
      </c>
    </row>
    <row r="2056" ht="14.25" customHeight="1">
      <c r="B2056" s="66" t="str">
        <f>ASTemp!B2056</f>
        <v/>
      </c>
      <c r="C2056" s="67" t="str">
        <f>ASTemp!C2056</f>
        <v/>
      </c>
      <c r="D2056" s="68" t="str">
        <f>ASTemp!D2056</f>
        <v/>
      </c>
      <c r="E2056" s="65" t="str">
        <f>ASTemp!E2056</f>
        <v/>
      </c>
      <c r="F2056" s="69" t="str">
        <f>TEXT(ASTemp!F2056,Decimals)</f>
        <v/>
      </c>
      <c r="G2056" s="69" t="str">
        <f>TEXT(ASTemp!G2056,Decimals)</f>
        <v/>
      </c>
      <c r="H2056" s="69" t="str">
        <f>TEXT(ASTemp!H2056,Decimals)</f>
        <v/>
      </c>
      <c r="I2056" s="69" t="str">
        <f>TEXT(ASTemp!I2056,Decimals)</f>
        <v/>
      </c>
      <c r="J2056" s="69" t="str">
        <f>TEXT(ASTemp!J2056,Decimals)</f>
        <v/>
      </c>
      <c r="K2056" s="69" t="str">
        <f>TEXT(ASTemp!K2056,Decimals)</f>
        <v/>
      </c>
      <c r="L2056" s="69" t="str">
        <f>TEXT(ASTemp!L2056,Decimals)</f>
        <v/>
      </c>
      <c r="M2056" s="71" t="str">
        <f>TEXT(ASTemp!M2056,Percentages)</f>
        <v/>
      </c>
      <c r="N2056" s="72" t="str">
        <f>TEXT(ASTemp!N2056,Percentages)</f>
        <v/>
      </c>
    </row>
    <row r="2057" ht="14.25" customHeight="1">
      <c r="B2057" s="66" t="str">
        <f>ASTemp!B2057</f>
        <v/>
      </c>
      <c r="C2057" s="67" t="str">
        <f>ASTemp!C2057</f>
        <v/>
      </c>
      <c r="D2057" s="68" t="str">
        <f>ASTemp!D2057</f>
        <v/>
      </c>
      <c r="E2057" s="65" t="str">
        <f>ASTemp!E2057</f>
        <v/>
      </c>
      <c r="F2057" s="69" t="str">
        <f>TEXT(ASTemp!F2057,Decimals)</f>
        <v/>
      </c>
      <c r="G2057" s="69" t="str">
        <f>TEXT(ASTemp!G2057,Decimals)</f>
        <v/>
      </c>
      <c r="H2057" s="69" t="str">
        <f>TEXT(ASTemp!H2057,Decimals)</f>
        <v/>
      </c>
      <c r="I2057" s="69" t="str">
        <f>TEXT(ASTemp!I2057,Decimals)</f>
        <v/>
      </c>
      <c r="J2057" s="69" t="str">
        <f>TEXT(ASTemp!J2057,Decimals)</f>
        <v/>
      </c>
      <c r="K2057" s="69" t="str">
        <f>TEXT(ASTemp!K2057,Decimals)</f>
        <v/>
      </c>
      <c r="L2057" s="69" t="str">
        <f>TEXT(ASTemp!L2057,Decimals)</f>
        <v/>
      </c>
      <c r="M2057" s="71" t="str">
        <f>TEXT(ASTemp!M2057,Percentages)</f>
        <v/>
      </c>
      <c r="N2057" s="72" t="str">
        <f>TEXT(ASTemp!N2057,Percentages)</f>
        <v/>
      </c>
    </row>
    <row r="2058" ht="14.25" customHeight="1">
      <c r="B2058" s="66" t="str">
        <f>ASTemp!B2058</f>
        <v/>
      </c>
      <c r="C2058" s="67" t="str">
        <f>ASTemp!C2058</f>
        <v/>
      </c>
      <c r="D2058" s="68" t="str">
        <f>ASTemp!D2058</f>
        <v/>
      </c>
      <c r="E2058" s="65" t="str">
        <f>ASTemp!E2058</f>
        <v/>
      </c>
      <c r="F2058" s="69" t="str">
        <f>TEXT(ASTemp!F2058,Decimals)</f>
        <v/>
      </c>
      <c r="G2058" s="69" t="str">
        <f>TEXT(ASTemp!G2058,Decimals)</f>
        <v/>
      </c>
      <c r="H2058" s="69" t="str">
        <f>TEXT(ASTemp!H2058,Decimals)</f>
        <v/>
      </c>
      <c r="I2058" s="69" t="str">
        <f>TEXT(ASTemp!I2058,Decimals)</f>
        <v/>
      </c>
      <c r="J2058" s="69" t="str">
        <f>TEXT(ASTemp!J2058,Decimals)</f>
        <v/>
      </c>
      <c r="K2058" s="69" t="str">
        <f>TEXT(ASTemp!K2058,Decimals)</f>
        <v/>
      </c>
      <c r="L2058" s="69" t="str">
        <f>TEXT(ASTemp!L2058,Decimals)</f>
        <v/>
      </c>
      <c r="M2058" s="71" t="str">
        <f>TEXT(ASTemp!M2058,Percentages)</f>
        <v/>
      </c>
      <c r="N2058" s="72" t="str">
        <f>TEXT(ASTemp!N2058,Percentages)</f>
        <v/>
      </c>
    </row>
    <row r="2059" ht="14.25" customHeight="1">
      <c r="B2059" s="66" t="str">
        <f>ASTemp!B2059</f>
        <v/>
      </c>
      <c r="C2059" s="67" t="str">
        <f>ASTemp!C2059</f>
        <v/>
      </c>
      <c r="D2059" s="68" t="str">
        <f>ASTemp!D2059</f>
        <v/>
      </c>
      <c r="E2059" s="65" t="str">
        <f>ASTemp!E2059</f>
        <v/>
      </c>
      <c r="F2059" s="69" t="str">
        <f>TEXT(ASTemp!F2059,Decimals)</f>
        <v/>
      </c>
      <c r="G2059" s="69" t="str">
        <f>TEXT(ASTemp!G2059,Decimals)</f>
        <v/>
      </c>
      <c r="H2059" s="69" t="str">
        <f>TEXT(ASTemp!H2059,Decimals)</f>
        <v/>
      </c>
      <c r="I2059" s="69" t="str">
        <f>TEXT(ASTemp!I2059,Decimals)</f>
        <v/>
      </c>
      <c r="J2059" s="69" t="str">
        <f>TEXT(ASTemp!J2059,Decimals)</f>
        <v/>
      </c>
      <c r="K2059" s="69" t="str">
        <f>TEXT(ASTemp!K2059,Decimals)</f>
        <v/>
      </c>
      <c r="L2059" s="69" t="str">
        <f>TEXT(ASTemp!L2059,Decimals)</f>
        <v/>
      </c>
      <c r="M2059" s="71" t="str">
        <f>TEXT(ASTemp!M2059,Percentages)</f>
        <v/>
      </c>
      <c r="N2059" s="72" t="str">
        <f>TEXT(ASTemp!N2059,Percentages)</f>
        <v/>
      </c>
    </row>
    <row r="2060" ht="14.25" customHeight="1">
      <c r="B2060" s="66" t="str">
        <f>ASTemp!B2060</f>
        <v/>
      </c>
      <c r="C2060" s="67" t="str">
        <f>ASTemp!C2060</f>
        <v/>
      </c>
      <c r="D2060" s="68" t="str">
        <f>ASTemp!D2060</f>
        <v/>
      </c>
      <c r="E2060" s="65" t="str">
        <f>ASTemp!E2060</f>
        <v/>
      </c>
      <c r="F2060" s="69" t="str">
        <f>TEXT(ASTemp!F2060,Decimals)</f>
        <v/>
      </c>
      <c r="G2060" s="69" t="str">
        <f>TEXT(ASTemp!G2060,Decimals)</f>
        <v/>
      </c>
      <c r="H2060" s="69" t="str">
        <f>TEXT(ASTemp!H2060,Decimals)</f>
        <v/>
      </c>
      <c r="I2060" s="69" t="str">
        <f>TEXT(ASTemp!I2060,Decimals)</f>
        <v/>
      </c>
      <c r="J2060" s="69" t="str">
        <f>TEXT(ASTemp!J2060,Decimals)</f>
        <v/>
      </c>
      <c r="K2060" s="69" t="str">
        <f>TEXT(ASTemp!K2060,Decimals)</f>
        <v/>
      </c>
      <c r="L2060" s="69" t="str">
        <f>TEXT(ASTemp!L2060,Decimals)</f>
        <v/>
      </c>
      <c r="M2060" s="71" t="str">
        <f>TEXT(ASTemp!M2060,Percentages)</f>
        <v/>
      </c>
      <c r="N2060" s="72" t="str">
        <f>TEXT(ASTemp!N2060,Percentages)</f>
        <v/>
      </c>
    </row>
    <row r="2061" ht="14.25" customHeight="1">
      <c r="B2061" s="66" t="str">
        <f>ASTemp!B2061</f>
        <v/>
      </c>
      <c r="C2061" s="67" t="str">
        <f>ASTemp!C2061</f>
        <v/>
      </c>
      <c r="D2061" s="68" t="str">
        <f>ASTemp!D2061</f>
        <v/>
      </c>
      <c r="E2061" s="65" t="str">
        <f>ASTemp!E2061</f>
        <v/>
      </c>
      <c r="F2061" s="69" t="str">
        <f>TEXT(ASTemp!F2061,Decimals)</f>
        <v/>
      </c>
      <c r="G2061" s="69" t="str">
        <f>TEXT(ASTemp!G2061,Decimals)</f>
        <v/>
      </c>
      <c r="H2061" s="69" t="str">
        <f>TEXT(ASTemp!H2061,Decimals)</f>
        <v/>
      </c>
      <c r="I2061" s="69" t="str">
        <f>TEXT(ASTemp!I2061,Decimals)</f>
        <v/>
      </c>
      <c r="J2061" s="69" t="str">
        <f>TEXT(ASTemp!J2061,Decimals)</f>
        <v/>
      </c>
      <c r="K2061" s="69" t="str">
        <f>TEXT(ASTemp!K2061,Decimals)</f>
        <v/>
      </c>
      <c r="L2061" s="69" t="str">
        <f>TEXT(ASTemp!L2061,Decimals)</f>
        <v/>
      </c>
      <c r="M2061" s="71" t="str">
        <f>TEXT(ASTemp!M2061,Percentages)</f>
        <v/>
      </c>
      <c r="N2061" s="72" t="str">
        <f>TEXT(ASTemp!N2061,Percentages)</f>
        <v/>
      </c>
    </row>
    <row r="2062" ht="14.25" customHeight="1">
      <c r="B2062" s="66" t="str">
        <f>ASTemp!B2062</f>
        <v/>
      </c>
      <c r="C2062" s="67" t="str">
        <f>ASTemp!C2062</f>
        <v/>
      </c>
      <c r="D2062" s="68" t="str">
        <f>ASTemp!D2062</f>
        <v/>
      </c>
      <c r="E2062" s="65" t="str">
        <f>ASTemp!E2062</f>
        <v/>
      </c>
      <c r="F2062" s="69" t="str">
        <f>TEXT(ASTemp!F2062,Decimals)</f>
        <v/>
      </c>
      <c r="G2062" s="69" t="str">
        <f>TEXT(ASTemp!G2062,Decimals)</f>
        <v/>
      </c>
      <c r="H2062" s="69" t="str">
        <f>TEXT(ASTemp!H2062,Decimals)</f>
        <v/>
      </c>
      <c r="I2062" s="69" t="str">
        <f>TEXT(ASTemp!I2062,Decimals)</f>
        <v/>
      </c>
      <c r="J2062" s="69" t="str">
        <f>TEXT(ASTemp!J2062,Decimals)</f>
        <v/>
      </c>
      <c r="K2062" s="69" t="str">
        <f>TEXT(ASTemp!K2062,Decimals)</f>
        <v/>
      </c>
      <c r="L2062" s="69" t="str">
        <f>TEXT(ASTemp!L2062,Decimals)</f>
        <v/>
      </c>
      <c r="M2062" s="71" t="str">
        <f>TEXT(ASTemp!M2062,Percentages)</f>
        <v/>
      </c>
      <c r="N2062" s="72" t="str">
        <f>TEXT(ASTemp!N2062,Percentages)</f>
        <v/>
      </c>
    </row>
    <row r="2063" ht="14.25" customHeight="1">
      <c r="B2063" s="66" t="str">
        <f>ASTemp!B2063</f>
        <v/>
      </c>
      <c r="C2063" s="67" t="str">
        <f>ASTemp!C2063</f>
        <v/>
      </c>
      <c r="D2063" s="68" t="str">
        <f>ASTemp!D2063</f>
        <v/>
      </c>
      <c r="E2063" s="65" t="str">
        <f>ASTemp!E2063</f>
        <v/>
      </c>
      <c r="F2063" s="69" t="str">
        <f>TEXT(ASTemp!F2063,Decimals)</f>
        <v/>
      </c>
      <c r="G2063" s="69" t="str">
        <f>TEXT(ASTemp!G2063,Decimals)</f>
        <v/>
      </c>
      <c r="H2063" s="69" t="str">
        <f>TEXT(ASTemp!H2063,Decimals)</f>
        <v/>
      </c>
      <c r="I2063" s="69" t="str">
        <f>TEXT(ASTemp!I2063,Decimals)</f>
        <v/>
      </c>
      <c r="J2063" s="69" t="str">
        <f>TEXT(ASTemp!J2063,Decimals)</f>
        <v/>
      </c>
      <c r="K2063" s="69" t="str">
        <f>TEXT(ASTemp!K2063,Decimals)</f>
        <v/>
      </c>
      <c r="L2063" s="69" t="str">
        <f>TEXT(ASTemp!L2063,Decimals)</f>
        <v/>
      </c>
      <c r="M2063" s="71" t="str">
        <f>TEXT(ASTemp!M2063,Percentages)</f>
        <v/>
      </c>
      <c r="N2063" s="72" t="str">
        <f>TEXT(ASTemp!N2063,Percentages)</f>
        <v/>
      </c>
    </row>
    <row r="2064" ht="14.25" customHeight="1">
      <c r="B2064" s="66" t="str">
        <f>ASTemp!B2064</f>
        <v/>
      </c>
      <c r="C2064" s="67" t="str">
        <f>ASTemp!C2064</f>
        <v/>
      </c>
      <c r="D2064" s="68" t="str">
        <f>ASTemp!D2064</f>
        <v/>
      </c>
      <c r="E2064" s="65" t="str">
        <f>ASTemp!E2064</f>
        <v/>
      </c>
      <c r="F2064" s="69" t="str">
        <f>TEXT(ASTemp!F2064,Decimals)</f>
        <v/>
      </c>
      <c r="G2064" s="69" t="str">
        <f>TEXT(ASTemp!G2064,Decimals)</f>
        <v/>
      </c>
      <c r="H2064" s="69" t="str">
        <f>TEXT(ASTemp!H2064,Decimals)</f>
        <v/>
      </c>
      <c r="I2064" s="69" t="str">
        <f>TEXT(ASTemp!I2064,Decimals)</f>
        <v/>
      </c>
      <c r="J2064" s="69" t="str">
        <f>TEXT(ASTemp!J2064,Decimals)</f>
        <v/>
      </c>
      <c r="K2064" s="69" t="str">
        <f>TEXT(ASTemp!K2064,Decimals)</f>
        <v/>
      </c>
      <c r="L2064" s="69" t="str">
        <f>TEXT(ASTemp!L2064,Decimals)</f>
        <v/>
      </c>
      <c r="M2064" s="71" t="str">
        <f>TEXT(ASTemp!M2064,Percentages)</f>
        <v/>
      </c>
      <c r="N2064" s="72" t="str">
        <f>TEXT(ASTemp!N2064,Percentages)</f>
        <v/>
      </c>
    </row>
    <row r="2065" ht="14.25" customHeight="1">
      <c r="B2065" s="66" t="str">
        <f>ASTemp!B2065</f>
        <v/>
      </c>
      <c r="C2065" s="67" t="str">
        <f>ASTemp!C2065</f>
        <v/>
      </c>
      <c r="D2065" s="68" t="str">
        <f>ASTemp!D2065</f>
        <v/>
      </c>
      <c r="E2065" s="65" t="str">
        <f>ASTemp!E2065</f>
        <v/>
      </c>
      <c r="F2065" s="69" t="str">
        <f>TEXT(ASTemp!F2065,Decimals)</f>
        <v/>
      </c>
      <c r="G2065" s="69" t="str">
        <f>TEXT(ASTemp!G2065,Decimals)</f>
        <v/>
      </c>
      <c r="H2065" s="69" t="str">
        <f>TEXT(ASTemp!H2065,Decimals)</f>
        <v/>
      </c>
      <c r="I2065" s="69" t="str">
        <f>TEXT(ASTemp!I2065,Decimals)</f>
        <v/>
      </c>
      <c r="J2065" s="69" t="str">
        <f>TEXT(ASTemp!J2065,Decimals)</f>
        <v/>
      </c>
      <c r="K2065" s="69" t="str">
        <f>TEXT(ASTemp!K2065,Decimals)</f>
        <v/>
      </c>
      <c r="L2065" s="69" t="str">
        <f>TEXT(ASTemp!L2065,Decimals)</f>
        <v/>
      </c>
      <c r="M2065" s="71" t="str">
        <f>TEXT(ASTemp!M2065,Percentages)</f>
        <v/>
      </c>
      <c r="N2065" s="72" t="str">
        <f>TEXT(ASTemp!N2065,Percentages)</f>
        <v/>
      </c>
    </row>
    <row r="2066" ht="14.25" customHeight="1">
      <c r="B2066" s="66" t="str">
        <f>ASTemp!B2066</f>
        <v/>
      </c>
      <c r="C2066" s="67" t="str">
        <f>ASTemp!C2066</f>
        <v/>
      </c>
      <c r="D2066" s="68" t="str">
        <f>ASTemp!D2066</f>
        <v/>
      </c>
      <c r="E2066" s="65" t="str">
        <f>ASTemp!E2066</f>
        <v/>
      </c>
      <c r="F2066" s="69" t="str">
        <f>TEXT(ASTemp!F2066,Decimals)</f>
        <v/>
      </c>
      <c r="G2066" s="69" t="str">
        <f>TEXT(ASTemp!G2066,Decimals)</f>
        <v/>
      </c>
      <c r="H2066" s="69" t="str">
        <f>TEXT(ASTemp!H2066,Decimals)</f>
        <v/>
      </c>
      <c r="I2066" s="69" t="str">
        <f>TEXT(ASTemp!I2066,Decimals)</f>
        <v/>
      </c>
      <c r="J2066" s="69" t="str">
        <f>TEXT(ASTemp!J2066,Decimals)</f>
        <v/>
      </c>
      <c r="K2066" s="69" t="str">
        <f>TEXT(ASTemp!K2066,Decimals)</f>
        <v/>
      </c>
      <c r="L2066" s="69" t="str">
        <f>TEXT(ASTemp!L2066,Decimals)</f>
        <v/>
      </c>
      <c r="M2066" s="71" t="str">
        <f>TEXT(ASTemp!M2066,Percentages)</f>
        <v/>
      </c>
      <c r="N2066" s="72" t="str">
        <f>TEXT(ASTemp!N2066,Percentages)</f>
        <v/>
      </c>
    </row>
    <row r="2067" ht="14.25" customHeight="1">
      <c r="B2067" s="66" t="str">
        <f>ASTemp!B2067</f>
        <v/>
      </c>
      <c r="C2067" s="67" t="str">
        <f>ASTemp!C2067</f>
        <v/>
      </c>
      <c r="D2067" s="68" t="str">
        <f>ASTemp!D2067</f>
        <v/>
      </c>
      <c r="E2067" s="65" t="str">
        <f>ASTemp!E2067</f>
        <v/>
      </c>
      <c r="F2067" s="69" t="str">
        <f>TEXT(ASTemp!F2067,Decimals)</f>
        <v/>
      </c>
      <c r="G2067" s="69" t="str">
        <f>TEXT(ASTemp!G2067,Decimals)</f>
        <v/>
      </c>
      <c r="H2067" s="69" t="str">
        <f>TEXT(ASTemp!H2067,Decimals)</f>
        <v/>
      </c>
      <c r="I2067" s="69" t="str">
        <f>TEXT(ASTemp!I2067,Decimals)</f>
        <v/>
      </c>
      <c r="J2067" s="69" t="str">
        <f>TEXT(ASTemp!J2067,Decimals)</f>
        <v/>
      </c>
      <c r="K2067" s="69" t="str">
        <f>TEXT(ASTemp!K2067,Decimals)</f>
        <v/>
      </c>
      <c r="L2067" s="69" t="str">
        <f>TEXT(ASTemp!L2067,Decimals)</f>
        <v/>
      </c>
      <c r="M2067" s="71" t="str">
        <f>TEXT(ASTemp!M2067,Percentages)</f>
        <v/>
      </c>
      <c r="N2067" s="72" t="str">
        <f>TEXT(ASTemp!N2067,Percentages)</f>
        <v/>
      </c>
    </row>
    <row r="2068" ht="14.25" customHeight="1">
      <c r="B2068" s="66" t="str">
        <f>ASTemp!B2068</f>
        <v/>
      </c>
      <c r="C2068" s="67" t="str">
        <f>ASTemp!C2068</f>
        <v/>
      </c>
      <c r="D2068" s="68" t="str">
        <f>ASTemp!D2068</f>
        <v/>
      </c>
      <c r="E2068" s="65" t="str">
        <f>ASTemp!E2068</f>
        <v/>
      </c>
      <c r="F2068" s="69" t="str">
        <f>TEXT(ASTemp!F2068,Decimals)</f>
        <v/>
      </c>
      <c r="G2068" s="69" t="str">
        <f>TEXT(ASTemp!G2068,Decimals)</f>
        <v/>
      </c>
      <c r="H2068" s="69" t="str">
        <f>TEXT(ASTemp!H2068,Decimals)</f>
        <v/>
      </c>
      <c r="I2068" s="69" t="str">
        <f>TEXT(ASTemp!I2068,Decimals)</f>
        <v/>
      </c>
      <c r="J2068" s="69" t="str">
        <f>TEXT(ASTemp!J2068,Decimals)</f>
        <v/>
      </c>
      <c r="K2068" s="69" t="str">
        <f>TEXT(ASTemp!K2068,Decimals)</f>
        <v/>
      </c>
      <c r="L2068" s="69" t="str">
        <f>TEXT(ASTemp!L2068,Decimals)</f>
        <v/>
      </c>
      <c r="M2068" s="71" t="str">
        <f>TEXT(ASTemp!M2068,Percentages)</f>
        <v/>
      </c>
      <c r="N2068" s="72" t="str">
        <f>TEXT(ASTemp!N2068,Percentages)</f>
        <v/>
      </c>
    </row>
    <row r="2069" ht="14.25" customHeight="1">
      <c r="B2069" s="66" t="str">
        <f>ASTemp!B2069</f>
        <v/>
      </c>
      <c r="C2069" s="67" t="str">
        <f>ASTemp!C2069</f>
        <v/>
      </c>
      <c r="D2069" s="68" t="str">
        <f>ASTemp!D2069</f>
        <v/>
      </c>
      <c r="E2069" s="65" t="str">
        <f>ASTemp!E2069</f>
        <v/>
      </c>
      <c r="F2069" s="69" t="str">
        <f>TEXT(ASTemp!F2069,Decimals)</f>
        <v/>
      </c>
      <c r="G2069" s="69" t="str">
        <f>TEXT(ASTemp!G2069,Decimals)</f>
        <v/>
      </c>
      <c r="H2069" s="69" t="str">
        <f>TEXT(ASTemp!H2069,Decimals)</f>
        <v/>
      </c>
      <c r="I2069" s="69" t="str">
        <f>TEXT(ASTemp!I2069,Decimals)</f>
        <v/>
      </c>
      <c r="J2069" s="69" t="str">
        <f>TEXT(ASTemp!J2069,Decimals)</f>
        <v/>
      </c>
      <c r="K2069" s="69" t="str">
        <f>TEXT(ASTemp!K2069,Decimals)</f>
        <v/>
      </c>
      <c r="L2069" s="69" t="str">
        <f>TEXT(ASTemp!L2069,Decimals)</f>
        <v/>
      </c>
      <c r="M2069" s="71" t="str">
        <f>TEXT(ASTemp!M2069,Percentages)</f>
        <v/>
      </c>
      <c r="N2069" s="72" t="str">
        <f>TEXT(ASTemp!N2069,Percentages)</f>
        <v/>
      </c>
    </row>
    <row r="2070" ht="14.25" customHeight="1">
      <c r="B2070" s="66" t="str">
        <f>ASTemp!B2070</f>
        <v/>
      </c>
      <c r="C2070" s="67" t="str">
        <f>ASTemp!C2070</f>
        <v/>
      </c>
      <c r="D2070" s="68" t="str">
        <f>ASTemp!D2070</f>
        <v/>
      </c>
      <c r="E2070" s="65" t="str">
        <f>ASTemp!E2070</f>
        <v/>
      </c>
      <c r="F2070" s="69" t="str">
        <f>TEXT(ASTemp!F2070,Decimals)</f>
        <v/>
      </c>
      <c r="G2070" s="69" t="str">
        <f>TEXT(ASTemp!G2070,Decimals)</f>
        <v/>
      </c>
      <c r="H2070" s="69" t="str">
        <f>TEXT(ASTemp!H2070,Decimals)</f>
        <v/>
      </c>
      <c r="I2070" s="69" t="str">
        <f>TEXT(ASTemp!I2070,Decimals)</f>
        <v/>
      </c>
      <c r="J2070" s="69" t="str">
        <f>TEXT(ASTemp!J2070,Decimals)</f>
        <v/>
      </c>
      <c r="K2070" s="69" t="str">
        <f>TEXT(ASTemp!K2070,Decimals)</f>
        <v/>
      </c>
      <c r="L2070" s="69" t="str">
        <f>TEXT(ASTemp!L2070,Decimals)</f>
        <v/>
      </c>
      <c r="M2070" s="71" t="str">
        <f>TEXT(ASTemp!M2070,Percentages)</f>
        <v/>
      </c>
      <c r="N2070" s="72" t="str">
        <f>TEXT(ASTemp!N2070,Percentages)</f>
        <v/>
      </c>
    </row>
    <row r="2071" ht="14.25" customHeight="1">
      <c r="B2071" s="66" t="str">
        <f>ASTemp!B2071</f>
        <v/>
      </c>
      <c r="C2071" s="67" t="str">
        <f>ASTemp!C2071</f>
        <v/>
      </c>
      <c r="D2071" s="68" t="str">
        <f>ASTemp!D2071</f>
        <v/>
      </c>
      <c r="E2071" s="65" t="str">
        <f>ASTemp!E2071</f>
        <v/>
      </c>
      <c r="F2071" s="69" t="str">
        <f>TEXT(ASTemp!F2071,Decimals)</f>
        <v/>
      </c>
      <c r="G2071" s="69" t="str">
        <f>TEXT(ASTemp!G2071,Decimals)</f>
        <v/>
      </c>
      <c r="H2071" s="69" t="str">
        <f>TEXT(ASTemp!H2071,Decimals)</f>
        <v/>
      </c>
      <c r="I2071" s="69" t="str">
        <f>TEXT(ASTemp!I2071,Decimals)</f>
        <v/>
      </c>
      <c r="J2071" s="69" t="str">
        <f>TEXT(ASTemp!J2071,Decimals)</f>
        <v/>
      </c>
      <c r="K2071" s="69" t="str">
        <f>TEXT(ASTemp!K2071,Decimals)</f>
        <v/>
      </c>
      <c r="L2071" s="69" t="str">
        <f>TEXT(ASTemp!L2071,Decimals)</f>
        <v/>
      </c>
      <c r="M2071" s="71" t="str">
        <f>TEXT(ASTemp!M2071,Percentages)</f>
        <v/>
      </c>
      <c r="N2071" s="72" t="str">
        <f>TEXT(ASTemp!N2071,Percentages)</f>
        <v/>
      </c>
    </row>
    <row r="2072" ht="14.25" customHeight="1">
      <c r="B2072" s="66" t="str">
        <f>ASTemp!B2072</f>
        <v/>
      </c>
      <c r="C2072" s="67" t="str">
        <f>ASTemp!C2072</f>
        <v/>
      </c>
      <c r="D2072" s="68" t="str">
        <f>ASTemp!D2072</f>
        <v/>
      </c>
      <c r="E2072" s="65" t="str">
        <f>ASTemp!E2072</f>
        <v/>
      </c>
      <c r="F2072" s="69" t="str">
        <f>TEXT(ASTemp!F2072,Decimals)</f>
        <v/>
      </c>
      <c r="G2072" s="69" t="str">
        <f>TEXT(ASTemp!G2072,Decimals)</f>
        <v/>
      </c>
      <c r="H2072" s="69" t="str">
        <f>TEXT(ASTemp!H2072,Decimals)</f>
        <v/>
      </c>
      <c r="I2072" s="69" t="str">
        <f>TEXT(ASTemp!I2072,Decimals)</f>
        <v/>
      </c>
      <c r="J2072" s="69" t="str">
        <f>TEXT(ASTemp!J2072,Decimals)</f>
        <v/>
      </c>
      <c r="K2072" s="69" t="str">
        <f>TEXT(ASTemp!K2072,Decimals)</f>
        <v/>
      </c>
      <c r="L2072" s="69" t="str">
        <f>TEXT(ASTemp!L2072,Decimals)</f>
        <v/>
      </c>
      <c r="M2072" s="71" t="str">
        <f>TEXT(ASTemp!M2072,Percentages)</f>
        <v/>
      </c>
      <c r="N2072" s="72" t="str">
        <f>TEXT(ASTemp!N2072,Percentages)</f>
        <v/>
      </c>
    </row>
    <row r="2073" ht="14.25" customHeight="1">
      <c r="B2073" s="66" t="str">
        <f>ASTemp!B2073</f>
        <v/>
      </c>
      <c r="C2073" s="67" t="str">
        <f>ASTemp!C2073</f>
        <v/>
      </c>
      <c r="D2073" s="68" t="str">
        <f>ASTemp!D2073</f>
        <v/>
      </c>
      <c r="E2073" s="65" t="str">
        <f>ASTemp!E2073</f>
        <v/>
      </c>
      <c r="F2073" s="69" t="str">
        <f>TEXT(ASTemp!F2073,Decimals)</f>
        <v/>
      </c>
      <c r="G2073" s="69" t="str">
        <f>TEXT(ASTemp!G2073,Decimals)</f>
        <v/>
      </c>
      <c r="H2073" s="69" t="str">
        <f>TEXT(ASTemp!H2073,Decimals)</f>
        <v/>
      </c>
      <c r="I2073" s="69" t="str">
        <f>TEXT(ASTemp!I2073,Decimals)</f>
        <v/>
      </c>
      <c r="J2073" s="69" t="str">
        <f>TEXT(ASTemp!J2073,Decimals)</f>
        <v/>
      </c>
      <c r="K2073" s="69" t="str">
        <f>TEXT(ASTemp!K2073,Decimals)</f>
        <v/>
      </c>
      <c r="L2073" s="69" t="str">
        <f>TEXT(ASTemp!L2073,Decimals)</f>
        <v/>
      </c>
      <c r="M2073" s="71" t="str">
        <f>TEXT(ASTemp!M2073,Percentages)</f>
        <v/>
      </c>
      <c r="N2073" s="72" t="str">
        <f>TEXT(ASTemp!N2073,Percentages)</f>
        <v/>
      </c>
    </row>
    <row r="2074" ht="14.25" customHeight="1">
      <c r="B2074" s="66" t="str">
        <f>ASTemp!B2074</f>
        <v/>
      </c>
      <c r="C2074" s="67" t="str">
        <f>ASTemp!C2074</f>
        <v/>
      </c>
      <c r="D2074" s="68" t="str">
        <f>ASTemp!D2074</f>
        <v/>
      </c>
      <c r="E2074" s="65" t="str">
        <f>ASTemp!E2074</f>
        <v/>
      </c>
      <c r="F2074" s="69" t="str">
        <f>TEXT(ASTemp!F2074,Decimals)</f>
        <v/>
      </c>
      <c r="G2074" s="69" t="str">
        <f>TEXT(ASTemp!G2074,Decimals)</f>
        <v/>
      </c>
      <c r="H2074" s="69" t="str">
        <f>TEXT(ASTemp!H2074,Decimals)</f>
        <v/>
      </c>
      <c r="I2074" s="69" t="str">
        <f>TEXT(ASTemp!I2074,Decimals)</f>
        <v/>
      </c>
      <c r="J2074" s="69" t="str">
        <f>TEXT(ASTemp!J2074,Decimals)</f>
        <v/>
      </c>
      <c r="K2074" s="69" t="str">
        <f>TEXT(ASTemp!K2074,Decimals)</f>
        <v/>
      </c>
      <c r="L2074" s="69" t="str">
        <f>TEXT(ASTemp!L2074,Decimals)</f>
        <v/>
      </c>
      <c r="M2074" s="71" t="str">
        <f>TEXT(ASTemp!M2074,Percentages)</f>
        <v/>
      </c>
      <c r="N2074" s="72" t="str">
        <f>TEXT(ASTemp!N2074,Percentages)</f>
        <v/>
      </c>
    </row>
    <row r="2075" ht="14.25" customHeight="1">
      <c r="B2075" s="66" t="str">
        <f>ASTemp!B2075</f>
        <v/>
      </c>
      <c r="C2075" s="67" t="str">
        <f>ASTemp!C2075</f>
        <v/>
      </c>
      <c r="D2075" s="68" t="str">
        <f>ASTemp!D2075</f>
        <v/>
      </c>
      <c r="E2075" s="65" t="str">
        <f>ASTemp!E2075</f>
        <v/>
      </c>
      <c r="F2075" s="69" t="str">
        <f>TEXT(ASTemp!F2075,Decimals)</f>
        <v/>
      </c>
      <c r="G2075" s="69" t="str">
        <f>TEXT(ASTemp!G2075,Decimals)</f>
        <v/>
      </c>
      <c r="H2075" s="69" t="str">
        <f>TEXT(ASTemp!H2075,Decimals)</f>
        <v/>
      </c>
      <c r="I2075" s="69" t="str">
        <f>TEXT(ASTemp!I2075,Decimals)</f>
        <v/>
      </c>
      <c r="J2075" s="69" t="str">
        <f>TEXT(ASTemp!J2075,Decimals)</f>
        <v/>
      </c>
      <c r="K2075" s="69" t="str">
        <f>TEXT(ASTemp!K2075,Decimals)</f>
        <v/>
      </c>
      <c r="L2075" s="69" t="str">
        <f>TEXT(ASTemp!L2075,Decimals)</f>
        <v/>
      </c>
      <c r="M2075" s="71" t="str">
        <f>TEXT(ASTemp!M2075,Percentages)</f>
        <v/>
      </c>
      <c r="N2075" s="72" t="str">
        <f>TEXT(ASTemp!N2075,Percentages)</f>
        <v/>
      </c>
    </row>
    <row r="2076" ht="14.25" customHeight="1">
      <c r="B2076" s="66" t="str">
        <f>ASTemp!B2076</f>
        <v/>
      </c>
      <c r="C2076" s="67" t="str">
        <f>ASTemp!C2076</f>
        <v/>
      </c>
      <c r="D2076" s="68" t="str">
        <f>ASTemp!D2076</f>
        <v/>
      </c>
      <c r="E2076" s="65" t="str">
        <f>ASTemp!E2076</f>
        <v/>
      </c>
      <c r="F2076" s="69" t="str">
        <f>TEXT(ASTemp!F2076,Decimals)</f>
        <v/>
      </c>
      <c r="G2076" s="69" t="str">
        <f>TEXT(ASTemp!G2076,Decimals)</f>
        <v/>
      </c>
      <c r="H2076" s="69" t="str">
        <f>TEXT(ASTemp!H2076,Decimals)</f>
        <v/>
      </c>
      <c r="I2076" s="69" t="str">
        <f>TEXT(ASTemp!I2076,Decimals)</f>
        <v/>
      </c>
      <c r="J2076" s="69" t="str">
        <f>TEXT(ASTemp!J2076,Decimals)</f>
        <v/>
      </c>
      <c r="K2076" s="69" t="str">
        <f>TEXT(ASTemp!K2076,Decimals)</f>
        <v/>
      </c>
      <c r="L2076" s="69" t="str">
        <f>TEXT(ASTemp!L2076,Decimals)</f>
        <v/>
      </c>
      <c r="M2076" s="71" t="str">
        <f>TEXT(ASTemp!M2076,Percentages)</f>
        <v/>
      </c>
      <c r="N2076" s="72" t="str">
        <f>TEXT(ASTemp!N2076,Percentages)</f>
        <v/>
      </c>
    </row>
    <row r="2077" ht="14.25" customHeight="1">
      <c r="B2077" s="66" t="str">
        <f>ASTemp!B2077</f>
        <v/>
      </c>
      <c r="C2077" s="67" t="str">
        <f>ASTemp!C2077</f>
        <v/>
      </c>
      <c r="D2077" s="68" t="str">
        <f>ASTemp!D2077</f>
        <v/>
      </c>
      <c r="E2077" s="65" t="str">
        <f>ASTemp!E2077</f>
        <v/>
      </c>
      <c r="F2077" s="69" t="str">
        <f>TEXT(ASTemp!F2077,Decimals)</f>
        <v/>
      </c>
      <c r="G2077" s="69" t="str">
        <f>TEXT(ASTemp!G2077,Decimals)</f>
        <v/>
      </c>
      <c r="H2077" s="69" t="str">
        <f>TEXT(ASTemp!H2077,Decimals)</f>
        <v/>
      </c>
      <c r="I2077" s="69" t="str">
        <f>TEXT(ASTemp!I2077,Decimals)</f>
        <v/>
      </c>
      <c r="J2077" s="69" t="str">
        <f>TEXT(ASTemp!J2077,Decimals)</f>
        <v/>
      </c>
      <c r="K2077" s="69" t="str">
        <f>TEXT(ASTemp!K2077,Decimals)</f>
        <v/>
      </c>
      <c r="L2077" s="69" t="str">
        <f>TEXT(ASTemp!L2077,Decimals)</f>
        <v/>
      </c>
      <c r="M2077" s="71" t="str">
        <f>TEXT(ASTemp!M2077,Percentages)</f>
        <v/>
      </c>
      <c r="N2077" s="72" t="str">
        <f>TEXT(ASTemp!N2077,Percentages)</f>
        <v/>
      </c>
    </row>
    <row r="2078" ht="14.25" customHeight="1">
      <c r="B2078" s="66" t="str">
        <f>ASTemp!B2078</f>
        <v/>
      </c>
      <c r="C2078" s="67" t="str">
        <f>ASTemp!C2078</f>
        <v/>
      </c>
      <c r="D2078" s="68" t="str">
        <f>ASTemp!D2078</f>
        <v/>
      </c>
      <c r="E2078" s="65" t="str">
        <f>ASTemp!E2078</f>
        <v/>
      </c>
      <c r="F2078" s="69" t="str">
        <f>TEXT(ASTemp!F2078,Decimals)</f>
        <v/>
      </c>
      <c r="G2078" s="69" t="str">
        <f>TEXT(ASTemp!G2078,Decimals)</f>
        <v/>
      </c>
      <c r="H2078" s="69" t="str">
        <f>TEXT(ASTemp!H2078,Decimals)</f>
        <v/>
      </c>
      <c r="I2078" s="69" t="str">
        <f>TEXT(ASTemp!I2078,Decimals)</f>
        <v/>
      </c>
      <c r="J2078" s="69" t="str">
        <f>TEXT(ASTemp!J2078,Decimals)</f>
        <v/>
      </c>
      <c r="K2078" s="69" t="str">
        <f>TEXT(ASTemp!K2078,Decimals)</f>
        <v/>
      </c>
      <c r="L2078" s="69" t="str">
        <f>TEXT(ASTemp!L2078,Decimals)</f>
        <v/>
      </c>
      <c r="M2078" s="71" t="str">
        <f>TEXT(ASTemp!M2078,Percentages)</f>
        <v/>
      </c>
      <c r="N2078" s="72" t="str">
        <f>TEXT(ASTemp!N2078,Percentages)</f>
        <v/>
      </c>
    </row>
    <row r="2079" ht="14.25" customHeight="1">
      <c r="B2079" s="66" t="str">
        <f>ASTemp!B2079</f>
        <v/>
      </c>
      <c r="C2079" s="67" t="str">
        <f>ASTemp!C2079</f>
        <v/>
      </c>
      <c r="D2079" s="68" t="str">
        <f>ASTemp!D2079</f>
        <v/>
      </c>
      <c r="E2079" s="65" t="str">
        <f>ASTemp!E2079</f>
        <v/>
      </c>
      <c r="F2079" s="69" t="str">
        <f>TEXT(ASTemp!F2079,Decimals)</f>
        <v/>
      </c>
      <c r="G2079" s="69" t="str">
        <f>TEXT(ASTemp!G2079,Decimals)</f>
        <v/>
      </c>
      <c r="H2079" s="69" t="str">
        <f>TEXT(ASTemp!H2079,Decimals)</f>
        <v/>
      </c>
      <c r="I2079" s="69" t="str">
        <f>TEXT(ASTemp!I2079,Decimals)</f>
        <v/>
      </c>
      <c r="J2079" s="69" t="str">
        <f>TEXT(ASTemp!J2079,Decimals)</f>
        <v/>
      </c>
      <c r="K2079" s="69" t="str">
        <f>TEXT(ASTemp!K2079,Decimals)</f>
        <v/>
      </c>
      <c r="L2079" s="69" t="str">
        <f>TEXT(ASTemp!L2079,Decimals)</f>
        <v/>
      </c>
      <c r="M2079" s="71" t="str">
        <f>TEXT(ASTemp!M2079,Percentages)</f>
        <v/>
      </c>
      <c r="N2079" s="72" t="str">
        <f>TEXT(ASTemp!N2079,Percentages)</f>
        <v/>
      </c>
    </row>
    <row r="2080" ht="14.25" customHeight="1">
      <c r="B2080" s="66" t="str">
        <f>ASTemp!B2080</f>
        <v/>
      </c>
      <c r="C2080" s="67" t="str">
        <f>ASTemp!C2080</f>
        <v/>
      </c>
      <c r="D2080" s="68" t="str">
        <f>ASTemp!D2080</f>
        <v/>
      </c>
      <c r="E2080" s="65" t="str">
        <f>ASTemp!E2080</f>
        <v/>
      </c>
      <c r="F2080" s="69" t="str">
        <f>TEXT(ASTemp!F2080,Decimals)</f>
        <v/>
      </c>
      <c r="G2080" s="69" t="str">
        <f>TEXT(ASTemp!G2080,Decimals)</f>
        <v/>
      </c>
      <c r="H2080" s="69" t="str">
        <f>TEXT(ASTemp!H2080,Decimals)</f>
        <v/>
      </c>
      <c r="I2080" s="69" t="str">
        <f>TEXT(ASTemp!I2080,Decimals)</f>
        <v/>
      </c>
      <c r="J2080" s="69" t="str">
        <f>TEXT(ASTemp!J2080,Decimals)</f>
        <v/>
      </c>
      <c r="K2080" s="69" t="str">
        <f>TEXT(ASTemp!K2080,Decimals)</f>
        <v/>
      </c>
      <c r="L2080" s="69" t="str">
        <f>TEXT(ASTemp!L2080,Decimals)</f>
        <v/>
      </c>
      <c r="M2080" s="71" t="str">
        <f>TEXT(ASTemp!M2080,Percentages)</f>
        <v/>
      </c>
      <c r="N2080" s="72" t="str">
        <f>TEXT(ASTemp!N2080,Percentages)</f>
        <v/>
      </c>
    </row>
    <row r="2081" ht="14.25" customHeight="1">
      <c r="B2081" s="66" t="str">
        <f>ASTemp!B2081</f>
        <v/>
      </c>
      <c r="C2081" s="67" t="str">
        <f>ASTemp!C2081</f>
        <v/>
      </c>
      <c r="D2081" s="68" t="str">
        <f>ASTemp!D2081</f>
        <v/>
      </c>
      <c r="E2081" s="65" t="str">
        <f>ASTemp!E2081</f>
        <v/>
      </c>
      <c r="F2081" s="69" t="str">
        <f>TEXT(ASTemp!F2081,Decimals)</f>
        <v/>
      </c>
      <c r="G2081" s="69" t="str">
        <f>TEXT(ASTemp!G2081,Decimals)</f>
        <v/>
      </c>
      <c r="H2081" s="69" t="str">
        <f>TEXT(ASTemp!H2081,Decimals)</f>
        <v/>
      </c>
      <c r="I2081" s="69" t="str">
        <f>TEXT(ASTemp!I2081,Decimals)</f>
        <v/>
      </c>
      <c r="J2081" s="69" t="str">
        <f>TEXT(ASTemp!J2081,Decimals)</f>
        <v/>
      </c>
      <c r="K2081" s="69" t="str">
        <f>TEXT(ASTemp!K2081,Decimals)</f>
        <v/>
      </c>
      <c r="L2081" s="69" t="str">
        <f>TEXT(ASTemp!L2081,Decimals)</f>
        <v/>
      </c>
      <c r="M2081" s="71" t="str">
        <f>TEXT(ASTemp!M2081,Percentages)</f>
        <v/>
      </c>
      <c r="N2081" s="72" t="str">
        <f>TEXT(ASTemp!N2081,Percentages)</f>
        <v/>
      </c>
    </row>
    <row r="2082" ht="14.25" customHeight="1">
      <c r="B2082" s="66" t="str">
        <f>ASTemp!B2082</f>
        <v/>
      </c>
      <c r="C2082" s="67" t="str">
        <f>ASTemp!C2082</f>
        <v/>
      </c>
      <c r="D2082" s="68" t="str">
        <f>ASTemp!D2082</f>
        <v/>
      </c>
      <c r="E2082" s="65" t="str">
        <f>ASTemp!E2082</f>
        <v/>
      </c>
      <c r="F2082" s="69" t="str">
        <f>TEXT(ASTemp!F2082,Decimals)</f>
        <v/>
      </c>
      <c r="G2082" s="69" t="str">
        <f>TEXT(ASTemp!G2082,Decimals)</f>
        <v/>
      </c>
      <c r="H2082" s="69" t="str">
        <f>TEXT(ASTemp!H2082,Decimals)</f>
        <v/>
      </c>
      <c r="I2082" s="69" t="str">
        <f>TEXT(ASTemp!I2082,Decimals)</f>
        <v/>
      </c>
      <c r="J2082" s="69" t="str">
        <f>TEXT(ASTemp!J2082,Decimals)</f>
        <v/>
      </c>
      <c r="K2082" s="69" t="str">
        <f>TEXT(ASTemp!K2082,Decimals)</f>
        <v/>
      </c>
      <c r="L2082" s="69" t="str">
        <f>TEXT(ASTemp!L2082,Decimals)</f>
        <v/>
      </c>
      <c r="M2082" s="71" t="str">
        <f>TEXT(ASTemp!M2082,Percentages)</f>
        <v/>
      </c>
      <c r="N2082" s="72" t="str">
        <f>TEXT(ASTemp!N2082,Percentages)</f>
        <v/>
      </c>
    </row>
    <row r="2083" ht="14.25" customHeight="1">
      <c r="B2083" s="66" t="str">
        <f>ASTemp!B2083</f>
        <v/>
      </c>
      <c r="C2083" s="67" t="str">
        <f>ASTemp!C2083</f>
        <v/>
      </c>
      <c r="D2083" s="68" t="str">
        <f>ASTemp!D2083</f>
        <v/>
      </c>
      <c r="E2083" s="65" t="str">
        <f>ASTemp!E2083</f>
        <v/>
      </c>
      <c r="F2083" s="69" t="str">
        <f>TEXT(ASTemp!F2083,Decimals)</f>
        <v/>
      </c>
      <c r="G2083" s="69" t="str">
        <f>TEXT(ASTemp!G2083,Decimals)</f>
        <v/>
      </c>
      <c r="H2083" s="69" t="str">
        <f>TEXT(ASTemp!H2083,Decimals)</f>
        <v/>
      </c>
      <c r="I2083" s="69" t="str">
        <f>TEXT(ASTemp!I2083,Decimals)</f>
        <v/>
      </c>
      <c r="J2083" s="69" t="str">
        <f>TEXT(ASTemp!J2083,Decimals)</f>
        <v/>
      </c>
      <c r="K2083" s="69" t="str">
        <f>TEXT(ASTemp!K2083,Decimals)</f>
        <v/>
      </c>
      <c r="L2083" s="69" t="str">
        <f>TEXT(ASTemp!L2083,Decimals)</f>
        <v/>
      </c>
      <c r="M2083" s="71" t="str">
        <f>TEXT(ASTemp!M2083,Percentages)</f>
        <v/>
      </c>
      <c r="N2083" s="72" t="str">
        <f>TEXT(ASTemp!N2083,Percentages)</f>
        <v/>
      </c>
    </row>
    <row r="2084" ht="14.25" customHeight="1">
      <c r="B2084" s="66" t="str">
        <f>ASTemp!B2084</f>
        <v/>
      </c>
      <c r="C2084" s="67" t="str">
        <f>ASTemp!C2084</f>
        <v/>
      </c>
      <c r="D2084" s="68" t="str">
        <f>ASTemp!D2084</f>
        <v/>
      </c>
      <c r="E2084" s="65" t="str">
        <f>ASTemp!E2084</f>
        <v/>
      </c>
      <c r="F2084" s="69" t="str">
        <f>TEXT(ASTemp!F2084,Decimals)</f>
        <v/>
      </c>
      <c r="G2084" s="69" t="str">
        <f>TEXT(ASTemp!G2084,Decimals)</f>
        <v/>
      </c>
      <c r="H2084" s="69" t="str">
        <f>TEXT(ASTemp!H2084,Decimals)</f>
        <v/>
      </c>
      <c r="I2084" s="69" t="str">
        <f>TEXT(ASTemp!I2084,Decimals)</f>
        <v/>
      </c>
      <c r="J2084" s="69" t="str">
        <f>TEXT(ASTemp!J2084,Decimals)</f>
        <v/>
      </c>
      <c r="K2084" s="69" t="str">
        <f>TEXT(ASTemp!K2084,Decimals)</f>
        <v/>
      </c>
      <c r="L2084" s="69" t="str">
        <f>TEXT(ASTemp!L2084,Decimals)</f>
        <v/>
      </c>
      <c r="M2084" s="71" t="str">
        <f>TEXT(ASTemp!M2084,Percentages)</f>
        <v/>
      </c>
      <c r="N2084" s="72" t="str">
        <f>TEXT(ASTemp!N2084,Percentages)</f>
        <v/>
      </c>
    </row>
    <row r="2085" ht="14.25" customHeight="1">
      <c r="B2085" s="66" t="str">
        <f>ASTemp!B2085</f>
        <v/>
      </c>
      <c r="C2085" s="67" t="str">
        <f>ASTemp!C2085</f>
        <v/>
      </c>
      <c r="D2085" s="68" t="str">
        <f>ASTemp!D2085</f>
        <v/>
      </c>
      <c r="E2085" s="65" t="str">
        <f>ASTemp!E2085</f>
        <v/>
      </c>
      <c r="F2085" s="69" t="str">
        <f>TEXT(ASTemp!F2085,Decimals)</f>
        <v/>
      </c>
      <c r="G2085" s="69" t="str">
        <f>TEXT(ASTemp!G2085,Decimals)</f>
        <v/>
      </c>
      <c r="H2085" s="69" t="str">
        <f>TEXT(ASTemp!H2085,Decimals)</f>
        <v/>
      </c>
      <c r="I2085" s="69" t="str">
        <f>TEXT(ASTemp!I2085,Decimals)</f>
        <v/>
      </c>
      <c r="J2085" s="69" t="str">
        <f>TEXT(ASTemp!J2085,Decimals)</f>
        <v/>
      </c>
      <c r="K2085" s="69" t="str">
        <f>TEXT(ASTemp!K2085,Decimals)</f>
        <v/>
      </c>
      <c r="L2085" s="69" t="str">
        <f>TEXT(ASTemp!L2085,Decimals)</f>
        <v/>
      </c>
      <c r="M2085" s="71" t="str">
        <f>TEXT(ASTemp!M2085,Percentages)</f>
        <v/>
      </c>
      <c r="N2085" s="72" t="str">
        <f>TEXT(ASTemp!N2085,Percentages)</f>
        <v/>
      </c>
    </row>
    <row r="2086" ht="14.25" customHeight="1">
      <c r="B2086" s="66" t="str">
        <f>ASTemp!B2086</f>
        <v/>
      </c>
      <c r="C2086" s="67" t="str">
        <f>ASTemp!C2086</f>
        <v/>
      </c>
      <c r="D2086" s="68" t="str">
        <f>ASTemp!D2086</f>
        <v/>
      </c>
      <c r="E2086" s="65" t="str">
        <f>ASTemp!E2086</f>
        <v/>
      </c>
      <c r="F2086" s="69" t="str">
        <f>TEXT(ASTemp!F2086,Decimals)</f>
        <v/>
      </c>
      <c r="G2086" s="69" t="str">
        <f>TEXT(ASTemp!G2086,Decimals)</f>
        <v/>
      </c>
      <c r="H2086" s="69" t="str">
        <f>TEXT(ASTemp!H2086,Decimals)</f>
        <v/>
      </c>
      <c r="I2086" s="69" t="str">
        <f>TEXT(ASTemp!I2086,Decimals)</f>
        <v/>
      </c>
      <c r="J2086" s="69" t="str">
        <f>TEXT(ASTemp!J2086,Decimals)</f>
        <v/>
      </c>
      <c r="K2086" s="69" t="str">
        <f>TEXT(ASTemp!K2086,Decimals)</f>
        <v/>
      </c>
      <c r="L2086" s="69" t="str">
        <f>TEXT(ASTemp!L2086,Decimals)</f>
        <v/>
      </c>
      <c r="M2086" s="71" t="str">
        <f>TEXT(ASTemp!M2086,Percentages)</f>
        <v/>
      </c>
      <c r="N2086" s="72" t="str">
        <f>TEXT(ASTemp!N2086,Percentages)</f>
        <v/>
      </c>
    </row>
    <row r="2087" ht="14.25" customHeight="1">
      <c r="B2087" s="66" t="str">
        <f>ASTemp!B2087</f>
        <v/>
      </c>
      <c r="C2087" s="67" t="str">
        <f>ASTemp!C2087</f>
        <v/>
      </c>
      <c r="D2087" s="68" t="str">
        <f>ASTemp!D2087</f>
        <v/>
      </c>
      <c r="E2087" s="65" t="str">
        <f>ASTemp!E2087</f>
        <v/>
      </c>
      <c r="F2087" s="69" t="str">
        <f>TEXT(ASTemp!F2087,Decimals)</f>
        <v/>
      </c>
      <c r="G2087" s="69" t="str">
        <f>TEXT(ASTemp!G2087,Decimals)</f>
        <v/>
      </c>
      <c r="H2087" s="69" t="str">
        <f>TEXT(ASTemp!H2087,Decimals)</f>
        <v/>
      </c>
      <c r="I2087" s="69" t="str">
        <f>TEXT(ASTemp!I2087,Decimals)</f>
        <v/>
      </c>
      <c r="J2087" s="69" t="str">
        <f>TEXT(ASTemp!J2087,Decimals)</f>
        <v/>
      </c>
      <c r="K2087" s="69" t="str">
        <f>TEXT(ASTemp!K2087,Decimals)</f>
        <v/>
      </c>
      <c r="L2087" s="69" t="str">
        <f>TEXT(ASTemp!L2087,Decimals)</f>
        <v/>
      </c>
      <c r="M2087" s="71" t="str">
        <f>TEXT(ASTemp!M2087,Percentages)</f>
        <v/>
      </c>
      <c r="N2087" s="72" t="str">
        <f>TEXT(ASTemp!N2087,Percentages)</f>
        <v/>
      </c>
    </row>
    <row r="2088" ht="14.25" customHeight="1">
      <c r="B2088" s="66" t="str">
        <f>ASTemp!B2088</f>
        <v/>
      </c>
      <c r="C2088" s="67" t="str">
        <f>ASTemp!C2088</f>
        <v/>
      </c>
      <c r="D2088" s="68" t="str">
        <f>ASTemp!D2088</f>
        <v/>
      </c>
      <c r="E2088" s="65" t="str">
        <f>ASTemp!E2088</f>
        <v/>
      </c>
      <c r="F2088" s="69" t="str">
        <f>TEXT(ASTemp!F2088,Decimals)</f>
        <v/>
      </c>
      <c r="G2088" s="69" t="str">
        <f>TEXT(ASTemp!G2088,Decimals)</f>
        <v/>
      </c>
      <c r="H2088" s="69" t="str">
        <f>TEXT(ASTemp!H2088,Decimals)</f>
        <v/>
      </c>
      <c r="I2088" s="69" t="str">
        <f>TEXT(ASTemp!I2088,Decimals)</f>
        <v/>
      </c>
      <c r="J2088" s="69" t="str">
        <f>TEXT(ASTemp!J2088,Decimals)</f>
        <v/>
      </c>
      <c r="K2088" s="69" t="str">
        <f>TEXT(ASTemp!K2088,Decimals)</f>
        <v/>
      </c>
      <c r="L2088" s="69" t="str">
        <f>TEXT(ASTemp!L2088,Decimals)</f>
        <v/>
      </c>
      <c r="M2088" s="71" t="str">
        <f>TEXT(ASTemp!M2088,Percentages)</f>
        <v/>
      </c>
      <c r="N2088" s="72" t="str">
        <f>TEXT(ASTemp!N2088,Percentages)</f>
        <v/>
      </c>
    </row>
    <row r="2089" ht="14.25" customHeight="1">
      <c r="B2089" s="66" t="str">
        <f>ASTemp!B2089</f>
        <v/>
      </c>
      <c r="C2089" s="67" t="str">
        <f>ASTemp!C2089</f>
        <v/>
      </c>
      <c r="D2089" s="68" t="str">
        <f>ASTemp!D2089</f>
        <v/>
      </c>
      <c r="E2089" s="65" t="str">
        <f>ASTemp!E2089</f>
        <v/>
      </c>
      <c r="F2089" s="69" t="str">
        <f>TEXT(ASTemp!F2089,Decimals)</f>
        <v/>
      </c>
      <c r="G2089" s="69" t="str">
        <f>TEXT(ASTemp!G2089,Decimals)</f>
        <v/>
      </c>
      <c r="H2089" s="69" t="str">
        <f>TEXT(ASTemp!H2089,Decimals)</f>
        <v/>
      </c>
      <c r="I2089" s="69" t="str">
        <f>TEXT(ASTemp!I2089,Decimals)</f>
        <v/>
      </c>
      <c r="J2089" s="69" t="str">
        <f>TEXT(ASTemp!J2089,Decimals)</f>
        <v/>
      </c>
      <c r="K2089" s="69" t="str">
        <f>TEXT(ASTemp!K2089,Decimals)</f>
        <v/>
      </c>
      <c r="L2089" s="69" t="str">
        <f>TEXT(ASTemp!L2089,Decimals)</f>
        <v/>
      </c>
      <c r="M2089" s="71" t="str">
        <f>TEXT(ASTemp!M2089,Percentages)</f>
        <v/>
      </c>
      <c r="N2089" s="72" t="str">
        <f>TEXT(ASTemp!N2089,Percentages)</f>
        <v/>
      </c>
    </row>
    <row r="2090" ht="14.25" customHeight="1">
      <c r="B2090" s="66" t="str">
        <f>ASTemp!B2090</f>
        <v/>
      </c>
      <c r="C2090" s="67" t="str">
        <f>ASTemp!C2090</f>
        <v/>
      </c>
      <c r="D2090" s="68" t="str">
        <f>ASTemp!D2090</f>
        <v/>
      </c>
      <c r="E2090" s="65" t="str">
        <f>ASTemp!E2090</f>
        <v/>
      </c>
      <c r="F2090" s="69" t="str">
        <f>TEXT(ASTemp!F2090,Decimals)</f>
        <v/>
      </c>
      <c r="G2090" s="69" t="str">
        <f>TEXT(ASTemp!G2090,Decimals)</f>
        <v/>
      </c>
      <c r="H2090" s="69" t="str">
        <f>TEXT(ASTemp!H2090,Decimals)</f>
        <v/>
      </c>
      <c r="I2090" s="69" t="str">
        <f>TEXT(ASTemp!I2090,Decimals)</f>
        <v/>
      </c>
      <c r="J2090" s="69" t="str">
        <f>TEXT(ASTemp!J2090,Decimals)</f>
        <v/>
      </c>
      <c r="K2090" s="69" t="str">
        <f>TEXT(ASTemp!K2090,Decimals)</f>
        <v/>
      </c>
      <c r="L2090" s="69" t="str">
        <f>TEXT(ASTemp!L2090,Decimals)</f>
        <v/>
      </c>
      <c r="M2090" s="71" t="str">
        <f>TEXT(ASTemp!M2090,Percentages)</f>
        <v/>
      </c>
      <c r="N2090" s="72" t="str">
        <f>TEXT(ASTemp!N2090,Percentages)</f>
        <v/>
      </c>
    </row>
    <row r="2091" ht="14.25" customHeight="1">
      <c r="B2091" s="66" t="str">
        <f>ASTemp!B2091</f>
        <v/>
      </c>
      <c r="C2091" s="67" t="str">
        <f>ASTemp!C2091</f>
        <v/>
      </c>
      <c r="D2091" s="68" t="str">
        <f>ASTemp!D2091</f>
        <v/>
      </c>
      <c r="E2091" s="65" t="str">
        <f>ASTemp!E2091</f>
        <v/>
      </c>
      <c r="F2091" s="69" t="str">
        <f>TEXT(ASTemp!F2091,Decimals)</f>
        <v/>
      </c>
      <c r="G2091" s="69" t="str">
        <f>TEXT(ASTemp!G2091,Decimals)</f>
        <v/>
      </c>
      <c r="H2091" s="69" t="str">
        <f>TEXT(ASTemp!H2091,Decimals)</f>
        <v/>
      </c>
      <c r="I2091" s="69" t="str">
        <f>TEXT(ASTemp!I2091,Decimals)</f>
        <v/>
      </c>
      <c r="J2091" s="69" t="str">
        <f>TEXT(ASTemp!J2091,Decimals)</f>
        <v/>
      </c>
      <c r="K2091" s="69" t="str">
        <f>TEXT(ASTemp!K2091,Decimals)</f>
        <v/>
      </c>
      <c r="L2091" s="69" t="str">
        <f>TEXT(ASTemp!L2091,Decimals)</f>
        <v/>
      </c>
      <c r="M2091" s="71" t="str">
        <f>TEXT(ASTemp!M2091,Percentages)</f>
        <v/>
      </c>
      <c r="N2091" s="72" t="str">
        <f>TEXT(ASTemp!N2091,Percentages)</f>
        <v/>
      </c>
    </row>
    <row r="2092" ht="14.25" customHeight="1">
      <c r="B2092" s="66" t="str">
        <f>ASTemp!B2092</f>
        <v/>
      </c>
      <c r="C2092" s="67" t="str">
        <f>ASTemp!C2092</f>
        <v/>
      </c>
      <c r="D2092" s="68" t="str">
        <f>ASTemp!D2092</f>
        <v/>
      </c>
      <c r="E2092" s="65" t="str">
        <f>ASTemp!E2092</f>
        <v/>
      </c>
      <c r="F2092" s="69" t="str">
        <f>TEXT(ASTemp!F2092,Decimals)</f>
        <v/>
      </c>
      <c r="G2092" s="69" t="str">
        <f>TEXT(ASTemp!G2092,Decimals)</f>
        <v/>
      </c>
      <c r="H2092" s="69" t="str">
        <f>TEXT(ASTemp!H2092,Decimals)</f>
        <v/>
      </c>
      <c r="I2092" s="69" t="str">
        <f>TEXT(ASTemp!I2092,Decimals)</f>
        <v/>
      </c>
      <c r="J2092" s="69" t="str">
        <f>TEXT(ASTemp!J2092,Decimals)</f>
        <v/>
      </c>
      <c r="K2092" s="69" t="str">
        <f>TEXT(ASTemp!K2092,Decimals)</f>
        <v/>
      </c>
      <c r="L2092" s="69" t="str">
        <f>TEXT(ASTemp!L2092,Decimals)</f>
        <v/>
      </c>
      <c r="M2092" s="71" t="str">
        <f>TEXT(ASTemp!M2092,Percentages)</f>
        <v/>
      </c>
      <c r="N2092" s="72" t="str">
        <f>TEXT(ASTemp!N2092,Percentages)</f>
        <v/>
      </c>
    </row>
    <row r="2093" ht="14.25" customHeight="1">
      <c r="B2093" s="66" t="str">
        <f>ASTemp!B2093</f>
        <v/>
      </c>
      <c r="C2093" s="67" t="str">
        <f>ASTemp!C2093</f>
        <v/>
      </c>
      <c r="D2093" s="68" t="str">
        <f>ASTemp!D2093</f>
        <v/>
      </c>
      <c r="E2093" s="65" t="str">
        <f>ASTemp!E2093</f>
        <v/>
      </c>
      <c r="F2093" s="69" t="str">
        <f>TEXT(ASTemp!F2093,Decimals)</f>
        <v/>
      </c>
      <c r="G2093" s="69" t="str">
        <f>TEXT(ASTemp!G2093,Decimals)</f>
        <v/>
      </c>
      <c r="H2093" s="69" t="str">
        <f>TEXT(ASTemp!H2093,Decimals)</f>
        <v/>
      </c>
      <c r="I2093" s="69" t="str">
        <f>TEXT(ASTemp!I2093,Decimals)</f>
        <v/>
      </c>
      <c r="J2093" s="69" t="str">
        <f>TEXT(ASTemp!J2093,Decimals)</f>
        <v/>
      </c>
      <c r="K2093" s="69" t="str">
        <f>TEXT(ASTemp!K2093,Decimals)</f>
        <v/>
      </c>
      <c r="L2093" s="69" t="str">
        <f>TEXT(ASTemp!L2093,Decimals)</f>
        <v/>
      </c>
      <c r="M2093" s="71" t="str">
        <f>TEXT(ASTemp!M2093,Percentages)</f>
        <v/>
      </c>
      <c r="N2093" s="72" t="str">
        <f>TEXT(ASTemp!N2093,Percentages)</f>
        <v/>
      </c>
    </row>
    <row r="2094" ht="14.25" customHeight="1">
      <c r="B2094" s="66" t="str">
        <f>ASTemp!B2094</f>
        <v/>
      </c>
      <c r="C2094" s="67" t="str">
        <f>ASTemp!C2094</f>
        <v/>
      </c>
      <c r="D2094" s="68" t="str">
        <f>ASTemp!D2094</f>
        <v/>
      </c>
      <c r="E2094" s="65" t="str">
        <f>ASTemp!E2094</f>
        <v/>
      </c>
      <c r="F2094" s="69" t="str">
        <f>TEXT(ASTemp!F2094,Decimals)</f>
        <v/>
      </c>
      <c r="G2094" s="69" t="str">
        <f>TEXT(ASTemp!G2094,Decimals)</f>
        <v/>
      </c>
      <c r="H2094" s="69" t="str">
        <f>TEXT(ASTemp!H2094,Decimals)</f>
        <v/>
      </c>
      <c r="I2094" s="69" t="str">
        <f>TEXT(ASTemp!I2094,Decimals)</f>
        <v/>
      </c>
      <c r="J2094" s="69" t="str">
        <f>TEXT(ASTemp!J2094,Decimals)</f>
        <v/>
      </c>
      <c r="K2094" s="69" t="str">
        <f>TEXT(ASTemp!K2094,Decimals)</f>
        <v/>
      </c>
      <c r="L2094" s="69" t="str">
        <f>TEXT(ASTemp!L2094,Decimals)</f>
        <v/>
      </c>
      <c r="M2094" s="71" t="str">
        <f>TEXT(ASTemp!M2094,Percentages)</f>
        <v/>
      </c>
      <c r="N2094" s="72" t="str">
        <f>TEXT(ASTemp!N2094,Percentages)</f>
        <v/>
      </c>
    </row>
    <row r="2095" ht="14.25" customHeight="1">
      <c r="B2095" s="66" t="str">
        <f>ASTemp!B2095</f>
        <v/>
      </c>
      <c r="C2095" s="67" t="str">
        <f>ASTemp!C2095</f>
        <v/>
      </c>
      <c r="D2095" s="68" t="str">
        <f>ASTemp!D2095</f>
        <v/>
      </c>
      <c r="E2095" s="65" t="str">
        <f>ASTemp!E2095</f>
        <v/>
      </c>
      <c r="F2095" s="69" t="str">
        <f>TEXT(ASTemp!F2095,Decimals)</f>
        <v/>
      </c>
      <c r="G2095" s="69" t="str">
        <f>TEXT(ASTemp!G2095,Decimals)</f>
        <v/>
      </c>
      <c r="H2095" s="69" t="str">
        <f>TEXT(ASTemp!H2095,Decimals)</f>
        <v/>
      </c>
      <c r="I2095" s="69" t="str">
        <f>TEXT(ASTemp!I2095,Decimals)</f>
        <v/>
      </c>
      <c r="J2095" s="69" t="str">
        <f>TEXT(ASTemp!J2095,Decimals)</f>
        <v/>
      </c>
      <c r="K2095" s="69" t="str">
        <f>TEXT(ASTemp!K2095,Decimals)</f>
        <v/>
      </c>
      <c r="L2095" s="69" t="str">
        <f>TEXT(ASTemp!L2095,Decimals)</f>
        <v/>
      </c>
      <c r="M2095" s="71" t="str">
        <f>TEXT(ASTemp!M2095,Percentages)</f>
        <v/>
      </c>
      <c r="N2095" s="72" t="str">
        <f>TEXT(ASTemp!N2095,Percentages)</f>
        <v/>
      </c>
    </row>
    <row r="2096" ht="14.25" customHeight="1">
      <c r="B2096" s="66" t="str">
        <f>ASTemp!B2096</f>
        <v/>
      </c>
      <c r="C2096" s="67" t="str">
        <f>ASTemp!C2096</f>
        <v/>
      </c>
      <c r="D2096" s="68" t="str">
        <f>ASTemp!D2096</f>
        <v/>
      </c>
      <c r="E2096" s="65" t="str">
        <f>ASTemp!E2096</f>
        <v/>
      </c>
      <c r="F2096" s="69" t="str">
        <f>TEXT(ASTemp!F2096,Decimals)</f>
        <v/>
      </c>
      <c r="G2096" s="69" t="str">
        <f>TEXT(ASTemp!G2096,Decimals)</f>
        <v/>
      </c>
      <c r="H2096" s="69" t="str">
        <f>TEXT(ASTemp!H2096,Decimals)</f>
        <v/>
      </c>
      <c r="I2096" s="69" t="str">
        <f>TEXT(ASTemp!I2096,Decimals)</f>
        <v/>
      </c>
      <c r="J2096" s="69" t="str">
        <f>TEXT(ASTemp!J2096,Decimals)</f>
        <v/>
      </c>
      <c r="K2096" s="69" t="str">
        <f>TEXT(ASTemp!K2096,Decimals)</f>
        <v/>
      </c>
      <c r="L2096" s="69" t="str">
        <f>TEXT(ASTemp!L2096,Decimals)</f>
        <v/>
      </c>
      <c r="M2096" s="71" t="str">
        <f>TEXT(ASTemp!M2096,Percentages)</f>
        <v/>
      </c>
      <c r="N2096" s="72" t="str">
        <f>TEXT(ASTemp!N2096,Percentages)</f>
        <v/>
      </c>
    </row>
    <row r="2097" ht="14.25" customHeight="1">
      <c r="B2097" s="66" t="str">
        <f>ASTemp!B2097</f>
        <v/>
      </c>
      <c r="C2097" s="67" t="str">
        <f>ASTemp!C2097</f>
        <v/>
      </c>
      <c r="D2097" s="68" t="str">
        <f>ASTemp!D2097</f>
        <v/>
      </c>
      <c r="E2097" s="65" t="str">
        <f>ASTemp!E2097</f>
        <v/>
      </c>
      <c r="F2097" s="69" t="str">
        <f>TEXT(ASTemp!F2097,Decimals)</f>
        <v/>
      </c>
      <c r="G2097" s="69" t="str">
        <f>TEXT(ASTemp!G2097,Decimals)</f>
        <v/>
      </c>
      <c r="H2097" s="69" t="str">
        <f>TEXT(ASTemp!H2097,Decimals)</f>
        <v/>
      </c>
      <c r="I2097" s="69" t="str">
        <f>TEXT(ASTemp!I2097,Decimals)</f>
        <v/>
      </c>
      <c r="J2097" s="69" t="str">
        <f>TEXT(ASTemp!J2097,Decimals)</f>
        <v/>
      </c>
      <c r="K2097" s="69" t="str">
        <f>TEXT(ASTemp!K2097,Decimals)</f>
        <v/>
      </c>
      <c r="L2097" s="69" t="str">
        <f>TEXT(ASTemp!L2097,Decimals)</f>
        <v/>
      </c>
      <c r="M2097" s="71" t="str">
        <f>TEXT(ASTemp!M2097,Percentages)</f>
        <v/>
      </c>
      <c r="N2097" s="72" t="str">
        <f>TEXT(ASTemp!N2097,Percentages)</f>
        <v/>
      </c>
    </row>
    <row r="2098" ht="14.25" customHeight="1">
      <c r="B2098" s="66" t="str">
        <f>ASTemp!B2098</f>
        <v/>
      </c>
      <c r="C2098" s="67" t="str">
        <f>ASTemp!C2098</f>
        <v/>
      </c>
      <c r="D2098" s="68" t="str">
        <f>ASTemp!D2098</f>
        <v/>
      </c>
      <c r="E2098" s="65" t="str">
        <f>ASTemp!E2098</f>
        <v/>
      </c>
      <c r="F2098" s="69" t="str">
        <f>TEXT(ASTemp!F2098,Decimals)</f>
        <v/>
      </c>
      <c r="G2098" s="69" t="str">
        <f>TEXT(ASTemp!G2098,Decimals)</f>
        <v/>
      </c>
      <c r="H2098" s="69" t="str">
        <f>TEXT(ASTemp!H2098,Decimals)</f>
        <v/>
      </c>
      <c r="I2098" s="69" t="str">
        <f>TEXT(ASTemp!I2098,Decimals)</f>
        <v/>
      </c>
      <c r="J2098" s="69" t="str">
        <f>TEXT(ASTemp!J2098,Decimals)</f>
        <v/>
      </c>
      <c r="K2098" s="69" t="str">
        <f>TEXT(ASTemp!K2098,Decimals)</f>
        <v/>
      </c>
      <c r="L2098" s="69" t="str">
        <f>TEXT(ASTemp!L2098,Decimals)</f>
        <v/>
      </c>
      <c r="M2098" s="71" t="str">
        <f>TEXT(ASTemp!M2098,Percentages)</f>
        <v/>
      </c>
      <c r="N2098" s="72" t="str">
        <f>TEXT(ASTemp!N2098,Percentages)</f>
        <v/>
      </c>
    </row>
    <row r="2099" ht="14.25" customHeight="1">
      <c r="B2099" s="66" t="str">
        <f>ASTemp!B2099</f>
        <v/>
      </c>
      <c r="C2099" s="67" t="str">
        <f>ASTemp!C2099</f>
        <v/>
      </c>
      <c r="D2099" s="68" t="str">
        <f>ASTemp!D2099</f>
        <v/>
      </c>
      <c r="E2099" s="65" t="str">
        <f>ASTemp!E2099</f>
        <v/>
      </c>
      <c r="F2099" s="69" t="str">
        <f>TEXT(ASTemp!F2099,Decimals)</f>
        <v/>
      </c>
      <c r="G2099" s="69" t="str">
        <f>TEXT(ASTemp!G2099,Decimals)</f>
        <v/>
      </c>
      <c r="H2099" s="69" t="str">
        <f>TEXT(ASTemp!H2099,Decimals)</f>
        <v/>
      </c>
      <c r="I2099" s="69" t="str">
        <f>TEXT(ASTemp!I2099,Decimals)</f>
        <v/>
      </c>
      <c r="J2099" s="69" t="str">
        <f>TEXT(ASTemp!J2099,Decimals)</f>
        <v/>
      </c>
      <c r="K2099" s="69" t="str">
        <f>TEXT(ASTemp!K2099,Decimals)</f>
        <v/>
      </c>
      <c r="L2099" s="69" t="str">
        <f>TEXT(ASTemp!L2099,Decimals)</f>
        <v/>
      </c>
      <c r="M2099" s="71" t="str">
        <f>TEXT(ASTemp!M2099,Percentages)</f>
        <v/>
      </c>
      <c r="N2099" s="72" t="str">
        <f>TEXT(ASTemp!N2099,Percentages)</f>
        <v/>
      </c>
    </row>
    <row r="2100" ht="14.25" customHeight="1">
      <c r="B2100" s="66" t="str">
        <f>ASTemp!B2100</f>
        <v/>
      </c>
      <c r="C2100" s="67" t="str">
        <f>ASTemp!C2100</f>
        <v/>
      </c>
      <c r="D2100" s="68" t="str">
        <f>ASTemp!D2100</f>
        <v/>
      </c>
      <c r="E2100" s="65" t="str">
        <f>ASTemp!E2100</f>
        <v/>
      </c>
      <c r="F2100" s="69" t="str">
        <f>TEXT(ASTemp!F2100,Decimals)</f>
        <v/>
      </c>
      <c r="G2100" s="69" t="str">
        <f>TEXT(ASTemp!G2100,Decimals)</f>
        <v/>
      </c>
      <c r="H2100" s="69" t="str">
        <f>TEXT(ASTemp!H2100,Decimals)</f>
        <v/>
      </c>
      <c r="I2100" s="69" t="str">
        <f>TEXT(ASTemp!I2100,Decimals)</f>
        <v/>
      </c>
      <c r="J2100" s="69" t="str">
        <f>TEXT(ASTemp!J2100,Decimals)</f>
        <v/>
      </c>
      <c r="K2100" s="69" t="str">
        <f>TEXT(ASTemp!K2100,Decimals)</f>
        <v/>
      </c>
      <c r="L2100" s="69" t="str">
        <f>TEXT(ASTemp!L2100,Decimals)</f>
        <v/>
      </c>
      <c r="M2100" s="71" t="str">
        <f>TEXT(ASTemp!M2100,Percentages)</f>
        <v/>
      </c>
      <c r="N2100" s="72" t="str">
        <f>TEXT(ASTemp!N2100,Percentages)</f>
        <v/>
      </c>
    </row>
    <row r="2101" ht="14.25" customHeight="1">
      <c r="B2101" s="66" t="str">
        <f>ASTemp!B2101</f>
        <v/>
      </c>
      <c r="C2101" s="67" t="str">
        <f>ASTemp!C2101</f>
        <v/>
      </c>
      <c r="D2101" s="68" t="str">
        <f>ASTemp!D2101</f>
        <v/>
      </c>
      <c r="E2101" s="65" t="str">
        <f>ASTemp!E2101</f>
        <v/>
      </c>
      <c r="F2101" s="69" t="str">
        <f>TEXT(ASTemp!F2101,Decimals)</f>
        <v/>
      </c>
      <c r="G2101" s="69" t="str">
        <f>TEXT(ASTemp!G2101,Decimals)</f>
        <v/>
      </c>
      <c r="H2101" s="69" t="str">
        <f>TEXT(ASTemp!H2101,Decimals)</f>
        <v/>
      </c>
      <c r="I2101" s="69" t="str">
        <f>TEXT(ASTemp!I2101,Decimals)</f>
        <v/>
      </c>
      <c r="J2101" s="69" t="str">
        <f>TEXT(ASTemp!J2101,Decimals)</f>
        <v/>
      </c>
      <c r="K2101" s="69" t="str">
        <f>TEXT(ASTemp!K2101,Decimals)</f>
        <v/>
      </c>
      <c r="L2101" s="69" t="str">
        <f>TEXT(ASTemp!L2101,Decimals)</f>
        <v/>
      </c>
      <c r="M2101" s="71" t="str">
        <f>TEXT(ASTemp!M2101,Percentages)</f>
        <v/>
      </c>
      <c r="N2101" s="72" t="str">
        <f>TEXT(ASTemp!N2101,Percentages)</f>
        <v/>
      </c>
    </row>
    <row r="2102" ht="14.25" customHeight="1">
      <c r="B2102" s="66" t="str">
        <f>ASTemp!B2102</f>
        <v/>
      </c>
      <c r="C2102" s="67" t="str">
        <f>ASTemp!C2102</f>
        <v/>
      </c>
      <c r="D2102" s="68" t="str">
        <f>ASTemp!D2102</f>
        <v/>
      </c>
      <c r="E2102" s="65" t="str">
        <f>ASTemp!E2102</f>
        <v/>
      </c>
      <c r="F2102" s="69" t="str">
        <f>TEXT(ASTemp!F2102,Decimals)</f>
        <v/>
      </c>
      <c r="G2102" s="69" t="str">
        <f>TEXT(ASTemp!G2102,Decimals)</f>
        <v/>
      </c>
      <c r="H2102" s="69" t="str">
        <f>TEXT(ASTemp!H2102,Decimals)</f>
        <v/>
      </c>
      <c r="I2102" s="69" t="str">
        <f>TEXT(ASTemp!I2102,Decimals)</f>
        <v/>
      </c>
      <c r="J2102" s="69" t="str">
        <f>TEXT(ASTemp!J2102,Decimals)</f>
        <v/>
      </c>
      <c r="K2102" s="69" t="str">
        <f>TEXT(ASTemp!K2102,Decimals)</f>
        <v/>
      </c>
      <c r="L2102" s="69" t="str">
        <f>TEXT(ASTemp!L2102,Decimals)</f>
        <v/>
      </c>
      <c r="M2102" s="71" t="str">
        <f>TEXT(ASTemp!M2102,Percentages)</f>
        <v/>
      </c>
      <c r="N2102" s="72" t="str">
        <f>TEXT(ASTemp!N2102,Percentages)</f>
        <v/>
      </c>
    </row>
    <row r="2103" ht="14.25" customHeight="1">
      <c r="B2103" s="66" t="str">
        <f>ASTemp!B2103</f>
        <v/>
      </c>
      <c r="C2103" s="67" t="str">
        <f>ASTemp!C2103</f>
        <v/>
      </c>
      <c r="D2103" s="68" t="str">
        <f>ASTemp!D2103</f>
        <v/>
      </c>
      <c r="E2103" s="65" t="str">
        <f>ASTemp!E2103</f>
        <v/>
      </c>
      <c r="F2103" s="69" t="str">
        <f>TEXT(ASTemp!F2103,Decimals)</f>
        <v/>
      </c>
      <c r="G2103" s="69" t="str">
        <f>TEXT(ASTemp!G2103,Decimals)</f>
        <v/>
      </c>
      <c r="H2103" s="69" t="str">
        <f>TEXT(ASTemp!H2103,Decimals)</f>
        <v/>
      </c>
      <c r="I2103" s="69" t="str">
        <f>TEXT(ASTemp!I2103,Decimals)</f>
        <v/>
      </c>
      <c r="J2103" s="69" t="str">
        <f>TEXT(ASTemp!J2103,Decimals)</f>
        <v/>
      </c>
      <c r="K2103" s="69" t="str">
        <f>TEXT(ASTemp!K2103,Decimals)</f>
        <v/>
      </c>
      <c r="L2103" s="69" t="str">
        <f>TEXT(ASTemp!L2103,Decimals)</f>
        <v/>
      </c>
      <c r="M2103" s="71" t="str">
        <f>TEXT(ASTemp!M2103,Percentages)</f>
        <v/>
      </c>
      <c r="N2103" s="72" t="str">
        <f>TEXT(ASTemp!N2103,Percentages)</f>
        <v/>
      </c>
    </row>
    <row r="2104" ht="14.25" customHeight="1">
      <c r="B2104" s="66" t="str">
        <f>ASTemp!B2104</f>
        <v/>
      </c>
      <c r="C2104" s="67" t="str">
        <f>ASTemp!C2104</f>
        <v/>
      </c>
      <c r="D2104" s="68" t="str">
        <f>ASTemp!D2104</f>
        <v/>
      </c>
      <c r="E2104" s="65" t="str">
        <f>ASTemp!E2104</f>
        <v/>
      </c>
      <c r="F2104" s="69" t="str">
        <f>TEXT(ASTemp!F2104,Decimals)</f>
        <v/>
      </c>
      <c r="G2104" s="69" t="str">
        <f>TEXT(ASTemp!G2104,Decimals)</f>
        <v/>
      </c>
      <c r="H2104" s="69" t="str">
        <f>TEXT(ASTemp!H2104,Decimals)</f>
        <v/>
      </c>
      <c r="I2104" s="69" t="str">
        <f>TEXT(ASTemp!I2104,Decimals)</f>
        <v/>
      </c>
      <c r="J2104" s="69" t="str">
        <f>TEXT(ASTemp!J2104,Decimals)</f>
        <v/>
      </c>
      <c r="K2104" s="69" t="str">
        <f>TEXT(ASTemp!K2104,Decimals)</f>
        <v/>
      </c>
      <c r="L2104" s="69" t="str">
        <f>TEXT(ASTemp!L2104,Decimals)</f>
        <v/>
      </c>
      <c r="M2104" s="71" t="str">
        <f>TEXT(ASTemp!M2104,Percentages)</f>
        <v/>
      </c>
      <c r="N2104" s="72" t="str">
        <f>TEXT(ASTemp!N2104,Percentages)</f>
        <v/>
      </c>
    </row>
    <row r="2105" ht="14.25" customHeight="1">
      <c r="B2105" s="66" t="str">
        <f>ASTemp!B2105</f>
        <v/>
      </c>
      <c r="C2105" s="67" t="str">
        <f>ASTemp!C2105</f>
        <v/>
      </c>
      <c r="D2105" s="68" t="str">
        <f>ASTemp!D2105</f>
        <v/>
      </c>
      <c r="E2105" s="65" t="str">
        <f>ASTemp!E2105</f>
        <v/>
      </c>
      <c r="F2105" s="69" t="str">
        <f>TEXT(ASTemp!F2105,Decimals)</f>
        <v/>
      </c>
      <c r="G2105" s="69" t="str">
        <f>TEXT(ASTemp!G2105,Decimals)</f>
        <v/>
      </c>
      <c r="H2105" s="69" t="str">
        <f>TEXT(ASTemp!H2105,Decimals)</f>
        <v/>
      </c>
      <c r="I2105" s="69" t="str">
        <f>TEXT(ASTemp!I2105,Decimals)</f>
        <v/>
      </c>
      <c r="J2105" s="69" t="str">
        <f>TEXT(ASTemp!J2105,Decimals)</f>
        <v/>
      </c>
      <c r="K2105" s="69" t="str">
        <f>TEXT(ASTemp!K2105,Decimals)</f>
        <v/>
      </c>
      <c r="L2105" s="69" t="str">
        <f>TEXT(ASTemp!L2105,Decimals)</f>
        <v/>
      </c>
      <c r="M2105" s="71" t="str">
        <f>TEXT(ASTemp!M2105,Percentages)</f>
        <v/>
      </c>
      <c r="N2105" s="72" t="str">
        <f>TEXT(ASTemp!N2105,Percentages)</f>
        <v/>
      </c>
    </row>
    <row r="2106" ht="14.25" customHeight="1">
      <c r="B2106" s="66" t="str">
        <f>ASTemp!B2106</f>
        <v/>
      </c>
      <c r="C2106" s="67" t="str">
        <f>ASTemp!C2106</f>
        <v/>
      </c>
      <c r="D2106" s="68" t="str">
        <f>ASTemp!D2106</f>
        <v/>
      </c>
      <c r="E2106" s="65" t="str">
        <f>ASTemp!E2106</f>
        <v/>
      </c>
      <c r="F2106" s="69" t="str">
        <f>TEXT(ASTemp!F2106,Decimals)</f>
        <v/>
      </c>
      <c r="G2106" s="69" t="str">
        <f>TEXT(ASTemp!G2106,Decimals)</f>
        <v/>
      </c>
      <c r="H2106" s="69" t="str">
        <f>TEXT(ASTemp!H2106,Decimals)</f>
        <v/>
      </c>
      <c r="I2106" s="69" t="str">
        <f>TEXT(ASTemp!I2106,Decimals)</f>
        <v/>
      </c>
      <c r="J2106" s="69" t="str">
        <f>TEXT(ASTemp!J2106,Decimals)</f>
        <v/>
      </c>
      <c r="K2106" s="69" t="str">
        <f>TEXT(ASTemp!K2106,Decimals)</f>
        <v/>
      </c>
      <c r="L2106" s="69" t="str">
        <f>TEXT(ASTemp!L2106,Decimals)</f>
        <v/>
      </c>
      <c r="M2106" s="71" t="str">
        <f>TEXT(ASTemp!M2106,Percentages)</f>
        <v/>
      </c>
      <c r="N2106" s="72" t="str">
        <f>TEXT(ASTemp!N2106,Percentages)</f>
        <v/>
      </c>
    </row>
    <row r="2107" ht="14.25" customHeight="1">
      <c r="B2107" s="66" t="str">
        <f>ASTemp!B2107</f>
        <v/>
      </c>
      <c r="C2107" s="67" t="str">
        <f>ASTemp!C2107</f>
        <v/>
      </c>
      <c r="D2107" s="68" t="str">
        <f>ASTemp!D2107</f>
        <v/>
      </c>
      <c r="E2107" s="65" t="str">
        <f>ASTemp!E2107</f>
        <v/>
      </c>
      <c r="F2107" s="69" t="str">
        <f>TEXT(ASTemp!F2107,Decimals)</f>
        <v/>
      </c>
      <c r="G2107" s="69" t="str">
        <f>TEXT(ASTemp!G2107,Decimals)</f>
        <v/>
      </c>
      <c r="H2107" s="69" t="str">
        <f>TEXT(ASTemp!H2107,Decimals)</f>
        <v/>
      </c>
      <c r="I2107" s="69" t="str">
        <f>TEXT(ASTemp!I2107,Decimals)</f>
        <v/>
      </c>
      <c r="J2107" s="69" t="str">
        <f>TEXT(ASTemp!J2107,Decimals)</f>
        <v/>
      </c>
      <c r="K2107" s="69" t="str">
        <f>TEXT(ASTemp!K2107,Decimals)</f>
        <v/>
      </c>
      <c r="L2107" s="69" t="str">
        <f>TEXT(ASTemp!L2107,Decimals)</f>
        <v/>
      </c>
      <c r="M2107" s="71" t="str">
        <f>TEXT(ASTemp!M2107,Percentages)</f>
        <v/>
      </c>
      <c r="N2107" s="72" t="str">
        <f>TEXT(ASTemp!N2107,Percentages)</f>
        <v/>
      </c>
    </row>
    <row r="2108" ht="14.25" customHeight="1">
      <c r="B2108" s="66" t="str">
        <f>ASTemp!B2108</f>
        <v/>
      </c>
      <c r="C2108" s="67" t="str">
        <f>ASTemp!C2108</f>
        <v/>
      </c>
      <c r="D2108" s="68" t="str">
        <f>ASTemp!D2108</f>
        <v/>
      </c>
      <c r="E2108" s="65" t="str">
        <f>ASTemp!E2108</f>
        <v/>
      </c>
      <c r="F2108" s="69" t="str">
        <f>TEXT(ASTemp!F2108,Decimals)</f>
        <v/>
      </c>
      <c r="G2108" s="69" t="str">
        <f>TEXT(ASTemp!G2108,Decimals)</f>
        <v/>
      </c>
      <c r="H2108" s="69" t="str">
        <f>TEXT(ASTemp!H2108,Decimals)</f>
        <v/>
      </c>
      <c r="I2108" s="69" t="str">
        <f>TEXT(ASTemp!I2108,Decimals)</f>
        <v/>
      </c>
      <c r="J2108" s="69" t="str">
        <f>TEXT(ASTemp!J2108,Decimals)</f>
        <v/>
      </c>
      <c r="K2108" s="69" t="str">
        <f>TEXT(ASTemp!K2108,Decimals)</f>
        <v/>
      </c>
      <c r="L2108" s="69" t="str">
        <f>TEXT(ASTemp!L2108,Decimals)</f>
        <v/>
      </c>
      <c r="M2108" s="71" t="str">
        <f>TEXT(ASTemp!M2108,Percentages)</f>
        <v/>
      </c>
      <c r="N2108" s="72" t="str">
        <f>TEXT(ASTemp!N2108,Percentages)</f>
        <v/>
      </c>
    </row>
    <row r="2109" ht="14.25" customHeight="1">
      <c r="B2109" s="66" t="str">
        <f>ASTemp!B2109</f>
        <v/>
      </c>
      <c r="C2109" s="67" t="str">
        <f>ASTemp!C2109</f>
        <v/>
      </c>
      <c r="D2109" s="68" t="str">
        <f>ASTemp!D2109</f>
        <v/>
      </c>
      <c r="E2109" s="65" t="str">
        <f>ASTemp!E2109</f>
        <v/>
      </c>
      <c r="F2109" s="69" t="str">
        <f>TEXT(ASTemp!F2109,Decimals)</f>
        <v/>
      </c>
      <c r="G2109" s="69" t="str">
        <f>TEXT(ASTemp!G2109,Decimals)</f>
        <v/>
      </c>
      <c r="H2109" s="69" t="str">
        <f>TEXT(ASTemp!H2109,Decimals)</f>
        <v/>
      </c>
      <c r="I2109" s="69" t="str">
        <f>TEXT(ASTemp!I2109,Decimals)</f>
        <v/>
      </c>
      <c r="J2109" s="69" t="str">
        <f>TEXT(ASTemp!J2109,Decimals)</f>
        <v/>
      </c>
      <c r="K2109" s="69" t="str">
        <f>TEXT(ASTemp!K2109,Decimals)</f>
        <v/>
      </c>
      <c r="L2109" s="69" t="str">
        <f>TEXT(ASTemp!L2109,Decimals)</f>
        <v/>
      </c>
      <c r="M2109" s="71" t="str">
        <f>TEXT(ASTemp!M2109,Percentages)</f>
        <v/>
      </c>
      <c r="N2109" s="72" t="str">
        <f>TEXT(ASTemp!N2109,Percentages)</f>
        <v/>
      </c>
    </row>
    <row r="2110" ht="14.25" customHeight="1">
      <c r="B2110" s="66" t="str">
        <f>ASTemp!B2110</f>
        <v/>
      </c>
      <c r="C2110" s="67" t="str">
        <f>ASTemp!C2110</f>
        <v/>
      </c>
      <c r="D2110" s="68" t="str">
        <f>ASTemp!D2110</f>
        <v/>
      </c>
      <c r="E2110" s="65" t="str">
        <f>ASTemp!E2110</f>
        <v/>
      </c>
      <c r="F2110" s="69" t="str">
        <f>TEXT(ASTemp!F2110,Decimals)</f>
        <v/>
      </c>
      <c r="G2110" s="69" t="str">
        <f>TEXT(ASTemp!G2110,Decimals)</f>
        <v/>
      </c>
      <c r="H2110" s="69" t="str">
        <f>TEXT(ASTemp!H2110,Decimals)</f>
        <v/>
      </c>
      <c r="I2110" s="69" t="str">
        <f>TEXT(ASTemp!I2110,Decimals)</f>
        <v/>
      </c>
      <c r="J2110" s="69" t="str">
        <f>TEXT(ASTemp!J2110,Decimals)</f>
        <v/>
      </c>
      <c r="K2110" s="69" t="str">
        <f>TEXT(ASTemp!K2110,Decimals)</f>
        <v/>
      </c>
      <c r="L2110" s="69" t="str">
        <f>TEXT(ASTemp!L2110,Decimals)</f>
        <v/>
      </c>
      <c r="M2110" s="71" t="str">
        <f>TEXT(ASTemp!M2110,Percentages)</f>
        <v/>
      </c>
      <c r="N2110" s="72" t="str">
        <f>TEXT(ASTemp!N2110,Percentages)</f>
        <v/>
      </c>
    </row>
    <row r="2111" ht="14.25" customHeight="1">
      <c r="B2111" s="66" t="str">
        <f>ASTemp!B2111</f>
        <v/>
      </c>
      <c r="C2111" s="67" t="str">
        <f>ASTemp!C2111</f>
        <v/>
      </c>
      <c r="D2111" s="68" t="str">
        <f>ASTemp!D2111</f>
        <v/>
      </c>
      <c r="E2111" s="65" t="str">
        <f>ASTemp!E2111</f>
        <v/>
      </c>
      <c r="F2111" s="69" t="str">
        <f>TEXT(ASTemp!F2111,Decimals)</f>
        <v/>
      </c>
      <c r="G2111" s="69" t="str">
        <f>TEXT(ASTemp!G2111,Decimals)</f>
        <v/>
      </c>
      <c r="H2111" s="69" t="str">
        <f>TEXT(ASTemp!H2111,Decimals)</f>
        <v/>
      </c>
      <c r="I2111" s="69" t="str">
        <f>TEXT(ASTemp!I2111,Decimals)</f>
        <v/>
      </c>
      <c r="J2111" s="69" t="str">
        <f>TEXT(ASTemp!J2111,Decimals)</f>
        <v/>
      </c>
      <c r="K2111" s="69" t="str">
        <f>TEXT(ASTemp!K2111,Decimals)</f>
        <v/>
      </c>
      <c r="L2111" s="69" t="str">
        <f>TEXT(ASTemp!L2111,Decimals)</f>
        <v/>
      </c>
      <c r="M2111" s="71" t="str">
        <f>TEXT(ASTemp!M2111,Percentages)</f>
        <v/>
      </c>
      <c r="N2111" s="72" t="str">
        <f>TEXT(ASTemp!N2111,Percentages)</f>
        <v/>
      </c>
    </row>
    <row r="2112" ht="14.25" customHeight="1">
      <c r="B2112" s="66" t="str">
        <f>ASTemp!B2112</f>
        <v/>
      </c>
      <c r="C2112" s="67" t="str">
        <f>ASTemp!C2112</f>
        <v/>
      </c>
      <c r="D2112" s="68" t="str">
        <f>ASTemp!D2112</f>
        <v/>
      </c>
      <c r="E2112" s="65" t="str">
        <f>ASTemp!E2112</f>
        <v/>
      </c>
      <c r="F2112" s="69" t="str">
        <f>TEXT(ASTemp!F2112,Decimals)</f>
        <v/>
      </c>
      <c r="G2112" s="69" t="str">
        <f>TEXT(ASTemp!G2112,Decimals)</f>
        <v/>
      </c>
      <c r="H2112" s="69" t="str">
        <f>TEXT(ASTemp!H2112,Decimals)</f>
        <v/>
      </c>
      <c r="I2112" s="69" t="str">
        <f>TEXT(ASTemp!I2112,Decimals)</f>
        <v/>
      </c>
      <c r="J2112" s="69" t="str">
        <f>TEXT(ASTemp!J2112,Decimals)</f>
        <v/>
      </c>
      <c r="K2112" s="69" t="str">
        <f>TEXT(ASTemp!K2112,Decimals)</f>
        <v/>
      </c>
      <c r="L2112" s="69" t="str">
        <f>TEXT(ASTemp!L2112,Decimals)</f>
        <v/>
      </c>
      <c r="M2112" s="71" t="str">
        <f>TEXT(ASTemp!M2112,Percentages)</f>
        <v/>
      </c>
      <c r="N2112" s="72" t="str">
        <f>TEXT(ASTemp!N2112,Percentages)</f>
        <v/>
      </c>
    </row>
    <row r="2113" ht="14.25" customHeight="1">
      <c r="B2113" s="66" t="str">
        <f>ASTemp!B2113</f>
        <v/>
      </c>
      <c r="C2113" s="67" t="str">
        <f>ASTemp!C2113</f>
        <v/>
      </c>
      <c r="D2113" s="68" t="str">
        <f>ASTemp!D2113</f>
        <v/>
      </c>
      <c r="E2113" s="65" t="str">
        <f>ASTemp!E2113</f>
        <v/>
      </c>
      <c r="F2113" s="69" t="str">
        <f>TEXT(ASTemp!F2113,Decimals)</f>
        <v/>
      </c>
      <c r="G2113" s="69" t="str">
        <f>TEXT(ASTemp!G2113,Decimals)</f>
        <v/>
      </c>
      <c r="H2113" s="69" t="str">
        <f>TEXT(ASTemp!H2113,Decimals)</f>
        <v/>
      </c>
      <c r="I2113" s="69" t="str">
        <f>TEXT(ASTemp!I2113,Decimals)</f>
        <v/>
      </c>
      <c r="J2113" s="69" t="str">
        <f>TEXT(ASTemp!J2113,Decimals)</f>
        <v/>
      </c>
      <c r="K2113" s="69" t="str">
        <f>TEXT(ASTemp!K2113,Decimals)</f>
        <v/>
      </c>
      <c r="L2113" s="69" t="str">
        <f>TEXT(ASTemp!L2113,Decimals)</f>
        <v/>
      </c>
      <c r="M2113" s="71" t="str">
        <f>TEXT(ASTemp!M2113,Percentages)</f>
        <v/>
      </c>
      <c r="N2113" s="72" t="str">
        <f>TEXT(ASTemp!N2113,Percentages)</f>
        <v/>
      </c>
    </row>
    <row r="2114" ht="14.25" customHeight="1">
      <c r="B2114" s="66" t="str">
        <f>ASTemp!B2114</f>
        <v/>
      </c>
      <c r="C2114" s="67" t="str">
        <f>ASTemp!C2114</f>
        <v/>
      </c>
      <c r="D2114" s="68" t="str">
        <f>ASTemp!D2114</f>
        <v/>
      </c>
      <c r="E2114" s="65" t="str">
        <f>ASTemp!E2114</f>
        <v/>
      </c>
      <c r="F2114" s="69" t="str">
        <f>TEXT(ASTemp!F2114,Decimals)</f>
        <v/>
      </c>
      <c r="G2114" s="69" t="str">
        <f>TEXT(ASTemp!G2114,Decimals)</f>
        <v/>
      </c>
      <c r="H2114" s="69" t="str">
        <f>TEXT(ASTemp!H2114,Decimals)</f>
        <v/>
      </c>
      <c r="I2114" s="69" t="str">
        <f>TEXT(ASTemp!I2114,Decimals)</f>
        <v/>
      </c>
      <c r="J2114" s="69" t="str">
        <f>TEXT(ASTemp!J2114,Decimals)</f>
        <v/>
      </c>
      <c r="K2114" s="69" t="str">
        <f>TEXT(ASTemp!K2114,Decimals)</f>
        <v/>
      </c>
      <c r="L2114" s="69" t="str">
        <f>TEXT(ASTemp!L2114,Decimals)</f>
        <v/>
      </c>
      <c r="M2114" s="71" t="str">
        <f>TEXT(ASTemp!M2114,Percentages)</f>
        <v/>
      </c>
      <c r="N2114" s="72" t="str">
        <f>TEXT(ASTemp!N2114,Percentages)</f>
        <v/>
      </c>
    </row>
    <row r="2115" ht="14.25" customHeight="1">
      <c r="B2115" s="66" t="str">
        <f>ASTemp!B2115</f>
        <v/>
      </c>
      <c r="C2115" s="67" t="str">
        <f>ASTemp!C2115</f>
        <v/>
      </c>
      <c r="D2115" s="68" t="str">
        <f>ASTemp!D2115</f>
        <v/>
      </c>
      <c r="E2115" s="65" t="str">
        <f>ASTemp!E2115</f>
        <v/>
      </c>
      <c r="F2115" s="69" t="str">
        <f>TEXT(ASTemp!F2115,Decimals)</f>
        <v/>
      </c>
      <c r="G2115" s="69" t="str">
        <f>TEXT(ASTemp!G2115,Decimals)</f>
        <v/>
      </c>
      <c r="H2115" s="69" t="str">
        <f>TEXT(ASTemp!H2115,Decimals)</f>
        <v/>
      </c>
      <c r="I2115" s="69" t="str">
        <f>TEXT(ASTemp!I2115,Decimals)</f>
        <v/>
      </c>
      <c r="J2115" s="69" t="str">
        <f>TEXT(ASTemp!J2115,Decimals)</f>
        <v/>
      </c>
      <c r="K2115" s="69" t="str">
        <f>TEXT(ASTemp!K2115,Decimals)</f>
        <v/>
      </c>
      <c r="L2115" s="69" t="str">
        <f>TEXT(ASTemp!L2115,Decimals)</f>
        <v/>
      </c>
      <c r="M2115" s="71" t="str">
        <f>TEXT(ASTemp!M2115,Percentages)</f>
        <v/>
      </c>
      <c r="N2115" s="72" t="str">
        <f>TEXT(ASTemp!N2115,Percentages)</f>
        <v/>
      </c>
    </row>
    <row r="2116" ht="14.25" customHeight="1">
      <c r="B2116" s="66" t="str">
        <f>ASTemp!B2116</f>
        <v/>
      </c>
      <c r="C2116" s="67" t="str">
        <f>ASTemp!C2116</f>
        <v/>
      </c>
      <c r="D2116" s="68" t="str">
        <f>ASTemp!D2116</f>
        <v/>
      </c>
      <c r="E2116" s="65" t="str">
        <f>ASTemp!E2116</f>
        <v/>
      </c>
      <c r="F2116" s="69" t="str">
        <f>TEXT(ASTemp!F2116,Decimals)</f>
        <v/>
      </c>
      <c r="G2116" s="69" t="str">
        <f>TEXT(ASTemp!G2116,Decimals)</f>
        <v/>
      </c>
      <c r="H2116" s="69" t="str">
        <f>TEXT(ASTemp!H2116,Decimals)</f>
        <v/>
      </c>
      <c r="I2116" s="69" t="str">
        <f>TEXT(ASTemp!I2116,Decimals)</f>
        <v/>
      </c>
      <c r="J2116" s="69" t="str">
        <f>TEXT(ASTemp!J2116,Decimals)</f>
        <v/>
      </c>
      <c r="K2116" s="69" t="str">
        <f>TEXT(ASTemp!K2116,Decimals)</f>
        <v/>
      </c>
      <c r="L2116" s="69" t="str">
        <f>TEXT(ASTemp!L2116,Decimals)</f>
        <v/>
      </c>
      <c r="M2116" s="71" t="str">
        <f>TEXT(ASTemp!M2116,Percentages)</f>
        <v/>
      </c>
      <c r="N2116" s="72" t="str">
        <f>TEXT(ASTemp!N2116,Percentages)</f>
        <v/>
      </c>
    </row>
    <row r="2117" ht="14.25" customHeight="1">
      <c r="B2117" s="66" t="str">
        <f>ASTemp!B2117</f>
        <v/>
      </c>
      <c r="C2117" s="67" t="str">
        <f>ASTemp!C2117</f>
        <v/>
      </c>
      <c r="D2117" s="68" t="str">
        <f>ASTemp!D2117</f>
        <v/>
      </c>
      <c r="E2117" s="65" t="str">
        <f>ASTemp!E2117</f>
        <v/>
      </c>
      <c r="F2117" s="69" t="str">
        <f>TEXT(ASTemp!F2117,Decimals)</f>
        <v/>
      </c>
      <c r="G2117" s="69" t="str">
        <f>TEXT(ASTemp!G2117,Decimals)</f>
        <v/>
      </c>
      <c r="H2117" s="69" t="str">
        <f>TEXT(ASTemp!H2117,Decimals)</f>
        <v/>
      </c>
      <c r="I2117" s="69" t="str">
        <f>TEXT(ASTemp!I2117,Decimals)</f>
        <v/>
      </c>
      <c r="J2117" s="69" t="str">
        <f>TEXT(ASTemp!J2117,Decimals)</f>
        <v/>
      </c>
      <c r="K2117" s="69" t="str">
        <f>TEXT(ASTemp!K2117,Decimals)</f>
        <v/>
      </c>
      <c r="L2117" s="69" t="str">
        <f>TEXT(ASTemp!L2117,Decimals)</f>
        <v/>
      </c>
      <c r="M2117" s="71" t="str">
        <f>TEXT(ASTemp!M2117,Percentages)</f>
        <v/>
      </c>
      <c r="N2117" s="72" t="str">
        <f>TEXT(ASTemp!N2117,Percentages)</f>
        <v/>
      </c>
    </row>
    <row r="2118" ht="14.25" customHeight="1">
      <c r="B2118" s="66" t="str">
        <f>ASTemp!B2118</f>
        <v/>
      </c>
      <c r="C2118" s="67" t="str">
        <f>ASTemp!C2118</f>
        <v/>
      </c>
      <c r="D2118" s="68" t="str">
        <f>ASTemp!D2118</f>
        <v/>
      </c>
      <c r="E2118" s="65" t="str">
        <f>ASTemp!E2118</f>
        <v/>
      </c>
      <c r="F2118" s="69" t="str">
        <f>TEXT(ASTemp!F2118,Decimals)</f>
        <v/>
      </c>
      <c r="G2118" s="69" t="str">
        <f>TEXT(ASTemp!G2118,Decimals)</f>
        <v/>
      </c>
      <c r="H2118" s="69" t="str">
        <f>TEXT(ASTemp!H2118,Decimals)</f>
        <v/>
      </c>
      <c r="I2118" s="69" t="str">
        <f>TEXT(ASTemp!I2118,Decimals)</f>
        <v/>
      </c>
      <c r="J2118" s="69" t="str">
        <f>TEXT(ASTemp!J2118,Decimals)</f>
        <v/>
      </c>
      <c r="K2118" s="69" t="str">
        <f>TEXT(ASTemp!K2118,Decimals)</f>
        <v/>
      </c>
      <c r="L2118" s="69" t="str">
        <f>TEXT(ASTemp!L2118,Decimals)</f>
        <v/>
      </c>
      <c r="M2118" s="71" t="str">
        <f>TEXT(ASTemp!M2118,Percentages)</f>
        <v/>
      </c>
      <c r="N2118" s="72" t="str">
        <f>TEXT(ASTemp!N2118,Percentages)</f>
        <v/>
      </c>
    </row>
    <row r="2119" ht="14.25" customHeight="1">
      <c r="B2119" s="66" t="str">
        <f>ASTemp!B2119</f>
        <v/>
      </c>
      <c r="C2119" s="67" t="str">
        <f>ASTemp!C2119</f>
        <v/>
      </c>
      <c r="D2119" s="68" t="str">
        <f>ASTemp!D2119</f>
        <v/>
      </c>
      <c r="E2119" s="65" t="str">
        <f>ASTemp!E2119</f>
        <v/>
      </c>
      <c r="F2119" s="69" t="str">
        <f>TEXT(ASTemp!F2119,Decimals)</f>
        <v/>
      </c>
      <c r="G2119" s="69" t="str">
        <f>TEXT(ASTemp!G2119,Decimals)</f>
        <v/>
      </c>
      <c r="H2119" s="69" t="str">
        <f>TEXT(ASTemp!H2119,Decimals)</f>
        <v/>
      </c>
      <c r="I2119" s="69" t="str">
        <f>TEXT(ASTemp!I2119,Decimals)</f>
        <v/>
      </c>
      <c r="J2119" s="69" t="str">
        <f>TEXT(ASTemp!J2119,Decimals)</f>
        <v/>
      </c>
      <c r="K2119" s="69" t="str">
        <f>TEXT(ASTemp!K2119,Decimals)</f>
        <v/>
      </c>
      <c r="L2119" s="69" t="str">
        <f>TEXT(ASTemp!L2119,Decimals)</f>
        <v/>
      </c>
      <c r="M2119" s="71" t="str">
        <f>TEXT(ASTemp!M2119,Percentages)</f>
        <v/>
      </c>
      <c r="N2119" s="72" t="str">
        <f>TEXT(ASTemp!N2119,Percentages)</f>
        <v/>
      </c>
    </row>
    <row r="2120" ht="14.25" customHeight="1">
      <c r="B2120" s="66" t="str">
        <f>ASTemp!B2120</f>
        <v/>
      </c>
      <c r="C2120" s="67" t="str">
        <f>ASTemp!C2120</f>
        <v/>
      </c>
      <c r="D2120" s="68" t="str">
        <f>ASTemp!D2120</f>
        <v/>
      </c>
      <c r="E2120" s="65" t="str">
        <f>ASTemp!E2120</f>
        <v/>
      </c>
      <c r="F2120" s="69" t="str">
        <f>TEXT(ASTemp!F2120,Decimals)</f>
        <v/>
      </c>
      <c r="G2120" s="69" t="str">
        <f>TEXT(ASTemp!G2120,Decimals)</f>
        <v/>
      </c>
      <c r="H2120" s="69" t="str">
        <f>TEXT(ASTemp!H2120,Decimals)</f>
        <v/>
      </c>
      <c r="I2120" s="69" t="str">
        <f>TEXT(ASTemp!I2120,Decimals)</f>
        <v/>
      </c>
      <c r="J2120" s="69" t="str">
        <f>TEXT(ASTemp!J2120,Decimals)</f>
        <v/>
      </c>
      <c r="K2120" s="69" t="str">
        <f>TEXT(ASTemp!K2120,Decimals)</f>
        <v/>
      </c>
      <c r="L2120" s="69" t="str">
        <f>TEXT(ASTemp!L2120,Decimals)</f>
        <v/>
      </c>
      <c r="M2120" s="71" t="str">
        <f>TEXT(ASTemp!M2120,Percentages)</f>
        <v/>
      </c>
      <c r="N2120" s="72" t="str">
        <f>TEXT(ASTemp!N2120,Percentages)</f>
        <v/>
      </c>
    </row>
    <row r="2121" ht="14.25" customHeight="1">
      <c r="B2121" s="66" t="str">
        <f>ASTemp!B2121</f>
        <v/>
      </c>
      <c r="C2121" s="67" t="str">
        <f>ASTemp!C2121</f>
        <v/>
      </c>
      <c r="D2121" s="68" t="str">
        <f>ASTemp!D2121</f>
        <v/>
      </c>
      <c r="E2121" s="65" t="str">
        <f>ASTemp!E2121</f>
        <v/>
      </c>
      <c r="F2121" s="69" t="str">
        <f>TEXT(ASTemp!F2121,Decimals)</f>
        <v/>
      </c>
      <c r="G2121" s="69" t="str">
        <f>TEXT(ASTemp!G2121,Decimals)</f>
        <v/>
      </c>
      <c r="H2121" s="69" t="str">
        <f>TEXT(ASTemp!H2121,Decimals)</f>
        <v/>
      </c>
      <c r="I2121" s="69" t="str">
        <f>TEXT(ASTemp!I2121,Decimals)</f>
        <v/>
      </c>
      <c r="J2121" s="69" t="str">
        <f>TEXT(ASTemp!J2121,Decimals)</f>
        <v/>
      </c>
      <c r="K2121" s="69" t="str">
        <f>TEXT(ASTemp!K2121,Decimals)</f>
        <v/>
      </c>
      <c r="L2121" s="69" t="str">
        <f>TEXT(ASTemp!L2121,Decimals)</f>
        <v/>
      </c>
      <c r="M2121" s="71" t="str">
        <f>TEXT(ASTemp!M2121,Percentages)</f>
        <v/>
      </c>
      <c r="N2121" s="72" t="str">
        <f>TEXT(ASTemp!N2121,Percentages)</f>
        <v/>
      </c>
    </row>
    <row r="2122" ht="14.25" customHeight="1">
      <c r="B2122" s="66" t="str">
        <f>ASTemp!B2122</f>
        <v/>
      </c>
      <c r="C2122" s="67" t="str">
        <f>ASTemp!C2122</f>
        <v/>
      </c>
      <c r="D2122" s="68" t="str">
        <f>ASTemp!D2122</f>
        <v/>
      </c>
      <c r="E2122" s="65" t="str">
        <f>ASTemp!E2122</f>
        <v/>
      </c>
      <c r="F2122" s="69" t="str">
        <f>TEXT(ASTemp!F2122,Decimals)</f>
        <v/>
      </c>
      <c r="G2122" s="69" t="str">
        <f>TEXT(ASTemp!G2122,Decimals)</f>
        <v/>
      </c>
      <c r="H2122" s="69" t="str">
        <f>TEXT(ASTemp!H2122,Decimals)</f>
        <v/>
      </c>
      <c r="I2122" s="69" t="str">
        <f>TEXT(ASTemp!I2122,Decimals)</f>
        <v/>
      </c>
      <c r="J2122" s="69" t="str">
        <f>TEXT(ASTemp!J2122,Decimals)</f>
        <v/>
      </c>
      <c r="K2122" s="69" t="str">
        <f>TEXT(ASTemp!K2122,Decimals)</f>
        <v/>
      </c>
      <c r="L2122" s="69" t="str">
        <f>TEXT(ASTemp!L2122,Decimals)</f>
        <v/>
      </c>
      <c r="M2122" s="71" t="str">
        <f>TEXT(ASTemp!M2122,Percentages)</f>
        <v/>
      </c>
      <c r="N2122" s="72" t="str">
        <f>TEXT(ASTemp!N2122,Percentages)</f>
        <v/>
      </c>
    </row>
    <row r="2123" ht="14.25" customHeight="1">
      <c r="B2123" s="66" t="str">
        <f>ASTemp!B2123</f>
        <v/>
      </c>
      <c r="C2123" s="67" t="str">
        <f>ASTemp!C2123</f>
        <v/>
      </c>
      <c r="D2123" s="68" t="str">
        <f>ASTemp!D2123</f>
        <v/>
      </c>
      <c r="E2123" s="65" t="str">
        <f>ASTemp!E2123</f>
        <v/>
      </c>
      <c r="F2123" s="69" t="str">
        <f>TEXT(ASTemp!F2123,Decimals)</f>
        <v/>
      </c>
      <c r="G2123" s="69" t="str">
        <f>TEXT(ASTemp!G2123,Decimals)</f>
        <v/>
      </c>
      <c r="H2123" s="69" t="str">
        <f>TEXT(ASTemp!H2123,Decimals)</f>
        <v/>
      </c>
      <c r="I2123" s="69" t="str">
        <f>TEXT(ASTemp!I2123,Decimals)</f>
        <v/>
      </c>
      <c r="J2123" s="69" t="str">
        <f>TEXT(ASTemp!J2123,Decimals)</f>
        <v/>
      </c>
      <c r="K2123" s="69" t="str">
        <f>TEXT(ASTemp!K2123,Decimals)</f>
        <v/>
      </c>
      <c r="L2123" s="69" t="str">
        <f>TEXT(ASTemp!L2123,Decimals)</f>
        <v/>
      </c>
      <c r="M2123" s="71" t="str">
        <f>TEXT(ASTemp!M2123,Percentages)</f>
        <v/>
      </c>
      <c r="N2123" s="72" t="str">
        <f>TEXT(ASTemp!N2123,Percentages)</f>
        <v/>
      </c>
    </row>
    <row r="2124" ht="14.25" customHeight="1">
      <c r="B2124" s="66" t="str">
        <f>ASTemp!B2124</f>
        <v/>
      </c>
      <c r="C2124" s="67" t="str">
        <f>ASTemp!C2124</f>
        <v/>
      </c>
      <c r="D2124" s="68" t="str">
        <f>ASTemp!D2124</f>
        <v/>
      </c>
      <c r="E2124" s="65" t="str">
        <f>ASTemp!E2124</f>
        <v/>
      </c>
      <c r="F2124" s="69" t="str">
        <f>TEXT(ASTemp!F2124,Decimals)</f>
        <v/>
      </c>
      <c r="G2124" s="69" t="str">
        <f>TEXT(ASTemp!G2124,Decimals)</f>
        <v/>
      </c>
      <c r="H2124" s="69" t="str">
        <f>TEXT(ASTemp!H2124,Decimals)</f>
        <v/>
      </c>
      <c r="I2124" s="69" t="str">
        <f>TEXT(ASTemp!I2124,Decimals)</f>
        <v/>
      </c>
      <c r="J2124" s="69" t="str">
        <f>TEXT(ASTemp!J2124,Decimals)</f>
        <v/>
      </c>
      <c r="K2124" s="69" t="str">
        <f>TEXT(ASTemp!K2124,Decimals)</f>
        <v/>
      </c>
      <c r="L2124" s="69" t="str">
        <f>TEXT(ASTemp!L2124,Decimals)</f>
        <v/>
      </c>
      <c r="M2124" s="71" t="str">
        <f>TEXT(ASTemp!M2124,Percentages)</f>
        <v/>
      </c>
      <c r="N2124" s="72" t="str">
        <f>TEXT(ASTemp!N2124,Percentages)</f>
        <v/>
      </c>
    </row>
    <row r="2125" ht="14.25" customHeight="1">
      <c r="B2125" s="66" t="str">
        <f>ASTemp!B2125</f>
        <v/>
      </c>
      <c r="C2125" s="67" t="str">
        <f>ASTemp!C2125</f>
        <v/>
      </c>
      <c r="D2125" s="68" t="str">
        <f>ASTemp!D2125</f>
        <v/>
      </c>
      <c r="E2125" s="65" t="str">
        <f>ASTemp!E2125</f>
        <v/>
      </c>
      <c r="F2125" s="69" t="str">
        <f>TEXT(ASTemp!F2125,Decimals)</f>
        <v/>
      </c>
      <c r="G2125" s="69" t="str">
        <f>TEXT(ASTemp!G2125,Decimals)</f>
        <v/>
      </c>
      <c r="H2125" s="69" t="str">
        <f>TEXT(ASTemp!H2125,Decimals)</f>
        <v/>
      </c>
      <c r="I2125" s="69" t="str">
        <f>TEXT(ASTemp!I2125,Decimals)</f>
        <v/>
      </c>
      <c r="J2125" s="69" t="str">
        <f>TEXT(ASTemp!J2125,Decimals)</f>
        <v/>
      </c>
      <c r="K2125" s="69" t="str">
        <f>TEXT(ASTemp!K2125,Decimals)</f>
        <v/>
      </c>
      <c r="L2125" s="69" t="str">
        <f>TEXT(ASTemp!L2125,Decimals)</f>
        <v/>
      </c>
      <c r="M2125" s="71" t="str">
        <f>TEXT(ASTemp!M2125,Percentages)</f>
        <v/>
      </c>
      <c r="N2125" s="72" t="str">
        <f>TEXT(ASTemp!N2125,Percentages)</f>
        <v/>
      </c>
    </row>
    <row r="2126" ht="14.25" customHeight="1">
      <c r="B2126" s="66" t="str">
        <f>ASTemp!B2126</f>
        <v/>
      </c>
      <c r="C2126" s="67" t="str">
        <f>ASTemp!C2126</f>
        <v/>
      </c>
      <c r="D2126" s="68" t="str">
        <f>ASTemp!D2126</f>
        <v/>
      </c>
      <c r="E2126" s="65" t="str">
        <f>ASTemp!E2126</f>
        <v/>
      </c>
      <c r="F2126" s="69" t="str">
        <f>TEXT(ASTemp!F2126,Decimals)</f>
        <v/>
      </c>
      <c r="G2126" s="69" t="str">
        <f>TEXT(ASTemp!G2126,Decimals)</f>
        <v/>
      </c>
      <c r="H2126" s="69" t="str">
        <f>TEXT(ASTemp!H2126,Decimals)</f>
        <v/>
      </c>
      <c r="I2126" s="69" t="str">
        <f>TEXT(ASTemp!I2126,Decimals)</f>
        <v/>
      </c>
      <c r="J2126" s="69" t="str">
        <f>TEXT(ASTemp!J2126,Decimals)</f>
        <v/>
      </c>
      <c r="K2126" s="69" t="str">
        <f>TEXT(ASTemp!K2126,Decimals)</f>
        <v/>
      </c>
      <c r="L2126" s="69" t="str">
        <f>TEXT(ASTemp!L2126,Decimals)</f>
        <v/>
      </c>
      <c r="M2126" s="71" t="str">
        <f>TEXT(ASTemp!M2126,Percentages)</f>
        <v/>
      </c>
      <c r="N2126" s="72" t="str">
        <f>TEXT(ASTemp!N2126,Percentages)</f>
        <v/>
      </c>
    </row>
    <row r="2127" ht="14.25" customHeight="1">
      <c r="B2127" s="66" t="str">
        <f>ASTemp!B2127</f>
        <v/>
      </c>
      <c r="C2127" s="67" t="str">
        <f>ASTemp!C2127</f>
        <v/>
      </c>
      <c r="D2127" s="68" t="str">
        <f>ASTemp!D2127</f>
        <v/>
      </c>
      <c r="E2127" s="65" t="str">
        <f>ASTemp!E2127</f>
        <v/>
      </c>
      <c r="F2127" s="69" t="str">
        <f>TEXT(ASTemp!F2127,Decimals)</f>
        <v/>
      </c>
      <c r="G2127" s="69" t="str">
        <f>TEXT(ASTemp!G2127,Decimals)</f>
        <v/>
      </c>
      <c r="H2127" s="69" t="str">
        <f>TEXT(ASTemp!H2127,Decimals)</f>
        <v/>
      </c>
      <c r="I2127" s="69" t="str">
        <f>TEXT(ASTemp!I2127,Decimals)</f>
        <v/>
      </c>
      <c r="J2127" s="69" t="str">
        <f>TEXT(ASTemp!J2127,Decimals)</f>
        <v/>
      </c>
      <c r="K2127" s="69" t="str">
        <f>TEXT(ASTemp!K2127,Decimals)</f>
        <v/>
      </c>
      <c r="L2127" s="69" t="str">
        <f>TEXT(ASTemp!L2127,Decimals)</f>
        <v/>
      </c>
      <c r="M2127" s="71" t="str">
        <f>TEXT(ASTemp!M2127,Percentages)</f>
        <v/>
      </c>
      <c r="N2127" s="72" t="str">
        <f>TEXT(ASTemp!N2127,Percentages)</f>
        <v/>
      </c>
    </row>
    <row r="2128" ht="14.25" customHeight="1">
      <c r="B2128" s="66" t="str">
        <f>ASTemp!B2128</f>
        <v/>
      </c>
      <c r="C2128" s="67" t="str">
        <f>ASTemp!C2128</f>
        <v/>
      </c>
      <c r="D2128" s="68" t="str">
        <f>ASTemp!D2128</f>
        <v/>
      </c>
      <c r="E2128" s="65" t="str">
        <f>ASTemp!E2128</f>
        <v/>
      </c>
      <c r="F2128" s="69" t="str">
        <f>TEXT(ASTemp!F2128,Decimals)</f>
        <v/>
      </c>
      <c r="G2128" s="69" t="str">
        <f>TEXT(ASTemp!G2128,Decimals)</f>
        <v/>
      </c>
      <c r="H2128" s="69" t="str">
        <f>TEXT(ASTemp!H2128,Decimals)</f>
        <v/>
      </c>
      <c r="I2128" s="69" t="str">
        <f>TEXT(ASTemp!I2128,Decimals)</f>
        <v/>
      </c>
      <c r="J2128" s="69" t="str">
        <f>TEXT(ASTemp!J2128,Decimals)</f>
        <v/>
      </c>
      <c r="K2128" s="69" t="str">
        <f>TEXT(ASTemp!K2128,Decimals)</f>
        <v/>
      </c>
      <c r="L2128" s="69" t="str">
        <f>TEXT(ASTemp!L2128,Decimals)</f>
        <v/>
      </c>
      <c r="M2128" s="71" t="str">
        <f>TEXT(ASTemp!M2128,Percentages)</f>
        <v/>
      </c>
      <c r="N2128" s="72" t="str">
        <f>TEXT(ASTemp!N2128,Percentages)</f>
        <v/>
      </c>
    </row>
    <row r="2129" ht="14.25" customHeight="1">
      <c r="B2129" s="66" t="str">
        <f>ASTemp!B2129</f>
        <v/>
      </c>
      <c r="C2129" s="67" t="str">
        <f>ASTemp!C2129</f>
        <v/>
      </c>
      <c r="D2129" s="68" t="str">
        <f>ASTemp!D2129</f>
        <v/>
      </c>
      <c r="E2129" s="65" t="str">
        <f>ASTemp!E2129</f>
        <v/>
      </c>
      <c r="F2129" s="69" t="str">
        <f>TEXT(ASTemp!F2129,Decimals)</f>
        <v/>
      </c>
      <c r="G2129" s="69" t="str">
        <f>TEXT(ASTemp!G2129,Decimals)</f>
        <v/>
      </c>
      <c r="H2129" s="69" t="str">
        <f>TEXT(ASTemp!H2129,Decimals)</f>
        <v/>
      </c>
      <c r="I2129" s="69" t="str">
        <f>TEXT(ASTemp!I2129,Decimals)</f>
        <v/>
      </c>
      <c r="J2129" s="69" t="str">
        <f>TEXT(ASTemp!J2129,Decimals)</f>
        <v/>
      </c>
      <c r="K2129" s="69" t="str">
        <f>TEXT(ASTemp!K2129,Decimals)</f>
        <v/>
      </c>
      <c r="L2129" s="69" t="str">
        <f>TEXT(ASTemp!L2129,Decimals)</f>
        <v/>
      </c>
      <c r="M2129" s="71" t="str">
        <f>TEXT(ASTemp!M2129,Percentages)</f>
        <v/>
      </c>
      <c r="N2129" s="72" t="str">
        <f>TEXT(ASTemp!N2129,Percentages)</f>
        <v/>
      </c>
    </row>
    <row r="2130" ht="14.25" customHeight="1">
      <c r="B2130" s="66" t="str">
        <f>ASTemp!B2130</f>
        <v/>
      </c>
      <c r="C2130" s="67" t="str">
        <f>ASTemp!C2130</f>
        <v/>
      </c>
      <c r="D2130" s="68" t="str">
        <f>ASTemp!D2130</f>
        <v/>
      </c>
      <c r="E2130" s="65" t="str">
        <f>ASTemp!E2130</f>
        <v/>
      </c>
      <c r="F2130" s="69" t="str">
        <f>TEXT(ASTemp!F2130,Decimals)</f>
        <v/>
      </c>
      <c r="G2130" s="69" t="str">
        <f>TEXT(ASTemp!G2130,Decimals)</f>
        <v/>
      </c>
      <c r="H2130" s="69" t="str">
        <f>TEXT(ASTemp!H2130,Decimals)</f>
        <v/>
      </c>
      <c r="I2130" s="69" t="str">
        <f>TEXT(ASTemp!I2130,Decimals)</f>
        <v/>
      </c>
      <c r="J2130" s="69" t="str">
        <f>TEXT(ASTemp!J2130,Decimals)</f>
        <v/>
      </c>
      <c r="K2130" s="69" t="str">
        <f>TEXT(ASTemp!K2130,Decimals)</f>
        <v/>
      </c>
      <c r="L2130" s="69" t="str">
        <f>TEXT(ASTemp!L2130,Decimals)</f>
        <v/>
      </c>
      <c r="M2130" s="71" t="str">
        <f>TEXT(ASTemp!M2130,Percentages)</f>
        <v/>
      </c>
      <c r="N2130" s="72" t="str">
        <f>TEXT(ASTemp!N2130,Percentages)</f>
        <v/>
      </c>
    </row>
    <row r="2131" ht="14.25" customHeight="1">
      <c r="B2131" s="66" t="str">
        <f>ASTemp!B2131</f>
        <v/>
      </c>
      <c r="C2131" s="67" t="str">
        <f>ASTemp!C2131</f>
        <v/>
      </c>
      <c r="D2131" s="68" t="str">
        <f>ASTemp!D2131</f>
        <v/>
      </c>
      <c r="E2131" s="65" t="str">
        <f>ASTemp!E2131</f>
        <v/>
      </c>
      <c r="F2131" s="69" t="str">
        <f>TEXT(ASTemp!F2131,Decimals)</f>
        <v/>
      </c>
      <c r="G2131" s="69" t="str">
        <f>TEXT(ASTemp!G2131,Decimals)</f>
        <v/>
      </c>
      <c r="H2131" s="69" t="str">
        <f>TEXT(ASTemp!H2131,Decimals)</f>
        <v/>
      </c>
      <c r="I2131" s="69" t="str">
        <f>TEXT(ASTemp!I2131,Decimals)</f>
        <v/>
      </c>
      <c r="J2131" s="69" t="str">
        <f>TEXT(ASTemp!J2131,Decimals)</f>
        <v/>
      </c>
      <c r="K2131" s="69" t="str">
        <f>TEXT(ASTemp!K2131,Decimals)</f>
        <v/>
      </c>
      <c r="L2131" s="69" t="str">
        <f>TEXT(ASTemp!L2131,Decimals)</f>
        <v/>
      </c>
      <c r="M2131" s="71" t="str">
        <f>TEXT(ASTemp!M2131,Percentages)</f>
        <v/>
      </c>
      <c r="N2131" s="72" t="str">
        <f>TEXT(ASTemp!N2131,Percentages)</f>
        <v/>
      </c>
    </row>
    <row r="2132" ht="14.25" customHeight="1">
      <c r="B2132" s="66" t="str">
        <f>ASTemp!B2132</f>
        <v/>
      </c>
      <c r="C2132" s="67" t="str">
        <f>ASTemp!C2132</f>
        <v/>
      </c>
      <c r="D2132" s="68" t="str">
        <f>ASTemp!D2132</f>
        <v/>
      </c>
      <c r="E2132" s="65" t="str">
        <f>ASTemp!E2132</f>
        <v/>
      </c>
      <c r="F2132" s="69" t="str">
        <f>TEXT(ASTemp!F2132,Decimals)</f>
        <v/>
      </c>
      <c r="G2132" s="69" t="str">
        <f>TEXT(ASTemp!G2132,Decimals)</f>
        <v/>
      </c>
      <c r="H2132" s="69" t="str">
        <f>TEXT(ASTemp!H2132,Decimals)</f>
        <v/>
      </c>
      <c r="I2132" s="69" t="str">
        <f>TEXT(ASTemp!I2132,Decimals)</f>
        <v/>
      </c>
      <c r="J2132" s="69" t="str">
        <f>TEXT(ASTemp!J2132,Decimals)</f>
        <v/>
      </c>
      <c r="K2132" s="69" t="str">
        <f>TEXT(ASTemp!K2132,Decimals)</f>
        <v/>
      </c>
      <c r="L2132" s="69" t="str">
        <f>TEXT(ASTemp!L2132,Decimals)</f>
        <v/>
      </c>
      <c r="M2132" s="71" t="str">
        <f>TEXT(ASTemp!M2132,Percentages)</f>
        <v/>
      </c>
      <c r="N2132" s="72" t="str">
        <f>TEXT(ASTemp!N2132,Percentages)</f>
        <v/>
      </c>
    </row>
    <row r="2133" ht="14.25" customHeight="1">
      <c r="B2133" s="66" t="str">
        <f>ASTemp!B2133</f>
        <v/>
      </c>
      <c r="C2133" s="67" t="str">
        <f>ASTemp!C2133</f>
        <v/>
      </c>
      <c r="D2133" s="68" t="str">
        <f>ASTemp!D2133</f>
        <v/>
      </c>
      <c r="E2133" s="65" t="str">
        <f>ASTemp!E2133</f>
        <v/>
      </c>
      <c r="F2133" s="69" t="str">
        <f>TEXT(ASTemp!F2133,Decimals)</f>
        <v/>
      </c>
      <c r="G2133" s="69" t="str">
        <f>TEXT(ASTemp!G2133,Decimals)</f>
        <v/>
      </c>
      <c r="H2133" s="69" t="str">
        <f>TEXT(ASTemp!H2133,Decimals)</f>
        <v/>
      </c>
      <c r="I2133" s="69" t="str">
        <f>TEXT(ASTemp!I2133,Decimals)</f>
        <v/>
      </c>
      <c r="J2133" s="69" t="str">
        <f>TEXT(ASTemp!J2133,Decimals)</f>
        <v/>
      </c>
      <c r="K2133" s="69" t="str">
        <f>TEXT(ASTemp!K2133,Decimals)</f>
        <v/>
      </c>
      <c r="L2133" s="69" t="str">
        <f>TEXT(ASTemp!L2133,Decimals)</f>
        <v/>
      </c>
      <c r="M2133" s="71" t="str">
        <f>TEXT(ASTemp!M2133,Percentages)</f>
        <v/>
      </c>
      <c r="N2133" s="72" t="str">
        <f>TEXT(ASTemp!N2133,Percentages)</f>
        <v/>
      </c>
    </row>
    <row r="2134" ht="14.25" customHeight="1">
      <c r="B2134" s="66" t="str">
        <f>ASTemp!B2134</f>
        <v/>
      </c>
      <c r="C2134" s="67" t="str">
        <f>ASTemp!C2134</f>
        <v/>
      </c>
      <c r="D2134" s="68" t="str">
        <f>ASTemp!D2134</f>
        <v/>
      </c>
      <c r="E2134" s="65" t="str">
        <f>ASTemp!E2134</f>
        <v/>
      </c>
      <c r="F2134" s="69" t="str">
        <f>TEXT(ASTemp!F2134,Decimals)</f>
        <v/>
      </c>
      <c r="G2134" s="69" t="str">
        <f>TEXT(ASTemp!G2134,Decimals)</f>
        <v/>
      </c>
      <c r="H2134" s="69" t="str">
        <f>TEXT(ASTemp!H2134,Decimals)</f>
        <v/>
      </c>
      <c r="I2134" s="69" t="str">
        <f>TEXT(ASTemp!I2134,Decimals)</f>
        <v/>
      </c>
      <c r="J2134" s="69" t="str">
        <f>TEXT(ASTemp!J2134,Decimals)</f>
        <v/>
      </c>
      <c r="K2134" s="69" t="str">
        <f>TEXT(ASTemp!K2134,Decimals)</f>
        <v/>
      </c>
      <c r="L2134" s="69" t="str">
        <f>TEXT(ASTemp!L2134,Decimals)</f>
        <v/>
      </c>
      <c r="M2134" s="71" t="str">
        <f>TEXT(ASTemp!M2134,Percentages)</f>
        <v/>
      </c>
      <c r="N2134" s="72" t="str">
        <f>TEXT(ASTemp!N2134,Percentages)</f>
        <v/>
      </c>
    </row>
    <row r="2135" ht="14.25" customHeight="1">
      <c r="B2135" s="66" t="str">
        <f>ASTemp!B2135</f>
        <v/>
      </c>
      <c r="C2135" s="67" t="str">
        <f>ASTemp!C2135</f>
        <v/>
      </c>
      <c r="D2135" s="68" t="str">
        <f>ASTemp!D2135</f>
        <v/>
      </c>
      <c r="E2135" s="65" t="str">
        <f>ASTemp!E2135</f>
        <v/>
      </c>
      <c r="F2135" s="69" t="str">
        <f>TEXT(ASTemp!F2135,Decimals)</f>
        <v/>
      </c>
      <c r="G2135" s="69" t="str">
        <f>TEXT(ASTemp!G2135,Decimals)</f>
        <v/>
      </c>
      <c r="H2135" s="69" t="str">
        <f>TEXT(ASTemp!H2135,Decimals)</f>
        <v/>
      </c>
      <c r="I2135" s="69" t="str">
        <f>TEXT(ASTemp!I2135,Decimals)</f>
        <v/>
      </c>
      <c r="J2135" s="69" t="str">
        <f>TEXT(ASTemp!J2135,Decimals)</f>
        <v/>
      </c>
      <c r="K2135" s="69" t="str">
        <f>TEXT(ASTemp!K2135,Decimals)</f>
        <v/>
      </c>
      <c r="L2135" s="69" t="str">
        <f>TEXT(ASTemp!L2135,Decimals)</f>
        <v/>
      </c>
      <c r="M2135" s="71" t="str">
        <f>TEXT(ASTemp!M2135,Percentages)</f>
        <v/>
      </c>
      <c r="N2135" s="72" t="str">
        <f>TEXT(ASTemp!N2135,Percentages)</f>
        <v/>
      </c>
    </row>
    <row r="2136" ht="14.25" customHeight="1">
      <c r="B2136" s="66" t="str">
        <f>ASTemp!B2136</f>
        <v/>
      </c>
      <c r="C2136" s="67" t="str">
        <f>ASTemp!C2136</f>
        <v/>
      </c>
      <c r="D2136" s="68" t="str">
        <f>ASTemp!D2136</f>
        <v/>
      </c>
      <c r="E2136" s="65" t="str">
        <f>ASTemp!E2136</f>
        <v/>
      </c>
      <c r="F2136" s="69" t="str">
        <f>TEXT(ASTemp!F2136,Decimals)</f>
        <v/>
      </c>
      <c r="G2136" s="69" t="str">
        <f>TEXT(ASTemp!G2136,Decimals)</f>
        <v/>
      </c>
      <c r="H2136" s="69" t="str">
        <f>TEXT(ASTemp!H2136,Decimals)</f>
        <v/>
      </c>
      <c r="I2136" s="69" t="str">
        <f>TEXT(ASTemp!I2136,Decimals)</f>
        <v/>
      </c>
      <c r="J2136" s="69" t="str">
        <f>TEXT(ASTemp!J2136,Decimals)</f>
        <v/>
      </c>
      <c r="K2136" s="69" t="str">
        <f>TEXT(ASTemp!K2136,Decimals)</f>
        <v/>
      </c>
      <c r="L2136" s="69" t="str">
        <f>TEXT(ASTemp!L2136,Decimals)</f>
        <v/>
      </c>
      <c r="M2136" s="71" t="str">
        <f>TEXT(ASTemp!M2136,Percentages)</f>
        <v/>
      </c>
      <c r="N2136" s="72" t="str">
        <f>TEXT(ASTemp!N2136,Percentages)</f>
        <v/>
      </c>
    </row>
    <row r="2137" ht="14.25" customHeight="1">
      <c r="B2137" s="66" t="str">
        <f>ASTemp!B2137</f>
        <v/>
      </c>
      <c r="C2137" s="67" t="str">
        <f>ASTemp!C2137</f>
        <v/>
      </c>
      <c r="D2137" s="68" t="str">
        <f>ASTemp!D2137</f>
        <v/>
      </c>
      <c r="E2137" s="65" t="str">
        <f>ASTemp!E2137</f>
        <v/>
      </c>
      <c r="F2137" s="69" t="str">
        <f>TEXT(ASTemp!F2137,Decimals)</f>
        <v/>
      </c>
      <c r="G2137" s="69" t="str">
        <f>TEXT(ASTemp!G2137,Decimals)</f>
        <v/>
      </c>
      <c r="H2137" s="69" t="str">
        <f>TEXT(ASTemp!H2137,Decimals)</f>
        <v/>
      </c>
      <c r="I2137" s="69" t="str">
        <f>TEXT(ASTemp!I2137,Decimals)</f>
        <v/>
      </c>
      <c r="J2137" s="69" t="str">
        <f>TEXT(ASTemp!J2137,Decimals)</f>
        <v/>
      </c>
      <c r="K2137" s="69" t="str">
        <f>TEXT(ASTemp!K2137,Decimals)</f>
        <v/>
      </c>
      <c r="L2137" s="69" t="str">
        <f>TEXT(ASTemp!L2137,Decimals)</f>
        <v/>
      </c>
      <c r="M2137" s="71" t="str">
        <f>TEXT(ASTemp!M2137,Percentages)</f>
        <v/>
      </c>
      <c r="N2137" s="72" t="str">
        <f>TEXT(ASTemp!N2137,Percentages)</f>
        <v/>
      </c>
    </row>
    <row r="2138" ht="14.25" customHeight="1">
      <c r="B2138" s="66" t="str">
        <f>ASTemp!B2138</f>
        <v/>
      </c>
      <c r="C2138" s="67" t="str">
        <f>ASTemp!C2138</f>
        <v/>
      </c>
      <c r="D2138" s="68" t="str">
        <f>ASTemp!D2138</f>
        <v/>
      </c>
      <c r="E2138" s="65" t="str">
        <f>ASTemp!E2138</f>
        <v/>
      </c>
      <c r="F2138" s="69" t="str">
        <f>TEXT(ASTemp!F2138,Decimals)</f>
        <v/>
      </c>
      <c r="G2138" s="69" t="str">
        <f>TEXT(ASTemp!G2138,Decimals)</f>
        <v/>
      </c>
      <c r="H2138" s="69" t="str">
        <f>TEXT(ASTemp!H2138,Decimals)</f>
        <v/>
      </c>
      <c r="I2138" s="69" t="str">
        <f>TEXT(ASTemp!I2138,Decimals)</f>
        <v/>
      </c>
      <c r="J2138" s="69" t="str">
        <f>TEXT(ASTemp!J2138,Decimals)</f>
        <v/>
      </c>
      <c r="K2138" s="69" t="str">
        <f>TEXT(ASTemp!K2138,Decimals)</f>
        <v/>
      </c>
      <c r="L2138" s="69" t="str">
        <f>TEXT(ASTemp!L2138,Decimals)</f>
        <v/>
      </c>
      <c r="M2138" s="71" t="str">
        <f>TEXT(ASTemp!M2138,Percentages)</f>
        <v/>
      </c>
      <c r="N2138" s="72" t="str">
        <f>TEXT(ASTemp!N2138,Percentages)</f>
        <v/>
      </c>
    </row>
    <row r="2139" ht="14.25" customHeight="1">
      <c r="B2139" s="66" t="str">
        <f>ASTemp!B2139</f>
        <v/>
      </c>
      <c r="C2139" s="67" t="str">
        <f>ASTemp!C2139</f>
        <v/>
      </c>
      <c r="D2139" s="68" t="str">
        <f>ASTemp!D2139</f>
        <v/>
      </c>
      <c r="E2139" s="65" t="str">
        <f>ASTemp!E2139</f>
        <v/>
      </c>
      <c r="F2139" s="69" t="str">
        <f>TEXT(ASTemp!F2139,Decimals)</f>
        <v/>
      </c>
      <c r="G2139" s="69" t="str">
        <f>TEXT(ASTemp!G2139,Decimals)</f>
        <v/>
      </c>
      <c r="H2139" s="69" t="str">
        <f>TEXT(ASTemp!H2139,Decimals)</f>
        <v/>
      </c>
      <c r="I2139" s="69" t="str">
        <f>TEXT(ASTemp!I2139,Decimals)</f>
        <v/>
      </c>
      <c r="J2139" s="69" t="str">
        <f>TEXT(ASTemp!J2139,Decimals)</f>
        <v/>
      </c>
      <c r="K2139" s="69" t="str">
        <f>TEXT(ASTemp!K2139,Decimals)</f>
        <v/>
      </c>
      <c r="L2139" s="69" t="str">
        <f>TEXT(ASTemp!L2139,Decimals)</f>
        <v/>
      </c>
      <c r="M2139" s="71" t="str">
        <f>TEXT(ASTemp!M2139,Percentages)</f>
        <v/>
      </c>
      <c r="N2139" s="72" t="str">
        <f>TEXT(ASTemp!N2139,Percentages)</f>
        <v/>
      </c>
    </row>
    <row r="2140" ht="14.25" customHeight="1">
      <c r="B2140" s="66" t="str">
        <f>ASTemp!B2140</f>
        <v/>
      </c>
      <c r="C2140" s="67" t="str">
        <f>ASTemp!C2140</f>
        <v/>
      </c>
      <c r="D2140" s="68" t="str">
        <f>ASTemp!D2140</f>
        <v/>
      </c>
      <c r="E2140" s="65" t="str">
        <f>ASTemp!E2140</f>
        <v/>
      </c>
      <c r="F2140" s="69" t="str">
        <f>TEXT(ASTemp!F2140,Decimals)</f>
        <v/>
      </c>
      <c r="G2140" s="69" t="str">
        <f>TEXT(ASTemp!G2140,Decimals)</f>
        <v/>
      </c>
      <c r="H2140" s="69" t="str">
        <f>TEXT(ASTemp!H2140,Decimals)</f>
        <v/>
      </c>
      <c r="I2140" s="69" t="str">
        <f>TEXT(ASTemp!I2140,Decimals)</f>
        <v/>
      </c>
      <c r="J2140" s="69" t="str">
        <f>TEXT(ASTemp!J2140,Decimals)</f>
        <v/>
      </c>
      <c r="K2140" s="69" t="str">
        <f>TEXT(ASTemp!K2140,Decimals)</f>
        <v/>
      </c>
      <c r="L2140" s="69" t="str">
        <f>TEXT(ASTemp!L2140,Decimals)</f>
        <v/>
      </c>
      <c r="M2140" s="71" t="str">
        <f>TEXT(ASTemp!M2140,Percentages)</f>
        <v/>
      </c>
      <c r="N2140" s="72" t="str">
        <f>TEXT(ASTemp!N2140,Percentages)</f>
        <v/>
      </c>
    </row>
    <row r="2141" ht="14.25" customHeight="1">
      <c r="B2141" s="66" t="str">
        <f>ASTemp!B2141</f>
        <v/>
      </c>
      <c r="C2141" s="67" t="str">
        <f>ASTemp!C2141</f>
        <v/>
      </c>
      <c r="D2141" s="68" t="str">
        <f>ASTemp!D2141</f>
        <v/>
      </c>
      <c r="E2141" s="65" t="str">
        <f>ASTemp!E2141</f>
        <v/>
      </c>
      <c r="F2141" s="69" t="str">
        <f>TEXT(ASTemp!F2141,Decimals)</f>
        <v/>
      </c>
      <c r="G2141" s="69" t="str">
        <f>TEXT(ASTemp!G2141,Decimals)</f>
        <v/>
      </c>
      <c r="H2141" s="69" t="str">
        <f>TEXT(ASTemp!H2141,Decimals)</f>
        <v/>
      </c>
      <c r="I2141" s="69" t="str">
        <f>TEXT(ASTemp!I2141,Decimals)</f>
        <v/>
      </c>
      <c r="J2141" s="69" t="str">
        <f>TEXT(ASTemp!J2141,Decimals)</f>
        <v/>
      </c>
      <c r="K2141" s="69" t="str">
        <f>TEXT(ASTemp!K2141,Decimals)</f>
        <v/>
      </c>
      <c r="L2141" s="69" t="str">
        <f>TEXT(ASTemp!L2141,Decimals)</f>
        <v/>
      </c>
      <c r="M2141" s="71" t="str">
        <f>TEXT(ASTemp!M2141,Percentages)</f>
        <v/>
      </c>
      <c r="N2141" s="72" t="str">
        <f>TEXT(ASTemp!N2141,Percentages)</f>
        <v/>
      </c>
    </row>
    <row r="2142" ht="14.25" customHeight="1">
      <c r="B2142" s="66" t="str">
        <f>ASTemp!B2142</f>
        <v/>
      </c>
      <c r="C2142" s="67" t="str">
        <f>ASTemp!C2142</f>
        <v/>
      </c>
      <c r="D2142" s="68" t="str">
        <f>ASTemp!D2142</f>
        <v/>
      </c>
      <c r="E2142" s="65" t="str">
        <f>ASTemp!E2142</f>
        <v/>
      </c>
      <c r="F2142" s="69" t="str">
        <f>TEXT(ASTemp!F2142,Decimals)</f>
        <v/>
      </c>
      <c r="G2142" s="69" t="str">
        <f>TEXT(ASTemp!G2142,Decimals)</f>
        <v/>
      </c>
      <c r="H2142" s="69" t="str">
        <f>TEXT(ASTemp!H2142,Decimals)</f>
        <v/>
      </c>
      <c r="I2142" s="69" t="str">
        <f>TEXT(ASTemp!I2142,Decimals)</f>
        <v/>
      </c>
      <c r="J2142" s="69" t="str">
        <f>TEXT(ASTemp!J2142,Decimals)</f>
        <v/>
      </c>
      <c r="K2142" s="69" t="str">
        <f>TEXT(ASTemp!K2142,Decimals)</f>
        <v/>
      </c>
      <c r="L2142" s="69" t="str">
        <f>TEXT(ASTemp!L2142,Decimals)</f>
        <v/>
      </c>
      <c r="M2142" s="71" t="str">
        <f>TEXT(ASTemp!M2142,Percentages)</f>
        <v/>
      </c>
      <c r="N2142" s="72" t="str">
        <f>TEXT(ASTemp!N2142,Percentages)</f>
        <v/>
      </c>
    </row>
    <row r="2143" ht="14.25" customHeight="1">
      <c r="B2143" s="66" t="str">
        <f>ASTemp!B2143</f>
        <v/>
      </c>
      <c r="C2143" s="67" t="str">
        <f>ASTemp!C2143</f>
        <v/>
      </c>
      <c r="D2143" s="68" t="str">
        <f>ASTemp!D2143</f>
        <v/>
      </c>
      <c r="E2143" s="65" t="str">
        <f>ASTemp!E2143</f>
        <v/>
      </c>
      <c r="F2143" s="69" t="str">
        <f>TEXT(ASTemp!F2143,Decimals)</f>
        <v/>
      </c>
      <c r="G2143" s="69" t="str">
        <f>TEXT(ASTemp!G2143,Decimals)</f>
        <v/>
      </c>
      <c r="H2143" s="69" t="str">
        <f>TEXT(ASTemp!H2143,Decimals)</f>
        <v/>
      </c>
      <c r="I2143" s="69" t="str">
        <f>TEXT(ASTemp!I2143,Decimals)</f>
        <v/>
      </c>
      <c r="J2143" s="69" t="str">
        <f>TEXT(ASTemp!J2143,Decimals)</f>
        <v/>
      </c>
      <c r="K2143" s="69" t="str">
        <f>TEXT(ASTemp!K2143,Decimals)</f>
        <v/>
      </c>
      <c r="L2143" s="69" t="str">
        <f>TEXT(ASTemp!L2143,Decimals)</f>
        <v/>
      </c>
      <c r="M2143" s="71" t="str">
        <f>TEXT(ASTemp!M2143,Percentages)</f>
        <v/>
      </c>
      <c r="N2143" s="72" t="str">
        <f>TEXT(ASTemp!N2143,Percentages)</f>
        <v/>
      </c>
    </row>
    <row r="2144" ht="14.25" customHeight="1">
      <c r="B2144" s="66" t="str">
        <f>ASTemp!B2144</f>
        <v/>
      </c>
      <c r="C2144" s="67" t="str">
        <f>ASTemp!C2144</f>
        <v/>
      </c>
      <c r="D2144" s="68" t="str">
        <f>ASTemp!D2144</f>
        <v/>
      </c>
      <c r="E2144" s="65" t="str">
        <f>ASTemp!E2144</f>
        <v/>
      </c>
      <c r="F2144" s="69" t="str">
        <f>TEXT(ASTemp!F2144,Decimals)</f>
        <v/>
      </c>
      <c r="G2144" s="69" t="str">
        <f>TEXT(ASTemp!G2144,Decimals)</f>
        <v/>
      </c>
      <c r="H2144" s="69" t="str">
        <f>TEXT(ASTemp!H2144,Decimals)</f>
        <v/>
      </c>
      <c r="I2144" s="69" t="str">
        <f>TEXT(ASTemp!I2144,Decimals)</f>
        <v/>
      </c>
      <c r="J2144" s="69" t="str">
        <f>TEXT(ASTemp!J2144,Decimals)</f>
        <v/>
      </c>
      <c r="K2144" s="69" t="str">
        <f>TEXT(ASTemp!K2144,Decimals)</f>
        <v/>
      </c>
      <c r="L2144" s="69" t="str">
        <f>TEXT(ASTemp!L2144,Decimals)</f>
        <v/>
      </c>
      <c r="M2144" s="71" t="str">
        <f>TEXT(ASTemp!M2144,Percentages)</f>
        <v/>
      </c>
      <c r="N2144" s="72" t="str">
        <f>TEXT(ASTemp!N2144,Percentages)</f>
        <v/>
      </c>
    </row>
    <row r="2145" ht="14.25" customHeight="1">
      <c r="B2145" s="66" t="str">
        <f>ASTemp!B2145</f>
        <v/>
      </c>
      <c r="C2145" s="67" t="str">
        <f>ASTemp!C2145</f>
        <v/>
      </c>
      <c r="D2145" s="68" t="str">
        <f>ASTemp!D2145</f>
        <v/>
      </c>
      <c r="E2145" s="65" t="str">
        <f>ASTemp!E2145</f>
        <v/>
      </c>
      <c r="F2145" s="69" t="str">
        <f>TEXT(ASTemp!F2145,Decimals)</f>
        <v/>
      </c>
      <c r="G2145" s="69" t="str">
        <f>TEXT(ASTemp!G2145,Decimals)</f>
        <v/>
      </c>
      <c r="H2145" s="69" t="str">
        <f>TEXT(ASTemp!H2145,Decimals)</f>
        <v/>
      </c>
      <c r="I2145" s="69" t="str">
        <f>TEXT(ASTemp!I2145,Decimals)</f>
        <v/>
      </c>
      <c r="J2145" s="69" t="str">
        <f>TEXT(ASTemp!J2145,Decimals)</f>
        <v/>
      </c>
      <c r="K2145" s="69" t="str">
        <f>TEXT(ASTemp!K2145,Decimals)</f>
        <v/>
      </c>
      <c r="L2145" s="69" t="str">
        <f>TEXT(ASTemp!L2145,Decimals)</f>
        <v/>
      </c>
      <c r="M2145" s="71" t="str">
        <f>TEXT(ASTemp!M2145,Percentages)</f>
        <v/>
      </c>
      <c r="N2145" s="72" t="str">
        <f>TEXT(ASTemp!N2145,Percentages)</f>
        <v/>
      </c>
    </row>
    <row r="2146" ht="14.25" customHeight="1">
      <c r="B2146" s="66" t="str">
        <f>ASTemp!B2146</f>
        <v/>
      </c>
      <c r="C2146" s="67" t="str">
        <f>ASTemp!C2146</f>
        <v/>
      </c>
      <c r="D2146" s="68" t="str">
        <f>ASTemp!D2146</f>
        <v/>
      </c>
      <c r="E2146" s="65" t="str">
        <f>ASTemp!E2146</f>
        <v/>
      </c>
      <c r="F2146" s="69" t="str">
        <f>TEXT(ASTemp!F2146,Decimals)</f>
        <v/>
      </c>
      <c r="G2146" s="69" t="str">
        <f>TEXT(ASTemp!G2146,Decimals)</f>
        <v/>
      </c>
      <c r="H2146" s="69" t="str">
        <f>TEXT(ASTemp!H2146,Decimals)</f>
        <v/>
      </c>
      <c r="I2146" s="69" t="str">
        <f>TEXT(ASTemp!I2146,Decimals)</f>
        <v/>
      </c>
      <c r="J2146" s="69" t="str">
        <f>TEXT(ASTemp!J2146,Decimals)</f>
        <v/>
      </c>
      <c r="K2146" s="69" t="str">
        <f>TEXT(ASTemp!K2146,Decimals)</f>
        <v/>
      </c>
      <c r="L2146" s="69" t="str">
        <f>TEXT(ASTemp!L2146,Decimals)</f>
        <v/>
      </c>
      <c r="M2146" s="71" t="str">
        <f>TEXT(ASTemp!M2146,Percentages)</f>
        <v/>
      </c>
      <c r="N2146" s="72" t="str">
        <f>TEXT(ASTemp!N2146,Percentages)</f>
        <v/>
      </c>
    </row>
    <row r="2147" ht="14.25" customHeight="1">
      <c r="B2147" s="66" t="str">
        <f>ASTemp!B2147</f>
        <v/>
      </c>
      <c r="C2147" s="67" t="str">
        <f>ASTemp!C2147</f>
        <v/>
      </c>
      <c r="D2147" s="68" t="str">
        <f>ASTemp!D2147</f>
        <v/>
      </c>
      <c r="E2147" s="65" t="str">
        <f>ASTemp!E2147</f>
        <v/>
      </c>
      <c r="F2147" s="69" t="str">
        <f>TEXT(ASTemp!F2147,Decimals)</f>
        <v/>
      </c>
      <c r="G2147" s="69" t="str">
        <f>TEXT(ASTemp!G2147,Decimals)</f>
        <v/>
      </c>
      <c r="H2147" s="69" t="str">
        <f>TEXT(ASTemp!H2147,Decimals)</f>
        <v/>
      </c>
      <c r="I2147" s="69" t="str">
        <f>TEXT(ASTemp!I2147,Decimals)</f>
        <v/>
      </c>
      <c r="J2147" s="69" t="str">
        <f>TEXT(ASTemp!J2147,Decimals)</f>
        <v/>
      </c>
      <c r="K2147" s="69" t="str">
        <f>TEXT(ASTemp!K2147,Decimals)</f>
        <v/>
      </c>
      <c r="L2147" s="69" t="str">
        <f>TEXT(ASTemp!L2147,Decimals)</f>
        <v/>
      </c>
      <c r="M2147" s="71" t="str">
        <f>TEXT(ASTemp!M2147,Percentages)</f>
        <v/>
      </c>
      <c r="N2147" s="72" t="str">
        <f>TEXT(ASTemp!N2147,Percentages)</f>
        <v/>
      </c>
    </row>
    <row r="2148" ht="14.25" customHeight="1">
      <c r="B2148" s="66" t="str">
        <f>ASTemp!B2148</f>
        <v/>
      </c>
      <c r="C2148" s="67" t="str">
        <f>ASTemp!C2148</f>
        <v/>
      </c>
      <c r="D2148" s="68" t="str">
        <f>ASTemp!D2148</f>
        <v/>
      </c>
      <c r="E2148" s="65" t="str">
        <f>ASTemp!E2148</f>
        <v/>
      </c>
      <c r="F2148" s="69" t="str">
        <f>TEXT(ASTemp!F2148,Decimals)</f>
        <v/>
      </c>
      <c r="G2148" s="69" t="str">
        <f>TEXT(ASTemp!G2148,Decimals)</f>
        <v/>
      </c>
      <c r="H2148" s="69" t="str">
        <f>TEXT(ASTemp!H2148,Decimals)</f>
        <v/>
      </c>
      <c r="I2148" s="69" t="str">
        <f>TEXT(ASTemp!I2148,Decimals)</f>
        <v/>
      </c>
      <c r="J2148" s="69" t="str">
        <f>TEXT(ASTemp!J2148,Decimals)</f>
        <v/>
      </c>
      <c r="K2148" s="69" t="str">
        <f>TEXT(ASTemp!K2148,Decimals)</f>
        <v/>
      </c>
      <c r="L2148" s="69" t="str">
        <f>TEXT(ASTemp!L2148,Decimals)</f>
        <v/>
      </c>
      <c r="M2148" s="71" t="str">
        <f>TEXT(ASTemp!M2148,Percentages)</f>
        <v/>
      </c>
      <c r="N2148" s="72" t="str">
        <f>TEXT(ASTemp!N2148,Percentages)</f>
        <v/>
      </c>
    </row>
    <row r="2149" ht="14.25" customHeight="1">
      <c r="B2149" s="66" t="str">
        <f>ASTemp!B2149</f>
        <v/>
      </c>
      <c r="C2149" s="67" t="str">
        <f>ASTemp!C2149</f>
        <v/>
      </c>
      <c r="D2149" s="68" t="str">
        <f>ASTemp!D2149</f>
        <v/>
      </c>
      <c r="E2149" s="65" t="str">
        <f>ASTemp!E2149</f>
        <v/>
      </c>
      <c r="F2149" s="69" t="str">
        <f>TEXT(ASTemp!F2149,Decimals)</f>
        <v/>
      </c>
      <c r="G2149" s="69" t="str">
        <f>TEXT(ASTemp!G2149,Decimals)</f>
        <v/>
      </c>
      <c r="H2149" s="69" t="str">
        <f>TEXT(ASTemp!H2149,Decimals)</f>
        <v/>
      </c>
      <c r="I2149" s="69" t="str">
        <f>TEXT(ASTemp!I2149,Decimals)</f>
        <v/>
      </c>
      <c r="J2149" s="69" t="str">
        <f>TEXT(ASTemp!J2149,Decimals)</f>
        <v/>
      </c>
      <c r="K2149" s="69" t="str">
        <f>TEXT(ASTemp!K2149,Decimals)</f>
        <v/>
      </c>
      <c r="L2149" s="69" t="str">
        <f>TEXT(ASTemp!L2149,Decimals)</f>
        <v/>
      </c>
      <c r="M2149" s="71" t="str">
        <f>TEXT(ASTemp!M2149,Percentages)</f>
        <v/>
      </c>
      <c r="N2149" s="72" t="str">
        <f>TEXT(ASTemp!N2149,Percentages)</f>
        <v/>
      </c>
    </row>
    <row r="2150" ht="14.25" customHeight="1">
      <c r="B2150" s="66" t="str">
        <f>ASTemp!B2150</f>
        <v/>
      </c>
      <c r="C2150" s="67" t="str">
        <f>ASTemp!C2150</f>
        <v/>
      </c>
      <c r="D2150" s="68" t="str">
        <f>ASTemp!D2150</f>
        <v/>
      </c>
      <c r="E2150" s="65" t="str">
        <f>ASTemp!E2150</f>
        <v/>
      </c>
      <c r="F2150" s="69" t="str">
        <f>TEXT(ASTemp!F2150,Decimals)</f>
        <v/>
      </c>
      <c r="G2150" s="69" t="str">
        <f>TEXT(ASTemp!G2150,Decimals)</f>
        <v/>
      </c>
      <c r="H2150" s="69" t="str">
        <f>TEXT(ASTemp!H2150,Decimals)</f>
        <v/>
      </c>
      <c r="I2150" s="69" t="str">
        <f>TEXT(ASTemp!I2150,Decimals)</f>
        <v/>
      </c>
      <c r="J2150" s="69" t="str">
        <f>TEXT(ASTemp!J2150,Decimals)</f>
        <v/>
      </c>
      <c r="K2150" s="69" t="str">
        <f>TEXT(ASTemp!K2150,Decimals)</f>
        <v/>
      </c>
      <c r="L2150" s="69" t="str">
        <f>TEXT(ASTemp!L2150,Decimals)</f>
        <v/>
      </c>
      <c r="M2150" s="71" t="str">
        <f>TEXT(ASTemp!M2150,Percentages)</f>
        <v/>
      </c>
      <c r="N2150" s="72" t="str">
        <f>TEXT(ASTemp!N2150,Percentages)</f>
        <v/>
      </c>
    </row>
    <row r="2151" ht="14.25" customHeight="1">
      <c r="B2151" s="66" t="str">
        <f>ASTemp!B2151</f>
        <v/>
      </c>
      <c r="C2151" s="67" t="str">
        <f>ASTemp!C2151</f>
        <v/>
      </c>
      <c r="D2151" s="68" t="str">
        <f>ASTemp!D2151</f>
        <v/>
      </c>
      <c r="E2151" s="65" t="str">
        <f>ASTemp!E2151</f>
        <v/>
      </c>
      <c r="F2151" s="69" t="str">
        <f>TEXT(ASTemp!F2151,Decimals)</f>
        <v/>
      </c>
      <c r="G2151" s="69" t="str">
        <f>TEXT(ASTemp!G2151,Decimals)</f>
        <v/>
      </c>
      <c r="H2151" s="69" t="str">
        <f>TEXT(ASTemp!H2151,Decimals)</f>
        <v/>
      </c>
      <c r="I2151" s="69" t="str">
        <f>TEXT(ASTemp!I2151,Decimals)</f>
        <v/>
      </c>
      <c r="J2151" s="69" t="str">
        <f>TEXT(ASTemp!J2151,Decimals)</f>
        <v/>
      </c>
      <c r="K2151" s="69" t="str">
        <f>TEXT(ASTemp!K2151,Decimals)</f>
        <v/>
      </c>
      <c r="L2151" s="69" t="str">
        <f>TEXT(ASTemp!L2151,Decimals)</f>
        <v/>
      </c>
      <c r="M2151" s="71" t="str">
        <f>TEXT(ASTemp!M2151,Percentages)</f>
        <v/>
      </c>
      <c r="N2151" s="72" t="str">
        <f>TEXT(ASTemp!N2151,Percentages)</f>
        <v/>
      </c>
    </row>
    <row r="2152" ht="14.25" customHeight="1">
      <c r="B2152" s="66" t="str">
        <f>ASTemp!B2152</f>
        <v/>
      </c>
      <c r="C2152" s="67" t="str">
        <f>ASTemp!C2152</f>
        <v/>
      </c>
      <c r="D2152" s="68" t="str">
        <f>ASTemp!D2152</f>
        <v/>
      </c>
      <c r="E2152" s="65" t="str">
        <f>ASTemp!E2152</f>
        <v/>
      </c>
      <c r="F2152" s="69" t="str">
        <f>TEXT(ASTemp!F2152,Decimals)</f>
        <v/>
      </c>
      <c r="G2152" s="69" t="str">
        <f>TEXT(ASTemp!G2152,Decimals)</f>
        <v/>
      </c>
      <c r="H2152" s="69" t="str">
        <f>TEXT(ASTemp!H2152,Decimals)</f>
        <v/>
      </c>
      <c r="I2152" s="69" t="str">
        <f>TEXT(ASTemp!I2152,Decimals)</f>
        <v/>
      </c>
      <c r="J2152" s="69" t="str">
        <f>TEXT(ASTemp!J2152,Decimals)</f>
        <v/>
      </c>
      <c r="K2152" s="69" t="str">
        <f>TEXT(ASTemp!K2152,Decimals)</f>
        <v/>
      </c>
      <c r="L2152" s="69" t="str">
        <f>TEXT(ASTemp!L2152,Decimals)</f>
        <v/>
      </c>
      <c r="M2152" s="71" t="str">
        <f>TEXT(ASTemp!M2152,Percentages)</f>
        <v/>
      </c>
      <c r="N2152" s="72" t="str">
        <f>TEXT(ASTemp!N2152,Percentages)</f>
        <v/>
      </c>
    </row>
    <row r="2153" ht="14.25" customHeight="1">
      <c r="B2153" s="66" t="str">
        <f>ASTemp!B2153</f>
        <v/>
      </c>
      <c r="C2153" s="67" t="str">
        <f>ASTemp!C2153</f>
        <v/>
      </c>
      <c r="D2153" s="68" t="str">
        <f>ASTemp!D2153</f>
        <v/>
      </c>
      <c r="E2153" s="65" t="str">
        <f>ASTemp!E2153</f>
        <v/>
      </c>
      <c r="F2153" s="69" t="str">
        <f>TEXT(ASTemp!F2153,Decimals)</f>
        <v/>
      </c>
      <c r="G2153" s="69" t="str">
        <f>TEXT(ASTemp!G2153,Decimals)</f>
        <v/>
      </c>
      <c r="H2153" s="69" t="str">
        <f>TEXT(ASTemp!H2153,Decimals)</f>
        <v/>
      </c>
      <c r="I2153" s="69" t="str">
        <f>TEXT(ASTemp!I2153,Decimals)</f>
        <v/>
      </c>
      <c r="J2153" s="69" t="str">
        <f>TEXT(ASTemp!J2153,Decimals)</f>
        <v/>
      </c>
      <c r="K2153" s="69" t="str">
        <f>TEXT(ASTemp!K2153,Decimals)</f>
        <v/>
      </c>
      <c r="L2153" s="69" t="str">
        <f>TEXT(ASTemp!L2153,Decimals)</f>
        <v/>
      </c>
      <c r="M2153" s="71" t="str">
        <f>TEXT(ASTemp!M2153,Percentages)</f>
        <v/>
      </c>
      <c r="N2153" s="72" t="str">
        <f>TEXT(ASTemp!N2153,Percentages)</f>
        <v/>
      </c>
    </row>
    <row r="2154" ht="14.25" customHeight="1">
      <c r="B2154" s="66" t="str">
        <f>ASTemp!B2154</f>
        <v/>
      </c>
      <c r="C2154" s="67" t="str">
        <f>ASTemp!C2154</f>
        <v/>
      </c>
      <c r="D2154" s="68" t="str">
        <f>ASTemp!D2154</f>
        <v/>
      </c>
      <c r="E2154" s="65" t="str">
        <f>ASTemp!E2154</f>
        <v/>
      </c>
      <c r="F2154" s="69" t="str">
        <f>TEXT(ASTemp!F2154,Decimals)</f>
        <v/>
      </c>
      <c r="G2154" s="69" t="str">
        <f>TEXT(ASTemp!G2154,Decimals)</f>
        <v/>
      </c>
      <c r="H2154" s="69" t="str">
        <f>TEXT(ASTemp!H2154,Decimals)</f>
        <v/>
      </c>
      <c r="I2154" s="69" t="str">
        <f>TEXT(ASTemp!I2154,Decimals)</f>
        <v/>
      </c>
      <c r="J2154" s="69" t="str">
        <f>TEXT(ASTemp!J2154,Decimals)</f>
        <v/>
      </c>
      <c r="K2154" s="69" t="str">
        <f>TEXT(ASTemp!K2154,Decimals)</f>
        <v/>
      </c>
      <c r="L2154" s="69" t="str">
        <f>TEXT(ASTemp!L2154,Decimals)</f>
        <v/>
      </c>
      <c r="M2154" s="71" t="str">
        <f>TEXT(ASTemp!M2154,Percentages)</f>
        <v/>
      </c>
      <c r="N2154" s="72" t="str">
        <f>TEXT(ASTemp!N2154,Percentages)</f>
        <v/>
      </c>
    </row>
    <row r="2155" ht="14.25" customHeight="1">
      <c r="B2155" s="66" t="str">
        <f>ASTemp!B2155</f>
        <v/>
      </c>
      <c r="C2155" s="67" t="str">
        <f>ASTemp!C2155</f>
        <v/>
      </c>
      <c r="D2155" s="68" t="str">
        <f>ASTemp!D2155</f>
        <v/>
      </c>
      <c r="E2155" s="65" t="str">
        <f>ASTemp!E2155</f>
        <v/>
      </c>
      <c r="F2155" s="69" t="str">
        <f>TEXT(ASTemp!F2155,Decimals)</f>
        <v/>
      </c>
      <c r="G2155" s="69" t="str">
        <f>TEXT(ASTemp!G2155,Decimals)</f>
        <v/>
      </c>
      <c r="H2155" s="69" t="str">
        <f>TEXT(ASTemp!H2155,Decimals)</f>
        <v/>
      </c>
      <c r="I2155" s="69" t="str">
        <f>TEXT(ASTemp!I2155,Decimals)</f>
        <v/>
      </c>
      <c r="J2155" s="69" t="str">
        <f>TEXT(ASTemp!J2155,Decimals)</f>
        <v/>
      </c>
      <c r="K2155" s="69" t="str">
        <f>TEXT(ASTemp!K2155,Decimals)</f>
        <v/>
      </c>
      <c r="L2155" s="69" t="str">
        <f>TEXT(ASTemp!L2155,Decimals)</f>
        <v/>
      </c>
      <c r="M2155" s="71" t="str">
        <f>TEXT(ASTemp!M2155,Percentages)</f>
        <v/>
      </c>
      <c r="N2155" s="72" t="str">
        <f>TEXT(ASTemp!N2155,Percentages)</f>
        <v/>
      </c>
    </row>
    <row r="2156" ht="14.25" customHeight="1">
      <c r="B2156" s="66" t="str">
        <f>ASTemp!B2156</f>
        <v/>
      </c>
      <c r="C2156" s="67" t="str">
        <f>ASTemp!C2156</f>
        <v/>
      </c>
      <c r="D2156" s="68" t="str">
        <f>ASTemp!D2156</f>
        <v/>
      </c>
      <c r="E2156" s="65" t="str">
        <f>ASTemp!E2156</f>
        <v/>
      </c>
      <c r="F2156" s="69" t="str">
        <f>TEXT(ASTemp!F2156,Decimals)</f>
        <v/>
      </c>
      <c r="G2156" s="69" t="str">
        <f>TEXT(ASTemp!G2156,Decimals)</f>
        <v/>
      </c>
      <c r="H2156" s="69" t="str">
        <f>TEXT(ASTemp!H2156,Decimals)</f>
        <v/>
      </c>
      <c r="I2156" s="69" t="str">
        <f>TEXT(ASTemp!I2156,Decimals)</f>
        <v/>
      </c>
      <c r="J2156" s="69" t="str">
        <f>TEXT(ASTemp!J2156,Decimals)</f>
        <v/>
      </c>
      <c r="K2156" s="69" t="str">
        <f>TEXT(ASTemp!K2156,Decimals)</f>
        <v/>
      </c>
      <c r="L2156" s="69" t="str">
        <f>TEXT(ASTemp!L2156,Decimals)</f>
        <v/>
      </c>
      <c r="M2156" s="71" t="str">
        <f>TEXT(ASTemp!M2156,Percentages)</f>
        <v/>
      </c>
      <c r="N2156" s="72" t="str">
        <f>TEXT(ASTemp!N2156,Percentages)</f>
        <v/>
      </c>
    </row>
    <row r="2157" ht="14.25" customHeight="1">
      <c r="B2157" s="66" t="str">
        <f>ASTemp!B2157</f>
        <v/>
      </c>
      <c r="C2157" s="67" t="str">
        <f>ASTemp!C2157</f>
        <v/>
      </c>
      <c r="D2157" s="68" t="str">
        <f>ASTemp!D2157</f>
        <v/>
      </c>
      <c r="E2157" s="65" t="str">
        <f>ASTemp!E2157</f>
        <v/>
      </c>
      <c r="F2157" s="69" t="str">
        <f>TEXT(ASTemp!F2157,Decimals)</f>
        <v/>
      </c>
      <c r="G2157" s="69" t="str">
        <f>TEXT(ASTemp!G2157,Decimals)</f>
        <v/>
      </c>
      <c r="H2157" s="69" t="str">
        <f>TEXT(ASTemp!H2157,Decimals)</f>
        <v/>
      </c>
      <c r="I2157" s="69" t="str">
        <f>TEXT(ASTemp!I2157,Decimals)</f>
        <v/>
      </c>
      <c r="J2157" s="69" t="str">
        <f>TEXT(ASTemp!J2157,Decimals)</f>
        <v/>
      </c>
      <c r="K2157" s="69" t="str">
        <f>TEXT(ASTemp!K2157,Decimals)</f>
        <v/>
      </c>
      <c r="L2157" s="69" t="str">
        <f>TEXT(ASTemp!L2157,Decimals)</f>
        <v/>
      </c>
      <c r="M2157" s="71" t="str">
        <f>TEXT(ASTemp!M2157,Percentages)</f>
        <v/>
      </c>
      <c r="N2157" s="72" t="str">
        <f>TEXT(ASTemp!N2157,Percentages)</f>
        <v/>
      </c>
    </row>
    <row r="2158" ht="14.25" customHeight="1">
      <c r="B2158" s="66" t="str">
        <f>ASTemp!B2158</f>
        <v/>
      </c>
      <c r="C2158" s="67" t="str">
        <f>ASTemp!C2158</f>
        <v/>
      </c>
      <c r="D2158" s="68" t="str">
        <f>ASTemp!D2158</f>
        <v/>
      </c>
      <c r="E2158" s="65" t="str">
        <f>ASTemp!E2158</f>
        <v/>
      </c>
      <c r="F2158" s="69" t="str">
        <f>TEXT(ASTemp!F2158,Decimals)</f>
        <v/>
      </c>
      <c r="G2158" s="69" t="str">
        <f>TEXT(ASTemp!G2158,Decimals)</f>
        <v/>
      </c>
      <c r="H2158" s="69" t="str">
        <f>TEXT(ASTemp!H2158,Decimals)</f>
        <v/>
      </c>
      <c r="I2158" s="69" t="str">
        <f>TEXT(ASTemp!I2158,Decimals)</f>
        <v/>
      </c>
      <c r="J2158" s="69" t="str">
        <f>TEXT(ASTemp!J2158,Decimals)</f>
        <v/>
      </c>
      <c r="K2158" s="69" t="str">
        <f>TEXT(ASTemp!K2158,Decimals)</f>
        <v/>
      </c>
      <c r="L2158" s="69" t="str">
        <f>TEXT(ASTemp!L2158,Decimals)</f>
        <v/>
      </c>
      <c r="M2158" s="71" t="str">
        <f>TEXT(ASTemp!M2158,Percentages)</f>
        <v/>
      </c>
      <c r="N2158" s="72" t="str">
        <f>TEXT(ASTemp!N2158,Percentages)</f>
        <v/>
      </c>
    </row>
    <row r="2159" ht="14.25" customHeight="1">
      <c r="B2159" s="66" t="str">
        <f>ASTemp!B2159</f>
        <v/>
      </c>
      <c r="C2159" s="67" t="str">
        <f>ASTemp!C2159</f>
        <v/>
      </c>
      <c r="D2159" s="68" t="str">
        <f>ASTemp!D2159</f>
        <v/>
      </c>
      <c r="E2159" s="65" t="str">
        <f>ASTemp!E2159</f>
        <v/>
      </c>
      <c r="F2159" s="69" t="str">
        <f>TEXT(ASTemp!F2159,Decimals)</f>
        <v/>
      </c>
      <c r="G2159" s="69" t="str">
        <f>TEXT(ASTemp!G2159,Decimals)</f>
        <v/>
      </c>
      <c r="H2159" s="69" t="str">
        <f>TEXT(ASTemp!H2159,Decimals)</f>
        <v/>
      </c>
      <c r="I2159" s="69" t="str">
        <f>TEXT(ASTemp!I2159,Decimals)</f>
        <v/>
      </c>
      <c r="J2159" s="69" t="str">
        <f>TEXT(ASTemp!J2159,Decimals)</f>
        <v/>
      </c>
      <c r="K2159" s="69" t="str">
        <f>TEXT(ASTemp!K2159,Decimals)</f>
        <v/>
      </c>
      <c r="L2159" s="69" t="str">
        <f>TEXT(ASTemp!L2159,Decimals)</f>
        <v/>
      </c>
      <c r="M2159" s="71" t="str">
        <f>TEXT(ASTemp!M2159,Percentages)</f>
        <v/>
      </c>
      <c r="N2159" s="72" t="str">
        <f>TEXT(ASTemp!N2159,Percentages)</f>
        <v/>
      </c>
    </row>
    <row r="2160" ht="14.25" customHeight="1">
      <c r="B2160" s="66" t="str">
        <f>ASTemp!B2160</f>
        <v/>
      </c>
      <c r="C2160" s="67" t="str">
        <f>ASTemp!C2160</f>
        <v/>
      </c>
      <c r="D2160" s="68" t="str">
        <f>ASTemp!D2160</f>
        <v/>
      </c>
      <c r="E2160" s="65" t="str">
        <f>ASTemp!E2160</f>
        <v/>
      </c>
      <c r="F2160" s="69" t="str">
        <f>TEXT(ASTemp!F2160,Decimals)</f>
        <v/>
      </c>
      <c r="G2160" s="69" t="str">
        <f>TEXT(ASTemp!G2160,Decimals)</f>
        <v/>
      </c>
      <c r="H2160" s="69" t="str">
        <f>TEXT(ASTemp!H2160,Decimals)</f>
        <v/>
      </c>
      <c r="I2160" s="69" t="str">
        <f>TEXT(ASTemp!I2160,Decimals)</f>
        <v/>
      </c>
      <c r="J2160" s="69" t="str">
        <f>TEXT(ASTemp!J2160,Decimals)</f>
        <v/>
      </c>
      <c r="K2160" s="69" t="str">
        <f>TEXT(ASTemp!K2160,Decimals)</f>
        <v/>
      </c>
      <c r="L2160" s="69" t="str">
        <f>TEXT(ASTemp!L2160,Decimals)</f>
        <v/>
      </c>
      <c r="M2160" s="71" t="str">
        <f>TEXT(ASTemp!M2160,Percentages)</f>
        <v/>
      </c>
      <c r="N2160" s="72" t="str">
        <f>TEXT(ASTemp!N2160,Percentages)</f>
        <v/>
      </c>
    </row>
    <row r="2161" ht="14.25" customHeight="1">
      <c r="B2161" s="66" t="str">
        <f>ASTemp!B2161</f>
        <v/>
      </c>
      <c r="C2161" s="67" t="str">
        <f>ASTemp!C2161</f>
        <v/>
      </c>
      <c r="D2161" s="68" t="str">
        <f>ASTemp!D2161</f>
        <v/>
      </c>
      <c r="E2161" s="65" t="str">
        <f>ASTemp!E2161</f>
        <v/>
      </c>
      <c r="F2161" s="69" t="str">
        <f>TEXT(ASTemp!F2161,Decimals)</f>
        <v/>
      </c>
      <c r="G2161" s="69" t="str">
        <f>TEXT(ASTemp!G2161,Decimals)</f>
        <v/>
      </c>
      <c r="H2161" s="69" t="str">
        <f>TEXT(ASTemp!H2161,Decimals)</f>
        <v/>
      </c>
      <c r="I2161" s="69" t="str">
        <f>TEXT(ASTemp!I2161,Decimals)</f>
        <v/>
      </c>
      <c r="J2161" s="69" t="str">
        <f>TEXT(ASTemp!J2161,Decimals)</f>
        <v/>
      </c>
      <c r="K2161" s="69" t="str">
        <f>TEXT(ASTemp!K2161,Decimals)</f>
        <v/>
      </c>
      <c r="L2161" s="69" t="str">
        <f>TEXT(ASTemp!L2161,Decimals)</f>
        <v/>
      </c>
      <c r="M2161" s="71" t="str">
        <f>TEXT(ASTemp!M2161,Percentages)</f>
        <v/>
      </c>
      <c r="N2161" s="72" t="str">
        <f>TEXT(ASTemp!N2161,Percentages)</f>
        <v/>
      </c>
    </row>
    <row r="2162" ht="14.25" customHeight="1">
      <c r="B2162" s="66" t="str">
        <f>ASTemp!B2162</f>
        <v/>
      </c>
      <c r="C2162" s="67" t="str">
        <f>ASTemp!C2162</f>
        <v/>
      </c>
      <c r="D2162" s="68" t="str">
        <f>ASTemp!D2162</f>
        <v/>
      </c>
      <c r="E2162" s="65" t="str">
        <f>ASTemp!E2162</f>
        <v/>
      </c>
      <c r="F2162" s="69" t="str">
        <f>TEXT(ASTemp!F2162,Decimals)</f>
        <v/>
      </c>
      <c r="G2162" s="69" t="str">
        <f>TEXT(ASTemp!G2162,Decimals)</f>
        <v/>
      </c>
      <c r="H2162" s="69" t="str">
        <f>TEXT(ASTemp!H2162,Decimals)</f>
        <v/>
      </c>
      <c r="I2162" s="69" t="str">
        <f>TEXT(ASTemp!I2162,Decimals)</f>
        <v/>
      </c>
      <c r="J2162" s="69" t="str">
        <f>TEXT(ASTemp!J2162,Decimals)</f>
        <v/>
      </c>
      <c r="K2162" s="69" t="str">
        <f>TEXT(ASTemp!K2162,Decimals)</f>
        <v/>
      </c>
      <c r="L2162" s="69" t="str">
        <f>TEXT(ASTemp!L2162,Decimals)</f>
        <v/>
      </c>
      <c r="M2162" s="71" t="str">
        <f>TEXT(ASTemp!M2162,Percentages)</f>
        <v/>
      </c>
      <c r="N2162" s="72" t="str">
        <f>TEXT(ASTemp!N2162,Percentages)</f>
        <v/>
      </c>
    </row>
    <row r="2163" ht="14.25" customHeight="1">
      <c r="B2163" s="66" t="str">
        <f>ASTemp!B2163</f>
        <v/>
      </c>
      <c r="C2163" s="67" t="str">
        <f>ASTemp!C2163</f>
        <v/>
      </c>
      <c r="D2163" s="68" t="str">
        <f>ASTemp!D2163</f>
        <v/>
      </c>
      <c r="E2163" s="65" t="str">
        <f>ASTemp!E2163</f>
        <v/>
      </c>
      <c r="F2163" s="69" t="str">
        <f>TEXT(ASTemp!F2163,Decimals)</f>
        <v/>
      </c>
      <c r="G2163" s="69" t="str">
        <f>TEXT(ASTemp!G2163,Decimals)</f>
        <v/>
      </c>
      <c r="H2163" s="69" t="str">
        <f>TEXT(ASTemp!H2163,Decimals)</f>
        <v/>
      </c>
      <c r="I2163" s="69" t="str">
        <f>TEXT(ASTemp!I2163,Decimals)</f>
        <v/>
      </c>
      <c r="J2163" s="69" t="str">
        <f>TEXT(ASTemp!J2163,Decimals)</f>
        <v/>
      </c>
      <c r="K2163" s="69" t="str">
        <f>TEXT(ASTemp!K2163,Decimals)</f>
        <v/>
      </c>
      <c r="L2163" s="69" t="str">
        <f>TEXT(ASTemp!L2163,Decimals)</f>
        <v/>
      </c>
      <c r="M2163" s="71" t="str">
        <f>TEXT(ASTemp!M2163,Percentages)</f>
        <v/>
      </c>
      <c r="N2163" s="72" t="str">
        <f>TEXT(ASTemp!N2163,Percentages)</f>
        <v/>
      </c>
    </row>
    <row r="2164" ht="14.25" customHeight="1">
      <c r="B2164" s="66" t="str">
        <f>ASTemp!B2164</f>
        <v/>
      </c>
      <c r="C2164" s="67" t="str">
        <f>ASTemp!C2164</f>
        <v/>
      </c>
      <c r="D2164" s="68" t="str">
        <f>ASTemp!D2164</f>
        <v/>
      </c>
      <c r="E2164" s="65" t="str">
        <f>ASTemp!E2164</f>
        <v/>
      </c>
      <c r="F2164" s="69" t="str">
        <f>TEXT(ASTemp!F2164,Decimals)</f>
        <v/>
      </c>
      <c r="G2164" s="69" t="str">
        <f>TEXT(ASTemp!G2164,Decimals)</f>
        <v/>
      </c>
      <c r="H2164" s="69" t="str">
        <f>TEXT(ASTemp!H2164,Decimals)</f>
        <v/>
      </c>
      <c r="I2164" s="69" t="str">
        <f>TEXT(ASTemp!I2164,Decimals)</f>
        <v/>
      </c>
      <c r="J2164" s="69" t="str">
        <f>TEXT(ASTemp!J2164,Decimals)</f>
        <v/>
      </c>
      <c r="K2164" s="69" t="str">
        <f>TEXT(ASTemp!K2164,Decimals)</f>
        <v/>
      </c>
      <c r="L2164" s="69" t="str">
        <f>TEXT(ASTemp!L2164,Decimals)</f>
        <v/>
      </c>
      <c r="M2164" s="71" t="str">
        <f>TEXT(ASTemp!M2164,Percentages)</f>
        <v/>
      </c>
      <c r="N2164" s="72" t="str">
        <f>TEXT(ASTemp!N2164,Percentages)</f>
        <v/>
      </c>
    </row>
    <row r="2165" ht="14.25" customHeight="1">
      <c r="B2165" s="66" t="str">
        <f>ASTemp!B2165</f>
        <v/>
      </c>
      <c r="C2165" s="67" t="str">
        <f>ASTemp!C2165</f>
        <v/>
      </c>
      <c r="D2165" s="68" t="str">
        <f>ASTemp!D2165</f>
        <v/>
      </c>
      <c r="E2165" s="65" t="str">
        <f>ASTemp!E2165</f>
        <v/>
      </c>
      <c r="F2165" s="69" t="str">
        <f>TEXT(ASTemp!F2165,Decimals)</f>
        <v/>
      </c>
      <c r="G2165" s="69" t="str">
        <f>TEXT(ASTemp!G2165,Decimals)</f>
        <v/>
      </c>
      <c r="H2165" s="69" t="str">
        <f>TEXT(ASTemp!H2165,Decimals)</f>
        <v/>
      </c>
      <c r="I2165" s="69" t="str">
        <f>TEXT(ASTemp!I2165,Decimals)</f>
        <v/>
      </c>
      <c r="J2165" s="69" t="str">
        <f>TEXT(ASTemp!J2165,Decimals)</f>
        <v/>
      </c>
      <c r="K2165" s="69" t="str">
        <f>TEXT(ASTemp!K2165,Decimals)</f>
        <v/>
      </c>
      <c r="L2165" s="69" t="str">
        <f>TEXT(ASTemp!L2165,Decimals)</f>
        <v/>
      </c>
      <c r="M2165" s="71" t="str">
        <f>TEXT(ASTemp!M2165,Percentages)</f>
        <v/>
      </c>
      <c r="N2165" s="72" t="str">
        <f>TEXT(ASTemp!N2165,Percentages)</f>
        <v/>
      </c>
    </row>
    <row r="2166" ht="14.25" customHeight="1">
      <c r="B2166" s="66" t="str">
        <f>ASTemp!B2166</f>
        <v/>
      </c>
      <c r="C2166" s="67" t="str">
        <f>ASTemp!C2166</f>
        <v/>
      </c>
      <c r="D2166" s="68" t="str">
        <f>ASTemp!D2166</f>
        <v/>
      </c>
      <c r="E2166" s="65" t="str">
        <f>ASTemp!E2166</f>
        <v/>
      </c>
      <c r="F2166" s="69" t="str">
        <f>TEXT(ASTemp!F2166,Decimals)</f>
        <v/>
      </c>
      <c r="G2166" s="69" t="str">
        <f>TEXT(ASTemp!G2166,Decimals)</f>
        <v/>
      </c>
      <c r="H2166" s="69" t="str">
        <f>TEXT(ASTemp!H2166,Decimals)</f>
        <v/>
      </c>
      <c r="I2166" s="69" t="str">
        <f>TEXT(ASTemp!I2166,Decimals)</f>
        <v/>
      </c>
      <c r="J2166" s="69" t="str">
        <f>TEXT(ASTemp!J2166,Decimals)</f>
        <v/>
      </c>
      <c r="K2166" s="69" t="str">
        <f>TEXT(ASTemp!K2166,Decimals)</f>
        <v/>
      </c>
      <c r="L2166" s="69" t="str">
        <f>TEXT(ASTemp!L2166,Decimals)</f>
        <v/>
      </c>
      <c r="M2166" s="71" t="str">
        <f>TEXT(ASTemp!M2166,Percentages)</f>
        <v/>
      </c>
      <c r="N2166" s="72" t="str">
        <f>TEXT(ASTemp!N2166,Percentages)</f>
        <v/>
      </c>
    </row>
    <row r="2167" ht="14.25" customHeight="1">
      <c r="B2167" s="66" t="str">
        <f>ASTemp!B2167</f>
        <v/>
      </c>
      <c r="C2167" s="67" t="str">
        <f>ASTemp!C2167</f>
        <v/>
      </c>
      <c r="D2167" s="68" t="str">
        <f>ASTemp!D2167</f>
        <v/>
      </c>
      <c r="E2167" s="65" t="str">
        <f>ASTemp!E2167</f>
        <v/>
      </c>
      <c r="F2167" s="69" t="str">
        <f>TEXT(ASTemp!F2167,Decimals)</f>
        <v/>
      </c>
      <c r="G2167" s="69" t="str">
        <f>TEXT(ASTemp!G2167,Decimals)</f>
        <v/>
      </c>
      <c r="H2167" s="69" t="str">
        <f>TEXT(ASTemp!H2167,Decimals)</f>
        <v/>
      </c>
      <c r="I2167" s="69" t="str">
        <f>TEXT(ASTemp!I2167,Decimals)</f>
        <v/>
      </c>
      <c r="J2167" s="69" t="str">
        <f>TEXT(ASTemp!J2167,Decimals)</f>
        <v/>
      </c>
      <c r="K2167" s="69" t="str">
        <f>TEXT(ASTemp!K2167,Decimals)</f>
        <v/>
      </c>
      <c r="L2167" s="69" t="str">
        <f>TEXT(ASTemp!L2167,Decimals)</f>
        <v/>
      </c>
      <c r="M2167" s="71" t="str">
        <f>TEXT(ASTemp!M2167,Percentages)</f>
        <v/>
      </c>
      <c r="N2167" s="72" t="str">
        <f>TEXT(ASTemp!N2167,Percentages)</f>
        <v/>
      </c>
    </row>
    <row r="2168" ht="14.25" customHeight="1">
      <c r="B2168" s="66" t="str">
        <f>ASTemp!B2168</f>
        <v/>
      </c>
      <c r="C2168" s="67" t="str">
        <f>ASTemp!C2168</f>
        <v/>
      </c>
      <c r="D2168" s="68" t="str">
        <f>ASTemp!D2168</f>
        <v/>
      </c>
      <c r="E2168" s="65" t="str">
        <f>ASTemp!E2168</f>
        <v/>
      </c>
      <c r="F2168" s="69" t="str">
        <f>TEXT(ASTemp!F2168,Decimals)</f>
        <v/>
      </c>
      <c r="G2168" s="69" t="str">
        <f>TEXT(ASTemp!G2168,Decimals)</f>
        <v/>
      </c>
      <c r="H2168" s="69" t="str">
        <f>TEXT(ASTemp!H2168,Decimals)</f>
        <v/>
      </c>
      <c r="I2168" s="69" t="str">
        <f>TEXT(ASTemp!I2168,Decimals)</f>
        <v/>
      </c>
      <c r="J2168" s="69" t="str">
        <f>TEXT(ASTemp!J2168,Decimals)</f>
        <v/>
      </c>
      <c r="K2168" s="69" t="str">
        <f>TEXT(ASTemp!K2168,Decimals)</f>
        <v/>
      </c>
      <c r="L2168" s="69" t="str">
        <f>TEXT(ASTemp!L2168,Decimals)</f>
        <v/>
      </c>
      <c r="M2168" s="71" t="str">
        <f>TEXT(ASTemp!M2168,Percentages)</f>
        <v/>
      </c>
      <c r="N2168" s="72" t="str">
        <f>TEXT(ASTemp!N2168,Percentages)</f>
        <v/>
      </c>
    </row>
    <row r="2169" ht="14.25" customHeight="1">
      <c r="B2169" s="66" t="str">
        <f>ASTemp!B2169</f>
        <v/>
      </c>
      <c r="C2169" s="67" t="str">
        <f>ASTemp!C2169</f>
        <v/>
      </c>
      <c r="D2169" s="68" t="str">
        <f>ASTemp!D2169</f>
        <v/>
      </c>
      <c r="E2169" s="65" t="str">
        <f>ASTemp!E2169</f>
        <v/>
      </c>
      <c r="F2169" s="69" t="str">
        <f>TEXT(ASTemp!F2169,Decimals)</f>
        <v/>
      </c>
      <c r="G2169" s="69" t="str">
        <f>TEXT(ASTemp!G2169,Decimals)</f>
        <v/>
      </c>
      <c r="H2169" s="69" t="str">
        <f>TEXT(ASTemp!H2169,Decimals)</f>
        <v/>
      </c>
      <c r="I2169" s="69" t="str">
        <f>TEXT(ASTemp!I2169,Decimals)</f>
        <v/>
      </c>
      <c r="J2169" s="69" t="str">
        <f>TEXT(ASTemp!J2169,Decimals)</f>
        <v/>
      </c>
      <c r="K2169" s="69" t="str">
        <f>TEXT(ASTemp!K2169,Decimals)</f>
        <v/>
      </c>
      <c r="L2169" s="69" t="str">
        <f>TEXT(ASTemp!L2169,Decimals)</f>
        <v/>
      </c>
      <c r="M2169" s="71" t="str">
        <f>TEXT(ASTemp!M2169,Percentages)</f>
        <v/>
      </c>
      <c r="N2169" s="72" t="str">
        <f>TEXT(ASTemp!N2169,Percentages)</f>
        <v/>
      </c>
    </row>
    <row r="2170" ht="14.25" customHeight="1">
      <c r="B2170" s="66" t="str">
        <f>ASTemp!B2170</f>
        <v/>
      </c>
      <c r="C2170" s="67" t="str">
        <f>ASTemp!C2170</f>
        <v/>
      </c>
      <c r="D2170" s="68" t="str">
        <f>ASTemp!D2170</f>
        <v/>
      </c>
      <c r="E2170" s="65" t="str">
        <f>ASTemp!E2170</f>
        <v/>
      </c>
      <c r="F2170" s="69" t="str">
        <f>TEXT(ASTemp!F2170,Decimals)</f>
        <v/>
      </c>
      <c r="G2170" s="69" t="str">
        <f>TEXT(ASTemp!G2170,Decimals)</f>
        <v/>
      </c>
      <c r="H2170" s="69" t="str">
        <f>TEXT(ASTemp!H2170,Decimals)</f>
        <v/>
      </c>
      <c r="I2170" s="69" t="str">
        <f>TEXT(ASTemp!I2170,Decimals)</f>
        <v/>
      </c>
      <c r="J2170" s="69" t="str">
        <f>TEXT(ASTemp!J2170,Decimals)</f>
        <v/>
      </c>
      <c r="K2170" s="69" t="str">
        <f>TEXT(ASTemp!K2170,Decimals)</f>
        <v/>
      </c>
      <c r="L2170" s="69" t="str">
        <f>TEXT(ASTemp!L2170,Decimals)</f>
        <v/>
      </c>
      <c r="M2170" s="71" t="str">
        <f>TEXT(ASTemp!M2170,Percentages)</f>
        <v/>
      </c>
      <c r="N2170" s="72" t="str">
        <f>TEXT(ASTemp!N2170,Percentages)</f>
        <v/>
      </c>
    </row>
    <row r="2171" ht="14.25" customHeight="1">
      <c r="B2171" s="66" t="str">
        <f>ASTemp!B2171</f>
        <v/>
      </c>
      <c r="C2171" s="67" t="str">
        <f>ASTemp!C2171</f>
        <v/>
      </c>
      <c r="D2171" s="68" t="str">
        <f>ASTemp!D2171</f>
        <v/>
      </c>
      <c r="E2171" s="65" t="str">
        <f>ASTemp!E2171</f>
        <v/>
      </c>
      <c r="F2171" s="69" t="str">
        <f>TEXT(ASTemp!F2171,Decimals)</f>
        <v/>
      </c>
      <c r="G2171" s="69" t="str">
        <f>TEXT(ASTemp!G2171,Decimals)</f>
        <v/>
      </c>
      <c r="H2171" s="69" t="str">
        <f>TEXT(ASTemp!H2171,Decimals)</f>
        <v/>
      </c>
      <c r="I2171" s="69" t="str">
        <f>TEXT(ASTemp!I2171,Decimals)</f>
        <v/>
      </c>
      <c r="J2171" s="69" t="str">
        <f>TEXT(ASTemp!J2171,Decimals)</f>
        <v/>
      </c>
      <c r="K2171" s="69" t="str">
        <f>TEXT(ASTemp!K2171,Decimals)</f>
        <v/>
      </c>
      <c r="L2171" s="69" t="str">
        <f>TEXT(ASTemp!L2171,Decimals)</f>
        <v/>
      </c>
      <c r="M2171" s="71" t="str">
        <f>TEXT(ASTemp!M2171,Percentages)</f>
        <v/>
      </c>
      <c r="N2171" s="72" t="str">
        <f>TEXT(ASTemp!N2171,Percentages)</f>
        <v/>
      </c>
    </row>
    <row r="2172" ht="14.25" customHeight="1">
      <c r="B2172" s="66" t="str">
        <f>ASTemp!B2172</f>
        <v/>
      </c>
      <c r="C2172" s="67" t="str">
        <f>ASTemp!C2172</f>
        <v/>
      </c>
      <c r="D2172" s="68" t="str">
        <f>ASTemp!D2172</f>
        <v/>
      </c>
      <c r="E2172" s="65" t="str">
        <f>ASTemp!E2172</f>
        <v/>
      </c>
      <c r="F2172" s="69" t="str">
        <f>TEXT(ASTemp!F2172,Decimals)</f>
        <v/>
      </c>
      <c r="G2172" s="69" t="str">
        <f>TEXT(ASTemp!G2172,Decimals)</f>
        <v/>
      </c>
      <c r="H2172" s="69" t="str">
        <f>TEXT(ASTemp!H2172,Decimals)</f>
        <v/>
      </c>
      <c r="I2172" s="69" t="str">
        <f>TEXT(ASTemp!I2172,Decimals)</f>
        <v/>
      </c>
      <c r="J2172" s="69" t="str">
        <f>TEXT(ASTemp!J2172,Decimals)</f>
        <v/>
      </c>
      <c r="K2172" s="69" t="str">
        <f>TEXT(ASTemp!K2172,Decimals)</f>
        <v/>
      </c>
      <c r="L2172" s="69" t="str">
        <f>TEXT(ASTemp!L2172,Decimals)</f>
        <v/>
      </c>
      <c r="M2172" s="71" t="str">
        <f>TEXT(ASTemp!M2172,Percentages)</f>
        <v/>
      </c>
      <c r="N2172" s="72" t="str">
        <f>TEXT(ASTemp!N2172,Percentages)</f>
        <v/>
      </c>
    </row>
    <row r="2173" ht="14.25" customHeight="1">
      <c r="B2173" s="66" t="str">
        <f>ASTemp!B2173</f>
        <v/>
      </c>
      <c r="C2173" s="67" t="str">
        <f>ASTemp!C2173</f>
        <v/>
      </c>
      <c r="D2173" s="68" t="str">
        <f>ASTemp!D2173</f>
        <v/>
      </c>
      <c r="E2173" s="65" t="str">
        <f>ASTemp!E2173</f>
        <v/>
      </c>
      <c r="F2173" s="69" t="str">
        <f>TEXT(ASTemp!F2173,Decimals)</f>
        <v/>
      </c>
      <c r="G2173" s="69" t="str">
        <f>TEXT(ASTemp!G2173,Decimals)</f>
        <v/>
      </c>
      <c r="H2173" s="69" t="str">
        <f>TEXT(ASTemp!H2173,Decimals)</f>
        <v/>
      </c>
      <c r="I2173" s="69" t="str">
        <f>TEXT(ASTemp!I2173,Decimals)</f>
        <v/>
      </c>
      <c r="J2173" s="69" t="str">
        <f>TEXT(ASTemp!J2173,Decimals)</f>
        <v/>
      </c>
      <c r="K2173" s="69" t="str">
        <f>TEXT(ASTemp!K2173,Decimals)</f>
        <v/>
      </c>
      <c r="L2173" s="69" t="str">
        <f>TEXT(ASTemp!L2173,Decimals)</f>
        <v/>
      </c>
      <c r="M2173" s="71" t="str">
        <f>TEXT(ASTemp!M2173,Percentages)</f>
        <v/>
      </c>
      <c r="N2173" s="72" t="str">
        <f>TEXT(ASTemp!N2173,Percentages)</f>
        <v/>
      </c>
    </row>
    <row r="2174" ht="14.25" customHeight="1">
      <c r="B2174" s="66" t="str">
        <f>ASTemp!B2174</f>
        <v/>
      </c>
      <c r="C2174" s="67" t="str">
        <f>ASTemp!C2174</f>
        <v/>
      </c>
      <c r="D2174" s="68" t="str">
        <f>ASTemp!D2174</f>
        <v/>
      </c>
      <c r="E2174" s="65" t="str">
        <f>ASTemp!E2174</f>
        <v/>
      </c>
      <c r="F2174" s="69" t="str">
        <f>TEXT(ASTemp!F2174,Decimals)</f>
        <v/>
      </c>
      <c r="G2174" s="69" t="str">
        <f>TEXT(ASTemp!G2174,Decimals)</f>
        <v/>
      </c>
      <c r="H2174" s="69" t="str">
        <f>TEXT(ASTemp!H2174,Decimals)</f>
        <v/>
      </c>
      <c r="I2174" s="69" t="str">
        <f>TEXT(ASTemp!I2174,Decimals)</f>
        <v/>
      </c>
      <c r="J2174" s="69" t="str">
        <f>TEXT(ASTemp!J2174,Decimals)</f>
        <v/>
      </c>
      <c r="K2174" s="69" t="str">
        <f>TEXT(ASTemp!K2174,Decimals)</f>
        <v/>
      </c>
      <c r="L2174" s="69" t="str">
        <f>TEXT(ASTemp!L2174,Decimals)</f>
        <v/>
      </c>
      <c r="M2174" s="71" t="str">
        <f>TEXT(ASTemp!M2174,Percentages)</f>
        <v/>
      </c>
      <c r="N2174" s="72" t="str">
        <f>TEXT(ASTemp!N2174,Percentages)</f>
        <v/>
      </c>
    </row>
    <row r="2175" ht="14.25" customHeight="1">
      <c r="B2175" s="66" t="str">
        <f>ASTemp!B2175</f>
        <v/>
      </c>
      <c r="C2175" s="67" t="str">
        <f>ASTemp!C2175</f>
        <v/>
      </c>
      <c r="D2175" s="68" t="str">
        <f>ASTemp!D2175</f>
        <v/>
      </c>
      <c r="E2175" s="65" t="str">
        <f>ASTemp!E2175</f>
        <v/>
      </c>
      <c r="F2175" s="69" t="str">
        <f>TEXT(ASTemp!F2175,Decimals)</f>
        <v/>
      </c>
      <c r="G2175" s="69" t="str">
        <f>TEXT(ASTemp!G2175,Decimals)</f>
        <v/>
      </c>
      <c r="H2175" s="69" t="str">
        <f>TEXT(ASTemp!H2175,Decimals)</f>
        <v/>
      </c>
      <c r="I2175" s="69" t="str">
        <f>TEXT(ASTemp!I2175,Decimals)</f>
        <v/>
      </c>
      <c r="J2175" s="69" t="str">
        <f>TEXT(ASTemp!J2175,Decimals)</f>
        <v/>
      </c>
      <c r="K2175" s="69" t="str">
        <f>TEXT(ASTemp!K2175,Decimals)</f>
        <v/>
      </c>
      <c r="L2175" s="69" t="str">
        <f>TEXT(ASTemp!L2175,Decimals)</f>
        <v/>
      </c>
      <c r="M2175" s="71" t="str">
        <f>TEXT(ASTemp!M2175,Percentages)</f>
        <v/>
      </c>
      <c r="N2175" s="72" t="str">
        <f>TEXT(ASTemp!N2175,Percentages)</f>
        <v/>
      </c>
    </row>
    <row r="2176" ht="14.25" customHeight="1">
      <c r="B2176" s="66" t="str">
        <f>ASTemp!B2176</f>
        <v/>
      </c>
      <c r="C2176" s="67" t="str">
        <f>ASTemp!C2176</f>
        <v/>
      </c>
      <c r="D2176" s="68" t="str">
        <f>ASTemp!D2176</f>
        <v/>
      </c>
      <c r="E2176" s="65" t="str">
        <f>ASTemp!E2176</f>
        <v/>
      </c>
      <c r="F2176" s="69" t="str">
        <f>TEXT(ASTemp!F2176,Decimals)</f>
        <v/>
      </c>
      <c r="G2176" s="69" t="str">
        <f>TEXT(ASTemp!G2176,Decimals)</f>
        <v/>
      </c>
      <c r="H2176" s="69" t="str">
        <f>TEXT(ASTemp!H2176,Decimals)</f>
        <v/>
      </c>
      <c r="I2176" s="69" t="str">
        <f>TEXT(ASTemp!I2176,Decimals)</f>
        <v/>
      </c>
      <c r="J2176" s="69" t="str">
        <f>TEXT(ASTemp!J2176,Decimals)</f>
        <v/>
      </c>
      <c r="K2176" s="69" t="str">
        <f>TEXT(ASTemp!K2176,Decimals)</f>
        <v/>
      </c>
      <c r="L2176" s="69" t="str">
        <f>TEXT(ASTemp!L2176,Decimals)</f>
        <v/>
      </c>
      <c r="M2176" s="71" t="str">
        <f>TEXT(ASTemp!M2176,Percentages)</f>
        <v/>
      </c>
      <c r="N2176" s="72" t="str">
        <f>TEXT(ASTemp!N2176,Percentages)</f>
        <v/>
      </c>
    </row>
    <row r="2177" ht="14.25" customHeight="1">
      <c r="B2177" s="66" t="str">
        <f>ASTemp!B2177</f>
        <v/>
      </c>
      <c r="C2177" s="67" t="str">
        <f>ASTemp!C2177</f>
        <v/>
      </c>
      <c r="D2177" s="68" t="str">
        <f>ASTemp!D2177</f>
        <v/>
      </c>
      <c r="E2177" s="65" t="str">
        <f>ASTemp!E2177</f>
        <v/>
      </c>
      <c r="F2177" s="69" t="str">
        <f>TEXT(ASTemp!F2177,Decimals)</f>
        <v/>
      </c>
      <c r="G2177" s="69" t="str">
        <f>TEXT(ASTemp!G2177,Decimals)</f>
        <v/>
      </c>
      <c r="H2177" s="69" t="str">
        <f>TEXT(ASTemp!H2177,Decimals)</f>
        <v/>
      </c>
      <c r="I2177" s="69" t="str">
        <f>TEXT(ASTemp!I2177,Decimals)</f>
        <v/>
      </c>
      <c r="J2177" s="69" t="str">
        <f>TEXT(ASTemp!J2177,Decimals)</f>
        <v/>
      </c>
      <c r="K2177" s="69" t="str">
        <f>TEXT(ASTemp!K2177,Decimals)</f>
        <v/>
      </c>
      <c r="L2177" s="69" t="str">
        <f>TEXT(ASTemp!L2177,Decimals)</f>
        <v/>
      </c>
      <c r="M2177" s="71" t="str">
        <f>TEXT(ASTemp!M2177,Percentages)</f>
        <v/>
      </c>
      <c r="N2177" s="72" t="str">
        <f>TEXT(ASTemp!N2177,Percentages)</f>
        <v/>
      </c>
    </row>
    <row r="2178" ht="14.25" customHeight="1">
      <c r="B2178" s="66" t="str">
        <f>ASTemp!B2178</f>
        <v/>
      </c>
      <c r="C2178" s="67" t="str">
        <f>ASTemp!C2178</f>
        <v/>
      </c>
      <c r="D2178" s="68" t="str">
        <f>ASTemp!D2178</f>
        <v/>
      </c>
      <c r="E2178" s="65" t="str">
        <f>ASTemp!E2178</f>
        <v/>
      </c>
      <c r="F2178" s="69" t="str">
        <f>TEXT(ASTemp!F2178,Decimals)</f>
        <v/>
      </c>
      <c r="G2178" s="69" t="str">
        <f>TEXT(ASTemp!G2178,Decimals)</f>
        <v/>
      </c>
      <c r="H2178" s="69" t="str">
        <f>TEXT(ASTemp!H2178,Decimals)</f>
        <v/>
      </c>
      <c r="I2178" s="69" t="str">
        <f>TEXT(ASTemp!I2178,Decimals)</f>
        <v/>
      </c>
      <c r="J2178" s="69" t="str">
        <f>TEXT(ASTemp!J2178,Decimals)</f>
        <v/>
      </c>
      <c r="K2178" s="69" t="str">
        <f>TEXT(ASTemp!K2178,Decimals)</f>
        <v/>
      </c>
      <c r="L2178" s="69" t="str">
        <f>TEXT(ASTemp!L2178,Decimals)</f>
        <v/>
      </c>
      <c r="M2178" s="71" t="str">
        <f>TEXT(ASTemp!M2178,Percentages)</f>
        <v/>
      </c>
      <c r="N2178" s="72" t="str">
        <f>TEXT(ASTemp!N2178,Percentages)</f>
        <v/>
      </c>
    </row>
    <row r="2179" ht="14.25" customHeight="1">
      <c r="B2179" s="66" t="str">
        <f>ASTemp!B2179</f>
        <v/>
      </c>
      <c r="C2179" s="67" t="str">
        <f>ASTemp!C2179</f>
        <v/>
      </c>
      <c r="D2179" s="68" t="str">
        <f>ASTemp!D2179</f>
        <v/>
      </c>
      <c r="E2179" s="65" t="str">
        <f>ASTemp!E2179</f>
        <v/>
      </c>
      <c r="F2179" s="69" t="str">
        <f>TEXT(ASTemp!F2179,Decimals)</f>
        <v/>
      </c>
      <c r="G2179" s="69" t="str">
        <f>TEXT(ASTemp!G2179,Decimals)</f>
        <v/>
      </c>
      <c r="H2179" s="69" t="str">
        <f>TEXT(ASTemp!H2179,Decimals)</f>
        <v/>
      </c>
      <c r="I2179" s="69" t="str">
        <f>TEXT(ASTemp!I2179,Decimals)</f>
        <v/>
      </c>
      <c r="J2179" s="69" t="str">
        <f>TEXT(ASTemp!J2179,Decimals)</f>
        <v/>
      </c>
      <c r="K2179" s="69" t="str">
        <f>TEXT(ASTemp!K2179,Decimals)</f>
        <v/>
      </c>
      <c r="L2179" s="69" t="str">
        <f>TEXT(ASTemp!L2179,Decimals)</f>
        <v/>
      </c>
      <c r="M2179" s="71" t="str">
        <f>TEXT(ASTemp!M2179,Percentages)</f>
        <v/>
      </c>
      <c r="N2179" s="72" t="str">
        <f>TEXT(ASTemp!N2179,Percentages)</f>
        <v/>
      </c>
    </row>
    <row r="2180" ht="14.25" customHeight="1">
      <c r="B2180" s="66" t="str">
        <f>ASTemp!B2180</f>
        <v/>
      </c>
      <c r="C2180" s="67" t="str">
        <f>ASTemp!C2180</f>
        <v/>
      </c>
      <c r="D2180" s="68" t="str">
        <f>ASTemp!D2180</f>
        <v/>
      </c>
      <c r="E2180" s="65" t="str">
        <f>ASTemp!E2180</f>
        <v/>
      </c>
      <c r="F2180" s="69" t="str">
        <f>TEXT(ASTemp!F2180,Decimals)</f>
        <v/>
      </c>
      <c r="G2180" s="69" t="str">
        <f>TEXT(ASTemp!G2180,Decimals)</f>
        <v/>
      </c>
      <c r="H2180" s="69" t="str">
        <f>TEXT(ASTemp!H2180,Decimals)</f>
        <v/>
      </c>
      <c r="I2180" s="69" t="str">
        <f>TEXT(ASTemp!I2180,Decimals)</f>
        <v/>
      </c>
      <c r="J2180" s="69" t="str">
        <f>TEXT(ASTemp!J2180,Decimals)</f>
        <v/>
      </c>
      <c r="K2180" s="69" t="str">
        <f>TEXT(ASTemp!K2180,Decimals)</f>
        <v/>
      </c>
      <c r="L2180" s="69" t="str">
        <f>TEXT(ASTemp!L2180,Decimals)</f>
        <v/>
      </c>
      <c r="M2180" s="71" t="str">
        <f>TEXT(ASTemp!M2180,Percentages)</f>
        <v/>
      </c>
      <c r="N2180" s="72" t="str">
        <f>TEXT(ASTemp!N2180,Percentages)</f>
        <v/>
      </c>
    </row>
    <row r="2181" ht="14.25" customHeight="1">
      <c r="B2181" s="66" t="str">
        <f>ASTemp!B2181</f>
        <v/>
      </c>
      <c r="C2181" s="67" t="str">
        <f>ASTemp!C2181</f>
        <v/>
      </c>
      <c r="D2181" s="68" t="str">
        <f>ASTemp!D2181</f>
        <v/>
      </c>
      <c r="E2181" s="65" t="str">
        <f>ASTemp!E2181</f>
        <v/>
      </c>
      <c r="F2181" s="69" t="str">
        <f>TEXT(ASTemp!F2181,Decimals)</f>
        <v/>
      </c>
      <c r="G2181" s="69" t="str">
        <f>TEXT(ASTemp!G2181,Decimals)</f>
        <v/>
      </c>
      <c r="H2181" s="69" t="str">
        <f>TEXT(ASTemp!H2181,Decimals)</f>
        <v/>
      </c>
      <c r="I2181" s="69" t="str">
        <f>TEXT(ASTemp!I2181,Decimals)</f>
        <v/>
      </c>
      <c r="J2181" s="69" t="str">
        <f>TEXT(ASTemp!J2181,Decimals)</f>
        <v/>
      </c>
      <c r="K2181" s="69" t="str">
        <f>TEXT(ASTemp!K2181,Decimals)</f>
        <v/>
      </c>
      <c r="L2181" s="69" t="str">
        <f>TEXT(ASTemp!L2181,Decimals)</f>
        <v/>
      </c>
      <c r="M2181" s="71" t="str">
        <f>TEXT(ASTemp!M2181,Percentages)</f>
        <v/>
      </c>
      <c r="N2181" s="72" t="str">
        <f>TEXT(ASTemp!N2181,Percentages)</f>
        <v/>
      </c>
    </row>
    <row r="2182" ht="14.25" customHeight="1">
      <c r="B2182" s="66" t="str">
        <f>ASTemp!B2182</f>
        <v/>
      </c>
      <c r="C2182" s="67" t="str">
        <f>ASTemp!C2182</f>
        <v/>
      </c>
      <c r="D2182" s="68" t="str">
        <f>ASTemp!D2182</f>
        <v/>
      </c>
      <c r="E2182" s="65" t="str">
        <f>ASTemp!E2182</f>
        <v/>
      </c>
      <c r="F2182" s="69" t="str">
        <f>TEXT(ASTemp!F2182,Decimals)</f>
        <v/>
      </c>
      <c r="G2182" s="69" t="str">
        <f>TEXT(ASTemp!G2182,Decimals)</f>
        <v/>
      </c>
      <c r="H2182" s="69" t="str">
        <f>TEXT(ASTemp!H2182,Decimals)</f>
        <v/>
      </c>
      <c r="I2182" s="69" t="str">
        <f>TEXT(ASTemp!I2182,Decimals)</f>
        <v/>
      </c>
      <c r="J2182" s="69" t="str">
        <f>TEXT(ASTemp!J2182,Decimals)</f>
        <v/>
      </c>
      <c r="K2182" s="69" t="str">
        <f>TEXT(ASTemp!K2182,Decimals)</f>
        <v/>
      </c>
      <c r="L2182" s="69" t="str">
        <f>TEXT(ASTemp!L2182,Decimals)</f>
        <v/>
      </c>
      <c r="M2182" s="71" t="str">
        <f>TEXT(ASTemp!M2182,Percentages)</f>
        <v/>
      </c>
      <c r="N2182" s="72" t="str">
        <f>TEXT(ASTemp!N2182,Percentages)</f>
        <v/>
      </c>
    </row>
    <row r="2183" ht="14.25" customHeight="1">
      <c r="B2183" s="66" t="str">
        <f>ASTemp!B2183</f>
        <v/>
      </c>
      <c r="C2183" s="67" t="str">
        <f>ASTemp!C2183</f>
        <v/>
      </c>
      <c r="D2183" s="68" t="str">
        <f>ASTemp!D2183</f>
        <v/>
      </c>
      <c r="E2183" s="65" t="str">
        <f>ASTemp!E2183</f>
        <v/>
      </c>
      <c r="F2183" s="69" t="str">
        <f>TEXT(ASTemp!F2183,Decimals)</f>
        <v/>
      </c>
      <c r="G2183" s="69" t="str">
        <f>TEXT(ASTemp!G2183,Decimals)</f>
        <v/>
      </c>
      <c r="H2183" s="69" t="str">
        <f>TEXT(ASTemp!H2183,Decimals)</f>
        <v/>
      </c>
      <c r="I2183" s="69" t="str">
        <f>TEXT(ASTemp!I2183,Decimals)</f>
        <v/>
      </c>
      <c r="J2183" s="69" t="str">
        <f>TEXT(ASTemp!J2183,Decimals)</f>
        <v/>
      </c>
      <c r="K2183" s="69" t="str">
        <f>TEXT(ASTemp!K2183,Decimals)</f>
        <v/>
      </c>
      <c r="L2183" s="69" t="str">
        <f>TEXT(ASTemp!L2183,Decimals)</f>
        <v/>
      </c>
      <c r="M2183" s="71" t="str">
        <f>TEXT(ASTemp!M2183,Percentages)</f>
        <v/>
      </c>
      <c r="N2183" s="72" t="str">
        <f>TEXT(ASTemp!N2183,Percentages)</f>
        <v/>
      </c>
    </row>
    <row r="2184" ht="14.25" customHeight="1">
      <c r="B2184" s="66" t="str">
        <f>ASTemp!B2184</f>
        <v/>
      </c>
      <c r="C2184" s="67" t="str">
        <f>ASTemp!C2184</f>
        <v/>
      </c>
      <c r="D2184" s="68" t="str">
        <f>ASTemp!D2184</f>
        <v/>
      </c>
      <c r="E2184" s="65" t="str">
        <f>ASTemp!E2184</f>
        <v/>
      </c>
      <c r="F2184" s="69" t="str">
        <f>TEXT(ASTemp!F2184,Decimals)</f>
        <v/>
      </c>
      <c r="G2184" s="69" t="str">
        <f>TEXT(ASTemp!G2184,Decimals)</f>
        <v/>
      </c>
      <c r="H2184" s="69" t="str">
        <f>TEXT(ASTemp!H2184,Decimals)</f>
        <v/>
      </c>
      <c r="I2184" s="69" t="str">
        <f>TEXT(ASTemp!I2184,Decimals)</f>
        <v/>
      </c>
      <c r="J2184" s="69" t="str">
        <f>TEXT(ASTemp!J2184,Decimals)</f>
        <v/>
      </c>
      <c r="K2184" s="69" t="str">
        <f>TEXT(ASTemp!K2184,Decimals)</f>
        <v/>
      </c>
      <c r="L2184" s="69" t="str">
        <f>TEXT(ASTemp!L2184,Decimals)</f>
        <v/>
      </c>
      <c r="M2184" s="71" t="str">
        <f>TEXT(ASTemp!M2184,Percentages)</f>
        <v/>
      </c>
      <c r="N2184" s="72" t="str">
        <f>TEXT(ASTemp!N2184,Percentages)</f>
        <v/>
      </c>
    </row>
    <row r="2185" ht="14.25" customHeight="1">
      <c r="B2185" s="66" t="str">
        <f>ASTemp!B2185</f>
        <v/>
      </c>
      <c r="C2185" s="67" t="str">
        <f>ASTemp!C2185</f>
        <v/>
      </c>
      <c r="D2185" s="68" t="str">
        <f>ASTemp!D2185</f>
        <v/>
      </c>
      <c r="E2185" s="65" t="str">
        <f>ASTemp!E2185</f>
        <v/>
      </c>
      <c r="F2185" s="69" t="str">
        <f>TEXT(ASTemp!F2185,Decimals)</f>
        <v/>
      </c>
      <c r="G2185" s="69" t="str">
        <f>TEXT(ASTemp!G2185,Decimals)</f>
        <v/>
      </c>
      <c r="H2185" s="69" t="str">
        <f>TEXT(ASTemp!H2185,Decimals)</f>
        <v/>
      </c>
      <c r="I2185" s="69" t="str">
        <f>TEXT(ASTemp!I2185,Decimals)</f>
        <v/>
      </c>
      <c r="J2185" s="69" t="str">
        <f>TEXT(ASTemp!J2185,Decimals)</f>
        <v/>
      </c>
      <c r="K2185" s="69" t="str">
        <f>TEXT(ASTemp!K2185,Decimals)</f>
        <v/>
      </c>
      <c r="L2185" s="69" t="str">
        <f>TEXT(ASTemp!L2185,Decimals)</f>
        <v/>
      </c>
      <c r="M2185" s="71" t="str">
        <f>TEXT(ASTemp!M2185,Percentages)</f>
        <v/>
      </c>
      <c r="N2185" s="72" t="str">
        <f>TEXT(ASTemp!N2185,Percentages)</f>
        <v/>
      </c>
    </row>
    <row r="2186" ht="14.25" customHeight="1">
      <c r="B2186" s="66" t="str">
        <f>ASTemp!B2186</f>
        <v/>
      </c>
      <c r="C2186" s="67" t="str">
        <f>ASTemp!C2186</f>
        <v/>
      </c>
      <c r="D2186" s="68" t="str">
        <f>ASTemp!D2186</f>
        <v/>
      </c>
      <c r="E2186" s="65" t="str">
        <f>ASTemp!E2186</f>
        <v/>
      </c>
      <c r="F2186" s="69" t="str">
        <f>TEXT(ASTemp!F2186,Decimals)</f>
        <v/>
      </c>
      <c r="G2186" s="69" t="str">
        <f>TEXT(ASTemp!G2186,Decimals)</f>
        <v/>
      </c>
      <c r="H2186" s="69" t="str">
        <f>TEXT(ASTemp!H2186,Decimals)</f>
        <v/>
      </c>
      <c r="I2186" s="69" t="str">
        <f>TEXT(ASTemp!I2186,Decimals)</f>
        <v/>
      </c>
      <c r="J2186" s="69" t="str">
        <f>TEXT(ASTemp!J2186,Decimals)</f>
        <v/>
      </c>
      <c r="K2186" s="69" t="str">
        <f>TEXT(ASTemp!K2186,Decimals)</f>
        <v/>
      </c>
      <c r="L2186" s="69" t="str">
        <f>TEXT(ASTemp!L2186,Decimals)</f>
        <v/>
      </c>
      <c r="M2186" s="71" t="str">
        <f>TEXT(ASTemp!M2186,Percentages)</f>
        <v/>
      </c>
      <c r="N2186" s="72" t="str">
        <f>TEXT(ASTemp!N2186,Percentages)</f>
        <v/>
      </c>
    </row>
    <row r="2187" ht="14.25" customHeight="1">
      <c r="B2187" s="66" t="str">
        <f>ASTemp!B2187</f>
        <v/>
      </c>
      <c r="C2187" s="67" t="str">
        <f>ASTemp!C2187</f>
        <v/>
      </c>
      <c r="D2187" s="68" t="str">
        <f>ASTemp!D2187</f>
        <v/>
      </c>
      <c r="E2187" s="65" t="str">
        <f>ASTemp!E2187</f>
        <v/>
      </c>
      <c r="F2187" s="69" t="str">
        <f>TEXT(ASTemp!F2187,Decimals)</f>
        <v/>
      </c>
      <c r="G2187" s="69" t="str">
        <f>TEXT(ASTemp!G2187,Decimals)</f>
        <v/>
      </c>
      <c r="H2187" s="69" t="str">
        <f>TEXT(ASTemp!H2187,Decimals)</f>
        <v/>
      </c>
      <c r="I2187" s="69" t="str">
        <f>TEXT(ASTemp!I2187,Decimals)</f>
        <v/>
      </c>
      <c r="J2187" s="69" t="str">
        <f>TEXT(ASTemp!J2187,Decimals)</f>
        <v/>
      </c>
      <c r="K2187" s="69" t="str">
        <f>TEXT(ASTemp!K2187,Decimals)</f>
        <v/>
      </c>
      <c r="L2187" s="69" t="str">
        <f>TEXT(ASTemp!L2187,Decimals)</f>
        <v/>
      </c>
      <c r="M2187" s="71" t="str">
        <f>TEXT(ASTemp!M2187,Percentages)</f>
        <v/>
      </c>
      <c r="N2187" s="72" t="str">
        <f>TEXT(ASTemp!N2187,Percentages)</f>
        <v/>
      </c>
    </row>
    <row r="2188" ht="14.25" customHeight="1">
      <c r="B2188" s="66" t="str">
        <f>ASTemp!B2188</f>
        <v/>
      </c>
      <c r="C2188" s="67" t="str">
        <f>ASTemp!C2188</f>
        <v/>
      </c>
      <c r="D2188" s="68" t="str">
        <f>ASTemp!D2188</f>
        <v/>
      </c>
      <c r="E2188" s="65" t="str">
        <f>ASTemp!E2188</f>
        <v/>
      </c>
      <c r="F2188" s="69" t="str">
        <f>TEXT(ASTemp!F2188,Decimals)</f>
        <v/>
      </c>
      <c r="G2188" s="69" t="str">
        <f>TEXT(ASTemp!G2188,Decimals)</f>
        <v/>
      </c>
      <c r="H2188" s="69" t="str">
        <f>TEXT(ASTemp!H2188,Decimals)</f>
        <v/>
      </c>
      <c r="I2188" s="69" t="str">
        <f>TEXT(ASTemp!I2188,Decimals)</f>
        <v/>
      </c>
      <c r="J2188" s="69" t="str">
        <f>TEXT(ASTemp!J2188,Decimals)</f>
        <v/>
      </c>
      <c r="K2188" s="69" t="str">
        <f>TEXT(ASTemp!K2188,Decimals)</f>
        <v/>
      </c>
      <c r="L2188" s="69" t="str">
        <f>TEXT(ASTemp!L2188,Decimals)</f>
        <v/>
      </c>
      <c r="M2188" s="71" t="str">
        <f>TEXT(ASTemp!M2188,Percentages)</f>
        <v/>
      </c>
      <c r="N2188" s="72" t="str">
        <f>TEXT(ASTemp!N2188,Percentages)</f>
        <v/>
      </c>
    </row>
    <row r="2189" ht="14.25" customHeight="1">
      <c r="B2189" s="66" t="str">
        <f>ASTemp!B2189</f>
        <v/>
      </c>
      <c r="C2189" s="67" t="str">
        <f>ASTemp!C2189</f>
        <v/>
      </c>
      <c r="D2189" s="68" t="str">
        <f>ASTemp!D2189</f>
        <v/>
      </c>
      <c r="E2189" s="65" t="str">
        <f>ASTemp!E2189</f>
        <v/>
      </c>
      <c r="F2189" s="69" t="str">
        <f>TEXT(ASTemp!F2189,Decimals)</f>
        <v/>
      </c>
      <c r="G2189" s="69" t="str">
        <f>TEXT(ASTemp!G2189,Decimals)</f>
        <v/>
      </c>
      <c r="H2189" s="69" t="str">
        <f>TEXT(ASTemp!H2189,Decimals)</f>
        <v/>
      </c>
      <c r="I2189" s="69" t="str">
        <f>TEXT(ASTemp!I2189,Decimals)</f>
        <v/>
      </c>
      <c r="J2189" s="69" t="str">
        <f>TEXT(ASTemp!J2189,Decimals)</f>
        <v/>
      </c>
      <c r="K2189" s="69" t="str">
        <f>TEXT(ASTemp!K2189,Decimals)</f>
        <v/>
      </c>
      <c r="L2189" s="69" t="str">
        <f>TEXT(ASTemp!L2189,Decimals)</f>
        <v/>
      </c>
      <c r="M2189" s="71" t="str">
        <f>TEXT(ASTemp!M2189,Percentages)</f>
        <v/>
      </c>
      <c r="N2189" s="72" t="str">
        <f>TEXT(ASTemp!N2189,Percentages)</f>
        <v/>
      </c>
    </row>
    <row r="2190" ht="14.25" customHeight="1">
      <c r="B2190" s="66" t="str">
        <f>ASTemp!B2190</f>
        <v/>
      </c>
      <c r="C2190" s="67" t="str">
        <f>ASTemp!C2190</f>
        <v/>
      </c>
      <c r="D2190" s="68" t="str">
        <f>ASTemp!D2190</f>
        <v/>
      </c>
      <c r="E2190" s="65" t="str">
        <f>ASTemp!E2190</f>
        <v/>
      </c>
      <c r="F2190" s="69" t="str">
        <f>TEXT(ASTemp!F2190,Decimals)</f>
        <v/>
      </c>
      <c r="G2190" s="69" t="str">
        <f>TEXT(ASTemp!G2190,Decimals)</f>
        <v/>
      </c>
      <c r="H2190" s="69" t="str">
        <f>TEXT(ASTemp!H2190,Decimals)</f>
        <v/>
      </c>
      <c r="I2190" s="69" t="str">
        <f>TEXT(ASTemp!I2190,Decimals)</f>
        <v/>
      </c>
      <c r="J2190" s="69" t="str">
        <f>TEXT(ASTemp!J2190,Decimals)</f>
        <v/>
      </c>
      <c r="K2190" s="69" t="str">
        <f>TEXT(ASTemp!K2190,Decimals)</f>
        <v/>
      </c>
      <c r="L2190" s="69" t="str">
        <f>TEXT(ASTemp!L2190,Decimals)</f>
        <v/>
      </c>
      <c r="M2190" s="71" t="str">
        <f>TEXT(ASTemp!M2190,Percentages)</f>
        <v/>
      </c>
      <c r="N2190" s="72" t="str">
        <f>TEXT(ASTemp!N2190,Percentages)</f>
        <v/>
      </c>
    </row>
    <row r="2191" ht="14.25" customHeight="1">
      <c r="B2191" s="66" t="str">
        <f>ASTemp!B2191</f>
        <v/>
      </c>
      <c r="C2191" s="67" t="str">
        <f>ASTemp!C2191</f>
        <v/>
      </c>
      <c r="D2191" s="68" t="str">
        <f>ASTemp!D2191</f>
        <v/>
      </c>
      <c r="E2191" s="65" t="str">
        <f>ASTemp!E2191</f>
        <v/>
      </c>
      <c r="F2191" s="69" t="str">
        <f>TEXT(ASTemp!F2191,Decimals)</f>
        <v/>
      </c>
      <c r="G2191" s="69" t="str">
        <f>TEXT(ASTemp!G2191,Decimals)</f>
        <v/>
      </c>
      <c r="H2191" s="69" t="str">
        <f>TEXT(ASTemp!H2191,Decimals)</f>
        <v/>
      </c>
      <c r="I2191" s="69" t="str">
        <f>TEXT(ASTemp!I2191,Decimals)</f>
        <v/>
      </c>
      <c r="J2191" s="69" t="str">
        <f>TEXT(ASTemp!J2191,Decimals)</f>
        <v/>
      </c>
      <c r="K2191" s="69" t="str">
        <f>TEXT(ASTemp!K2191,Decimals)</f>
        <v/>
      </c>
      <c r="L2191" s="69" t="str">
        <f>TEXT(ASTemp!L2191,Decimals)</f>
        <v/>
      </c>
      <c r="M2191" s="71" t="str">
        <f>TEXT(ASTemp!M2191,Percentages)</f>
        <v/>
      </c>
      <c r="N2191" s="72" t="str">
        <f>TEXT(ASTemp!N2191,Percentages)</f>
        <v/>
      </c>
    </row>
    <row r="2192" ht="14.25" customHeight="1">
      <c r="B2192" s="66" t="str">
        <f>ASTemp!B2192</f>
        <v/>
      </c>
      <c r="C2192" s="67" t="str">
        <f>ASTemp!C2192</f>
        <v/>
      </c>
      <c r="D2192" s="68" t="str">
        <f>ASTemp!D2192</f>
        <v/>
      </c>
      <c r="E2192" s="65" t="str">
        <f>ASTemp!E2192</f>
        <v/>
      </c>
      <c r="F2192" s="69" t="str">
        <f>TEXT(ASTemp!F2192,Decimals)</f>
        <v/>
      </c>
      <c r="G2192" s="69" t="str">
        <f>TEXT(ASTemp!G2192,Decimals)</f>
        <v/>
      </c>
      <c r="H2192" s="69" t="str">
        <f>TEXT(ASTemp!H2192,Decimals)</f>
        <v/>
      </c>
      <c r="I2192" s="69" t="str">
        <f>TEXT(ASTemp!I2192,Decimals)</f>
        <v/>
      </c>
      <c r="J2192" s="69" t="str">
        <f>TEXT(ASTemp!J2192,Decimals)</f>
        <v/>
      </c>
      <c r="K2192" s="69" t="str">
        <f>TEXT(ASTemp!K2192,Decimals)</f>
        <v/>
      </c>
      <c r="L2192" s="69" t="str">
        <f>TEXT(ASTemp!L2192,Decimals)</f>
        <v/>
      </c>
      <c r="M2192" s="71" t="str">
        <f>TEXT(ASTemp!M2192,Percentages)</f>
        <v/>
      </c>
      <c r="N2192" s="72" t="str">
        <f>TEXT(ASTemp!N2192,Percentages)</f>
        <v/>
      </c>
    </row>
    <row r="2193" ht="14.25" customHeight="1">
      <c r="B2193" s="66" t="str">
        <f>ASTemp!B2193</f>
        <v/>
      </c>
      <c r="C2193" s="67" t="str">
        <f>ASTemp!C2193</f>
        <v/>
      </c>
      <c r="D2193" s="68" t="str">
        <f>ASTemp!D2193</f>
        <v/>
      </c>
      <c r="E2193" s="65" t="str">
        <f>ASTemp!E2193</f>
        <v/>
      </c>
      <c r="F2193" s="69" t="str">
        <f>TEXT(ASTemp!F2193,Decimals)</f>
        <v/>
      </c>
      <c r="G2193" s="69" t="str">
        <f>TEXT(ASTemp!G2193,Decimals)</f>
        <v/>
      </c>
      <c r="H2193" s="69" t="str">
        <f>TEXT(ASTemp!H2193,Decimals)</f>
        <v/>
      </c>
      <c r="I2193" s="69" t="str">
        <f>TEXT(ASTemp!I2193,Decimals)</f>
        <v/>
      </c>
      <c r="J2193" s="69" t="str">
        <f>TEXT(ASTemp!J2193,Decimals)</f>
        <v/>
      </c>
      <c r="K2193" s="69" t="str">
        <f>TEXT(ASTemp!K2193,Decimals)</f>
        <v/>
      </c>
      <c r="L2193" s="69" t="str">
        <f>TEXT(ASTemp!L2193,Decimals)</f>
        <v/>
      </c>
      <c r="M2193" s="71" t="str">
        <f>TEXT(ASTemp!M2193,Percentages)</f>
        <v/>
      </c>
      <c r="N2193" s="72" t="str">
        <f>TEXT(ASTemp!N2193,Percentages)</f>
        <v/>
      </c>
    </row>
    <row r="2194" ht="14.25" customHeight="1">
      <c r="B2194" s="66" t="str">
        <f>ASTemp!B2194</f>
        <v/>
      </c>
      <c r="C2194" s="67" t="str">
        <f>ASTemp!C2194</f>
        <v/>
      </c>
      <c r="D2194" s="68" t="str">
        <f>ASTemp!D2194</f>
        <v/>
      </c>
      <c r="E2194" s="65" t="str">
        <f>ASTemp!E2194</f>
        <v/>
      </c>
      <c r="F2194" s="69" t="str">
        <f>TEXT(ASTemp!F2194,Decimals)</f>
        <v/>
      </c>
      <c r="G2194" s="69" t="str">
        <f>TEXT(ASTemp!G2194,Decimals)</f>
        <v/>
      </c>
      <c r="H2194" s="69" t="str">
        <f>TEXT(ASTemp!H2194,Decimals)</f>
        <v/>
      </c>
      <c r="I2194" s="69" t="str">
        <f>TEXT(ASTemp!I2194,Decimals)</f>
        <v/>
      </c>
      <c r="J2194" s="69" t="str">
        <f>TEXT(ASTemp!J2194,Decimals)</f>
        <v/>
      </c>
      <c r="K2194" s="69" t="str">
        <f>TEXT(ASTemp!K2194,Decimals)</f>
        <v/>
      </c>
      <c r="L2194" s="69" t="str">
        <f>TEXT(ASTemp!L2194,Decimals)</f>
        <v/>
      </c>
      <c r="M2194" s="71" t="str">
        <f>TEXT(ASTemp!M2194,Percentages)</f>
        <v/>
      </c>
      <c r="N2194" s="72" t="str">
        <f>TEXT(ASTemp!N2194,Percentages)</f>
        <v/>
      </c>
    </row>
    <row r="2195" ht="14.25" customHeight="1">
      <c r="B2195" s="66" t="str">
        <f>ASTemp!B2195</f>
        <v/>
      </c>
      <c r="C2195" s="67" t="str">
        <f>ASTemp!C2195</f>
        <v/>
      </c>
      <c r="D2195" s="68" t="str">
        <f>ASTemp!D2195</f>
        <v/>
      </c>
      <c r="E2195" s="65" t="str">
        <f>ASTemp!E2195</f>
        <v/>
      </c>
      <c r="F2195" s="69" t="str">
        <f>TEXT(ASTemp!F2195,Decimals)</f>
        <v/>
      </c>
      <c r="G2195" s="69" t="str">
        <f>TEXT(ASTemp!G2195,Decimals)</f>
        <v/>
      </c>
      <c r="H2195" s="69" t="str">
        <f>TEXT(ASTemp!H2195,Decimals)</f>
        <v/>
      </c>
      <c r="I2195" s="69" t="str">
        <f>TEXT(ASTemp!I2195,Decimals)</f>
        <v/>
      </c>
      <c r="J2195" s="69" t="str">
        <f>TEXT(ASTemp!J2195,Decimals)</f>
        <v/>
      </c>
      <c r="K2195" s="69" t="str">
        <f>TEXT(ASTemp!K2195,Decimals)</f>
        <v/>
      </c>
      <c r="L2195" s="69" t="str">
        <f>TEXT(ASTemp!L2195,Decimals)</f>
        <v/>
      </c>
      <c r="M2195" s="71" t="str">
        <f>TEXT(ASTemp!M2195,Percentages)</f>
        <v/>
      </c>
      <c r="N2195" s="72" t="str">
        <f>TEXT(ASTemp!N2195,Percentages)</f>
        <v/>
      </c>
    </row>
    <row r="2196" ht="14.25" customHeight="1">
      <c r="B2196" s="66" t="str">
        <f>ASTemp!B2196</f>
        <v/>
      </c>
      <c r="C2196" s="67" t="str">
        <f>ASTemp!C2196</f>
        <v/>
      </c>
      <c r="D2196" s="68" t="str">
        <f>ASTemp!D2196</f>
        <v/>
      </c>
      <c r="E2196" s="65" t="str">
        <f>ASTemp!E2196</f>
        <v/>
      </c>
      <c r="F2196" s="69" t="str">
        <f>TEXT(ASTemp!F2196,Decimals)</f>
        <v/>
      </c>
      <c r="G2196" s="69" t="str">
        <f>TEXT(ASTemp!G2196,Decimals)</f>
        <v/>
      </c>
      <c r="H2196" s="69" t="str">
        <f>TEXT(ASTemp!H2196,Decimals)</f>
        <v/>
      </c>
      <c r="I2196" s="69" t="str">
        <f>TEXT(ASTemp!I2196,Decimals)</f>
        <v/>
      </c>
      <c r="J2196" s="69" t="str">
        <f>TEXT(ASTemp!J2196,Decimals)</f>
        <v/>
      </c>
      <c r="K2196" s="69" t="str">
        <f>TEXT(ASTemp!K2196,Decimals)</f>
        <v/>
      </c>
      <c r="L2196" s="69" t="str">
        <f>TEXT(ASTemp!L2196,Decimals)</f>
        <v/>
      </c>
      <c r="M2196" s="71" t="str">
        <f>TEXT(ASTemp!M2196,Percentages)</f>
        <v/>
      </c>
      <c r="N2196" s="72" t="str">
        <f>TEXT(ASTemp!N2196,Percentages)</f>
        <v/>
      </c>
    </row>
    <row r="2197" ht="14.25" customHeight="1">
      <c r="B2197" s="66" t="str">
        <f>ASTemp!B2197</f>
        <v/>
      </c>
      <c r="C2197" s="67" t="str">
        <f>ASTemp!C2197</f>
        <v/>
      </c>
      <c r="D2197" s="68" t="str">
        <f>ASTemp!D2197</f>
        <v/>
      </c>
      <c r="E2197" s="65" t="str">
        <f>ASTemp!E2197</f>
        <v/>
      </c>
      <c r="F2197" s="69" t="str">
        <f>TEXT(ASTemp!F2197,Decimals)</f>
        <v/>
      </c>
      <c r="G2197" s="69" t="str">
        <f>TEXT(ASTemp!G2197,Decimals)</f>
        <v/>
      </c>
      <c r="H2197" s="69" t="str">
        <f>TEXT(ASTemp!H2197,Decimals)</f>
        <v/>
      </c>
      <c r="I2197" s="69" t="str">
        <f>TEXT(ASTemp!I2197,Decimals)</f>
        <v/>
      </c>
      <c r="J2197" s="69" t="str">
        <f>TEXT(ASTemp!J2197,Decimals)</f>
        <v/>
      </c>
      <c r="K2197" s="69" t="str">
        <f>TEXT(ASTemp!K2197,Decimals)</f>
        <v/>
      </c>
      <c r="L2197" s="69" t="str">
        <f>TEXT(ASTemp!L2197,Decimals)</f>
        <v/>
      </c>
      <c r="M2197" s="71" t="str">
        <f>TEXT(ASTemp!M2197,Percentages)</f>
        <v/>
      </c>
      <c r="N2197" s="72" t="str">
        <f>TEXT(ASTemp!N2197,Percentages)</f>
        <v/>
      </c>
    </row>
    <row r="2198" ht="14.25" customHeight="1">
      <c r="B2198" s="66" t="str">
        <f>ASTemp!B2198</f>
        <v/>
      </c>
      <c r="C2198" s="67" t="str">
        <f>ASTemp!C2198</f>
        <v/>
      </c>
      <c r="D2198" s="68" t="str">
        <f>ASTemp!D2198</f>
        <v/>
      </c>
      <c r="E2198" s="65" t="str">
        <f>ASTemp!E2198</f>
        <v/>
      </c>
      <c r="F2198" s="69" t="str">
        <f>TEXT(ASTemp!F2198,Decimals)</f>
        <v/>
      </c>
      <c r="G2198" s="69" t="str">
        <f>TEXT(ASTemp!G2198,Decimals)</f>
        <v/>
      </c>
      <c r="H2198" s="69" t="str">
        <f>TEXT(ASTemp!H2198,Decimals)</f>
        <v/>
      </c>
      <c r="I2198" s="69" t="str">
        <f>TEXT(ASTemp!I2198,Decimals)</f>
        <v/>
      </c>
      <c r="J2198" s="69" t="str">
        <f>TEXT(ASTemp!J2198,Decimals)</f>
        <v/>
      </c>
      <c r="K2198" s="69" t="str">
        <f>TEXT(ASTemp!K2198,Decimals)</f>
        <v/>
      </c>
      <c r="L2198" s="69" t="str">
        <f>TEXT(ASTemp!L2198,Decimals)</f>
        <v/>
      </c>
      <c r="M2198" s="71" t="str">
        <f>TEXT(ASTemp!M2198,Percentages)</f>
        <v/>
      </c>
      <c r="N2198" s="72" t="str">
        <f>TEXT(ASTemp!N2198,Percentages)</f>
        <v/>
      </c>
    </row>
    <row r="2199" ht="14.25" customHeight="1">
      <c r="B2199" s="66" t="str">
        <f>ASTemp!B2199</f>
        <v/>
      </c>
      <c r="C2199" s="67" t="str">
        <f>ASTemp!C2199</f>
        <v/>
      </c>
      <c r="D2199" s="68" t="str">
        <f>ASTemp!D2199</f>
        <v/>
      </c>
      <c r="E2199" s="65" t="str">
        <f>ASTemp!E2199</f>
        <v/>
      </c>
      <c r="F2199" s="69" t="str">
        <f>TEXT(ASTemp!F2199,Decimals)</f>
        <v/>
      </c>
      <c r="G2199" s="69" t="str">
        <f>TEXT(ASTemp!G2199,Decimals)</f>
        <v/>
      </c>
      <c r="H2199" s="69" t="str">
        <f>TEXT(ASTemp!H2199,Decimals)</f>
        <v/>
      </c>
      <c r="I2199" s="69" t="str">
        <f>TEXT(ASTemp!I2199,Decimals)</f>
        <v/>
      </c>
      <c r="J2199" s="69" t="str">
        <f>TEXT(ASTemp!J2199,Decimals)</f>
        <v/>
      </c>
      <c r="K2199" s="69" t="str">
        <f>TEXT(ASTemp!K2199,Decimals)</f>
        <v/>
      </c>
      <c r="L2199" s="69" t="str">
        <f>TEXT(ASTemp!L2199,Decimals)</f>
        <v/>
      </c>
      <c r="M2199" s="71" t="str">
        <f>TEXT(ASTemp!M2199,Percentages)</f>
        <v/>
      </c>
      <c r="N2199" s="72" t="str">
        <f>TEXT(ASTemp!N2199,Percentages)</f>
        <v/>
      </c>
    </row>
    <row r="2200" ht="14.25" customHeight="1">
      <c r="B2200" s="66" t="str">
        <f>ASTemp!B2200</f>
        <v/>
      </c>
      <c r="C2200" s="67" t="str">
        <f>ASTemp!C2200</f>
        <v/>
      </c>
      <c r="D2200" s="68" t="str">
        <f>ASTemp!D2200</f>
        <v/>
      </c>
      <c r="E2200" s="65" t="str">
        <f>ASTemp!E2200</f>
        <v/>
      </c>
      <c r="F2200" s="69" t="str">
        <f>TEXT(ASTemp!F2200,Decimals)</f>
        <v/>
      </c>
      <c r="G2200" s="69" t="str">
        <f>TEXT(ASTemp!G2200,Decimals)</f>
        <v/>
      </c>
      <c r="H2200" s="69" t="str">
        <f>TEXT(ASTemp!H2200,Decimals)</f>
        <v/>
      </c>
      <c r="I2200" s="69" t="str">
        <f>TEXT(ASTemp!I2200,Decimals)</f>
        <v/>
      </c>
      <c r="J2200" s="69" t="str">
        <f>TEXT(ASTemp!J2200,Decimals)</f>
        <v/>
      </c>
      <c r="K2200" s="69" t="str">
        <f>TEXT(ASTemp!K2200,Decimals)</f>
        <v/>
      </c>
      <c r="L2200" s="69" t="str">
        <f>TEXT(ASTemp!L2200,Decimals)</f>
        <v/>
      </c>
      <c r="M2200" s="71" t="str">
        <f>TEXT(ASTemp!M2200,Percentages)</f>
        <v/>
      </c>
      <c r="N2200" s="72" t="str">
        <f>TEXT(ASTemp!N2200,Percentages)</f>
        <v/>
      </c>
    </row>
    <row r="2201" ht="14.25" customHeight="1">
      <c r="B2201" s="66" t="str">
        <f>ASTemp!B2201</f>
        <v/>
      </c>
      <c r="C2201" s="67" t="str">
        <f>ASTemp!C2201</f>
        <v/>
      </c>
      <c r="D2201" s="68" t="str">
        <f>ASTemp!D2201</f>
        <v/>
      </c>
      <c r="E2201" s="65" t="str">
        <f>ASTemp!E2201</f>
        <v/>
      </c>
      <c r="F2201" s="69" t="str">
        <f>TEXT(ASTemp!F2201,Decimals)</f>
        <v/>
      </c>
      <c r="G2201" s="69" t="str">
        <f>TEXT(ASTemp!G2201,Decimals)</f>
        <v/>
      </c>
      <c r="H2201" s="69" t="str">
        <f>TEXT(ASTemp!H2201,Decimals)</f>
        <v/>
      </c>
      <c r="I2201" s="69" t="str">
        <f>TEXT(ASTemp!I2201,Decimals)</f>
        <v/>
      </c>
      <c r="J2201" s="69" t="str">
        <f>TEXT(ASTemp!J2201,Decimals)</f>
        <v/>
      </c>
      <c r="K2201" s="69" t="str">
        <f>TEXT(ASTemp!K2201,Decimals)</f>
        <v/>
      </c>
      <c r="L2201" s="69" t="str">
        <f>TEXT(ASTemp!L2201,Decimals)</f>
        <v/>
      </c>
      <c r="M2201" s="71" t="str">
        <f>TEXT(ASTemp!M2201,Percentages)</f>
        <v/>
      </c>
      <c r="N2201" s="72" t="str">
        <f>TEXT(ASTemp!N2201,Percentages)</f>
        <v/>
      </c>
    </row>
    <row r="2202" ht="14.25" customHeight="1">
      <c r="B2202" s="66" t="str">
        <f>ASTemp!B2202</f>
        <v/>
      </c>
      <c r="C2202" s="67" t="str">
        <f>ASTemp!C2202</f>
        <v/>
      </c>
      <c r="D2202" s="68" t="str">
        <f>ASTemp!D2202</f>
        <v/>
      </c>
      <c r="E2202" s="65" t="str">
        <f>ASTemp!E2202</f>
        <v/>
      </c>
      <c r="F2202" s="69" t="str">
        <f>TEXT(ASTemp!F2202,Decimals)</f>
        <v/>
      </c>
      <c r="G2202" s="69" t="str">
        <f>TEXT(ASTemp!G2202,Decimals)</f>
        <v/>
      </c>
      <c r="H2202" s="69" t="str">
        <f>TEXT(ASTemp!H2202,Decimals)</f>
        <v/>
      </c>
      <c r="I2202" s="69" t="str">
        <f>TEXT(ASTemp!I2202,Decimals)</f>
        <v/>
      </c>
      <c r="J2202" s="69" t="str">
        <f>TEXT(ASTemp!J2202,Decimals)</f>
        <v/>
      </c>
      <c r="K2202" s="69" t="str">
        <f>TEXT(ASTemp!K2202,Decimals)</f>
        <v/>
      </c>
      <c r="L2202" s="69" t="str">
        <f>TEXT(ASTemp!L2202,Decimals)</f>
        <v/>
      </c>
      <c r="M2202" s="71" t="str">
        <f>TEXT(ASTemp!M2202,Percentages)</f>
        <v/>
      </c>
      <c r="N2202" s="72" t="str">
        <f>TEXT(ASTemp!N2202,Percentages)</f>
        <v/>
      </c>
    </row>
    <row r="2203" ht="14.25" customHeight="1">
      <c r="B2203" s="66" t="str">
        <f>ASTemp!B2203</f>
        <v/>
      </c>
      <c r="C2203" s="67" t="str">
        <f>ASTemp!C2203</f>
        <v/>
      </c>
      <c r="D2203" s="68" t="str">
        <f>ASTemp!D2203</f>
        <v/>
      </c>
      <c r="E2203" s="65" t="str">
        <f>ASTemp!E2203</f>
        <v/>
      </c>
      <c r="F2203" s="69" t="str">
        <f>TEXT(ASTemp!F2203,Decimals)</f>
        <v/>
      </c>
      <c r="G2203" s="69" t="str">
        <f>TEXT(ASTemp!G2203,Decimals)</f>
        <v/>
      </c>
      <c r="H2203" s="69" t="str">
        <f>TEXT(ASTemp!H2203,Decimals)</f>
        <v/>
      </c>
      <c r="I2203" s="69" t="str">
        <f>TEXT(ASTemp!I2203,Decimals)</f>
        <v/>
      </c>
      <c r="J2203" s="69" t="str">
        <f>TEXT(ASTemp!J2203,Decimals)</f>
        <v/>
      </c>
      <c r="K2203" s="69" t="str">
        <f>TEXT(ASTemp!K2203,Decimals)</f>
        <v/>
      </c>
      <c r="L2203" s="69" t="str">
        <f>TEXT(ASTemp!L2203,Decimals)</f>
        <v/>
      </c>
      <c r="M2203" s="71" t="str">
        <f>TEXT(ASTemp!M2203,Percentages)</f>
        <v/>
      </c>
      <c r="N2203" s="72" t="str">
        <f>TEXT(ASTemp!N2203,Percentages)</f>
        <v/>
      </c>
    </row>
    <row r="2204" ht="14.25" customHeight="1">
      <c r="B2204" s="66" t="str">
        <f>ASTemp!B2204</f>
        <v/>
      </c>
      <c r="C2204" s="67" t="str">
        <f>ASTemp!C2204</f>
        <v/>
      </c>
      <c r="D2204" s="68" t="str">
        <f>ASTemp!D2204</f>
        <v/>
      </c>
      <c r="E2204" s="65" t="str">
        <f>ASTemp!E2204</f>
        <v/>
      </c>
      <c r="F2204" s="69" t="str">
        <f>TEXT(ASTemp!F2204,Decimals)</f>
        <v/>
      </c>
      <c r="G2204" s="69" t="str">
        <f>TEXT(ASTemp!G2204,Decimals)</f>
        <v/>
      </c>
      <c r="H2204" s="69" t="str">
        <f>TEXT(ASTemp!H2204,Decimals)</f>
        <v/>
      </c>
      <c r="I2204" s="69" t="str">
        <f>TEXT(ASTemp!I2204,Decimals)</f>
        <v/>
      </c>
      <c r="J2204" s="69" t="str">
        <f>TEXT(ASTemp!J2204,Decimals)</f>
        <v/>
      </c>
      <c r="K2204" s="69" t="str">
        <f>TEXT(ASTemp!K2204,Decimals)</f>
        <v/>
      </c>
      <c r="L2204" s="69" t="str">
        <f>TEXT(ASTemp!L2204,Decimals)</f>
        <v/>
      </c>
      <c r="M2204" s="71" t="str">
        <f>TEXT(ASTemp!M2204,Percentages)</f>
        <v/>
      </c>
      <c r="N2204" s="72" t="str">
        <f>TEXT(ASTemp!N2204,Percentages)</f>
        <v/>
      </c>
    </row>
    <row r="2205" ht="14.25" customHeight="1">
      <c r="B2205" s="66" t="str">
        <f>ASTemp!B2205</f>
        <v/>
      </c>
      <c r="C2205" s="67" t="str">
        <f>ASTemp!C2205</f>
        <v/>
      </c>
      <c r="D2205" s="68" t="str">
        <f>ASTemp!D2205</f>
        <v/>
      </c>
      <c r="E2205" s="65" t="str">
        <f>ASTemp!E2205</f>
        <v/>
      </c>
      <c r="F2205" s="69" t="str">
        <f>TEXT(ASTemp!F2205,Decimals)</f>
        <v/>
      </c>
      <c r="G2205" s="69" t="str">
        <f>TEXT(ASTemp!G2205,Decimals)</f>
        <v/>
      </c>
      <c r="H2205" s="69" t="str">
        <f>TEXT(ASTemp!H2205,Decimals)</f>
        <v/>
      </c>
      <c r="I2205" s="69" t="str">
        <f>TEXT(ASTemp!I2205,Decimals)</f>
        <v/>
      </c>
      <c r="J2205" s="69" t="str">
        <f>TEXT(ASTemp!J2205,Decimals)</f>
        <v/>
      </c>
      <c r="K2205" s="69" t="str">
        <f>TEXT(ASTemp!K2205,Decimals)</f>
        <v/>
      </c>
      <c r="L2205" s="69" t="str">
        <f>TEXT(ASTemp!L2205,Decimals)</f>
        <v/>
      </c>
      <c r="M2205" s="71" t="str">
        <f>TEXT(ASTemp!M2205,Percentages)</f>
        <v/>
      </c>
      <c r="N2205" s="72" t="str">
        <f>TEXT(ASTemp!N2205,Percentages)</f>
        <v/>
      </c>
    </row>
    <row r="2206" ht="14.25" customHeight="1">
      <c r="B2206" s="66" t="str">
        <f>ASTemp!B2206</f>
        <v/>
      </c>
      <c r="C2206" s="67" t="str">
        <f>ASTemp!C2206</f>
        <v/>
      </c>
      <c r="D2206" s="68" t="str">
        <f>ASTemp!D2206</f>
        <v/>
      </c>
      <c r="E2206" s="65" t="str">
        <f>ASTemp!E2206</f>
        <v/>
      </c>
      <c r="F2206" s="69" t="str">
        <f>TEXT(ASTemp!F2206,Decimals)</f>
        <v/>
      </c>
      <c r="G2206" s="69" t="str">
        <f>TEXT(ASTemp!G2206,Decimals)</f>
        <v/>
      </c>
      <c r="H2206" s="69" t="str">
        <f>TEXT(ASTemp!H2206,Decimals)</f>
        <v/>
      </c>
      <c r="I2206" s="69" t="str">
        <f>TEXT(ASTemp!I2206,Decimals)</f>
        <v/>
      </c>
      <c r="J2206" s="69" t="str">
        <f>TEXT(ASTemp!J2206,Decimals)</f>
        <v/>
      </c>
      <c r="K2206" s="69" t="str">
        <f>TEXT(ASTemp!K2206,Decimals)</f>
        <v/>
      </c>
      <c r="L2206" s="69" t="str">
        <f>TEXT(ASTemp!L2206,Decimals)</f>
        <v/>
      </c>
      <c r="M2206" s="71" t="str">
        <f>TEXT(ASTemp!M2206,Percentages)</f>
        <v/>
      </c>
      <c r="N2206" s="72" t="str">
        <f>TEXT(ASTemp!N2206,Percentages)</f>
        <v/>
      </c>
    </row>
    <row r="2207" ht="14.25" customHeight="1">
      <c r="B2207" s="66" t="str">
        <f>ASTemp!B2207</f>
        <v/>
      </c>
      <c r="C2207" s="67" t="str">
        <f>ASTemp!C2207</f>
        <v/>
      </c>
      <c r="D2207" s="68" t="str">
        <f>ASTemp!D2207</f>
        <v/>
      </c>
      <c r="E2207" s="65" t="str">
        <f>ASTemp!E2207</f>
        <v/>
      </c>
      <c r="F2207" s="69" t="str">
        <f>TEXT(ASTemp!F2207,Decimals)</f>
        <v/>
      </c>
      <c r="G2207" s="69" t="str">
        <f>TEXT(ASTemp!G2207,Decimals)</f>
        <v/>
      </c>
      <c r="H2207" s="69" t="str">
        <f>TEXT(ASTemp!H2207,Decimals)</f>
        <v/>
      </c>
      <c r="I2207" s="69" t="str">
        <f>TEXT(ASTemp!I2207,Decimals)</f>
        <v/>
      </c>
      <c r="J2207" s="69" t="str">
        <f>TEXT(ASTemp!J2207,Decimals)</f>
        <v/>
      </c>
      <c r="K2207" s="69" t="str">
        <f>TEXT(ASTemp!K2207,Decimals)</f>
        <v/>
      </c>
      <c r="L2207" s="69" t="str">
        <f>TEXT(ASTemp!L2207,Decimals)</f>
        <v/>
      </c>
      <c r="M2207" s="71" t="str">
        <f>TEXT(ASTemp!M2207,Percentages)</f>
        <v/>
      </c>
      <c r="N2207" s="72" t="str">
        <f>TEXT(ASTemp!N2207,Percentages)</f>
        <v/>
      </c>
    </row>
    <row r="2208" ht="14.25" customHeight="1">
      <c r="B2208" s="66" t="str">
        <f>ASTemp!B2208</f>
        <v/>
      </c>
      <c r="C2208" s="67" t="str">
        <f>ASTemp!C2208</f>
        <v/>
      </c>
      <c r="D2208" s="68" t="str">
        <f>ASTemp!D2208</f>
        <v/>
      </c>
      <c r="E2208" s="65" t="str">
        <f>ASTemp!E2208</f>
        <v/>
      </c>
      <c r="F2208" s="69" t="str">
        <f>TEXT(ASTemp!F2208,Decimals)</f>
        <v/>
      </c>
      <c r="G2208" s="69" t="str">
        <f>TEXT(ASTemp!G2208,Decimals)</f>
        <v/>
      </c>
      <c r="H2208" s="69" t="str">
        <f>TEXT(ASTemp!H2208,Decimals)</f>
        <v/>
      </c>
      <c r="I2208" s="69" t="str">
        <f>TEXT(ASTemp!I2208,Decimals)</f>
        <v/>
      </c>
      <c r="J2208" s="69" t="str">
        <f>TEXT(ASTemp!J2208,Decimals)</f>
        <v/>
      </c>
      <c r="K2208" s="69" t="str">
        <f>TEXT(ASTemp!K2208,Decimals)</f>
        <v/>
      </c>
      <c r="L2208" s="69" t="str">
        <f>TEXT(ASTemp!L2208,Decimals)</f>
        <v/>
      </c>
      <c r="M2208" s="71" t="str">
        <f>TEXT(ASTemp!M2208,Percentages)</f>
        <v/>
      </c>
      <c r="N2208" s="72" t="str">
        <f>TEXT(ASTemp!N2208,Percentages)</f>
        <v/>
      </c>
    </row>
    <row r="2209" ht="14.25" customHeight="1">
      <c r="B2209" s="66" t="str">
        <f>ASTemp!B2209</f>
        <v/>
      </c>
      <c r="C2209" s="67" t="str">
        <f>ASTemp!C2209</f>
        <v/>
      </c>
      <c r="D2209" s="68" t="str">
        <f>ASTemp!D2209</f>
        <v/>
      </c>
      <c r="E2209" s="65" t="str">
        <f>ASTemp!E2209</f>
        <v/>
      </c>
      <c r="F2209" s="69" t="str">
        <f>TEXT(ASTemp!F2209,Decimals)</f>
        <v/>
      </c>
      <c r="G2209" s="69" t="str">
        <f>TEXT(ASTemp!G2209,Decimals)</f>
        <v/>
      </c>
      <c r="H2209" s="69" t="str">
        <f>TEXT(ASTemp!H2209,Decimals)</f>
        <v/>
      </c>
      <c r="I2209" s="69" t="str">
        <f>TEXT(ASTemp!I2209,Decimals)</f>
        <v/>
      </c>
      <c r="J2209" s="69" t="str">
        <f>TEXT(ASTemp!J2209,Decimals)</f>
        <v/>
      </c>
      <c r="K2209" s="69" t="str">
        <f>TEXT(ASTemp!K2209,Decimals)</f>
        <v/>
      </c>
      <c r="L2209" s="69" t="str">
        <f>TEXT(ASTemp!L2209,Decimals)</f>
        <v/>
      </c>
      <c r="M2209" s="71" t="str">
        <f>TEXT(ASTemp!M2209,Percentages)</f>
        <v/>
      </c>
      <c r="N2209" s="72" t="str">
        <f>TEXT(ASTemp!N2209,Percentages)</f>
        <v/>
      </c>
    </row>
    <row r="2210" ht="14.25" customHeight="1">
      <c r="B2210" s="66" t="str">
        <f>ASTemp!B2210</f>
        <v/>
      </c>
      <c r="C2210" s="67" t="str">
        <f>ASTemp!C2210</f>
        <v/>
      </c>
      <c r="D2210" s="68" t="str">
        <f>ASTemp!D2210</f>
        <v/>
      </c>
      <c r="E2210" s="65" t="str">
        <f>ASTemp!E2210</f>
        <v/>
      </c>
      <c r="F2210" s="69" t="str">
        <f>TEXT(ASTemp!F2210,Decimals)</f>
        <v/>
      </c>
      <c r="G2210" s="69" t="str">
        <f>TEXT(ASTemp!G2210,Decimals)</f>
        <v/>
      </c>
      <c r="H2210" s="69" t="str">
        <f>TEXT(ASTemp!H2210,Decimals)</f>
        <v/>
      </c>
      <c r="I2210" s="69" t="str">
        <f>TEXT(ASTemp!I2210,Decimals)</f>
        <v/>
      </c>
      <c r="J2210" s="69" t="str">
        <f>TEXT(ASTemp!J2210,Decimals)</f>
        <v/>
      </c>
      <c r="K2210" s="69" t="str">
        <f>TEXT(ASTemp!K2210,Decimals)</f>
        <v/>
      </c>
      <c r="L2210" s="69" t="str">
        <f>TEXT(ASTemp!L2210,Decimals)</f>
        <v/>
      </c>
      <c r="M2210" s="71" t="str">
        <f>TEXT(ASTemp!M2210,Percentages)</f>
        <v/>
      </c>
      <c r="N2210" s="72" t="str">
        <f>TEXT(ASTemp!N2210,Percentages)</f>
        <v/>
      </c>
    </row>
    <row r="2211" ht="14.25" customHeight="1">
      <c r="B2211" s="66" t="str">
        <f>ASTemp!B2211</f>
        <v/>
      </c>
      <c r="C2211" s="67" t="str">
        <f>ASTemp!C2211</f>
        <v/>
      </c>
      <c r="D2211" s="68" t="str">
        <f>ASTemp!D2211</f>
        <v/>
      </c>
      <c r="E2211" s="65" t="str">
        <f>ASTemp!E2211</f>
        <v/>
      </c>
      <c r="F2211" s="69" t="str">
        <f>TEXT(ASTemp!F2211,Decimals)</f>
        <v/>
      </c>
      <c r="G2211" s="69" t="str">
        <f>TEXT(ASTemp!G2211,Decimals)</f>
        <v/>
      </c>
      <c r="H2211" s="69" t="str">
        <f>TEXT(ASTemp!H2211,Decimals)</f>
        <v/>
      </c>
      <c r="I2211" s="69" t="str">
        <f>TEXT(ASTemp!I2211,Decimals)</f>
        <v/>
      </c>
      <c r="J2211" s="69" t="str">
        <f>TEXT(ASTemp!J2211,Decimals)</f>
        <v/>
      </c>
      <c r="K2211" s="69" t="str">
        <f>TEXT(ASTemp!K2211,Decimals)</f>
        <v/>
      </c>
      <c r="L2211" s="69" t="str">
        <f>TEXT(ASTemp!L2211,Decimals)</f>
        <v/>
      </c>
      <c r="M2211" s="71" t="str">
        <f>TEXT(ASTemp!M2211,Percentages)</f>
        <v/>
      </c>
      <c r="N2211" s="72" t="str">
        <f>TEXT(ASTemp!N2211,Percentages)</f>
        <v/>
      </c>
    </row>
    <row r="2212" ht="14.25" customHeight="1">
      <c r="B2212" s="66" t="str">
        <f>ASTemp!B2212</f>
        <v/>
      </c>
      <c r="C2212" s="67" t="str">
        <f>ASTemp!C2212</f>
        <v/>
      </c>
      <c r="D2212" s="68" t="str">
        <f>ASTemp!D2212</f>
        <v/>
      </c>
      <c r="E2212" s="65" t="str">
        <f>ASTemp!E2212</f>
        <v/>
      </c>
      <c r="F2212" s="69" t="str">
        <f>TEXT(ASTemp!F2212,Decimals)</f>
        <v/>
      </c>
      <c r="G2212" s="69" t="str">
        <f>TEXT(ASTemp!G2212,Decimals)</f>
        <v/>
      </c>
      <c r="H2212" s="69" t="str">
        <f>TEXT(ASTemp!H2212,Decimals)</f>
        <v/>
      </c>
      <c r="I2212" s="69" t="str">
        <f>TEXT(ASTemp!I2212,Decimals)</f>
        <v/>
      </c>
      <c r="J2212" s="69" t="str">
        <f>TEXT(ASTemp!J2212,Decimals)</f>
        <v/>
      </c>
      <c r="K2212" s="69" t="str">
        <f>TEXT(ASTemp!K2212,Decimals)</f>
        <v/>
      </c>
      <c r="L2212" s="69" t="str">
        <f>TEXT(ASTemp!L2212,Decimals)</f>
        <v/>
      </c>
      <c r="M2212" s="71" t="str">
        <f>TEXT(ASTemp!M2212,Percentages)</f>
        <v/>
      </c>
      <c r="N2212" s="72" t="str">
        <f>TEXT(ASTemp!N2212,Percentages)</f>
        <v/>
      </c>
    </row>
    <row r="2213" ht="14.25" customHeight="1">
      <c r="B2213" s="66" t="str">
        <f>ASTemp!B2213</f>
        <v/>
      </c>
      <c r="C2213" s="67" t="str">
        <f>ASTemp!C2213</f>
        <v/>
      </c>
      <c r="D2213" s="68" t="str">
        <f>ASTemp!D2213</f>
        <v/>
      </c>
      <c r="E2213" s="65" t="str">
        <f>ASTemp!E2213</f>
        <v/>
      </c>
      <c r="F2213" s="69" t="str">
        <f>TEXT(ASTemp!F2213,Decimals)</f>
        <v/>
      </c>
      <c r="G2213" s="69" t="str">
        <f>TEXT(ASTemp!G2213,Decimals)</f>
        <v/>
      </c>
      <c r="H2213" s="69" t="str">
        <f>TEXT(ASTemp!H2213,Decimals)</f>
        <v/>
      </c>
      <c r="I2213" s="69" t="str">
        <f>TEXT(ASTemp!I2213,Decimals)</f>
        <v/>
      </c>
      <c r="J2213" s="69" t="str">
        <f>TEXT(ASTemp!J2213,Decimals)</f>
        <v/>
      </c>
      <c r="K2213" s="69" t="str">
        <f>TEXT(ASTemp!K2213,Decimals)</f>
        <v/>
      </c>
      <c r="L2213" s="69" t="str">
        <f>TEXT(ASTemp!L2213,Decimals)</f>
        <v/>
      </c>
      <c r="M2213" s="71" t="str">
        <f>TEXT(ASTemp!M2213,Percentages)</f>
        <v/>
      </c>
      <c r="N2213" s="72" t="str">
        <f>TEXT(ASTemp!N2213,Percentages)</f>
        <v/>
      </c>
    </row>
    <row r="2214" ht="14.25" customHeight="1">
      <c r="B2214" s="66" t="str">
        <f>ASTemp!B2214</f>
        <v/>
      </c>
      <c r="C2214" s="67" t="str">
        <f>ASTemp!C2214</f>
        <v/>
      </c>
      <c r="D2214" s="68" t="str">
        <f>ASTemp!D2214</f>
        <v/>
      </c>
      <c r="E2214" s="65" t="str">
        <f>ASTemp!E2214</f>
        <v/>
      </c>
      <c r="F2214" s="69" t="str">
        <f>TEXT(ASTemp!F2214,Decimals)</f>
        <v/>
      </c>
      <c r="G2214" s="69" t="str">
        <f>TEXT(ASTemp!G2214,Decimals)</f>
        <v/>
      </c>
      <c r="H2214" s="69" t="str">
        <f>TEXT(ASTemp!H2214,Decimals)</f>
        <v/>
      </c>
      <c r="I2214" s="69" t="str">
        <f>TEXT(ASTemp!I2214,Decimals)</f>
        <v/>
      </c>
      <c r="J2214" s="69" t="str">
        <f>TEXT(ASTemp!J2214,Decimals)</f>
        <v/>
      </c>
      <c r="K2214" s="69" t="str">
        <f>TEXT(ASTemp!K2214,Decimals)</f>
        <v/>
      </c>
      <c r="L2214" s="69" t="str">
        <f>TEXT(ASTemp!L2214,Decimals)</f>
        <v/>
      </c>
      <c r="M2214" s="71" t="str">
        <f>TEXT(ASTemp!M2214,Percentages)</f>
        <v/>
      </c>
      <c r="N2214" s="72" t="str">
        <f>TEXT(ASTemp!N2214,Percentages)</f>
        <v/>
      </c>
    </row>
    <row r="2215" ht="14.25" customHeight="1">
      <c r="B2215" s="66" t="str">
        <f>ASTemp!B2215</f>
        <v/>
      </c>
      <c r="C2215" s="67" t="str">
        <f>ASTemp!C2215</f>
        <v/>
      </c>
      <c r="D2215" s="68" t="str">
        <f>ASTemp!D2215</f>
        <v/>
      </c>
      <c r="E2215" s="65" t="str">
        <f>ASTemp!E2215</f>
        <v/>
      </c>
      <c r="F2215" s="69" t="str">
        <f>TEXT(ASTemp!F2215,Decimals)</f>
        <v/>
      </c>
      <c r="G2215" s="69" t="str">
        <f>TEXT(ASTemp!G2215,Decimals)</f>
        <v/>
      </c>
      <c r="H2215" s="69" t="str">
        <f>TEXT(ASTemp!H2215,Decimals)</f>
        <v/>
      </c>
      <c r="I2215" s="69" t="str">
        <f>TEXT(ASTemp!I2215,Decimals)</f>
        <v/>
      </c>
      <c r="J2215" s="69" t="str">
        <f>TEXT(ASTemp!J2215,Decimals)</f>
        <v/>
      </c>
      <c r="K2215" s="69" t="str">
        <f>TEXT(ASTemp!K2215,Decimals)</f>
        <v/>
      </c>
      <c r="L2215" s="69" t="str">
        <f>TEXT(ASTemp!L2215,Decimals)</f>
        <v/>
      </c>
      <c r="M2215" s="71" t="str">
        <f>TEXT(ASTemp!M2215,Percentages)</f>
        <v/>
      </c>
      <c r="N2215" s="72" t="str">
        <f>TEXT(ASTemp!N2215,Percentages)</f>
        <v/>
      </c>
    </row>
    <row r="2216" ht="14.25" customHeight="1">
      <c r="B2216" s="66" t="str">
        <f>ASTemp!B2216</f>
        <v/>
      </c>
      <c r="C2216" s="67" t="str">
        <f>ASTemp!C2216</f>
        <v/>
      </c>
      <c r="D2216" s="68" t="str">
        <f>ASTemp!D2216</f>
        <v/>
      </c>
      <c r="E2216" s="65" t="str">
        <f>ASTemp!E2216</f>
        <v/>
      </c>
      <c r="F2216" s="69" t="str">
        <f>TEXT(ASTemp!F2216,Decimals)</f>
        <v/>
      </c>
      <c r="G2216" s="69" t="str">
        <f>TEXT(ASTemp!G2216,Decimals)</f>
        <v/>
      </c>
      <c r="H2216" s="69" t="str">
        <f>TEXT(ASTemp!H2216,Decimals)</f>
        <v/>
      </c>
      <c r="I2216" s="69" t="str">
        <f>TEXT(ASTemp!I2216,Decimals)</f>
        <v/>
      </c>
      <c r="J2216" s="69" t="str">
        <f>TEXT(ASTemp!J2216,Decimals)</f>
        <v/>
      </c>
      <c r="K2216" s="69" t="str">
        <f>TEXT(ASTemp!K2216,Decimals)</f>
        <v/>
      </c>
      <c r="L2216" s="69" t="str">
        <f>TEXT(ASTemp!L2216,Decimals)</f>
        <v/>
      </c>
      <c r="M2216" s="71" t="str">
        <f>TEXT(ASTemp!M2216,Percentages)</f>
        <v/>
      </c>
      <c r="N2216" s="72" t="str">
        <f>TEXT(ASTemp!N2216,Percentages)</f>
        <v/>
      </c>
    </row>
    <row r="2217" ht="14.25" customHeight="1">
      <c r="B2217" s="66" t="str">
        <f>ASTemp!B2217</f>
        <v/>
      </c>
      <c r="C2217" s="67" t="str">
        <f>ASTemp!C2217</f>
        <v/>
      </c>
      <c r="D2217" s="68" t="str">
        <f>ASTemp!D2217</f>
        <v/>
      </c>
      <c r="E2217" s="65" t="str">
        <f>ASTemp!E2217</f>
        <v/>
      </c>
      <c r="F2217" s="69" t="str">
        <f>TEXT(ASTemp!F2217,Decimals)</f>
        <v/>
      </c>
      <c r="G2217" s="69" t="str">
        <f>TEXT(ASTemp!G2217,Decimals)</f>
        <v/>
      </c>
      <c r="H2217" s="69" t="str">
        <f>TEXT(ASTemp!H2217,Decimals)</f>
        <v/>
      </c>
      <c r="I2217" s="69" t="str">
        <f>TEXT(ASTemp!I2217,Decimals)</f>
        <v/>
      </c>
      <c r="J2217" s="69" t="str">
        <f>TEXT(ASTemp!J2217,Decimals)</f>
        <v/>
      </c>
      <c r="K2217" s="69" t="str">
        <f>TEXT(ASTemp!K2217,Decimals)</f>
        <v/>
      </c>
      <c r="L2217" s="69" t="str">
        <f>TEXT(ASTemp!L2217,Decimals)</f>
        <v/>
      </c>
      <c r="M2217" s="71" t="str">
        <f>TEXT(ASTemp!M2217,Percentages)</f>
        <v/>
      </c>
      <c r="N2217" s="72" t="str">
        <f>TEXT(ASTemp!N2217,Percentages)</f>
        <v/>
      </c>
    </row>
    <row r="2218" ht="14.25" customHeight="1">
      <c r="B2218" s="66" t="str">
        <f>ASTemp!B2218</f>
        <v/>
      </c>
      <c r="C2218" s="67" t="str">
        <f>ASTemp!C2218</f>
        <v/>
      </c>
      <c r="D2218" s="68" t="str">
        <f>ASTemp!D2218</f>
        <v/>
      </c>
      <c r="E2218" s="65" t="str">
        <f>ASTemp!E2218</f>
        <v/>
      </c>
      <c r="F2218" s="69" t="str">
        <f>TEXT(ASTemp!F2218,Decimals)</f>
        <v/>
      </c>
      <c r="G2218" s="69" t="str">
        <f>TEXT(ASTemp!G2218,Decimals)</f>
        <v/>
      </c>
      <c r="H2218" s="69" t="str">
        <f>TEXT(ASTemp!H2218,Decimals)</f>
        <v/>
      </c>
      <c r="I2218" s="69" t="str">
        <f>TEXT(ASTemp!I2218,Decimals)</f>
        <v/>
      </c>
      <c r="J2218" s="69" t="str">
        <f>TEXT(ASTemp!J2218,Decimals)</f>
        <v/>
      </c>
      <c r="K2218" s="69" t="str">
        <f>TEXT(ASTemp!K2218,Decimals)</f>
        <v/>
      </c>
      <c r="L2218" s="69" t="str">
        <f>TEXT(ASTemp!L2218,Decimals)</f>
        <v/>
      </c>
      <c r="M2218" s="71" t="str">
        <f>TEXT(ASTemp!M2218,Percentages)</f>
        <v/>
      </c>
      <c r="N2218" s="72" t="str">
        <f>TEXT(ASTemp!N2218,Percentages)</f>
        <v/>
      </c>
    </row>
    <row r="2219" ht="14.25" customHeight="1">
      <c r="B2219" s="66" t="str">
        <f>ASTemp!B2219</f>
        <v/>
      </c>
      <c r="C2219" s="67" t="str">
        <f>ASTemp!C2219</f>
        <v/>
      </c>
      <c r="D2219" s="68" t="str">
        <f>ASTemp!D2219</f>
        <v/>
      </c>
      <c r="E2219" s="65" t="str">
        <f>ASTemp!E2219</f>
        <v/>
      </c>
      <c r="F2219" s="69" t="str">
        <f>TEXT(ASTemp!F2219,Decimals)</f>
        <v/>
      </c>
      <c r="G2219" s="69" t="str">
        <f>TEXT(ASTemp!G2219,Decimals)</f>
        <v/>
      </c>
      <c r="H2219" s="69" t="str">
        <f>TEXT(ASTemp!H2219,Decimals)</f>
        <v/>
      </c>
      <c r="I2219" s="69" t="str">
        <f>TEXT(ASTemp!I2219,Decimals)</f>
        <v/>
      </c>
      <c r="J2219" s="69" t="str">
        <f>TEXT(ASTemp!J2219,Decimals)</f>
        <v/>
      </c>
      <c r="K2219" s="69" t="str">
        <f>TEXT(ASTemp!K2219,Decimals)</f>
        <v/>
      </c>
      <c r="L2219" s="69" t="str">
        <f>TEXT(ASTemp!L2219,Decimals)</f>
        <v/>
      </c>
      <c r="M2219" s="71" t="str">
        <f>TEXT(ASTemp!M2219,Percentages)</f>
        <v/>
      </c>
      <c r="N2219" s="72" t="str">
        <f>TEXT(ASTemp!N2219,Percentages)</f>
        <v/>
      </c>
    </row>
    <row r="2220" ht="14.25" customHeight="1">
      <c r="B2220" s="66" t="str">
        <f>ASTemp!B2220</f>
        <v/>
      </c>
      <c r="C2220" s="67" t="str">
        <f>ASTemp!C2220</f>
        <v/>
      </c>
      <c r="D2220" s="68" t="str">
        <f>ASTemp!D2220</f>
        <v/>
      </c>
      <c r="E2220" s="65" t="str">
        <f>ASTemp!E2220</f>
        <v/>
      </c>
      <c r="F2220" s="69" t="str">
        <f>TEXT(ASTemp!F2220,Decimals)</f>
        <v/>
      </c>
      <c r="G2220" s="69" t="str">
        <f>TEXT(ASTemp!G2220,Decimals)</f>
        <v/>
      </c>
      <c r="H2220" s="69" t="str">
        <f>TEXT(ASTemp!H2220,Decimals)</f>
        <v/>
      </c>
      <c r="I2220" s="69" t="str">
        <f>TEXT(ASTemp!I2220,Decimals)</f>
        <v/>
      </c>
      <c r="J2220" s="69" t="str">
        <f>TEXT(ASTemp!J2220,Decimals)</f>
        <v/>
      </c>
      <c r="K2220" s="69" t="str">
        <f>TEXT(ASTemp!K2220,Decimals)</f>
        <v/>
      </c>
      <c r="L2220" s="69" t="str">
        <f>TEXT(ASTemp!L2220,Decimals)</f>
        <v/>
      </c>
      <c r="M2220" s="71" t="str">
        <f>TEXT(ASTemp!M2220,Percentages)</f>
        <v/>
      </c>
      <c r="N2220" s="72" t="str">
        <f>TEXT(ASTemp!N2220,Percentages)</f>
        <v/>
      </c>
    </row>
    <row r="2221" ht="14.25" customHeight="1">
      <c r="B2221" s="66" t="str">
        <f>ASTemp!B2221</f>
        <v/>
      </c>
      <c r="C2221" s="67" t="str">
        <f>ASTemp!C2221</f>
        <v/>
      </c>
      <c r="D2221" s="68" t="str">
        <f>ASTemp!D2221</f>
        <v/>
      </c>
      <c r="E2221" s="65" t="str">
        <f>ASTemp!E2221</f>
        <v/>
      </c>
      <c r="F2221" s="69" t="str">
        <f>TEXT(ASTemp!F2221,Decimals)</f>
        <v/>
      </c>
      <c r="G2221" s="69" t="str">
        <f>TEXT(ASTemp!G2221,Decimals)</f>
        <v/>
      </c>
      <c r="H2221" s="69" t="str">
        <f>TEXT(ASTemp!H2221,Decimals)</f>
        <v/>
      </c>
      <c r="I2221" s="69" t="str">
        <f>TEXT(ASTemp!I2221,Decimals)</f>
        <v/>
      </c>
      <c r="J2221" s="69" t="str">
        <f>TEXT(ASTemp!J2221,Decimals)</f>
        <v/>
      </c>
      <c r="K2221" s="69" t="str">
        <f>TEXT(ASTemp!K2221,Decimals)</f>
        <v/>
      </c>
      <c r="L2221" s="69" t="str">
        <f>TEXT(ASTemp!L2221,Decimals)</f>
        <v/>
      </c>
      <c r="M2221" s="71" t="str">
        <f>TEXT(ASTemp!M2221,Percentages)</f>
        <v/>
      </c>
      <c r="N2221" s="72" t="str">
        <f>TEXT(ASTemp!N2221,Percentages)</f>
        <v/>
      </c>
    </row>
    <row r="2222" ht="14.25" customHeight="1">
      <c r="B2222" s="66" t="str">
        <f>ASTemp!B2222</f>
        <v/>
      </c>
      <c r="C2222" s="67" t="str">
        <f>ASTemp!C2222</f>
        <v/>
      </c>
      <c r="D2222" s="68" t="str">
        <f>ASTemp!D2222</f>
        <v/>
      </c>
      <c r="E2222" s="65" t="str">
        <f>ASTemp!E2222</f>
        <v/>
      </c>
      <c r="F2222" s="69" t="str">
        <f>TEXT(ASTemp!F2222,Decimals)</f>
        <v/>
      </c>
      <c r="G2222" s="69" t="str">
        <f>TEXT(ASTemp!G2222,Decimals)</f>
        <v/>
      </c>
      <c r="H2222" s="69" t="str">
        <f>TEXT(ASTemp!H2222,Decimals)</f>
        <v/>
      </c>
      <c r="I2222" s="69" t="str">
        <f>TEXT(ASTemp!I2222,Decimals)</f>
        <v/>
      </c>
      <c r="J2222" s="69" t="str">
        <f>TEXT(ASTemp!J2222,Decimals)</f>
        <v/>
      </c>
      <c r="K2222" s="69" t="str">
        <f>TEXT(ASTemp!K2222,Decimals)</f>
        <v/>
      </c>
      <c r="L2222" s="69" t="str">
        <f>TEXT(ASTemp!L2222,Decimals)</f>
        <v/>
      </c>
      <c r="M2222" s="71" t="str">
        <f>TEXT(ASTemp!M2222,Percentages)</f>
        <v/>
      </c>
      <c r="N2222" s="72" t="str">
        <f>TEXT(ASTemp!N2222,Percentages)</f>
        <v/>
      </c>
    </row>
    <row r="2223" ht="14.25" customHeight="1">
      <c r="B2223" s="66" t="str">
        <f>ASTemp!B2223</f>
        <v/>
      </c>
      <c r="C2223" s="67" t="str">
        <f>ASTemp!C2223</f>
        <v/>
      </c>
      <c r="D2223" s="68" t="str">
        <f>ASTemp!D2223</f>
        <v/>
      </c>
      <c r="E2223" s="65" t="str">
        <f>ASTemp!E2223</f>
        <v/>
      </c>
      <c r="F2223" s="69" t="str">
        <f>TEXT(ASTemp!F2223,Decimals)</f>
        <v/>
      </c>
      <c r="G2223" s="69" t="str">
        <f>TEXT(ASTemp!G2223,Decimals)</f>
        <v/>
      </c>
      <c r="H2223" s="69" t="str">
        <f>TEXT(ASTemp!H2223,Decimals)</f>
        <v/>
      </c>
      <c r="I2223" s="69" t="str">
        <f>TEXT(ASTemp!I2223,Decimals)</f>
        <v/>
      </c>
      <c r="J2223" s="69" t="str">
        <f>TEXT(ASTemp!J2223,Decimals)</f>
        <v/>
      </c>
      <c r="K2223" s="69" t="str">
        <f>TEXT(ASTemp!K2223,Decimals)</f>
        <v/>
      </c>
      <c r="L2223" s="69" t="str">
        <f>TEXT(ASTemp!L2223,Decimals)</f>
        <v/>
      </c>
      <c r="M2223" s="71" t="str">
        <f>TEXT(ASTemp!M2223,Percentages)</f>
        <v/>
      </c>
      <c r="N2223" s="72" t="str">
        <f>TEXT(ASTemp!N2223,Percentages)</f>
        <v/>
      </c>
    </row>
    <row r="2224" ht="14.25" customHeight="1">
      <c r="B2224" s="66" t="str">
        <f>ASTemp!B2224</f>
        <v/>
      </c>
      <c r="C2224" s="67" t="str">
        <f>ASTemp!C2224</f>
        <v/>
      </c>
      <c r="D2224" s="68" t="str">
        <f>ASTemp!D2224</f>
        <v/>
      </c>
      <c r="E2224" s="65" t="str">
        <f>ASTemp!E2224</f>
        <v/>
      </c>
      <c r="F2224" s="69" t="str">
        <f>TEXT(ASTemp!F2224,Decimals)</f>
        <v/>
      </c>
      <c r="G2224" s="69" t="str">
        <f>TEXT(ASTemp!G2224,Decimals)</f>
        <v/>
      </c>
      <c r="H2224" s="69" t="str">
        <f>TEXT(ASTemp!H2224,Decimals)</f>
        <v/>
      </c>
      <c r="I2224" s="69" t="str">
        <f>TEXT(ASTemp!I2224,Decimals)</f>
        <v/>
      </c>
      <c r="J2224" s="69" t="str">
        <f>TEXT(ASTemp!J2224,Decimals)</f>
        <v/>
      </c>
      <c r="K2224" s="69" t="str">
        <f>TEXT(ASTemp!K2224,Decimals)</f>
        <v/>
      </c>
      <c r="L2224" s="69" t="str">
        <f>TEXT(ASTemp!L2224,Decimals)</f>
        <v/>
      </c>
      <c r="M2224" s="71" t="str">
        <f>TEXT(ASTemp!M2224,Percentages)</f>
        <v/>
      </c>
      <c r="N2224" s="72" t="str">
        <f>TEXT(ASTemp!N2224,Percentages)</f>
        <v/>
      </c>
    </row>
    <row r="2225" ht="14.25" customHeight="1">
      <c r="B2225" s="66" t="str">
        <f>ASTemp!B2225</f>
        <v/>
      </c>
      <c r="C2225" s="67" t="str">
        <f>ASTemp!C2225</f>
        <v/>
      </c>
      <c r="D2225" s="68" t="str">
        <f>ASTemp!D2225</f>
        <v/>
      </c>
      <c r="E2225" s="65" t="str">
        <f>ASTemp!E2225</f>
        <v/>
      </c>
      <c r="F2225" s="69" t="str">
        <f>TEXT(ASTemp!F2225,Decimals)</f>
        <v/>
      </c>
      <c r="G2225" s="69" t="str">
        <f>TEXT(ASTemp!G2225,Decimals)</f>
        <v/>
      </c>
      <c r="H2225" s="69" t="str">
        <f>TEXT(ASTemp!H2225,Decimals)</f>
        <v/>
      </c>
      <c r="I2225" s="69" t="str">
        <f>TEXT(ASTemp!I2225,Decimals)</f>
        <v/>
      </c>
      <c r="J2225" s="69" t="str">
        <f>TEXT(ASTemp!J2225,Decimals)</f>
        <v/>
      </c>
      <c r="K2225" s="69" t="str">
        <f>TEXT(ASTemp!K2225,Decimals)</f>
        <v/>
      </c>
      <c r="L2225" s="69" t="str">
        <f>TEXT(ASTemp!L2225,Decimals)</f>
        <v/>
      </c>
      <c r="M2225" s="71" t="str">
        <f>TEXT(ASTemp!M2225,Percentages)</f>
        <v/>
      </c>
      <c r="N2225" s="72" t="str">
        <f>TEXT(ASTemp!N2225,Percentages)</f>
        <v/>
      </c>
    </row>
    <row r="2226" ht="14.25" customHeight="1">
      <c r="B2226" s="66" t="str">
        <f>ASTemp!B2226</f>
        <v/>
      </c>
      <c r="C2226" s="67" t="str">
        <f>ASTemp!C2226</f>
        <v/>
      </c>
      <c r="D2226" s="68" t="str">
        <f>ASTemp!D2226</f>
        <v/>
      </c>
      <c r="E2226" s="65" t="str">
        <f>ASTemp!E2226</f>
        <v/>
      </c>
      <c r="F2226" s="69" t="str">
        <f>TEXT(ASTemp!F2226,Decimals)</f>
        <v/>
      </c>
      <c r="G2226" s="69" t="str">
        <f>TEXT(ASTemp!G2226,Decimals)</f>
        <v/>
      </c>
      <c r="H2226" s="69" t="str">
        <f>TEXT(ASTemp!H2226,Decimals)</f>
        <v/>
      </c>
      <c r="I2226" s="69" t="str">
        <f>TEXT(ASTemp!I2226,Decimals)</f>
        <v/>
      </c>
      <c r="J2226" s="69" t="str">
        <f>TEXT(ASTemp!J2226,Decimals)</f>
        <v/>
      </c>
      <c r="K2226" s="69" t="str">
        <f>TEXT(ASTemp!K2226,Decimals)</f>
        <v/>
      </c>
      <c r="L2226" s="69" t="str">
        <f>TEXT(ASTemp!L2226,Decimals)</f>
        <v/>
      </c>
      <c r="M2226" s="71" t="str">
        <f>TEXT(ASTemp!M2226,Percentages)</f>
        <v/>
      </c>
      <c r="N2226" s="72" t="str">
        <f>TEXT(ASTemp!N2226,Percentages)</f>
        <v/>
      </c>
    </row>
    <row r="2227" ht="14.25" customHeight="1">
      <c r="B2227" s="66" t="str">
        <f>ASTemp!B2227</f>
        <v/>
      </c>
      <c r="C2227" s="67" t="str">
        <f>ASTemp!C2227</f>
        <v/>
      </c>
      <c r="D2227" s="68" t="str">
        <f>ASTemp!D2227</f>
        <v/>
      </c>
      <c r="E2227" s="65" t="str">
        <f>ASTemp!E2227</f>
        <v/>
      </c>
      <c r="F2227" s="69" t="str">
        <f>TEXT(ASTemp!F2227,Decimals)</f>
        <v/>
      </c>
      <c r="G2227" s="69" t="str">
        <f>TEXT(ASTemp!G2227,Decimals)</f>
        <v/>
      </c>
      <c r="H2227" s="69" t="str">
        <f>TEXT(ASTemp!H2227,Decimals)</f>
        <v/>
      </c>
      <c r="I2227" s="69" t="str">
        <f>TEXT(ASTemp!I2227,Decimals)</f>
        <v/>
      </c>
      <c r="J2227" s="69" t="str">
        <f>TEXT(ASTemp!J2227,Decimals)</f>
        <v/>
      </c>
      <c r="K2227" s="69" t="str">
        <f>TEXT(ASTemp!K2227,Decimals)</f>
        <v/>
      </c>
      <c r="L2227" s="69" t="str">
        <f>TEXT(ASTemp!L2227,Decimals)</f>
        <v/>
      </c>
      <c r="M2227" s="71" t="str">
        <f>TEXT(ASTemp!M2227,Percentages)</f>
        <v/>
      </c>
      <c r="N2227" s="72" t="str">
        <f>TEXT(ASTemp!N2227,Percentages)</f>
        <v/>
      </c>
    </row>
    <row r="2228" ht="14.25" customHeight="1">
      <c r="B2228" s="66" t="str">
        <f>ASTemp!B2228</f>
        <v/>
      </c>
      <c r="C2228" s="67" t="str">
        <f>ASTemp!C2228</f>
        <v/>
      </c>
      <c r="D2228" s="68" t="str">
        <f>ASTemp!D2228</f>
        <v/>
      </c>
      <c r="E2228" s="65" t="str">
        <f>ASTemp!E2228</f>
        <v/>
      </c>
      <c r="F2228" s="69" t="str">
        <f>TEXT(ASTemp!F2228,Decimals)</f>
        <v/>
      </c>
      <c r="G2228" s="69" t="str">
        <f>TEXT(ASTemp!G2228,Decimals)</f>
        <v/>
      </c>
      <c r="H2228" s="69" t="str">
        <f>TEXT(ASTemp!H2228,Decimals)</f>
        <v/>
      </c>
      <c r="I2228" s="69" t="str">
        <f>TEXT(ASTemp!I2228,Decimals)</f>
        <v/>
      </c>
      <c r="J2228" s="69" t="str">
        <f>TEXT(ASTemp!J2228,Decimals)</f>
        <v/>
      </c>
      <c r="K2228" s="69" t="str">
        <f>TEXT(ASTemp!K2228,Decimals)</f>
        <v/>
      </c>
      <c r="L2228" s="69" t="str">
        <f>TEXT(ASTemp!L2228,Decimals)</f>
        <v/>
      </c>
      <c r="M2228" s="71" t="str">
        <f>TEXT(ASTemp!M2228,Percentages)</f>
        <v/>
      </c>
      <c r="N2228" s="72" t="str">
        <f>TEXT(ASTemp!N2228,Percentages)</f>
        <v/>
      </c>
    </row>
    <row r="2229" ht="14.25" customHeight="1">
      <c r="B2229" s="66" t="str">
        <f>ASTemp!B2229</f>
        <v/>
      </c>
      <c r="C2229" s="67" t="str">
        <f>ASTemp!C2229</f>
        <v/>
      </c>
      <c r="D2229" s="68" t="str">
        <f>ASTemp!D2229</f>
        <v/>
      </c>
      <c r="E2229" s="65" t="str">
        <f>ASTemp!E2229</f>
        <v/>
      </c>
      <c r="F2229" s="69" t="str">
        <f>TEXT(ASTemp!F2229,Decimals)</f>
        <v/>
      </c>
      <c r="G2229" s="69" t="str">
        <f>TEXT(ASTemp!G2229,Decimals)</f>
        <v/>
      </c>
      <c r="H2229" s="69" t="str">
        <f>TEXT(ASTemp!H2229,Decimals)</f>
        <v/>
      </c>
      <c r="I2229" s="69" t="str">
        <f>TEXT(ASTemp!I2229,Decimals)</f>
        <v/>
      </c>
      <c r="J2229" s="69" t="str">
        <f>TEXT(ASTemp!J2229,Decimals)</f>
        <v/>
      </c>
      <c r="K2229" s="69" t="str">
        <f>TEXT(ASTemp!K2229,Decimals)</f>
        <v/>
      </c>
      <c r="L2229" s="69" t="str">
        <f>TEXT(ASTemp!L2229,Decimals)</f>
        <v/>
      </c>
      <c r="M2229" s="71" t="str">
        <f>TEXT(ASTemp!M2229,Percentages)</f>
        <v/>
      </c>
      <c r="N2229" s="72" t="str">
        <f>TEXT(ASTemp!N2229,Percentages)</f>
        <v/>
      </c>
    </row>
    <row r="2230" ht="14.25" customHeight="1">
      <c r="B2230" s="66" t="str">
        <f>ASTemp!B2230</f>
        <v/>
      </c>
      <c r="C2230" s="67" t="str">
        <f>ASTemp!C2230</f>
        <v/>
      </c>
      <c r="D2230" s="68" t="str">
        <f>ASTemp!D2230</f>
        <v/>
      </c>
      <c r="E2230" s="65" t="str">
        <f>ASTemp!E2230</f>
        <v/>
      </c>
      <c r="F2230" s="69" t="str">
        <f>TEXT(ASTemp!F2230,Decimals)</f>
        <v/>
      </c>
      <c r="G2230" s="69" t="str">
        <f>TEXT(ASTemp!G2230,Decimals)</f>
        <v/>
      </c>
      <c r="H2230" s="69" t="str">
        <f>TEXT(ASTemp!H2230,Decimals)</f>
        <v/>
      </c>
      <c r="I2230" s="69" t="str">
        <f>TEXT(ASTemp!I2230,Decimals)</f>
        <v/>
      </c>
      <c r="J2230" s="69" t="str">
        <f>TEXT(ASTemp!J2230,Decimals)</f>
        <v/>
      </c>
      <c r="K2230" s="69" t="str">
        <f>TEXT(ASTemp!K2230,Decimals)</f>
        <v/>
      </c>
      <c r="L2230" s="69" t="str">
        <f>TEXT(ASTemp!L2230,Decimals)</f>
        <v/>
      </c>
      <c r="M2230" s="71" t="str">
        <f>TEXT(ASTemp!M2230,Percentages)</f>
        <v/>
      </c>
      <c r="N2230" s="72" t="str">
        <f>TEXT(ASTemp!N2230,Percentages)</f>
        <v/>
      </c>
    </row>
    <row r="2231" ht="14.25" customHeight="1">
      <c r="B2231" s="66" t="str">
        <f>ASTemp!B2231</f>
        <v/>
      </c>
      <c r="C2231" s="67" t="str">
        <f>ASTemp!C2231</f>
        <v/>
      </c>
      <c r="D2231" s="68" t="str">
        <f>ASTemp!D2231</f>
        <v/>
      </c>
      <c r="E2231" s="65" t="str">
        <f>ASTemp!E2231</f>
        <v/>
      </c>
      <c r="F2231" s="69" t="str">
        <f>TEXT(ASTemp!F2231,Decimals)</f>
        <v/>
      </c>
      <c r="G2231" s="69" t="str">
        <f>TEXT(ASTemp!G2231,Decimals)</f>
        <v/>
      </c>
      <c r="H2231" s="69" t="str">
        <f>TEXT(ASTemp!H2231,Decimals)</f>
        <v/>
      </c>
      <c r="I2231" s="69" t="str">
        <f>TEXT(ASTemp!I2231,Decimals)</f>
        <v/>
      </c>
      <c r="J2231" s="69" t="str">
        <f>TEXT(ASTemp!J2231,Decimals)</f>
        <v/>
      </c>
      <c r="K2231" s="69" t="str">
        <f>TEXT(ASTemp!K2231,Decimals)</f>
        <v/>
      </c>
      <c r="L2231" s="69" t="str">
        <f>TEXT(ASTemp!L2231,Decimals)</f>
        <v/>
      </c>
      <c r="M2231" s="71" t="str">
        <f>TEXT(ASTemp!M2231,Percentages)</f>
        <v/>
      </c>
      <c r="N2231" s="72" t="str">
        <f>TEXT(ASTemp!N2231,Percentages)</f>
        <v/>
      </c>
    </row>
    <row r="2232" ht="14.25" customHeight="1">
      <c r="B2232" s="66" t="str">
        <f>ASTemp!B2232</f>
        <v/>
      </c>
      <c r="C2232" s="67" t="str">
        <f>ASTemp!C2232</f>
        <v/>
      </c>
      <c r="D2232" s="68" t="str">
        <f>ASTemp!D2232</f>
        <v/>
      </c>
      <c r="E2232" s="65" t="str">
        <f>ASTemp!E2232</f>
        <v/>
      </c>
      <c r="F2232" s="69" t="str">
        <f>TEXT(ASTemp!F2232,Decimals)</f>
        <v/>
      </c>
      <c r="G2232" s="69" t="str">
        <f>TEXT(ASTemp!G2232,Decimals)</f>
        <v/>
      </c>
      <c r="H2232" s="69" t="str">
        <f>TEXT(ASTemp!H2232,Decimals)</f>
        <v/>
      </c>
      <c r="I2232" s="69" t="str">
        <f>TEXT(ASTemp!I2232,Decimals)</f>
        <v/>
      </c>
      <c r="J2232" s="69" t="str">
        <f>TEXT(ASTemp!J2232,Decimals)</f>
        <v/>
      </c>
      <c r="K2232" s="69" t="str">
        <f>TEXT(ASTemp!K2232,Decimals)</f>
        <v/>
      </c>
      <c r="L2232" s="69" t="str">
        <f>TEXT(ASTemp!L2232,Decimals)</f>
        <v/>
      </c>
      <c r="M2232" s="71" t="str">
        <f>TEXT(ASTemp!M2232,Percentages)</f>
        <v/>
      </c>
      <c r="N2232" s="72" t="str">
        <f>TEXT(ASTemp!N2232,Percentages)</f>
        <v/>
      </c>
    </row>
    <row r="2233" ht="14.25" customHeight="1">
      <c r="B2233" s="66" t="str">
        <f>ASTemp!B2233</f>
        <v/>
      </c>
      <c r="C2233" s="67" t="str">
        <f>ASTemp!C2233</f>
        <v/>
      </c>
      <c r="D2233" s="68" t="str">
        <f>ASTemp!D2233</f>
        <v/>
      </c>
      <c r="E2233" s="65" t="str">
        <f>ASTemp!E2233</f>
        <v/>
      </c>
      <c r="F2233" s="69" t="str">
        <f>TEXT(ASTemp!F2233,Decimals)</f>
        <v/>
      </c>
      <c r="G2233" s="69" t="str">
        <f>TEXT(ASTemp!G2233,Decimals)</f>
        <v/>
      </c>
      <c r="H2233" s="69" t="str">
        <f>TEXT(ASTemp!H2233,Decimals)</f>
        <v/>
      </c>
      <c r="I2233" s="69" t="str">
        <f>TEXT(ASTemp!I2233,Decimals)</f>
        <v/>
      </c>
      <c r="J2233" s="69" t="str">
        <f>TEXT(ASTemp!J2233,Decimals)</f>
        <v/>
      </c>
      <c r="K2233" s="69" t="str">
        <f>TEXT(ASTemp!K2233,Decimals)</f>
        <v/>
      </c>
      <c r="L2233" s="69" t="str">
        <f>TEXT(ASTemp!L2233,Decimals)</f>
        <v/>
      </c>
      <c r="M2233" s="71" t="str">
        <f>TEXT(ASTemp!M2233,Percentages)</f>
        <v/>
      </c>
      <c r="N2233" s="72" t="str">
        <f>TEXT(ASTemp!N2233,Percentages)</f>
        <v/>
      </c>
    </row>
    <row r="2234" ht="14.25" customHeight="1">
      <c r="B2234" s="66" t="str">
        <f>ASTemp!B2234</f>
        <v/>
      </c>
      <c r="C2234" s="67" t="str">
        <f>ASTemp!C2234</f>
        <v/>
      </c>
      <c r="D2234" s="68" t="str">
        <f>ASTemp!D2234</f>
        <v/>
      </c>
      <c r="E2234" s="65" t="str">
        <f>ASTemp!E2234</f>
        <v/>
      </c>
      <c r="F2234" s="69" t="str">
        <f>TEXT(ASTemp!F2234,Decimals)</f>
        <v/>
      </c>
      <c r="G2234" s="69" t="str">
        <f>TEXT(ASTemp!G2234,Decimals)</f>
        <v/>
      </c>
      <c r="H2234" s="69" t="str">
        <f>TEXT(ASTemp!H2234,Decimals)</f>
        <v/>
      </c>
      <c r="I2234" s="69" t="str">
        <f>TEXT(ASTemp!I2234,Decimals)</f>
        <v/>
      </c>
      <c r="J2234" s="69" t="str">
        <f>TEXT(ASTemp!J2234,Decimals)</f>
        <v/>
      </c>
      <c r="K2234" s="69" t="str">
        <f>TEXT(ASTemp!K2234,Decimals)</f>
        <v/>
      </c>
      <c r="L2234" s="69" t="str">
        <f>TEXT(ASTemp!L2234,Decimals)</f>
        <v/>
      </c>
      <c r="M2234" s="71" t="str">
        <f>TEXT(ASTemp!M2234,Percentages)</f>
        <v/>
      </c>
      <c r="N2234" s="72" t="str">
        <f>TEXT(ASTemp!N2234,Percentages)</f>
        <v/>
      </c>
    </row>
    <row r="2235" ht="14.25" customHeight="1">
      <c r="B2235" s="66" t="str">
        <f>ASTemp!B2235</f>
        <v/>
      </c>
      <c r="C2235" s="67" t="str">
        <f>ASTemp!C2235</f>
        <v/>
      </c>
      <c r="D2235" s="68" t="str">
        <f>ASTemp!D2235</f>
        <v/>
      </c>
      <c r="E2235" s="65" t="str">
        <f>ASTemp!E2235</f>
        <v/>
      </c>
      <c r="F2235" s="69" t="str">
        <f>TEXT(ASTemp!F2235,Decimals)</f>
        <v/>
      </c>
      <c r="G2235" s="69" t="str">
        <f>TEXT(ASTemp!G2235,Decimals)</f>
        <v/>
      </c>
      <c r="H2235" s="69" t="str">
        <f>TEXT(ASTemp!H2235,Decimals)</f>
        <v/>
      </c>
      <c r="I2235" s="69" t="str">
        <f>TEXT(ASTemp!I2235,Decimals)</f>
        <v/>
      </c>
      <c r="J2235" s="69" t="str">
        <f>TEXT(ASTemp!J2235,Decimals)</f>
        <v/>
      </c>
      <c r="K2235" s="69" t="str">
        <f>TEXT(ASTemp!K2235,Decimals)</f>
        <v/>
      </c>
      <c r="L2235" s="69" t="str">
        <f>TEXT(ASTemp!L2235,Decimals)</f>
        <v/>
      </c>
      <c r="M2235" s="71" t="str">
        <f>TEXT(ASTemp!M2235,Percentages)</f>
        <v/>
      </c>
      <c r="N2235" s="72" t="str">
        <f>TEXT(ASTemp!N2235,Percentages)</f>
        <v/>
      </c>
    </row>
    <row r="2236" ht="14.25" customHeight="1">
      <c r="B2236" s="66" t="str">
        <f>ASTemp!B2236</f>
        <v/>
      </c>
      <c r="C2236" s="67" t="str">
        <f>ASTemp!C2236</f>
        <v/>
      </c>
      <c r="D2236" s="68" t="str">
        <f>ASTemp!D2236</f>
        <v/>
      </c>
      <c r="E2236" s="65" t="str">
        <f>ASTemp!E2236</f>
        <v/>
      </c>
      <c r="F2236" s="69" t="str">
        <f>TEXT(ASTemp!F2236,Decimals)</f>
        <v/>
      </c>
      <c r="G2236" s="69" t="str">
        <f>TEXT(ASTemp!G2236,Decimals)</f>
        <v/>
      </c>
      <c r="H2236" s="69" t="str">
        <f>TEXT(ASTemp!H2236,Decimals)</f>
        <v/>
      </c>
      <c r="I2236" s="69" t="str">
        <f>TEXT(ASTemp!I2236,Decimals)</f>
        <v/>
      </c>
      <c r="J2236" s="69" t="str">
        <f>TEXT(ASTemp!J2236,Decimals)</f>
        <v/>
      </c>
      <c r="K2236" s="69" t="str">
        <f>TEXT(ASTemp!K2236,Decimals)</f>
        <v/>
      </c>
      <c r="L2236" s="69" t="str">
        <f>TEXT(ASTemp!L2236,Decimals)</f>
        <v/>
      </c>
      <c r="M2236" s="71" t="str">
        <f>TEXT(ASTemp!M2236,Percentages)</f>
        <v/>
      </c>
      <c r="N2236" s="72" t="str">
        <f>TEXT(ASTemp!N2236,Percentages)</f>
        <v/>
      </c>
    </row>
    <row r="2237" ht="14.25" customHeight="1">
      <c r="B2237" s="66" t="str">
        <f>ASTemp!B2237</f>
        <v/>
      </c>
      <c r="C2237" s="67" t="str">
        <f>ASTemp!C2237</f>
        <v/>
      </c>
      <c r="D2237" s="68" t="str">
        <f>ASTemp!D2237</f>
        <v/>
      </c>
      <c r="E2237" s="65" t="str">
        <f>ASTemp!E2237</f>
        <v/>
      </c>
      <c r="F2237" s="69" t="str">
        <f>TEXT(ASTemp!F2237,Decimals)</f>
        <v/>
      </c>
      <c r="G2237" s="69" t="str">
        <f>TEXT(ASTemp!G2237,Decimals)</f>
        <v/>
      </c>
      <c r="H2237" s="69" t="str">
        <f>TEXT(ASTemp!H2237,Decimals)</f>
        <v/>
      </c>
      <c r="I2237" s="69" t="str">
        <f>TEXT(ASTemp!I2237,Decimals)</f>
        <v/>
      </c>
      <c r="J2237" s="69" t="str">
        <f>TEXT(ASTemp!J2237,Decimals)</f>
        <v/>
      </c>
      <c r="K2237" s="69" t="str">
        <f>TEXT(ASTemp!K2237,Decimals)</f>
        <v/>
      </c>
      <c r="L2237" s="69" t="str">
        <f>TEXT(ASTemp!L2237,Decimals)</f>
        <v/>
      </c>
      <c r="M2237" s="71" t="str">
        <f>TEXT(ASTemp!M2237,Percentages)</f>
        <v/>
      </c>
      <c r="N2237" s="72" t="str">
        <f>TEXT(ASTemp!N2237,Percentages)</f>
        <v/>
      </c>
    </row>
    <row r="2238" ht="14.25" customHeight="1">
      <c r="B2238" s="66" t="str">
        <f>ASTemp!B2238</f>
        <v/>
      </c>
      <c r="C2238" s="67" t="str">
        <f>ASTemp!C2238</f>
        <v/>
      </c>
      <c r="D2238" s="68" t="str">
        <f>ASTemp!D2238</f>
        <v/>
      </c>
      <c r="E2238" s="65" t="str">
        <f>ASTemp!E2238</f>
        <v/>
      </c>
      <c r="F2238" s="69" t="str">
        <f>TEXT(ASTemp!F2238,Decimals)</f>
        <v/>
      </c>
      <c r="G2238" s="69" t="str">
        <f>TEXT(ASTemp!G2238,Decimals)</f>
        <v/>
      </c>
      <c r="H2238" s="69" t="str">
        <f>TEXT(ASTemp!H2238,Decimals)</f>
        <v/>
      </c>
      <c r="I2238" s="69" t="str">
        <f>TEXT(ASTemp!I2238,Decimals)</f>
        <v/>
      </c>
      <c r="J2238" s="69" t="str">
        <f>TEXT(ASTemp!J2238,Decimals)</f>
        <v/>
      </c>
      <c r="K2238" s="69" t="str">
        <f>TEXT(ASTemp!K2238,Decimals)</f>
        <v/>
      </c>
      <c r="L2238" s="69" t="str">
        <f>TEXT(ASTemp!L2238,Decimals)</f>
        <v/>
      </c>
      <c r="M2238" s="71" t="str">
        <f>TEXT(ASTemp!M2238,Percentages)</f>
        <v/>
      </c>
      <c r="N2238" s="72" t="str">
        <f>TEXT(ASTemp!N2238,Percentages)</f>
        <v/>
      </c>
    </row>
    <row r="2239" ht="14.25" customHeight="1">
      <c r="B2239" s="66" t="str">
        <f>ASTemp!B2239</f>
        <v/>
      </c>
      <c r="C2239" s="67" t="str">
        <f>ASTemp!C2239</f>
        <v/>
      </c>
      <c r="D2239" s="68" t="str">
        <f>ASTemp!D2239</f>
        <v/>
      </c>
      <c r="E2239" s="65" t="str">
        <f>ASTemp!E2239</f>
        <v/>
      </c>
      <c r="F2239" s="69" t="str">
        <f>TEXT(ASTemp!F2239,Decimals)</f>
        <v/>
      </c>
      <c r="G2239" s="69" t="str">
        <f>TEXT(ASTemp!G2239,Decimals)</f>
        <v/>
      </c>
      <c r="H2239" s="69" t="str">
        <f>TEXT(ASTemp!H2239,Decimals)</f>
        <v/>
      </c>
      <c r="I2239" s="69" t="str">
        <f>TEXT(ASTemp!I2239,Decimals)</f>
        <v/>
      </c>
      <c r="J2239" s="69" t="str">
        <f>TEXT(ASTemp!J2239,Decimals)</f>
        <v/>
      </c>
      <c r="K2239" s="69" t="str">
        <f>TEXT(ASTemp!K2239,Decimals)</f>
        <v/>
      </c>
      <c r="L2239" s="69" t="str">
        <f>TEXT(ASTemp!L2239,Decimals)</f>
        <v/>
      </c>
      <c r="M2239" s="71" t="str">
        <f>TEXT(ASTemp!M2239,Percentages)</f>
        <v/>
      </c>
      <c r="N2239" s="72" t="str">
        <f>TEXT(ASTemp!N2239,Percentages)</f>
        <v/>
      </c>
    </row>
    <row r="2240" ht="14.25" customHeight="1">
      <c r="B2240" s="66" t="str">
        <f>ASTemp!B2240</f>
        <v/>
      </c>
      <c r="C2240" s="67" t="str">
        <f>ASTemp!C2240</f>
        <v/>
      </c>
      <c r="D2240" s="68" t="str">
        <f>ASTemp!D2240</f>
        <v/>
      </c>
      <c r="E2240" s="65" t="str">
        <f>ASTemp!E2240</f>
        <v/>
      </c>
      <c r="F2240" s="69" t="str">
        <f>TEXT(ASTemp!F2240,Decimals)</f>
        <v/>
      </c>
      <c r="G2240" s="69" t="str">
        <f>TEXT(ASTemp!G2240,Decimals)</f>
        <v/>
      </c>
      <c r="H2240" s="69" t="str">
        <f>TEXT(ASTemp!H2240,Decimals)</f>
        <v/>
      </c>
      <c r="I2240" s="69" t="str">
        <f>TEXT(ASTemp!I2240,Decimals)</f>
        <v/>
      </c>
      <c r="J2240" s="69" t="str">
        <f>TEXT(ASTemp!J2240,Decimals)</f>
        <v/>
      </c>
      <c r="K2240" s="69" t="str">
        <f>TEXT(ASTemp!K2240,Decimals)</f>
        <v/>
      </c>
      <c r="L2240" s="69" t="str">
        <f>TEXT(ASTemp!L2240,Decimals)</f>
        <v/>
      </c>
      <c r="M2240" s="71" t="str">
        <f>TEXT(ASTemp!M2240,Percentages)</f>
        <v/>
      </c>
      <c r="N2240" s="72" t="str">
        <f>TEXT(ASTemp!N2240,Percentages)</f>
        <v/>
      </c>
    </row>
    <row r="2241" ht="14.25" customHeight="1">
      <c r="B2241" s="66" t="str">
        <f>ASTemp!B2241</f>
        <v/>
      </c>
      <c r="C2241" s="67" t="str">
        <f>ASTemp!C2241</f>
        <v/>
      </c>
      <c r="D2241" s="68" t="str">
        <f>ASTemp!D2241</f>
        <v/>
      </c>
      <c r="E2241" s="65" t="str">
        <f>ASTemp!E2241</f>
        <v/>
      </c>
      <c r="F2241" s="69" t="str">
        <f>TEXT(ASTemp!F2241,Decimals)</f>
        <v/>
      </c>
      <c r="G2241" s="69" t="str">
        <f>TEXT(ASTemp!G2241,Decimals)</f>
        <v/>
      </c>
      <c r="H2241" s="69" t="str">
        <f>TEXT(ASTemp!H2241,Decimals)</f>
        <v/>
      </c>
      <c r="I2241" s="69" t="str">
        <f>TEXT(ASTemp!I2241,Decimals)</f>
        <v/>
      </c>
      <c r="J2241" s="69" t="str">
        <f>TEXT(ASTemp!J2241,Decimals)</f>
        <v/>
      </c>
      <c r="K2241" s="69" t="str">
        <f>TEXT(ASTemp!K2241,Decimals)</f>
        <v/>
      </c>
      <c r="L2241" s="69" t="str">
        <f>TEXT(ASTemp!L2241,Decimals)</f>
        <v/>
      </c>
      <c r="M2241" s="71" t="str">
        <f>TEXT(ASTemp!M2241,Percentages)</f>
        <v/>
      </c>
      <c r="N2241" s="72" t="str">
        <f>TEXT(ASTemp!N2241,Percentages)</f>
        <v/>
      </c>
    </row>
    <row r="2242" ht="14.25" customHeight="1">
      <c r="B2242" s="66" t="str">
        <f>ASTemp!B2242</f>
        <v/>
      </c>
      <c r="C2242" s="67" t="str">
        <f>ASTemp!C2242</f>
        <v/>
      </c>
      <c r="D2242" s="68" t="str">
        <f>ASTemp!D2242</f>
        <v/>
      </c>
      <c r="E2242" s="65" t="str">
        <f>ASTemp!E2242</f>
        <v/>
      </c>
      <c r="F2242" s="69" t="str">
        <f>TEXT(ASTemp!F2242,Decimals)</f>
        <v/>
      </c>
      <c r="G2242" s="69" t="str">
        <f>TEXT(ASTemp!G2242,Decimals)</f>
        <v/>
      </c>
      <c r="H2242" s="69" t="str">
        <f>TEXT(ASTemp!H2242,Decimals)</f>
        <v/>
      </c>
      <c r="I2242" s="69" t="str">
        <f>TEXT(ASTemp!I2242,Decimals)</f>
        <v/>
      </c>
      <c r="J2242" s="69" t="str">
        <f>TEXT(ASTemp!J2242,Decimals)</f>
        <v/>
      </c>
      <c r="K2242" s="69" t="str">
        <f>TEXT(ASTemp!K2242,Decimals)</f>
        <v/>
      </c>
      <c r="L2242" s="69" t="str">
        <f>TEXT(ASTemp!L2242,Decimals)</f>
        <v/>
      </c>
      <c r="M2242" s="71" t="str">
        <f>TEXT(ASTemp!M2242,Percentages)</f>
        <v/>
      </c>
      <c r="N2242" s="72" t="str">
        <f>TEXT(ASTemp!N2242,Percentages)</f>
        <v/>
      </c>
    </row>
    <row r="2243" ht="14.25" customHeight="1">
      <c r="B2243" s="66" t="str">
        <f>ASTemp!B2243</f>
        <v/>
      </c>
      <c r="C2243" s="67" t="str">
        <f>ASTemp!C2243</f>
        <v/>
      </c>
      <c r="D2243" s="68" t="str">
        <f>ASTemp!D2243</f>
        <v/>
      </c>
      <c r="E2243" s="65" t="str">
        <f>ASTemp!E2243</f>
        <v/>
      </c>
      <c r="F2243" s="69" t="str">
        <f>TEXT(ASTemp!F2243,Decimals)</f>
        <v/>
      </c>
      <c r="G2243" s="69" t="str">
        <f>TEXT(ASTemp!G2243,Decimals)</f>
        <v/>
      </c>
      <c r="H2243" s="69" t="str">
        <f>TEXT(ASTemp!H2243,Decimals)</f>
        <v/>
      </c>
      <c r="I2243" s="69" t="str">
        <f>TEXT(ASTemp!I2243,Decimals)</f>
        <v/>
      </c>
      <c r="J2243" s="69" t="str">
        <f>TEXT(ASTemp!J2243,Decimals)</f>
        <v/>
      </c>
      <c r="K2243" s="69" t="str">
        <f>TEXT(ASTemp!K2243,Decimals)</f>
        <v/>
      </c>
      <c r="L2243" s="69" t="str">
        <f>TEXT(ASTemp!L2243,Decimals)</f>
        <v/>
      </c>
      <c r="M2243" s="71" t="str">
        <f>TEXT(ASTemp!M2243,Percentages)</f>
        <v/>
      </c>
      <c r="N2243" s="72" t="str">
        <f>TEXT(ASTemp!N2243,Percentages)</f>
        <v/>
      </c>
    </row>
    <row r="2244" ht="14.25" customHeight="1">
      <c r="B2244" s="66" t="str">
        <f>ASTemp!B2244</f>
        <v/>
      </c>
      <c r="C2244" s="67" t="str">
        <f>ASTemp!C2244</f>
        <v/>
      </c>
      <c r="D2244" s="68" t="str">
        <f>ASTemp!D2244</f>
        <v/>
      </c>
      <c r="E2244" s="65" t="str">
        <f>ASTemp!E2244</f>
        <v/>
      </c>
      <c r="F2244" s="69" t="str">
        <f>TEXT(ASTemp!F2244,Decimals)</f>
        <v/>
      </c>
      <c r="G2244" s="69" t="str">
        <f>TEXT(ASTemp!G2244,Decimals)</f>
        <v/>
      </c>
      <c r="H2244" s="69" t="str">
        <f>TEXT(ASTemp!H2244,Decimals)</f>
        <v/>
      </c>
      <c r="I2244" s="69" t="str">
        <f>TEXT(ASTemp!I2244,Decimals)</f>
        <v/>
      </c>
      <c r="J2244" s="69" t="str">
        <f>TEXT(ASTemp!J2244,Decimals)</f>
        <v/>
      </c>
      <c r="K2244" s="69" t="str">
        <f>TEXT(ASTemp!K2244,Decimals)</f>
        <v/>
      </c>
      <c r="L2244" s="69" t="str">
        <f>TEXT(ASTemp!L2244,Decimals)</f>
        <v/>
      </c>
      <c r="M2244" s="71" t="str">
        <f>TEXT(ASTemp!M2244,Percentages)</f>
        <v/>
      </c>
      <c r="N2244" s="72" t="str">
        <f>TEXT(ASTemp!N2244,Percentages)</f>
        <v/>
      </c>
    </row>
    <row r="2245" ht="14.25" customHeight="1">
      <c r="B2245" s="66" t="str">
        <f>ASTemp!B2245</f>
        <v/>
      </c>
      <c r="C2245" s="67" t="str">
        <f>ASTemp!C2245</f>
        <v/>
      </c>
      <c r="D2245" s="68" t="str">
        <f>ASTemp!D2245</f>
        <v/>
      </c>
      <c r="E2245" s="65" t="str">
        <f>ASTemp!E2245</f>
        <v/>
      </c>
      <c r="F2245" s="69" t="str">
        <f>TEXT(ASTemp!F2245,Decimals)</f>
        <v/>
      </c>
      <c r="G2245" s="69" t="str">
        <f>TEXT(ASTemp!G2245,Decimals)</f>
        <v/>
      </c>
      <c r="H2245" s="69" t="str">
        <f>TEXT(ASTemp!H2245,Decimals)</f>
        <v/>
      </c>
      <c r="I2245" s="69" t="str">
        <f>TEXT(ASTemp!I2245,Decimals)</f>
        <v/>
      </c>
      <c r="J2245" s="69" t="str">
        <f>TEXT(ASTemp!J2245,Decimals)</f>
        <v/>
      </c>
      <c r="K2245" s="69" t="str">
        <f>TEXT(ASTemp!K2245,Decimals)</f>
        <v/>
      </c>
      <c r="L2245" s="69" t="str">
        <f>TEXT(ASTemp!L2245,Decimals)</f>
        <v/>
      </c>
      <c r="M2245" s="71" t="str">
        <f>TEXT(ASTemp!M2245,Percentages)</f>
        <v/>
      </c>
      <c r="N2245" s="72" t="str">
        <f>TEXT(ASTemp!N2245,Percentages)</f>
        <v/>
      </c>
    </row>
    <row r="2246" ht="14.25" customHeight="1">
      <c r="B2246" s="66" t="str">
        <f>ASTemp!B2246</f>
        <v/>
      </c>
      <c r="C2246" s="67" t="str">
        <f>ASTemp!C2246</f>
        <v/>
      </c>
      <c r="D2246" s="68" t="str">
        <f>ASTemp!D2246</f>
        <v/>
      </c>
      <c r="E2246" s="65" t="str">
        <f>ASTemp!E2246</f>
        <v/>
      </c>
      <c r="F2246" s="69" t="str">
        <f>TEXT(ASTemp!F2246,Decimals)</f>
        <v/>
      </c>
      <c r="G2246" s="69" t="str">
        <f>TEXT(ASTemp!G2246,Decimals)</f>
        <v/>
      </c>
      <c r="H2246" s="69" t="str">
        <f>TEXT(ASTemp!H2246,Decimals)</f>
        <v/>
      </c>
      <c r="I2246" s="69" t="str">
        <f>TEXT(ASTemp!I2246,Decimals)</f>
        <v/>
      </c>
      <c r="J2246" s="69" t="str">
        <f>TEXT(ASTemp!J2246,Decimals)</f>
        <v/>
      </c>
      <c r="K2246" s="69" t="str">
        <f>TEXT(ASTemp!K2246,Decimals)</f>
        <v/>
      </c>
      <c r="L2246" s="69" t="str">
        <f>TEXT(ASTemp!L2246,Decimals)</f>
        <v/>
      </c>
      <c r="M2246" s="71" t="str">
        <f>TEXT(ASTemp!M2246,Percentages)</f>
        <v/>
      </c>
      <c r="N2246" s="72" t="str">
        <f>TEXT(ASTemp!N2246,Percentages)</f>
        <v/>
      </c>
    </row>
    <row r="2247" ht="14.25" customHeight="1">
      <c r="B2247" s="66" t="str">
        <f>ASTemp!B2247</f>
        <v/>
      </c>
      <c r="C2247" s="67" t="str">
        <f>ASTemp!C2247</f>
        <v/>
      </c>
      <c r="D2247" s="68" t="str">
        <f>ASTemp!D2247</f>
        <v/>
      </c>
      <c r="E2247" s="65" t="str">
        <f>ASTemp!E2247</f>
        <v/>
      </c>
      <c r="F2247" s="69" t="str">
        <f>TEXT(ASTemp!F2247,Decimals)</f>
        <v/>
      </c>
      <c r="G2247" s="69" t="str">
        <f>TEXT(ASTemp!G2247,Decimals)</f>
        <v/>
      </c>
      <c r="H2247" s="69" t="str">
        <f>TEXT(ASTemp!H2247,Decimals)</f>
        <v/>
      </c>
      <c r="I2247" s="69" t="str">
        <f>TEXT(ASTemp!I2247,Decimals)</f>
        <v/>
      </c>
      <c r="J2247" s="69" t="str">
        <f>TEXT(ASTemp!J2247,Decimals)</f>
        <v/>
      </c>
      <c r="K2247" s="69" t="str">
        <f>TEXT(ASTemp!K2247,Decimals)</f>
        <v/>
      </c>
      <c r="L2247" s="69" t="str">
        <f>TEXT(ASTemp!L2247,Decimals)</f>
        <v/>
      </c>
      <c r="M2247" s="71" t="str">
        <f>TEXT(ASTemp!M2247,Percentages)</f>
        <v/>
      </c>
      <c r="N2247" s="72" t="str">
        <f>TEXT(ASTemp!N2247,Percentages)</f>
        <v/>
      </c>
    </row>
    <row r="2248" ht="14.25" customHeight="1">
      <c r="B2248" s="66" t="str">
        <f>ASTemp!B2248</f>
        <v/>
      </c>
      <c r="C2248" s="67" t="str">
        <f>ASTemp!C2248</f>
        <v/>
      </c>
      <c r="D2248" s="68" t="str">
        <f>ASTemp!D2248</f>
        <v/>
      </c>
      <c r="E2248" s="65" t="str">
        <f>ASTemp!E2248</f>
        <v/>
      </c>
      <c r="F2248" s="69" t="str">
        <f>TEXT(ASTemp!F2248,Decimals)</f>
        <v/>
      </c>
      <c r="G2248" s="69" t="str">
        <f>TEXT(ASTemp!G2248,Decimals)</f>
        <v/>
      </c>
      <c r="H2248" s="69" t="str">
        <f>TEXT(ASTemp!H2248,Decimals)</f>
        <v/>
      </c>
      <c r="I2248" s="69" t="str">
        <f>TEXT(ASTemp!I2248,Decimals)</f>
        <v/>
      </c>
      <c r="J2248" s="69" t="str">
        <f>TEXT(ASTemp!J2248,Decimals)</f>
        <v/>
      </c>
      <c r="K2248" s="69" t="str">
        <f>TEXT(ASTemp!K2248,Decimals)</f>
        <v/>
      </c>
      <c r="L2248" s="69" t="str">
        <f>TEXT(ASTemp!L2248,Decimals)</f>
        <v/>
      </c>
      <c r="M2248" s="71" t="str">
        <f>TEXT(ASTemp!M2248,Percentages)</f>
        <v/>
      </c>
      <c r="N2248" s="72" t="str">
        <f>TEXT(ASTemp!N2248,Percentages)</f>
        <v/>
      </c>
    </row>
    <row r="2249" ht="14.25" customHeight="1">
      <c r="B2249" s="66" t="str">
        <f>ASTemp!B2249</f>
        <v/>
      </c>
      <c r="C2249" s="67" t="str">
        <f>ASTemp!C2249</f>
        <v/>
      </c>
      <c r="D2249" s="68" t="str">
        <f>ASTemp!D2249</f>
        <v/>
      </c>
      <c r="E2249" s="65" t="str">
        <f>ASTemp!E2249</f>
        <v/>
      </c>
      <c r="F2249" s="69" t="str">
        <f>TEXT(ASTemp!F2249,Decimals)</f>
        <v/>
      </c>
      <c r="G2249" s="69" t="str">
        <f>TEXT(ASTemp!G2249,Decimals)</f>
        <v/>
      </c>
      <c r="H2249" s="69" t="str">
        <f>TEXT(ASTemp!H2249,Decimals)</f>
        <v/>
      </c>
      <c r="I2249" s="69" t="str">
        <f>TEXT(ASTemp!I2249,Decimals)</f>
        <v/>
      </c>
      <c r="J2249" s="69" t="str">
        <f>TEXT(ASTemp!J2249,Decimals)</f>
        <v/>
      </c>
      <c r="K2249" s="69" t="str">
        <f>TEXT(ASTemp!K2249,Decimals)</f>
        <v/>
      </c>
      <c r="L2249" s="69" t="str">
        <f>TEXT(ASTemp!L2249,Decimals)</f>
        <v/>
      </c>
      <c r="M2249" s="71" t="str">
        <f>TEXT(ASTemp!M2249,Percentages)</f>
        <v/>
      </c>
      <c r="N2249" s="72" t="str">
        <f>TEXT(ASTemp!N2249,Percentages)</f>
        <v/>
      </c>
    </row>
    <row r="2250" ht="14.25" customHeight="1">
      <c r="B2250" s="66" t="str">
        <f>ASTemp!B2250</f>
        <v/>
      </c>
      <c r="C2250" s="67" t="str">
        <f>ASTemp!C2250</f>
        <v/>
      </c>
      <c r="D2250" s="68" t="str">
        <f>ASTemp!D2250</f>
        <v/>
      </c>
      <c r="E2250" s="65" t="str">
        <f>ASTemp!E2250</f>
        <v/>
      </c>
      <c r="F2250" s="69" t="str">
        <f>TEXT(ASTemp!F2250,Decimals)</f>
        <v/>
      </c>
      <c r="G2250" s="69" t="str">
        <f>TEXT(ASTemp!G2250,Decimals)</f>
        <v/>
      </c>
      <c r="H2250" s="69" t="str">
        <f>TEXT(ASTemp!H2250,Decimals)</f>
        <v/>
      </c>
      <c r="I2250" s="69" t="str">
        <f>TEXT(ASTemp!I2250,Decimals)</f>
        <v/>
      </c>
      <c r="J2250" s="69" t="str">
        <f>TEXT(ASTemp!J2250,Decimals)</f>
        <v/>
      </c>
      <c r="K2250" s="69" t="str">
        <f>TEXT(ASTemp!K2250,Decimals)</f>
        <v/>
      </c>
      <c r="L2250" s="69" t="str">
        <f>TEXT(ASTemp!L2250,Decimals)</f>
        <v/>
      </c>
      <c r="M2250" s="71" t="str">
        <f>TEXT(ASTemp!M2250,Percentages)</f>
        <v/>
      </c>
      <c r="N2250" s="72" t="str">
        <f>TEXT(ASTemp!N2250,Percentages)</f>
        <v/>
      </c>
    </row>
    <row r="2251" ht="14.25" customHeight="1">
      <c r="B2251" s="66" t="str">
        <f>ASTemp!B2251</f>
        <v/>
      </c>
      <c r="C2251" s="67" t="str">
        <f>ASTemp!C2251</f>
        <v/>
      </c>
      <c r="D2251" s="68" t="str">
        <f>ASTemp!D2251</f>
        <v/>
      </c>
      <c r="E2251" s="65" t="str">
        <f>ASTemp!E2251</f>
        <v/>
      </c>
      <c r="F2251" s="69" t="str">
        <f>TEXT(ASTemp!F2251,Decimals)</f>
        <v/>
      </c>
      <c r="G2251" s="69" t="str">
        <f>TEXT(ASTemp!G2251,Decimals)</f>
        <v/>
      </c>
      <c r="H2251" s="69" t="str">
        <f>TEXT(ASTemp!H2251,Decimals)</f>
        <v/>
      </c>
      <c r="I2251" s="69" t="str">
        <f>TEXT(ASTemp!I2251,Decimals)</f>
        <v/>
      </c>
      <c r="J2251" s="69" t="str">
        <f>TEXT(ASTemp!J2251,Decimals)</f>
        <v/>
      </c>
      <c r="K2251" s="69" t="str">
        <f>TEXT(ASTemp!K2251,Decimals)</f>
        <v/>
      </c>
      <c r="L2251" s="69" t="str">
        <f>TEXT(ASTemp!L2251,Decimals)</f>
        <v/>
      </c>
      <c r="M2251" s="71" t="str">
        <f>TEXT(ASTemp!M2251,Percentages)</f>
        <v/>
      </c>
      <c r="N2251" s="72" t="str">
        <f>TEXT(ASTemp!N2251,Percentages)</f>
        <v/>
      </c>
    </row>
    <row r="2252" ht="14.25" customHeight="1">
      <c r="B2252" s="66" t="str">
        <f>ASTemp!B2252</f>
        <v/>
      </c>
      <c r="C2252" s="67" t="str">
        <f>ASTemp!C2252</f>
        <v/>
      </c>
      <c r="D2252" s="68" t="str">
        <f>ASTemp!D2252</f>
        <v/>
      </c>
      <c r="E2252" s="65" t="str">
        <f>ASTemp!E2252</f>
        <v/>
      </c>
      <c r="F2252" s="69" t="str">
        <f>TEXT(ASTemp!F2252,Decimals)</f>
        <v/>
      </c>
      <c r="G2252" s="69" t="str">
        <f>TEXT(ASTemp!G2252,Decimals)</f>
        <v/>
      </c>
      <c r="H2252" s="69" t="str">
        <f>TEXT(ASTemp!H2252,Decimals)</f>
        <v/>
      </c>
      <c r="I2252" s="69" t="str">
        <f>TEXT(ASTemp!I2252,Decimals)</f>
        <v/>
      </c>
      <c r="J2252" s="69" t="str">
        <f>TEXT(ASTemp!J2252,Decimals)</f>
        <v/>
      </c>
      <c r="K2252" s="69" t="str">
        <f>TEXT(ASTemp!K2252,Decimals)</f>
        <v/>
      </c>
      <c r="L2252" s="69" t="str">
        <f>TEXT(ASTemp!L2252,Decimals)</f>
        <v/>
      </c>
      <c r="M2252" s="71" t="str">
        <f>TEXT(ASTemp!M2252,Percentages)</f>
        <v/>
      </c>
      <c r="N2252" s="72" t="str">
        <f>TEXT(ASTemp!N2252,Percentages)</f>
        <v/>
      </c>
    </row>
    <row r="2253" ht="14.25" customHeight="1">
      <c r="B2253" s="66" t="str">
        <f>ASTemp!B2253</f>
        <v/>
      </c>
      <c r="C2253" s="67" t="str">
        <f>ASTemp!C2253</f>
        <v/>
      </c>
      <c r="D2253" s="68" t="str">
        <f>ASTemp!D2253</f>
        <v/>
      </c>
      <c r="E2253" s="65" t="str">
        <f>ASTemp!E2253</f>
        <v/>
      </c>
      <c r="F2253" s="69" t="str">
        <f>TEXT(ASTemp!F2253,Decimals)</f>
        <v/>
      </c>
      <c r="G2253" s="69" t="str">
        <f>TEXT(ASTemp!G2253,Decimals)</f>
        <v/>
      </c>
      <c r="H2253" s="69" t="str">
        <f>TEXT(ASTemp!H2253,Decimals)</f>
        <v/>
      </c>
      <c r="I2253" s="69" t="str">
        <f>TEXT(ASTemp!I2253,Decimals)</f>
        <v/>
      </c>
      <c r="J2253" s="69" t="str">
        <f>TEXT(ASTemp!J2253,Decimals)</f>
        <v/>
      </c>
      <c r="K2253" s="69" t="str">
        <f>TEXT(ASTemp!K2253,Decimals)</f>
        <v/>
      </c>
      <c r="L2253" s="69" t="str">
        <f>TEXT(ASTemp!L2253,Decimals)</f>
        <v/>
      </c>
      <c r="M2253" s="71" t="str">
        <f>TEXT(ASTemp!M2253,Percentages)</f>
        <v/>
      </c>
      <c r="N2253" s="72" t="str">
        <f>TEXT(ASTemp!N2253,Percentages)</f>
        <v/>
      </c>
    </row>
    <row r="2254" ht="14.25" customHeight="1">
      <c r="B2254" s="66" t="str">
        <f>ASTemp!B2254</f>
        <v/>
      </c>
      <c r="C2254" s="67" t="str">
        <f>ASTemp!C2254</f>
        <v/>
      </c>
      <c r="D2254" s="68" t="str">
        <f>ASTemp!D2254</f>
        <v/>
      </c>
      <c r="E2254" s="65" t="str">
        <f>ASTemp!E2254</f>
        <v/>
      </c>
      <c r="F2254" s="69" t="str">
        <f>TEXT(ASTemp!F2254,Decimals)</f>
        <v/>
      </c>
      <c r="G2254" s="69" t="str">
        <f>TEXT(ASTemp!G2254,Decimals)</f>
        <v/>
      </c>
      <c r="H2254" s="69" t="str">
        <f>TEXT(ASTemp!H2254,Decimals)</f>
        <v/>
      </c>
      <c r="I2254" s="69" t="str">
        <f>TEXT(ASTemp!I2254,Decimals)</f>
        <v/>
      </c>
      <c r="J2254" s="69" t="str">
        <f>TEXT(ASTemp!J2254,Decimals)</f>
        <v/>
      </c>
      <c r="K2254" s="69" t="str">
        <f>TEXT(ASTemp!K2254,Decimals)</f>
        <v/>
      </c>
      <c r="L2254" s="69" t="str">
        <f>TEXT(ASTemp!L2254,Decimals)</f>
        <v/>
      </c>
      <c r="M2254" s="71" t="str">
        <f>TEXT(ASTemp!M2254,Percentages)</f>
        <v/>
      </c>
      <c r="N2254" s="72" t="str">
        <f>TEXT(ASTemp!N2254,Percentages)</f>
        <v/>
      </c>
    </row>
    <row r="2255" ht="14.25" customHeight="1">
      <c r="B2255" s="66" t="str">
        <f>ASTemp!B2255</f>
        <v/>
      </c>
      <c r="C2255" s="67" t="str">
        <f>ASTemp!C2255</f>
        <v/>
      </c>
      <c r="D2255" s="68" t="str">
        <f>ASTemp!D2255</f>
        <v/>
      </c>
      <c r="E2255" s="65" t="str">
        <f>ASTemp!E2255</f>
        <v/>
      </c>
      <c r="F2255" s="69" t="str">
        <f>TEXT(ASTemp!F2255,Decimals)</f>
        <v/>
      </c>
      <c r="G2255" s="69" t="str">
        <f>TEXT(ASTemp!G2255,Decimals)</f>
        <v/>
      </c>
      <c r="H2255" s="69" t="str">
        <f>TEXT(ASTemp!H2255,Decimals)</f>
        <v/>
      </c>
      <c r="I2255" s="69" t="str">
        <f>TEXT(ASTemp!I2255,Decimals)</f>
        <v/>
      </c>
      <c r="J2255" s="69" t="str">
        <f>TEXT(ASTemp!J2255,Decimals)</f>
        <v/>
      </c>
      <c r="K2255" s="69" t="str">
        <f>TEXT(ASTemp!K2255,Decimals)</f>
        <v/>
      </c>
      <c r="L2255" s="69" t="str">
        <f>TEXT(ASTemp!L2255,Decimals)</f>
        <v/>
      </c>
      <c r="M2255" s="71" t="str">
        <f>TEXT(ASTemp!M2255,Percentages)</f>
        <v/>
      </c>
      <c r="N2255" s="72" t="str">
        <f>TEXT(ASTemp!N2255,Percentages)</f>
        <v/>
      </c>
    </row>
    <row r="2256" ht="14.25" customHeight="1">
      <c r="B2256" s="66" t="str">
        <f>ASTemp!B2256</f>
        <v/>
      </c>
      <c r="C2256" s="67" t="str">
        <f>ASTemp!C2256</f>
        <v/>
      </c>
      <c r="D2256" s="68" t="str">
        <f>ASTemp!D2256</f>
        <v/>
      </c>
      <c r="E2256" s="65" t="str">
        <f>ASTemp!E2256</f>
        <v/>
      </c>
      <c r="F2256" s="69" t="str">
        <f>TEXT(ASTemp!F2256,Decimals)</f>
        <v/>
      </c>
      <c r="G2256" s="69" t="str">
        <f>TEXT(ASTemp!G2256,Decimals)</f>
        <v/>
      </c>
      <c r="H2256" s="69" t="str">
        <f>TEXT(ASTemp!H2256,Decimals)</f>
        <v/>
      </c>
      <c r="I2256" s="69" t="str">
        <f>TEXT(ASTemp!I2256,Decimals)</f>
        <v/>
      </c>
      <c r="J2256" s="69" t="str">
        <f>TEXT(ASTemp!J2256,Decimals)</f>
        <v/>
      </c>
      <c r="K2256" s="69" t="str">
        <f>TEXT(ASTemp!K2256,Decimals)</f>
        <v/>
      </c>
      <c r="L2256" s="69" t="str">
        <f>TEXT(ASTemp!L2256,Decimals)</f>
        <v/>
      </c>
      <c r="M2256" s="71" t="str">
        <f>TEXT(ASTemp!M2256,Percentages)</f>
        <v/>
      </c>
      <c r="N2256" s="72" t="str">
        <f>TEXT(ASTemp!N2256,Percentages)</f>
        <v/>
      </c>
    </row>
    <row r="2257" ht="14.25" customHeight="1">
      <c r="B2257" s="66" t="str">
        <f>ASTemp!B2257</f>
        <v/>
      </c>
      <c r="C2257" s="67" t="str">
        <f>ASTemp!C2257</f>
        <v/>
      </c>
      <c r="D2257" s="68" t="str">
        <f>ASTemp!D2257</f>
        <v/>
      </c>
      <c r="E2257" s="65" t="str">
        <f>ASTemp!E2257</f>
        <v/>
      </c>
      <c r="F2257" s="69" t="str">
        <f>TEXT(ASTemp!F2257,Decimals)</f>
        <v/>
      </c>
      <c r="G2257" s="69" t="str">
        <f>TEXT(ASTemp!G2257,Decimals)</f>
        <v/>
      </c>
      <c r="H2257" s="69" t="str">
        <f>TEXT(ASTemp!H2257,Decimals)</f>
        <v/>
      </c>
      <c r="I2257" s="69" t="str">
        <f>TEXT(ASTemp!I2257,Decimals)</f>
        <v/>
      </c>
      <c r="J2257" s="69" t="str">
        <f>TEXT(ASTemp!J2257,Decimals)</f>
        <v/>
      </c>
      <c r="K2257" s="69" t="str">
        <f>TEXT(ASTemp!K2257,Decimals)</f>
        <v/>
      </c>
      <c r="L2257" s="69" t="str">
        <f>TEXT(ASTemp!L2257,Decimals)</f>
        <v/>
      </c>
      <c r="M2257" s="71" t="str">
        <f>TEXT(ASTemp!M2257,Percentages)</f>
        <v/>
      </c>
      <c r="N2257" s="72" t="str">
        <f>TEXT(ASTemp!N2257,Percentages)</f>
        <v/>
      </c>
    </row>
    <row r="2258" ht="14.25" customHeight="1">
      <c r="B2258" s="66" t="str">
        <f>ASTemp!B2258</f>
        <v/>
      </c>
      <c r="C2258" s="67" t="str">
        <f>ASTemp!C2258</f>
        <v/>
      </c>
      <c r="D2258" s="68" t="str">
        <f>ASTemp!D2258</f>
        <v/>
      </c>
      <c r="E2258" s="65" t="str">
        <f>ASTemp!E2258</f>
        <v/>
      </c>
      <c r="F2258" s="69" t="str">
        <f>TEXT(ASTemp!F2258,Decimals)</f>
        <v/>
      </c>
      <c r="G2258" s="69" t="str">
        <f>TEXT(ASTemp!G2258,Decimals)</f>
        <v/>
      </c>
      <c r="H2258" s="69" t="str">
        <f>TEXT(ASTemp!H2258,Decimals)</f>
        <v/>
      </c>
      <c r="I2258" s="69" t="str">
        <f>TEXT(ASTemp!I2258,Decimals)</f>
        <v/>
      </c>
      <c r="J2258" s="69" t="str">
        <f>TEXT(ASTemp!J2258,Decimals)</f>
        <v/>
      </c>
      <c r="K2258" s="69" t="str">
        <f>TEXT(ASTemp!K2258,Decimals)</f>
        <v/>
      </c>
      <c r="L2258" s="69" t="str">
        <f>TEXT(ASTemp!L2258,Decimals)</f>
        <v/>
      </c>
      <c r="M2258" s="71" t="str">
        <f>TEXT(ASTemp!M2258,Percentages)</f>
        <v/>
      </c>
      <c r="N2258" s="72" t="str">
        <f>TEXT(ASTemp!N2258,Percentages)</f>
        <v/>
      </c>
    </row>
    <row r="2259" ht="14.25" customHeight="1">
      <c r="B2259" s="66" t="str">
        <f>ASTemp!B2259</f>
        <v/>
      </c>
      <c r="C2259" s="67" t="str">
        <f>ASTemp!C2259</f>
        <v/>
      </c>
      <c r="D2259" s="68" t="str">
        <f>ASTemp!D2259</f>
        <v/>
      </c>
      <c r="E2259" s="65" t="str">
        <f>ASTemp!E2259</f>
        <v/>
      </c>
      <c r="F2259" s="69" t="str">
        <f>TEXT(ASTemp!F2259,Decimals)</f>
        <v/>
      </c>
      <c r="G2259" s="69" t="str">
        <f>TEXT(ASTemp!G2259,Decimals)</f>
        <v/>
      </c>
      <c r="H2259" s="69" t="str">
        <f>TEXT(ASTemp!H2259,Decimals)</f>
        <v/>
      </c>
      <c r="I2259" s="69" t="str">
        <f>TEXT(ASTemp!I2259,Decimals)</f>
        <v/>
      </c>
      <c r="J2259" s="69" t="str">
        <f>TEXT(ASTemp!J2259,Decimals)</f>
        <v/>
      </c>
      <c r="K2259" s="69" t="str">
        <f>TEXT(ASTemp!K2259,Decimals)</f>
        <v/>
      </c>
      <c r="L2259" s="69" t="str">
        <f>TEXT(ASTemp!L2259,Decimals)</f>
        <v/>
      </c>
      <c r="M2259" s="71" t="str">
        <f>TEXT(ASTemp!M2259,Percentages)</f>
        <v/>
      </c>
      <c r="N2259" s="72" t="str">
        <f>TEXT(ASTemp!N2259,Percentages)</f>
        <v/>
      </c>
    </row>
    <row r="2260" ht="14.25" customHeight="1">
      <c r="B2260" s="66" t="str">
        <f>ASTemp!B2260</f>
        <v/>
      </c>
      <c r="C2260" s="67" t="str">
        <f>ASTemp!C2260</f>
        <v/>
      </c>
      <c r="D2260" s="68" t="str">
        <f>ASTemp!D2260</f>
        <v/>
      </c>
      <c r="E2260" s="65" t="str">
        <f>ASTemp!E2260</f>
        <v/>
      </c>
      <c r="F2260" s="69" t="str">
        <f>TEXT(ASTemp!F2260,Decimals)</f>
        <v/>
      </c>
      <c r="G2260" s="69" t="str">
        <f>TEXT(ASTemp!G2260,Decimals)</f>
        <v/>
      </c>
      <c r="H2260" s="69" t="str">
        <f>TEXT(ASTemp!H2260,Decimals)</f>
        <v/>
      </c>
      <c r="I2260" s="69" t="str">
        <f>TEXT(ASTemp!I2260,Decimals)</f>
        <v/>
      </c>
      <c r="J2260" s="69" t="str">
        <f>TEXT(ASTemp!J2260,Decimals)</f>
        <v/>
      </c>
      <c r="K2260" s="69" t="str">
        <f>TEXT(ASTemp!K2260,Decimals)</f>
        <v/>
      </c>
      <c r="L2260" s="69" t="str">
        <f>TEXT(ASTemp!L2260,Decimals)</f>
        <v/>
      </c>
      <c r="M2260" s="71" t="str">
        <f>TEXT(ASTemp!M2260,Percentages)</f>
        <v/>
      </c>
      <c r="N2260" s="72" t="str">
        <f>TEXT(ASTemp!N2260,Percentages)</f>
        <v/>
      </c>
    </row>
    <row r="2261" ht="14.25" customHeight="1">
      <c r="B2261" s="66" t="str">
        <f>ASTemp!B2261</f>
        <v/>
      </c>
      <c r="C2261" s="67" t="str">
        <f>ASTemp!C2261</f>
        <v/>
      </c>
      <c r="D2261" s="68" t="str">
        <f>ASTemp!D2261</f>
        <v/>
      </c>
      <c r="E2261" s="65" t="str">
        <f>ASTemp!E2261</f>
        <v/>
      </c>
      <c r="F2261" s="69" t="str">
        <f>TEXT(ASTemp!F2261,Decimals)</f>
        <v/>
      </c>
      <c r="G2261" s="69" t="str">
        <f>TEXT(ASTemp!G2261,Decimals)</f>
        <v/>
      </c>
      <c r="H2261" s="69" t="str">
        <f>TEXT(ASTemp!H2261,Decimals)</f>
        <v/>
      </c>
      <c r="I2261" s="69" t="str">
        <f>TEXT(ASTemp!I2261,Decimals)</f>
        <v/>
      </c>
      <c r="J2261" s="69" t="str">
        <f>TEXT(ASTemp!J2261,Decimals)</f>
        <v/>
      </c>
      <c r="K2261" s="69" t="str">
        <f>TEXT(ASTemp!K2261,Decimals)</f>
        <v/>
      </c>
      <c r="L2261" s="69" t="str">
        <f>TEXT(ASTemp!L2261,Decimals)</f>
        <v/>
      </c>
      <c r="M2261" s="71" t="str">
        <f>TEXT(ASTemp!M2261,Percentages)</f>
        <v/>
      </c>
      <c r="N2261" s="72" t="str">
        <f>TEXT(ASTemp!N2261,Percentages)</f>
        <v/>
      </c>
    </row>
    <row r="2262" ht="14.25" customHeight="1">
      <c r="B2262" s="66" t="str">
        <f>ASTemp!B2262</f>
        <v/>
      </c>
      <c r="C2262" s="67" t="str">
        <f>ASTemp!C2262</f>
        <v/>
      </c>
      <c r="D2262" s="68" t="str">
        <f>ASTemp!D2262</f>
        <v/>
      </c>
      <c r="E2262" s="65" t="str">
        <f>ASTemp!E2262</f>
        <v/>
      </c>
      <c r="F2262" s="69" t="str">
        <f>TEXT(ASTemp!F2262,Decimals)</f>
        <v/>
      </c>
      <c r="G2262" s="69" t="str">
        <f>TEXT(ASTemp!G2262,Decimals)</f>
        <v/>
      </c>
      <c r="H2262" s="69" t="str">
        <f>TEXT(ASTemp!H2262,Decimals)</f>
        <v/>
      </c>
      <c r="I2262" s="69" t="str">
        <f>TEXT(ASTemp!I2262,Decimals)</f>
        <v/>
      </c>
      <c r="J2262" s="69" t="str">
        <f>TEXT(ASTemp!J2262,Decimals)</f>
        <v/>
      </c>
      <c r="K2262" s="69" t="str">
        <f>TEXT(ASTemp!K2262,Decimals)</f>
        <v/>
      </c>
      <c r="L2262" s="69" t="str">
        <f>TEXT(ASTemp!L2262,Decimals)</f>
        <v/>
      </c>
      <c r="M2262" s="71" t="str">
        <f>TEXT(ASTemp!M2262,Percentages)</f>
        <v/>
      </c>
      <c r="N2262" s="72" t="str">
        <f>TEXT(ASTemp!N2262,Percentages)</f>
        <v/>
      </c>
    </row>
    <row r="2263" ht="14.25" customHeight="1">
      <c r="B2263" s="66" t="str">
        <f>ASTemp!B2263</f>
        <v/>
      </c>
      <c r="C2263" s="67" t="str">
        <f>ASTemp!C2263</f>
        <v/>
      </c>
      <c r="D2263" s="68" t="str">
        <f>ASTemp!D2263</f>
        <v/>
      </c>
      <c r="E2263" s="65" t="str">
        <f>ASTemp!E2263</f>
        <v/>
      </c>
      <c r="F2263" s="69" t="str">
        <f>TEXT(ASTemp!F2263,Decimals)</f>
        <v/>
      </c>
      <c r="G2263" s="69" t="str">
        <f>TEXT(ASTemp!G2263,Decimals)</f>
        <v/>
      </c>
      <c r="H2263" s="69" t="str">
        <f>TEXT(ASTemp!H2263,Decimals)</f>
        <v/>
      </c>
      <c r="I2263" s="69" t="str">
        <f>TEXT(ASTemp!I2263,Decimals)</f>
        <v/>
      </c>
      <c r="J2263" s="69" t="str">
        <f>TEXT(ASTemp!J2263,Decimals)</f>
        <v/>
      </c>
      <c r="K2263" s="69" t="str">
        <f>TEXT(ASTemp!K2263,Decimals)</f>
        <v/>
      </c>
      <c r="L2263" s="69" t="str">
        <f>TEXT(ASTemp!L2263,Decimals)</f>
        <v/>
      </c>
      <c r="M2263" s="71" t="str">
        <f>TEXT(ASTemp!M2263,Percentages)</f>
        <v/>
      </c>
      <c r="N2263" s="72" t="str">
        <f>TEXT(ASTemp!N2263,Percentages)</f>
        <v/>
      </c>
    </row>
    <row r="2264" ht="14.25" customHeight="1">
      <c r="B2264" s="66" t="str">
        <f>ASTemp!B2264</f>
        <v/>
      </c>
      <c r="C2264" s="67" t="str">
        <f>ASTemp!C2264</f>
        <v/>
      </c>
      <c r="D2264" s="68" t="str">
        <f>ASTemp!D2264</f>
        <v/>
      </c>
      <c r="E2264" s="65" t="str">
        <f>ASTemp!E2264</f>
        <v/>
      </c>
      <c r="F2264" s="69" t="str">
        <f>TEXT(ASTemp!F2264,Decimals)</f>
        <v/>
      </c>
      <c r="G2264" s="69" t="str">
        <f>TEXT(ASTemp!G2264,Decimals)</f>
        <v/>
      </c>
      <c r="H2264" s="69" t="str">
        <f>TEXT(ASTemp!H2264,Decimals)</f>
        <v/>
      </c>
      <c r="I2264" s="69" t="str">
        <f>TEXT(ASTemp!I2264,Decimals)</f>
        <v/>
      </c>
      <c r="J2264" s="69" t="str">
        <f>TEXT(ASTemp!J2264,Decimals)</f>
        <v/>
      </c>
      <c r="K2264" s="69" t="str">
        <f>TEXT(ASTemp!K2264,Decimals)</f>
        <v/>
      </c>
      <c r="L2264" s="69" t="str">
        <f>TEXT(ASTemp!L2264,Decimals)</f>
        <v/>
      </c>
      <c r="M2264" s="71" t="str">
        <f>TEXT(ASTemp!M2264,Percentages)</f>
        <v/>
      </c>
      <c r="N2264" s="72" t="str">
        <f>TEXT(ASTemp!N2264,Percentages)</f>
        <v/>
      </c>
    </row>
    <row r="2265" ht="14.25" customHeight="1">
      <c r="B2265" s="66" t="str">
        <f>ASTemp!B2265</f>
        <v/>
      </c>
      <c r="C2265" s="67" t="str">
        <f>ASTemp!C2265</f>
        <v/>
      </c>
      <c r="D2265" s="68" t="str">
        <f>ASTemp!D2265</f>
        <v/>
      </c>
      <c r="E2265" s="65" t="str">
        <f>ASTemp!E2265</f>
        <v/>
      </c>
      <c r="F2265" s="69" t="str">
        <f>TEXT(ASTemp!F2265,Decimals)</f>
        <v/>
      </c>
      <c r="G2265" s="69" t="str">
        <f>TEXT(ASTemp!G2265,Decimals)</f>
        <v/>
      </c>
      <c r="H2265" s="69" t="str">
        <f>TEXT(ASTemp!H2265,Decimals)</f>
        <v/>
      </c>
      <c r="I2265" s="69" t="str">
        <f>TEXT(ASTemp!I2265,Decimals)</f>
        <v/>
      </c>
      <c r="J2265" s="69" t="str">
        <f>TEXT(ASTemp!J2265,Decimals)</f>
        <v/>
      </c>
      <c r="K2265" s="69" t="str">
        <f>TEXT(ASTemp!K2265,Decimals)</f>
        <v/>
      </c>
      <c r="L2265" s="69" t="str">
        <f>TEXT(ASTemp!L2265,Decimals)</f>
        <v/>
      </c>
      <c r="M2265" s="71" t="str">
        <f>TEXT(ASTemp!M2265,Percentages)</f>
        <v/>
      </c>
      <c r="N2265" s="72" t="str">
        <f>TEXT(ASTemp!N2265,Percentages)</f>
        <v/>
      </c>
    </row>
    <row r="2266" ht="14.25" customHeight="1">
      <c r="B2266" s="66" t="str">
        <f>ASTemp!B2266</f>
        <v/>
      </c>
      <c r="C2266" s="67" t="str">
        <f>ASTemp!C2266</f>
        <v/>
      </c>
      <c r="D2266" s="68" t="str">
        <f>ASTemp!D2266</f>
        <v/>
      </c>
      <c r="E2266" s="65" t="str">
        <f>ASTemp!E2266</f>
        <v/>
      </c>
      <c r="F2266" s="69" t="str">
        <f>TEXT(ASTemp!F2266,Decimals)</f>
        <v/>
      </c>
      <c r="G2266" s="69" t="str">
        <f>TEXT(ASTemp!G2266,Decimals)</f>
        <v/>
      </c>
      <c r="H2266" s="69" t="str">
        <f>TEXT(ASTemp!H2266,Decimals)</f>
        <v/>
      </c>
      <c r="I2266" s="69" t="str">
        <f>TEXT(ASTemp!I2266,Decimals)</f>
        <v/>
      </c>
      <c r="J2266" s="69" t="str">
        <f>TEXT(ASTemp!J2266,Decimals)</f>
        <v/>
      </c>
      <c r="K2266" s="69" t="str">
        <f>TEXT(ASTemp!K2266,Decimals)</f>
        <v/>
      </c>
      <c r="L2266" s="69" t="str">
        <f>TEXT(ASTemp!L2266,Decimals)</f>
        <v/>
      </c>
      <c r="M2266" s="71" t="str">
        <f>TEXT(ASTemp!M2266,Percentages)</f>
        <v/>
      </c>
      <c r="N2266" s="72" t="str">
        <f>TEXT(ASTemp!N2266,Percentages)</f>
        <v/>
      </c>
    </row>
    <row r="2267" ht="14.25" customHeight="1">
      <c r="B2267" s="66" t="str">
        <f>ASTemp!B2267</f>
        <v/>
      </c>
      <c r="C2267" s="67" t="str">
        <f>ASTemp!C2267</f>
        <v/>
      </c>
      <c r="D2267" s="68" t="str">
        <f>ASTemp!D2267</f>
        <v/>
      </c>
      <c r="E2267" s="65" t="str">
        <f>ASTemp!E2267</f>
        <v/>
      </c>
      <c r="F2267" s="69" t="str">
        <f>TEXT(ASTemp!F2267,Decimals)</f>
        <v/>
      </c>
      <c r="G2267" s="69" t="str">
        <f>TEXT(ASTemp!G2267,Decimals)</f>
        <v/>
      </c>
      <c r="H2267" s="69" t="str">
        <f>TEXT(ASTemp!H2267,Decimals)</f>
        <v/>
      </c>
      <c r="I2267" s="69" t="str">
        <f>TEXT(ASTemp!I2267,Decimals)</f>
        <v/>
      </c>
      <c r="J2267" s="69" t="str">
        <f>TEXT(ASTemp!J2267,Decimals)</f>
        <v/>
      </c>
      <c r="K2267" s="69" t="str">
        <f>TEXT(ASTemp!K2267,Decimals)</f>
        <v/>
      </c>
      <c r="L2267" s="69" t="str">
        <f>TEXT(ASTemp!L2267,Decimals)</f>
        <v/>
      </c>
      <c r="M2267" s="71" t="str">
        <f>TEXT(ASTemp!M2267,Percentages)</f>
        <v/>
      </c>
      <c r="N2267" s="72" t="str">
        <f>TEXT(ASTemp!N2267,Percentages)</f>
        <v/>
      </c>
    </row>
    <row r="2268" ht="14.25" customHeight="1">
      <c r="B2268" s="66" t="str">
        <f>ASTemp!B2268</f>
        <v/>
      </c>
      <c r="C2268" s="67" t="str">
        <f>ASTemp!C2268</f>
        <v/>
      </c>
      <c r="D2268" s="68" t="str">
        <f>ASTemp!D2268</f>
        <v/>
      </c>
      <c r="E2268" s="65" t="str">
        <f>ASTemp!E2268</f>
        <v/>
      </c>
      <c r="F2268" s="69" t="str">
        <f>TEXT(ASTemp!F2268,Decimals)</f>
        <v/>
      </c>
      <c r="G2268" s="69" t="str">
        <f>TEXT(ASTemp!G2268,Decimals)</f>
        <v/>
      </c>
      <c r="H2268" s="69" t="str">
        <f>TEXT(ASTemp!H2268,Decimals)</f>
        <v/>
      </c>
      <c r="I2268" s="69" t="str">
        <f>TEXT(ASTemp!I2268,Decimals)</f>
        <v/>
      </c>
      <c r="J2268" s="69" t="str">
        <f>TEXT(ASTemp!J2268,Decimals)</f>
        <v/>
      </c>
      <c r="K2268" s="69" t="str">
        <f>TEXT(ASTemp!K2268,Decimals)</f>
        <v/>
      </c>
      <c r="L2268" s="69" t="str">
        <f>TEXT(ASTemp!L2268,Decimals)</f>
        <v/>
      </c>
      <c r="M2268" s="71" t="str">
        <f>TEXT(ASTemp!M2268,Percentages)</f>
        <v/>
      </c>
      <c r="N2268" s="72" t="str">
        <f>TEXT(ASTemp!N2268,Percentages)</f>
        <v/>
      </c>
    </row>
    <row r="2269" ht="14.25" customHeight="1">
      <c r="B2269" s="66" t="str">
        <f>ASTemp!B2269</f>
        <v/>
      </c>
      <c r="C2269" s="67" t="str">
        <f>ASTemp!C2269</f>
        <v/>
      </c>
      <c r="D2269" s="68" t="str">
        <f>ASTemp!D2269</f>
        <v/>
      </c>
      <c r="E2269" s="65" t="str">
        <f>ASTemp!E2269</f>
        <v/>
      </c>
      <c r="F2269" s="69" t="str">
        <f>TEXT(ASTemp!F2269,Decimals)</f>
        <v/>
      </c>
      <c r="G2269" s="69" t="str">
        <f>TEXT(ASTemp!G2269,Decimals)</f>
        <v/>
      </c>
      <c r="H2269" s="69" t="str">
        <f>TEXT(ASTemp!H2269,Decimals)</f>
        <v/>
      </c>
      <c r="I2269" s="69" t="str">
        <f>TEXT(ASTemp!I2269,Decimals)</f>
        <v/>
      </c>
      <c r="J2269" s="69" t="str">
        <f>TEXT(ASTemp!J2269,Decimals)</f>
        <v/>
      </c>
      <c r="K2269" s="69" t="str">
        <f>TEXT(ASTemp!K2269,Decimals)</f>
        <v/>
      </c>
      <c r="L2269" s="69" t="str">
        <f>TEXT(ASTemp!L2269,Decimals)</f>
        <v/>
      </c>
      <c r="M2269" s="71" t="str">
        <f>TEXT(ASTemp!M2269,Percentages)</f>
        <v/>
      </c>
      <c r="N2269" s="72" t="str">
        <f>TEXT(ASTemp!N2269,Percentages)</f>
        <v/>
      </c>
    </row>
    <row r="2270" ht="14.25" customHeight="1">
      <c r="B2270" s="66" t="str">
        <f>ASTemp!B2270</f>
        <v/>
      </c>
      <c r="C2270" s="67" t="str">
        <f>ASTemp!C2270</f>
        <v/>
      </c>
      <c r="D2270" s="68" t="str">
        <f>ASTemp!D2270</f>
        <v/>
      </c>
      <c r="E2270" s="65" t="str">
        <f>ASTemp!E2270</f>
        <v/>
      </c>
      <c r="F2270" s="69" t="str">
        <f>TEXT(ASTemp!F2270,Decimals)</f>
        <v/>
      </c>
      <c r="G2270" s="69" t="str">
        <f>TEXT(ASTemp!G2270,Decimals)</f>
        <v/>
      </c>
      <c r="H2270" s="69" t="str">
        <f>TEXT(ASTemp!H2270,Decimals)</f>
        <v/>
      </c>
      <c r="I2270" s="69" t="str">
        <f>TEXT(ASTemp!I2270,Decimals)</f>
        <v/>
      </c>
      <c r="J2270" s="69" t="str">
        <f>TEXT(ASTemp!J2270,Decimals)</f>
        <v/>
      </c>
      <c r="K2270" s="69" t="str">
        <f>TEXT(ASTemp!K2270,Decimals)</f>
        <v/>
      </c>
      <c r="L2270" s="69" t="str">
        <f>TEXT(ASTemp!L2270,Decimals)</f>
        <v/>
      </c>
      <c r="M2270" s="71" t="str">
        <f>TEXT(ASTemp!M2270,Percentages)</f>
        <v/>
      </c>
      <c r="N2270" s="72" t="str">
        <f>TEXT(ASTemp!N2270,Percentages)</f>
        <v/>
      </c>
    </row>
    <row r="2271" ht="14.25" customHeight="1">
      <c r="B2271" s="66" t="str">
        <f>ASTemp!B2271</f>
        <v/>
      </c>
      <c r="C2271" s="67" t="str">
        <f>ASTemp!C2271</f>
        <v/>
      </c>
      <c r="D2271" s="68" t="str">
        <f>ASTemp!D2271</f>
        <v/>
      </c>
      <c r="E2271" s="65" t="str">
        <f>ASTemp!E2271</f>
        <v/>
      </c>
      <c r="F2271" s="69" t="str">
        <f>TEXT(ASTemp!F2271,Decimals)</f>
        <v/>
      </c>
      <c r="G2271" s="69" t="str">
        <f>TEXT(ASTemp!G2271,Decimals)</f>
        <v/>
      </c>
      <c r="H2271" s="69" t="str">
        <f>TEXT(ASTemp!H2271,Decimals)</f>
        <v/>
      </c>
      <c r="I2271" s="69" t="str">
        <f>TEXT(ASTemp!I2271,Decimals)</f>
        <v/>
      </c>
      <c r="J2271" s="69" t="str">
        <f>TEXT(ASTemp!J2271,Decimals)</f>
        <v/>
      </c>
      <c r="K2271" s="69" t="str">
        <f>TEXT(ASTemp!K2271,Decimals)</f>
        <v/>
      </c>
      <c r="L2271" s="69" t="str">
        <f>TEXT(ASTemp!L2271,Decimals)</f>
        <v/>
      </c>
      <c r="M2271" s="71" t="str">
        <f>TEXT(ASTemp!M2271,Percentages)</f>
        <v/>
      </c>
      <c r="N2271" s="72" t="str">
        <f>TEXT(ASTemp!N2271,Percentages)</f>
        <v/>
      </c>
    </row>
    <row r="2272" ht="14.25" customHeight="1">
      <c r="B2272" s="66" t="str">
        <f>ASTemp!B2272</f>
        <v/>
      </c>
      <c r="C2272" s="67" t="str">
        <f>ASTemp!C2272</f>
        <v/>
      </c>
      <c r="D2272" s="68" t="str">
        <f>ASTemp!D2272</f>
        <v/>
      </c>
      <c r="E2272" s="65" t="str">
        <f>ASTemp!E2272</f>
        <v/>
      </c>
      <c r="F2272" s="69" t="str">
        <f>TEXT(ASTemp!F2272,Decimals)</f>
        <v/>
      </c>
      <c r="G2272" s="69" t="str">
        <f>TEXT(ASTemp!G2272,Decimals)</f>
        <v/>
      </c>
      <c r="H2272" s="69" t="str">
        <f>TEXT(ASTemp!H2272,Decimals)</f>
        <v/>
      </c>
      <c r="I2272" s="69" t="str">
        <f>TEXT(ASTemp!I2272,Decimals)</f>
        <v/>
      </c>
      <c r="J2272" s="69" t="str">
        <f>TEXT(ASTemp!J2272,Decimals)</f>
        <v/>
      </c>
      <c r="K2272" s="69" t="str">
        <f>TEXT(ASTemp!K2272,Decimals)</f>
        <v/>
      </c>
      <c r="L2272" s="69" t="str">
        <f>TEXT(ASTemp!L2272,Decimals)</f>
        <v/>
      </c>
      <c r="M2272" s="71" t="str">
        <f>TEXT(ASTemp!M2272,Percentages)</f>
        <v/>
      </c>
      <c r="N2272" s="72" t="str">
        <f>TEXT(ASTemp!N2272,Percentages)</f>
        <v/>
      </c>
    </row>
    <row r="2273" ht="14.25" customHeight="1">
      <c r="B2273" s="66" t="str">
        <f>ASTemp!B2273</f>
        <v/>
      </c>
      <c r="C2273" s="67" t="str">
        <f>ASTemp!C2273</f>
        <v/>
      </c>
      <c r="D2273" s="68" t="str">
        <f>ASTemp!D2273</f>
        <v/>
      </c>
      <c r="E2273" s="65" t="str">
        <f>ASTemp!E2273</f>
        <v/>
      </c>
      <c r="F2273" s="69" t="str">
        <f>TEXT(ASTemp!F2273,Decimals)</f>
        <v/>
      </c>
      <c r="G2273" s="69" t="str">
        <f>TEXT(ASTemp!G2273,Decimals)</f>
        <v/>
      </c>
      <c r="H2273" s="69" t="str">
        <f>TEXT(ASTemp!H2273,Decimals)</f>
        <v/>
      </c>
      <c r="I2273" s="69" t="str">
        <f>TEXT(ASTemp!I2273,Decimals)</f>
        <v/>
      </c>
      <c r="J2273" s="69" t="str">
        <f>TEXT(ASTemp!J2273,Decimals)</f>
        <v/>
      </c>
      <c r="K2273" s="69" t="str">
        <f>TEXT(ASTemp!K2273,Decimals)</f>
        <v/>
      </c>
      <c r="L2273" s="69" t="str">
        <f>TEXT(ASTemp!L2273,Decimals)</f>
        <v/>
      </c>
      <c r="M2273" s="71" t="str">
        <f>TEXT(ASTemp!M2273,Percentages)</f>
        <v/>
      </c>
      <c r="N2273" s="72" t="str">
        <f>TEXT(ASTemp!N2273,Percentages)</f>
        <v/>
      </c>
    </row>
    <row r="2274" ht="14.25" customHeight="1">
      <c r="B2274" s="66" t="str">
        <f>ASTemp!B2274</f>
        <v/>
      </c>
      <c r="C2274" s="67" t="str">
        <f>ASTemp!C2274</f>
        <v/>
      </c>
      <c r="D2274" s="68" t="str">
        <f>ASTemp!D2274</f>
        <v/>
      </c>
      <c r="E2274" s="65" t="str">
        <f>ASTemp!E2274</f>
        <v/>
      </c>
      <c r="F2274" s="69" t="str">
        <f>TEXT(ASTemp!F2274,Decimals)</f>
        <v/>
      </c>
      <c r="G2274" s="69" t="str">
        <f>TEXT(ASTemp!G2274,Decimals)</f>
        <v/>
      </c>
      <c r="H2274" s="69" t="str">
        <f>TEXT(ASTemp!H2274,Decimals)</f>
        <v/>
      </c>
      <c r="I2274" s="69" t="str">
        <f>TEXT(ASTemp!I2274,Decimals)</f>
        <v/>
      </c>
      <c r="J2274" s="69" t="str">
        <f>TEXT(ASTemp!J2274,Decimals)</f>
        <v/>
      </c>
      <c r="K2274" s="69" t="str">
        <f>TEXT(ASTemp!K2274,Decimals)</f>
        <v/>
      </c>
      <c r="L2274" s="69" t="str">
        <f>TEXT(ASTemp!L2274,Decimals)</f>
        <v/>
      </c>
      <c r="M2274" s="71" t="str">
        <f>TEXT(ASTemp!M2274,Percentages)</f>
        <v/>
      </c>
      <c r="N2274" s="72" t="str">
        <f>TEXT(ASTemp!N2274,Percentages)</f>
        <v/>
      </c>
    </row>
    <row r="2275" ht="14.25" customHeight="1">
      <c r="B2275" s="66" t="str">
        <f>ASTemp!B2275</f>
        <v/>
      </c>
      <c r="C2275" s="67" t="str">
        <f>ASTemp!C2275</f>
        <v/>
      </c>
      <c r="D2275" s="68" t="str">
        <f>ASTemp!D2275</f>
        <v/>
      </c>
      <c r="E2275" s="65" t="str">
        <f>ASTemp!E2275</f>
        <v/>
      </c>
      <c r="F2275" s="69" t="str">
        <f>TEXT(ASTemp!F2275,Decimals)</f>
        <v/>
      </c>
      <c r="G2275" s="69" t="str">
        <f>TEXT(ASTemp!G2275,Decimals)</f>
        <v/>
      </c>
      <c r="H2275" s="69" t="str">
        <f>TEXT(ASTemp!H2275,Decimals)</f>
        <v/>
      </c>
      <c r="I2275" s="69" t="str">
        <f>TEXT(ASTemp!I2275,Decimals)</f>
        <v/>
      </c>
      <c r="J2275" s="69" t="str">
        <f>TEXT(ASTemp!J2275,Decimals)</f>
        <v/>
      </c>
      <c r="K2275" s="69" t="str">
        <f>TEXT(ASTemp!K2275,Decimals)</f>
        <v/>
      </c>
      <c r="L2275" s="69" t="str">
        <f>TEXT(ASTemp!L2275,Decimals)</f>
        <v/>
      </c>
      <c r="M2275" s="71" t="str">
        <f>TEXT(ASTemp!M2275,Percentages)</f>
        <v/>
      </c>
      <c r="N2275" s="72" t="str">
        <f>TEXT(ASTemp!N2275,Percentages)</f>
        <v/>
      </c>
    </row>
    <row r="2276" ht="14.25" customHeight="1">
      <c r="B2276" s="66" t="str">
        <f>ASTemp!B2276</f>
        <v/>
      </c>
      <c r="C2276" s="67" t="str">
        <f>ASTemp!C2276</f>
        <v/>
      </c>
      <c r="D2276" s="68" t="str">
        <f>ASTemp!D2276</f>
        <v/>
      </c>
      <c r="E2276" s="65" t="str">
        <f>ASTemp!E2276</f>
        <v/>
      </c>
      <c r="F2276" s="69" t="str">
        <f>TEXT(ASTemp!F2276,Decimals)</f>
        <v/>
      </c>
      <c r="G2276" s="69" t="str">
        <f>TEXT(ASTemp!G2276,Decimals)</f>
        <v/>
      </c>
      <c r="H2276" s="69" t="str">
        <f>TEXT(ASTemp!H2276,Decimals)</f>
        <v/>
      </c>
      <c r="I2276" s="69" t="str">
        <f>TEXT(ASTemp!I2276,Decimals)</f>
        <v/>
      </c>
      <c r="J2276" s="69" t="str">
        <f>TEXT(ASTemp!J2276,Decimals)</f>
        <v/>
      </c>
      <c r="K2276" s="69" t="str">
        <f>TEXT(ASTemp!K2276,Decimals)</f>
        <v/>
      </c>
      <c r="L2276" s="69" t="str">
        <f>TEXT(ASTemp!L2276,Decimals)</f>
        <v/>
      </c>
      <c r="M2276" s="71" t="str">
        <f>TEXT(ASTemp!M2276,Percentages)</f>
        <v/>
      </c>
      <c r="N2276" s="72" t="str">
        <f>TEXT(ASTemp!N2276,Percentages)</f>
        <v/>
      </c>
    </row>
    <row r="2277" ht="14.25" customHeight="1">
      <c r="B2277" s="66" t="str">
        <f>ASTemp!B2277</f>
        <v/>
      </c>
      <c r="C2277" s="67" t="str">
        <f>ASTemp!C2277</f>
        <v/>
      </c>
      <c r="D2277" s="68" t="str">
        <f>ASTemp!D2277</f>
        <v/>
      </c>
      <c r="E2277" s="65" t="str">
        <f>ASTemp!E2277</f>
        <v/>
      </c>
      <c r="F2277" s="69" t="str">
        <f>TEXT(ASTemp!F2277,Decimals)</f>
        <v/>
      </c>
      <c r="G2277" s="69" t="str">
        <f>TEXT(ASTemp!G2277,Decimals)</f>
        <v/>
      </c>
      <c r="H2277" s="69" t="str">
        <f>TEXT(ASTemp!H2277,Decimals)</f>
        <v/>
      </c>
      <c r="I2277" s="69" t="str">
        <f>TEXT(ASTemp!I2277,Decimals)</f>
        <v/>
      </c>
      <c r="J2277" s="69" t="str">
        <f>TEXT(ASTemp!J2277,Decimals)</f>
        <v/>
      </c>
      <c r="K2277" s="69" t="str">
        <f>TEXT(ASTemp!K2277,Decimals)</f>
        <v/>
      </c>
      <c r="L2277" s="69" t="str">
        <f>TEXT(ASTemp!L2277,Decimals)</f>
        <v/>
      </c>
      <c r="M2277" s="71" t="str">
        <f>TEXT(ASTemp!M2277,Percentages)</f>
        <v/>
      </c>
      <c r="N2277" s="72" t="str">
        <f>TEXT(ASTemp!N2277,Percentages)</f>
        <v/>
      </c>
    </row>
    <row r="2278" ht="14.25" customHeight="1">
      <c r="B2278" s="66" t="str">
        <f>ASTemp!B2278</f>
        <v/>
      </c>
      <c r="C2278" s="67" t="str">
        <f>ASTemp!C2278</f>
        <v/>
      </c>
      <c r="D2278" s="68" t="str">
        <f>ASTemp!D2278</f>
        <v/>
      </c>
      <c r="E2278" s="65" t="str">
        <f>ASTemp!E2278</f>
        <v/>
      </c>
      <c r="F2278" s="69" t="str">
        <f>TEXT(ASTemp!F2278,Decimals)</f>
        <v/>
      </c>
      <c r="G2278" s="69" t="str">
        <f>TEXT(ASTemp!G2278,Decimals)</f>
        <v/>
      </c>
      <c r="H2278" s="69" t="str">
        <f>TEXT(ASTemp!H2278,Decimals)</f>
        <v/>
      </c>
      <c r="I2278" s="69" t="str">
        <f>TEXT(ASTemp!I2278,Decimals)</f>
        <v/>
      </c>
      <c r="J2278" s="69" t="str">
        <f>TEXT(ASTemp!J2278,Decimals)</f>
        <v/>
      </c>
      <c r="K2278" s="69" t="str">
        <f>TEXT(ASTemp!K2278,Decimals)</f>
        <v/>
      </c>
      <c r="L2278" s="69" t="str">
        <f>TEXT(ASTemp!L2278,Decimals)</f>
        <v/>
      </c>
      <c r="M2278" s="71" t="str">
        <f>TEXT(ASTemp!M2278,Percentages)</f>
        <v/>
      </c>
      <c r="N2278" s="72" t="str">
        <f>TEXT(ASTemp!N2278,Percentages)</f>
        <v/>
      </c>
    </row>
    <row r="2279" ht="14.25" customHeight="1">
      <c r="B2279" s="66" t="str">
        <f>ASTemp!B2279</f>
        <v/>
      </c>
      <c r="C2279" s="67" t="str">
        <f>ASTemp!C2279</f>
        <v/>
      </c>
      <c r="D2279" s="68" t="str">
        <f>ASTemp!D2279</f>
        <v/>
      </c>
      <c r="E2279" s="65" t="str">
        <f>ASTemp!E2279</f>
        <v/>
      </c>
      <c r="F2279" s="69" t="str">
        <f>TEXT(ASTemp!F2279,Decimals)</f>
        <v/>
      </c>
      <c r="G2279" s="69" t="str">
        <f>TEXT(ASTemp!G2279,Decimals)</f>
        <v/>
      </c>
      <c r="H2279" s="69" t="str">
        <f>TEXT(ASTemp!H2279,Decimals)</f>
        <v/>
      </c>
      <c r="I2279" s="69" t="str">
        <f>TEXT(ASTemp!I2279,Decimals)</f>
        <v/>
      </c>
      <c r="J2279" s="69" t="str">
        <f>TEXT(ASTemp!J2279,Decimals)</f>
        <v/>
      </c>
      <c r="K2279" s="69" t="str">
        <f>TEXT(ASTemp!K2279,Decimals)</f>
        <v/>
      </c>
      <c r="L2279" s="69" t="str">
        <f>TEXT(ASTemp!L2279,Decimals)</f>
        <v/>
      </c>
      <c r="M2279" s="71" t="str">
        <f>TEXT(ASTemp!M2279,Percentages)</f>
        <v/>
      </c>
      <c r="N2279" s="72" t="str">
        <f>TEXT(ASTemp!N2279,Percentages)</f>
        <v/>
      </c>
    </row>
    <row r="2280" ht="14.25" customHeight="1">
      <c r="B2280" s="66" t="str">
        <f>ASTemp!B2280</f>
        <v/>
      </c>
      <c r="C2280" s="67" t="str">
        <f>ASTemp!C2280</f>
        <v/>
      </c>
      <c r="D2280" s="68" t="str">
        <f>ASTemp!D2280</f>
        <v/>
      </c>
      <c r="E2280" s="65" t="str">
        <f>ASTemp!E2280</f>
        <v/>
      </c>
      <c r="F2280" s="69" t="str">
        <f>TEXT(ASTemp!F2280,Decimals)</f>
        <v/>
      </c>
      <c r="G2280" s="69" t="str">
        <f>TEXT(ASTemp!G2280,Decimals)</f>
        <v/>
      </c>
      <c r="H2280" s="69" t="str">
        <f>TEXT(ASTemp!H2280,Decimals)</f>
        <v/>
      </c>
      <c r="I2280" s="69" t="str">
        <f>TEXT(ASTemp!I2280,Decimals)</f>
        <v/>
      </c>
      <c r="J2280" s="69" t="str">
        <f>TEXT(ASTemp!J2280,Decimals)</f>
        <v/>
      </c>
      <c r="K2280" s="69" t="str">
        <f>TEXT(ASTemp!K2280,Decimals)</f>
        <v/>
      </c>
      <c r="L2280" s="69" t="str">
        <f>TEXT(ASTemp!L2280,Decimals)</f>
        <v/>
      </c>
      <c r="M2280" s="71" t="str">
        <f>TEXT(ASTemp!M2280,Percentages)</f>
        <v/>
      </c>
      <c r="N2280" s="72" t="str">
        <f>TEXT(ASTemp!N2280,Percentages)</f>
        <v/>
      </c>
    </row>
    <row r="2281" ht="14.25" customHeight="1">
      <c r="B2281" s="66" t="str">
        <f>ASTemp!B2281</f>
        <v/>
      </c>
      <c r="C2281" s="67" t="str">
        <f>ASTemp!C2281</f>
        <v/>
      </c>
      <c r="D2281" s="68" t="str">
        <f>ASTemp!D2281</f>
        <v/>
      </c>
      <c r="E2281" s="65" t="str">
        <f>ASTemp!E2281</f>
        <v/>
      </c>
      <c r="F2281" s="69" t="str">
        <f>TEXT(ASTemp!F2281,Decimals)</f>
        <v/>
      </c>
      <c r="G2281" s="69" t="str">
        <f>TEXT(ASTemp!G2281,Decimals)</f>
        <v/>
      </c>
      <c r="H2281" s="69" t="str">
        <f>TEXT(ASTemp!H2281,Decimals)</f>
        <v/>
      </c>
      <c r="I2281" s="69" t="str">
        <f>TEXT(ASTemp!I2281,Decimals)</f>
        <v/>
      </c>
      <c r="J2281" s="69" t="str">
        <f>TEXT(ASTemp!J2281,Decimals)</f>
        <v/>
      </c>
      <c r="K2281" s="69" t="str">
        <f>TEXT(ASTemp!K2281,Decimals)</f>
        <v/>
      </c>
      <c r="L2281" s="69" t="str">
        <f>TEXT(ASTemp!L2281,Decimals)</f>
        <v/>
      </c>
      <c r="M2281" s="71" t="str">
        <f>TEXT(ASTemp!M2281,Percentages)</f>
        <v/>
      </c>
      <c r="N2281" s="72" t="str">
        <f>TEXT(ASTemp!N2281,Percentages)</f>
        <v/>
      </c>
    </row>
    <row r="2282" ht="14.25" customHeight="1">
      <c r="B2282" s="66" t="str">
        <f>ASTemp!B2282</f>
        <v/>
      </c>
      <c r="C2282" s="67" t="str">
        <f>ASTemp!C2282</f>
        <v/>
      </c>
      <c r="D2282" s="68" t="str">
        <f>ASTemp!D2282</f>
        <v/>
      </c>
      <c r="E2282" s="65" t="str">
        <f>ASTemp!E2282</f>
        <v/>
      </c>
      <c r="F2282" s="69" t="str">
        <f>TEXT(ASTemp!F2282,Decimals)</f>
        <v/>
      </c>
      <c r="G2282" s="69" t="str">
        <f>TEXT(ASTemp!G2282,Decimals)</f>
        <v/>
      </c>
      <c r="H2282" s="69" t="str">
        <f>TEXT(ASTemp!H2282,Decimals)</f>
        <v/>
      </c>
      <c r="I2282" s="69" t="str">
        <f>TEXT(ASTemp!I2282,Decimals)</f>
        <v/>
      </c>
      <c r="J2282" s="69" t="str">
        <f>TEXT(ASTemp!J2282,Decimals)</f>
        <v/>
      </c>
      <c r="K2282" s="69" t="str">
        <f>TEXT(ASTemp!K2282,Decimals)</f>
        <v/>
      </c>
      <c r="L2282" s="69" t="str">
        <f>TEXT(ASTemp!L2282,Decimals)</f>
        <v/>
      </c>
      <c r="M2282" s="71" t="str">
        <f>TEXT(ASTemp!M2282,Percentages)</f>
        <v/>
      </c>
      <c r="N2282" s="72" t="str">
        <f>TEXT(ASTemp!N2282,Percentages)</f>
        <v/>
      </c>
    </row>
    <row r="2283" ht="14.25" customHeight="1">
      <c r="B2283" s="66" t="str">
        <f>ASTemp!B2283</f>
        <v/>
      </c>
      <c r="C2283" s="67" t="str">
        <f>ASTemp!C2283</f>
        <v/>
      </c>
      <c r="D2283" s="68" t="str">
        <f>ASTemp!D2283</f>
        <v/>
      </c>
      <c r="E2283" s="65" t="str">
        <f>ASTemp!E2283</f>
        <v/>
      </c>
      <c r="F2283" s="69" t="str">
        <f>TEXT(ASTemp!F2283,Decimals)</f>
        <v/>
      </c>
      <c r="G2283" s="69" t="str">
        <f>TEXT(ASTemp!G2283,Decimals)</f>
        <v/>
      </c>
      <c r="H2283" s="69" t="str">
        <f>TEXT(ASTemp!H2283,Decimals)</f>
        <v/>
      </c>
      <c r="I2283" s="69" t="str">
        <f>TEXT(ASTemp!I2283,Decimals)</f>
        <v/>
      </c>
      <c r="J2283" s="69" t="str">
        <f>TEXT(ASTemp!J2283,Decimals)</f>
        <v/>
      </c>
      <c r="K2283" s="69" t="str">
        <f>TEXT(ASTemp!K2283,Decimals)</f>
        <v/>
      </c>
      <c r="L2283" s="69" t="str">
        <f>TEXT(ASTemp!L2283,Decimals)</f>
        <v/>
      </c>
      <c r="M2283" s="71" t="str">
        <f>TEXT(ASTemp!M2283,Percentages)</f>
        <v/>
      </c>
      <c r="N2283" s="72" t="str">
        <f>TEXT(ASTemp!N2283,Percentages)</f>
        <v/>
      </c>
    </row>
    <row r="2284" ht="14.25" customHeight="1">
      <c r="B2284" s="66" t="str">
        <f>ASTemp!B2284</f>
        <v/>
      </c>
      <c r="C2284" s="67" t="str">
        <f>ASTemp!C2284</f>
        <v/>
      </c>
      <c r="D2284" s="68" t="str">
        <f>ASTemp!D2284</f>
        <v/>
      </c>
      <c r="E2284" s="65" t="str">
        <f>ASTemp!E2284</f>
        <v/>
      </c>
      <c r="F2284" s="69" t="str">
        <f>TEXT(ASTemp!F2284,Decimals)</f>
        <v/>
      </c>
      <c r="G2284" s="69" t="str">
        <f>TEXT(ASTemp!G2284,Decimals)</f>
        <v/>
      </c>
      <c r="H2284" s="69" t="str">
        <f>TEXT(ASTemp!H2284,Decimals)</f>
        <v/>
      </c>
      <c r="I2284" s="69" t="str">
        <f>TEXT(ASTemp!I2284,Decimals)</f>
        <v/>
      </c>
      <c r="J2284" s="69" t="str">
        <f>TEXT(ASTemp!J2284,Decimals)</f>
        <v/>
      </c>
      <c r="K2284" s="69" t="str">
        <f>TEXT(ASTemp!K2284,Decimals)</f>
        <v/>
      </c>
      <c r="L2284" s="69" t="str">
        <f>TEXT(ASTemp!L2284,Decimals)</f>
        <v/>
      </c>
      <c r="M2284" s="71" t="str">
        <f>TEXT(ASTemp!M2284,Percentages)</f>
        <v/>
      </c>
      <c r="N2284" s="72" t="str">
        <f>TEXT(ASTemp!N2284,Percentages)</f>
        <v/>
      </c>
    </row>
    <row r="2285" ht="14.25" customHeight="1">
      <c r="B2285" s="66" t="str">
        <f>ASTemp!B2285</f>
        <v/>
      </c>
      <c r="C2285" s="67" t="str">
        <f>ASTemp!C2285</f>
        <v/>
      </c>
      <c r="D2285" s="68" t="str">
        <f>ASTemp!D2285</f>
        <v/>
      </c>
      <c r="E2285" s="65" t="str">
        <f>ASTemp!E2285</f>
        <v/>
      </c>
      <c r="F2285" s="69" t="str">
        <f>TEXT(ASTemp!F2285,Decimals)</f>
        <v/>
      </c>
      <c r="G2285" s="69" t="str">
        <f>TEXT(ASTemp!G2285,Decimals)</f>
        <v/>
      </c>
      <c r="H2285" s="69" t="str">
        <f>TEXT(ASTemp!H2285,Decimals)</f>
        <v/>
      </c>
      <c r="I2285" s="69" t="str">
        <f>TEXT(ASTemp!I2285,Decimals)</f>
        <v/>
      </c>
      <c r="J2285" s="69" t="str">
        <f>TEXT(ASTemp!J2285,Decimals)</f>
        <v/>
      </c>
      <c r="K2285" s="69" t="str">
        <f>TEXT(ASTemp!K2285,Decimals)</f>
        <v/>
      </c>
      <c r="L2285" s="69" t="str">
        <f>TEXT(ASTemp!L2285,Decimals)</f>
        <v/>
      </c>
      <c r="M2285" s="71" t="str">
        <f>TEXT(ASTemp!M2285,Percentages)</f>
        <v/>
      </c>
      <c r="N2285" s="72" t="str">
        <f>TEXT(ASTemp!N2285,Percentages)</f>
        <v/>
      </c>
    </row>
    <row r="2286" ht="14.25" customHeight="1">
      <c r="B2286" s="66" t="str">
        <f>ASTemp!B2286</f>
        <v/>
      </c>
      <c r="C2286" s="67" t="str">
        <f>ASTemp!C2286</f>
        <v/>
      </c>
      <c r="D2286" s="68" t="str">
        <f>ASTemp!D2286</f>
        <v/>
      </c>
      <c r="E2286" s="65" t="str">
        <f>ASTemp!E2286</f>
        <v/>
      </c>
      <c r="F2286" s="69" t="str">
        <f>TEXT(ASTemp!F2286,Decimals)</f>
        <v/>
      </c>
      <c r="G2286" s="69" t="str">
        <f>TEXT(ASTemp!G2286,Decimals)</f>
        <v/>
      </c>
      <c r="H2286" s="69" t="str">
        <f>TEXT(ASTemp!H2286,Decimals)</f>
        <v/>
      </c>
      <c r="I2286" s="69" t="str">
        <f>TEXT(ASTemp!I2286,Decimals)</f>
        <v/>
      </c>
      <c r="J2286" s="69" t="str">
        <f>TEXT(ASTemp!J2286,Decimals)</f>
        <v/>
      </c>
      <c r="K2286" s="69" t="str">
        <f>TEXT(ASTemp!K2286,Decimals)</f>
        <v/>
      </c>
      <c r="L2286" s="69" t="str">
        <f>TEXT(ASTemp!L2286,Decimals)</f>
        <v/>
      </c>
      <c r="M2286" s="71" t="str">
        <f>TEXT(ASTemp!M2286,Percentages)</f>
        <v/>
      </c>
      <c r="N2286" s="72" t="str">
        <f>TEXT(ASTemp!N2286,Percentages)</f>
        <v/>
      </c>
    </row>
    <row r="2287" ht="14.25" customHeight="1">
      <c r="B2287" s="66" t="str">
        <f>ASTemp!B2287</f>
        <v/>
      </c>
      <c r="C2287" s="67" t="str">
        <f>ASTemp!C2287</f>
        <v/>
      </c>
      <c r="D2287" s="68" t="str">
        <f>ASTemp!D2287</f>
        <v/>
      </c>
      <c r="E2287" s="65" t="str">
        <f>ASTemp!E2287</f>
        <v/>
      </c>
      <c r="F2287" s="69" t="str">
        <f>TEXT(ASTemp!F2287,Decimals)</f>
        <v/>
      </c>
      <c r="G2287" s="69" t="str">
        <f>TEXT(ASTemp!G2287,Decimals)</f>
        <v/>
      </c>
      <c r="H2287" s="69" t="str">
        <f>TEXT(ASTemp!H2287,Decimals)</f>
        <v/>
      </c>
      <c r="I2287" s="69" t="str">
        <f>TEXT(ASTemp!I2287,Decimals)</f>
        <v/>
      </c>
      <c r="J2287" s="69" t="str">
        <f>TEXT(ASTemp!J2287,Decimals)</f>
        <v/>
      </c>
      <c r="K2287" s="69" t="str">
        <f>TEXT(ASTemp!K2287,Decimals)</f>
        <v/>
      </c>
      <c r="L2287" s="69" t="str">
        <f>TEXT(ASTemp!L2287,Decimals)</f>
        <v/>
      </c>
      <c r="M2287" s="71" t="str">
        <f>TEXT(ASTemp!M2287,Percentages)</f>
        <v/>
      </c>
      <c r="N2287" s="72" t="str">
        <f>TEXT(ASTemp!N2287,Percentages)</f>
        <v/>
      </c>
    </row>
    <row r="2288" ht="14.25" customHeight="1">
      <c r="B2288" s="66" t="str">
        <f>ASTemp!B2288</f>
        <v/>
      </c>
      <c r="C2288" s="67" t="str">
        <f>ASTemp!C2288</f>
        <v/>
      </c>
      <c r="D2288" s="68" t="str">
        <f>ASTemp!D2288</f>
        <v/>
      </c>
      <c r="E2288" s="65" t="str">
        <f>ASTemp!E2288</f>
        <v/>
      </c>
      <c r="F2288" s="69" t="str">
        <f>TEXT(ASTemp!F2288,Decimals)</f>
        <v/>
      </c>
      <c r="G2288" s="69" t="str">
        <f>TEXT(ASTemp!G2288,Decimals)</f>
        <v/>
      </c>
      <c r="H2288" s="69" t="str">
        <f>TEXT(ASTemp!H2288,Decimals)</f>
        <v/>
      </c>
      <c r="I2288" s="69" t="str">
        <f>TEXT(ASTemp!I2288,Decimals)</f>
        <v/>
      </c>
      <c r="J2288" s="69" t="str">
        <f>TEXT(ASTemp!J2288,Decimals)</f>
        <v/>
      </c>
      <c r="K2288" s="69" t="str">
        <f>TEXT(ASTemp!K2288,Decimals)</f>
        <v/>
      </c>
      <c r="L2288" s="69" t="str">
        <f>TEXT(ASTemp!L2288,Decimals)</f>
        <v/>
      </c>
      <c r="M2288" s="71" t="str">
        <f>TEXT(ASTemp!M2288,Percentages)</f>
        <v/>
      </c>
      <c r="N2288" s="72" t="str">
        <f>TEXT(ASTemp!N2288,Percentages)</f>
        <v/>
      </c>
    </row>
    <row r="2289" ht="14.25" customHeight="1">
      <c r="B2289" s="66" t="str">
        <f>ASTemp!B2289</f>
        <v/>
      </c>
      <c r="C2289" s="67" t="str">
        <f>ASTemp!C2289</f>
        <v/>
      </c>
      <c r="D2289" s="68" t="str">
        <f>ASTemp!D2289</f>
        <v/>
      </c>
      <c r="E2289" s="65" t="str">
        <f>ASTemp!E2289</f>
        <v/>
      </c>
      <c r="F2289" s="69" t="str">
        <f>TEXT(ASTemp!F2289,Decimals)</f>
        <v/>
      </c>
      <c r="G2289" s="69" t="str">
        <f>TEXT(ASTemp!G2289,Decimals)</f>
        <v/>
      </c>
      <c r="H2289" s="69" t="str">
        <f>TEXT(ASTemp!H2289,Decimals)</f>
        <v/>
      </c>
      <c r="I2289" s="69" t="str">
        <f>TEXT(ASTemp!I2289,Decimals)</f>
        <v/>
      </c>
      <c r="J2289" s="69" t="str">
        <f>TEXT(ASTemp!J2289,Decimals)</f>
        <v/>
      </c>
      <c r="K2289" s="69" t="str">
        <f>TEXT(ASTemp!K2289,Decimals)</f>
        <v/>
      </c>
      <c r="L2289" s="69" t="str">
        <f>TEXT(ASTemp!L2289,Decimals)</f>
        <v/>
      </c>
      <c r="M2289" s="71" t="str">
        <f>TEXT(ASTemp!M2289,Percentages)</f>
        <v/>
      </c>
      <c r="N2289" s="72" t="str">
        <f>TEXT(ASTemp!N2289,Percentages)</f>
        <v/>
      </c>
    </row>
    <row r="2290" ht="14.25" customHeight="1">
      <c r="B2290" s="66" t="str">
        <f>ASTemp!B2290</f>
        <v/>
      </c>
      <c r="C2290" s="67" t="str">
        <f>ASTemp!C2290</f>
        <v/>
      </c>
      <c r="D2290" s="68" t="str">
        <f>ASTemp!D2290</f>
        <v/>
      </c>
      <c r="E2290" s="65" t="str">
        <f>ASTemp!E2290</f>
        <v/>
      </c>
      <c r="F2290" s="69" t="str">
        <f>TEXT(ASTemp!F2290,Decimals)</f>
        <v/>
      </c>
      <c r="G2290" s="69" t="str">
        <f>TEXT(ASTemp!G2290,Decimals)</f>
        <v/>
      </c>
      <c r="H2290" s="69" t="str">
        <f>TEXT(ASTemp!H2290,Decimals)</f>
        <v/>
      </c>
      <c r="I2290" s="69" t="str">
        <f>TEXT(ASTemp!I2290,Decimals)</f>
        <v/>
      </c>
      <c r="J2290" s="69" t="str">
        <f>TEXT(ASTemp!J2290,Decimals)</f>
        <v/>
      </c>
      <c r="K2290" s="69" t="str">
        <f>TEXT(ASTemp!K2290,Decimals)</f>
        <v/>
      </c>
      <c r="L2290" s="69" t="str">
        <f>TEXT(ASTemp!L2290,Decimals)</f>
        <v/>
      </c>
      <c r="M2290" s="71" t="str">
        <f>TEXT(ASTemp!M2290,Percentages)</f>
        <v/>
      </c>
      <c r="N2290" s="72" t="str">
        <f>TEXT(ASTemp!N2290,Percentages)</f>
        <v/>
      </c>
    </row>
    <row r="2291" ht="14.25" customHeight="1">
      <c r="B2291" s="66" t="str">
        <f>ASTemp!B2291</f>
        <v/>
      </c>
      <c r="C2291" s="67" t="str">
        <f>ASTemp!C2291</f>
        <v/>
      </c>
      <c r="D2291" s="68" t="str">
        <f>ASTemp!D2291</f>
        <v/>
      </c>
      <c r="E2291" s="65" t="str">
        <f>ASTemp!E2291</f>
        <v/>
      </c>
      <c r="F2291" s="69" t="str">
        <f>TEXT(ASTemp!F2291,Decimals)</f>
        <v/>
      </c>
      <c r="G2291" s="69" t="str">
        <f>TEXT(ASTemp!G2291,Decimals)</f>
        <v/>
      </c>
      <c r="H2291" s="69" t="str">
        <f>TEXT(ASTemp!H2291,Decimals)</f>
        <v/>
      </c>
      <c r="I2291" s="69" t="str">
        <f>TEXT(ASTemp!I2291,Decimals)</f>
        <v/>
      </c>
      <c r="J2291" s="69" t="str">
        <f>TEXT(ASTemp!J2291,Decimals)</f>
        <v/>
      </c>
      <c r="K2291" s="69" t="str">
        <f>TEXT(ASTemp!K2291,Decimals)</f>
        <v/>
      </c>
      <c r="L2291" s="69" t="str">
        <f>TEXT(ASTemp!L2291,Decimals)</f>
        <v/>
      </c>
      <c r="M2291" s="71" t="str">
        <f>TEXT(ASTemp!M2291,Percentages)</f>
        <v/>
      </c>
      <c r="N2291" s="72" t="str">
        <f>TEXT(ASTemp!N2291,Percentages)</f>
        <v/>
      </c>
    </row>
    <row r="2292" ht="14.25" customHeight="1">
      <c r="B2292" s="66" t="str">
        <f>ASTemp!B2292</f>
        <v/>
      </c>
      <c r="C2292" s="67" t="str">
        <f>ASTemp!C2292</f>
        <v/>
      </c>
      <c r="D2292" s="68" t="str">
        <f>ASTemp!D2292</f>
        <v/>
      </c>
      <c r="E2292" s="65" t="str">
        <f>ASTemp!E2292</f>
        <v/>
      </c>
      <c r="F2292" s="69" t="str">
        <f>TEXT(ASTemp!F2292,Decimals)</f>
        <v/>
      </c>
      <c r="G2292" s="69" t="str">
        <f>TEXT(ASTemp!G2292,Decimals)</f>
        <v/>
      </c>
      <c r="H2292" s="69" t="str">
        <f>TEXT(ASTemp!H2292,Decimals)</f>
        <v/>
      </c>
      <c r="I2292" s="69" t="str">
        <f>TEXT(ASTemp!I2292,Decimals)</f>
        <v/>
      </c>
      <c r="J2292" s="69" t="str">
        <f>TEXT(ASTemp!J2292,Decimals)</f>
        <v/>
      </c>
      <c r="K2292" s="69" t="str">
        <f>TEXT(ASTemp!K2292,Decimals)</f>
        <v/>
      </c>
      <c r="L2292" s="69" t="str">
        <f>TEXT(ASTemp!L2292,Decimals)</f>
        <v/>
      </c>
      <c r="M2292" s="71" t="str">
        <f>TEXT(ASTemp!M2292,Percentages)</f>
        <v/>
      </c>
      <c r="N2292" s="72" t="str">
        <f>TEXT(ASTemp!N2292,Percentages)</f>
        <v/>
      </c>
    </row>
    <row r="2293" ht="14.25" customHeight="1">
      <c r="B2293" s="66" t="str">
        <f>ASTemp!B2293</f>
        <v/>
      </c>
      <c r="C2293" s="67" t="str">
        <f>ASTemp!C2293</f>
        <v/>
      </c>
      <c r="D2293" s="68" t="str">
        <f>ASTemp!D2293</f>
        <v/>
      </c>
      <c r="E2293" s="65" t="str">
        <f>ASTemp!E2293</f>
        <v/>
      </c>
      <c r="F2293" s="69" t="str">
        <f>TEXT(ASTemp!F2293,Decimals)</f>
        <v/>
      </c>
      <c r="G2293" s="69" t="str">
        <f>TEXT(ASTemp!G2293,Decimals)</f>
        <v/>
      </c>
      <c r="H2293" s="69" t="str">
        <f>TEXT(ASTemp!H2293,Decimals)</f>
        <v/>
      </c>
      <c r="I2293" s="69" t="str">
        <f>TEXT(ASTemp!I2293,Decimals)</f>
        <v/>
      </c>
      <c r="J2293" s="69" t="str">
        <f>TEXT(ASTemp!J2293,Decimals)</f>
        <v/>
      </c>
      <c r="K2293" s="69" t="str">
        <f>TEXT(ASTemp!K2293,Decimals)</f>
        <v/>
      </c>
      <c r="L2293" s="69" t="str">
        <f>TEXT(ASTemp!L2293,Decimals)</f>
        <v/>
      </c>
      <c r="M2293" s="71" t="str">
        <f>TEXT(ASTemp!M2293,Percentages)</f>
        <v/>
      </c>
      <c r="N2293" s="72" t="str">
        <f>TEXT(ASTemp!N2293,Percentages)</f>
        <v/>
      </c>
    </row>
    <row r="2294" ht="14.25" customHeight="1">
      <c r="B2294" s="66" t="str">
        <f>ASTemp!B2294</f>
        <v/>
      </c>
      <c r="C2294" s="67" t="str">
        <f>ASTemp!C2294</f>
        <v/>
      </c>
      <c r="D2294" s="68" t="str">
        <f>ASTemp!D2294</f>
        <v/>
      </c>
      <c r="E2294" s="65" t="str">
        <f>ASTemp!E2294</f>
        <v/>
      </c>
      <c r="F2294" s="69" t="str">
        <f>TEXT(ASTemp!F2294,Decimals)</f>
        <v/>
      </c>
      <c r="G2294" s="69" t="str">
        <f>TEXT(ASTemp!G2294,Decimals)</f>
        <v/>
      </c>
      <c r="H2294" s="69" t="str">
        <f>TEXT(ASTemp!H2294,Decimals)</f>
        <v/>
      </c>
      <c r="I2294" s="69" t="str">
        <f>TEXT(ASTemp!I2294,Decimals)</f>
        <v/>
      </c>
      <c r="J2294" s="69" t="str">
        <f>TEXT(ASTemp!J2294,Decimals)</f>
        <v/>
      </c>
      <c r="K2294" s="69" t="str">
        <f>TEXT(ASTemp!K2294,Decimals)</f>
        <v/>
      </c>
      <c r="L2294" s="69" t="str">
        <f>TEXT(ASTemp!L2294,Decimals)</f>
        <v/>
      </c>
      <c r="M2294" s="71" t="str">
        <f>TEXT(ASTemp!M2294,Percentages)</f>
        <v/>
      </c>
      <c r="N2294" s="72" t="str">
        <f>TEXT(ASTemp!N2294,Percentages)</f>
        <v/>
      </c>
    </row>
    <row r="2295" ht="14.25" customHeight="1">
      <c r="B2295" s="66" t="str">
        <f>ASTemp!B2295</f>
        <v/>
      </c>
      <c r="C2295" s="67" t="str">
        <f>ASTemp!C2295</f>
        <v/>
      </c>
      <c r="D2295" s="68" t="str">
        <f>ASTemp!D2295</f>
        <v/>
      </c>
      <c r="E2295" s="65" t="str">
        <f>ASTemp!E2295</f>
        <v/>
      </c>
      <c r="F2295" s="69" t="str">
        <f>TEXT(ASTemp!F2295,Decimals)</f>
        <v/>
      </c>
      <c r="G2295" s="69" t="str">
        <f>TEXT(ASTemp!G2295,Decimals)</f>
        <v/>
      </c>
      <c r="H2295" s="69" t="str">
        <f>TEXT(ASTemp!H2295,Decimals)</f>
        <v/>
      </c>
      <c r="I2295" s="69" t="str">
        <f>TEXT(ASTemp!I2295,Decimals)</f>
        <v/>
      </c>
      <c r="J2295" s="69" t="str">
        <f>TEXT(ASTemp!J2295,Decimals)</f>
        <v/>
      </c>
      <c r="K2295" s="69" t="str">
        <f>TEXT(ASTemp!K2295,Decimals)</f>
        <v/>
      </c>
      <c r="L2295" s="69" t="str">
        <f>TEXT(ASTemp!L2295,Decimals)</f>
        <v/>
      </c>
      <c r="M2295" s="71" t="str">
        <f>TEXT(ASTemp!M2295,Percentages)</f>
        <v/>
      </c>
      <c r="N2295" s="72" t="str">
        <f>TEXT(ASTemp!N2295,Percentages)</f>
        <v/>
      </c>
    </row>
    <row r="2296" ht="14.25" customHeight="1">
      <c r="B2296" s="66" t="str">
        <f>ASTemp!B2296</f>
        <v/>
      </c>
      <c r="C2296" s="67" t="str">
        <f>ASTemp!C2296</f>
        <v/>
      </c>
      <c r="D2296" s="68" t="str">
        <f>ASTemp!D2296</f>
        <v/>
      </c>
      <c r="E2296" s="65" t="str">
        <f>ASTemp!E2296</f>
        <v/>
      </c>
      <c r="F2296" s="69" t="str">
        <f>TEXT(ASTemp!F2296,Decimals)</f>
        <v/>
      </c>
      <c r="G2296" s="69" t="str">
        <f>TEXT(ASTemp!G2296,Decimals)</f>
        <v/>
      </c>
      <c r="H2296" s="69" t="str">
        <f>TEXT(ASTemp!H2296,Decimals)</f>
        <v/>
      </c>
      <c r="I2296" s="69" t="str">
        <f>TEXT(ASTemp!I2296,Decimals)</f>
        <v/>
      </c>
      <c r="J2296" s="69" t="str">
        <f>TEXT(ASTemp!J2296,Decimals)</f>
        <v/>
      </c>
      <c r="K2296" s="69" t="str">
        <f>TEXT(ASTemp!K2296,Decimals)</f>
        <v/>
      </c>
      <c r="L2296" s="69" t="str">
        <f>TEXT(ASTemp!L2296,Decimals)</f>
        <v/>
      </c>
      <c r="M2296" s="71" t="str">
        <f>TEXT(ASTemp!M2296,Percentages)</f>
        <v/>
      </c>
      <c r="N2296" s="72" t="str">
        <f>TEXT(ASTemp!N2296,Percentages)</f>
        <v/>
      </c>
    </row>
    <row r="2297" ht="14.25" customHeight="1">
      <c r="B2297" s="66" t="str">
        <f>ASTemp!B2297</f>
        <v/>
      </c>
      <c r="C2297" s="67" t="str">
        <f>ASTemp!C2297</f>
        <v/>
      </c>
      <c r="D2297" s="68" t="str">
        <f>ASTemp!D2297</f>
        <v/>
      </c>
      <c r="E2297" s="65" t="str">
        <f>ASTemp!E2297</f>
        <v/>
      </c>
      <c r="F2297" s="69" t="str">
        <f>TEXT(ASTemp!F2297,Decimals)</f>
        <v/>
      </c>
      <c r="G2297" s="69" t="str">
        <f>TEXT(ASTemp!G2297,Decimals)</f>
        <v/>
      </c>
      <c r="H2297" s="69" t="str">
        <f>TEXT(ASTemp!H2297,Decimals)</f>
        <v/>
      </c>
      <c r="I2297" s="69" t="str">
        <f>TEXT(ASTemp!I2297,Decimals)</f>
        <v/>
      </c>
      <c r="J2297" s="69" t="str">
        <f>TEXT(ASTemp!J2297,Decimals)</f>
        <v/>
      </c>
      <c r="K2297" s="69" t="str">
        <f>TEXT(ASTemp!K2297,Decimals)</f>
        <v/>
      </c>
      <c r="L2297" s="69" t="str">
        <f>TEXT(ASTemp!L2297,Decimals)</f>
        <v/>
      </c>
      <c r="M2297" s="71" t="str">
        <f>TEXT(ASTemp!M2297,Percentages)</f>
        <v/>
      </c>
      <c r="N2297" s="72" t="str">
        <f>TEXT(ASTemp!N2297,Percentages)</f>
        <v/>
      </c>
    </row>
    <row r="2298" ht="14.25" customHeight="1">
      <c r="B2298" s="66" t="str">
        <f>ASTemp!B2298</f>
        <v/>
      </c>
      <c r="C2298" s="67" t="str">
        <f>ASTemp!C2298</f>
        <v/>
      </c>
      <c r="D2298" s="68" t="str">
        <f>ASTemp!D2298</f>
        <v/>
      </c>
      <c r="E2298" s="65" t="str">
        <f>ASTemp!E2298</f>
        <v/>
      </c>
      <c r="F2298" s="69" t="str">
        <f>TEXT(ASTemp!F2298,Decimals)</f>
        <v/>
      </c>
      <c r="G2298" s="69" t="str">
        <f>TEXT(ASTemp!G2298,Decimals)</f>
        <v/>
      </c>
      <c r="H2298" s="69" t="str">
        <f>TEXT(ASTemp!H2298,Decimals)</f>
        <v/>
      </c>
      <c r="I2298" s="69" t="str">
        <f>TEXT(ASTemp!I2298,Decimals)</f>
        <v/>
      </c>
      <c r="J2298" s="69" t="str">
        <f>TEXT(ASTemp!J2298,Decimals)</f>
        <v/>
      </c>
      <c r="K2298" s="69" t="str">
        <f>TEXT(ASTemp!K2298,Decimals)</f>
        <v/>
      </c>
      <c r="L2298" s="69" t="str">
        <f>TEXT(ASTemp!L2298,Decimals)</f>
        <v/>
      </c>
      <c r="M2298" s="71" t="str">
        <f>TEXT(ASTemp!M2298,Percentages)</f>
        <v/>
      </c>
      <c r="N2298" s="72" t="str">
        <f>TEXT(ASTemp!N2298,Percentages)</f>
        <v/>
      </c>
    </row>
    <row r="2299" ht="14.25" customHeight="1">
      <c r="B2299" s="66" t="str">
        <f>ASTemp!B2299</f>
        <v/>
      </c>
      <c r="C2299" s="67" t="str">
        <f>ASTemp!C2299</f>
        <v/>
      </c>
      <c r="D2299" s="68" t="str">
        <f>ASTemp!D2299</f>
        <v/>
      </c>
      <c r="E2299" s="65" t="str">
        <f>ASTemp!E2299</f>
        <v/>
      </c>
      <c r="F2299" s="69" t="str">
        <f>TEXT(ASTemp!F2299,Decimals)</f>
        <v/>
      </c>
      <c r="G2299" s="69" t="str">
        <f>TEXT(ASTemp!G2299,Decimals)</f>
        <v/>
      </c>
      <c r="H2299" s="69" t="str">
        <f>TEXT(ASTemp!H2299,Decimals)</f>
        <v/>
      </c>
      <c r="I2299" s="69" t="str">
        <f>TEXT(ASTemp!I2299,Decimals)</f>
        <v/>
      </c>
      <c r="J2299" s="69" t="str">
        <f>TEXT(ASTemp!J2299,Decimals)</f>
        <v/>
      </c>
      <c r="K2299" s="69" t="str">
        <f>TEXT(ASTemp!K2299,Decimals)</f>
        <v/>
      </c>
      <c r="L2299" s="69" t="str">
        <f>TEXT(ASTemp!L2299,Decimals)</f>
        <v/>
      </c>
      <c r="M2299" s="71" t="str">
        <f>TEXT(ASTemp!M2299,Percentages)</f>
        <v/>
      </c>
      <c r="N2299" s="72" t="str">
        <f>TEXT(ASTemp!N2299,Percentages)</f>
        <v/>
      </c>
    </row>
    <row r="2300" ht="14.25" customHeight="1">
      <c r="B2300" s="66" t="str">
        <f>ASTemp!B2300</f>
        <v/>
      </c>
      <c r="C2300" s="67" t="str">
        <f>ASTemp!C2300</f>
        <v/>
      </c>
      <c r="D2300" s="68" t="str">
        <f>ASTemp!D2300</f>
        <v/>
      </c>
      <c r="E2300" s="65" t="str">
        <f>ASTemp!E2300</f>
        <v/>
      </c>
      <c r="F2300" s="69" t="str">
        <f>TEXT(ASTemp!F2300,Decimals)</f>
        <v/>
      </c>
      <c r="G2300" s="69" t="str">
        <f>TEXT(ASTemp!G2300,Decimals)</f>
        <v/>
      </c>
      <c r="H2300" s="69" t="str">
        <f>TEXT(ASTemp!H2300,Decimals)</f>
        <v/>
      </c>
      <c r="I2300" s="69" t="str">
        <f>TEXT(ASTemp!I2300,Decimals)</f>
        <v/>
      </c>
      <c r="J2300" s="69" t="str">
        <f>TEXT(ASTemp!J2300,Decimals)</f>
        <v/>
      </c>
      <c r="K2300" s="69" t="str">
        <f>TEXT(ASTemp!K2300,Decimals)</f>
        <v/>
      </c>
      <c r="L2300" s="69" t="str">
        <f>TEXT(ASTemp!L2300,Decimals)</f>
        <v/>
      </c>
      <c r="M2300" s="71" t="str">
        <f>TEXT(ASTemp!M2300,Percentages)</f>
        <v/>
      </c>
      <c r="N2300" s="72" t="str">
        <f>TEXT(ASTemp!N2300,Percentages)</f>
        <v/>
      </c>
    </row>
    <row r="2301" ht="14.25" customHeight="1">
      <c r="B2301" s="66" t="str">
        <f>ASTemp!B2301</f>
        <v/>
      </c>
      <c r="C2301" s="67" t="str">
        <f>ASTemp!C2301</f>
        <v/>
      </c>
      <c r="D2301" s="68" t="str">
        <f>ASTemp!D2301</f>
        <v/>
      </c>
      <c r="E2301" s="65" t="str">
        <f>ASTemp!E2301</f>
        <v/>
      </c>
      <c r="F2301" s="69" t="str">
        <f>TEXT(ASTemp!F2301,Decimals)</f>
        <v/>
      </c>
      <c r="G2301" s="69" t="str">
        <f>TEXT(ASTemp!G2301,Decimals)</f>
        <v/>
      </c>
      <c r="H2301" s="69" t="str">
        <f>TEXT(ASTemp!H2301,Decimals)</f>
        <v/>
      </c>
      <c r="I2301" s="69" t="str">
        <f>TEXT(ASTemp!I2301,Decimals)</f>
        <v/>
      </c>
      <c r="J2301" s="69" t="str">
        <f>TEXT(ASTemp!J2301,Decimals)</f>
        <v/>
      </c>
      <c r="K2301" s="69" t="str">
        <f>TEXT(ASTemp!K2301,Decimals)</f>
        <v/>
      </c>
      <c r="L2301" s="69" t="str">
        <f>TEXT(ASTemp!L2301,Decimals)</f>
        <v/>
      </c>
      <c r="M2301" s="71" t="str">
        <f>TEXT(ASTemp!M2301,Percentages)</f>
        <v/>
      </c>
      <c r="N2301" s="72" t="str">
        <f>TEXT(ASTemp!N2301,Percentages)</f>
        <v/>
      </c>
    </row>
    <row r="2302" ht="14.25" customHeight="1">
      <c r="B2302" s="66" t="str">
        <f>ASTemp!B2302</f>
        <v/>
      </c>
      <c r="C2302" s="67" t="str">
        <f>ASTemp!C2302</f>
        <v/>
      </c>
      <c r="D2302" s="68" t="str">
        <f>ASTemp!D2302</f>
        <v/>
      </c>
      <c r="E2302" s="65" t="str">
        <f>ASTemp!E2302</f>
        <v/>
      </c>
      <c r="F2302" s="69" t="str">
        <f>TEXT(ASTemp!F2302,Decimals)</f>
        <v/>
      </c>
      <c r="G2302" s="69" t="str">
        <f>TEXT(ASTemp!G2302,Decimals)</f>
        <v/>
      </c>
      <c r="H2302" s="69" t="str">
        <f>TEXT(ASTemp!H2302,Decimals)</f>
        <v/>
      </c>
      <c r="I2302" s="69" t="str">
        <f>TEXT(ASTemp!I2302,Decimals)</f>
        <v/>
      </c>
      <c r="J2302" s="69" t="str">
        <f>TEXT(ASTemp!J2302,Decimals)</f>
        <v/>
      </c>
      <c r="K2302" s="69" t="str">
        <f>TEXT(ASTemp!K2302,Decimals)</f>
        <v/>
      </c>
      <c r="L2302" s="69" t="str">
        <f>TEXT(ASTemp!L2302,Decimals)</f>
        <v/>
      </c>
      <c r="M2302" s="71" t="str">
        <f>TEXT(ASTemp!M2302,Percentages)</f>
        <v/>
      </c>
      <c r="N2302" s="72" t="str">
        <f>TEXT(ASTemp!N2302,Percentages)</f>
        <v/>
      </c>
    </row>
    <row r="2303" ht="14.25" customHeight="1">
      <c r="B2303" s="66" t="str">
        <f>ASTemp!B2303</f>
        <v/>
      </c>
      <c r="C2303" s="67" t="str">
        <f>ASTemp!C2303</f>
        <v/>
      </c>
      <c r="D2303" s="68" t="str">
        <f>ASTemp!D2303</f>
        <v/>
      </c>
      <c r="E2303" s="65" t="str">
        <f>ASTemp!E2303</f>
        <v/>
      </c>
      <c r="F2303" s="69" t="str">
        <f>TEXT(ASTemp!F2303,Decimals)</f>
        <v/>
      </c>
      <c r="G2303" s="69" t="str">
        <f>TEXT(ASTemp!G2303,Decimals)</f>
        <v/>
      </c>
      <c r="H2303" s="69" t="str">
        <f>TEXT(ASTemp!H2303,Decimals)</f>
        <v/>
      </c>
      <c r="I2303" s="69" t="str">
        <f>TEXT(ASTemp!I2303,Decimals)</f>
        <v/>
      </c>
      <c r="J2303" s="69" t="str">
        <f>TEXT(ASTemp!J2303,Decimals)</f>
        <v/>
      </c>
      <c r="K2303" s="69" t="str">
        <f>TEXT(ASTemp!K2303,Decimals)</f>
        <v/>
      </c>
      <c r="L2303" s="69" t="str">
        <f>TEXT(ASTemp!L2303,Decimals)</f>
        <v/>
      </c>
      <c r="M2303" s="71" t="str">
        <f>TEXT(ASTemp!M2303,Percentages)</f>
        <v/>
      </c>
      <c r="N2303" s="72" t="str">
        <f>TEXT(ASTemp!N2303,Percentages)</f>
        <v/>
      </c>
    </row>
    <row r="2304" ht="14.25" customHeight="1">
      <c r="B2304" s="66" t="str">
        <f>ASTemp!B2304</f>
        <v/>
      </c>
      <c r="C2304" s="67" t="str">
        <f>ASTemp!C2304</f>
        <v/>
      </c>
      <c r="D2304" s="68" t="str">
        <f>ASTemp!D2304</f>
        <v/>
      </c>
      <c r="E2304" s="65" t="str">
        <f>ASTemp!E2304</f>
        <v/>
      </c>
      <c r="F2304" s="69" t="str">
        <f>TEXT(ASTemp!F2304,Decimals)</f>
        <v/>
      </c>
      <c r="G2304" s="69" t="str">
        <f>TEXT(ASTemp!G2304,Decimals)</f>
        <v/>
      </c>
      <c r="H2304" s="69" t="str">
        <f>TEXT(ASTemp!H2304,Decimals)</f>
        <v/>
      </c>
      <c r="I2304" s="69" t="str">
        <f>TEXT(ASTemp!I2304,Decimals)</f>
        <v/>
      </c>
      <c r="J2304" s="69" t="str">
        <f>TEXT(ASTemp!J2304,Decimals)</f>
        <v/>
      </c>
      <c r="K2304" s="69" t="str">
        <f>TEXT(ASTemp!K2304,Decimals)</f>
        <v/>
      </c>
      <c r="L2304" s="69" t="str">
        <f>TEXT(ASTemp!L2304,Decimals)</f>
        <v/>
      </c>
      <c r="M2304" s="71" t="str">
        <f>TEXT(ASTemp!M2304,Percentages)</f>
        <v/>
      </c>
      <c r="N2304" s="72" t="str">
        <f>TEXT(ASTemp!N2304,Percentages)</f>
        <v/>
      </c>
    </row>
    <row r="2305" ht="14.25" customHeight="1">
      <c r="B2305" s="66" t="str">
        <f>ASTemp!B2305</f>
        <v/>
      </c>
      <c r="C2305" s="67" t="str">
        <f>ASTemp!C2305</f>
        <v/>
      </c>
      <c r="D2305" s="68" t="str">
        <f>ASTemp!D2305</f>
        <v/>
      </c>
      <c r="E2305" s="65" t="str">
        <f>ASTemp!E2305</f>
        <v/>
      </c>
      <c r="F2305" s="69" t="str">
        <f>TEXT(ASTemp!F2305,Decimals)</f>
        <v/>
      </c>
      <c r="G2305" s="69" t="str">
        <f>TEXT(ASTemp!G2305,Decimals)</f>
        <v/>
      </c>
      <c r="H2305" s="69" t="str">
        <f>TEXT(ASTemp!H2305,Decimals)</f>
        <v/>
      </c>
      <c r="I2305" s="69" t="str">
        <f>TEXT(ASTemp!I2305,Decimals)</f>
        <v/>
      </c>
      <c r="J2305" s="69" t="str">
        <f>TEXT(ASTemp!J2305,Decimals)</f>
        <v/>
      </c>
      <c r="K2305" s="69" t="str">
        <f>TEXT(ASTemp!K2305,Decimals)</f>
        <v/>
      </c>
      <c r="L2305" s="69" t="str">
        <f>TEXT(ASTemp!L2305,Decimals)</f>
        <v/>
      </c>
      <c r="M2305" s="71" t="str">
        <f>TEXT(ASTemp!M2305,Percentages)</f>
        <v/>
      </c>
      <c r="N2305" s="72" t="str">
        <f>TEXT(ASTemp!N2305,Percentages)</f>
        <v/>
      </c>
    </row>
    <row r="2306" ht="14.25" customHeight="1">
      <c r="B2306" s="66" t="str">
        <f>ASTemp!B2306</f>
        <v/>
      </c>
      <c r="C2306" s="67" t="str">
        <f>ASTemp!C2306</f>
        <v/>
      </c>
      <c r="D2306" s="68" t="str">
        <f>ASTemp!D2306</f>
        <v/>
      </c>
      <c r="E2306" s="65" t="str">
        <f>ASTemp!E2306</f>
        <v/>
      </c>
      <c r="F2306" s="69" t="str">
        <f>TEXT(ASTemp!F2306,Decimals)</f>
        <v/>
      </c>
      <c r="G2306" s="69" t="str">
        <f>TEXT(ASTemp!G2306,Decimals)</f>
        <v/>
      </c>
      <c r="H2306" s="69" t="str">
        <f>TEXT(ASTemp!H2306,Decimals)</f>
        <v/>
      </c>
      <c r="I2306" s="69" t="str">
        <f>TEXT(ASTemp!I2306,Decimals)</f>
        <v/>
      </c>
      <c r="J2306" s="69" t="str">
        <f>TEXT(ASTemp!J2306,Decimals)</f>
        <v/>
      </c>
      <c r="K2306" s="69" t="str">
        <f>TEXT(ASTemp!K2306,Decimals)</f>
        <v/>
      </c>
      <c r="L2306" s="69" t="str">
        <f>TEXT(ASTemp!L2306,Decimals)</f>
        <v/>
      </c>
      <c r="M2306" s="71" t="str">
        <f>TEXT(ASTemp!M2306,Percentages)</f>
        <v/>
      </c>
      <c r="N2306" s="72" t="str">
        <f>TEXT(ASTemp!N2306,Percentages)</f>
        <v/>
      </c>
    </row>
    <row r="2307" ht="14.25" customHeight="1">
      <c r="B2307" s="66" t="str">
        <f>ASTemp!B2307</f>
        <v/>
      </c>
      <c r="C2307" s="67" t="str">
        <f>ASTemp!C2307</f>
        <v/>
      </c>
      <c r="D2307" s="68" t="str">
        <f>ASTemp!D2307</f>
        <v/>
      </c>
      <c r="E2307" s="65" t="str">
        <f>ASTemp!E2307</f>
        <v/>
      </c>
      <c r="F2307" s="69" t="str">
        <f>TEXT(ASTemp!F2307,Decimals)</f>
        <v/>
      </c>
      <c r="G2307" s="69" t="str">
        <f>TEXT(ASTemp!G2307,Decimals)</f>
        <v/>
      </c>
      <c r="H2307" s="69" t="str">
        <f>TEXT(ASTemp!H2307,Decimals)</f>
        <v/>
      </c>
      <c r="I2307" s="69" t="str">
        <f>TEXT(ASTemp!I2307,Decimals)</f>
        <v/>
      </c>
      <c r="J2307" s="69" t="str">
        <f>TEXT(ASTemp!J2307,Decimals)</f>
        <v/>
      </c>
      <c r="K2307" s="69" t="str">
        <f>TEXT(ASTemp!K2307,Decimals)</f>
        <v/>
      </c>
      <c r="L2307" s="69" t="str">
        <f>TEXT(ASTemp!L2307,Decimals)</f>
        <v/>
      </c>
      <c r="M2307" s="71" t="str">
        <f>TEXT(ASTemp!M2307,Percentages)</f>
        <v/>
      </c>
      <c r="N2307" s="72" t="str">
        <f>TEXT(ASTemp!N2307,Percentages)</f>
        <v/>
      </c>
    </row>
    <row r="2308" ht="14.25" customHeight="1">
      <c r="B2308" s="66" t="str">
        <f>ASTemp!B2308</f>
        <v/>
      </c>
      <c r="C2308" s="67" t="str">
        <f>ASTemp!C2308</f>
        <v/>
      </c>
      <c r="D2308" s="68" t="str">
        <f>ASTemp!D2308</f>
        <v/>
      </c>
      <c r="E2308" s="65" t="str">
        <f>ASTemp!E2308</f>
        <v/>
      </c>
      <c r="F2308" s="69" t="str">
        <f>TEXT(ASTemp!F2308,Decimals)</f>
        <v/>
      </c>
      <c r="G2308" s="69" t="str">
        <f>TEXT(ASTemp!G2308,Decimals)</f>
        <v/>
      </c>
      <c r="H2308" s="69" t="str">
        <f>TEXT(ASTemp!H2308,Decimals)</f>
        <v/>
      </c>
      <c r="I2308" s="69" t="str">
        <f>TEXT(ASTemp!I2308,Decimals)</f>
        <v/>
      </c>
      <c r="J2308" s="69" t="str">
        <f>TEXT(ASTemp!J2308,Decimals)</f>
        <v/>
      </c>
      <c r="K2308" s="69" t="str">
        <f>TEXT(ASTemp!K2308,Decimals)</f>
        <v/>
      </c>
      <c r="L2308" s="69" t="str">
        <f>TEXT(ASTemp!L2308,Decimals)</f>
        <v/>
      </c>
      <c r="M2308" s="71" t="str">
        <f>TEXT(ASTemp!M2308,Percentages)</f>
        <v/>
      </c>
      <c r="N2308" s="72" t="str">
        <f>TEXT(ASTemp!N2308,Percentages)</f>
        <v/>
      </c>
    </row>
    <row r="2309" ht="14.25" customHeight="1">
      <c r="B2309" s="66" t="str">
        <f>ASTemp!B2309</f>
        <v/>
      </c>
      <c r="C2309" s="67" t="str">
        <f>ASTemp!C2309</f>
        <v/>
      </c>
      <c r="D2309" s="68" t="str">
        <f>ASTemp!D2309</f>
        <v/>
      </c>
      <c r="E2309" s="65" t="str">
        <f>ASTemp!E2309</f>
        <v/>
      </c>
      <c r="F2309" s="69" t="str">
        <f>TEXT(ASTemp!F2309,Decimals)</f>
        <v/>
      </c>
      <c r="G2309" s="69" t="str">
        <f>TEXT(ASTemp!G2309,Decimals)</f>
        <v/>
      </c>
      <c r="H2309" s="69" t="str">
        <f>TEXT(ASTemp!H2309,Decimals)</f>
        <v/>
      </c>
      <c r="I2309" s="69" t="str">
        <f>TEXT(ASTemp!I2309,Decimals)</f>
        <v/>
      </c>
      <c r="J2309" s="69" t="str">
        <f>TEXT(ASTemp!J2309,Decimals)</f>
        <v/>
      </c>
      <c r="K2309" s="69" t="str">
        <f>TEXT(ASTemp!K2309,Decimals)</f>
        <v/>
      </c>
      <c r="L2309" s="69" t="str">
        <f>TEXT(ASTemp!L2309,Decimals)</f>
        <v/>
      </c>
      <c r="M2309" s="71" t="str">
        <f>TEXT(ASTemp!M2309,Percentages)</f>
        <v/>
      </c>
      <c r="N2309" s="72" t="str">
        <f>TEXT(ASTemp!N2309,Percentages)</f>
        <v/>
      </c>
    </row>
    <row r="2310" ht="14.25" customHeight="1">
      <c r="B2310" s="66" t="str">
        <f>ASTemp!B2310</f>
        <v/>
      </c>
      <c r="C2310" s="67" t="str">
        <f>ASTemp!C2310</f>
        <v/>
      </c>
      <c r="D2310" s="68" t="str">
        <f>ASTemp!D2310</f>
        <v/>
      </c>
      <c r="E2310" s="65" t="str">
        <f>ASTemp!E2310</f>
        <v/>
      </c>
      <c r="F2310" s="69" t="str">
        <f>TEXT(ASTemp!F2310,Decimals)</f>
        <v/>
      </c>
      <c r="G2310" s="69" t="str">
        <f>TEXT(ASTemp!G2310,Decimals)</f>
        <v/>
      </c>
      <c r="H2310" s="69" t="str">
        <f>TEXT(ASTemp!H2310,Decimals)</f>
        <v/>
      </c>
      <c r="I2310" s="69" t="str">
        <f>TEXT(ASTemp!I2310,Decimals)</f>
        <v/>
      </c>
      <c r="J2310" s="69" t="str">
        <f>TEXT(ASTemp!J2310,Decimals)</f>
        <v/>
      </c>
      <c r="K2310" s="69" t="str">
        <f>TEXT(ASTemp!K2310,Decimals)</f>
        <v/>
      </c>
      <c r="L2310" s="69" t="str">
        <f>TEXT(ASTemp!L2310,Decimals)</f>
        <v/>
      </c>
      <c r="M2310" s="71" t="str">
        <f>TEXT(ASTemp!M2310,Percentages)</f>
        <v/>
      </c>
      <c r="N2310" s="72" t="str">
        <f>TEXT(ASTemp!N2310,Percentages)</f>
        <v/>
      </c>
    </row>
    <row r="2311" ht="14.25" customHeight="1">
      <c r="B2311" s="66" t="str">
        <f>ASTemp!B2311</f>
        <v/>
      </c>
      <c r="C2311" s="67" t="str">
        <f>ASTemp!C2311</f>
        <v/>
      </c>
      <c r="D2311" s="68" t="str">
        <f>ASTemp!D2311</f>
        <v/>
      </c>
      <c r="E2311" s="65" t="str">
        <f>ASTemp!E2311</f>
        <v/>
      </c>
      <c r="F2311" s="69" t="str">
        <f>TEXT(ASTemp!F2311,Decimals)</f>
        <v/>
      </c>
      <c r="G2311" s="69" t="str">
        <f>TEXT(ASTemp!G2311,Decimals)</f>
        <v/>
      </c>
      <c r="H2311" s="69" t="str">
        <f>TEXT(ASTemp!H2311,Decimals)</f>
        <v/>
      </c>
      <c r="I2311" s="69" t="str">
        <f>TEXT(ASTemp!I2311,Decimals)</f>
        <v/>
      </c>
      <c r="J2311" s="69" t="str">
        <f>TEXT(ASTemp!J2311,Decimals)</f>
        <v/>
      </c>
      <c r="K2311" s="69" t="str">
        <f>TEXT(ASTemp!K2311,Decimals)</f>
        <v/>
      </c>
      <c r="L2311" s="69" t="str">
        <f>TEXT(ASTemp!L2311,Decimals)</f>
        <v/>
      </c>
      <c r="M2311" s="71" t="str">
        <f>TEXT(ASTemp!M2311,Percentages)</f>
        <v/>
      </c>
      <c r="N2311" s="72" t="str">
        <f>TEXT(ASTemp!N2311,Percentages)</f>
        <v/>
      </c>
    </row>
    <row r="2312" ht="14.25" customHeight="1">
      <c r="B2312" s="66" t="str">
        <f>ASTemp!B2312</f>
        <v/>
      </c>
      <c r="C2312" s="67" t="str">
        <f>ASTemp!C2312</f>
        <v/>
      </c>
      <c r="D2312" s="68" t="str">
        <f>ASTemp!D2312</f>
        <v/>
      </c>
      <c r="E2312" s="65" t="str">
        <f>ASTemp!E2312</f>
        <v/>
      </c>
      <c r="F2312" s="69" t="str">
        <f>TEXT(ASTemp!F2312,Decimals)</f>
        <v/>
      </c>
      <c r="G2312" s="69" t="str">
        <f>TEXT(ASTemp!G2312,Decimals)</f>
        <v/>
      </c>
      <c r="H2312" s="69" t="str">
        <f>TEXT(ASTemp!H2312,Decimals)</f>
        <v/>
      </c>
      <c r="I2312" s="69" t="str">
        <f>TEXT(ASTemp!I2312,Decimals)</f>
        <v/>
      </c>
      <c r="J2312" s="69" t="str">
        <f>TEXT(ASTemp!J2312,Decimals)</f>
        <v/>
      </c>
      <c r="K2312" s="69" t="str">
        <f>TEXT(ASTemp!K2312,Decimals)</f>
        <v/>
      </c>
      <c r="L2312" s="69" t="str">
        <f>TEXT(ASTemp!L2312,Decimals)</f>
        <v/>
      </c>
      <c r="M2312" s="71" t="str">
        <f>TEXT(ASTemp!M2312,Percentages)</f>
        <v/>
      </c>
      <c r="N2312" s="72" t="str">
        <f>TEXT(ASTemp!N2312,Percentages)</f>
        <v/>
      </c>
    </row>
    <row r="2313" ht="14.25" customHeight="1">
      <c r="B2313" s="66" t="str">
        <f>ASTemp!B2313</f>
        <v/>
      </c>
      <c r="C2313" s="67" t="str">
        <f>ASTemp!C2313</f>
        <v/>
      </c>
      <c r="D2313" s="68" t="str">
        <f>ASTemp!D2313</f>
        <v/>
      </c>
      <c r="E2313" s="65" t="str">
        <f>ASTemp!E2313</f>
        <v/>
      </c>
      <c r="F2313" s="69" t="str">
        <f>TEXT(ASTemp!F2313,Decimals)</f>
        <v/>
      </c>
      <c r="G2313" s="69" t="str">
        <f>TEXT(ASTemp!G2313,Decimals)</f>
        <v/>
      </c>
      <c r="H2313" s="69" t="str">
        <f>TEXT(ASTemp!H2313,Decimals)</f>
        <v/>
      </c>
      <c r="I2313" s="69" t="str">
        <f>TEXT(ASTemp!I2313,Decimals)</f>
        <v/>
      </c>
      <c r="J2313" s="69" t="str">
        <f>TEXT(ASTemp!J2313,Decimals)</f>
        <v/>
      </c>
      <c r="K2313" s="69" t="str">
        <f>TEXT(ASTemp!K2313,Decimals)</f>
        <v/>
      </c>
      <c r="L2313" s="69" t="str">
        <f>TEXT(ASTemp!L2313,Decimals)</f>
        <v/>
      </c>
      <c r="M2313" s="71" t="str">
        <f>TEXT(ASTemp!M2313,Percentages)</f>
        <v/>
      </c>
      <c r="N2313" s="72" t="str">
        <f>TEXT(ASTemp!N2313,Percentages)</f>
        <v/>
      </c>
    </row>
    <row r="2314" ht="14.25" customHeight="1">
      <c r="B2314" s="66" t="str">
        <f>ASTemp!B2314</f>
        <v/>
      </c>
      <c r="C2314" s="67" t="str">
        <f>ASTemp!C2314</f>
        <v/>
      </c>
      <c r="D2314" s="68" t="str">
        <f>ASTemp!D2314</f>
        <v/>
      </c>
      <c r="E2314" s="65" t="str">
        <f>ASTemp!E2314</f>
        <v/>
      </c>
      <c r="F2314" s="69" t="str">
        <f>TEXT(ASTemp!F2314,Decimals)</f>
        <v/>
      </c>
      <c r="G2314" s="69" t="str">
        <f>TEXT(ASTemp!G2314,Decimals)</f>
        <v/>
      </c>
      <c r="H2314" s="69" t="str">
        <f>TEXT(ASTemp!H2314,Decimals)</f>
        <v/>
      </c>
      <c r="I2314" s="69" t="str">
        <f>TEXT(ASTemp!I2314,Decimals)</f>
        <v/>
      </c>
      <c r="J2314" s="69" t="str">
        <f>TEXT(ASTemp!J2314,Decimals)</f>
        <v/>
      </c>
      <c r="K2314" s="69" t="str">
        <f>TEXT(ASTemp!K2314,Decimals)</f>
        <v/>
      </c>
      <c r="L2314" s="69" t="str">
        <f>TEXT(ASTemp!L2314,Decimals)</f>
        <v/>
      </c>
      <c r="M2314" s="71" t="str">
        <f>TEXT(ASTemp!M2314,Percentages)</f>
        <v/>
      </c>
      <c r="N2314" s="72" t="str">
        <f>TEXT(ASTemp!N2314,Percentages)</f>
        <v/>
      </c>
    </row>
    <row r="2315" ht="14.25" customHeight="1">
      <c r="B2315" s="66" t="str">
        <f>ASTemp!B2315</f>
        <v/>
      </c>
      <c r="C2315" s="67" t="str">
        <f>ASTemp!C2315</f>
        <v/>
      </c>
      <c r="D2315" s="68" t="str">
        <f>ASTemp!D2315</f>
        <v/>
      </c>
      <c r="E2315" s="65" t="str">
        <f>ASTemp!E2315</f>
        <v/>
      </c>
      <c r="F2315" s="69" t="str">
        <f>TEXT(ASTemp!F2315,Decimals)</f>
        <v/>
      </c>
      <c r="G2315" s="69" t="str">
        <f>TEXT(ASTemp!G2315,Decimals)</f>
        <v/>
      </c>
      <c r="H2315" s="69" t="str">
        <f>TEXT(ASTemp!H2315,Decimals)</f>
        <v/>
      </c>
      <c r="I2315" s="69" t="str">
        <f>TEXT(ASTemp!I2315,Decimals)</f>
        <v/>
      </c>
      <c r="J2315" s="69" t="str">
        <f>TEXT(ASTemp!J2315,Decimals)</f>
        <v/>
      </c>
      <c r="K2315" s="69" t="str">
        <f>TEXT(ASTemp!K2315,Decimals)</f>
        <v/>
      </c>
      <c r="L2315" s="69" t="str">
        <f>TEXT(ASTemp!L2315,Decimals)</f>
        <v/>
      </c>
      <c r="M2315" s="71" t="str">
        <f>TEXT(ASTemp!M2315,Percentages)</f>
        <v/>
      </c>
      <c r="N2315" s="72" t="str">
        <f>TEXT(ASTemp!N2315,Percentages)</f>
        <v/>
      </c>
    </row>
    <row r="2316" ht="14.25" customHeight="1">
      <c r="B2316" s="66" t="str">
        <f>ASTemp!B2316</f>
        <v/>
      </c>
      <c r="C2316" s="67" t="str">
        <f>ASTemp!C2316</f>
        <v/>
      </c>
      <c r="D2316" s="68" t="str">
        <f>ASTemp!D2316</f>
        <v/>
      </c>
      <c r="E2316" s="65" t="str">
        <f>ASTemp!E2316</f>
        <v/>
      </c>
      <c r="F2316" s="69" t="str">
        <f>TEXT(ASTemp!F2316,Decimals)</f>
        <v/>
      </c>
      <c r="G2316" s="69" t="str">
        <f>TEXT(ASTemp!G2316,Decimals)</f>
        <v/>
      </c>
      <c r="H2316" s="69" t="str">
        <f>TEXT(ASTemp!H2316,Decimals)</f>
        <v/>
      </c>
      <c r="I2316" s="69" t="str">
        <f>TEXT(ASTemp!I2316,Decimals)</f>
        <v/>
      </c>
      <c r="J2316" s="69" t="str">
        <f>TEXT(ASTemp!J2316,Decimals)</f>
        <v/>
      </c>
      <c r="K2316" s="69" t="str">
        <f>TEXT(ASTemp!K2316,Decimals)</f>
        <v/>
      </c>
      <c r="L2316" s="69" t="str">
        <f>TEXT(ASTemp!L2316,Decimals)</f>
        <v/>
      </c>
      <c r="M2316" s="71" t="str">
        <f>TEXT(ASTemp!M2316,Percentages)</f>
        <v/>
      </c>
      <c r="N2316" s="72" t="str">
        <f>TEXT(ASTemp!N2316,Percentages)</f>
        <v/>
      </c>
    </row>
    <row r="2317" ht="14.25" customHeight="1">
      <c r="B2317" s="66" t="str">
        <f>ASTemp!B2317</f>
        <v/>
      </c>
      <c r="C2317" s="67" t="str">
        <f>ASTemp!C2317</f>
        <v/>
      </c>
      <c r="D2317" s="68" t="str">
        <f>ASTemp!D2317</f>
        <v/>
      </c>
      <c r="E2317" s="65" t="str">
        <f>ASTemp!E2317</f>
        <v/>
      </c>
      <c r="F2317" s="69" t="str">
        <f>TEXT(ASTemp!F2317,Decimals)</f>
        <v/>
      </c>
      <c r="G2317" s="69" t="str">
        <f>TEXT(ASTemp!G2317,Decimals)</f>
        <v/>
      </c>
      <c r="H2317" s="69" t="str">
        <f>TEXT(ASTemp!H2317,Decimals)</f>
        <v/>
      </c>
      <c r="I2317" s="69" t="str">
        <f>TEXT(ASTemp!I2317,Decimals)</f>
        <v/>
      </c>
      <c r="J2317" s="69" t="str">
        <f>TEXT(ASTemp!J2317,Decimals)</f>
        <v/>
      </c>
      <c r="K2317" s="69" t="str">
        <f>TEXT(ASTemp!K2317,Decimals)</f>
        <v/>
      </c>
      <c r="L2317" s="69" t="str">
        <f>TEXT(ASTemp!L2317,Decimals)</f>
        <v/>
      </c>
      <c r="M2317" s="71" t="str">
        <f>TEXT(ASTemp!M2317,Percentages)</f>
        <v/>
      </c>
      <c r="N2317" s="72" t="str">
        <f>TEXT(ASTemp!N2317,Percentages)</f>
        <v/>
      </c>
    </row>
    <row r="2318" ht="14.25" customHeight="1">
      <c r="B2318" s="66" t="str">
        <f>ASTemp!B2318</f>
        <v/>
      </c>
      <c r="C2318" s="67" t="str">
        <f>ASTemp!C2318</f>
        <v/>
      </c>
      <c r="D2318" s="68" t="str">
        <f>ASTemp!D2318</f>
        <v/>
      </c>
      <c r="E2318" s="65" t="str">
        <f>ASTemp!E2318</f>
        <v/>
      </c>
      <c r="F2318" s="69" t="str">
        <f>TEXT(ASTemp!F2318,Decimals)</f>
        <v/>
      </c>
      <c r="G2318" s="69" t="str">
        <f>TEXT(ASTemp!G2318,Decimals)</f>
        <v/>
      </c>
      <c r="H2318" s="69" t="str">
        <f>TEXT(ASTemp!H2318,Decimals)</f>
        <v/>
      </c>
      <c r="I2318" s="69" t="str">
        <f>TEXT(ASTemp!I2318,Decimals)</f>
        <v/>
      </c>
      <c r="J2318" s="69" t="str">
        <f>TEXT(ASTemp!J2318,Decimals)</f>
        <v/>
      </c>
      <c r="K2318" s="69" t="str">
        <f>TEXT(ASTemp!K2318,Decimals)</f>
        <v/>
      </c>
      <c r="L2318" s="69" t="str">
        <f>TEXT(ASTemp!L2318,Decimals)</f>
        <v/>
      </c>
      <c r="M2318" s="71" t="str">
        <f>TEXT(ASTemp!M2318,Percentages)</f>
        <v/>
      </c>
      <c r="N2318" s="72" t="str">
        <f>TEXT(ASTemp!N2318,Percentages)</f>
        <v/>
      </c>
    </row>
    <row r="2319" ht="14.25" customHeight="1">
      <c r="B2319" s="66" t="str">
        <f>ASTemp!B2319</f>
        <v/>
      </c>
      <c r="C2319" s="67" t="str">
        <f>ASTemp!C2319</f>
        <v/>
      </c>
      <c r="D2319" s="68" t="str">
        <f>ASTemp!D2319</f>
        <v/>
      </c>
      <c r="E2319" s="65" t="str">
        <f>ASTemp!E2319</f>
        <v/>
      </c>
      <c r="F2319" s="69" t="str">
        <f>TEXT(ASTemp!F2319,Decimals)</f>
        <v/>
      </c>
      <c r="G2319" s="69" t="str">
        <f>TEXT(ASTemp!G2319,Decimals)</f>
        <v/>
      </c>
      <c r="H2319" s="69" t="str">
        <f>TEXT(ASTemp!H2319,Decimals)</f>
        <v/>
      </c>
      <c r="I2319" s="69" t="str">
        <f>TEXT(ASTemp!I2319,Decimals)</f>
        <v/>
      </c>
      <c r="J2319" s="69" t="str">
        <f>TEXT(ASTemp!J2319,Decimals)</f>
        <v/>
      </c>
      <c r="K2319" s="69" t="str">
        <f>TEXT(ASTemp!K2319,Decimals)</f>
        <v/>
      </c>
      <c r="L2319" s="69" t="str">
        <f>TEXT(ASTemp!L2319,Decimals)</f>
        <v/>
      </c>
      <c r="M2319" s="71" t="str">
        <f>TEXT(ASTemp!M2319,Percentages)</f>
        <v/>
      </c>
      <c r="N2319" s="72" t="str">
        <f>TEXT(ASTemp!N2319,Percentages)</f>
        <v/>
      </c>
    </row>
    <row r="2320" ht="14.25" customHeight="1">
      <c r="B2320" s="66" t="str">
        <f>ASTemp!B2320</f>
        <v/>
      </c>
      <c r="C2320" s="67" t="str">
        <f>ASTemp!C2320</f>
        <v/>
      </c>
      <c r="D2320" s="68" t="str">
        <f>ASTemp!D2320</f>
        <v/>
      </c>
      <c r="E2320" s="65" t="str">
        <f>ASTemp!E2320</f>
        <v/>
      </c>
      <c r="F2320" s="69" t="str">
        <f>TEXT(ASTemp!F2320,Decimals)</f>
        <v/>
      </c>
      <c r="G2320" s="69" t="str">
        <f>TEXT(ASTemp!G2320,Decimals)</f>
        <v/>
      </c>
      <c r="H2320" s="69" t="str">
        <f>TEXT(ASTemp!H2320,Decimals)</f>
        <v/>
      </c>
      <c r="I2320" s="69" t="str">
        <f>TEXT(ASTemp!I2320,Decimals)</f>
        <v/>
      </c>
      <c r="J2320" s="69" t="str">
        <f>TEXT(ASTemp!J2320,Decimals)</f>
        <v/>
      </c>
      <c r="K2320" s="69" t="str">
        <f>TEXT(ASTemp!K2320,Decimals)</f>
        <v/>
      </c>
      <c r="L2320" s="69" t="str">
        <f>TEXT(ASTemp!L2320,Decimals)</f>
        <v/>
      </c>
      <c r="M2320" s="71" t="str">
        <f>TEXT(ASTemp!M2320,Percentages)</f>
        <v/>
      </c>
      <c r="N2320" s="72" t="str">
        <f>TEXT(ASTemp!N2320,Percentages)</f>
        <v/>
      </c>
    </row>
    <row r="2321" ht="14.25" customHeight="1">
      <c r="B2321" s="66" t="str">
        <f>ASTemp!B2321</f>
        <v/>
      </c>
      <c r="C2321" s="67" t="str">
        <f>ASTemp!C2321</f>
        <v/>
      </c>
      <c r="D2321" s="68" t="str">
        <f>ASTemp!D2321</f>
        <v/>
      </c>
      <c r="E2321" s="65" t="str">
        <f>ASTemp!E2321</f>
        <v/>
      </c>
      <c r="F2321" s="69" t="str">
        <f>TEXT(ASTemp!F2321,Decimals)</f>
        <v/>
      </c>
      <c r="G2321" s="69" t="str">
        <f>TEXT(ASTemp!G2321,Decimals)</f>
        <v/>
      </c>
      <c r="H2321" s="69" t="str">
        <f>TEXT(ASTemp!H2321,Decimals)</f>
        <v/>
      </c>
      <c r="I2321" s="69" t="str">
        <f>TEXT(ASTemp!I2321,Decimals)</f>
        <v/>
      </c>
      <c r="J2321" s="69" t="str">
        <f>TEXT(ASTemp!J2321,Decimals)</f>
        <v/>
      </c>
      <c r="K2321" s="69" t="str">
        <f>TEXT(ASTemp!K2321,Decimals)</f>
        <v/>
      </c>
      <c r="L2321" s="69" t="str">
        <f>TEXT(ASTemp!L2321,Decimals)</f>
        <v/>
      </c>
      <c r="M2321" s="71" t="str">
        <f>TEXT(ASTemp!M2321,Percentages)</f>
        <v/>
      </c>
      <c r="N2321" s="72" t="str">
        <f>TEXT(ASTemp!N2321,Percentages)</f>
        <v/>
      </c>
    </row>
    <row r="2322" ht="14.25" customHeight="1">
      <c r="B2322" s="66" t="str">
        <f>ASTemp!B2322</f>
        <v/>
      </c>
      <c r="C2322" s="67" t="str">
        <f>ASTemp!C2322</f>
        <v/>
      </c>
      <c r="D2322" s="68" t="str">
        <f>ASTemp!D2322</f>
        <v/>
      </c>
      <c r="E2322" s="65" t="str">
        <f>ASTemp!E2322</f>
        <v/>
      </c>
      <c r="F2322" s="69" t="str">
        <f>TEXT(ASTemp!F2322,Decimals)</f>
        <v/>
      </c>
      <c r="G2322" s="69" t="str">
        <f>TEXT(ASTemp!G2322,Decimals)</f>
        <v/>
      </c>
      <c r="H2322" s="69" t="str">
        <f>TEXT(ASTemp!H2322,Decimals)</f>
        <v/>
      </c>
      <c r="I2322" s="69" t="str">
        <f>TEXT(ASTemp!I2322,Decimals)</f>
        <v/>
      </c>
      <c r="J2322" s="69" t="str">
        <f>TEXT(ASTemp!J2322,Decimals)</f>
        <v/>
      </c>
      <c r="K2322" s="69" t="str">
        <f>TEXT(ASTemp!K2322,Decimals)</f>
        <v/>
      </c>
      <c r="L2322" s="69" t="str">
        <f>TEXT(ASTemp!L2322,Decimals)</f>
        <v/>
      </c>
      <c r="M2322" s="71" t="str">
        <f>TEXT(ASTemp!M2322,Percentages)</f>
        <v/>
      </c>
      <c r="N2322" s="72" t="str">
        <f>TEXT(ASTemp!N2322,Percentages)</f>
        <v/>
      </c>
    </row>
    <row r="2323" ht="14.25" customHeight="1">
      <c r="B2323" s="66" t="str">
        <f>ASTemp!B2323</f>
        <v/>
      </c>
      <c r="C2323" s="67" t="str">
        <f>ASTemp!C2323</f>
        <v/>
      </c>
      <c r="D2323" s="68" t="str">
        <f>ASTemp!D2323</f>
        <v/>
      </c>
      <c r="E2323" s="65" t="str">
        <f>ASTemp!E2323</f>
        <v/>
      </c>
      <c r="F2323" s="69" t="str">
        <f>TEXT(ASTemp!F2323,Decimals)</f>
        <v/>
      </c>
      <c r="G2323" s="69" t="str">
        <f>TEXT(ASTemp!G2323,Decimals)</f>
        <v/>
      </c>
      <c r="H2323" s="69" t="str">
        <f>TEXT(ASTemp!H2323,Decimals)</f>
        <v/>
      </c>
      <c r="I2323" s="69" t="str">
        <f>TEXT(ASTemp!I2323,Decimals)</f>
        <v/>
      </c>
      <c r="J2323" s="69" t="str">
        <f>TEXT(ASTemp!J2323,Decimals)</f>
        <v/>
      </c>
      <c r="K2323" s="69" t="str">
        <f>TEXT(ASTemp!K2323,Decimals)</f>
        <v/>
      </c>
      <c r="L2323" s="69" t="str">
        <f>TEXT(ASTemp!L2323,Decimals)</f>
        <v/>
      </c>
      <c r="M2323" s="71" t="str">
        <f>TEXT(ASTemp!M2323,Percentages)</f>
        <v/>
      </c>
      <c r="N2323" s="72" t="str">
        <f>TEXT(ASTemp!N2323,Percentages)</f>
        <v/>
      </c>
    </row>
    <row r="2324" ht="14.25" customHeight="1">
      <c r="B2324" s="66" t="str">
        <f>ASTemp!B2324</f>
        <v/>
      </c>
      <c r="C2324" s="67" t="str">
        <f>ASTemp!C2324</f>
        <v/>
      </c>
      <c r="D2324" s="68" t="str">
        <f>ASTemp!D2324</f>
        <v/>
      </c>
      <c r="E2324" s="65" t="str">
        <f>ASTemp!E2324</f>
        <v/>
      </c>
      <c r="F2324" s="69" t="str">
        <f>TEXT(ASTemp!F2324,Decimals)</f>
        <v/>
      </c>
      <c r="G2324" s="69" t="str">
        <f>TEXT(ASTemp!G2324,Decimals)</f>
        <v/>
      </c>
      <c r="H2324" s="69" t="str">
        <f>TEXT(ASTemp!H2324,Decimals)</f>
        <v/>
      </c>
      <c r="I2324" s="69" t="str">
        <f>TEXT(ASTemp!I2324,Decimals)</f>
        <v/>
      </c>
      <c r="J2324" s="69" t="str">
        <f>TEXT(ASTemp!J2324,Decimals)</f>
        <v/>
      </c>
      <c r="K2324" s="69" t="str">
        <f>TEXT(ASTemp!K2324,Decimals)</f>
        <v/>
      </c>
      <c r="L2324" s="69" t="str">
        <f>TEXT(ASTemp!L2324,Decimals)</f>
        <v/>
      </c>
      <c r="M2324" s="71" t="str">
        <f>TEXT(ASTemp!M2324,Percentages)</f>
        <v/>
      </c>
      <c r="N2324" s="72" t="str">
        <f>TEXT(ASTemp!N2324,Percentages)</f>
        <v/>
      </c>
    </row>
    <row r="2325" ht="14.25" customHeight="1">
      <c r="B2325" s="66" t="str">
        <f>ASTemp!B2325</f>
        <v/>
      </c>
      <c r="C2325" s="67" t="str">
        <f>ASTemp!C2325</f>
        <v/>
      </c>
      <c r="D2325" s="68" t="str">
        <f>ASTemp!D2325</f>
        <v/>
      </c>
      <c r="E2325" s="65" t="str">
        <f>ASTemp!E2325</f>
        <v/>
      </c>
      <c r="F2325" s="69" t="str">
        <f>TEXT(ASTemp!F2325,Decimals)</f>
        <v/>
      </c>
      <c r="G2325" s="69" t="str">
        <f>TEXT(ASTemp!G2325,Decimals)</f>
        <v/>
      </c>
      <c r="H2325" s="69" t="str">
        <f>TEXT(ASTemp!H2325,Decimals)</f>
        <v/>
      </c>
      <c r="I2325" s="69" t="str">
        <f>TEXT(ASTemp!I2325,Decimals)</f>
        <v/>
      </c>
      <c r="J2325" s="69" t="str">
        <f>TEXT(ASTemp!J2325,Decimals)</f>
        <v/>
      </c>
      <c r="K2325" s="69" t="str">
        <f>TEXT(ASTemp!K2325,Decimals)</f>
        <v/>
      </c>
      <c r="L2325" s="69" t="str">
        <f>TEXT(ASTemp!L2325,Decimals)</f>
        <v/>
      </c>
      <c r="M2325" s="71" t="str">
        <f>TEXT(ASTemp!M2325,Percentages)</f>
        <v/>
      </c>
      <c r="N2325" s="72" t="str">
        <f>TEXT(ASTemp!N2325,Percentages)</f>
        <v/>
      </c>
    </row>
    <row r="2326" ht="14.25" customHeight="1">
      <c r="B2326" s="66" t="str">
        <f>ASTemp!B2326</f>
        <v/>
      </c>
      <c r="C2326" s="67" t="str">
        <f>ASTemp!C2326</f>
        <v/>
      </c>
      <c r="D2326" s="68" t="str">
        <f>ASTemp!D2326</f>
        <v/>
      </c>
      <c r="E2326" s="65" t="str">
        <f>ASTemp!E2326</f>
        <v/>
      </c>
      <c r="F2326" s="69" t="str">
        <f>TEXT(ASTemp!F2326,Decimals)</f>
        <v/>
      </c>
      <c r="G2326" s="69" t="str">
        <f>TEXT(ASTemp!G2326,Decimals)</f>
        <v/>
      </c>
      <c r="H2326" s="69" t="str">
        <f>TEXT(ASTemp!H2326,Decimals)</f>
        <v/>
      </c>
      <c r="I2326" s="69" t="str">
        <f>TEXT(ASTemp!I2326,Decimals)</f>
        <v/>
      </c>
      <c r="J2326" s="69" t="str">
        <f>TEXT(ASTemp!J2326,Decimals)</f>
        <v/>
      </c>
      <c r="K2326" s="69" t="str">
        <f>TEXT(ASTemp!K2326,Decimals)</f>
        <v/>
      </c>
      <c r="L2326" s="69" t="str">
        <f>TEXT(ASTemp!L2326,Decimals)</f>
        <v/>
      </c>
      <c r="M2326" s="71" t="str">
        <f>TEXT(ASTemp!M2326,Percentages)</f>
        <v/>
      </c>
      <c r="N2326" s="72" t="str">
        <f>TEXT(ASTemp!N2326,Percentages)</f>
        <v/>
      </c>
    </row>
    <row r="2327" ht="14.25" customHeight="1">
      <c r="B2327" s="66" t="str">
        <f>ASTemp!B2327</f>
        <v/>
      </c>
      <c r="C2327" s="67" t="str">
        <f>ASTemp!C2327</f>
        <v/>
      </c>
      <c r="D2327" s="68" t="str">
        <f>ASTemp!D2327</f>
        <v/>
      </c>
      <c r="E2327" s="65" t="str">
        <f>ASTemp!E2327</f>
        <v/>
      </c>
      <c r="F2327" s="69" t="str">
        <f>TEXT(ASTemp!F2327,Decimals)</f>
        <v/>
      </c>
      <c r="G2327" s="69" t="str">
        <f>TEXT(ASTemp!G2327,Decimals)</f>
        <v/>
      </c>
      <c r="H2327" s="69" t="str">
        <f>TEXT(ASTemp!H2327,Decimals)</f>
        <v/>
      </c>
      <c r="I2327" s="69" t="str">
        <f>TEXT(ASTemp!I2327,Decimals)</f>
        <v/>
      </c>
      <c r="J2327" s="69" t="str">
        <f>TEXT(ASTemp!J2327,Decimals)</f>
        <v/>
      </c>
      <c r="K2327" s="69" t="str">
        <f>TEXT(ASTemp!K2327,Decimals)</f>
        <v/>
      </c>
      <c r="L2327" s="69" t="str">
        <f>TEXT(ASTemp!L2327,Decimals)</f>
        <v/>
      </c>
      <c r="M2327" s="71" t="str">
        <f>TEXT(ASTemp!M2327,Percentages)</f>
        <v/>
      </c>
      <c r="N2327" s="72" t="str">
        <f>TEXT(ASTemp!N2327,Percentages)</f>
        <v/>
      </c>
    </row>
    <row r="2328" ht="14.25" customHeight="1">
      <c r="B2328" s="66" t="str">
        <f>ASTemp!B2328</f>
        <v/>
      </c>
      <c r="C2328" s="67" t="str">
        <f>ASTemp!C2328</f>
        <v/>
      </c>
      <c r="D2328" s="68" t="str">
        <f>ASTemp!D2328</f>
        <v/>
      </c>
      <c r="E2328" s="65" t="str">
        <f>ASTemp!E2328</f>
        <v/>
      </c>
      <c r="F2328" s="69" t="str">
        <f>TEXT(ASTemp!F2328,Decimals)</f>
        <v/>
      </c>
      <c r="G2328" s="69" t="str">
        <f>TEXT(ASTemp!G2328,Decimals)</f>
        <v/>
      </c>
      <c r="H2328" s="69" t="str">
        <f>TEXT(ASTemp!H2328,Decimals)</f>
        <v/>
      </c>
      <c r="I2328" s="69" t="str">
        <f>TEXT(ASTemp!I2328,Decimals)</f>
        <v/>
      </c>
      <c r="J2328" s="69" t="str">
        <f>TEXT(ASTemp!J2328,Decimals)</f>
        <v/>
      </c>
      <c r="K2328" s="69" t="str">
        <f>TEXT(ASTemp!K2328,Decimals)</f>
        <v/>
      </c>
      <c r="L2328" s="69" t="str">
        <f>TEXT(ASTemp!L2328,Decimals)</f>
        <v/>
      </c>
      <c r="M2328" s="71" t="str">
        <f>TEXT(ASTemp!M2328,Percentages)</f>
        <v/>
      </c>
      <c r="N2328" s="72" t="str">
        <f>TEXT(ASTemp!N2328,Percentages)</f>
        <v/>
      </c>
    </row>
    <row r="2329" ht="14.25" customHeight="1">
      <c r="B2329" s="66" t="str">
        <f>ASTemp!B2329</f>
        <v/>
      </c>
      <c r="C2329" s="67" t="str">
        <f>ASTemp!C2329</f>
        <v/>
      </c>
      <c r="D2329" s="68" t="str">
        <f>ASTemp!D2329</f>
        <v/>
      </c>
      <c r="E2329" s="65" t="str">
        <f>ASTemp!E2329</f>
        <v/>
      </c>
      <c r="F2329" s="69" t="str">
        <f>TEXT(ASTemp!F2329,Decimals)</f>
        <v/>
      </c>
      <c r="G2329" s="69" t="str">
        <f>TEXT(ASTemp!G2329,Decimals)</f>
        <v/>
      </c>
      <c r="H2329" s="69" t="str">
        <f>TEXT(ASTemp!H2329,Decimals)</f>
        <v/>
      </c>
      <c r="I2329" s="69" t="str">
        <f>TEXT(ASTemp!I2329,Decimals)</f>
        <v/>
      </c>
      <c r="J2329" s="69" t="str">
        <f>TEXT(ASTemp!J2329,Decimals)</f>
        <v/>
      </c>
      <c r="K2329" s="69" t="str">
        <f>TEXT(ASTemp!K2329,Decimals)</f>
        <v/>
      </c>
      <c r="L2329" s="69" t="str">
        <f>TEXT(ASTemp!L2329,Decimals)</f>
        <v/>
      </c>
      <c r="M2329" s="71" t="str">
        <f>TEXT(ASTemp!M2329,Percentages)</f>
        <v/>
      </c>
      <c r="N2329" s="72" t="str">
        <f>TEXT(ASTemp!N2329,Percentages)</f>
        <v/>
      </c>
    </row>
    <row r="2330" ht="14.25" customHeight="1">
      <c r="B2330" s="66" t="str">
        <f>ASTemp!B2330</f>
        <v/>
      </c>
      <c r="C2330" s="67" t="str">
        <f>ASTemp!C2330</f>
        <v/>
      </c>
      <c r="D2330" s="68" t="str">
        <f>ASTemp!D2330</f>
        <v/>
      </c>
      <c r="E2330" s="65" t="str">
        <f>ASTemp!E2330</f>
        <v/>
      </c>
      <c r="F2330" s="69" t="str">
        <f>TEXT(ASTemp!F2330,Decimals)</f>
        <v/>
      </c>
      <c r="G2330" s="69" t="str">
        <f>TEXT(ASTemp!G2330,Decimals)</f>
        <v/>
      </c>
      <c r="H2330" s="69" t="str">
        <f>TEXT(ASTemp!H2330,Decimals)</f>
        <v/>
      </c>
      <c r="I2330" s="69" t="str">
        <f>TEXT(ASTemp!I2330,Decimals)</f>
        <v/>
      </c>
      <c r="J2330" s="69" t="str">
        <f>TEXT(ASTemp!J2330,Decimals)</f>
        <v/>
      </c>
      <c r="K2330" s="69" t="str">
        <f>TEXT(ASTemp!K2330,Decimals)</f>
        <v/>
      </c>
      <c r="L2330" s="69" t="str">
        <f>TEXT(ASTemp!L2330,Decimals)</f>
        <v/>
      </c>
      <c r="M2330" s="71" t="str">
        <f>TEXT(ASTemp!M2330,Percentages)</f>
        <v/>
      </c>
      <c r="N2330" s="72" t="str">
        <f>TEXT(ASTemp!N2330,Percentages)</f>
        <v/>
      </c>
    </row>
    <row r="2331" ht="14.25" customHeight="1">
      <c r="B2331" s="66" t="str">
        <f>ASTemp!B2331</f>
        <v/>
      </c>
      <c r="C2331" s="67" t="str">
        <f>ASTemp!C2331</f>
        <v/>
      </c>
      <c r="D2331" s="68" t="str">
        <f>ASTemp!D2331</f>
        <v/>
      </c>
      <c r="E2331" s="65" t="str">
        <f>ASTemp!E2331</f>
        <v/>
      </c>
      <c r="F2331" s="69" t="str">
        <f>TEXT(ASTemp!F2331,Decimals)</f>
        <v/>
      </c>
      <c r="G2331" s="69" t="str">
        <f>TEXT(ASTemp!G2331,Decimals)</f>
        <v/>
      </c>
      <c r="H2331" s="69" t="str">
        <f>TEXT(ASTemp!H2331,Decimals)</f>
        <v/>
      </c>
      <c r="I2331" s="69" t="str">
        <f>TEXT(ASTemp!I2331,Decimals)</f>
        <v/>
      </c>
      <c r="J2331" s="69" t="str">
        <f>TEXT(ASTemp!J2331,Decimals)</f>
        <v/>
      </c>
      <c r="K2331" s="69" t="str">
        <f>TEXT(ASTemp!K2331,Decimals)</f>
        <v/>
      </c>
      <c r="L2331" s="69" t="str">
        <f>TEXT(ASTemp!L2331,Decimals)</f>
        <v/>
      </c>
      <c r="M2331" s="71" t="str">
        <f>TEXT(ASTemp!M2331,Percentages)</f>
        <v/>
      </c>
      <c r="N2331" s="72" t="str">
        <f>TEXT(ASTemp!N2331,Percentages)</f>
        <v/>
      </c>
    </row>
    <row r="2332" ht="14.25" customHeight="1">
      <c r="B2332" s="66" t="str">
        <f>ASTemp!B2332</f>
        <v/>
      </c>
      <c r="C2332" s="67" t="str">
        <f>ASTemp!C2332</f>
        <v/>
      </c>
      <c r="D2332" s="68" t="str">
        <f>ASTemp!D2332</f>
        <v/>
      </c>
      <c r="E2332" s="65" t="str">
        <f>ASTemp!E2332</f>
        <v/>
      </c>
      <c r="F2332" s="69" t="str">
        <f>TEXT(ASTemp!F2332,Decimals)</f>
        <v/>
      </c>
      <c r="G2332" s="69" t="str">
        <f>TEXT(ASTemp!G2332,Decimals)</f>
        <v/>
      </c>
      <c r="H2332" s="69" t="str">
        <f>TEXT(ASTemp!H2332,Decimals)</f>
        <v/>
      </c>
      <c r="I2332" s="69" t="str">
        <f>TEXT(ASTemp!I2332,Decimals)</f>
        <v/>
      </c>
      <c r="J2332" s="69" t="str">
        <f>TEXT(ASTemp!J2332,Decimals)</f>
        <v/>
      </c>
      <c r="K2332" s="69" t="str">
        <f>TEXT(ASTemp!K2332,Decimals)</f>
        <v/>
      </c>
      <c r="L2332" s="69" t="str">
        <f>TEXT(ASTemp!L2332,Decimals)</f>
        <v/>
      </c>
      <c r="M2332" s="71" t="str">
        <f>TEXT(ASTemp!M2332,Percentages)</f>
        <v/>
      </c>
      <c r="N2332" s="72" t="str">
        <f>TEXT(ASTemp!N2332,Percentages)</f>
        <v/>
      </c>
    </row>
    <row r="2333" ht="14.25" customHeight="1">
      <c r="B2333" s="66" t="str">
        <f>ASTemp!B2333</f>
        <v/>
      </c>
      <c r="C2333" s="67" t="str">
        <f>ASTemp!C2333</f>
        <v/>
      </c>
      <c r="D2333" s="68" t="str">
        <f>ASTemp!D2333</f>
        <v/>
      </c>
      <c r="E2333" s="65" t="str">
        <f>ASTemp!E2333</f>
        <v/>
      </c>
      <c r="F2333" s="69" t="str">
        <f>TEXT(ASTemp!F2333,Decimals)</f>
        <v/>
      </c>
      <c r="G2333" s="69" t="str">
        <f>TEXT(ASTemp!G2333,Decimals)</f>
        <v/>
      </c>
      <c r="H2333" s="69" t="str">
        <f>TEXT(ASTemp!H2333,Decimals)</f>
        <v/>
      </c>
      <c r="I2333" s="69" t="str">
        <f>TEXT(ASTemp!I2333,Decimals)</f>
        <v/>
      </c>
      <c r="J2333" s="69" t="str">
        <f>TEXT(ASTemp!J2333,Decimals)</f>
        <v/>
      </c>
      <c r="K2333" s="69" t="str">
        <f>TEXT(ASTemp!K2333,Decimals)</f>
        <v/>
      </c>
      <c r="L2333" s="69" t="str">
        <f>TEXT(ASTemp!L2333,Decimals)</f>
        <v/>
      </c>
      <c r="M2333" s="71" t="str">
        <f>TEXT(ASTemp!M2333,Percentages)</f>
        <v/>
      </c>
      <c r="N2333" s="72" t="str">
        <f>TEXT(ASTemp!N2333,Percentages)</f>
        <v/>
      </c>
    </row>
    <row r="2334" ht="14.25" customHeight="1">
      <c r="B2334" s="66" t="str">
        <f>ASTemp!B2334</f>
        <v/>
      </c>
      <c r="C2334" s="67" t="str">
        <f>ASTemp!C2334</f>
        <v/>
      </c>
      <c r="D2334" s="68" t="str">
        <f>ASTemp!D2334</f>
        <v/>
      </c>
      <c r="E2334" s="65" t="str">
        <f>ASTemp!E2334</f>
        <v/>
      </c>
      <c r="F2334" s="69" t="str">
        <f>TEXT(ASTemp!F2334,Decimals)</f>
        <v/>
      </c>
      <c r="G2334" s="69" t="str">
        <f>TEXT(ASTemp!G2334,Decimals)</f>
        <v/>
      </c>
      <c r="H2334" s="69" t="str">
        <f>TEXT(ASTemp!H2334,Decimals)</f>
        <v/>
      </c>
      <c r="I2334" s="69" t="str">
        <f>TEXT(ASTemp!I2334,Decimals)</f>
        <v/>
      </c>
      <c r="J2334" s="69" t="str">
        <f>TEXT(ASTemp!J2334,Decimals)</f>
        <v/>
      </c>
      <c r="K2334" s="69" t="str">
        <f>TEXT(ASTemp!K2334,Decimals)</f>
        <v/>
      </c>
      <c r="L2334" s="69" t="str">
        <f>TEXT(ASTemp!L2334,Decimals)</f>
        <v/>
      </c>
      <c r="M2334" s="71" t="str">
        <f>TEXT(ASTemp!M2334,Percentages)</f>
        <v/>
      </c>
      <c r="N2334" s="72" t="str">
        <f>TEXT(ASTemp!N2334,Percentages)</f>
        <v/>
      </c>
    </row>
    <row r="2335" ht="14.25" customHeight="1">
      <c r="B2335" s="66" t="str">
        <f>ASTemp!B2335</f>
        <v/>
      </c>
      <c r="C2335" s="67" t="str">
        <f>ASTemp!C2335</f>
        <v/>
      </c>
      <c r="D2335" s="68" t="str">
        <f>ASTemp!D2335</f>
        <v/>
      </c>
      <c r="E2335" s="65" t="str">
        <f>ASTemp!E2335</f>
        <v/>
      </c>
      <c r="F2335" s="69" t="str">
        <f>TEXT(ASTemp!F2335,Decimals)</f>
        <v/>
      </c>
      <c r="G2335" s="69" t="str">
        <f>TEXT(ASTemp!G2335,Decimals)</f>
        <v/>
      </c>
      <c r="H2335" s="69" t="str">
        <f>TEXT(ASTemp!H2335,Decimals)</f>
        <v/>
      </c>
      <c r="I2335" s="69" t="str">
        <f>TEXT(ASTemp!I2335,Decimals)</f>
        <v/>
      </c>
      <c r="J2335" s="69" t="str">
        <f>TEXT(ASTemp!J2335,Decimals)</f>
        <v/>
      </c>
      <c r="K2335" s="69" t="str">
        <f>TEXT(ASTemp!K2335,Decimals)</f>
        <v/>
      </c>
      <c r="L2335" s="69" t="str">
        <f>TEXT(ASTemp!L2335,Decimals)</f>
        <v/>
      </c>
      <c r="M2335" s="71" t="str">
        <f>TEXT(ASTemp!M2335,Percentages)</f>
        <v/>
      </c>
      <c r="N2335" s="72" t="str">
        <f>TEXT(ASTemp!N2335,Percentages)</f>
        <v/>
      </c>
    </row>
    <row r="2336" ht="14.25" customHeight="1">
      <c r="B2336" s="66" t="str">
        <f>ASTemp!B2336</f>
        <v/>
      </c>
      <c r="C2336" s="67" t="str">
        <f>ASTemp!C2336</f>
        <v/>
      </c>
      <c r="D2336" s="68" t="str">
        <f>ASTemp!D2336</f>
        <v/>
      </c>
      <c r="E2336" s="65" t="str">
        <f>ASTemp!E2336</f>
        <v/>
      </c>
      <c r="F2336" s="69" t="str">
        <f>TEXT(ASTemp!F2336,Decimals)</f>
        <v/>
      </c>
      <c r="G2336" s="69" t="str">
        <f>TEXT(ASTemp!G2336,Decimals)</f>
        <v/>
      </c>
      <c r="H2336" s="69" t="str">
        <f>TEXT(ASTemp!H2336,Decimals)</f>
        <v/>
      </c>
      <c r="I2336" s="69" t="str">
        <f>TEXT(ASTemp!I2336,Decimals)</f>
        <v/>
      </c>
      <c r="J2336" s="69" t="str">
        <f>TEXT(ASTemp!J2336,Decimals)</f>
        <v/>
      </c>
      <c r="K2336" s="69" t="str">
        <f>TEXT(ASTemp!K2336,Decimals)</f>
        <v/>
      </c>
      <c r="L2336" s="69" t="str">
        <f>TEXT(ASTemp!L2336,Decimals)</f>
        <v/>
      </c>
      <c r="M2336" s="71" t="str">
        <f>TEXT(ASTemp!M2336,Percentages)</f>
        <v/>
      </c>
      <c r="N2336" s="72" t="str">
        <f>TEXT(ASTemp!N2336,Percentages)</f>
        <v/>
      </c>
    </row>
    <row r="2337" ht="14.25" customHeight="1">
      <c r="B2337" s="66" t="str">
        <f>ASTemp!B2337</f>
        <v/>
      </c>
      <c r="C2337" s="67" t="str">
        <f>ASTemp!C2337</f>
        <v/>
      </c>
      <c r="D2337" s="68" t="str">
        <f>ASTemp!D2337</f>
        <v/>
      </c>
      <c r="E2337" s="65" t="str">
        <f>ASTemp!E2337</f>
        <v/>
      </c>
      <c r="F2337" s="69" t="str">
        <f>TEXT(ASTemp!F2337,Decimals)</f>
        <v/>
      </c>
      <c r="G2337" s="69" t="str">
        <f>TEXT(ASTemp!G2337,Decimals)</f>
        <v/>
      </c>
      <c r="H2337" s="69" t="str">
        <f>TEXT(ASTemp!H2337,Decimals)</f>
        <v/>
      </c>
      <c r="I2337" s="69" t="str">
        <f>TEXT(ASTemp!I2337,Decimals)</f>
        <v/>
      </c>
      <c r="J2337" s="69" t="str">
        <f>TEXT(ASTemp!J2337,Decimals)</f>
        <v/>
      </c>
      <c r="K2337" s="69" t="str">
        <f>TEXT(ASTemp!K2337,Decimals)</f>
        <v/>
      </c>
      <c r="L2337" s="69" t="str">
        <f>TEXT(ASTemp!L2337,Decimals)</f>
        <v/>
      </c>
      <c r="M2337" s="71" t="str">
        <f>TEXT(ASTemp!M2337,Percentages)</f>
        <v/>
      </c>
      <c r="N2337" s="72" t="str">
        <f>TEXT(ASTemp!N2337,Percentages)</f>
        <v/>
      </c>
    </row>
    <row r="2338" ht="14.25" customHeight="1">
      <c r="B2338" s="66" t="str">
        <f>ASTemp!B2338</f>
        <v/>
      </c>
      <c r="C2338" s="67" t="str">
        <f>ASTemp!C2338</f>
        <v/>
      </c>
      <c r="D2338" s="68" t="str">
        <f>ASTemp!D2338</f>
        <v/>
      </c>
      <c r="E2338" s="65" t="str">
        <f>ASTemp!E2338</f>
        <v/>
      </c>
      <c r="F2338" s="69" t="str">
        <f>TEXT(ASTemp!F2338,Decimals)</f>
        <v/>
      </c>
      <c r="G2338" s="69" t="str">
        <f>TEXT(ASTemp!G2338,Decimals)</f>
        <v/>
      </c>
      <c r="H2338" s="69" t="str">
        <f>TEXT(ASTemp!H2338,Decimals)</f>
        <v/>
      </c>
      <c r="I2338" s="69" t="str">
        <f>TEXT(ASTemp!I2338,Decimals)</f>
        <v/>
      </c>
      <c r="J2338" s="69" t="str">
        <f>TEXT(ASTemp!J2338,Decimals)</f>
        <v/>
      </c>
      <c r="K2338" s="69" t="str">
        <f>TEXT(ASTemp!K2338,Decimals)</f>
        <v/>
      </c>
      <c r="L2338" s="69" t="str">
        <f>TEXT(ASTemp!L2338,Decimals)</f>
        <v/>
      </c>
      <c r="M2338" s="71" t="str">
        <f>TEXT(ASTemp!M2338,Percentages)</f>
        <v/>
      </c>
      <c r="N2338" s="72" t="str">
        <f>TEXT(ASTemp!N2338,Percentages)</f>
        <v/>
      </c>
    </row>
    <row r="2339" ht="14.25" customHeight="1">
      <c r="B2339" s="66" t="str">
        <f>ASTemp!B2339</f>
        <v/>
      </c>
      <c r="C2339" s="67" t="str">
        <f>ASTemp!C2339</f>
        <v/>
      </c>
      <c r="D2339" s="68" t="str">
        <f>ASTemp!D2339</f>
        <v/>
      </c>
      <c r="E2339" s="65" t="str">
        <f>ASTemp!E2339</f>
        <v/>
      </c>
      <c r="F2339" s="69" t="str">
        <f>TEXT(ASTemp!F2339,Decimals)</f>
        <v/>
      </c>
      <c r="G2339" s="69" t="str">
        <f>TEXT(ASTemp!G2339,Decimals)</f>
        <v/>
      </c>
      <c r="H2339" s="69" t="str">
        <f>TEXT(ASTemp!H2339,Decimals)</f>
        <v/>
      </c>
      <c r="I2339" s="69" t="str">
        <f>TEXT(ASTemp!I2339,Decimals)</f>
        <v/>
      </c>
      <c r="J2339" s="69" t="str">
        <f>TEXT(ASTemp!J2339,Decimals)</f>
        <v/>
      </c>
      <c r="K2339" s="69" t="str">
        <f>TEXT(ASTemp!K2339,Decimals)</f>
        <v/>
      </c>
      <c r="L2339" s="69" t="str">
        <f>TEXT(ASTemp!L2339,Decimals)</f>
        <v/>
      </c>
      <c r="M2339" s="71" t="str">
        <f>TEXT(ASTemp!M2339,Percentages)</f>
        <v/>
      </c>
      <c r="N2339" s="72" t="str">
        <f>TEXT(ASTemp!N2339,Percentages)</f>
        <v/>
      </c>
    </row>
    <row r="2340" ht="14.25" customHeight="1">
      <c r="B2340" s="66" t="str">
        <f>ASTemp!B2340</f>
        <v/>
      </c>
      <c r="C2340" s="67" t="str">
        <f>ASTemp!C2340</f>
        <v/>
      </c>
      <c r="D2340" s="68" t="str">
        <f>ASTemp!D2340</f>
        <v/>
      </c>
      <c r="E2340" s="65" t="str">
        <f>ASTemp!E2340</f>
        <v/>
      </c>
      <c r="F2340" s="69" t="str">
        <f>TEXT(ASTemp!F2340,Decimals)</f>
        <v/>
      </c>
      <c r="G2340" s="69" t="str">
        <f>TEXT(ASTemp!G2340,Decimals)</f>
        <v/>
      </c>
      <c r="H2340" s="69" t="str">
        <f>TEXT(ASTemp!H2340,Decimals)</f>
        <v/>
      </c>
      <c r="I2340" s="69" t="str">
        <f>TEXT(ASTemp!I2340,Decimals)</f>
        <v/>
      </c>
      <c r="J2340" s="69" t="str">
        <f>TEXT(ASTemp!J2340,Decimals)</f>
        <v/>
      </c>
      <c r="K2340" s="69" t="str">
        <f>TEXT(ASTemp!K2340,Decimals)</f>
        <v/>
      </c>
      <c r="L2340" s="69" t="str">
        <f>TEXT(ASTemp!L2340,Decimals)</f>
        <v/>
      </c>
      <c r="M2340" s="71" t="str">
        <f>TEXT(ASTemp!M2340,Percentages)</f>
        <v/>
      </c>
      <c r="N2340" s="72" t="str">
        <f>TEXT(ASTemp!N2340,Percentages)</f>
        <v/>
      </c>
    </row>
    <row r="2341" ht="14.25" customHeight="1">
      <c r="B2341" s="66" t="str">
        <f>ASTemp!B2341</f>
        <v/>
      </c>
      <c r="C2341" s="67" t="str">
        <f>ASTemp!C2341</f>
        <v/>
      </c>
      <c r="D2341" s="68" t="str">
        <f>ASTemp!D2341</f>
        <v/>
      </c>
      <c r="E2341" s="65" t="str">
        <f>ASTemp!E2341</f>
        <v/>
      </c>
      <c r="F2341" s="69" t="str">
        <f>TEXT(ASTemp!F2341,Decimals)</f>
        <v/>
      </c>
      <c r="G2341" s="69" t="str">
        <f>TEXT(ASTemp!G2341,Decimals)</f>
        <v/>
      </c>
      <c r="H2341" s="69" t="str">
        <f>TEXT(ASTemp!H2341,Decimals)</f>
        <v/>
      </c>
      <c r="I2341" s="69" t="str">
        <f>TEXT(ASTemp!I2341,Decimals)</f>
        <v/>
      </c>
      <c r="J2341" s="69" t="str">
        <f>TEXT(ASTemp!J2341,Decimals)</f>
        <v/>
      </c>
      <c r="K2341" s="69" t="str">
        <f>TEXT(ASTemp!K2341,Decimals)</f>
        <v/>
      </c>
      <c r="L2341" s="69" t="str">
        <f>TEXT(ASTemp!L2341,Decimals)</f>
        <v/>
      </c>
      <c r="M2341" s="71" t="str">
        <f>TEXT(ASTemp!M2341,Percentages)</f>
        <v/>
      </c>
      <c r="N2341" s="72" t="str">
        <f>TEXT(ASTemp!N2341,Percentages)</f>
        <v/>
      </c>
    </row>
    <row r="2342" ht="14.25" customHeight="1">
      <c r="B2342" s="66" t="str">
        <f>ASTemp!B2342</f>
        <v/>
      </c>
      <c r="C2342" s="67" t="str">
        <f>ASTemp!C2342</f>
        <v/>
      </c>
      <c r="D2342" s="68" t="str">
        <f>ASTemp!D2342</f>
        <v/>
      </c>
      <c r="E2342" s="65" t="str">
        <f>ASTemp!E2342</f>
        <v/>
      </c>
      <c r="F2342" s="69" t="str">
        <f>TEXT(ASTemp!F2342,Decimals)</f>
        <v/>
      </c>
      <c r="G2342" s="69" t="str">
        <f>TEXT(ASTemp!G2342,Decimals)</f>
        <v/>
      </c>
      <c r="H2342" s="69" t="str">
        <f>TEXT(ASTemp!H2342,Decimals)</f>
        <v/>
      </c>
      <c r="I2342" s="69" t="str">
        <f>TEXT(ASTemp!I2342,Decimals)</f>
        <v/>
      </c>
      <c r="J2342" s="69" t="str">
        <f>TEXT(ASTemp!J2342,Decimals)</f>
        <v/>
      </c>
      <c r="K2342" s="69" t="str">
        <f>TEXT(ASTemp!K2342,Decimals)</f>
        <v/>
      </c>
      <c r="L2342" s="69" t="str">
        <f>TEXT(ASTemp!L2342,Decimals)</f>
        <v/>
      </c>
      <c r="M2342" s="71" t="str">
        <f>TEXT(ASTemp!M2342,Percentages)</f>
        <v/>
      </c>
      <c r="N2342" s="72" t="str">
        <f>TEXT(ASTemp!N2342,Percentages)</f>
        <v/>
      </c>
    </row>
    <row r="2343" ht="14.25" customHeight="1">
      <c r="B2343" s="66" t="str">
        <f>ASTemp!B2343</f>
        <v/>
      </c>
      <c r="C2343" s="67" t="str">
        <f>ASTemp!C2343</f>
        <v/>
      </c>
      <c r="D2343" s="68" t="str">
        <f>ASTemp!D2343</f>
        <v/>
      </c>
      <c r="E2343" s="65" t="str">
        <f>ASTemp!E2343</f>
        <v/>
      </c>
      <c r="F2343" s="69" t="str">
        <f>TEXT(ASTemp!F2343,Decimals)</f>
        <v/>
      </c>
      <c r="G2343" s="69" t="str">
        <f>TEXT(ASTemp!G2343,Decimals)</f>
        <v/>
      </c>
      <c r="H2343" s="69" t="str">
        <f>TEXT(ASTemp!H2343,Decimals)</f>
        <v/>
      </c>
      <c r="I2343" s="69" t="str">
        <f>TEXT(ASTemp!I2343,Decimals)</f>
        <v/>
      </c>
      <c r="J2343" s="69" t="str">
        <f>TEXT(ASTemp!J2343,Decimals)</f>
        <v/>
      </c>
      <c r="K2343" s="69" t="str">
        <f>TEXT(ASTemp!K2343,Decimals)</f>
        <v/>
      </c>
      <c r="L2343" s="69" t="str">
        <f>TEXT(ASTemp!L2343,Decimals)</f>
        <v/>
      </c>
      <c r="M2343" s="71" t="str">
        <f>TEXT(ASTemp!M2343,Percentages)</f>
        <v/>
      </c>
      <c r="N2343" s="72" t="str">
        <f>TEXT(ASTemp!N2343,Percentages)</f>
        <v/>
      </c>
    </row>
    <row r="2344" ht="14.25" customHeight="1">
      <c r="B2344" s="66" t="str">
        <f>ASTemp!B2344</f>
        <v/>
      </c>
      <c r="C2344" s="67" t="str">
        <f>ASTemp!C2344</f>
        <v/>
      </c>
      <c r="D2344" s="68" t="str">
        <f>ASTemp!D2344</f>
        <v/>
      </c>
      <c r="E2344" s="65" t="str">
        <f>ASTemp!E2344</f>
        <v/>
      </c>
      <c r="F2344" s="69" t="str">
        <f>TEXT(ASTemp!F2344,Decimals)</f>
        <v/>
      </c>
      <c r="G2344" s="69" t="str">
        <f>TEXT(ASTemp!G2344,Decimals)</f>
        <v/>
      </c>
      <c r="H2344" s="69" t="str">
        <f>TEXT(ASTemp!H2344,Decimals)</f>
        <v/>
      </c>
      <c r="I2344" s="69" t="str">
        <f>TEXT(ASTemp!I2344,Decimals)</f>
        <v/>
      </c>
      <c r="J2344" s="69" t="str">
        <f>TEXT(ASTemp!J2344,Decimals)</f>
        <v/>
      </c>
      <c r="K2344" s="69" t="str">
        <f>TEXT(ASTemp!K2344,Decimals)</f>
        <v/>
      </c>
      <c r="L2344" s="69" t="str">
        <f>TEXT(ASTemp!L2344,Decimals)</f>
        <v/>
      </c>
      <c r="M2344" s="71" t="str">
        <f>TEXT(ASTemp!M2344,Percentages)</f>
        <v/>
      </c>
      <c r="N2344" s="72" t="str">
        <f>TEXT(ASTemp!N2344,Percentages)</f>
        <v/>
      </c>
    </row>
    <row r="2345" ht="14.25" customHeight="1">
      <c r="B2345" s="66" t="str">
        <f>ASTemp!B2345</f>
        <v/>
      </c>
      <c r="C2345" s="67" t="str">
        <f>ASTemp!C2345</f>
        <v/>
      </c>
      <c r="D2345" s="68" t="str">
        <f>ASTemp!D2345</f>
        <v/>
      </c>
      <c r="E2345" s="65" t="str">
        <f>ASTemp!E2345</f>
        <v/>
      </c>
      <c r="F2345" s="69" t="str">
        <f>TEXT(ASTemp!F2345,Decimals)</f>
        <v/>
      </c>
      <c r="G2345" s="69" t="str">
        <f>TEXT(ASTemp!G2345,Decimals)</f>
        <v/>
      </c>
      <c r="H2345" s="69" t="str">
        <f>TEXT(ASTemp!H2345,Decimals)</f>
        <v/>
      </c>
      <c r="I2345" s="69" t="str">
        <f>TEXT(ASTemp!I2345,Decimals)</f>
        <v/>
      </c>
      <c r="J2345" s="69" t="str">
        <f>TEXT(ASTemp!J2345,Decimals)</f>
        <v/>
      </c>
      <c r="K2345" s="69" t="str">
        <f>TEXT(ASTemp!K2345,Decimals)</f>
        <v/>
      </c>
      <c r="L2345" s="69" t="str">
        <f>TEXT(ASTemp!L2345,Decimals)</f>
        <v/>
      </c>
      <c r="M2345" s="71" t="str">
        <f>TEXT(ASTemp!M2345,Percentages)</f>
        <v/>
      </c>
      <c r="N2345" s="72" t="str">
        <f>TEXT(ASTemp!N2345,Percentages)</f>
        <v/>
      </c>
    </row>
    <row r="2346" ht="14.25" customHeight="1">
      <c r="B2346" s="66" t="str">
        <f>ASTemp!B2346</f>
        <v/>
      </c>
      <c r="C2346" s="67" t="str">
        <f>ASTemp!C2346</f>
        <v/>
      </c>
      <c r="D2346" s="68" t="str">
        <f>ASTemp!D2346</f>
        <v/>
      </c>
      <c r="E2346" s="65" t="str">
        <f>ASTemp!E2346</f>
        <v/>
      </c>
      <c r="F2346" s="69" t="str">
        <f>TEXT(ASTemp!F2346,Decimals)</f>
        <v/>
      </c>
      <c r="G2346" s="69" t="str">
        <f>TEXT(ASTemp!G2346,Decimals)</f>
        <v/>
      </c>
      <c r="H2346" s="69" t="str">
        <f>TEXT(ASTemp!H2346,Decimals)</f>
        <v/>
      </c>
      <c r="I2346" s="69" t="str">
        <f>TEXT(ASTemp!I2346,Decimals)</f>
        <v/>
      </c>
      <c r="J2346" s="69" t="str">
        <f>TEXT(ASTemp!J2346,Decimals)</f>
        <v/>
      </c>
      <c r="K2346" s="69" t="str">
        <f>TEXT(ASTemp!K2346,Decimals)</f>
        <v/>
      </c>
      <c r="L2346" s="69" t="str">
        <f>TEXT(ASTemp!L2346,Decimals)</f>
        <v/>
      </c>
      <c r="M2346" s="71" t="str">
        <f>TEXT(ASTemp!M2346,Percentages)</f>
        <v/>
      </c>
      <c r="N2346" s="72" t="str">
        <f>TEXT(ASTemp!N2346,Percentages)</f>
        <v/>
      </c>
    </row>
    <row r="2347" ht="14.25" customHeight="1">
      <c r="B2347" s="66" t="str">
        <f>ASTemp!B2347</f>
        <v/>
      </c>
      <c r="C2347" s="67" t="str">
        <f>ASTemp!C2347</f>
        <v/>
      </c>
      <c r="D2347" s="68" t="str">
        <f>ASTemp!D2347</f>
        <v/>
      </c>
      <c r="E2347" s="65" t="str">
        <f>ASTemp!E2347</f>
        <v/>
      </c>
      <c r="F2347" s="69" t="str">
        <f>TEXT(ASTemp!F2347,Decimals)</f>
        <v/>
      </c>
      <c r="G2347" s="69" t="str">
        <f>TEXT(ASTemp!G2347,Decimals)</f>
        <v/>
      </c>
      <c r="H2347" s="69" t="str">
        <f>TEXT(ASTemp!H2347,Decimals)</f>
        <v/>
      </c>
      <c r="I2347" s="69" t="str">
        <f>TEXT(ASTemp!I2347,Decimals)</f>
        <v/>
      </c>
      <c r="J2347" s="69" t="str">
        <f>TEXT(ASTemp!J2347,Decimals)</f>
        <v/>
      </c>
      <c r="K2347" s="69" t="str">
        <f>TEXT(ASTemp!K2347,Decimals)</f>
        <v/>
      </c>
      <c r="L2347" s="69" t="str">
        <f>TEXT(ASTemp!L2347,Decimals)</f>
        <v/>
      </c>
      <c r="M2347" s="71" t="str">
        <f>TEXT(ASTemp!M2347,Percentages)</f>
        <v/>
      </c>
      <c r="N2347" s="72" t="str">
        <f>TEXT(ASTemp!N2347,Percentages)</f>
        <v/>
      </c>
    </row>
    <row r="2348" ht="14.25" customHeight="1">
      <c r="B2348" s="66" t="str">
        <f>ASTemp!B2348</f>
        <v/>
      </c>
      <c r="C2348" s="67" t="str">
        <f>ASTemp!C2348</f>
        <v/>
      </c>
      <c r="D2348" s="68" t="str">
        <f>ASTemp!D2348</f>
        <v/>
      </c>
      <c r="E2348" s="65" t="str">
        <f>ASTemp!E2348</f>
        <v/>
      </c>
      <c r="F2348" s="69" t="str">
        <f>TEXT(ASTemp!F2348,Decimals)</f>
        <v/>
      </c>
      <c r="G2348" s="69" t="str">
        <f>TEXT(ASTemp!G2348,Decimals)</f>
        <v/>
      </c>
      <c r="H2348" s="69" t="str">
        <f>TEXT(ASTemp!H2348,Decimals)</f>
        <v/>
      </c>
      <c r="I2348" s="69" t="str">
        <f>TEXT(ASTemp!I2348,Decimals)</f>
        <v/>
      </c>
      <c r="J2348" s="69" t="str">
        <f>TEXT(ASTemp!J2348,Decimals)</f>
        <v/>
      </c>
      <c r="K2348" s="69" t="str">
        <f>TEXT(ASTemp!K2348,Decimals)</f>
        <v/>
      </c>
      <c r="L2348" s="69" t="str">
        <f>TEXT(ASTemp!L2348,Decimals)</f>
        <v/>
      </c>
      <c r="M2348" s="71" t="str">
        <f>TEXT(ASTemp!M2348,Percentages)</f>
        <v/>
      </c>
      <c r="N2348" s="72" t="str">
        <f>TEXT(ASTemp!N2348,Percentages)</f>
        <v/>
      </c>
    </row>
    <row r="2349" ht="14.25" customHeight="1">
      <c r="B2349" s="66" t="str">
        <f>ASTemp!B2349</f>
        <v/>
      </c>
      <c r="C2349" s="67" t="str">
        <f>ASTemp!C2349</f>
        <v/>
      </c>
      <c r="D2349" s="68" t="str">
        <f>ASTemp!D2349</f>
        <v/>
      </c>
      <c r="E2349" s="65" t="str">
        <f>ASTemp!E2349</f>
        <v/>
      </c>
      <c r="F2349" s="69" t="str">
        <f>TEXT(ASTemp!F2349,Decimals)</f>
        <v/>
      </c>
      <c r="G2349" s="69" t="str">
        <f>TEXT(ASTemp!G2349,Decimals)</f>
        <v/>
      </c>
      <c r="H2349" s="69" t="str">
        <f>TEXT(ASTemp!H2349,Decimals)</f>
        <v/>
      </c>
      <c r="I2349" s="69" t="str">
        <f>TEXT(ASTemp!I2349,Decimals)</f>
        <v/>
      </c>
      <c r="J2349" s="69" t="str">
        <f>TEXT(ASTemp!J2349,Decimals)</f>
        <v/>
      </c>
      <c r="K2349" s="69" t="str">
        <f>TEXT(ASTemp!K2349,Decimals)</f>
        <v/>
      </c>
      <c r="L2349" s="69" t="str">
        <f>TEXT(ASTemp!L2349,Decimals)</f>
        <v/>
      </c>
      <c r="M2349" s="71" t="str">
        <f>TEXT(ASTemp!M2349,Percentages)</f>
        <v/>
      </c>
      <c r="N2349" s="72" t="str">
        <f>TEXT(ASTemp!N2349,Percentages)</f>
        <v/>
      </c>
    </row>
    <row r="2350" ht="14.25" customHeight="1">
      <c r="B2350" s="66" t="str">
        <f>ASTemp!B2350</f>
        <v/>
      </c>
      <c r="C2350" s="67" t="str">
        <f>ASTemp!C2350</f>
        <v/>
      </c>
      <c r="D2350" s="68" t="str">
        <f>ASTemp!D2350</f>
        <v/>
      </c>
      <c r="E2350" s="65" t="str">
        <f>ASTemp!E2350</f>
        <v/>
      </c>
      <c r="F2350" s="69" t="str">
        <f>TEXT(ASTemp!F2350,Decimals)</f>
        <v/>
      </c>
      <c r="G2350" s="69" t="str">
        <f>TEXT(ASTemp!G2350,Decimals)</f>
        <v/>
      </c>
      <c r="H2350" s="69" t="str">
        <f>TEXT(ASTemp!H2350,Decimals)</f>
        <v/>
      </c>
      <c r="I2350" s="69" t="str">
        <f>TEXT(ASTemp!I2350,Decimals)</f>
        <v/>
      </c>
      <c r="J2350" s="69" t="str">
        <f>TEXT(ASTemp!J2350,Decimals)</f>
        <v/>
      </c>
      <c r="K2350" s="69" t="str">
        <f>TEXT(ASTemp!K2350,Decimals)</f>
        <v/>
      </c>
      <c r="L2350" s="69" t="str">
        <f>TEXT(ASTemp!L2350,Decimals)</f>
        <v/>
      </c>
      <c r="M2350" s="71" t="str">
        <f>TEXT(ASTemp!M2350,Percentages)</f>
        <v/>
      </c>
      <c r="N2350" s="72" t="str">
        <f>TEXT(ASTemp!N2350,Percentages)</f>
        <v/>
      </c>
    </row>
    <row r="2351" ht="14.25" customHeight="1">
      <c r="B2351" s="66" t="str">
        <f>ASTemp!B2351</f>
        <v/>
      </c>
      <c r="C2351" s="67" t="str">
        <f>ASTemp!C2351</f>
        <v/>
      </c>
      <c r="D2351" s="68" t="str">
        <f>ASTemp!D2351</f>
        <v/>
      </c>
      <c r="E2351" s="65" t="str">
        <f>ASTemp!E2351</f>
        <v/>
      </c>
      <c r="F2351" s="69" t="str">
        <f>TEXT(ASTemp!F2351,Decimals)</f>
        <v/>
      </c>
      <c r="G2351" s="69" t="str">
        <f>TEXT(ASTemp!G2351,Decimals)</f>
        <v/>
      </c>
      <c r="H2351" s="69" t="str">
        <f>TEXT(ASTemp!H2351,Decimals)</f>
        <v/>
      </c>
      <c r="I2351" s="69" t="str">
        <f>TEXT(ASTemp!I2351,Decimals)</f>
        <v/>
      </c>
      <c r="J2351" s="69" t="str">
        <f>TEXT(ASTemp!J2351,Decimals)</f>
        <v/>
      </c>
      <c r="K2351" s="69" t="str">
        <f>TEXT(ASTemp!K2351,Decimals)</f>
        <v/>
      </c>
      <c r="L2351" s="69" t="str">
        <f>TEXT(ASTemp!L2351,Decimals)</f>
        <v/>
      </c>
      <c r="M2351" s="71" t="str">
        <f>TEXT(ASTemp!M2351,Percentages)</f>
        <v/>
      </c>
      <c r="N2351" s="72" t="str">
        <f>TEXT(ASTemp!N2351,Percentages)</f>
        <v/>
      </c>
    </row>
    <row r="2352" ht="14.25" customHeight="1">
      <c r="B2352" s="66" t="str">
        <f>ASTemp!B2352</f>
        <v/>
      </c>
      <c r="C2352" s="67" t="str">
        <f>ASTemp!C2352</f>
        <v/>
      </c>
      <c r="D2352" s="68" t="str">
        <f>ASTemp!D2352</f>
        <v/>
      </c>
      <c r="E2352" s="65" t="str">
        <f>ASTemp!E2352</f>
        <v/>
      </c>
      <c r="F2352" s="69" t="str">
        <f>TEXT(ASTemp!F2352,Decimals)</f>
        <v/>
      </c>
      <c r="G2352" s="69" t="str">
        <f>TEXT(ASTemp!G2352,Decimals)</f>
        <v/>
      </c>
      <c r="H2352" s="69" t="str">
        <f>TEXT(ASTemp!H2352,Decimals)</f>
        <v/>
      </c>
      <c r="I2352" s="69" t="str">
        <f>TEXT(ASTemp!I2352,Decimals)</f>
        <v/>
      </c>
      <c r="J2352" s="69" t="str">
        <f>TEXT(ASTemp!J2352,Decimals)</f>
        <v/>
      </c>
      <c r="K2352" s="69" t="str">
        <f>TEXT(ASTemp!K2352,Decimals)</f>
        <v/>
      </c>
      <c r="L2352" s="69" t="str">
        <f>TEXT(ASTemp!L2352,Decimals)</f>
        <v/>
      </c>
      <c r="M2352" s="71" t="str">
        <f>TEXT(ASTemp!M2352,Percentages)</f>
        <v/>
      </c>
      <c r="N2352" s="72" t="str">
        <f>TEXT(ASTemp!N2352,Percentages)</f>
        <v/>
      </c>
    </row>
    <row r="2353" ht="14.25" customHeight="1">
      <c r="B2353" s="66" t="str">
        <f>ASTemp!B2353</f>
        <v/>
      </c>
      <c r="C2353" s="67" t="str">
        <f>ASTemp!C2353</f>
        <v/>
      </c>
      <c r="D2353" s="68" t="str">
        <f>ASTemp!D2353</f>
        <v/>
      </c>
      <c r="E2353" s="65" t="str">
        <f>ASTemp!E2353</f>
        <v/>
      </c>
      <c r="F2353" s="69" t="str">
        <f>TEXT(ASTemp!F2353,Decimals)</f>
        <v/>
      </c>
      <c r="G2353" s="69" t="str">
        <f>TEXT(ASTemp!G2353,Decimals)</f>
        <v/>
      </c>
      <c r="H2353" s="69" t="str">
        <f>TEXT(ASTemp!H2353,Decimals)</f>
        <v/>
      </c>
      <c r="I2353" s="69" t="str">
        <f>TEXT(ASTemp!I2353,Decimals)</f>
        <v/>
      </c>
      <c r="J2353" s="69" t="str">
        <f>TEXT(ASTemp!J2353,Decimals)</f>
        <v/>
      </c>
      <c r="K2353" s="69" t="str">
        <f>TEXT(ASTemp!K2353,Decimals)</f>
        <v/>
      </c>
      <c r="L2353" s="69" t="str">
        <f>TEXT(ASTemp!L2353,Decimals)</f>
        <v/>
      </c>
      <c r="M2353" s="71" t="str">
        <f>TEXT(ASTemp!M2353,Percentages)</f>
        <v/>
      </c>
      <c r="N2353" s="72" t="str">
        <f>TEXT(ASTemp!N2353,Percentages)</f>
        <v/>
      </c>
    </row>
    <row r="2354" ht="14.25" customHeight="1">
      <c r="B2354" s="66" t="str">
        <f>ASTemp!B2354</f>
        <v/>
      </c>
      <c r="C2354" s="67" t="str">
        <f>ASTemp!C2354</f>
        <v/>
      </c>
      <c r="D2354" s="68" t="str">
        <f>ASTemp!D2354</f>
        <v/>
      </c>
      <c r="E2354" s="65" t="str">
        <f>ASTemp!E2354</f>
        <v/>
      </c>
      <c r="F2354" s="69" t="str">
        <f>TEXT(ASTemp!F2354,Decimals)</f>
        <v/>
      </c>
      <c r="G2354" s="69" t="str">
        <f>TEXT(ASTemp!G2354,Decimals)</f>
        <v/>
      </c>
      <c r="H2354" s="69" t="str">
        <f>TEXT(ASTemp!H2354,Decimals)</f>
        <v/>
      </c>
      <c r="I2354" s="69" t="str">
        <f>TEXT(ASTemp!I2354,Decimals)</f>
        <v/>
      </c>
      <c r="J2354" s="69" t="str">
        <f>TEXT(ASTemp!J2354,Decimals)</f>
        <v/>
      </c>
      <c r="K2354" s="69" t="str">
        <f>TEXT(ASTemp!K2354,Decimals)</f>
        <v/>
      </c>
      <c r="L2354" s="69" t="str">
        <f>TEXT(ASTemp!L2354,Decimals)</f>
        <v/>
      </c>
      <c r="M2354" s="71" t="str">
        <f>TEXT(ASTemp!M2354,Percentages)</f>
        <v/>
      </c>
      <c r="N2354" s="72" t="str">
        <f>TEXT(ASTemp!N2354,Percentages)</f>
        <v/>
      </c>
    </row>
    <row r="2355" ht="14.25" customHeight="1">
      <c r="B2355" s="66" t="str">
        <f>ASTemp!B2355</f>
        <v/>
      </c>
      <c r="C2355" s="67" t="str">
        <f>ASTemp!C2355</f>
        <v/>
      </c>
      <c r="D2355" s="68" t="str">
        <f>ASTemp!D2355</f>
        <v/>
      </c>
      <c r="E2355" s="65" t="str">
        <f>ASTemp!E2355</f>
        <v/>
      </c>
      <c r="F2355" s="69" t="str">
        <f>TEXT(ASTemp!F2355,Decimals)</f>
        <v/>
      </c>
      <c r="G2355" s="69" t="str">
        <f>TEXT(ASTemp!G2355,Decimals)</f>
        <v/>
      </c>
      <c r="H2355" s="69" t="str">
        <f>TEXT(ASTemp!H2355,Decimals)</f>
        <v/>
      </c>
      <c r="I2355" s="69" t="str">
        <f>TEXT(ASTemp!I2355,Decimals)</f>
        <v/>
      </c>
      <c r="J2355" s="69" t="str">
        <f>TEXT(ASTemp!J2355,Decimals)</f>
        <v/>
      </c>
      <c r="K2355" s="69" t="str">
        <f>TEXT(ASTemp!K2355,Decimals)</f>
        <v/>
      </c>
      <c r="L2355" s="69" t="str">
        <f>TEXT(ASTemp!L2355,Decimals)</f>
        <v/>
      </c>
      <c r="M2355" s="71" t="str">
        <f>TEXT(ASTemp!M2355,Percentages)</f>
        <v/>
      </c>
      <c r="N2355" s="72" t="str">
        <f>TEXT(ASTemp!N2355,Percentages)</f>
        <v/>
      </c>
    </row>
    <row r="2356" ht="14.25" customHeight="1">
      <c r="B2356" s="66" t="str">
        <f>ASTemp!B2356</f>
        <v/>
      </c>
      <c r="C2356" s="67" t="str">
        <f>ASTemp!C2356</f>
        <v/>
      </c>
      <c r="D2356" s="68" t="str">
        <f>ASTemp!D2356</f>
        <v/>
      </c>
      <c r="E2356" s="65" t="str">
        <f>ASTemp!E2356</f>
        <v/>
      </c>
      <c r="F2356" s="69" t="str">
        <f>TEXT(ASTemp!F2356,Decimals)</f>
        <v/>
      </c>
      <c r="G2356" s="69" t="str">
        <f>TEXT(ASTemp!G2356,Decimals)</f>
        <v/>
      </c>
      <c r="H2356" s="69" t="str">
        <f>TEXT(ASTemp!H2356,Decimals)</f>
        <v/>
      </c>
      <c r="I2356" s="69" t="str">
        <f>TEXT(ASTemp!I2356,Decimals)</f>
        <v/>
      </c>
      <c r="J2356" s="69" t="str">
        <f>TEXT(ASTemp!J2356,Decimals)</f>
        <v/>
      </c>
      <c r="K2356" s="69" t="str">
        <f>TEXT(ASTemp!K2356,Decimals)</f>
        <v/>
      </c>
      <c r="L2356" s="69" t="str">
        <f>TEXT(ASTemp!L2356,Decimals)</f>
        <v/>
      </c>
      <c r="M2356" s="71" t="str">
        <f>TEXT(ASTemp!M2356,Percentages)</f>
        <v/>
      </c>
      <c r="N2356" s="72" t="str">
        <f>TEXT(ASTemp!N2356,Percentages)</f>
        <v/>
      </c>
    </row>
    <row r="2357" ht="14.25" customHeight="1">
      <c r="B2357" s="66" t="str">
        <f>ASTemp!B2357</f>
        <v/>
      </c>
      <c r="C2357" s="67" t="str">
        <f>ASTemp!C2357</f>
        <v/>
      </c>
      <c r="D2357" s="68" t="str">
        <f>ASTemp!D2357</f>
        <v/>
      </c>
      <c r="E2357" s="65" t="str">
        <f>ASTemp!E2357</f>
        <v/>
      </c>
      <c r="F2357" s="69" t="str">
        <f>TEXT(ASTemp!F2357,Decimals)</f>
        <v/>
      </c>
      <c r="G2357" s="69" t="str">
        <f>TEXT(ASTemp!G2357,Decimals)</f>
        <v/>
      </c>
      <c r="H2357" s="69" t="str">
        <f>TEXT(ASTemp!H2357,Decimals)</f>
        <v/>
      </c>
      <c r="I2357" s="69" t="str">
        <f>TEXT(ASTemp!I2357,Decimals)</f>
        <v/>
      </c>
      <c r="J2357" s="69" t="str">
        <f>TEXT(ASTemp!J2357,Decimals)</f>
        <v/>
      </c>
      <c r="K2357" s="69" t="str">
        <f>TEXT(ASTemp!K2357,Decimals)</f>
        <v/>
      </c>
      <c r="L2357" s="69" t="str">
        <f>TEXT(ASTemp!L2357,Decimals)</f>
        <v/>
      </c>
      <c r="M2357" s="71" t="str">
        <f>TEXT(ASTemp!M2357,Percentages)</f>
        <v/>
      </c>
      <c r="N2357" s="72" t="str">
        <f>TEXT(ASTemp!N2357,Percentages)</f>
        <v/>
      </c>
    </row>
    <row r="2358" ht="14.25" customHeight="1">
      <c r="B2358" s="66" t="str">
        <f>ASTemp!B2358</f>
        <v/>
      </c>
      <c r="C2358" s="67" t="str">
        <f>ASTemp!C2358</f>
        <v/>
      </c>
      <c r="D2358" s="68" t="str">
        <f>ASTemp!D2358</f>
        <v/>
      </c>
      <c r="E2358" s="65" t="str">
        <f>ASTemp!E2358</f>
        <v/>
      </c>
      <c r="F2358" s="69" t="str">
        <f>TEXT(ASTemp!F2358,Decimals)</f>
        <v/>
      </c>
      <c r="G2358" s="69" t="str">
        <f>TEXT(ASTemp!G2358,Decimals)</f>
        <v/>
      </c>
      <c r="H2358" s="69" t="str">
        <f>TEXT(ASTemp!H2358,Decimals)</f>
        <v/>
      </c>
      <c r="I2358" s="69" t="str">
        <f>TEXT(ASTemp!I2358,Decimals)</f>
        <v/>
      </c>
      <c r="J2358" s="69" t="str">
        <f>TEXT(ASTemp!J2358,Decimals)</f>
        <v/>
      </c>
      <c r="K2358" s="69" t="str">
        <f>TEXT(ASTemp!K2358,Decimals)</f>
        <v/>
      </c>
      <c r="L2358" s="69" t="str">
        <f>TEXT(ASTemp!L2358,Decimals)</f>
        <v/>
      </c>
      <c r="M2358" s="71" t="str">
        <f>TEXT(ASTemp!M2358,Percentages)</f>
        <v/>
      </c>
      <c r="N2358" s="72" t="str">
        <f>TEXT(ASTemp!N2358,Percentages)</f>
        <v/>
      </c>
    </row>
    <row r="2359" ht="14.25" customHeight="1">
      <c r="B2359" s="66" t="str">
        <f>ASTemp!B2359</f>
        <v/>
      </c>
      <c r="C2359" s="67" t="str">
        <f>ASTemp!C2359</f>
        <v/>
      </c>
      <c r="D2359" s="68" t="str">
        <f>ASTemp!D2359</f>
        <v/>
      </c>
      <c r="E2359" s="65" t="str">
        <f>ASTemp!E2359</f>
        <v/>
      </c>
      <c r="F2359" s="69" t="str">
        <f>TEXT(ASTemp!F2359,Decimals)</f>
        <v/>
      </c>
      <c r="G2359" s="69" t="str">
        <f>TEXT(ASTemp!G2359,Decimals)</f>
        <v/>
      </c>
      <c r="H2359" s="69" t="str">
        <f>TEXT(ASTemp!H2359,Decimals)</f>
        <v/>
      </c>
      <c r="I2359" s="69" t="str">
        <f>TEXT(ASTemp!I2359,Decimals)</f>
        <v/>
      </c>
      <c r="J2359" s="69" t="str">
        <f>TEXT(ASTemp!J2359,Decimals)</f>
        <v/>
      </c>
      <c r="K2359" s="69" t="str">
        <f>TEXT(ASTemp!K2359,Decimals)</f>
        <v/>
      </c>
      <c r="L2359" s="69" t="str">
        <f>TEXT(ASTemp!L2359,Decimals)</f>
        <v/>
      </c>
      <c r="M2359" s="71" t="str">
        <f>TEXT(ASTemp!M2359,Percentages)</f>
        <v/>
      </c>
      <c r="N2359" s="72" t="str">
        <f>TEXT(ASTemp!N2359,Percentages)</f>
        <v/>
      </c>
    </row>
    <row r="2360" ht="14.25" customHeight="1">
      <c r="B2360" s="66" t="str">
        <f>ASTemp!B2360</f>
        <v/>
      </c>
      <c r="C2360" s="67" t="str">
        <f>ASTemp!C2360</f>
        <v/>
      </c>
      <c r="D2360" s="68" t="str">
        <f>ASTemp!D2360</f>
        <v/>
      </c>
      <c r="E2360" s="65" t="str">
        <f>ASTemp!E2360</f>
        <v/>
      </c>
      <c r="F2360" s="69" t="str">
        <f>TEXT(ASTemp!F2360,Decimals)</f>
        <v/>
      </c>
      <c r="G2360" s="69" t="str">
        <f>TEXT(ASTemp!G2360,Decimals)</f>
        <v/>
      </c>
      <c r="H2360" s="69" t="str">
        <f>TEXT(ASTemp!H2360,Decimals)</f>
        <v/>
      </c>
      <c r="I2360" s="69" t="str">
        <f>TEXT(ASTemp!I2360,Decimals)</f>
        <v/>
      </c>
      <c r="J2360" s="69" t="str">
        <f>TEXT(ASTemp!J2360,Decimals)</f>
        <v/>
      </c>
      <c r="K2360" s="69" t="str">
        <f>TEXT(ASTemp!K2360,Decimals)</f>
        <v/>
      </c>
      <c r="L2360" s="69" t="str">
        <f>TEXT(ASTemp!L2360,Decimals)</f>
        <v/>
      </c>
      <c r="M2360" s="71" t="str">
        <f>TEXT(ASTemp!M2360,Percentages)</f>
        <v/>
      </c>
      <c r="N2360" s="72" t="str">
        <f>TEXT(ASTemp!N2360,Percentages)</f>
        <v/>
      </c>
    </row>
    <row r="2361" ht="14.25" customHeight="1">
      <c r="B2361" s="66" t="str">
        <f>ASTemp!B2361</f>
        <v/>
      </c>
      <c r="C2361" s="67" t="str">
        <f>ASTemp!C2361</f>
        <v/>
      </c>
      <c r="D2361" s="68" t="str">
        <f>ASTemp!D2361</f>
        <v/>
      </c>
      <c r="E2361" s="65" t="str">
        <f>ASTemp!E2361</f>
        <v/>
      </c>
      <c r="F2361" s="69" t="str">
        <f>TEXT(ASTemp!F2361,Decimals)</f>
        <v/>
      </c>
      <c r="G2361" s="69" t="str">
        <f>TEXT(ASTemp!G2361,Decimals)</f>
        <v/>
      </c>
      <c r="H2361" s="69" t="str">
        <f>TEXT(ASTemp!H2361,Decimals)</f>
        <v/>
      </c>
      <c r="I2361" s="69" t="str">
        <f>TEXT(ASTemp!I2361,Decimals)</f>
        <v/>
      </c>
      <c r="J2361" s="69" t="str">
        <f>TEXT(ASTemp!J2361,Decimals)</f>
        <v/>
      </c>
      <c r="K2361" s="69" t="str">
        <f>TEXT(ASTemp!K2361,Decimals)</f>
        <v/>
      </c>
      <c r="L2361" s="69" t="str">
        <f>TEXT(ASTemp!L2361,Decimals)</f>
        <v/>
      </c>
      <c r="M2361" s="71" t="str">
        <f>TEXT(ASTemp!M2361,Percentages)</f>
        <v/>
      </c>
      <c r="N2361" s="72" t="str">
        <f>TEXT(ASTemp!N2361,Percentages)</f>
        <v/>
      </c>
    </row>
    <row r="2362" ht="14.25" customHeight="1">
      <c r="B2362" s="66" t="str">
        <f>ASTemp!B2362</f>
        <v/>
      </c>
      <c r="C2362" s="67" t="str">
        <f>ASTemp!C2362</f>
        <v/>
      </c>
      <c r="D2362" s="68" t="str">
        <f>ASTemp!D2362</f>
        <v/>
      </c>
      <c r="E2362" s="65" t="str">
        <f>ASTemp!E2362</f>
        <v/>
      </c>
      <c r="F2362" s="69" t="str">
        <f>TEXT(ASTemp!F2362,Decimals)</f>
        <v/>
      </c>
      <c r="G2362" s="69" t="str">
        <f>TEXT(ASTemp!G2362,Decimals)</f>
        <v/>
      </c>
      <c r="H2362" s="69" t="str">
        <f>TEXT(ASTemp!H2362,Decimals)</f>
        <v/>
      </c>
      <c r="I2362" s="69" t="str">
        <f>TEXT(ASTemp!I2362,Decimals)</f>
        <v/>
      </c>
      <c r="J2362" s="69" t="str">
        <f>TEXT(ASTemp!J2362,Decimals)</f>
        <v/>
      </c>
      <c r="K2362" s="69" t="str">
        <f>TEXT(ASTemp!K2362,Decimals)</f>
        <v/>
      </c>
      <c r="L2362" s="69" t="str">
        <f>TEXT(ASTemp!L2362,Decimals)</f>
        <v/>
      </c>
      <c r="M2362" s="71" t="str">
        <f>TEXT(ASTemp!M2362,Percentages)</f>
        <v/>
      </c>
      <c r="N2362" s="72" t="str">
        <f>TEXT(ASTemp!N2362,Percentages)</f>
        <v/>
      </c>
    </row>
    <row r="2363" ht="14.25" customHeight="1">
      <c r="B2363" s="66" t="str">
        <f>ASTemp!B2363</f>
        <v/>
      </c>
      <c r="C2363" s="67" t="str">
        <f>ASTemp!C2363</f>
        <v/>
      </c>
      <c r="D2363" s="68" t="str">
        <f>ASTemp!D2363</f>
        <v/>
      </c>
      <c r="E2363" s="65" t="str">
        <f>ASTemp!E2363</f>
        <v/>
      </c>
      <c r="F2363" s="69" t="str">
        <f>TEXT(ASTemp!F2363,Decimals)</f>
        <v/>
      </c>
      <c r="G2363" s="69" t="str">
        <f>TEXT(ASTemp!G2363,Decimals)</f>
        <v/>
      </c>
      <c r="H2363" s="69" t="str">
        <f>TEXT(ASTemp!H2363,Decimals)</f>
        <v/>
      </c>
      <c r="I2363" s="69" t="str">
        <f>TEXT(ASTemp!I2363,Decimals)</f>
        <v/>
      </c>
      <c r="J2363" s="69" t="str">
        <f>TEXT(ASTemp!J2363,Decimals)</f>
        <v/>
      </c>
      <c r="K2363" s="69" t="str">
        <f>TEXT(ASTemp!K2363,Decimals)</f>
        <v/>
      </c>
      <c r="L2363" s="69" t="str">
        <f>TEXT(ASTemp!L2363,Decimals)</f>
        <v/>
      </c>
      <c r="M2363" s="71" t="str">
        <f>TEXT(ASTemp!M2363,Percentages)</f>
        <v/>
      </c>
      <c r="N2363" s="72" t="str">
        <f>TEXT(ASTemp!N2363,Percentages)</f>
        <v/>
      </c>
    </row>
    <row r="2364" ht="14.25" customHeight="1">
      <c r="B2364" s="66" t="str">
        <f>ASTemp!B2364</f>
        <v/>
      </c>
      <c r="C2364" s="67" t="str">
        <f>ASTemp!C2364</f>
        <v/>
      </c>
      <c r="D2364" s="68" t="str">
        <f>ASTemp!D2364</f>
        <v/>
      </c>
      <c r="E2364" s="65" t="str">
        <f>ASTemp!E2364</f>
        <v/>
      </c>
      <c r="F2364" s="69" t="str">
        <f>TEXT(ASTemp!F2364,Decimals)</f>
        <v/>
      </c>
      <c r="G2364" s="69" t="str">
        <f>TEXT(ASTemp!G2364,Decimals)</f>
        <v/>
      </c>
      <c r="H2364" s="69" t="str">
        <f>TEXT(ASTemp!H2364,Decimals)</f>
        <v/>
      </c>
      <c r="I2364" s="69" t="str">
        <f>TEXT(ASTemp!I2364,Decimals)</f>
        <v/>
      </c>
      <c r="J2364" s="69" t="str">
        <f>TEXT(ASTemp!J2364,Decimals)</f>
        <v/>
      </c>
      <c r="K2364" s="69" t="str">
        <f>TEXT(ASTemp!K2364,Decimals)</f>
        <v/>
      </c>
      <c r="L2364" s="69" t="str">
        <f>TEXT(ASTemp!L2364,Decimals)</f>
        <v/>
      </c>
      <c r="M2364" s="71" t="str">
        <f>TEXT(ASTemp!M2364,Percentages)</f>
        <v/>
      </c>
      <c r="N2364" s="72" t="str">
        <f>TEXT(ASTemp!N2364,Percentages)</f>
        <v/>
      </c>
    </row>
    <row r="2365" ht="14.25" customHeight="1">
      <c r="B2365" s="66" t="str">
        <f>ASTemp!B2365</f>
        <v/>
      </c>
      <c r="C2365" s="67" t="str">
        <f>ASTemp!C2365</f>
        <v/>
      </c>
      <c r="D2365" s="68" t="str">
        <f>ASTemp!D2365</f>
        <v/>
      </c>
      <c r="E2365" s="65" t="str">
        <f>ASTemp!E2365</f>
        <v/>
      </c>
      <c r="F2365" s="69" t="str">
        <f>TEXT(ASTemp!F2365,Decimals)</f>
        <v/>
      </c>
      <c r="G2365" s="69" t="str">
        <f>TEXT(ASTemp!G2365,Decimals)</f>
        <v/>
      </c>
      <c r="H2365" s="69" t="str">
        <f>TEXT(ASTemp!H2365,Decimals)</f>
        <v/>
      </c>
      <c r="I2365" s="69" t="str">
        <f>TEXT(ASTemp!I2365,Decimals)</f>
        <v/>
      </c>
      <c r="J2365" s="69" t="str">
        <f>TEXT(ASTemp!J2365,Decimals)</f>
        <v/>
      </c>
      <c r="K2365" s="69" t="str">
        <f>TEXT(ASTemp!K2365,Decimals)</f>
        <v/>
      </c>
      <c r="L2365" s="69" t="str">
        <f>TEXT(ASTemp!L2365,Decimals)</f>
        <v/>
      </c>
      <c r="M2365" s="71" t="str">
        <f>TEXT(ASTemp!M2365,Percentages)</f>
        <v/>
      </c>
      <c r="N2365" s="72" t="str">
        <f>TEXT(ASTemp!N2365,Percentages)</f>
        <v/>
      </c>
    </row>
    <row r="2366" ht="14.25" customHeight="1">
      <c r="B2366" s="66" t="str">
        <f>ASTemp!B2366</f>
        <v/>
      </c>
      <c r="C2366" s="67" t="str">
        <f>ASTemp!C2366</f>
        <v/>
      </c>
      <c r="D2366" s="68" t="str">
        <f>ASTemp!D2366</f>
        <v/>
      </c>
      <c r="E2366" s="65" t="str">
        <f>ASTemp!E2366</f>
        <v/>
      </c>
      <c r="F2366" s="69" t="str">
        <f>TEXT(ASTemp!F2366,Decimals)</f>
        <v/>
      </c>
      <c r="G2366" s="69" t="str">
        <f>TEXT(ASTemp!G2366,Decimals)</f>
        <v/>
      </c>
      <c r="H2366" s="69" t="str">
        <f>TEXT(ASTemp!H2366,Decimals)</f>
        <v/>
      </c>
      <c r="I2366" s="69" t="str">
        <f>TEXT(ASTemp!I2366,Decimals)</f>
        <v/>
      </c>
      <c r="J2366" s="69" t="str">
        <f>TEXT(ASTemp!J2366,Decimals)</f>
        <v/>
      </c>
      <c r="K2366" s="69" t="str">
        <f>TEXT(ASTemp!K2366,Decimals)</f>
        <v/>
      </c>
      <c r="L2366" s="69" t="str">
        <f>TEXT(ASTemp!L2366,Decimals)</f>
        <v/>
      </c>
      <c r="M2366" s="71" t="str">
        <f>TEXT(ASTemp!M2366,Percentages)</f>
        <v/>
      </c>
      <c r="N2366" s="72" t="str">
        <f>TEXT(ASTemp!N2366,Percentages)</f>
        <v/>
      </c>
    </row>
    <row r="2367" ht="14.25" customHeight="1">
      <c r="B2367" s="66" t="str">
        <f>ASTemp!B2367</f>
        <v/>
      </c>
      <c r="C2367" s="67" t="str">
        <f>ASTemp!C2367</f>
        <v/>
      </c>
      <c r="D2367" s="68" t="str">
        <f>ASTemp!D2367</f>
        <v/>
      </c>
      <c r="E2367" s="65" t="str">
        <f>ASTemp!E2367</f>
        <v/>
      </c>
      <c r="F2367" s="69" t="str">
        <f>TEXT(ASTemp!F2367,Decimals)</f>
        <v/>
      </c>
      <c r="G2367" s="69" t="str">
        <f>TEXT(ASTemp!G2367,Decimals)</f>
        <v/>
      </c>
      <c r="H2367" s="69" t="str">
        <f>TEXT(ASTemp!H2367,Decimals)</f>
        <v/>
      </c>
      <c r="I2367" s="69" t="str">
        <f>TEXT(ASTemp!I2367,Decimals)</f>
        <v/>
      </c>
      <c r="J2367" s="69" t="str">
        <f>TEXT(ASTemp!J2367,Decimals)</f>
        <v/>
      </c>
      <c r="K2367" s="69" t="str">
        <f>TEXT(ASTemp!K2367,Decimals)</f>
        <v/>
      </c>
      <c r="L2367" s="69" t="str">
        <f>TEXT(ASTemp!L2367,Decimals)</f>
        <v/>
      </c>
      <c r="M2367" s="71" t="str">
        <f>TEXT(ASTemp!M2367,Percentages)</f>
        <v/>
      </c>
      <c r="N2367" s="72" t="str">
        <f>TEXT(ASTemp!N2367,Percentages)</f>
        <v/>
      </c>
    </row>
    <row r="2368" ht="14.25" customHeight="1">
      <c r="B2368" s="66" t="str">
        <f>ASTemp!B2368</f>
        <v/>
      </c>
      <c r="C2368" s="67" t="str">
        <f>ASTemp!C2368</f>
        <v/>
      </c>
      <c r="D2368" s="68" t="str">
        <f>ASTemp!D2368</f>
        <v/>
      </c>
      <c r="E2368" s="65" t="str">
        <f>ASTemp!E2368</f>
        <v/>
      </c>
      <c r="F2368" s="69" t="str">
        <f>TEXT(ASTemp!F2368,Decimals)</f>
        <v/>
      </c>
      <c r="G2368" s="69" t="str">
        <f>TEXT(ASTemp!G2368,Decimals)</f>
        <v/>
      </c>
      <c r="H2368" s="69" t="str">
        <f>TEXT(ASTemp!H2368,Decimals)</f>
        <v/>
      </c>
      <c r="I2368" s="69" t="str">
        <f>TEXT(ASTemp!I2368,Decimals)</f>
        <v/>
      </c>
      <c r="J2368" s="69" t="str">
        <f>TEXT(ASTemp!J2368,Decimals)</f>
        <v/>
      </c>
      <c r="K2368" s="69" t="str">
        <f>TEXT(ASTemp!K2368,Decimals)</f>
        <v/>
      </c>
      <c r="L2368" s="69" t="str">
        <f>TEXT(ASTemp!L2368,Decimals)</f>
        <v/>
      </c>
      <c r="M2368" s="71" t="str">
        <f>TEXT(ASTemp!M2368,Percentages)</f>
        <v/>
      </c>
      <c r="N2368" s="72" t="str">
        <f>TEXT(ASTemp!N2368,Percentages)</f>
        <v/>
      </c>
    </row>
    <row r="2369" ht="14.25" customHeight="1">
      <c r="B2369" s="66" t="str">
        <f>ASTemp!B2369</f>
        <v/>
      </c>
      <c r="C2369" s="67" t="str">
        <f>ASTemp!C2369</f>
        <v/>
      </c>
      <c r="D2369" s="68" t="str">
        <f>ASTemp!D2369</f>
        <v/>
      </c>
      <c r="E2369" s="65" t="str">
        <f>ASTemp!E2369</f>
        <v/>
      </c>
      <c r="F2369" s="69" t="str">
        <f>TEXT(ASTemp!F2369,Decimals)</f>
        <v/>
      </c>
      <c r="G2369" s="69" t="str">
        <f>TEXT(ASTemp!G2369,Decimals)</f>
        <v/>
      </c>
      <c r="H2369" s="69" t="str">
        <f>TEXT(ASTemp!H2369,Decimals)</f>
        <v/>
      </c>
      <c r="I2369" s="69" t="str">
        <f>TEXT(ASTemp!I2369,Decimals)</f>
        <v/>
      </c>
      <c r="J2369" s="69" t="str">
        <f>TEXT(ASTemp!J2369,Decimals)</f>
        <v/>
      </c>
      <c r="K2369" s="69" t="str">
        <f>TEXT(ASTemp!K2369,Decimals)</f>
        <v/>
      </c>
      <c r="L2369" s="69" t="str">
        <f>TEXT(ASTemp!L2369,Decimals)</f>
        <v/>
      </c>
      <c r="M2369" s="71" t="str">
        <f>TEXT(ASTemp!M2369,Percentages)</f>
        <v/>
      </c>
      <c r="N2369" s="72" t="str">
        <f>TEXT(ASTemp!N2369,Percentages)</f>
        <v/>
      </c>
    </row>
    <row r="2370" ht="14.25" customHeight="1">
      <c r="B2370" s="66" t="str">
        <f>ASTemp!B2370</f>
        <v/>
      </c>
      <c r="C2370" s="67" t="str">
        <f>ASTemp!C2370</f>
        <v/>
      </c>
      <c r="D2370" s="68" t="str">
        <f>ASTemp!D2370</f>
        <v/>
      </c>
      <c r="E2370" s="65" t="str">
        <f>ASTemp!E2370</f>
        <v/>
      </c>
      <c r="F2370" s="69" t="str">
        <f>TEXT(ASTemp!F2370,Decimals)</f>
        <v/>
      </c>
      <c r="G2370" s="69" t="str">
        <f>TEXT(ASTemp!G2370,Decimals)</f>
        <v/>
      </c>
      <c r="H2370" s="69" t="str">
        <f>TEXT(ASTemp!H2370,Decimals)</f>
        <v/>
      </c>
      <c r="I2370" s="69" t="str">
        <f>TEXT(ASTemp!I2370,Decimals)</f>
        <v/>
      </c>
      <c r="J2370" s="69" t="str">
        <f>TEXT(ASTemp!J2370,Decimals)</f>
        <v/>
      </c>
      <c r="K2370" s="69" t="str">
        <f>TEXT(ASTemp!K2370,Decimals)</f>
        <v/>
      </c>
      <c r="L2370" s="69" t="str">
        <f>TEXT(ASTemp!L2370,Decimals)</f>
        <v/>
      </c>
      <c r="M2370" s="71" t="str">
        <f>TEXT(ASTemp!M2370,Percentages)</f>
        <v/>
      </c>
      <c r="N2370" s="72" t="str">
        <f>TEXT(ASTemp!N2370,Percentages)</f>
        <v/>
      </c>
    </row>
    <row r="2371" ht="14.25" customHeight="1">
      <c r="B2371" s="66" t="str">
        <f>ASTemp!B2371</f>
        <v/>
      </c>
      <c r="C2371" s="67" t="str">
        <f>ASTemp!C2371</f>
        <v/>
      </c>
      <c r="D2371" s="68" t="str">
        <f>ASTemp!D2371</f>
        <v/>
      </c>
      <c r="E2371" s="65" t="str">
        <f>ASTemp!E2371</f>
        <v/>
      </c>
      <c r="F2371" s="69" t="str">
        <f>TEXT(ASTemp!F2371,Decimals)</f>
        <v/>
      </c>
      <c r="G2371" s="69" t="str">
        <f>TEXT(ASTemp!G2371,Decimals)</f>
        <v/>
      </c>
      <c r="H2371" s="69" t="str">
        <f>TEXT(ASTemp!H2371,Decimals)</f>
        <v/>
      </c>
      <c r="I2371" s="69" t="str">
        <f>TEXT(ASTemp!I2371,Decimals)</f>
        <v/>
      </c>
      <c r="J2371" s="69" t="str">
        <f>TEXT(ASTemp!J2371,Decimals)</f>
        <v/>
      </c>
      <c r="K2371" s="69" t="str">
        <f>TEXT(ASTemp!K2371,Decimals)</f>
        <v/>
      </c>
      <c r="L2371" s="69" t="str">
        <f>TEXT(ASTemp!L2371,Decimals)</f>
        <v/>
      </c>
      <c r="M2371" s="71" t="str">
        <f>TEXT(ASTemp!M2371,Percentages)</f>
        <v/>
      </c>
      <c r="N2371" s="72" t="str">
        <f>TEXT(ASTemp!N2371,Percentages)</f>
        <v/>
      </c>
    </row>
    <row r="2372" ht="14.25" customHeight="1">
      <c r="B2372" s="66" t="str">
        <f>ASTemp!B2372</f>
        <v/>
      </c>
      <c r="C2372" s="67" t="str">
        <f>ASTemp!C2372</f>
        <v/>
      </c>
      <c r="D2372" s="68" t="str">
        <f>ASTemp!D2372</f>
        <v/>
      </c>
      <c r="E2372" s="65" t="str">
        <f>ASTemp!E2372</f>
        <v/>
      </c>
      <c r="F2372" s="69" t="str">
        <f>TEXT(ASTemp!F2372,Decimals)</f>
        <v/>
      </c>
      <c r="G2372" s="69" t="str">
        <f>TEXT(ASTemp!G2372,Decimals)</f>
        <v/>
      </c>
      <c r="H2372" s="69" t="str">
        <f>TEXT(ASTemp!H2372,Decimals)</f>
        <v/>
      </c>
      <c r="I2372" s="69" t="str">
        <f>TEXT(ASTemp!I2372,Decimals)</f>
        <v/>
      </c>
      <c r="J2372" s="69" t="str">
        <f>TEXT(ASTemp!J2372,Decimals)</f>
        <v/>
      </c>
      <c r="K2372" s="69" t="str">
        <f>TEXT(ASTemp!K2372,Decimals)</f>
        <v/>
      </c>
      <c r="L2372" s="69" t="str">
        <f>TEXT(ASTemp!L2372,Decimals)</f>
        <v/>
      </c>
      <c r="M2372" s="71" t="str">
        <f>TEXT(ASTemp!M2372,Percentages)</f>
        <v/>
      </c>
      <c r="N2372" s="72" t="str">
        <f>TEXT(ASTemp!N2372,Percentages)</f>
        <v/>
      </c>
    </row>
    <row r="2373" ht="14.25" customHeight="1">
      <c r="B2373" s="66" t="str">
        <f>ASTemp!B2373</f>
        <v/>
      </c>
      <c r="C2373" s="67" t="str">
        <f>ASTemp!C2373</f>
        <v/>
      </c>
      <c r="D2373" s="68" t="str">
        <f>ASTemp!D2373</f>
        <v/>
      </c>
      <c r="E2373" s="65" t="str">
        <f>ASTemp!E2373</f>
        <v/>
      </c>
      <c r="F2373" s="69" t="str">
        <f>TEXT(ASTemp!F2373,Decimals)</f>
        <v/>
      </c>
      <c r="G2373" s="69" t="str">
        <f>TEXT(ASTemp!G2373,Decimals)</f>
        <v/>
      </c>
      <c r="H2373" s="69" t="str">
        <f>TEXT(ASTemp!H2373,Decimals)</f>
        <v/>
      </c>
      <c r="I2373" s="69" t="str">
        <f>TEXT(ASTemp!I2373,Decimals)</f>
        <v/>
      </c>
      <c r="J2373" s="69" t="str">
        <f>TEXT(ASTemp!J2373,Decimals)</f>
        <v/>
      </c>
      <c r="K2373" s="69" t="str">
        <f>TEXT(ASTemp!K2373,Decimals)</f>
        <v/>
      </c>
      <c r="L2373" s="69" t="str">
        <f>TEXT(ASTemp!L2373,Decimals)</f>
        <v/>
      </c>
      <c r="M2373" s="71" t="str">
        <f>TEXT(ASTemp!M2373,Percentages)</f>
        <v/>
      </c>
      <c r="N2373" s="72" t="str">
        <f>TEXT(ASTemp!N2373,Percentages)</f>
        <v/>
      </c>
    </row>
    <row r="2374" ht="14.25" customHeight="1">
      <c r="B2374" s="66" t="str">
        <f>ASTemp!B2374</f>
        <v/>
      </c>
      <c r="C2374" s="67" t="str">
        <f>ASTemp!C2374</f>
        <v/>
      </c>
      <c r="D2374" s="68" t="str">
        <f>ASTemp!D2374</f>
        <v/>
      </c>
      <c r="E2374" s="65" t="str">
        <f>ASTemp!E2374</f>
        <v/>
      </c>
      <c r="F2374" s="69" t="str">
        <f>TEXT(ASTemp!F2374,Decimals)</f>
        <v/>
      </c>
      <c r="G2374" s="69" t="str">
        <f>TEXT(ASTemp!G2374,Decimals)</f>
        <v/>
      </c>
      <c r="H2374" s="69" t="str">
        <f>TEXT(ASTemp!H2374,Decimals)</f>
        <v/>
      </c>
      <c r="I2374" s="69" t="str">
        <f>TEXT(ASTemp!I2374,Decimals)</f>
        <v/>
      </c>
      <c r="J2374" s="69" t="str">
        <f>TEXT(ASTemp!J2374,Decimals)</f>
        <v/>
      </c>
      <c r="K2374" s="69" t="str">
        <f>TEXT(ASTemp!K2374,Decimals)</f>
        <v/>
      </c>
      <c r="L2374" s="69" t="str">
        <f>TEXT(ASTemp!L2374,Decimals)</f>
        <v/>
      </c>
      <c r="M2374" s="71" t="str">
        <f>TEXT(ASTemp!M2374,Percentages)</f>
        <v/>
      </c>
      <c r="N2374" s="72" t="str">
        <f>TEXT(ASTemp!N2374,Percentages)</f>
        <v/>
      </c>
    </row>
    <row r="2375" ht="14.25" customHeight="1">
      <c r="B2375" s="66" t="str">
        <f>ASTemp!B2375</f>
        <v/>
      </c>
      <c r="C2375" s="67" t="str">
        <f>ASTemp!C2375</f>
        <v/>
      </c>
      <c r="D2375" s="68" t="str">
        <f>ASTemp!D2375</f>
        <v/>
      </c>
      <c r="E2375" s="65" t="str">
        <f>ASTemp!E2375</f>
        <v/>
      </c>
      <c r="F2375" s="69" t="str">
        <f>TEXT(ASTemp!F2375,Decimals)</f>
        <v/>
      </c>
      <c r="G2375" s="69" t="str">
        <f>TEXT(ASTemp!G2375,Decimals)</f>
        <v/>
      </c>
      <c r="H2375" s="69" t="str">
        <f>TEXT(ASTemp!H2375,Decimals)</f>
        <v/>
      </c>
      <c r="I2375" s="69" t="str">
        <f>TEXT(ASTemp!I2375,Decimals)</f>
        <v/>
      </c>
      <c r="J2375" s="69" t="str">
        <f>TEXT(ASTemp!J2375,Decimals)</f>
        <v/>
      </c>
      <c r="K2375" s="69" t="str">
        <f>TEXT(ASTemp!K2375,Decimals)</f>
        <v/>
      </c>
      <c r="L2375" s="69" t="str">
        <f>TEXT(ASTemp!L2375,Decimals)</f>
        <v/>
      </c>
      <c r="M2375" s="71" t="str">
        <f>TEXT(ASTemp!M2375,Percentages)</f>
        <v/>
      </c>
      <c r="N2375" s="72" t="str">
        <f>TEXT(ASTemp!N2375,Percentages)</f>
        <v/>
      </c>
    </row>
    <row r="2376" ht="14.25" customHeight="1">
      <c r="B2376" s="66" t="str">
        <f>ASTemp!B2376</f>
        <v/>
      </c>
      <c r="C2376" s="67" t="str">
        <f>ASTemp!C2376</f>
        <v/>
      </c>
      <c r="D2376" s="68" t="str">
        <f>ASTemp!D2376</f>
        <v/>
      </c>
      <c r="E2376" s="65" t="str">
        <f>ASTemp!E2376</f>
        <v/>
      </c>
      <c r="F2376" s="69" t="str">
        <f>TEXT(ASTemp!F2376,Decimals)</f>
        <v/>
      </c>
      <c r="G2376" s="69" t="str">
        <f>TEXT(ASTemp!G2376,Decimals)</f>
        <v/>
      </c>
      <c r="H2376" s="69" t="str">
        <f>TEXT(ASTemp!H2376,Decimals)</f>
        <v/>
      </c>
      <c r="I2376" s="69" t="str">
        <f>TEXT(ASTemp!I2376,Decimals)</f>
        <v/>
      </c>
      <c r="J2376" s="69" t="str">
        <f>TEXT(ASTemp!J2376,Decimals)</f>
        <v/>
      </c>
      <c r="K2376" s="69" t="str">
        <f>TEXT(ASTemp!K2376,Decimals)</f>
        <v/>
      </c>
      <c r="L2376" s="69" t="str">
        <f>TEXT(ASTemp!L2376,Decimals)</f>
        <v/>
      </c>
      <c r="M2376" s="71" t="str">
        <f>TEXT(ASTemp!M2376,Percentages)</f>
        <v/>
      </c>
      <c r="N2376" s="72" t="str">
        <f>TEXT(ASTemp!N2376,Percentages)</f>
        <v/>
      </c>
    </row>
    <row r="2377" ht="14.25" customHeight="1">
      <c r="B2377" s="66" t="str">
        <f>ASTemp!B2377</f>
        <v/>
      </c>
      <c r="C2377" s="67" t="str">
        <f>ASTemp!C2377</f>
        <v/>
      </c>
      <c r="D2377" s="68" t="str">
        <f>ASTemp!D2377</f>
        <v/>
      </c>
      <c r="E2377" s="65" t="str">
        <f>ASTemp!E2377</f>
        <v/>
      </c>
      <c r="F2377" s="69" t="str">
        <f>TEXT(ASTemp!F2377,Decimals)</f>
        <v/>
      </c>
      <c r="G2377" s="69" t="str">
        <f>TEXT(ASTemp!G2377,Decimals)</f>
        <v/>
      </c>
      <c r="H2377" s="69" t="str">
        <f>TEXT(ASTemp!H2377,Decimals)</f>
        <v/>
      </c>
      <c r="I2377" s="69" t="str">
        <f>TEXT(ASTemp!I2377,Decimals)</f>
        <v/>
      </c>
      <c r="J2377" s="69" t="str">
        <f>TEXT(ASTemp!J2377,Decimals)</f>
        <v/>
      </c>
      <c r="K2377" s="69" t="str">
        <f>TEXT(ASTemp!K2377,Decimals)</f>
        <v/>
      </c>
      <c r="L2377" s="69" t="str">
        <f>TEXT(ASTemp!L2377,Decimals)</f>
        <v/>
      </c>
      <c r="M2377" s="71" t="str">
        <f>TEXT(ASTemp!M2377,Percentages)</f>
        <v/>
      </c>
      <c r="N2377" s="72" t="str">
        <f>TEXT(ASTemp!N2377,Percentages)</f>
        <v/>
      </c>
    </row>
    <row r="2378" ht="14.25" customHeight="1">
      <c r="B2378" s="66" t="str">
        <f>ASTemp!B2378</f>
        <v/>
      </c>
      <c r="C2378" s="67" t="str">
        <f>ASTemp!C2378</f>
        <v/>
      </c>
      <c r="D2378" s="68" t="str">
        <f>ASTemp!D2378</f>
        <v/>
      </c>
      <c r="E2378" s="65" t="str">
        <f>ASTemp!E2378</f>
        <v/>
      </c>
      <c r="F2378" s="69" t="str">
        <f>TEXT(ASTemp!F2378,Decimals)</f>
        <v/>
      </c>
      <c r="G2378" s="69" t="str">
        <f>TEXT(ASTemp!G2378,Decimals)</f>
        <v/>
      </c>
      <c r="H2378" s="69" t="str">
        <f>TEXT(ASTemp!H2378,Decimals)</f>
        <v/>
      </c>
      <c r="I2378" s="69" t="str">
        <f>TEXT(ASTemp!I2378,Decimals)</f>
        <v/>
      </c>
      <c r="J2378" s="69" t="str">
        <f>TEXT(ASTemp!J2378,Decimals)</f>
        <v/>
      </c>
      <c r="K2378" s="69" t="str">
        <f>TEXT(ASTemp!K2378,Decimals)</f>
        <v/>
      </c>
      <c r="L2378" s="69" t="str">
        <f>TEXT(ASTemp!L2378,Decimals)</f>
        <v/>
      </c>
      <c r="M2378" s="71" t="str">
        <f>TEXT(ASTemp!M2378,Percentages)</f>
        <v/>
      </c>
      <c r="N2378" s="72" t="str">
        <f>TEXT(ASTemp!N2378,Percentages)</f>
        <v/>
      </c>
    </row>
    <row r="2379" ht="14.25" customHeight="1">
      <c r="B2379" s="66" t="str">
        <f>ASTemp!B2379</f>
        <v/>
      </c>
      <c r="C2379" s="67" t="str">
        <f>ASTemp!C2379</f>
        <v/>
      </c>
      <c r="D2379" s="68" t="str">
        <f>ASTemp!D2379</f>
        <v/>
      </c>
      <c r="E2379" s="65" t="str">
        <f>ASTemp!E2379</f>
        <v/>
      </c>
      <c r="F2379" s="69" t="str">
        <f>TEXT(ASTemp!F2379,Decimals)</f>
        <v/>
      </c>
      <c r="G2379" s="69" t="str">
        <f>TEXT(ASTemp!G2379,Decimals)</f>
        <v/>
      </c>
      <c r="H2379" s="69" t="str">
        <f>TEXT(ASTemp!H2379,Decimals)</f>
        <v/>
      </c>
      <c r="I2379" s="69" t="str">
        <f>TEXT(ASTemp!I2379,Decimals)</f>
        <v/>
      </c>
      <c r="J2379" s="69" t="str">
        <f>TEXT(ASTemp!J2379,Decimals)</f>
        <v/>
      </c>
      <c r="K2379" s="69" t="str">
        <f>TEXT(ASTemp!K2379,Decimals)</f>
        <v/>
      </c>
      <c r="L2379" s="69" t="str">
        <f>TEXT(ASTemp!L2379,Decimals)</f>
        <v/>
      </c>
      <c r="M2379" s="71" t="str">
        <f>TEXT(ASTemp!M2379,Percentages)</f>
        <v/>
      </c>
      <c r="N2379" s="72" t="str">
        <f>TEXT(ASTemp!N2379,Percentages)</f>
        <v/>
      </c>
    </row>
    <row r="2380" ht="14.25" customHeight="1">
      <c r="B2380" s="66" t="str">
        <f>ASTemp!B2380</f>
        <v/>
      </c>
      <c r="C2380" s="67" t="str">
        <f>ASTemp!C2380</f>
        <v/>
      </c>
      <c r="D2380" s="68" t="str">
        <f>ASTemp!D2380</f>
        <v/>
      </c>
      <c r="E2380" s="65" t="str">
        <f>ASTemp!E2380</f>
        <v/>
      </c>
      <c r="F2380" s="69" t="str">
        <f>TEXT(ASTemp!F2380,Decimals)</f>
        <v/>
      </c>
      <c r="G2380" s="69" t="str">
        <f>TEXT(ASTemp!G2380,Decimals)</f>
        <v/>
      </c>
      <c r="H2380" s="69" t="str">
        <f>TEXT(ASTemp!H2380,Decimals)</f>
        <v/>
      </c>
      <c r="I2380" s="69" t="str">
        <f>TEXT(ASTemp!I2380,Decimals)</f>
        <v/>
      </c>
      <c r="J2380" s="69" t="str">
        <f>TEXT(ASTemp!J2380,Decimals)</f>
        <v/>
      </c>
      <c r="K2380" s="69" t="str">
        <f>TEXT(ASTemp!K2380,Decimals)</f>
        <v/>
      </c>
      <c r="L2380" s="69" t="str">
        <f>TEXT(ASTemp!L2380,Decimals)</f>
        <v/>
      </c>
      <c r="M2380" s="71" t="str">
        <f>TEXT(ASTemp!M2380,Percentages)</f>
        <v/>
      </c>
      <c r="N2380" s="72" t="str">
        <f>TEXT(ASTemp!N2380,Percentages)</f>
        <v/>
      </c>
    </row>
    <row r="2381" ht="14.25" customHeight="1">
      <c r="B2381" s="66" t="str">
        <f>ASTemp!B2381</f>
        <v/>
      </c>
      <c r="C2381" s="67" t="str">
        <f>ASTemp!C2381</f>
        <v/>
      </c>
      <c r="D2381" s="68" t="str">
        <f>ASTemp!D2381</f>
        <v/>
      </c>
      <c r="E2381" s="65" t="str">
        <f>ASTemp!E2381</f>
        <v/>
      </c>
      <c r="F2381" s="69" t="str">
        <f>TEXT(ASTemp!F2381,Decimals)</f>
        <v/>
      </c>
      <c r="G2381" s="69" t="str">
        <f>TEXT(ASTemp!G2381,Decimals)</f>
        <v/>
      </c>
      <c r="H2381" s="69" t="str">
        <f>TEXT(ASTemp!H2381,Decimals)</f>
        <v/>
      </c>
      <c r="I2381" s="69" t="str">
        <f>TEXT(ASTemp!I2381,Decimals)</f>
        <v/>
      </c>
      <c r="J2381" s="69" t="str">
        <f>TEXT(ASTemp!J2381,Decimals)</f>
        <v/>
      </c>
      <c r="K2381" s="69" t="str">
        <f>TEXT(ASTemp!K2381,Decimals)</f>
        <v/>
      </c>
      <c r="L2381" s="69" t="str">
        <f>TEXT(ASTemp!L2381,Decimals)</f>
        <v/>
      </c>
      <c r="M2381" s="71" t="str">
        <f>TEXT(ASTemp!M2381,Percentages)</f>
        <v/>
      </c>
      <c r="N2381" s="72" t="str">
        <f>TEXT(ASTemp!N2381,Percentages)</f>
        <v/>
      </c>
    </row>
    <row r="2382" ht="14.25" customHeight="1">
      <c r="B2382" s="66" t="str">
        <f>ASTemp!B2382</f>
        <v/>
      </c>
      <c r="C2382" s="67" t="str">
        <f>ASTemp!C2382</f>
        <v/>
      </c>
      <c r="D2382" s="68" t="str">
        <f>ASTemp!D2382</f>
        <v/>
      </c>
      <c r="E2382" s="65" t="str">
        <f>ASTemp!E2382</f>
        <v/>
      </c>
      <c r="F2382" s="69" t="str">
        <f>TEXT(ASTemp!F2382,Decimals)</f>
        <v/>
      </c>
      <c r="G2382" s="69" t="str">
        <f>TEXT(ASTemp!G2382,Decimals)</f>
        <v/>
      </c>
      <c r="H2382" s="69" t="str">
        <f>TEXT(ASTemp!H2382,Decimals)</f>
        <v/>
      </c>
      <c r="I2382" s="69" t="str">
        <f>TEXT(ASTemp!I2382,Decimals)</f>
        <v/>
      </c>
      <c r="J2382" s="69" t="str">
        <f>TEXT(ASTemp!J2382,Decimals)</f>
        <v/>
      </c>
      <c r="K2382" s="69" t="str">
        <f>TEXT(ASTemp!K2382,Decimals)</f>
        <v/>
      </c>
      <c r="L2382" s="69" t="str">
        <f>TEXT(ASTemp!L2382,Decimals)</f>
        <v/>
      </c>
      <c r="M2382" s="71" t="str">
        <f>TEXT(ASTemp!M2382,Percentages)</f>
        <v/>
      </c>
      <c r="N2382" s="72" t="str">
        <f>TEXT(ASTemp!N2382,Percentages)</f>
        <v/>
      </c>
    </row>
    <row r="2383" ht="14.25" customHeight="1">
      <c r="B2383" s="66" t="str">
        <f>ASTemp!B2383</f>
        <v/>
      </c>
      <c r="C2383" s="67" t="str">
        <f>ASTemp!C2383</f>
        <v/>
      </c>
      <c r="D2383" s="68" t="str">
        <f>ASTemp!D2383</f>
        <v/>
      </c>
      <c r="E2383" s="65" t="str">
        <f>ASTemp!E2383</f>
        <v/>
      </c>
      <c r="F2383" s="69" t="str">
        <f>TEXT(ASTemp!F2383,Decimals)</f>
        <v/>
      </c>
      <c r="G2383" s="69" t="str">
        <f>TEXT(ASTemp!G2383,Decimals)</f>
        <v/>
      </c>
      <c r="H2383" s="69" t="str">
        <f>TEXT(ASTemp!H2383,Decimals)</f>
        <v/>
      </c>
      <c r="I2383" s="69" t="str">
        <f>TEXT(ASTemp!I2383,Decimals)</f>
        <v/>
      </c>
      <c r="J2383" s="69" t="str">
        <f>TEXT(ASTemp!J2383,Decimals)</f>
        <v/>
      </c>
      <c r="K2383" s="69" t="str">
        <f>TEXT(ASTemp!K2383,Decimals)</f>
        <v/>
      </c>
      <c r="L2383" s="69" t="str">
        <f>TEXT(ASTemp!L2383,Decimals)</f>
        <v/>
      </c>
      <c r="M2383" s="71" t="str">
        <f>TEXT(ASTemp!M2383,Percentages)</f>
        <v/>
      </c>
      <c r="N2383" s="72" t="str">
        <f>TEXT(ASTemp!N2383,Percentages)</f>
        <v/>
      </c>
    </row>
    <row r="2384" ht="14.25" customHeight="1">
      <c r="B2384" s="66" t="str">
        <f>ASTemp!B2384</f>
        <v/>
      </c>
      <c r="C2384" s="67" t="str">
        <f>ASTemp!C2384</f>
        <v/>
      </c>
      <c r="D2384" s="68" t="str">
        <f>ASTemp!D2384</f>
        <v/>
      </c>
      <c r="E2384" s="65" t="str">
        <f>ASTemp!E2384</f>
        <v/>
      </c>
      <c r="F2384" s="69" t="str">
        <f>TEXT(ASTemp!F2384,Decimals)</f>
        <v/>
      </c>
      <c r="G2384" s="69" t="str">
        <f>TEXT(ASTemp!G2384,Decimals)</f>
        <v/>
      </c>
      <c r="H2384" s="69" t="str">
        <f>TEXT(ASTemp!H2384,Decimals)</f>
        <v/>
      </c>
      <c r="I2384" s="69" t="str">
        <f>TEXT(ASTemp!I2384,Decimals)</f>
        <v/>
      </c>
      <c r="J2384" s="69" t="str">
        <f>TEXT(ASTemp!J2384,Decimals)</f>
        <v/>
      </c>
      <c r="K2384" s="69" t="str">
        <f>TEXT(ASTemp!K2384,Decimals)</f>
        <v/>
      </c>
      <c r="L2384" s="69" t="str">
        <f>TEXT(ASTemp!L2384,Decimals)</f>
        <v/>
      </c>
      <c r="M2384" s="71" t="str">
        <f>TEXT(ASTemp!M2384,Percentages)</f>
        <v/>
      </c>
      <c r="N2384" s="72" t="str">
        <f>TEXT(ASTemp!N2384,Percentages)</f>
        <v/>
      </c>
    </row>
    <row r="2385" ht="14.25" customHeight="1">
      <c r="B2385" s="66" t="str">
        <f>ASTemp!B2385</f>
        <v/>
      </c>
      <c r="C2385" s="67" t="str">
        <f>ASTemp!C2385</f>
        <v/>
      </c>
      <c r="D2385" s="68" t="str">
        <f>ASTemp!D2385</f>
        <v/>
      </c>
      <c r="E2385" s="65" t="str">
        <f>ASTemp!E2385</f>
        <v/>
      </c>
      <c r="F2385" s="69" t="str">
        <f>TEXT(ASTemp!F2385,Decimals)</f>
        <v/>
      </c>
      <c r="G2385" s="69" t="str">
        <f>TEXT(ASTemp!G2385,Decimals)</f>
        <v/>
      </c>
      <c r="H2385" s="69" t="str">
        <f>TEXT(ASTemp!H2385,Decimals)</f>
        <v/>
      </c>
      <c r="I2385" s="69" t="str">
        <f>TEXT(ASTemp!I2385,Decimals)</f>
        <v/>
      </c>
      <c r="J2385" s="69" t="str">
        <f>TEXT(ASTemp!J2385,Decimals)</f>
        <v/>
      </c>
      <c r="K2385" s="69" t="str">
        <f>TEXT(ASTemp!K2385,Decimals)</f>
        <v/>
      </c>
      <c r="L2385" s="69" t="str">
        <f>TEXT(ASTemp!L2385,Decimals)</f>
        <v/>
      </c>
      <c r="M2385" s="71" t="str">
        <f>TEXT(ASTemp!M2385,Percentages)</f>
        <v/>
      </c>
      <c r="N2385" s="72" t="str">
        <f>TEXT(ASTemp!N2385,Percentages)</f>
        <v/>
      </c>
    </row>
    <row r="2386" ht="14.25" customHeight="1">
      <c r="B2386" s="66" t="str">
        <f>ASTemp!B2386</f>
        <v/>
      </c>
      <c r="C2386" s="67" t="str">
        <f>ASTemp!C2386</f>
        <v/>
      </c>
      <c r="D2386" s="68" t="str">
        <f>ASTemp!D2386</f>
        <v/>
      </c>
      <c r="E2386" s="65" t="str">
        <f>ASTemp!E2386</f>
        <v/>
      </c>
      <c r="F2386" s="69" t="str">
        <f>TEXT(ASTemp!F2386,Decimals)</f>
        <v/>
      </c>
      <c r="G2386" s="69" t="str">
        <f>TEXT(ASTemp!G2386,Decimals)</f>
        <v/>
      </c>
      <c r="H2386" s="69" t="str">
        <f>TEXT(ASTemp!H2386,Decimals)</f>
        <v/>
      </c>
      <c r="I2386" s="69" t="str">
        <f>TEXT(ASTemp!I2386,Decimals)</f>
        <v/>
      </c>
      <c r="J2386" s="69" t="str">
        <f>TEXT(ASTemp!J2386,Decimals)</f>
        <v/>
      </c>
      <c r="K2386" s="69" t="str">
        <f>TEXT(ASTemp!K2386,Decimals)</f>
        <v/>
      </c>
      <c r="L2386" s="69" t="str">
        <f>TEXT(ASTemp!L2386,Decimals)</f>
        <v/>
      </c>
      <c r="M2386" s="71" t="str">
        <f>TEXT(ASTemp!M2386,Percentages)</f>
        <v/>
      </c>
      <c r="N2386" s="72" t="str">
        <f>TEXT(ASTemp!N2386,Percentages)</f>
        <v/>
      </c>
    </row>
    <row r="2387" ht="14.25" customHeight="1">
      <c r="B2387" s="66" t="str">
        <f>ASTemp!B2387</f>
        <v/>
      </c>
      <c r="C2387" s="67" t="str">
        <f>ASTemp!C2387</f>
        <v/>
      </c>
      <c r="D2387" s="68" t="str">
        <f>ASTemp!D2387</f>
        <v/>
      </c>
      <c r="E2387" s="65" t="str">
        <f>ASTemp!E2387</f>
        <v/>
      </c>
      <c r="F2387" s="69" t="str">
        <f>TEXT(ASTemp!F2387,Decimals)</f>
        <v/>
      </c>
      <c r="G2387" s="69" t="str">
        <f>TEXT(ASTemp!G2387,Decimals)</f>
        <v/>
      </c>
      <c r="H2387" s="69" t="str">
        <f>TEXT(ASTemp!H2387,Decimals)</f>
        <v/>
      </c>
      <c r="I2387" s="69" t="str">
        <f>TEXT(ASTemp!I2387,Decimals)</f>
        <v/>
      </c>
      <c r="J2387" s="69" t="str">
        <f>TEXT(ASTemp!J2387,Decimals)</f>
        <v/>
      </c>
      <c r="K2387" s="69" t="str">
        <f>TEXT(ASTemp!K2387,Decimals)</f>
        <v/>
      </c>
      <c r="L2387" s="69" t="str">
        <f>TEXT(ASTemp!L2387,Decimals)</f>
        <v/>
      </c>
      <c r="M2387" s="71" t="str">
        <f>TEXT(ASTemp!M2387,Percentages)</f>
        <v/>
      </c>
      <c r="N2387" s="72" t="str">
        <f>TEXT(ASTemp!N2387,Percentages)</f>
        <v/>
      </c>
    </row>
    <row r="2388" ht="14.25" customHeight="1">
      <c r="B2388" s="66" t="str">
        <f>ASTemp!B2388</f>
        <v/>
      </c>
      <c r="C2388" s="67" t="str">
        <f>ASTemp!C2388</f>
        <v/>
      </c>
      <c r="D2388" s="68" t="str">
        <f>ASTemp!D2388</f>
        <v/>
      </c>
      <c r="E2388" s="65" t="str">
        <f>ASTemp!E2388</f>
        <v/>
      </c>
      <c r="F2388" s="69" t="str">
        <f>TEXT(ASTemp!F2388,Decimals)</f>
        <v/>
      </c>
      <c r="G2388" s="69" t="str">
        <f>TEXT(ASTemp!G2388,Decimals)</f>
        <v/>
      </c>
      <c r="H2388" s="69" t="str">
        <f>TEXT(ASTemp!H2388,Decimals)</f>
        <v/>
      </c>
      <c r="I2388" s="69" t="str">
        <f>TEXT(ASTemp!I2388,Decimals)</f>
        <v/>
      </c>
      <c r="J2388" s="69" t="str">
        <f>TEXT(ASTemp!J2388,Decimals)</f>
        <v/>
      </c>
      <c r="K2388" s="69" t="str">
        <f>TEXT(ASTemp!K2388,Decimals)</f>
        <v/>
      </c>
      <c r="L2388" s="69" t="str">
        <f>TEXT(ASTemp!L2388,Decimals)</f>
        <v/>
      </c>
      <c r="M2388" s="71" t="str">
        <f>TEXT(ASTemp!M2388,Percentages)</f>
        <v/>
      </c>
      <c r="N2388" s="72" t="str">
        <f>TEXT(ASTemp!N2388,Percentages)</f>
        <v/>
      </c>
    </row>
    <row r="2389" ht="14.25" customHeight="1">
      <c r="B2389" s="66" t="str">
        <f>ASTemp!B2389</f>
        <v/>
      </c>
      <c r="C2389" s="67" t="str">
        <f>ASTemp!C2389</f>
        <v/>
      </c>
      <c r="D2389" s="68" t="str">
        <f>ASTemp!D2389</f>
        <v/>
      </c>
      <c r="E2389" s="65" t="str">
        <f>ASTemp!E2389</f>
        <v/>
      </c>
      <c r="F2389" s="69" t="str">
        <f>TEXT(ASTemp!F2389,Decimals)</f>
        <v/>
      </c>
      <c r="G2389" s="69" t="str">
        <f>TEXT(ASTemp!G2389,Decimals)</f>
        <v/>
      </c>
      <c r="H2389" s="69" t="str">
        <f>TEXT(ASTemp!H2389,Decimals)</f>
        <v/>
      </c>
      <c r="I2389" s="69" t="str">
        <f>TEXT(ASTemp!I2389,Decimals)</f>
        <v/>
      </c>
      <c r="J2389" s="69" t="str">
        <f>TEXT(ASTemp!J2389,Decimals)</f>
        <v/>
      </c>
      <c r="K2389" s="69" t="str">
        <f>TEXT(ASTemp!K2389,Decimals)</f>
        <v/>
      </c>
      <c r="L2389" s="69" t="str">
        <f>TEXT(ASTemp!L2389,Decimals)</f>
        <v/>
      </c>
      <c r="M2389" s="71" t="str">
        <f>TEXT(ASTemp!M2389,Percentages)</f>
        <v/>
      </c>
      <c r="N2389" s="72" t="str">
        <f>TEXT(ASTemp!N2389,Percentages)</f>
        <v/>
      </c>
    </row>
    <row r="2390" ht="14.25" customHeight="1">
      <c r="B2390" s="66" t="str">
        <f>ASTemp!B2390</f>
        <v/>
      </c>
      <c r="C2390" s="67" t="str">
        <f>ASTemp!C2390</f>
        <v/>
      </c>
      <c r="D2390" s="68" t="str">
        <f>ASTemp!D2390</f>
        <v/>
      </c>
      <c r="E2390" s="65" t="str">
        <f>ASTemp!E2390</f>
        <v/>
      </c>
      <c r="F2390" s="69" t="str">
        <f>TEXT(ASTemp!F2390,Decimals)</f>
        <v/>
      </c>
      <c r="G2390" s="69" t="str">
        <f>TEXT(ASTemp!G2390,Decimals)</f>
        <v/>
      </c>
      <c r="H2390" s="69" t="str">
        <f>TEXT(ASTemp!H2390,Decimals)</f>
        <v/>
      </c>
      <c r="I2390" s="69" t="str">
        <f>TEXT(ASTemp!I2390,Decimals)</f>
        <v/>
      </c>
      <c r="J2390" s="69" t="str">
        <f>TEXT(ASTemp!J2390,Decimals)</f>
        <v/>
      </c>
      <c r="K2390" s="69" t="str">
        <f>TEXT(ASTemp!K2390,Decimals)</f>
        <v/>
      </c>
      <c r="L2390" s="69" t="str">
        <f>TEXT(ASTemp!L2390,Decimals)</f>
        <v/>
      </c>
      <c r="M2390" s="71" t="str">
        <f>TEXT(ASTemp!M2390,Percentages)</f>
        <v/>
      </c>
      <c r="N2390" s="72" t="str">
        <f>TEXT(ASTemp!N2390,Percentages)</f>
        <v/>
      </c>
    </row>
    <row r="2391" ht="14.25" customHeight="1">
      <c r="B2391" s="66" t="str">
        <f>ASTemp!B2391</f>
        <v/>
      </c>
      <c r="C2391" s="67" t="str">
        <f>ASTemp!C2391</f>
        <v/>
      </c>
      <c r="D2391" s="68" t="str">
        <f>ASTemp!D2391</f>
        <v/>
      </c>
      <c r="E2391" s="65" t="str">
        <f>ASTemp!E2391</f>
        <v/>
      </c>
      <c r="F2391" s="69" t="str">
        <f>TEXT(ASTemp!F2391,Decimals)</f>
        <v/>
      </c>
      <c r="G2391" s="69" t="str">
        <f>TEXT(ASTemp!G2391,Decimals)</f>
        <v/>
      </c>
      <c r="H2391" s="69" t="str">
        <f>TEXT(ASTemp!H2391,Decimals)</f>
        <v/>
      </c>
      <c r="I2391" s="69" t="str">
        <f>TEXT(ASTemp!I2391,Decimals)</f>
        <v/>
      </c>
      <c r="J2391" s="69" t="str">
        <f>TEXT(ASTemp!J2391,Decimals)</f>
        <v/>
      </c>
      <c r="K2391" s="69" t="str">
        <f>TEXT(ASTemp!K2391,Decimals)</f>
        <v/>
      </c>
      <c r="L2391" s="69" t="str">
        <f>TEXT(ASTemp!L2391,Decimals)</f>
        <v/>
      </c>
      <c r="M2391" s="71" t="str">
        <f>TEXT(ASTemp!M2391,Percentages)</f>
        <v/>
      </c>
      <c r="N2391" s="72" t="str">
        <f>TEXT(ASTemp!N2391,Percentages)</f>
        <v/>
      </c>
    </row>
    <row r="2392" ht="14.25" customHeight="1">
      <c r="B2392" s="66" t="str">
        <f>ASTemp!B2392</f>
        <v/>
      </c>
      <c r="C2392" s="67" t="str">
        <f>ASTemp!C2392</f>
        <v/>
      </c>
      <c r="D2392" s="68" t="str">
        <f>ASTemp!D2392</f>
        <v/>
      </c>
      <c r="E2392" s="65" t="str">
        <f>ASTemp!E2392</f>
        <v/>
      </c>
      <c r="F2392" s="69" t="str">
        <f>TEXT(ASTemp!F2392,Decimals)</f>
        <v/>
      </c>
      <c r="G2392" s="69" t="str">
        <f>TEXT(ASTemp!G2392,Decimals)</f>
        <v/>
      </c>
      <c r="H2392" s="69" t="str">
        <f>TEXT(ASTemp!H2392,Decimals)</f>
        <v/>
      </c>
      <c r="I2392" s="69" t="str">
        <f>TEXT(ASTemp!I2392,Decimals)</f>
        <v/>
      </c>
      <c r="J2392" s="69" t="str">
        <f>TEXT(ASTemp!J2392,Decimals)</f>
        <v/>
      </c>
      <c r="K2392" s="69" t="str">
        <f>TEXT(ASTemp!K2392,Decimals)</f>
        <v/>
      </c>
      <c r="L2392" s="69" t="str">
        <f>TEXT(ASTemp!L2392,Decimals)</f>
        <v/>
      </c>
      <c r="M2392" s="71" t="str">
        <f>TEXT(ASTemp!M2392,Percentages)</f>
        <v/>
      </c>
      <c r="N2392" s="72" t="str">
        <f>TEXT(ASTemp!N2392,Percentages)</f>
        <v/>
      </c>
    </row>
    <row r="2393" ht="14.25" customHeight="1">
      <c r="B2393" s="66" t="str">
        <f>ASTemp!B2393</f>
        <v/>
      </c>
      <c r="C2393" s="67" t="str">
        <f>ASTemp!C2393</f>
        <v/>
      </c>
      <c r="D2393" s="68" t="str">
        <f>ASTemp!D2393</f>
        <v/>
      </c>
      <c r="E2393" s="65" t="str">
        <f>ASTemp!E2393</f>
        <v/>
      </c>
      <c r="F2393" s="69" t="str">
        <f>TEXT(ASTemp!F2393,Decimals)</f>
        <v/>
      </c>
      <c r="G2393" s="69" t="str">
        <f>TEXT(ASTemp!G2393,Decimals)</f>
        <v/>
      </c>
      <c r="H2393" s="69" t="str">
        <f>TEXT(ASTemp!H2393,Decimals)</f>
        <v/>
      </c>
      <c r="I2393" s="69" t="str">
        <f>TEXT(ASTemp!I2393,Decimals)</f>
        <v/>
      </c>
      <c r="J2393" s="69" t="str">
        <f>TEXT(ASTemp!J2393,Decimals)</f>
        <v/>
      </c>
      <c r="K2393" s="69" t="str">
        <f>TEXT(ASTemp!K2393,Decimals)</f>
        <v/>
      </c>
      <c r="L2393" s="69" t="str">
        <f>TEXT(ASTemp!L2393,Decimals)</f>
        <v/>
      </c>
      <c r="M2393" s="71" t="str">
        <f>TEXT(ASTemp!M2393,Percentages)</f>
        <v/>
      </c>
      <c r="N2393" s="72" t="str">
        <f>TEXT(ASTemp!N2393,Percentages)</f>
        <v/>
      </c>
    </row>
    <row r="2394" ht="14.25" customHeight="1">
      <c r="B2394" s="66" t="str">
        <f>ASTemp!B2394</f>
        <v/>
      </c>
      <c r="C2394" s="67" t="str">
        <f>ASTemp!C2394</f>
        <v/>
      </c>
      <c r="D2394" s="68" t="str">
        <f>ASTemp!D2394</f>
        <v/>
      </c>
      <c r="E2394" s="65" t="str">
        <f>ASTemp!E2394</f>
        <v/>
      </c>
      <c r="F2394" s="69" t="str">
        <f>TEXT(ASTemp!F2394,Decimals)</f>
        <v/>
      </c>
      <c r="G2394" s="69" t="str">
        <f>TEXT(ASTemp!G2394,Decimals)</f>
        <v/>
      </c>
      <c r="H2394" s="69" t="str">
        <f>TEXT(ASTemp!H2394,Decimals)</f>
        <v/>
      </c>
      <c r="I2394" s="69" t="str">
        <f>TEXT(ASTemp!I2394,Decimals)</f>
        <v/>
      </c>
      <c r="J2394" s="69" t="str">
        <f>TEXT(ASTemp!J2394,Decimals)</f>
        <v/>
      </c>
      <c r="K2394" s="69" t="str">
        <f>TEXT(ASTemp!K2394,Decimals)</f>
        <v/>
      </c>
      <c r="L2394" s="69" t="str">
        <f>TEXT(ASTemp!L2394,Decimals)</f>
        <v/>
      </c>
      <c r="M2394" s="71" t="str">
        <f>TEXT(ASTemp!M2394,Percentages)</f>
        <v/>
      </c>
      <c r="N2394" s="72" t="str">
        <f>TEXT(ASTemp!N2394,Percentages)</f>
        <v/>
      </c>
    </row>
    <row r="2395" ht="14.25" customHeight="1">
      <c r="B2395" s="66" t="str">
        <f>ASTemp!B2395</f>
        <v/>
      </c>
      <c r="C2395" s="67" t="str">
        <f>ASTemp!C2395</f>
        <v/>
      </c>
      <c r="D2395" s="68" t="str">
        <f>ASTemp!D2395</f>
        <v/>
      </c>
      <c r="E2395" s="65" t="str">
        <f>ASTemp!E2395</f>
        <v/>
      </c>
      <c r="F2395" s="69" t="str">
        <f>TEXT(ASTemp!F2395,Decimals)</f>
        <v/>
      </c>
      <c r="G2395" s="69" t="str">
        <f>TEXT(ASTemp!G2395,Decimals)</f>
        <v/>
      </c>
      <c r="H2395" s="69" t="str">
        <f>TEXT(ASTemp!H2395,Decimals)</f>
        <v/>
      </c>
      <c r="I2395" s="69" t="str">
        <f>TEXT(ASTemp!I2395,Decimals)</f>
        <v/>
      </c>
      <c r="J2395" s="69" t="str">
        <f>TEXT(ASTemp!J2395,Decimals)</f>
        <v/>
      </c>
      <c r="K2395" s="69" t="str">
        <f>TEXT(ASTemp!K2395,Decimals)</f>
        <v/>
      </c>
      <c r="L2395" s="69" t="str">
        <f>TEXT(ASTemp!L2395,Decimals)</f>
        <v/>
      </c>
      <c r="M2395" s="71" t="str">
        <f>TEXT(ASTemp!M2395,Percentages)</f>
        <v/>
      </c>
      <c r="N2395" s="72" t="str">
        <f>TEXT(ASTemp!N2395,Percentages)</f>
        <v/>
      </c>
    </row>
    <row r="2396" ht="14.25" customHeight="1">
      <c r="B2396" s="66" t="str">
        <f>ASTemp!B2396</f>
        <v/>
      </c>
      <c r="C2396" s="67" t="str">
        <f>ASTemp!C2396</f>
        <v/>
      </c>
      <c r="D2396" s="68" t="str">
        <f>ASTemp!D2396</f>
        <v/>
      </c>
      <c r="E2396" s="65" t="str">
        <f>ASTemp!E2396</f>
        <v/>
      </c>
      <c r="F2396" s="69" t="str">
        <f>TEXT(ASTemp!F2396,Decimals)</f>
        <v/>
      </c>
      <c r="G2396" s="69" t="str">
        <f>TEXT(ASTemp!G2396,Decimals)</f>
        <v/>
      </c>
      <c r="H2396" s="69" t="str">
        <f>TEXT(ASTemp!H2396,Decimals)</f>
        <v/>
      </c>
      <c r="I2396" s="69" t="str">
        <f>TEXT(ASTemp!I2396,Decimals)</f>
        <v/>
      </c>
      <c r="J2396" s="69" t="str">
        <f>TEXT(ASTemp!J2396,Decimals)</f>
        <v/>
      </c>
      <c r="K2396" s="69" t="str">
        <f>TEXT(ASTemp!K2396,Decimals)</f>
        <v/>
      </c>
      <c r="L2396" s="69" t="str">
        <f>TEXT(ASTemp!L2396,Decimals)</f>
        <v/>
      </c>
      <c r="M2396" s="71" t="str">
        <f>TEXT(ASTemp!M2396,Percentages)</f>
        <v/>
      </c>
      <c r="N2396" s="72" t="str">
        <f>TEXT(ASTemp!N2396,Percentages)</f>
        <v/>
      </c>
    </row>
    <row r="2397" ht="14.25" customHeight="1">
      <c r="B2397" s="66" t="str">
        <f>ASTemp!B2397</f>
        <v/>
      </c>
      <c r="C2397" s="67" t="str">
        <f>ASTemp!C2397</f>
        <v/>
      </c>
      <c r="D2397" s="68" t="str">
        <f>ASTemp!D2397</f>
        <v/>
      </c>
      <c r="E2397" s="65" t="str">
        <f>ASTemp!E2397</f>
        <v/>
      </c>
      <c r="F2397" s="69" t="str">
        <f>TEXT(ASTemp!F2397,Decimals)</f>
        <v/>
      </c>
      <c r="G2397" s="69" t="str">
        <f>TEXT(ASTemp!G2397,Decimals)</f>
        <v/>
      </c>
      <c r="H2397" s="69" t="str">
        <f>TEXT(ASTemp!H2397,Decimals)</f>
        <v/>
      </c>
      <c r="I2397" s="69" t="str">
        <f>TEXT(ASTemp!I2397,Decimals)</f>
        <v/>
      </c>
      <c r="J2397" s="69" t="str">
        <f>TEXT(ASTemp!J2397,Decimals)</f>
        <v/>
      </c>
      <c r="K2397" s="69" t="str">
        <f>TEXT(ASTemp!K2397,Decimals)</f>
        <v/>
      </c>
      <c r="L2397" s="69" t="str">
        <f>TEXT(ASTemp!L2397,Decimals)</f>
        <v/>
      </c>
      <c r="M2397" s="71" t="str">
        <f>TEXT(ASTemp!M2397,Percentages)</f>
        <v/>
      </c>
      <c r="N2397" s="72" t="str">
        <f>TEXT(ASTemp!N2397,Percentages)</f>
        <v/>
      </c>
    </row>
    <row r="2398" ht="14.25" customHeight="1">
      <c r="B2398" s="66" t="str">
        <f>ASTemp!B2398</f>
        <v/>
      </c>
      <c r="C2398" s="67" t="str">
        <f>ASTemp!C2398</f>
        <v/>
      </c>
      <c r="D2398" s="68" t="str">
        <f>ASTemp!D2398</f>
        <v/>
      </c>
      <c r="E2398" s="65" t="str">
        <f>ASTemp!E2398</f>
        <v/>
      </c>
      <c r="F2398" s="69" t="str">
        <f>TEXT(ASTemp!F2398,Decimals)</f>
        <v/>
      </c>
      <c r="G2398" s="69" t="str">
        <f>TEXT(ASTemp!G2398,Decimals)</f>
        <v/>
      </c>
      <c r="H2398" s="69" t="str">
        <f>TEXT(ASTemp!H2398,Decimals)</f>
        <v/>
      </c>
      <c r="I2398" s="69" t="str">
        <f>TEXT(ASTemp!I2398,Decimals)</f>
        <v/>
      </c>
      <c r="J2398" s="69" t="str">
        <f>TEXT(ASTemp!J2398,Decimals)</f>
        <v/>
      </c>
      <c r="K2398" s="69" t="str">
        <f>TEXT(ASTemp!K2398,Decimals)</f>
        <v/>
      </c>
      <c r="L2398" s="69" t="str">
        <f>TEXT(ASTemp!L2398,Decimals)</f>
        <v/>
      </c>
      <c r="M2398" s="71" t="str">
        <f>TEXT(ASTemp!M2398,Percentages)</f>
        <v/>
      </c>
      <c r="N2398" s="72" t="str">
        <f>TEXT(ASTemp!N2398,Percentages)</f>
        <v/>
      </c>
    </row>
    <row r="2399" ht="14.25" customHeight="1">
      <c r="B2399" s="66" t="str">
        <f>ASTemp!B2399</f>
        <v/>
      </c>
      <c r="C2399" s="67" t="str">
        <f>ASTemp!C2399</f>
        <v/>
      </c>
      <c r="D2399" s="68" t="str">
        <f>ASTemp!D2399</f>
        <v/>
      </c>
      <c r="E2399" s="65" t="str">
        <f>ASTemp!E2399</f>
        <v/>
      </c>
      <c r="F2399" s="69" t="str">
        <f>TEXT(ASTemp!F2399,Decimals)</f>
        <v/>
      </c>
      <c r="G2399" s="69" t="str">
        <f>TEXT(ASTemp!G2399,Decimals)</f>
        <v/>
      </c>
      <c r="H2399" s="69" t="str">
        <f>TEXT(ASTemp!H2399,Decimals)</f>
        <v/>
      </c>
      <c r="I2399" s="69" t="str">
        <f>TEXT(ASTemp!I2399,Decimals)</f>
        <v/>
      </c>
      <c r="J2399" s="69" t="str">
        <f>TEXT(ASTemp!J2399,Decimals)</f>
        <v/>
      </c>
      <c r="K2399" s="69" t="str">
        <f>TEXT(ASTemp!K2399,Decimals)</f>
        <v/>
      </c>
      <c r="L2399" s="69" t="str">
        <f>TEXT(ASTemp!L2399,Decimals)</f>
        <v/>
      </c>
      <c r="M2399" s="71" t="str">
        <f>TEXT(ASTemp!M2399,Percentages)</f>
        <v/>
      </c>
      <c r="N2399" s="72" t="str">
        <f>TEXT(ASTemp!N2399,Percentages)</f>
        <v/>
      </c>
    </row>
    <row r="2400" ht="14.25" customHeight="1">
      <c r="B2400" s="66" t="str">
        <f>ASTemp!B2400</f>
        <v/>
      </c>
      <c r="C2400" s="67" t="str">
        <f>ASTemp!C2400</f>
        <v/>
      </c>
      <c r="D2400" s="68" t="str">
        <f>ASTemp!D2400</f>
        <v/>
      </c>
      <c r="E2400" s="65" t="str">
        <f>ASTemp!E2400</f>
        <v/>
      </c>
      <c r="F2400" s="69" t="str">
        <f>TEXT(ASTemp!F2400,Decimals)</f>
        <v/>
      </c>
      <c r="G2400" s="69" t="str">
        <f>TEXT(ASTemp!G2400,Decimals)</f>
        <v/>
      </c>
      <c r="H2400" s="69" t="str">
        <f>TEXT(ASTemp!H2400,Decimals)</f>
        <v/>
      </c>
      <c r="I2400" s="69" t="str">
        <f>TEXT(ASTemp!I2400,Decimals)</f>
        <v/>
      </c>
      <c r="J2400" s="69" t="str">
        <f>TEXT(ASTemp!J2400,Decimals)</f>
        <v/>
      </c>
      <c r="K2400" s="69" t="str">
        <f>TEXT(ASTemp!K2400,Decimals)</f>
        <v/>
      </c>
      <c r="L2400" s="69" t="str">
        <f>TEXT(ASTemp!L2400,Decimals)</f>
        <v/>
      </c>
      <c r="M2400" s="71" t="str">
        <f>TEXT(ASTemp!M2400,Percentages)</f>
        <v/>
      </c>
      <c r="N2400" s="72" t="str">
        <f>TEXT(ASTemp!N2400,Percentages)</f>
        <v/>
      </c>
    </row>
    <row r="2401" ht="14.25" customHeight="1">
      <c r="B2401" s="66" t="str">
        <f>ASTemp!B2401</f>
        <v/>
      </c>
      <c r="C2401" s="67" t="str">
        <f>ASTemp!C2401</f>
        <v/>
      </c>
      <c r="D2401" s="68" t="str">
        <f>ASTemp!D2401</f>
        <v/>
      </c>
      <c r="E2401" s="65" t="str">
        <f>ASTemp!E2401</f>
        <v/>
      </c>
      <c r="F2401" s="69" t="str">
        <f>TEXT(ASTemp!F2401,Decimals)</f>
        <v/>
      </c>
      <c r="G2401" s="69" t="str">
        <f>TEXT(ASTemp!G2401,Decimals)</f>
        <v/>
      </c>
      <c r="H2401" s="69" t="str">
        <f>TEXT(ASTemp!H2401,Decimals)</f>
        <v/>
      </c>
      <c r="I2401" s="69" t="str">
        <f>TEXT(ASTemp!I2401,Decimals)</f>
        <v/>
      </c>
      <c r="J2401" s="69" t="str">
        <f>TEXT(ASTemp!J2401,Decimals)</f>
        <v/>
      </c>
      <c r="K2401" s="69" t="str">
        <f>TEXT(ASTemp!K2401,Decimals)</f>
        <v/>
      </c>
      <c r="L2401" s="69" t="str">
        <f>TEXT(ASTemp!L2401,Decimals)</f>
        <v/>
      </c>
      <c r="M2401" s="71" t="str">
        <f>TEXT(ASTemp!M2401,Percentages)</f>
        <v/>
      </c>
      <c r="N2401" s="72" t="str">
        <f>TEXT(ASTemp!N2401,Percentages)</f>
        <v/>
      </c>
    </row>
    <row r="2402" ht="14.25" customHeight="1">
      <c r="B2402" s="66" t="str">
        <f>ASTemp!B2402</f>
        <v/>
      </c>
      <c r="C2402" s="67" t="str">
        <f>ASTemp!C2402</f>
        <v/>
      </c>
      <c r="D2402" s="68" t="str">
        <f>ASTemp!D2402</f>
        <v/>
      </c>
      <c r="E2402" s="65" t="str">
        <f>ASTemp!E2402</f>
        <v/>
      </c>
      <c r="F2402" s="69" t="str">
        <f>TEXT(ASTemp!F2402,Decimals)</f>
        <v/>
      </c>
      <c r="G2402" s="69" t="str">
        <f>TEXT(ASTemp!G2402,Decimals)</f>
        <v/>
      </c>
      <c r="H2402" s="69" t="str">
        <f>TEXT(ASTemp!H2402,Decimals)</f>
        <v/>
      </c>
      <c r="I2402" s="69" t="str">
        <f>TEXT(ASTemp!I2402,Decimals)</f>
        <v/>
      </c>
      <c r="J2402" s="69" t="str">
        <f>TEXT(ASTemp!J2402,Decimals)</f>
        <v/>
      </c>
      <c r="K2402" s="69" t="str">
        <f>TEXT(ASTemp!K2402,Decimals)</f>
        <v/>
      </c>
      <c r="L2402" s="69" t="str">
        <f>TEXT(ASTemp!L2402,Decimals)</f>
        <v/>
      </c>
      <c r="M2402" s="71" t="str">
        <f>TEXT(ASTemp!M2402,Percentages)</f>
        <v/>
      </c>
      <c r="N2402" s="72" t="str">
        <f>TEXT(ASTemp!N2402,Percentages)</f>
        <v/>
      </c>
    </row>
    <row r="2403" ht="14.25" customHeight="1">
      <c r="B2403" s="66" t="str">
        <f>ASTemp!B2403</f>
        <v/>
      </c>
      <c r="C2403" s="67" t="str">
        <f>ASTemp!C2403</f>
        <v/>
      </c>
      <c r="D2403" s="68" t="str">
        <f>ASTemp!D2403</f>
        <v/>
      </c>
      <c r="E2403" s="65" t="str">
        <f>ASTemp!E2403</f>
        <v/>
      </c>
      <c r="F2403" s="69" t="str">
        <f>TEXT(ASTemp!F2403,Decimals)</f>
        <v/>
      </c>
      <c r="G2403" s="69" t="str">
        <f>TEXT(ASTemp!G2403,Decimals)</f>
        <v/>
      </c>
      <c r="H2403" s="69" t="str">
        <f>TEXT(ASTemp!H2403,Decimals)</f>
        <v/>
      </c>
      <c r="I2403" s="69" t="str">
        <f>TEXT(ASTemp!I2403,Decimals)</f>
        <v/>
      </c>
      <c r="J2403" s="69" t="str">
        <f>TEXT(ASTemp!J2403,Decimals)</f>
        <v/>
      </c>
      <c r="K2403" s="69" t="str">
        <f>TEXT(ASTemp!K2403,Decimals)</f>
        <v/>
      </c>
      <c r="L2403" s="69" t="str">
        <f>TEXT(ASTemp!L2403,Decimals)</f>
        <v/>
      </c>
      <c r="M2403" s="71" t="str">
        <f>TEXT(ASTemp!M2403,Percentages)</f>
        <v/>
      </c>
      <c r="N2403" s="72" t="str">
        <f>TEXT(ASTemp!N2403,Percentages)</f>
        <v/>
      </c>
    </row>
    <row r="2404" ht="14.25" customHeight="1">
      <c r="B2404" s="66" t="str">
        <f>ASTemp!B2404</f>
        <v/>
      </c>
      <c r="C2404" s="67" t="str">
        <f>ASTemp!C2404</f>
        <v/>
      </c>
      <c r="D2404" s="68" t="str">
        <f>ASTemp!D2404</f>
        <v/>
      </c>
      <c r="E2404" s="65" t="str">
        <f>ASTemp!E2404</f>
        <v/>
      </c>
      <c r="F2404" s="69" t="str">
        <f>TEXT(ASTemp!F2404,Decimals)</f>
        <v/>
      </c>
      <c r="G2404" s="69" t="str">
        <f>TEXT(ASTemp!G2404,Decimals)</f>
        <v/>
      </c>
      <c r="H2404" s="69" t="str">
        <f>TEXT(ASTemp!H2404,Decimals)</f>
        <v/>
      </c>
      <c r="I2404" s="69" t="str">
        <f>TEXT(ASTemp!I2404,Decimals)</f>
        <v/>
      </c>
      <c r="J2404" s="69" t="str">
        <f>TEXT(ASTemp!J2404,Decimals)</f>
        <v/>
      </c>
      <c r="K2404" s="69" t="str">
        <f>TEXT(ASTemp!K2404,Decimals)</f>
        <v/>
      </c>
      <c r="L2404" s="69" t="str">
        <f>TEXT(ASTemp!L2404,Decimals)</f>
        <v/>
      </c>
      <c r="M2404" s="71" t="str">
        <f>TEXT(ASTemp!M2404,Percentages)</f>
        <v/>
      </c>
      <c r="N2404" s="72" t="str">
        <f>TEXT(ASTemp!N2404,Percentages)</f>
        <v/>
      </c>
    </row>
    <row r="2405" ht="14.25" customHeight="1">
      <c r="B2405" s="66" t="str">
        <f>ASTemp!B2405</f>
        <v/>
      </c>
      <c r="C2405" s="67" t="str">
        <f>ASTemp!C2405</f>
        <v/>
      </c>
      <c r="D2405" s="68" t="str">
        <f>ASTemp!D2405</f>
        <v/>
      </c>
      <c r="E2405" s="65" t="str">
        <f>ASTemp!E2405</f>
        <v/>
      </c>
      <c r="F2405" s="69" t="str">
        <f>TEXT(ASTemp!F2405,Decimals)</f>
        <v/>
      </c>
      <c r="G2405" s="69" t="str">
        <f>TEXT(ASTemp!G2405,Decimals)</f>
        <v/>
      </c>
      <c r="H2405" s="69" t="str">
        <f>TEXT(ASTemp!H2405,Decimals)</f>
        <v/>
      </c>
      <c r="I2405" s="69" t="str">
        <f>TEXT(ASTemp!I2405,Decimals)</f>
        <v/>
      </c>
      <c r="J2405" s="69" t="str">
        <f>TEXT(ASTemp!J2405,Decimals)</f>
        <v/>
      </c>
      <c r="K2405" s="69" t="str">
        <f>TEXT(ASTemp!K2405,Decimals)</f>
        <v/>
      </c>
      <c r="L2405" s="69" t="str">
        <f>TEXT(ASTemp!L2405,Decimals)</f>
        <v/>
      </c>
      <c r="M2405" s="71" t="str">
        <f>TEXT(ASTemp!M2405,Percentages)</f>
        <v/>
      </c>
      <c r="N2405" s="72" t="str">
        <f>TEXT(ASTemp!N2405,Percentages)</f>
        <v/>
      </c>
    </row>
    <row r="2406" ht="14.25" customHeight="1">
      <c r="B2406" s="66" t="str">
        <f>ASTemp!B2406</f>
        <v/>
      </c>
      <c r="C2406" s="67" t="str">
        <f>ASTemp!C2406</f>
        <v/>
      </c>
      <c r="D2406" s="68" t="str">
        <f>ASTemp!D2406</f>
        <v/>
      </c>
      <c r="E2406" s="65" t="str">
        <f>ASTemp!E2406</f>
        <v/>
      </c>
      <c r="F2406" s="69" t="str">
        <f>TEXT(ASTemp!F2406,Decimals)</f>
        <v/>
      </c>
      <c r="G2406" s="69" t="str">
        <f>TEXT(ASTemp!G2406,Decimals)</f>
        <v/>
      </c>
      <c r="H2406" s="69" t="str">
        <f>TEXT(ASTemp!H2406,Decimals)</f>
        <v/>
      </c>
      <c r="I2406" s="69" t="str">
        <f>TEXT(ASTemp!I2406,Decimals)</f>
        <v/>
      </c>
      <c r="J2406" s="69" t="str">
        <f>TEXT(ASTemp!J2406,Decimals)</f>
        <v/>
      </c>
      <c r="K2406" s="69" t="str">
        <f>TEXT(ASTemp!K2406,Decimals)</f>
        <v/>
      </c>
      <c r="L2406" s="69" t="str">
        <f>TEXT(ASTemp!L2406,Decimals)</f>
        <v/>
      </c>
      <c r="M2406" s="71" t="str">
        <f>TEXT(ASTemp!M2406,Percentages)</f>
        <v/>
      </c>
      <c r="N2406" s="72" t="str">
        <f>TEXT(ASTemp!N2406,Percentages)</f>
        <v/>
      </c>
    </row>
    <row r="2407" ht="14.25" customHeight="1">
      <c r="B2407" s="66" t="str">
        <f>ASTemp!B2407</f>
        <v/>
      </c>
      <c r="C2407" s="67" t="str">
        <f>ASTemp!C2407</f>
        <v/>
      </c>
      <c r="D2407" s="68" t="str">
        <f>ASTemp!D2407</f>
        <v/>
      </c>
      <c r="E2407" s="65" t="str">
        <f>ASTemp!E2407</f>
        <v/>
      </c>
      <c r="F2407" s="69" t="str">
        <f>TEXT(ASTemp!F2407,Decimals)</f>
        <v/>
      </c>
      <c r="G2407" s="69" t="str">
        <f>TEXT(ASTemp!G2407,Decimals)</f>
        <v/>
      </c>
      <c r="H2407" s="69" t="str">
        <f>TEXT(ASTemp!H2407,Decimals)</f>
        <v/>
      </c>
      <c r="I2407" s="69" t="str">
        <f>TEXT(ASTemp!I2407,Decimals)</f>
        <v/>
      </c>
      <c r="J2407" s="69" t="str">
        <f>TEXT(ASTemp!J2407,Decimals)</f>
        <v/>
      </c>
      <c r="K2407" s="69" t="str">
        <f>TEXT(ASTemp!K2407,Decimals)</f>
        <v/>
      </c>
      <c r="L2407" s="69" t="str">
        <f>TEXT(ASTemp!L2407,Decimals)</f>
        <v/>
      </c>
      <c r="M2407" s="71" t="str">
        <f>TEXT(ASTemp!M2407,Percentages)</f>
        <v/>
      </c>
      <c r="N2407" s="72" t="str">
        <f>TEXT(ASTemp!N2407,Percentages)</f>
        <v/>
      </c>
    </row>
    <row r="2408" ht="14.25" customHeight="1">
      <c r="B2408" s="66" t="str">
        <f>ASTemp!B2408</f>
        <v/>
      </c>
      <c r="C2408" s="67" t="str">
        <f>ASTemp!C2408</f>
        <v/>
      </c>
      <c r="D2408" s="68" t="str">
        <f>ASTemp!D2408</f>
        <v/>
      </c>
      <c r="E2408" s="65" t="str">
        <f>ASTemp!E2408</f>
        <v/>
      </c>
      <c r="F2408" s="69" t="str">
        <f>TEXT(ASTemp!F2408,Decimals)</f>
        <v/>
      </c>
      <c r="G2408" s="69" t="str">
        <f>TEXT(ASTemp!G2408,Decimals)</f>
        <v/>
      </c>
      <c r="H2408" s="69" t="str">
        <f>TEXT(ASTemp!H2408,Decimals)</f>
        <v/>
      </c>
      <c r="I2408" s="69" t="str">
        <f>TEXT(ASTemp!I2408,Decimals)</f>
        <v/>
      </c>
      <c r="J2408" s="69" t="str">
        <f>TEXT(ASTemp!J2408,Decimals)</f>
        <v/>
      </c>
      <c r="K2408" s="69" t="str">
        <f>TEXT(ASTemp!K2408,Decimals)</f>
        <v/>
      </c>
      <c r="L2408" s="69" t="str">
        <f>TEXT(ASTemp!L2408,Decimals)</f>
        <v/>
      </c>
      <c r="M2408" s="71" t="str">
        <f>TEXT(ASTemp!M2408,Percentages)</f>
        <v/>
      </c>
      <c r="N2408" s="72" t="str">
        <f>TEXT(ASTemp!N2408,Percentages)</f>
        <v/>
      </c>
    </row>
    <row r="2409" ht="14.25" customHeight="1">
      <c r="B2409" s="66" t="str">
        <f>ASTemp!B2409</f>
        <v/>
      </c>
      <c r="C2409" s="67" t="str">
        <f>ASTemp!C2409</f>
        <v/>
      </c>
      <c r="D2409" s="68" t="str">
        <f>ASTemp!D2409</f>
        <v/>
      </c>
      <c r="E2409" s="65" t="str">
        <f>ASTemp!E2409</f>
        <v/>
      </c>
      <c r="F2409" s="69" t="str">
        <f>TEXT(ASTemp!F2409,Decimals)</f>
        <v/>
      </c>
      <c r="G2409" s="69" t="str">
        <f>TEXT(ASTemp!G2409,Decimals)</f>
        <v/>
      </c>
      <c r="H2409" s="69" t="str">
        <f>TEXT(ASTemp!H2409,Decimals)</f>
        <v/>
      </c>
      <c r="I2409" s="69" t="str">
        <f>TEXT(ASTemp!I2409,Decimals)</f>
        <v/>
      </c>
      <c r="J2409" s="69" t="str">
        <f>TEXT(ASTemp!J2409,Decimals)</f>
        <v/>
      </c>
      <c r="K2409" s="69" t="str">
        <f>TEXT(ASTemp!K2409,Decimals)</f>
        <v/>
      </c>
      <c r="L2409" s="69" t="str">
        <f>TEXT(ASTemp!L2409,Decimals)</f>
        <v/>
      </c>
      <c r="M2409" s="71" t="str">
        <f>TEXT(ASTemp!M2409,Percentages)</f>
        <v/>
      </c>
      <c r="N2409" s="72" t="str">
        <f>TEXT(ASTemp!N2409,Percentages)</f>
        <v/>
      </c>
    </row>
    <row r="2410" ht="14.25" customHeight="1">
      <c r="B2410" s="66" t="str">
        <f>ASTemp!B2410</f>
        <v/>
      </c>
      <c r="C2410" s="67" t="str">
        <f>ASTemp!C2410</f>
        <v/>
      </c>
      <c r="D2410" s="68" t="str">
        <f>ASTemp!D2410</f>
        <v/>
      </c>
      <c r="E2410" s="65" t="str">
        <f>ASTemp!E2410</f>
        <v/>
      </c>
      <c r="F2410" s="69" t="str">
        <f>TEXT(ASTemp!F2410,Decimals)</f>
        <v/>
      </c>
      <c r="G2410" s="69" t="str">
        <f>TEXT(ASTemp!G2410,Decimals)</f>
        <v/>
      </c>
      <c r="H2410" s="69" t="str">
        <f>TEXT(ASTemp!H2410,Decimals)</f>
        <v/>
      </c>
      <c r="I2410" s="69" t="str">
        <f>TEXT(ASTemp!I2410,Decimals)</f>
        <v/>
      </c>
      <c r="J2410" s="69" t="str">
        <f>TEXT(ASTemp!J2410,Decimals)</f>
        <v/>
      </c>
      <c r="K2410" s="69" t="str">
        <f>TEXT(ASTemp!K2410,Decimals)</f>
        <v/>
      </c>
      <c r="L2410" s="69" t="str">
        <f>TEXT(ASTemp!L2410,Decimals)</f>
        <v/>
      </c>
      <c r="M2410" s="71" t="str">
        <f>TEXT(ASTemp!M2410,Percentages)</f>
        <v/>
      </c>
      <c r="N2410" s="72" t="str">
        <f>TEXT(ASTemp!N2410,Percentages)</f>
        <v/>
      </c>
    </row>
    <row r="2411" ht="14.25" customHeight="1">
      <c r="B2411" s="66" t="str">
        <f>ASTemp!B2411</f>
        <v/>
      </c>
      <c r="C2411" s="67" t="str">
        <f>ASTemp!C2411</f>
        <v/>
      </c>
      <c r="D2411" s="68" t="str">
        <f>ASTemp!D2411</f>
        <v/>
      </c>
      <c r="E2411" s="65" t="str">
        <f>ASTemp!E2411</f>
        <v/>
      </c>
      <c r="F2411" s="69" t="str">
        <f>TEXT(ASTemp!F2411,Decimals)</f>
        <v/>
      </c>
      <c r="G2411" s="69" t="str">
        <f>TEXT(ASTemp!G2411,Decimals)</f>
        <v/>
      </c>
      <c r="H2411" s="69" t="str">
        <f>TEXT(ASTemp!H2411,Decimals)</f>
        <v/>
      </c>
      <c r="I2411" s="69" t="str">
        <f>TEXT(ASTemp!I2411,Decimals)</f>
        <v/>
      </c>
      <c r="J2411" s="69" t="str">
        <f>TEXT(ASTemp!J2411,Decimals)</f>
        <v/>
      </c>
      <c r="K2411" s="69" t="str">
        <f>TEXT(ASTemp!K2411,Decimals)</f>
        <v/>
      </c>
      <c r="L2411" s="69" t="str">
        <f>TEXT(ASTemp!L2411,Decimals)</f>
        <v/>
      </c>
      <c r="M2411" s="71" t="str">
        <f>TEXT(ASTemp!M2411,Percentages)</f>
        <v/>
      </c>
      <c r="N2411" s="72" t="str">
        <f>TEXT(ASTemp!N2411,Percentages)</f>
        <v/>
      </c>
    </row>
    <row r="2412" ht="14.25" customHeight="1">
      <c r="B2412" s="66" t="str">
        <f>ASTemp!B2412</f>
        <v/>
      </c>
      <c r="C2412" s="67" t="str">
        <f>ASTemp!C2412</f>
        <v/>
      </c>
      <c r="D2412" s="68" t="str">
        <f>ASTemp!D2412</f>
        <v/>
      </c>
      <c r="E2412" s="65" t="str">
        <f>ASTemp!E2412</f>
        <v/>
      </c>
      <c r="F2412" s="69" t="str">
        <f>TEXT(ASTemp!F2412,Decimals)</f>
        <v/>
      </c>
      <c r="G2412" s="69" t="str">
        <f>TEXT(ASTemp!G2412,Decimals)</f>
        <v/>
      </c>
      <c r="H2412" s="69" t="str">
        <f>TEXT(ASTemp!H2412,Decimals)</f>
        <v/>
      </c>
      <c r="I2412" s="69" t="str">
        <f>TEXT(ASTemp!I2412,Decimals)</f>
        <v/>
      </c>
      <c r="J2412" s="69" t="str">
        <f>TEXT(ASTemp!J2412,Decimals)</f>
        <v/>
      </c>
      <c r="K2412" s="69" t="str">
        <f>TEXT(ASTemp!K2412,Decimals)</f>
        <v/>
      </c>
      <c r="L2412" s="69" t="str">
        <f>TEXT(ASTemp!L2412,Decimals)</f>
        <v/>
      </c>
      <c r="M2412" s="71" t="str">
        <f>TEXT(ASTemp!M2412,Percentages)</f>
        <v/>
      </c>
      <c r="N2412" s="72" t="str">
        <f>TEXT(ASTemp!N2412,Percentages)</f>
        <v/>
      </c>
    </row>
    <row r="2413" ht="14.25" customHeight="1">
      <c r="B2413" s="66" t="str">
        <f>ASTemp!B2413</f>
        <v/>
      </c>
      <c r="C2413" s="67" t="str">
        <f>ASTemp!C2413</f>
        <v/>
      </c>
      <c r="D2413" s="68" t="str">
        <f>ASTemp!D2413</f>
        <v/>
      </c>
      <c r="E2413" s="65" t="str">
        <f>ASTemp!E2413</f>
        <v/>
      </c>
      <c r="F2413" s="69" t="str">
        <f>TEXT(ASTemp!F2413,Decimals)</f>
        <v/>
      </c>
      <c r="G2413" s="69" t="str">
        <f>TEXT(ASTemp!G2413,Decimals)</f>
        <v/>
      </c>
      <c r="H2413" s="69" t="str">
        <f>TEXT(ASTemp!H2413,Decimals)</f>
        <v/>
      </c>
      <c r="I2413" s="69" t="str">
        <f>TEXT(ASTemp!I2413,Decimals)</f>
        <v/>
      </c>
      <c r="J2413" s="69" t="str">
        <f>TEXT(ASTemp!J2413,Decimals)</f>
        <v/>
      </c>
      <c r="K2413" s="69" t="str">
        <f>TEXT(ASTemp!K2413,Decimals)</f>
        <v/>
      </c>
      <c r="L2413" s="69" t="str">
        <f>TEXT(ASTemp!L2413,Decimals)</f>
        <v/>
      </c>
      <c r="M2413" s="71" t="str">
        <f>TEXT(ASTemp!M2413,Percentages)</f>
        <v/>
      </c>
      <c r="N2413" s="72" t="str">
        <f>TEXT(ASTemp!N2413,Percentages)</f>
        <v/>
      </c>
    </row>
    <row r="2414" ht="14.25" customHeight="1">
      <c r="B2414" s="66" t="str">
        <f>ASTemp!B2414</f>
        <v/>
      </c>
      <c r="C2414" s="67" t="str">
        <f>ASTemp!C2414</f>
        <v/>
      </c>
      <c r="D2414" s="68" t="str">
        <f>ASTemp!D2414</f>
        <v/>
      </c>
      <c r="E2414" s="65" t="str">
        <f>ASTemp!E2414</f>
        <v/>
      </c>
      <c r="F2414" s="69" t="str">
        <f>TEXT(ASTemp!F2414,Decimals)</f>
        <v/>
      </c>
      <c r="G2414" s="69" t="str">
        <f>TEXT(ASTemp!G2414,Decimals)</f>
        <v/>
      </c>
      <c r="H2414" s="69" t="str">
        <f>TEXT(ASTemp!H2414,Decimals)</f>
        <v/>
      </c>
      <c r="I2414" s="69" t="str">
        <f>TEXT(ASTemp!I2414,Decimals)</f>
        <v/>
      </c>
      <c r="J2414" s="69" t="str">
        <f>TEXT(ASTemp!J2414,Decimals)</f>
        <v/>
      </c>
      <c r="K2414" s="69" t="str">
        <f>TEXT(ASTemp!K2414,Decimals)</f>
        <v/>
      </c>
      <c r="L2414" s="69" t="str">
        <f>TEXT(ASTemp!L2414,Decimals)</f>
        <v/>
      </c>
      <c r="M2414" s="71" t="str">
        <f>TEXT(ASTemp!M2414,Percentages)</f>
        <v/>
      </c>
      <c r="N2414" s="72" t="str">
        <f>TEXT(ASTemp!N2414,Percentages)</f>
        <v/>
      </c>
    </row>
    <row r="2415" ht="14.25" customHeight="1">
      <c r="B2415" s="66" t="str">
        <f>ASTemp!B2415</f>
        <v/>
      </c>
      <c r="C2415" s="67" t="str">
        <f>ASTemp!C2415</f>
        <v/>
      </c>
      <c r="D2415" s="68" t="str">
        <f>ASTemp!D2415</f>
        <v/>
      </c>
      <c r="E2415" s="65" t="str">
        <f>ASTemp!E2415</f>
        <v/>
      </c>
      <c r="F2415" s="69" t="str">
        <f>TEXT(ASTemp!F2415,Decimals)</f>
        <v/>
      </c>
      <c r="G2415" s="69" t="str">
        <f>TEXT(ASTemp!G2415,Decimals)</f>
        <v/>
      </c>
      <c r="H2415" s="69" t="str">
        <f>TEXT(ASTemp!H2415,Decimals)</f>
        <v/>
      </c>
      <c r="I2415" s="69" t="str">
        <f>TEXT(ASTemp!I2415,Decimals)</f>
        <v/>
      </c>
      <c r="J2415" s="69" t="str">
        <f>TEXT(ASTemp!J2415,Decimals)</f>
        <v/>
      </c>
      <c r="K2415" s="69" t="str">
        <f>TEXT(ASTemp!K2415,Decimals)</f>
        <v/>
      </c>
      <c r="L2415" s="69" t="str">
        <f>TEXT(ASTemp!L2415,Decimals)</f>
        <v/>
      </c>
      <c r="M2415" s="71" t="str">
        <f>TEXT(ASTemp!M2415,Percentages)</f>
        <v/>
      </c>
      <c r="N2415" s="72" t="str">
        <f>TEXT(ASTemp!N2415,Percentages)</f>
        <v/>
      </c>
    </row>
    <row r="2416" ht="14.25" customHeight="1">
      <c r="B2416" s="66" t="str">
        <f>ASTemp!B2416</f>
        <v/>
      </c>
      <c r="C2416" s="67" t="str">
        <f>ASTemp!C2416</f>
        <v/>
      </c>
      <c r="D2416" s="68" t="str">
        <f>ASTemp!D2416</f>
        <v/>
      </c>
      <c r="E2416" s="65" t="str">
        <f>ASTemp!E2416</f>
        <v/>
      </c>
      <c r="F2416" s="69" t="str">
        <f>TEXT(ASTemp!F2416,Decimals)</f>
        <v/>
      </c>
      <c r="G2416" s="69" t="str">
        <f>TEXT(ASTemp!G2416,Decimals)</f>
        <v/>
      </c>
      <c r="H2416" s="69" t="str">
        <f>TEXT(ASTemp!H2416,Decimals)</f>
        <v/>
      </c>
      <c r="I2416" s="69" t="str">
        <f>TEXT(ASTemp!I2416,Decimals)</f>
        <v/>
      </c>
      <c r="J2416" s="69" t="str">
        <f>TEXT(ASTemp!J2416,Decimals)</f>
        <v/>
      </c>
      <c r="K2416" s="69" t="str">
        <f>TEXT(ASTemp!K2416,Decimals)</f>
        <v/>
      </c>
      <c r="L2416" s="69" t="str">
        <f>TEXT(ASTemp!L2416,Decimals)</f>
        <v/>
      </c>
      <c r="M2416" s="71" t="str">
        <f>TEXT(ASTemp!M2416,Percentages)</f>
        <v/>
      </c>
      <c r="N2416" s="72" t="str">
        <f>TEXT(ASTemp!N2416,Percentages)</f>
        <v/>
      </c>
    </row>
    <row r="2417" ht="14.25" customHeight="1">
      <c r="B2417" s="66" t="str">
        <f>ASTemp!B2417</f>
        <v/>
      </c>
      <c r="C2417" s="67" t="str">
        <f>ASTemp!C2417</f>
        <v/>
      </c>
      <c r="D2417" s="68" t="str">
        <f>ASTemp!D2417</f>
        <v/>
      </c>
      <c r="E2417" s="65" t="str">
        <f>ASTemp!E2417</f>
        <v/>
      </c>
      <c r="F2417" s="69" t="str">
        <f>TEXT(ASTemp!F2417,Decimals)</f>
        <v/>
      </c>
      <c r="G2417" s="69" t="str">
        <f>TEXT(ASTemp!G2417,Decimals)</f>
        <v/>
      </c>
      <c r="H2417" s="69" t="str">
        <f>TEXT(ASTemp!H2417,Decimals)</f>
        <v/>
      </c>
      <c r="I2417" s="69" t="str">
        <f>TEXT(ASTemp!I2417,Decimals)</f>
        <v/>
      </c>
      <c r="J2417" s="69" t="str">
        <f>TEXT(ASTemp!J2417,Decimals)</f>
        <v/>
      </c>
      <c r="K2417" s="69" t="str">
        <f>TEXT(ASTemp!K2417,Decimals)</f>
        <v/>
      </c>
      <c r="L2417" s="69" t="str">
        <f>TEXT(ASTemp!L2417,Decimals)</f>
        <v/>
      </c>
      <c r="M2417" s="71" t="str">
        <f>TEXT(ASTemp!M2417,Percentages)</f>
        <v/>
      </c>
      <c r="N2417" s="72" t="str">
        <f>TEXT(ASTemp!N2417,Percentages)</f>
        <v/>
      </c>
    </row>
    <row r="2418" ht="14.25" customHeight="1">
      <c r="B2418" s="66" t="str">
        <f>ASTemp!B2418</f>
        <v/>
      </c>
      <c r="C2418" s="67" t="str">
        <f>ASTemp!C2418</f>
        <v/>
      </c>
      <c r="D2418" s="68" t="str">
        <f>ASTemp!D2418</f>
        <v/>
      </c>
      <c r="E2418" s="65" t="str">
        <f>ASTemp!E2418</f>
        <v/>
      </c>
      <c r="F2418" s="69" t="str">
        <f>TEXT(ASTemp!F2418,Decimals)</f>
        <v/>
      </c>
      <c r="G2418" s="69" t="str">
        <f>TEXT(ASTemp!G2418,Decimals)</f>
        <v/>
      </c>
      <c r="H2418" s="69" t="str">
        <f>TEXT(ASTemp!H2418,Decimals)</f>
        <v/>
      </c>
      <c r="I2418" s="69" t="str">
        <f>TEXT(ASTemp!I2418,Decimals)</f>
        <v/>
      </c>
      <c r="J2418" s="69" t="str">
        <f>TEXT(ASTemp!J2418,Decimals)</f>
        <v/>
      </c>
      <c r="K2418" s="69" t="str">
        <f>TEXT(ASTemp!K2418,Decimals)</f>
        <v/>
      </c>
      <c r="L2418" s="69" t="str">
        <f>TEXT(ASTemp!L2418,Decimals)</f>
        <v/>
      </c>
      <c r="M2418" s="71" t="str">
        <f>TEXT(ASTemp!M2418,Percentages)</f>
        <v/>
      </c>
      <c r="N2418" s="72" t="str">
        <f>TEXT(ASTemp!N2418,Percentages)</f>
        <v/>
      </c>
    </row>
    <row r="2419" ht="14.25" customHeight="1">
      <c r="B2419" s="66" t="str">
        <f>ASTemp!B2419</f>
        <v/>
      </c>
      <c r="C2419" s="67" t="str">
        <f>ASTemp!C2419</f>
        <v/>
      </c>
      <c r="D2419" s="68" t="str">
        <f>ASTemp!D2419</f>
        <v/>
      </c>
      <c r="E2419" s="65" t="str">
        <f>ASTemp!E2419</f>
        <v/>
      </c>
      <c r="F2419" s="69" t="str">
        <f>TEXT(ASTemp!F2419,Decimals)</f>
        <v/>
      </c>
      <c r="G2419" s="69" t="str">
        <f>TEXT(ASTemp!G2419,Decimals)</f>
        <v/>
      </c>
      <c r="H2419" s="69" t="str">
        <f>TEXT(ASTemp!H2419,Decimals)</f>
        <v/>
      </c>
      <c r="I2419" s="69" t="str">
        <f>TEXT(ASTemp!I2419,Decimals)</f>
        <v/>
      </c>
      <c r="J2419" s="69" t="str">
        <f>TEXT(ASTemp!J2419,Decimals)</f>
        <v/>
      </c>
      <c r="K2419" s="69" t="str">
        <f>TEXT(ASTemp!K2419,Decimals)</f>
        <v/>
      </c>
      <c r="L2419" s="69" t="str">
        <f>TEXT(ASTemp!L2419,Decimals)</f>
        <v/>
      </c>
      <c r="M2419" s="71" t="str">
        <f>TEXT(ASTemp!M2419,Percentages)</f>
        <v/>
      </c>
      <c r="N2419" s="72" t="str">
        <f>TEXT(ASTemp!N2419,Percentages)</f>
        <v/>
      </c>
    </row>
    <row r="2420" ht="14.25" customHeight="1">
      <c r="B2420" s="66" t="str">
        <f>ASTemp!B2420</f>
        <v/>
      </c>
      <c r="C2420" s="67" t="str">
        <f>ASTemp!C2420</f>
        <v/>
      </c>
      <c r="D2420" s="68" t="str">
        <f>ASTemp!D2420</f>
        <v/>
      </c>
      <c r="E2420" s="65" t="str">
        <f>ASTemp!E2420</f>
        <v/>
      </c>
      <c r="F2420" s="69" t="str">
        <f>TEXT(ASTemp!F2420,Decimals)</f>
        <v/>
      </c>
      <c r="G2420" s="69" t="str">
        <f>TEXT(ASTemp!G2420,Decimals)</f>
        <v/>
      </c>
      <c r="H2420" s="69" t="str">
        <f>TEXT(ASTemp!H2420,Decimals)</f>
        <v/>
      </c>
      <c r="I2420" s="69" t="str">
        <f>TEXT(ASTemp!I2420,Decimals)</f>
        <v/>
      </c>
      <c r="J2420" s="69" t="str">
        <f>TEXT(ASTemp!J2420,Decimals)</f>
        <v/>
      </c>
      <c r="K2420" s="69" t="str">
        <f>TEXT(ASTemp!K2420,Decimals)</f>
        <v/>
      </c>
      <c r="L2420" s="69" t="str">
        <f>TEXT(ASTemp!L2420,Decimals)</f>
        <v/>
      </c>
      <c r="M2420" s="71" t="str">
        <f>TEXT(ASTemp!M2420,Percentages)</f>
        <v/>
      </c>
      <c r="N2420" s="72" t="str">
        <f>TEXT(ASTemp!N2420,Percentages)</f>
        <v/>
      </c>
    </row>
    <row r="2421" ht="14.25" customHeight="1">
      <c r="B2421" s="66" t="str">
        <f>ASTemp!B2421</f>
        <v/>
      </c>
      <c r="C2421" s="67" t="str">
        <f>ASTemp!C2421</f>
        <v/>
      </c>
      <c r="D2421" s="68" t="str">
        <f>ASTemp!D2421</f>
        <v/>
      </c>
      <c r="E2421" s="65" t="str">
        <f>ASTemp!E2421</f>
        <v/>
      </c>
      <c r="F2421" s="69" t="str">
        <f>TEXT(ASTemp!F2421,Decimals)</f>
        <v/>
      </c>
      <c r="G2421" s="69" t="str">
        <f>TEXT(ASTemp!G2421,Decimals)</f>
        <v/>
      </c>
      <c r="H2421" s="69" t="str">
        <f>TEXT(ASTemp!H2421,Decimals)</f>
        <v/>
      </c>
      <c r="I2421" s="69" t="str">
        <f>TEXT(ASTemp!I2421,Decimals)</f>
        <v/>
      </c>
      <c r="J2421" s="69" t="str">
        <f>TEXT(ASTemp!J2421,Decimals)</f>
        <v/>
      </c>
      <c r="K2421" s="69" t="str">
        <f>TEXT(ASTemp!K2421,Decimals)</f>
        <v/>
      </c>
      <c r="L2421" s="69" t="str">
        <f>TEXT(ASTemp!L2421,Decimals)</f>
        <v/>
      </c>
      <c r="M2421" s="71" t="str">
        <f>TEXT(ASTemp!M2421,Percentages)</f>
        <v/>
      </c>
      <c r="N2421" s="72" t="str">
        <f>TEXT(ASTemp!N2421,Percentages)</f>
        <v/>
      </c>
    </row>
    <row r="2422" ht="14.25" customHeight="1">
      <c r="B2422" s="66" t="str">
        <f>ASTemp!B2422</f>
        <v/>
      </c>
      <c r="C2422" s="67" t="str">
        <f>ASTemp!C2422</f>
        <v/>
      </c>
      <c r="D2422" s="68" t="str">
        <f>ASTemp!D2422</f>
        <v/>
      </c>
      <c r="E2422" s="65" t="str">
        <f>ASTemp!E2422</f>
        <v/>
      </c>
      <c r="F2422" s="69" t="str">
        <f>TEXT(ASTemp!F2422,Decimals)</f>
        <v/>
      </c>
      <c r="G2422" s="69" t="str">
        <f>TEXT(ASTemp!G2422,Decimals)</f>
        <v/>
      </c>
      <c r="H2422" s="69" t="str">
        <f>TEXT(ASTemp!H2422,Decimals)</f>
        <v/>
      </c>
      <c r="I2422" s="69" t="str">
        <f>TEXT(ASTemp!I2422,Decimals)</f>
        <v/>
      </c>
      <c r="J2422" s="69" t="str">
        <f>TEXT(ASTemp!J2422,Decimals)</f>
        <v/>
      </c>
      <c r="K2422" s="69" t="str">
        <f>TEXT(ASTemp!K2422,Decimals)</f>
        <v/>
      </c>
      <c r="L2422" s="69" t="str">
        <f>TEXT(ASTemp!L2422,Decimals)</f>
        <v/>
      </c>
      <c r="M2422" s="71" t="str">
        <f>TEXT(ASTemp!M2422,Percentages)</f>
        <v/>
      </c>
      <c r="N2422" s="72" t="str">
        <f>TEXT(ASTemp!N2422,Percentages)</f>
        <v/>
      </c>
    </row>
    <row r="2423" ht="14.25" customHeight="1">
      <c r="B2423" s="66" t="str">
        <f>ASTemp!B2423</f>
        <v/>
      </c>
      <c r="C2423" s="67" t="str">
        <f>ASTemp!C2423</f>
        <v/>
      </c>
      <c r="D2423" s="68" t="str">
        <f>ASTemp!D2423</f>
        <v/>
      </c>
      <c r="E2423" s="65" t="str">
        <f>ASTemp!E2423</f>
        <v/>
      </c>
      <c r="F2423" s="69" t="str">
        <f>TEXT(ASTemp!F2423,Decimals)</f>
        <v/>
      </c>
      <c r="G2423" s="69" t="str">
        <f>TEXT(ASTemp!G2423,Decimals)</f>
        <v/>
      </c>
      <c r="H2423" s="69" t="str">
        <f>TEXT(ASTemp!H2423,Decimals)</f>
        <v/>
      </c>
      <c r="I2423" s="69" t="str">
        <f>TEXT(ASTemp!I2423,Decimals)</f>
        <v/>
      </c>
      <c r="J2423" s="69" t="str">
        <f>TEXT(ASTemp!J2423,Decimals)</f>
        <v/>
      </c>
      <c r="K2423" s="69" t="str">
        <f>TEXT(ASTemp!K2423,Decimals)</f>
        <v/>
      </c>
      <c r="L2423" s="69" t="str">
        <f>TEXT(ASTemp!L2423,Decimals)</f>
        <v/>
      </c>
      <c r="M2423" s="71" t="str">
        <f>TEXT(ASTemp!M2423,Percentages)</f>
        <v/>
      </c>
      <c r="N2423" s="72" t="str">
        <f>TEXT(ASTemp!N2423,Percentages)</f>
        <v/>
      </c>
    </row>
    <row r="2424" ht="14.25" customHeight="1">
      <c r="B2424" s="66" t="str">
        <f>ASTemp!B2424</f>
        <v/>
      </c>
      <c r="C2424" s="67" t="str">
        <f>ASTemp!C2424</f>
        <v/>
      </c>
      <c r="D2424" s="68" t="str">
        <f>ASTemp!D2424</f>
        <v/>
      </c>
      <c r="E2424" s="65" t="str">
        <f>ASTemp!E2424</f>
        <v/>
      </c>
      <c r="F2424" s="69" t="str">
        <f>TEXT(ASTemp!F2424,Decimals)</f>
        <v/>
      </c>
      <c r="G2424" s="69" t="str">
        <f>TEXT(ASTemp!G2424,Decimals)</f>
        <v/>
      </c>
      <c r="H2424" s="69" t="str">
        <f>TEXT(ASTemp!H2424,Decimals)</f>
        <v/>
      </c>
      <c r="I2424" s="69" t="str">
        <f>TEXT(ASTemp!I2424,Decimals)</f>
        <v/>
      </c>
      <c r="J2424" s="69" t="str">
        <f>TEXT(ASTemp!J2424,Decimals)</f>
        <v/>
      </c>
      <c r="K2424" s="69" t="str">
        <f>TEXT(ASTemp!K2424,Decimals)</f>
        <v/>
      </c>
      <c r="L2424" s="69" t="str">
        <f>TEXT(ASTemp!L2424,Decimals)</f>
        <v/>
      </c>
      <c r="M2424" s="71" t="str">
        <f>TEXT(ASTemp!M2424,Percentages)</f>
        <v/>
      </c>
      <c r="N2424" s="72" t="str">
        <f>TEXT(ASTemp!N2424,Percentages)</f>
        <v/>
      </c>
    </row>
    <row r="2425" ht="14.25" customHeight="1">
      <c r="B2425" s="66" t="str">
        <f>ASTemp!B2425</f>
        <v/>
      </c>
      <c r="C2425" s="67" t="str">
        <f>ASTemp!C2425</f>
        <v/>
      </c>
      <c r="D2425" s="68" t="str">
        <f>ASTemp!D2425</f>
        <v/>
      </c>
      <c r="E2425" s="65" t="str">
        <f>ASTemp!E2425</f>
        <v/>
      </c>
      <c r="F2425" s="69" t="str">
        <f>TEXT(ASTemp!F2425,Decimals)</f>
        <v/>
      </c>
      <c r="G2425" s="69" t="str">
        <f>TEXT(ASTemp!G2425,Decimals)</f>
        <v/>
      </c>
      <c r="H2425" s="69" t="str">
        <f>TEXT(ASTemp!H2425,Decimals)</f>
        <v/>
      </c>
      <c r="I2425" s="69" t="str">
        <f>TEXT(ASTemp!I2425,Decimals)</f>
        <v/>
      </c>
      <c r="J2425" s="69" t="str">
        <f>TEXT(ASTemp!J2425,Decimals)</f>
        <v/>
      </c>
      <c r="K2425" s="69" t="str">
        <f>TEXT(ASTemp!K2425,Decimals)</f>
        <v/>
      </c>
      <c r="L2425" s="69" t="str">
        <f>TEXT(ASTemp!L2425,Decimals)</f>
        <v/>
      </c>
      <c r="M2425" s="71" t="str">
        <f>TEXT(ASTemp!M2425,Percentages)</f>
        <v/>
      </c>
      <c r="N2425" s="72" t="str">
        <f>TEXT(ASTemp!N2425,Percentages)</f>
        <v/>
      </c>
    </row>
    <row r="2426" ht="14.25" customHeight="1">
      <c r="B2426" s="66" t="str">
        <f>ASTemp!B2426</f>
        <v/>
      </c>
      <c r="C2426" s="67" t="str">
        <f>ASTemp!C2426</f>
        <v/>
      </c>
      <c r="D2426" s="68" t="str">
        <f>ASTemp!D2426</f>
        <v/>
      </c>
      <c r="E2426" s="65" t="str">
        <f>ASTemp!E2426</f>
        <v/>
      </c>
      <c r="F2426" s="69" t="str">
        <f>TEXT(ASTemp!F2426,Decimals)</f>
        <v/>
      </c>
      <c r="G2426" s="69" t="str">
        <f>TEXT(ASTemp!G2426,Decimals)</f>
        <v/>
      </c>
      <c r="H2426" s="69" t="str">
        <f>TEXT(ASTemp!H2426,Decimals)</f>
        <v/>
      </c>
      <c r="I2426" s="69" t="str">
        <f>TEXT(ASTemp!I2426,Decimals)</f>
        <v/>
      </c>
      <c r="J2426" s="69" t="str">
        <f>TEXT(ASTemp!J2426,Decimals)</f>
        <v/>
      </c>
      <c r="K2426" s="69" t="str">
        <f>TEXT(ASTemp!K2426,Decimals)</f>
        <v/>
      </c>
      <c r="L2426" s="69" t="str">
        <f>TEXT(ASTemp!L2426,Decimals)</f>
        <v/>
      </c>
      <c r="M2426" s="71" t="str">
        <f>TEXT(ASTemp!M2426,Percentages)</f>
        <v/>
      </c>
      <c r="N2426" s="72" t="str">
        <f>TEXT(ASTemp!N2426,Percentages)</f>
        <v/>
      </c>
    </row>
    <row r="2427" ht="14.25" customHeight="1">
      <c r="B2427" s="66" t="str">
        <f>ASTemp!B2427</f>
        <v/>
      </c>
      <c r="C2427" s="67" t="str">
        <f>ASTemp!C2427</f>
        <v/>
      </c>
      <c r="D2427" s="68" t="str">
        <f>ASTemp!D2427</f>
        <v/>
      </c>
      <c r="E2427" s="65" t="str">
        <f>ASTemp!E2427</f>
        <v/>
      </c>
      <c r="F2427" s="69" t="str">
        <f>TEXT(ASTemp!F2427,Decimals)</f>
        <v/>
      </c>
      <c r="G2427" s="69" t="str">
        <f>TEXT(ASTemp!G2427,Decimals)</f>
        <v/>
      </c>
      <c r="H2427" s="69" t="str">
        <f>TEXT(ASTemp!H2427,Decimals)</f>
        <v/>
      </c>
      <c r="I2427" s="69" t="str">
        <f>TEXT(ASTemp!I2427,Decimals)</f>
        <v/>
      </c>
      <c r="J2427" s="69" t="str">
        <f>TEXT(ASTemp!J2427,Decimals)</f>
        <v/>
      </c>
      <c r="K2427" s="69" t="str">
        <f>TEXT(ASTemp!K2427,Decimals)</f>
        <v/>
      </c>
      <c r="L2427" s="69" t="str">
        <f>TEXT(ASTemp!L2427,Decimals)</f>
        <v/>
      </c>
      <c r="M2427" s="71" t="str">
        <f>TEXT(ASTemp!M2427,Percentages)</f>
        <v/>
      </c>
      <c r="N2427" s="72" t="str">
        <f>TEXT(ASTemp!N2427,Percentages)</f>
        <v/>
      </c>
    </row>
    <row r="2428" ht="14.25" customHeight="1">
      <c r="B2428" s="66" t="str">
        <f>ASTemp!B2428</f>
        <v/>
      </c>
      <c r="C2428" s="67" t="str">
        <f>ASTemp!C2428</f>
        <v/>
      </c>
      <c r="D2428" s="68" t="str">
        <f>ASTemp!D2428</f>
        <v/>
      </c>
      <c r="E2428" s="65" t="str">
        <f>ASTemp!E2428</f>
        <v/>
      </c>
      <c r="F2428" s="69" t="str">
        <f>TEXT(ASTemp!F2428,Decimals)</f>
        <v/>
      </c>
      <c r="G2428" s="69" t="str">
        <f>TEXT(ASTemp!G2428,Decimals)</f>
        <v/>
      </c>
      <c r="H2428" s="69" t="str">
        <f>TEXT(ASTemp!H2428,Decimals)</f>
        <v/>
      </c>
      <c r="I2428" s="69" t="str">
        <f>TEXT(ASTemp!I2428,Decimals)</f>
        <v/>
      </c>
      <c r="J2428" s="69" t="str">
        <f>TEXT(ASTemp!J2428,Decimals)</f>
        <v/>
      </c>
      <c r="K2428" s="69" t="str">
        <f>TEXT(ASTemp!K2428,Decimals)</f>
        <v/>
      </c>
      <c r="L2428" s="69" t="str">
        <f>TEXT(ASTemp!L2428,Decimals)</f>
        <v/>
      </c>
      <c r="M2428" s="71" t="str">
        <f>TEXT(ASTemp!M2428,Percentages)</f>
        <v/>
      </c>
      <c r="N2428" s="72" t="str">
        <f>TEXT(ASTemp!N2428,Percentages)</f>
        <v/>
      </c>
    </row>
    <row r="2429" ht="14.25" customHeight="1">
      <c r="B2429" s="66" t="str">
        <f>ASTemp!B2429</f>
        <v/>
      </c>
      <c r="C2429" s="67" t="str">
        <f>ASTemp!C2429</f>
        <v/>
      </c>
      <c r="D2429" s="68" t="str">
        <f>ASTemp!D2429</f>
        <v/>
      </c>
      <c r="E2429" s="65" t="str">
        <f>ASTemp!E2429</f>
        <v/>
      </c>
      <c r="F2429" s="69" t="str">
        <f>TEXT(ASTemp!F2429,Decimals)</f>
        <v/>
      </c>
      <c r="G2429" s="69" t="str">
        <f>TEXT(ASTemp!G2429,Decimals)</f>
        <v/>
      </c>
      <c r="H2429" s="69" t="str">
        <f>TEXT(ASTemp!H2429,Decimals)</f>
        <v/>
      </c>
      <c r="I2429" s="69" t="str">
        <f>TEXT(ASTemp!I2429,Decimals)</f>
        <v/>
      </c>
      <c r="J2429" s="69" t="str">
        <f>TEXT(ASTemp!J2429,Decimals)</f>
        <v/>
      </c>
      <c r="K2429" s="69" t="str">
        <f>TEXT(ASTemp!K2429,Decimals)</f>
        <v/>
      </c>
      <c r="L2429" s="69" t="str">
        <f>TEXT(ASTemp!L2429,Decimals)</f>
        <v/>
      </c>
      <c r="M2429" s="71" t="str">
        <f>TEXT(ASTemp!M2429,Percentages)</f>
        <v/>
      </c>
      <c r="N2429" s="72" t="str">
        <f>TEXT(ASTemp!N2429,Percentages)</f>
        <v/>
      </c>
    </row>
    <row r="2430" ht="14.25" customHeight="1">
      <c r="B2430" s="66" t="str">
        <f>ASTemp!B2430</f>
        <v/>
      </c>
      <c r="C2430" s="67" t="str">
        <f>ASTemp!C2430</f>
        <v/>
      </c>
      <c r="D2430" s="68" t="str">
        <f>ASTemp!D2430</f>
        <v/>
      </c>
      <c r="E2430" s="65" t="str">
        <f>ASTemp!E2430</f>
        <v/>
      </c>
      <c r="F2430" s="69" t="str">
        <f>TEXT(ASTemp!F2430,Decimals)</f>
        <v/>
      </c>
      <c r="G2430" s="69" t="str">
        <f>TEXT(ASTemp!G2430,Decimals)</f>
        <v/>
      </c>
      <c r="H2430" s="69" t="str">
        <f>TEXT(ASTemp!H2430,Decimals)</f>
        <v/>
      </c>
      <c r="I2430" s="69" t="str">
        <f>TEXT(ASTemp!I2430,Decimals)</f>
        <v/>
      </c>
      <c r="J2430" s="69" t="str">
        <f>TEXT(ASTemp!J2430,Decimals)</f>
        <v/>
      </c>
      <c r="K2430" s="69" t="str">
        <f>TEXT(ASTemp!K2430,Decimals)</f>
        <v/>
      </c>
      <c r="L2430" s="69" t="str">
        <f>TEXT(ASTemp!L2430,Decimals)</f>
        <v/>
      </c>
      <c r="M2430" s="71" t="str">
        <f>TEXT(ASTemp!M2430,Percentages)</f>
        <v/>
      </c>
      <c r="N2430" s="72" t="str">
        <f>TEXT(ASTemp!N2430,Percentages)</f>
        <v/>
      </c>
    </row>
    <row r="2431" ht="14.25" customHeight="1">
      <c r="B2431" s="66" t="str">
        <f>ASTemp!B2431</f>
        <v/>
      </c>
      <c r="C2431" s="67" t="str">
        <f>ASTemp!C2431</f>
        <v/>
      </c>
      <c r="D2431" s="68" t="str">
        <f>ASTemp!D2431</f>
        <v/>
      </c>
      <c r="E2431" s="65" t="str">
        <f>ASTemp!E2431</f>
        <v/>
      </c>
      <c r="F2431" s="69" t="str">
        <f>TEXT(ASTemp!F2431,Decimals)</f>
        <v/>
      </c>
      <c r="G2431" s="69" t="str">
        <f>TEXT(ASTemp!G2431,Decimals)</f>
        <v/>
      </c>
      <c r="H2431" s="69" t="str">
        <f>TEXT(ASTemp!H2431,Decimals)</f>
        <v/>
      </c>
      <c r="I2431" s="69" t="str">
        <f>TEXT(ASTemp!I2431,Decimals)</f>
        <v/>
      </c>
      <c r="J2431" s="69" t="str">
        <f>TEXT(ASTemp!J2431,Decimals)</f>
        <v/>
      </c>
      <c r="K2431" s="69" t="str">
        <f>TEXT(ASTemp!K2431,Decimals)</f>
        <v/>
      </c>
      <c r="L2431" s="69" t="str">
        <f>TEXT(ASTemp!L2431,Decimals)</f>
        <v/>
      </c>
      <c r="M2431" s="71" t="str">
        <f>TEXT(ASTemp!M2431,Percentages)</f>
        <v/>
      </c>
      <c r="N2431" s="72" t="str">
        <f>TEXT(ASTemp!N2431,Percentages)</f>
        <v/>
      </c>
    </row>
    <row r="2432" ht="14.25" customHeight="1">
      <c r="B2432" s="66" t="str">
        <f>ASTemp!B2432</f>
        <v/>
      </c>
      <c r="C2432" s="67" t="str">
        <f>ASTemp!C2432</f>
        <v/>
      </c>
      <c r="D2432" s="68" t="str">
        <f>ASTemp!D2432</f>
        <v/>
      </c>
      <c r="E2432" s="65" t="str">
        <f>ASTemp!E2432</f>
        <v/>
      </c>
      <c r="F2432" s="69" t="str">
        <f>TEXT(ASTemp!F2432,Decimals)</f>
        <v/>
      </c>
      <c r="G2432" s="69" t="str">
        <f>TEXT(ASTemp!G2432,Decimals)</f>
        <v/>
      </c>
      <c r="H2432" s="69" t="str">
        <f>TEXT(ASTemp!H2432,Decimals)</f>
        <v/>
      </c>
      <c r="I2432" s="69" t="str">
        <f>TEXT(ASTemp!I2432,Decimals)</f>
        <v/>
      </c>
      <c r="J2432" s="69" t="str">
        <f>TEXT(ASTemp!J2432,Decimals)</f>
        <v/>
      </c>
      <c r="K2432" s="69" t="str">
        <f>TEXT(ASTemp!K2432,Decimals)</f>
        <v/>
      </c>
      <c r="L2432" s="69" t="str">
        <f>TEXT(ASTemp!L2432,Decimals)</f>
        <v/>
      </c>
      <c r="M2432" s="71" t="str">
        <f>TEXT(ASTemp!M2432,Percentages)</f>
        <v/>
      </c>
      <c r="N2432" s="72" t="str">
        <f>TEXT(ASTemp!N2432,Percentages)</f>
        <v/>
      </c>
    </row>
    <row r="2433" ht="14.25" customHeight="1">
      <c r="B2433" s="66" t="str">
        <f>ASTemp!B2433</f>
        <v/>
      </c>
      <c r="C2433" s="67" t="str">
        <f>ASTemp!C2433</f>
        <v/>
      </c>
      <c r="D2433" s="68" t="str">
        <f>ASTemp!D2433</f>
        <v/>
      </c>
      <c r="E2433" s="65" t="str">
        <f>ASTemp!E2433</f>
        <v/>
      </c>
      <c r="F2433" s="69" t="str">
        <f>TEXT(ASTemp!F2433,Decimals)</f>
        <v/>
      </c>
      <c r="G2433" s="69" t="str">
        <f>TEXT(ASTemp!G2433,Decimals)</f>
        <v/>
      </c>
      <c r="H2433" s="69" t="str">
        <f>TEXT(ASTemp!H2433,Decimals)</f>
        <v/>
      </c>
      <c r="I2433" s="69" t="str">
        <f>TEXT(ASTemp!I2433,Decimals)</f>
        <v/>
      </c>
      <c r="J2433" s="69" t="str">
        <f>TEXT(ASTemp!J2433,Decimals)</f>
        <v/>
      </c>
      <c r="K2433" s="69" t="str">
        <f>TEXT(ASTemp!K2433,Decimals)</f>
        <v/>
      </c>
      <c r="L2433" s="69" t="str">
        <f>TEXT(ASTemp!L2433,Decimals)</f>
        <v/>
      </c>
      <c r="M2433" s="71" t="str">
        <f>TEXT(ASTemp!M2433,Percentages)</f>
        <v/>
      </c>
      <c r="N2433" s="72" t="str">
        <f>TEXT(ASTemp!N2433,Percentages)</f>
        <v/>
      </c>
    </row>
    <row r="2434" ht="14.25" customHeight="1">
      <c r="B2434" s="66" t="str">
        <f>ASTemp!B2434</f>
        <v/>
      </c>
      <c r="C2434" s="67" t="str">
        <f>ASTemp!C2434</f>
        <v/>
      </c>
      <c r="D2434" s="68" t="str">
        <f>ASTemp!D2434</f>
        <v/>
      </c>
      <c r="E2434" s="65" t="str">
        <f>ASTemp!E2434</f>
        <v/>
      </c>
      <c r="F2434" s="69" t="str">
        <f>TEXT(ASTemp!F2434,Decimals)</f>
        <v/>
      </c>
      <c r="G2434" s="69" t="str">
        <f>TEXT(ASTemp!G2434,Decimals)</f>
        <v/>
      </c>
      <c r="H2434" s="69" t="str">
        <f>TEXT(ASTemp!H2434,Decimals)</f>
        <v/>
      </c>
      <c r="I2434" s="69" t="str">
        <f>TEXT(ASTemp!I2434,Decimals)</f>
        <v/>
      </c>
      <c r="J2434" s="69" t="str">
        <f>TEXT(ASTemp!J2434,Decimals)</f>
        <v/>
      </c>
      <c r="K2434" s="69" t="str">
        <f>TEXT(ASTemp!K2434,Decimals)</f>
        <v/>
      </c>
      <c r="L2434" s="69" t="str">
        <f>TEXT(ASTemp!L2434,Decimals)</f>
        <v/>
      </c>
      <c r="M2434" s="71" t="str">
        <f>TEXT(ASTemp!M2434,Percentages)</f>
        <v/>
      </c>
      <c r="N2434" s="72" t="str">
        <f>TEXT(ASTemp!N2434,Percentages)</f>
        <v/>
      </c>
    </row>
    <row r="2435" ht="14.25" customHeight="1">
      <c r="B2435" s="66" t="str">
        <f>ASTemp!B2435</f>
        <v/>
      </c>
      <c r="C2435" s="67" t="str">
        <f>ASTemp!C2435</f>
        <v/>
      </c>
      <c r="D2435" s="68" t="str">
        <f>ASTemp!D2435</f>
        <v/>
      </c>
      <c r="E2435" s="65" t="str">
        <f>ASTemp!E2435</f>
        <v/>
      </c>
      <c r="F2435" s="69" t="str">
        <f>TEXT(ASTemp!F2435,Decimals)</f>
        <v/>
      </c>
      <c r="G2435" s="69" t="str">
        <f>TEXT(ASTemp!G2435,Decimals)</f>
        <v/>
      </c>
      <c r="H2435" s="69" t="str">
        <f>TEXT(ASTemp!H2435,Decimals)</f>
        <v/>
      </c>
      <c r="I2435" s="69" t="str">
        <f>TEXT(ASTemp!I2435,Decimals)</f>
        <v/>
      </c>
      <c r="J2435" s="69" t="str">
        <f>TEXT(ASTemp!J2435,Decimals)</f>
        <v/>
      </c>
      <c r="K2435" s="69" t="str">
        <f>TEXT(ASTemp!K2435,Decimals)</f>
        <v/>
      </c>
      <c r="L2435" s="69" t="str">
        <f>TEXT(ASTemp!L2435,Decimals)</f>
        <v/>
      </c>
      <c r="M2435" s="71" t="str">
        <f>TEXT(ASTemp!M2435,Percentages)</f>
        <v/>
      </c>
      <c r="N2435" s="72" t="str">
        <f>TEXT(ASTemp!N2435,Percentages)</f>
        <v/>
      </c>
    </row>
    <row r="2436" ht="14.25" customHeight="1">
      <c r="B2436" s="66" t="str">
        <f>ASTemp!B2436</f>
        <v/>
      </c>
      <c r="C2436" s="67" t="str">
        <f>ASTemp!C2436</f>
        <v/>
      </c>
      <c r="D2436" s="68" t="str">
        <f>ASTemp!D2436</f>
        <v/>
      </c>
      <c r="E2436" s="65" t="str">
        <f>ASTemp!E2436</f>
        <v/>
      </c>
      <c r="F2436" s="69" t="str">
        <f>TEXT(ASTemp!F2436,Decimals)</f>
        <v/>
      </c>
      <c r="G2436" s="69" t="str">
        <f>TEXT(ASTemp!G2436,Decimals)</f>
        <v/>
      </c>
      <c r="H2436" s="69" t="str">
        <f>TEXT(ASTemp!H2436,Decimals)</f>
        <v/>
      </c>
      <c r="I2436" s="69" t="str">
        <f>TEXT(ASTemp!I2436,Decimals)</f>
        <v/>
      </c>
      <c r="J2436" s="69" t="str">
        <f>TEXT(ASTemp!J2436,Decimals)</f>
        <v/>
      </c>
      <c r="K2436" s="69" t="str">
        <f>TEXT(ASTemp!K2436,Decimals)</f>
        <v/>
      </c>
      <c r="L2436" s="69" t="str">
        <f>TEXT(ASTemp!L2436,Decimals)</f>
        <v/>
      </c>
      <c r="M2436" s="71" t="str">
        <f>TEXT(ASTemp!M2436,Percentages)</f>
        <v/>
      </c>
      <c r="N2436" s="72" t="str">
        <f>TEXT(ASTemp!N2436,Percentages)</f>
        <v/>
      </c>
    </row>
    <row r="2437" ht="14.25" customHeight="1">
      <c r="B2437" s="66" t="str">
        <f>ASTemp!B2437</f>
        <v/>
      </c>
      <c r="C2437" s="67" t="str">
        <f>ASTemp!C2437</f>
        <v/>
      </c>
      <c r="D2437" s="68" t="str">
        <f>ASTemp!D2437</f>
        <v/>
      </c>
      <c r="E2437" s="65" t="str">
        <f>ASTemp!E2437</f>
        <v/>
      </c>
      <c r="F2437" s="69" t="str">
        <f>TEXT(ASTemp!F2437,Decimals)</f>
        <v/>
      </c>
      <c r="G2437" s="69" t="str">
        <f>TEXT(ASTemp!G2437,Decimals)</f>
        <v/>
      </c>
      <c r="H2437" s="69" t="str">
        <f>TEXT(ASTemp!H2437,Decimals)</f>
        <v/>
      </c>
      <c r="I2437" s="69" t="str">
        <f>TEXT(ASTemp!I2437,Decimals)</f>
        <v/>
      </c>
      <c r="J2437" s="69" t="str">
        <f>TEXT(ASTemp!J2437,Decimals)</f>
        <v/>
      </c>
      <c r="K2437" s="69" t="str">
        <f>TEXT(ASTemp!K2437,Decimals)</f>
        <v/>
      </c>
      <c r="L2437" s="69" t="str">
        <f>TEXT(ASTemp!L2437,Decimals)</f>
        <v/>
      </c>
      <c r="M2437" s="71" t="str">
        <f>TEXT(ASTemp!M2437,Percentages)</f>
        <v/>
      </c>
      <c r="N2437" s="72" t="str">
        <f>TEXT(ASTemp!N2437,Percentages)</f>
        <v/>
      </c>
    </row>
    <row r="2438" ht="14.25" customHeight="1">
      <c r="B2438" s="66" t="str">
        <f>ASTemp!B2438</f>
        <v/>
      </c>
      <c r="C2438" s="67" t="str">
        <f>ASTemp!C2438</f>
        <v/>
      </c>
      <c r="D2438" s="68" t="str">
        <f>ASTemp!D2438</f>
        <v/>
      </c>
      <c r="E2438" s="65" t="str">
        <f>ASTemp!E2438</f>
        <v/>
      </c>
      <c r="F2438" s="69" t="str">
        <f>TEXT(ASTemp!F2438,Decimals)</f>
        <v/>
      </c>
      <c r="G2438" s="69" t="str">
        <f>TEXT(ASTemp!G2438,Decimals)</f>
        <v/>
      </c>
      <c r="H2438" s="69" t="str">
        <f>TEXT(ASTemp!H2438,Decimals)</f>
        <v/>
      </c>
      <c r="I2438" s="69" t="str">
        <f>TEXT(ASTemp!I2438,Decimals)</f>
        <v/>
      </c>
      <c r="J2438" s="69" t="str">
        <f>TEXT(ASTemp!J2438,Decimals)</f>
        <v/>
      </c>
      <c r="K2438" s="69" t="str">
        <f>TEXT(ASTemp!K2438,Decimals)</f>
        <v/>
      </c>
      <c r="L2438" s="69" t="str">
        <f>TEXT(ASTemp!L2438,Decimals)</f>
        <v/>
      </c>
      <c r="M2438" s="71" t="str">
        <f>TEXT(ASTemp!M2438,Percentages)</f>
        <v/>
      </c>
      <c r="N2438" s="72" t="str">
        <f>TEXT(ASTemp!N2438,Percentages)</f>
        <v/>
      </c>
    </row>
    <row r="2439" ht="14.25" customHeight="1">
      <c r="B2439" s="66" t="str">
        <f>ASTemp!B2439</f>
        <v/>
      </c>
      <c r="C2439" s="67" t="str">
        <f>ASTemp!C2439</f>
        <v/>
      </c>
      <c r="D2439" s="68" t="str">
        <f>ASTemp!D2439</f>
        <v/>
      </c>
      <c r="E2439" s="65" t="str">
        <f>ASTemp!E2439</f>
        <v/>
      </c>
      <c r="F2439" s="69" t="str">
        <f>TEXT(ASTemp!F2439,Decimals)</f>
        <v/>
      </c>
      <c r="G2439" s="69" t="str">
        <f>TEXT(ASTemp!G2439,Decimals)</f>
        <v/>
      </c>
      <c r="H2439" s="69" t="str">
        <f>TEXT(ASTemp!H2439,Decimals)</f>
        <v/>
      </c>
      <c r="I2439" s="69" t="str">
        <f>TEXT(ASTemp!I2439,Decimals)</f>
        <v/>
      </c>
      <c r="J2439" s="69" t="str">
        <f>TEXT(ASTemp!J2439,Decimals)</f>
        <v/>
      </c>
      <c r="K2439" s="69" t="str">
        <f>TEXT(ASTemp!K2439,Decimals)</f>
        <v/>
      </c>
      <c r="L2439" s="69" t="str">
        <f>TEXT(ASTemp!L2439,Decimals)</f>
        <v/>
      </c>
      <c r="M2439" s="71" t="str">
        <f>TEXT(ASTemp!M2439,Percentages)</f>
        <v/>
      </c>
      <c r="N2439" s="72" t="str">
        <f>TEXT(ASTemp!N2439,Percentages)</f>
        <v/>
      </c>
    </row>
    <row r="2440" ht="14.25" customHeight="1">
      <c r="B2440" s="66" t="str">
        <f>ASTemp!B2440</f>
        <v/>
      </c>
      <c r="C2440" s="67" t="str">
        <f>ASTemp!C2440</f>
        <v/>
      </c>
      <c r="D2440" s="68" t="str">
        <f>ASTemp!D2440</f>
        <v/>
      </c>
      <c r="E2440" s="65" t="str">
        <f>ASTemp!E2440</f>
        <v/>
      </c>
      <c r="F2440" s="69" t="str">
        <f>TEXT(ASTemp!F2440,Decimals)</f>
        <v/>
      </c>
      <c r="G2440" s="69" t="str">
        <f>TEXT(ASTemp!G2440,Decimals)</f>
        <v/>
      </c>
      <c r="H2440" s="69" t="str">
        <f>TEXT(ASTemp!H2440,Decimals)</f>
        <v/>
      </c>
      <c r="I2440" s="69" t="str">
        <f>TEXT(ASTemp!I2440,Decimals)</f>
        <v/>
      </c>
      <c r="J2440" s="69" t="str">
        <f>TEXT(ASTemp!J2440,Decimals)</f>
        <v/>
      </c>
      <c r="K2440" s="69" t="str">
        <f>TEXT(ASTemp!K2440,Decimals)</f>
        <v/>
      </c>
      <c r="L2440" s="69" t="str">
        <f>TEXT(ASTemp!L2440,Decimals)</f>
        <v/>
      </c>
      <c r="M2440" s="71" t="str">
        <f>TEXT(ASTemp!M2440,Percentages)</f>
        <v/>
      </c>
      <c r="N2440" s="72" t="str">
        <f>TEXT(ASTemp!N2440,Percentages)</f>
        <v/>
      </c>
    </row>
    <row r="2441" ht="14.25" customHeight="1">
      <c r="B2441" s="66" t="str">
        <f>ASTemp!B2441</f>
        <v/>
      </c>
      <c r="C2441" s="67" t="str">
        <f>ASTemp!C2441</f>
        <v/>
      </c>
      <c r="D2441" s="68" t="str">
        <f>ASTemp!D2441</f>
        <v/>
      </c>
      <c r="E2441" s="65" t="str">
        <f>ASTemp!E2441</f>
        <v/>
      </c>
      <c r="F2441" s="69" t="str">
        <f>TEXT(ASTemp!F2441,Decimals)</f>
        <v/>
      </c>
      <c r="G2441" s="69" t="str">
        <f>TEXT(ASTemp!G2441,Decimals)</f>
        <v/>
      </c>
      <c r="H2441" s="69" t="str">
        <f>TEXT(ASTemp!H2441,Decimals)</f>
        <v/>
      </c>
      <c r="I2441" s="69" t="str">
        <f>TEXT(ASTemp!I2441,Decimals)</f>
        <v/>
      </c>
      <c r="J2441" s="69" t="str">
        <f>TEXT(ASTemp!J2441,Decimals)</f>
        <v/>
      </c>
      <c r="K2441" s="69" t="str">
        <f>TEXT(ASTemp!K2441,Decimals)</f>
        <v/>
      </c>
      <c r="L2441" s="69" t="str">
        <f>TEXT(ASTemp!L2441,Decimals)</f>
        <v/>
      </c>
      <c r="M2441" s="71" t="str">
        <f>TEXT(ASTemp!M2441,Percentages)</f>
        <v/>
      </c>
      <c r="N2441" s="72" t="str">
        <f>TEXT(ASTemp!N2441,Percentages)</f>
        <v/>
      </c>
    </row>
    <row r="2442" ht="14.25" customHeight="1">
      <c r="B2442" s="66" t="str">
        <f>ASTemp!B2442</f>
        <v/>
      </c>
      <c r="C2442" s="67" t="str">
        <f>ASTemp!C2442</f>
        <v/>
      </c>
      <c r="D2442" s="68" t="str">
        <f>ASTemp!D2442</f>
        <v/>
      </c>
      <c r="E2442" s="65" t="str">
        <f>ASTemp!E2442</f>
        <v/>
      </c>
      <c r="F2442" s="69" t="str">
        <f>TEXT(ASTemp!F2442,Decimals)</f>
        <v/>
      </c>
      <c r="G2442" s="69" t="str">
        <f>TEXT(ASTemp!G2442,Decimals)</f>
        <v/>
      </c>
      <c r="H2442" s="69" t="str">
        <f>TEXT(ASTemp!H2442,Decimals)</f>
        <v/>
      </c>
      <c r="I2442" s="69" t="str">
        <f>TEXT(ASTemp!I2442,Decimals)</f>
        <v/>
      </c>
      <c r="J2442" s="69" t="str">
        <f>TEXT(ASTemp!J2442,Decimals)</f>
        <v/>
      </c>
      <c r="K2442" s="69" t="str">
        <f>TEXT(ASTemp!K2442,Decimals)</f>
        <v/>
      </c>
      <c r="L2442" s="69" t="str">
        <f>TEXT(ASTemp!L2442,Decimals)</f>
        <v/>
      </c>
      <c r="M2442" s="71" t="str">
        <f>TEXT(ASTemp!M2442,Percentages)</f>
        <v/>
      </c>
      <c r="N2442" s="72" t="str">
        <f>TEXT(ASTemp!N2442,Percentages)</f>
        <v/>
      </c>
    </row>
    <row r="2443" ht="14.25" customHeight="1">
      <c r="B2443" s="66" t="str">
        <f>ASTemp!B2443</f>
        <v/>
      </c>
      <c r="C2443" s="67" t="str">
        <f>ASTemp!C2443</f>
        <v/>
      </c>
      <c r="D2443" s="68" t="str">
        <f>ASTemp!D2443</f>
        <v/>
      </c>
      <c r="E2443" s="65" t="str">
        <f>ASTemp!E2443</f>
        <v/>
      </c>
      <c r="F2443" s="69" t="str">
        <f>TEXT(ASTemp!F2443,Decimals)</f>
        <v/>
      </c>
      <c r="G2443" s="69" t="str">
        <f>TEXT(ASTemp!G2443,Decimals)</f>
        <v/>
      </c>
      <c r="H2443" s="69" t="str">
        <f>TEXT(ASTemp!H2443,Decimals)</f>
        <v/>
      </c>
      <c r="I2443" s="69" t="str">
        <f>TEXT(ASTemp!I2443,Decimals)</f>
        <v/>
      </c>
      <c r="J2443" s="69" t="str">
        <f>TEXT(ASTemp!J2443,Decimals)</f>
        <v/>
      </c>
      <c r="K2443" s="69" t="str">
        <f>TEXT(ASTemp!K2443,Decimals)</f>
        <v/>
      </c>
      <c r="L2443" s="69" t="str">
        <f>TEXT(ASTemp!L2443,Decimals)</f>
        <v/>
      </c>
      <c r="M2443" s="71" t="str">
        <f>TEXT(ASTemp!M2443,Percentages)</f>
        <v/>
      </c>
      <c r="N2443" s="72" t="str">
        <f>TEXT(ASTemp!N2443,Percentages)</f>
        <v/>
      </c>
    </row>
    <row r="2444" ht="14.25" customHeight="1">
      <c r="B2444" s="66" t="str">
        <f>ASTemp!B2444</f>
        <v/>
      </c>
      <c r="C2444" s="67" t="str">
        <f>ASTemp!C2444</f>
        <v/>
      </c>
      <c r="D2444" s="68" t="str">
        <f>ASTemp!D2444</f>
        <v/>
      </c>
      <c r="E2444" s="65" t="str">
        <f>ASTemp!E2444</f>
        <v/>
      </c>
      <c r="F2444" s="69" t="str">
        <f>TEXT(ASTemp!F2444,Decimals)</f>
        <v/>
      </c>
      <c r="G2444" s="69" t="str">
        <f>TEXT(ASTemp!G2444,Decimals)</f>
        <v/>
      </c>
      <c r="H2444" s="69" t="str">
        <f>TEXT(ASTemp!H2444,Decimals)</f>
        <v/>
      </c>
      <c r="I2444" s="69" t="str">
        <f>TEXT(ASTemp!I2444,Decimals)</f>
        <v/>
      </c>
      <c r="J2444" s="69" t="str">
        <f>TEXT(ASTemp!J2444,Decimals)</f>
        <v/>
      </c>
      <c r="K2444" s="69" t="str">
        <f>TEXT(ASTemp!K2444,Decimals)</f>
        <v/>
      </c>
      <c r="L2444" s="69" t="str">
        <f>TEXT(ASTemp!L2444,Decimals)</f>
        <v/>
      </c>
      <c r="M2444" s="71" t="str">
        <f>TEXT(ASTemp!M2444,Percentages)</f>
        <v/>
      </c>
      <c r="N2444" s="72" t="str">
        <f>TEXT(ASTemp!N2444,Percentages)</f>
        <v/>
      </c>
    </row>
    <row r="2445" ht="14.25" customHeight="1">
      <c r="B2445" s="66" t="str">
        <f>ASTemp!B2445</f>
        <v/>
      </c>
      <c r="C2445" s="67" t="str">
        <f>ASTemp!C2445</f>
        <v/>
      </c>
      <c r="D2445" s="68" t="str">
        <f>ASTemp!D2445</f>
        <v/>
      </c>
      <c r="E2445" s="65" t="str">
        <f>ASTemp!E2445</f>
        <v/>
      </c>
      <c r="F2445" s="69" t="str">
        <f>TEXT(ASTemp!F2445,Decimals)</f>
        <v/>
      </c>
      <c r="G2445" s="69" t="str">
        <f>TEXT(ASTemp!G2445,Decimals)</f>
        <v/>
      </c>
      <c r="H2445" s="69" t="str">
        <f>TEXT(ASTemp!H2445,Decimals)</f>
        <v/>
      </c>
      <c r="I2445" s="69" t="str">
        <f>TEXT(ASTemp!I2445,Decimals)</f>
        <v/>
      </c>
      <c r="J2445" s="69" t="str">
        <f>TEXT(ASTemp!J2445,Decimals)</f>
        <v/>
      </c>
      <c r="K2445" s="69" t="str">
        <f>TEXT(ASTemp!K2445,Decimals)</f>
        <v/>
      </c>
      <c r="L2445" s="69" t="str">
        <f>TEXT(ASTemp!L2445,Decimals)</f>
        <v/>
      </c>
      <c r="M2445" s="71" t="str">
        <f>TEXT(ASTemp!M2445,Percentages)</f>
        <v/>
      </c>
      <c r="N2445" s="72" t="str">
        <f>TEXT(ASTemp!N2445,Percentages)</f>
        <v/>
      </c>
    </row>
    <row r="2446" ht="14.25" customHeight="1">
      <c r="B2446" s="66" t="str">
        <f>ASTemp!B2446</f>
        <v/>
      </c>
      <c r="C2446" s="67" t="str">
        <f>ASTemp!C2446</f>
        <v/>
      </c>
      <c r="D2446" s="68" t="str">
        <f>ASTemp!D2446</f>
        <v/>
      </c>
      <c r="E2446" s="65" t="str">
        <f>ASTemp!E2446</f>
        <v/>
      </c>
      <c r="F2446" s="69" t="str">
        <f>TEXT(ASTemp!F2446,Decimals)</f>
        <v/>
      </c>
      <c r="G2446" s="69" t="str">
        <f>TEXT(ASTemp!G2446,Decimals)</f>
        <v/>
      </c>
      <c r="H2446" s="69" t="str">
        <f>TEXT(ASTemp!H2446,Decimals)</f>
        <v/>
      </c>
      <c r="I2446" s="69" t="str">
        <f>TEXT(ASTemp!I2446,Decimals)</f>
        <v/>
      </c>
      <c r="J2446" s="69" t="str">
        <f>TEXT(ASTemp!J2446,Decimals)</f>
        <v/>
      </c>
      <c r="K2446" s="69" t="str">
        <f>TEXT(ASTemp!K2446,Decimals)</f>
        <v/>
      </c>
      <c r="L2446" s="69" t="str">
        <f>TEXT(ASTemp!L2446,Decimals)</f>
        <v/>
      </c>
      <c r="M2446" s="71" t="str">
        <f>TEXT(ASTemp!M2446,Percentages)</f>
        <v/>
      </c>
      <c r="N2446" s="72" t="str">
        <f>TEXT(ASTemp!N2446,Percentages)</f>
        <v/>
      </c>
    </row>
    <row r="2447" ht="14.25" customHeight="1">
      <c r="B2447" s="66" t="str">
        <f>ASTemp!B2447</f>
        <v/>
      </c>
      <c r="C2447" s="67" t="str">
        <f>ASTemp!C2447</f>
        <v/>
      </c>
      <c r="D2447" s="68" t="str">
        <f>ASTemp!D2447</f>
        <v/>
      </c>
      <c r="E2447" s="65" t="str">
        <f>ASTemp!E2447</f>
        <v/>
      </c>
      <c r="F2447" s="69" t="str">
        <f>TEXT(ASTemp!F2447,Decimals)</f>
        <v/>
      </c>
      <c r="G2447" s="69" t="str">
        <f>TEXT(ASTemp!G2447,Decimals)</f>
        <v/>
      </c>
      <c r="H2447" s="69" t="str">
        <f>TEXT(ASTemp!H2447,Decimals)</f>
        <v/>
      </c>
      <c r="I2447" s="69" t="str">
        <f>TEXT(ASTemp!I2447,Decimals)</f>
        <v/>
      </c>
      <c r="J2447" s="69" t="str">
        <f>TEXT(ASTemp!J2447,Decimals)</f>
        <v/>
      </c>
      <c r="K2447" s="69" t="str">
        <f>TEXT(ASTemp!K2447,Decimals)</f>
        <v/>
      </c>
      <c r="L2447" s="69" t="str">
        <f>TEXT(ASTemp!L2447,Decimals)</f>
        <v/>
      </c>
      <c r="M2447" s="71" t="str">
        <f>TEXT(ASTemp!M2447,Percentages)</f>
        <v/>
      </c>
      <c r="N2447" s="72" t="str">
        <f>TEXT(ASTemp!N2447,Percentages)</f>
        <v/>
      </c>
    </row>
    <row r="2448" ht="14.25" customHeight="1">
      <c r="B2448" s="66" t="str">
        <f>ASTemp!B2448</f>
        <v/>
      </c>
      <c r="C2448" s="67" t="str">
        <f>ASTemp!C2448</f>
        <v/>
      </c>
      <c r="D2448" s="68" t="str">
        <f>ASTemp!D2448</f>
        <v/>
      </c>
      <c r="E2448" s="65" t="str">
        <f>ASTemp!E2448</f>
        <v/>
      </c>
      <c r="F2448" s="69" t="str">
        <f>TEXT(ASTemp!F2448,Decimals)</f>
        <v/>
      </c>
      <c r="G2448" s="69" t="str">
        <f>TEXT(ASTemp!G2448,Decimals)</f>
        <v/>
      </c>
      <c r="H2448" s="69" t="str">
        <f>TEXT(ASTemp!H2448,Decimals)</f>
        <v/>
      </c>
      <c r="I2448" s="69" t="str">
        <f>TEXT(ASTemp!I2448,Decimals)</f>
        <v/>
      </c>
      <c r="J2448" s="69" t="str">
        <f>TEXT(ASTemp!J2448,Decimals)</f>
        <v/>
      </c>
      <c r="K2448" s="69" t="str">
        <f>TEXT(ASTemp!K2448,Decimals)</f>
        <v/>
      </c>
      <c r="L2448" s="69" t="str">
        <f>TEXT(ASTemp!L2448,Decimals)</f>
        <v/>
      </c>
      <c r="M2448" s="71" t="str">
        <f>TEXT(ASTemp!M2448,Percentages)</f>
        <v/>
      </c>
      <c r="N2448" s="72" t="str">
        <f>TEXT(ASTemp!N2448,Percentages)</f>
        <v/>
      </c>
    </row>
    <row r="2449" ht="14.25" customHeight="1">
      <c r="B2449" s="66" t="str">
        <f>ASTemp!B2449</f>
        <v/>
      </c>
      <c r="C2449" s="67" t="str">
        <f>ASTemp!C2449</f>
        <v/>
      </c>
      <c r="D2449" s="68" t="str">
        <f>ASTemp!D2449</f>
        <v/>
      </c>
      <c r="E2449" s="65" t="str">
        <f>ASTemp!E2449</f>
        <v/>
      </c>
      <c r="F2449" s="69" t="str">
        <f>TEXT(ASTemp!F2449,Decimals)</f>
        <v/>
      </c>
      <c r="G2449" s="69" t="str">
        <f>TEXT(ASTemp!G2449,Decimals)</f>
        <v/>
      </c>
      <c r="H2449" s="69" t="str">
        <f>TEXT(ASTemp!H2449,Decimals)</f>
        <v/>
      </c>
      <c r="I2449" s="69" t="str">
        <f>TEXT(ASTemp!I2449,Decimals)</f>
        <v/>
      </c>
      <c r="J2449" s="69" t="str">
        <f>TEXT(ASTemp!J2449,Decimals)</f>
        <v/>
      </c>
      <c r="K2449" s="69" t="str">
        <f>TEXT(ASTemp!K2449,Decimals)</f>
        <v/>
      </c>
      <c r="L2449" s="69" t="str">
        <f>TEXT(ASTemp!L2449,Decimals)</f>
        <v/>
      </c>
      <c r="M2449" s="71" t="str">
        <f>TEXT(ASTemp!M2449,Percentages)</f>
        <v/>
      </c>
      <c r="N2449" s="72" t="str">
        <f>TEXT(ASTemp!N2449,Percentages)</f>
        <v/>
      </c>
    </row>
    <row r="2450" ht="14.25" customHeight="1">
      <c r="B2450" s="66" t="str">
        <f>ASTemp!B2450</f>
        <v/>
      </c>
      <c r="C2450" s="67" t="str">
        <f>ASTemp!C2450</f>
        <v/>
      </c>
      <c r="D2450" s="68" t="str">
        <f>ASTemp!D2450</f>
        <v/>
      </c>
      <c r="E2450" s="65" t="str">
        <f>ASTemp!E2450</f>
        <v/>
      </c>
      <c r="F2450" s="69" t="str">
        <f>TEXT(ASTemp!F2450,Decimals)</f>
        <v/>
      </c>
      <c r="G2450" s="69" t="str">
        <f>TEXT(ASTemp!G2450,Decimals)</f>
        <v/>
      </c>
      <c r="H2450" s="69" t="str">
        <f>TEXT(ASTemp!H2450,Decimals)</f>
        <v/>
      </c>
      <c r="I2450" s="69" t="str">
        <f>TEXT(ASTemp!I2450,Decimals)</f>
        <v/>
      </c>
      <c r="J2450" s="69" t="str">
        <f>TEXT(ASTemp!J2450,Decimals)</f>
        <v/>
      </c>
      <c r="K2450" s="69" t="str">
        <f>TEXT(ASTemp!K2450,Decimals)</f>
        <v/>
      </c>
      <c r="L2450" s="69" t="str">
        <f>TEXT(ASTemp!L2450,Decimals)</f>
        <v/>
      </c>
      <c r="M2450" s="71" t="str">
        <f>TEXT(ASTemp!M2450,Percentages)</f>
        <v/>
      </c>
      <c r="N2450" s="72" t="str">
        <f>TEXT(ASTemp!N2450,Percentages)</f>
        <v/>
      </c>
    </row>
    <row r="2451" ht="14.25" customHeight="1">
      <c r="B2451" s="66" t="str">
        <f>ASTemp!B2451</f>
        <v/>
      </c>
      <c r="C2451" s="67" t="str">
        <f>ASTemp!C2451</f>
        <v/>
      </c>
      <c r="D2451" s="68" t="str">
        <f>ASTemp!D2451</f>
        <v/>
      </c>
      <c r="E2451" s="65" t="str">
        <f>ASTemp!E2451</f>
        <v/>
      </c>
      <c r="F2451" s="69" t="str">
        <f>TEXT(ASTemp!F2451,Decimals)</f>
        <v/>
      </c>
      <c r="G2451" s="69" t="str">
        <f>TEXT(ASTemp!G2451,Decimals)</f>
        <v/>
      </c>
      <c r="H2451" s="69" t="str">
        <f>TEXT(ASTemp!H2451,Decimals)</f>
        <v/>
      </c>
      <c r="I2451" s="69" t="str">
        <f>TEXT(ASTemp!I2451,Decimals)</f>
        <v/>
      </c>
      <c r="J2451" s="69" t="str">
        <f>TEXT(ASTemp!J2451,Decimals)</f>
        <v/>
      </c>
      <c r="K2451" s="69" t="str">
        <f>TEXT(ASTemp!K2451,Decimals)</f>
        <v/>
      </c>
      <c r="L2451" s="69" t="str">
        <f>TEXT(ASTemp!L2451,Decimals)</f>
        <v/>
      </c>
      <c r="M2451" s="71" t="str">
        <f>TEXT(ASTemp!M2451,Percentages)</f>
        <v/>
      </c>
      <c r="N2451" s="72" t="str">
        <f>TEXT(ASTemp!N2451,Percentages)</f>
        <v/>
      </c>
    </row>
    <row r="2452" ht="14.25" customHeight="1">
      <c r="B2452" s="66" t="str">
        <f>ASTemp!B2452</f>
        <v/>
      </c>
      <c r="C2452" s="67" t="str">
        <f>ASTemp!C2452</f>
        <v/>
      </c>
      <c r="D2452" s="68" t="str">
        <f>ASTemp!D2452</f>
        <v/>
      </c>
      <c r="E2452" s="65" t="str">
        <f>ASTemp!E2452</f>
        <v/>
      </c>
      <c r="F2452" s="69" t="str">
        <f>TEXT(ASTemp!F2452,Decimals)</f>
        <v/>
      </c>
      <c r="G2452" s="69" t="str">
        <f>TEXT(ASTemp!G2452,Decimals)</f>
        <v/>
      </c>
      <c r="H2452" s="69" t="str">
        <f>TEXT(ASTemp!H2452,Decimals)</f>
        <v/>
      </c>
      <c r="I2452" s="69" t="str">
        <f>TEXT(ASTemp!I2452,Decimals)</f>
        <v/>
      </c>
      <c r="J2452" s="69" t="str">
        <f>TEXT(ASTemp!J2452,Decimals)</f>
        <v/>
      </c>
      <c r="K2452" s="69" t="str">
        <f>TEXT(ASTemp!K2452,Decimals)</f>
        <v/>
      </c>
      <c r="L2452" s="69" t="str">
        <f>TEXT(ASTemp!L2452,Decimals)</f>
        <v/>
      </c>
      <c r="M2452" s="71" t="str">
        <f>TEXT(ASTemp!M2452,Percentages)</f>
        <v/>
      </c>
      <c r="N2452" s="72" t="str">
        <f>TEXT(ASTemp!N2452,Percentages)</f>
        <v/>
      </c>
    </row>
    <row r="2453" ht="14.25" customHeight="1">
      <c r="B2453" s="66" t="str">
        <f>ASTemp!B2453</f>
        <v/>
      </c>
      <c r="C2453" s="67" t="str">
        <f>ASTemp!C2453</f>
        <v/>
      </c>
      <c r="D2453" s="68" t="str">
        <f>ASTemp!D2453</f>
        <v/>
      </c>
      <c r="E2453" s="65" t="str">
        <f>ASTemp!E2453</f>
        <v/>
      </c>
      <c r="F2453" s="69" t="str">
        <f>TEXT(ASTemp!F2453,Decimals)</f>
        <v/>
      </c>
      <c r="G2453" s="69" t="str">
        <f>TEXT(ASTemp!G2453,Decimals)</f>
        <v/>
      </c>
      <c r="H2453" s="69" t="str">
        <f>TEXT(ASTemp!H2453,Decimals)</f>
        <v/>
      </c>
      <c r="I2453" s="69" t="str">
        <f>TEXT(ASTemp!I2453,Decimals)</f>
        <v/>
      </c>
      <c r="J2453" s="69" t="str">
        <f>TEXT(ASTemp!J2453,Decimals)</f>
        <v/>
      </c>
      <c r="K2453" s="69" t="str">
        <f>TEXT(ASTemp!K2453,Decimals)</f>
        <v/>
      </c>
      <c r="L2453" s="69" t="str">
        <f>TEXT(ASTemp!L2453,Decimals)</f>
        <v/>
      </c>
      <c r="M2453" s="71" t="str">
        <f>TEXT(ASTemp!M2453,Percentages)</f>
        <v/>
      </c>
      <c r="N2453" s="72" t="str">
        <f>TEXT(ASTemp!N2453,Percentages)</f>
        <v/>
      </c>
    </row>
    <row r="2454" ht="14.25" customHeight="1">
      <c r="B2454" s="66" t="str">
        <f>ASTemp!B2454</f>
        <v/>
      </c>
      <c r="C2454" s="67" t="str">
        <f>ASTemp!C2454</f>
        <v/>
      </c>
      <c r="D2454" s="68" t="str">
        <f>ASTemp!D2454</f>
        <v/>
      </c>
      <c r="E2454" s="65" t="str">
        <f>ASTemp!E2454</f>
        <v/>
      </c>
      <c r="F2454" s="69" t="str">
        <f>TEXT(ASTemp!F2454,Decimals)</f>
        <v/>
      </c>
      <c r="G2454" s="69" t="str">
        <f>TEXT(ASTemp!G2454,Decimals)</f>
        <v/>
      </c>
      <c r="H2454" s="69" t="str">
        <f>TEXT(ASTemp!H2454,Decimals)</f>
        <v/>
      </c>
      <c r="I2454" s="69" t="str">
        <f>TEXT(ASTemp!I2454,Decimals)</f>
        <v/>
      </c>
      <c r="J2454" s="69" t="str">
        <f>TEXT(ASTemp!J2454,Decimals)</f>
        <v/>
      </c>
      <c r="K2454" s="69" t="str">
        <f>TEXT(ASTemp!K2454,Decimals)</f>
        <v/>
      </c>
      <c r="L2454" s="69" t="str">
        <f>TEXT(ASTemp!L2454,Decimals)</f>
        <v/>
      </c>
      <c r="M2454" s="71" t="str">
        <f>TEXT(ASTemp!M2454,Percentages)</f>
        <v/>
      </c>
      <c r="N2454" s="72" t="str">
        <f>TEXT(ASTemp!N2454,Percentages)</f>
        <v/>
      </c>
    </row>
    <row r="2455" ht="14.25" customHeight="1">
      <c r="B2455" s="66" t="str">
        <f>ASTemp!B2455</f>
        <v/>
      </c>
      <c r="C2455" s="67" t="str">
        <f>ASTemp!C2455</f>
        <v/>
      </c>
      <c r="D2455" s="68" t="str">
        <f>ASTemp!D2455</f>
        <v/>
      </c>
      <c r="E2455" s="65" t="str">
        <f>ASTemp!E2455</f>
        <v/>
      </c>
      <c r="F2455" s="69" t="str">
        <f>TEXT(ASTemp!F2455,Decimals)</f>
        <v/>
      </c>
      <c r="G2455" s="69" t="str">
        <f>TEXT(ASTemp!G2455,Decimals)</f>
        <v/>
      </c>
      <c r="H2455" s="69" t="str">
        <f>TEXT(ASTemp!H2455,Decimals)</f>
        <v/>
      </c>
      <c r="I2455" s="69" t="str">
        <f>TEXT(ASTemp!I2455,Decimals)</f>
        <v/>
      </c>
      <c r="J2455" s="69" t="str">
        <f>TEXT(ASTemp!J2455,Decimals)</f>
        <v/>
      </c>
      <c r="K2455" s="69" t="str">
        <f>TEXT(ASTemp!K2455,Decimals)</f>
        <v/>
      </c>
      <c r="L2455" s="69" t="str">
        <f>TEXT(ASTemp!L2455,Decimals)</f>
        <v/>
      </c>
      <c r="M2455" s="71" t="str">
        <f>TEXT(ASTemp!M2455,Percentages)</f>
        <v/>
      </c>
      <c r="N2455" s="72" t="str">
        <f>TEXT(ASTemp!N2455,Percentages)</f>
        <v/>
      </c>
    </row>
    <row r="2456" ht="14.25" customHeight="1">
      <c r="B2456" s="66" t="str">
        <f>ASTemp!B2456</f>
        <v/>
      </c>
      <c r="C2456" s="67" t="str">
        <f>ASTemp!C2456</f>
        <v/>
      </c>
      <c r="D2456" s="68" t="str">
        <f>ASTemp!D2456</f>
        <v/>
      </c>
      <c r="E2456" s="65" t="str">
        <f>ASTemp!E2456</f>
        <v/>
      </c>
      <c r="F2456" s="69" t="str">
        <f>TEXT(ASTemp!F2456,Decimals)</f>
        <v/>
      </c>
      <c r="G2456" s="69" t="str">
        <f>TEXT(ASTemp!G2456,Decimals)</f>
        <v/>
      </c>
      <c r="H2456" s="69" t="str">
        <f>TEXT(ASTemp!H2456,Decimals)</f>
        <v/>
      </c>
      <c r="I2456" s="69" t="str">
        <f>TEXT(ASTemp!I2456,Decimals)</f>
        <v/>
      </c>
      <c r="J2456" s="69" t="str">
        <f>TEXT(ASTemp!J2456,Decimals)</f>
        <v/>
      </c>
      <c r="K2456" s="69" t="str">
        <f>TEXT(ASTemp!K2456,Decimals)</f>
        <v/>
      </c>
      <c r="L2456" s="69" t="str">
        <f>TEXT(ASTemp!L2456,Decimals)</f>
        <v/>
      </c>
      <c r="M2456" s="71" t="str">
        <f>TEXT(ASTemp!M2456,Percentages)</f>
        <v/>
      </c>
      <c r="N2456" s="72" t="str">
        <f>TEXT(ASTemp!N2456,Percentages)</f>
        <v/>
      </c>
    </row>
    <row r="2457" ht="14.25" customHeight="1">
      <c r="B2457" s="66" t="str">
        <f>ASTemp!B2457</f>
        <v/>
      </c>
      <c r="C2457" s="67" t="str">
        <f>ASTemp!C2457</f>
        <v/>
      </c>
      <c r="D2457" s="68" t="str">
        <f>ASTemp!D2457</f>
        <v/>
      </c>
      <c r="E2457" s="65" t="str">
        <f>ASTemp!E2457</f>
        <v/>
      </c>
      <c r="F2457" s="69" t="str">
        <f>TEXT(ASTemp!F2457,Decimals)</f>
        <v/>
      </c>
      <c r="G2457" s="69" t="str">
        <f>TEXT(ASTemp!G2457,Decimals)</f>
        <v/>
      </c>
      <c r="H2457" s="69" t="str">
        <f>TEXT(ASTemp!H2457,Decimals)</f>
        <v/>
      </c>
      <c r="I2457" s="69" t="str">
        <f>TEXT(ASTemp!I2457,Decimals)</f>
        <v/>
      </c>
      <c r="J2457" s="69" t="str">
        <f>TEXT(ASTemp!J2457,Decimals)</f>
        <v/>
      </c>
      <c r="K2457" s="69" t="str">
        <f>TEXT(ASTemp!K2457,Decimals)</f>
        <v/>
      </c>
      <c r="L2457" s="69" t="str">
        <f>TEXT(ASTemp!L2457,Decimals)</f>
        <v/>
      </c>
      <c r="M2457" s="71" t="str">
        <f>TEXT(ASTemp!M2457,Percentages)</f>
        <v/>
      </c>
      <c r="N2457" s="72" t="str">
        <f>TEXT(ASTemp!N2457,Percentages)</f>
        <v/>
      </c>
    </row>
    <row r="2458" ht="14.25" customHeight="1">
      <c r="B2458" s="66" t="str">
        <f>ASTemp!B2458</f>
        <v/>
      </c>
      <c r="C2458" s="67" t="str">
        <f>ASTemp!C2458</f>
        <v/>
      </c>
      <c r="D2458" s="68" t="str">
        <f>ASTemp!D2458</f>
        <v/>
      </c>
      <c r="E2458" s="65" t="str">
        <f>ASTemp!E2458</f>
        <v/>
      </c>
      <c r="F2458" s="69" t="str">
        <f>TEXT(ASTemp!F2458,Decimals)</f>
        <v/>
      </c>
      <c r="G2458" s="69" t="str">
        <f>TEXT(ASTemp!G2458,Decimals)</f>
        <v/>
      </c>
      <c r="H2458" s="69" t="str">
        <f>TEXT(ASTemp!H2458,Decimals)</f>
        <v/>
      </c>
      <c r="I2458" s="69" t="str">
        <f>TEXT(ASTemp!I2458,Decimals)</f>
        <v/>
      </c>
      <c r="J2458" s="69" t="str">
        <f>TEXT(ASTemp!J2458,Decimals)</f>
        <v/>
      </c>
      <c r="K2458" s="69" t="str">
        <f>TEXT(ASTemp!K2458,Decimals)</f>
        <v/>
      </c>
      <c r="L2458" s="69" t="str">
        <f>TEXT(ASTemp!L2458,Decimals)</f>
        <v/>
      </c>
      <c r="M2458" s="71" t="str">
        <f>TEXT(ASTemp!M2458,Percentages)</f>
        <v/>
      </c>
      <c r="N2458" s="72" t="str">
        <f>TEXT(ASTemp!N2458,Percentages)</f>
        <v/>
      </c>
    </row>
    <row r="2459" ht="14.25" customHeight="1">
      <c r="B2459" s="66" t="str">
        <f>ASTemp!B2459</f>
        <v/>
      </c>
      <c r="C2459" s="67" t="str">
        <f>ASTemp!C2459</f>
        <v/>
      </c>
      <c r="D2459" s="68" t="str">
        <f>ASTemp!D2459</f>
        <v/>
      </c>
      <c r="E2459" s="65" t="str">
        <f>ASTemp!E2459</f>
        <v/>
      </c>
      <c r="F2459" s="69" t="str">
        <f>TEXT(ASTemp!F2459,Decimals)</f>
        <v/>
      </c>
      <c r="G2459" s="69" t="str">
        <f>TEXT(ASTemp!G2459,Decimals)</f>
        <v/>
      </c>
      <c r="H2459" s="69" t="str">
        <f>TEXT(ASTemp!H2459,Decimals)</f>
        <v/>
      </c>
      <c r="I2459" s="69" t="str">
        <f>TEXT(ASTemp!I2459,Decimals)</f>
        <v/>
      </c>
      <c r="J2459" s="69" t="str">
        <f>TEXT(ASTemp!J2459,Decimals)</f>
        <v/>
      </c>
      <c r="K2459" s="69" t="str">
        <f>TEXT(ASTemp!K2459,Decimals)</f>
        <v/>
      </c>
      <c r="L2459" s="69" t="str">
        <f>TEXT(ASTemp!L2459,Decimals)</f>
        <v/>
      </c>
      <c r="M2459" s="71" t="str">
        <f>TEXT(ASTemp!M2459,Percentages)</f>
        <v/>
      </c>
      <c r="N2459" s="72" t="str">
        <f>TEXT(ASTemp!N2459,Percentages)</f>
        <v/>
      </c>
    </row>
    <row r="2460" ht="14.25" customHeight="1">
      <c r="B2460" s="66" t="str">
        <f>ASTemp!B2460</f>
        <v/>
      </c>
      <c r="C2460" s="67" t="str">
        <f>ASTemp!C2460</f>
        <v/>
      </c>
      <c r="D2460" s="68" t="str">
        <f>ASTemp!D2460</f>
        <v/>
      </c>
      <c r="E2460" s="65" t="str">
        <f>ASTemp!E2460</f>
        <v/>
      </c>
      <c r="F2460" s="69" t="str">
        <f>TEXT(ASTemp!F2460,Decimals)</f>
        <v/>
      </c>
      <c r="G2460" s="69" t="str">
        <f>TEXT(ASTemp!G2460,Decimals)</f>
        <v/>
      </c>
      <c r="H2460" s="69" t="str">
        <f>TEXT(ASTemp!H2460,Decimals)</f>
        <v/>
      </c>
      <c r="I2460" s="69" t="str">
        <f>TEXT(ASTemp!I2460,Decimals)</f>
        <v/>
      </c>
      <c r="J2460" s="69" t="str">
        <f>TEXT(ASTemp!J2460,Decimals)</f>
        <v/>
      </c>
      <c r="K2460" s="69" t="str">
        <f>TEXT(ASTemp!K2460,Decimals)</f>
        <v/>
      </c>
      <c r="L2460" s="69" t="str">
        <f>TEXT(ASTemp!L2460,Decimals)</f>
        <v/>
      </c>
      <c r="M2460" s="71" t="str">
        <f>TEXT(ASTemp!M2460,Percentages)</f>
        <v/>
      </c>
      <c r="N2460" s="72" t="str">
        <f>TEXT(ASTemp!N2460,Percentages)</f>
        <v/>
      </c>
    </row>
    <row r="2461" ht="14.25" customHeight="1">
      <c r="B2461" s="66" t="str">
        <f>ASTemp!B2461</f>
        <v/>
      </c>
      <c r="C2461" s="67" t="str">
        <f>ASTemp!C2461</f>
        <v/>
      </c>
      <c r="D2461" s="68" t="str">
        <f>ASTemp!D2461</f>
        <v/>
      </c>
      <c r="E2461" s="65" t="str">
        <f>ASTemp!E2461</f>
        <v/>
      </c>
      <c r="F2461" s="69" t="str">
        <f>TEXT(ASTemp!F2461,Decimals)</f>
        <v/>
      </c>
      <c r="G2461" s="69" t="str">
        <f>TEXT(ASTemp!G2461,Decimals)</f>
        <v/>
      </c>
      <c r="H2461" s="69" t="str">
        <f>TEXT(ASTemp!H2461,Decimals)</f>
        <v/>
      </c>
      <c r="I2461" s="69" t="str">
        <f>TEXT(ASTemp!I2461,Decimals)</f>
        <v/>
      </c>
      <c r="J2461" s="69" t="str">
        <f>TEXT(ASTemp!J2461,Decimals)</f>
        <v/>
      </c>
      <c r="K2461" s="69" t="str">
        <f>TEXT(ASTemp!K2461,Decimals)</f>
        <v/>
      </c>
      <c r="L2461" s="69" t="str">
        <f>TEXT(ASTemp!L2461,Decimals)</f>
        <v/>
      </c>
      <c r="M2461" s="71" t="str">
        <f>TEXT(ASTemp!M2461,Percentages)</f>
        <v/>
      </c>
      <c r="N2461" s="72" t="str">
        <f>TEXT(ASTemp!N2461,Percentages)</f>
        <v/>
      </c>
    </row>
    <row r="2462" ht="14.25" customHeight="1">
      <c r="B2462" s="66" t="str">
        <f>ASTemp!B2462</f>
        <v/>
      </c>
      <c r="C2462" s="67" t="str">
        <f>ASTemp!C2462</f>
        <v/>
      </c>
      <c r="D2462" s="68" t="str">
        <f>ASTemp!D2462</f>
        <v/>
      </c>
      <c r="E2462" s="65" t="str">
        <f>ASTemp!E2462</f>
        <v/>
      </c>
      <c r="F2462" s="69" t="str">
        <f>TEXT(ASTemp!F2462,Decimals)</f>
        <v/>
      </c>
      <c r="G2462" s="69" t="str">
        <f>TEXT(ASTemp!G2462,Decimals)</f>
        <v/>
      </c>
      <c r="H2462" s="69" t="str">
        <f>TEXT(ASTemp!H2462,Decimals)</f>
        <v/>
      </c>
      <c r="I2462" s="69" t="str">
        <f>TEXT(ASTemp!I2462,Decimals)</f>
        <v/>
      </c>
      <c r="J2462" s="69" t="str">
        <f>TEXT(ASTemp!J2462,Decimals)</f>
        <v/>
      </c>
      <c r="K2462" s="69" t="str">
        <f>TEXT(ASTemp!K2462,Decimals)</f>
        <v/>
      </c>
      <c r="L2462" s="69" t="str">
        <f>TEXT(ASTemp!L2462,Decimals)</f>
        <v/>
      </c>
      <c r="M2462" s="71" t="str">
        <f>TEXT(ASTemp!M2462,Percentages)</f>
        <v/>
      </c>
      <c r="N2462" s="72" t="str">
        <f>TEXT(ASTemp!N2462,Percentages)</f>
        <v/>
      </c>
    </row>
    <row r="2463" ht="14.25" customHeight="1">
      <c r="B2463" s="66" t="str">
        <f>ASTemp!B2463</f>
        <v/>
      </c>
      <c r="C2463" s="67" t="str">
        <f>ASTemp!C2463</f>
        <v/>
      </c>
      <c r="D2463" s="68" t="str">
        <f>ASTemp!D2463</f>
        <v/>
      </c>
      <c r="E2463" s="65" t="str">
        <f>ASTemp!E2463</f>
        <v/>
      </c>
      <c r="F2463" s="69" t="str">
        <f>TEXT(ASTemp!F2463,Decimals)</f>
        <v/>
      </c>
      <c r="G2463" s="69" t="str">
        <f>TEXT(ASTemp!G2463,Decimals)</f>
        <v/>
      </c>
      <c r="H2463" s="69" t="str">
        <f>TEXT(ASTemp!H2463,Decimals)</f>
        <v/>
      </c>
      <c r="I2463" s="69" t="str">
        <f>TEXT(ASTemp!I2463,Decimals)</f>
        <v/>
      </c>
      <c r="J2463" s="69" t="str">
        <f>TEXT(ASTemp!J2463,Decimals)</f>
        <v/>
      </c>
      <c r="K2463" s="69" t="str">
        <f>TEXT(ASTemp!K2463,Decimals)</f>
        <v/>
      </c>
      <c r="L2463" s="69" t="str">
        <f>TEXT(ASTemp!L2463,Decimals)</f>
        <v/>
      </c>
      <c r="M2463" s="71" t="str">
        <f>TEXT(ASTemp!M2463,Percentages)</f>
        <v/>
      </c>
      <c r="N2463" s="72" t="str">
        <f>TEXT(ASTemp!N2463,Percentages)</f>
        <v/>
      </c>
    </row>
    <row r="2464" ht="14.25" customHeight="1">
      <c r="B2464" s="66" t="str">
        <f>ASTemp!B2464</f>
        <v/>
      </c>
      <c r="C2464" s="67" t="str">
        <f>ASTemp!C2464</f>
        <v/>
      </c>
      <c r="D2464" s="68" t="str">
        <f>ASTemp!D2464</f>
        <v/>
      </c>
      <c r="E2464" s="65" t="str">
        <f>ASTemp!E2464</f>
        <v/>
      </c>
      <c r="F2464" s="69" t="str">
        <f>TEXT(ASTemp!F2464,Decimals)</f>
        <v/>
      </c>
      <c r="G2464" s="69" t="str">
        <f>TEXT(ASTemp!G2464,Decimals)</f>
        <v/>
      </c>
      <c r="H2464" s="69" t="str">
        <f>TEXT(ASTemp!H2464,Decimals)</f>
        <v/>
      </c>
      <c r="I2464" s="69" t="str">
        <f>TEXT(ASTemp!I2464,Decimals)</f>
        <v/>
      </c>
      <c r="J2464" s="69" t="str">
        <f>TEXT(ASTemp!J2464,Decimals)</f>
        <v/>
      </c>
      <c r="K2464" s="69" t="str">
        <f>TEXT(ASTemp!K2464,Decimals)</f>
        <v/>
      </c>
      <c r="L2464" s="69" t="str">
        <f>TEXT(ASTemp!L2464,Decimals)</f>
        <v/>
      </c>
      <c r="M2464" s="71" t="str">
        <f>TEXT(ASTemp!M2464,Percentages)</f>
        <v/>
      </c>
      <c r="N2464" s="72" t="str">
        <f>TEXT(ASTemp!N2464,Percentages)</f>
        <v/>
      </c>
    </row>
    <row r="2465" ht="14.25" customHeight="1">
      <c r="B2465" s="66" t="str">
        <f>ASTemp!B2465</f>
        <v/>
      </c>
      <c r="C2465" s="67" t="str">
        <f>ASTemp!C2465</f>
        <v/>
      </c>
      <c r="D2465" s="68" t="str">
        <f>ASTemp!D2465</f>
        <v/>
      </c>
      <c r="E2465" s="65" t="str">
        <f>ASTemp!E2465</f>
        <v/>
      </c>
      <c r="F2465" s="69" t="str">
        <f>TEXT(ASTemp!F2465,Decimals)</f>
        <v/>
      </c>
      <c r="G2465" s="69" t="str">
        <f>TEXT(ASTemp!G2465,Decimals)</f>
        <v/>
      </c>
      <c r="H2465" s="69" t="str">
        <f>TEXT(ASTemp!H2465,Decimals)</f>
        <v/>
      </c>
      <c r="I2465" s="69" t="str">
        <f>TEXT(ASTemp!I2465,Decimals)</f>
        <v/>
      </c>
      <c r="J2465" s="69" t="str">
        <f>TEXT(ASTemp!J2465,Decimals)</f>
        <v/>
      </c>
      <c r="K2465" s="69" t="str">
        <f>TEXT(ASTemp!K2465,Decimals)</f>
        <v/>
      </c>
      <c r="L2465" s="69" t="str">
        <f>TEXT(ASTemp!L2465,Decimals)</f>
        <v/>
      </c>
      <c r="M2465" s="71" t="str">
        <f>TEXT(ASTemp!M2465,Percentages)</f>
        <v/>
      </c>
      <c r="N2465" s="72" t="str">
        <f>TEXT(ASTemp!N2465,Percentages)</f>
        <v/>
      </c>
    </row>
    <row r="2466" ht="14.25" customHeight="1">
      <c r="B2466" s="66" t="str">
        <f>ASTemp!B2466</f>
        <v/>
      </c>
      <c r="C2466" s="67" t="str">
        <f>ASTemp!C2466</f>
        <v/>
      </c>
      <c r="D2466" s="68" t="str">
        <f>ASTemp!D2466</f>
        <v/>
      </c>
      <c r="E2466" s="65" t="str">
        <f>ASTemp!E2466</f>
        <v/>
      </c>
      <c r="F2466" s="69" t="str">
        <f>TEXT(ASTemp!F2466,Decimals)</f>
        <v/>
      </c>
      <c r="G2466" s="69" t="str">
        <f>TEXT(ASTemp!G2466,Decimals)</f>
        <v/>
      </c>
      <c r="H2466" s="69" t="str">
        <f>TEXT(ASTemp!H2466,Decimals)</f>
        <v/>
      </c>
      <c r="I2466" s="69" t="str">
        <f>TEXT(ASTemp!I2466,Decimals)</f>
        <v/>
      </c>
      <c r="J2466" s="69" t="str">
        <f>TEXT(ASTemp!J2466,Decimals)</f>
        <v/>
      </c>
      <c r="K2466" s="69" t="str">
        <f>TEXT(ASTemp!K2466,Decimals)</f>
        <v/>
      </c>
      <c r="L2466" s="69" t="str">
        <f>TEXT(ASTemp!L2466,Decimals)</f>
        <v/>
      </c>
      <c r="M2466" s="71" t="str">
        <f>TEXT(ASTemp!M2466,Percentages)</f>
        <v/>
      </c>
      <c r="N2466" s="72" t="str">
        <f>TEXT(ASTemp!N2466,Percentages)</f>
        <v/>
      </c>
    </row>
    <row r="2467" ht="14.25" customHeight="1">
      <c r="B2467" s="66" t="str">
        <f>ASTemp!B2467</f>
        <v/>
      </c>
      <c r="C2467" s="67" t="str">
        <f>ASTemp!C2467</f>
        <v/>
      </c>
      <c r="D2467" s="68" t="str">
        <f>ASTemp!D2467</f>
        <v/>
      </c>
      <c r="E2467" s="65" t="str">
        <f>ASTemp!E2467</f>
        <v/>
      </c>
      <c r="F2467" s="69" t="str">
        <f>TEXT(ASTemp!F2467,Decimals)</f>
        <v/>
      </c>
      <c r="G2467" s="69" t="str">
        <f>TEXT(ASTemp!G2467,Decimals)</f>
        <v/>
      </c>
      <c r="H2467" s="69" t="str">
        <f>TEXT(ASTemp!H2467,Decimals)</f>
        <v/>
      </c>
      <c r="I2467" s="69" t="str">
        <f>TEXT(ASTemp!I2467,Decimals)</f>
        <v/>
      </c>
      <c r="J2467" s="69" t="str">
        <f>TEXT(ASTemp!J2467,Decimals)</f>
        <v/>
      </c>
      <c r="K2467" s="69" t="str">
        <f>TEXT(ASTemp!K2467,Decimals)</f>
        <v/>
      </c>
      <c r="L2467" s="69" t="str">
        <f>TEXT(ASTemp!L2467,Decimals)</f>
        <v/>
      </c>
      <c r="M2467" s="71" t="str">
        <f>TEXT(ASTemp!M2467,Percentages)</f>
        <v/>
      </c>
      <c r="N2467" s="72" t="str">
        <f>TEXT(ASTemp!N2467,Percentages)</f>
        <v/>
      </c>
    </row>
    <row r="2468" ht="14.25" customHeight="1">
      <c r="B2468" s="66" t="str">
        <f>ASTemp!B2468</f>
        <v/>
      </c>
      <c r="C2468" s="67" t="str">
        <f>ASTemp!C2468</f>
        <v/>
      </c>
      <c r="D2468" s="68" t="str">
        <f>ASTemp!D2468</f>
        <v/>
      </c>
      <c r="E2468" s="65" t="str">
        <f>ASTemp!E2468</f>
        <v/>
      </c>
      <c r="F2468" s="69" t="str">
        <f>TEXT(ASTemp!F2468,Decimals)</f>
        <v/>
      </c>
      <c r="G2468" s="69" t="str">
        <f>TEXT(ASTemp!G2468,Decimals)</f>
        <v/>
      </c>
      <c r="H2468" s="69" t="str">
        <f>TEXT(ASTemp!H2468,Decimals)</f>
        <v/>
      </c>
      <c r="I2468" s="69" t="str">
        <f>TEXT(ASTemp!I2468,Decimals)</f>
        <v/>
      </c>
      <c r="J2468" s="69" t="str">
        <f>TEXT(ASTemp!J2468,Decimals)</f>
        <v/>
      </c>
      <c r="K2468" s="69" t="str">
        <f>TEXT(ASTemp!K2468,Decimals)</f>
        <v/>
      </c>
      <c r="L2468" s="69" t="str">
        <f>TEXT(ASTemp!L2468,Decimals)</f>
        <v/>
      </c>
      <c r="M2468" s="71" t="str">
        <f>TEXT(ASTemp!M2468,Percentages)</f>
        <v/>
      </c>
      <c r="N2468" s="72" t="str">
        <f>TEXT(ASTemp!N2468,Percentages)</f>
        <v/>
      </c>
    </row>
    <row r="2469" ht="14.25" customHeight="1">
      <c r="B2469" s="66" t="str">
        <f>ASTemp!B2469</f>
        <v/>
      </c>
      <c r="C2469" s="67" t="str">
        <f>ASTemp!C2469</f>
        <v/>
      </c>
      <c r="D2469" s="68" t="str">
        <f>ASTemp!D2469</f>
        <v/>
      </c>
      <c r="E2469" s="65" t="str">
        <f>ASTemp!E2469</f>
        <v/>
      </c>
      <c r="F2469" s="69" t="str">
        <f>TEXT(ASTemp!F2469,Decimals)</f>
        <v/>
      </c>
      <c r="G2469" s="69" t="str">
        <f>TEXT(ASTemp!G2469,Decimals)</f>
        <v/>
      </c>
      <c r="H2469" s="69" t="str">
        <f>TEXT(ASTemp!H2469,Decimals)</f>
        <v/>
      </c>
      <c r="I2469" s="69" t="str">
        <f>TEXT(ASTemp!I2469,Decimals)</f>
        <v/>
      </c>
      <c r="J2469" s="69" t="str">
        <f>TEXT(ASTemp!J2469,Decimals)</f>
        <v/>
      </c>
      <c r="K2469" s="69" t="str">
        <f>TEXT(ASTemp!K2469,Decimals)</f>
        <v/>
      </c>
      <c r="L2469" s="69" t="str">
        <f>TEXT(ASTemp!L2469,Decimals)</f>
        <v/>
      </c>
      <c r="M2469" s="71" t="str">
        <f>TEXT(ASTemp!M2469,Percentages)</f>
        <v/>
      </c>
      <c r="N2469" s="72" t="str">
        <f>TEXT(ASTemp!N2469,Percentages)</f>
        <v/>
      </c>
    </row>
    <row r="2470" ht="14.25" customHeight="1">
      <c r="B2470" s="66" t="str">
        <f>ASTemp!B2470</f>
        <v/>
      </c>
      <c r="C2470" s="67" t="str">
        <f>ASTemp!C2470</f>
        <v/>
      </c>
      <c r="D2470" s="68" t="str">
        <f>ASTemp!D2470</f>
        <v/>
      </c>
      <c r="E2470" s="65" t="str">
        <f>ASTemp!E2470</f>
        <v/>
      </c>
      <c r="F2470" s="69" t="str">
        <f>TEXT(ASTemp!F2470,Decimals)</f>
        <v/>
      </c>
      <c r="G2470" s="69" t="str">
        <f>TEXT(ASTemp!G2470,Decimals)</f>
        <v/>
      </c>
      <c r="H2470" s="69" t="str">
        <f>TEXT(ASTemp!H2470,Decimals)</f>
        <v/>
      </c>
      <c r="I2470" s="69" t="str">
        <f>TEXT(ASTemp!I2470,Decimals)</f>
        <v/>
      </c>
      <c r="J2470" s="69" t="str">
        <f>TEXT(ASTemp!J2470,Decimals)</f>
        <v/>
      </c>
      <c r="K2470" s="69" t="str">
        <f>TEXT(ASTemp!K2470,Decimals)</f>
        <v/>
      </c>
      <c r="L2470" s="69" t="str">
        <f>TEXT(ASTemp!L2470,Decimals)</f>
        <v/>
      </c>
      <c r="M2470" s="71" t="str">
        <f>TEXT(ASTemp!M2470,Percentages)</f>
        <v/>
      </c>
      <c r="N2470" s="72" t="str">
        <f>TEXT(ASTemp!N2470,Percentages)</f>
        <v/>
      </c>
    </row>
    <row r="2471" ht="14.25" customHeight="1">
      <c r="B2471" s="66" t="str">
        <f>ASTemp!B2471</f>
        <v/>
      </c>
      <c r="C2471" s="67" t="str">
        <f>ASTemp!C2471</f>
        <v/>
      </c>
      <c r="D2471" s="68" t="str">
        <f>ASTemp!D2471</f>
        <v/>
      </c>
      <c r="E2471" s="65" t="str">
        <f>ASTemp!E2471</f>
        <v/>
      </c>
      <c r="F2471" s="69" t="str">
        <f>TEXT(ASTemp!F2471,Decimals)</f>
        <v/>
      </c>
      <c r="G2471" s="69" t="str">
        <f>TEXT(ASTemp!G2471,Decimals)</f>
        <v/>
      </c>
      <c r="H2471" s="69" t="str">
        <f>TEXT(ASTemp!H2471,Decimals)</f>
        <v/>
      </c>
      <c r="I2471" s="69" t="str">
        <f>TEXT(ASTemp!I2471,Decimals)</f>
        <v/>
      </c>
      <c r="J2471" s="69" t="str">
        <f>TEXT(ASTemp!J2471,Decimals)</f>
        <v/>
      </c>
      <c r="K2471" s="69" t="str">
        <f>TEXT(ASTemp!K2471,Decimals)</f>
        <v/>
      </c>
      <c r="L2471" s="69" t="str">
        <f>TEXT(ASTemp!L2471,Decimals)</f>
        <v/>
      </c>
      <c r="M2471" s="71" t="str">
        <f>TEXT(ASTemp!M2471,Percentages)</f>
        <v/>
      </c>
      <c r="N2471" s="72" t="str">
        <f>TEXT(ASTemp!N2471,Percentages)</f>
        <v/>
      </c>
    </row>
    <row r="2472" ht="14.25" customHeight="1">
      <c r="B2472" s="66" t="str">
        <f>ASTemp!B2472</f>
        <v/>
      </c>
      <c r="C2472" s="67" t="str">
        <f>ASTemp!C2472</f>
        <v/>
      </c>
      <c r="D2472" s="68" t="str">
        <f>ASTemp!D2472</f>
        <v/>
      </c>
      <c r="E2472" s="65" t="str">
        <f>ASTemp!E2472</f>
        <v/>
      </c>
      <c r="F2472" s="69" t="str">
        <f>TEXT(ASTemp!F2472,Decimals)</f>
        <v/>
      </c>
      <c r="G2472" s="69" t="str">
        <f>TEXT(ASTemp!G2472,Decimals)</f>
        <v/>
      </c>
      <c r="H2472" s="69" t="str">
        <f>TEXT(ASTemp!H2472,Decimals)</f>
        <v/>
      </c>
      <c r="I2472" s="69" t="str">
        <f>TEXT(ASTemp!I2472,Decimals)</f>
        <v/>
      </c>
      <c r="J2472" s="69" t="str">
        <f>TEXT(ASTemp!J2472,Decimals)</f>
        <v/>
      </c>
      <c r="K2472" s="69" t="str">
        <f>TEXT(ASTemp!K2472,Decimals)</f>
        <v/>
      </c>
      <c r="L2472" s="69" t="str">
        <f>TEXT(ASTemp!L2472,Decimals)</f>
        <v/>
      </c>
      <c r="M2472" s="71" t="str">
        <f>TEXT(ASTemp!M2472,Percentages)</f>
        <v/>
      </c>
      <c r="N2472" s="72" t="str">
        <f>TEXT(ASTemp!N2472,Percentages)</f>
        <v/>
      </c>
    </row>
    <row r="2473" ht="14.25" customHeight="1">
      <c r="B2473" s="66" t="str">
        <f>ASTemp!B2473</f>
        <v/>
      </c>
      <c r="C2473" s="67" t="str">
        <f>ASTemp!C2473</f>
        <v/>
      </c>
      <c r="D2473" s="68" t="str">
        <f>ASTemp!D2473</f>
        <v/>
      </c>
      <c r="E2473" s="65" t="str">
        <f>ASTemp!E2473</f>
        <v/>
      </c>
      <c r="F2473" s="69" t="str">
        <f>TEXT(ASTemp!F2473,Decimals)</f>
        <v/>
      </c>
      <c r="G2473" s="69" t="str">
        <f>TEXT(ASTemp!G2473,Decimals)</f>
        <v/>
      </c>
      <c r="H2473" s="69" t="str">
        <f>TEXT(ASTemp!H2473,Decimals)</f>
        <v/>
      </c>
      <c r="I2473" s="69" t="str">
        <f>TEXT(ASTemp!I2473,Decimals)</f>
        <v/>
      </c>
      <c r="J2473" s="69" t="str">
        <f>TEXT(ASTemp!J2473,Decimals)</f>
        <v/>
      </c>
      <c r="K2473" s="69" t="str">
        <f>TEXT(ASTemp!K2473,Decimals)</f>
        <v/>
      </c>
      <c r="L2473" s="69" t="str">
        <f>TEXT(ASTemp!L2473,Decimals)</f>
        <v/>
      </c>
      <c r="M2473" s="71" t="str">
        <f>TEXT(ASTemp!M2473,Percentages)</f>
        <v/>
      </c>
      <c r="N2473" s="72" t="str">
        <f>TEXT(ASTemp!N2473,Percentages)</f>
        <v/>
      </c>
    </row>
    <row r="2474" ht="14.25" customHeight="1">
      <c r="B2474" s="66" t="str">
        <f>ASTemp!B2474</f>
        <v/>
      </c>
      <c r="C2474" s="67" t="str">
        <f>ASTemp!C2474</f>
        <v/>
      </c>
      <c r="D2474" s="68" t="str">
        <f>ASTemp!D2474</f>
        <v/>
      </c>
      <c r="E2474" s="65" t="str">
        <f>ASTemp!E2474</f>
        <v/>
      </c>
      <c r="F2474" s="69" t="str">
        <f>TEXT(ASTemp!F2474,Decimals)</f>
        <v/>
      </c>
      <c r="G2474" s="69" t="str">
        <f>TEXT(ASTemp!G2474,Decimals)</f>
        <v/>
      </c>
      <c r="H2474" s="69" t="str">
        <f>TEXT(ASTemp!H2474,Decimals)</f>
        <v/>
      </c>
      <c r="I2474" s="69" t="str">
        <f>TEXT(ASTemp!I2474,Decimals)</f>
        <v/>
      </c>
      <c r="J2474" s="69" t="str">
        <f>TEXT(ASTemp!J2474,Decimals)</f>
        <v/>
      </c>
      <c r="K2474" s="69" t="str">
        <f>TEXT(ASTemp!K2474,Decimals)</f>
        <v/>
      </c>
      <c r="L2474" s="69" t="str">
        <f>TEXT(ASTemp!L2474,Decimals)</f>
        <v/>
      </c>
      <c r="M2474" s="71" t="str">
        <f>TEXT(ASTemp!M2474,Percentages)</f>
        <v/>
      </c>
      <c r="N2474" s="72" t="str">
        <f>TEXT(ASTemp!N2474,Percentages)</f>
        <v/>
      </c>
    </row>
    <row r="2475" ht="14.25" customHeight="1">
      <c r="B2475" s="66" t="str">
        <f>ASTemp!B2475</f>
        <v/>
      </c>
      <c r="C2475" s="67" t="str">
        <f>ASTemp!C2475</f>
        <v/>
      </c>
      <c r="D2475" s="68" t="str">
        <f>ASTemp!D2475</f>
        <v/>
      </c>
      <c r="E2475" s="65" t="str">
        <f>ASTemp!E2475</f>
        <v/>
      </c>
      <c r="F2475" s="69" t="str">
        <f>TEXT(ASTemp!F2475,Decimals)</f>
        <v/>
      </c>
      <c r="G2475" s="69" t="str">
        <f>TEXT(ASTemp!G2475,Decimals)</f>
        <v/>
      </c>
      <c r="H2475" s="69" t="str">
        <f>TEXT(ASTemp!H2475,Decimals)</f>
        <v/>
      </c>
      <c r="I2475" s="69" t="str">
        <f>TEXT(ASTemp!I2475,Decimals)</f>
        <v/>
      </c>
      <c r="J2475" s="69" t="str">
        <f>TEXT(ASTemp!J2475,Decimals)</f>
        <v/>
      </c>
      <c r="K2475" s="69" t="str">
        <f>TEXT(ASTemp!K2475,Decimals)</f>
        <v/>
      </c>
      <c r="L2475" s="69" t="str">
        <f>TEXT(ASTemp!L2475,Decimals)</f>
        <v/>
      </c>
      <c r="M2475" s="71" t="str">
        <f>TEXT(ASTemp!M2475,Percentages)</f>
        <v/>
      </c>
      <c r="N2475" s="72" t="str">
        <f>TEXT(ASTemp!N2475,Percentages)</f>
        <v/>
      </c>
    </row>
    <row r="2476" ht="14.25" customHeight="1">
      <c r="B2476" s="66" t="str">
        <f>ASTemp!B2476</f>
        <v/>
      </c>
      <c r="C2476" s="67" t="str">
        <f>ASTemp!C2476</f>
        <v/>
      </c>
      <c r="D2476" s="68" t="str">
        <f>ASTemp!D2476</f>
        <v/>
      </c>
      <c r="E2476" s="65" t="str">
        <f>ASTemp!E2476</f>
        <v/>
      </c>
      <c r="F2476" s="69" t="str">
        <f>TEXT(ASTemp!F2476,Decimals)</f>
        <v/>
      </c>
      <c r="G2476" s="69" t="str">
        <f>TEXT(ASTemp!G2476,Decimals)</f>
        <v/>
      </c>
      <c r="H2476" s="69" t="str">
        <f>TEXT(ASTemp!H2476,Decimals)</f>
        <v/>
      </c>
      <c r="I2476" s="69" t="str">
        <f>TEXT(ASTemp!I2476,Decimals)</f>
        <v/>
      </c>
      <c r="J2476" s="69" t="str">
        <f>TEXT(ASTemp!J2476,Decimals)</f>
        <v/>
      </c>
      <c r="K2476" s="69" t="str">
        <f>TEXT(ASTemp!K2476,Decimals)</f>
        <v/>
      </c>
      <c r="L2476" s="69" t="str">
        <f>TEXT(ASTemp!L2476,Decimals)</f>
        <v/>
      </c>
      <c r="M2476" s="71" t="str">
        <f>TEXT(ASTemp!M2476,Percentages)</f>
        <v/>
      </c>
      <c r="N2476" s="72" t="str">
        <f>TEXT(ASTemp!N2476,Percentages)</f>
        <v/>
      </c>
    </row>
    <row r="2477" ht="14.25" customHeight="1">
      <c r="B2477" s="66" t="str">
        <f>ASTemp!B2477</f>
        <v/>
      </c>
      <c r="C2477" s="67" t="str">
        <f>ASTemp!C2477</f>
        <v/>
      </c>
      <c r="D2477" s="68" t="str">
        <f>ASTemp!D2477</f>
        <v/>
      </c>
      <c r="E2477" s="65" t="str">
        <f>ASTemp!E2477</f>
        <v/>
      </c>
      <c r="F2477" s="69" t="str">
        <f>TEXT(ASTemp!F2477,Decimals)</f>
        <v/>
      </c>
      <c r="G2477" s="69" t="str">
        <f>TEXT(ASTemp!G2477,Decimals)</f>
        <v/>
      </c>
      <c r="H2477" s="69" t="str">
        <f>TEXT(ASTemp!H2477,Decimals)</f>
        <v/>
      </c>
      <c r="I2477" s="69" t="str">
        <f>TEXT(ASTemp!I2477,Decimals)</f>
        <v/>
      </c>
      <c r="J2477" s="69" t="str">
        <f>TEXT(ASTemp!J2477,Decimals)</f>
        <v/>
      </c>
      <c r="K2477" s="69" t="str">
        <f>TEXT(ASTemp!K2477,Decimals)</f>
        <v/>
      </c>
      <c r="L2477" s="69" t="str">
        <f>TEXT(ASTemp!L2477,Decimals)</f>
        <v/>
      </c>
      <c r="M2477" s="71" t="str">
        <f>TEXT(ASTemp!M2477,Percentages)</f>
        <v/>
      </c>
      <c r="N2477" s="72" t="str">
        <f>TEXT(ASTemp!N2477,Percentages)</f>
        <v/>
      </c>
    </row>
    <row r="2478" ht="14.25" customHeight="1">
      <c r="B2478" s="66" t="str">
        <f>ASTemp!B2478</f>
        <v/>
      </c>
      <c r="C2478" s="67" t="str">
        <f>ASTemp!C2478</f>
        <v/>
      </c>
      <c r="D2478" s="68" t="str">
        <f>ASTemp!D2478</f>
        <v/>
      </c>
      <c r="E2478" s="65" t="str">
        <f>ASTemp!E2478</f>
        <v/>
      </c>
      <c r="F2478" s="69" t="str">
        <f>TEXT(ASTemp!F2478,Decimals)</f>
        <v/>
      </c>
      <c r="G2478" s="69" t="str">
        <f>TEXT(ASTemp!G2478,Decimals)</f>
        <v/>
      </c>
      <c r="H2478" s="69" t="str">
        <f>TEXT(ASTemp!H2478,Decimals)</f>
        <v/>
      </c>
      <c r="I2478" s="69" t="str">
        <f>TEXT(ASTemp!I2478,Decimals)</f>
        <v/>
      </c>
      <c r="J2478" s="69" t="str">
        <f>TEXT(ASTemp!J2478,Decimals)</f>
        <v/>
      </c>
      <c r="K2478" s="69" t="str">
        <f>TEXT(ASTemp!K2478,Decimals)</f>
        <v/>
      </c>
      <c r="L2478" s="69" t="str">
        <f>TEXT(ASTemp!L2478,Decimals)</f>
        <v/>
      </c>
      <c r="M2478" s="71" t="str">
        <f>TEXT(ASTemp!M2478,Percentages)</f>
        <v/>
      </c>
      <c r="N2478" s="72" t="str">
        <f>TEXT(ASTemp!N2478,Percentages)</f>
        <v/>
      </c>
    </row>
    <row r="2479" ht="14.25" customHeight="1">
      <c r="B2479" s="66" t="str">
        <f>ASTemp!B2479</f>
        <v/>
      </c>
      <c r="C2479" s="67" t="str">
        <f>ASTemp!C2479</f>
        <v/>
      </c>
      <c r="D2479" s="68" t="str">
        <f>ASTemp!D2479</f>
        <v/>
      </c>
      <c r="E2479" s="65" t="str">
        <f>ASTemp!E2479</f>
        <v/>
      </c>
      <c r="F2479" s="69" t="str">
        <f>TEXT(ASTemp!F2479,Decimals)</f>
        <v/>
      </c>
      <c r="G2479" s="69" t="str">
        <f>TEXT(ASTemp!G2479,Decimals)</f>
        <v/>
      </c>
      <c r="H2479" s="69" t="str">
        <f>TEXT(ASTemp!H2479,Decimals)</f>
        <v/>
      </c>
      <c r="I2479" s="69" t="str">
        <f>TEXT(ASTemp!I2479,Decimals)</f>
        <v/>
      </c>
      <c r="J2479" s="69" t="str">
        <f>TEXT(ASTemp!J2479,Decimals)</f>
        <v/>
      </c>
      <c r="K2479" s="69" t="str">
        <f>TEXT(ASTemp!K2479,Decimals)</f>
        <v/>
      </c>
      <c r="L2479" s="69" t="str">
        <f>TEXT(ASTemp!L2479,Decimals)</f>
        <v/>
      </c>
      <c r="M2479" s="71" t="str">
        <f>TEXT(ASTemp!M2479,Percentages)</f>
        <v/>
      </c>
      <c r="N2479" s="72" t="str">
        <f>TEXT(ASTemp!N2479,Percentages)</f>
        <v/>
      </c>
    </row>
    <row r="2480" ht="14.25" customHeight="1">
      <c r="B2480" s="66" t="str">
        <f>ASTemp!B2480</f>
        <v/>
      </c>
      <c r="C2480" s="67" t="str">
        <f>ASTemp!C2480</f>
        <v/>
      </c>
      <c r="D2480" s="68" t="str">
        <f>ASTemp!D2480</f>
        <v/>
      </c>
      <c r="E2480" s="65" t="str">
        <f>ASTemp!E2480</f>
        <v/>
      </c>
      <c r="F2480" s="69" t="str">
        <f>TEXT(ASTemp!F2480,Decimals)</f>
        <v/>
      </c>
      <c r="G2480" s="69" t="str">
        <f>TEXT(ASTemp!G2480,Decimals)</f>
        <v/>
      </c>
      <c r="H2480" s="69" t="str">
        <f>TEXT(ASTemp!H2480,Decimals)</f>
        <v/>
      </c>
      <c r="I2480" s="69" t="str">
        <f>TEXT(ASTemp!I2480,Decimals)</f>
        <v/>
      </c>
      <c r="J2480" s="69" t="str">
        <f>TEXT(ASTemp!J2480,Decimals)</f>
        <v/>
      </c>
      <c r="K2480" s="69" t="str">
        <f>TEXT(ASTemp!K2480,Decimals)</f>
        <v/>
      </c>
      <c r="L2480" s="69" t="str">
        <f>TEXT(ASTemp!L2480,Decimals)</f>
        <v/>
      </c>
      <c r="M2480" s="71" t="str">
        <f>TEXT(ASTemp!M2480,Percentages)</f>
        <v/>
      </c>
      <c r="N2480" s="72" t="str">
        <f>TEXT(ASTemp!N2480,Percentages)</f>
        <v/>
      </c>
    </row>
    <row r="2481" ht="14.25" customHeight="1">
      <c r="B2481" s="66" t="str">
        <f>ASTemp!B2481</f>
        <v/>
      </c>
      <c r="C2481" s="67" t="str">
        <f>ASTemp!C2481</f>
        <v/>
      </c>
      <c r="D2481" s="68" t="str">
        <f>ASTemp!D2481</f>
        <v/>
      </c>
      <c r="E2481" s="65" t="str">
        <f>ASTemp!E2481</f>
        <v/>
      </c>
      <c r="F2481" s="69" t="str">
        <f>TEXT(ASTemp!F2481,Decimals)</f>
        <v/>
      </c>
      <c r="G2481" s="69" t="str">
        <f>TEXT(ASTemp!G2481,Decimals)</f>
        <v/>
      </c>
      <c r="H2481" s="69" t="str">
        <f>TEXT(ASTemp!H2481,Decimals)</f>
        <v/>
      </c>
      <c r="I2481" s="69" t="str">
        <f>TEXT(ASTemp!I2481,Decimals)</f>
        <v/>
      </c>
      <c r="J2481" s="69" t="str">
        <f>TEXT(ASTemp!J2481,Decimals)</f>
        <v/>
      </c>
      <c r="K2481" s="69" t="str">
        <f>TEXT(ASTemp!K2481,Decimals)</f>
        <v/>
      </c>
      <c r="L2481" s="69" t="str">
        <f>TEXT(ASTemp!L2481,Decimals)</f>
        <v/>
      </c>
      <c r="M2481" s="71" t="str">
        <f>TEXT(ASTemp!M2481,Percentages)</f>
        <v/>
      </c>
      <c r="N2481" s="72" t="str">
        <f>TEXT(ASTemp!N2481,Percentages)</f>
        <v/>
      </c>
    </row>
    <row r="2482" ht="14.25" customHeight="1">
      <c r="B2482" s="66" t="str">
        <f>ASTemp!B2482</f>
        <v/>
      </c>
      <c r="C2482" s="67" t="str">
        <f>ASTemp!C2482</f>
        <v/>
      </c>
      <c r="D2482" s="68" t="str">
        <f>ASTemp!D2482</f>
        <v/>
      </c>
      <c r="E2482" s="65" t="str">
        <f>ASTemp!E2482</f>
        <v/>
      </c>
      <c r="F2482" s="69" t="str">
        <f>TEXT(ASTemp!F2482,Decimals)</f>
        <v/>
      </c>
      <c r="G2482" s="69" t="str">
        <f>TEXT(ASTemp!G2482,Decimals)</f>
        <v/>
      </c>
      <c r="H2482" s="69" t="str">
        <f>TEXT(ASTemp!H2482,Decimals)</f>
        <v/>
      </c>
      <c r="I2482" s="69" t="str">
        <f>TEXT(ASTemp!I2482,Decimals)</f>
        <v/>
      </c>
      <c r="J2482" s="69" t="str">
        <f>TEXT(ASTemp!J2482,Decimals)</f>
        <v/>
      </c>
      <c r="K2482" s="69" t="str">
        <f>TEXT(ASTemp!K2482,Decimals)</f>
        <v/>
      </c>
      <c r="L2482" s="69" t="str">
        <f>TEXT(ASTemp!L2482,Decimals)</f>
        <v/>
      </c>
      <c r="M2482" s="71" t="str">
        <f>TEXT(ASTemp!M2482,Percentages)</f>
        <v/>
      </c>
      <c r="N2482" s="72" t="str">
        <f>TEXT(ASTemp!N2482,Percentages)</f>
        <v/>
      </c>
    </row>
    <row r="2483" ht="14.25" customHeight="1">
      <c r="B2483" s="66" t="str">
        <f>ASTemp!B2483</f>
        <v/>
      </c>
      <c r="C2483" s="67" t="str">
        <f>ASTemp!C2483</f>
        <v/>
      </c>
      <c r="D2483" s="68" t="str">
        <f>ASTemp!D2483</f>
        <v/>
      </c>
      <c r="E2483" s="65" t="str">
        <f>ASTemp!E2483</f>
        <v/>
      </c>
      <c r="F2483" s="69" t="str">
        <f>TEXT(ASTemp!F2483,Decimals)</f>
        <v/>
      </c>
      <c r="G2483" s="69" t="str">
        <f>TEXT(ASTemp!G2483,Decimals)</f>
        <v/>
      </c>
      <c r="H2483" s="69" t="str">
        <f>TEXT(ASTemp!H2483,Decimals)</f>
        <v/>
      </c>
      <c r="I2483" s="69" t="str">
        <f>TEXT(ASTemp!I2483,Decimals)</f>
        <v/>
      </c>
      <c r="J2483" s="69" t="str">
        <f>TEXT(ASTemp!J2483,Decimals)</f>
        <v/>
      </c>
      <c r="K2483" s="69" t="str">
        <f>TEXT(ASTemp!K2483,Decimals)</f>
        <v/>
      </c>
      <c r="L2483" s="69" t="str">
        <f>TEXT(ASTemp!L2483,Decimals)</f>
        <v/>
      </c>
      <c r="M2483" s="71" t="str">
        <f>TEXT(ASTemp!M2483,Percentages)</f>
        <v/>
      </c>
      <c r="N2483" s="72" t="str">
        <f>TEXT(ASTemp!N2483,Percentages)</f>
        <v/>
      </c>
    </row>
    <row r="2484" ht="14.25" customHeight="1">
      <c r="B2484" s="66" t="str">
        <f>ASTemp!B2484</f>
        <v/>
      </c>
      <c r="C2484" s="67" t="str">
        <f>ASTemp!C2484</f>
        <v/>
      </c>
      <c r="D2484" s="68" t="str">
        <f>ASTemp!D2484</f>
        <v/>
      </c>
      <c r="E2484" s="65" t="str">
        <f>ASTemp!E2484</f>
        <v/>
      </c>
      <c r="F2484" s="69" t="str">
        <f>TEXT(ASTemp!F2484,Decimals)</f>
        <v/>
      </c>
      <c r="G2484" s="69" t="str">
        <f>TEXT(ASTemp!G2484,Decimals)</f>
        <v/>
      </c>
      <c r="H2484" s="69" t="str">
        <f>TEXT(ASTemp!H2484,Decimals)</f>
        <v/>
      </c>
      <c r="I2484" s="69" t="str">
        <f>TEXT(ASTemp!I2484,Decimals)</f>
        <v/>
      </c>
      <c r="J2484" s="69" t="str">
        <f>TEXT(ASTemp!J2484,Decimals)</f>
        <v/>
      </c>
      <c r="K2484" s="69" t="str">
        <f>TEXT(ASTemp!K2484,Decimals)</f>
        <v/>
      </c>
      <c r="L2484" s="69" t="str">
        <f>TEXT(ASTemp!L2484,Decimals)</f>
        <v/>
      </c>
      <c r="M2484" s="71" t="str">
        <f>TEXT(ASTemp!M2484,Percentages)</f>
        <v/>
      </c>
      <c r="N2484" s="72" t="str">
        <f>TEXT(ASTemp!N2484,Percentages)</f>
        <v/>
      </c>
    </row>
    <row r="2485" ht="14.25" customHeight="1">
      <c r="B2485" s="66" t="str">
        <f>ASTemp!B2485</f>
        <v/>
      </c>
      <c r="C2485" s="67" t="str">
        <f>ASTemp!C2485</f>
        <v/>
      </c>
      <c r="D2485" s="68" t="str">
        <f>ASTemp!D2485</f>
        <v/>
      </c>
      <c r="E2485" s="65" t="str">
        <f>ASTemp!E2485</f>
        <v/>
      </c>
      <c r="F2485" s="69" t="str">
        <f>TEXT(ASTemp!F2485,Decimals)</f>
        <v/>
      </c>
      <c r="G2485" s="69" t="str">
        <f>TEXT(ASTemp!G2485,Decimals)</f>
        <v/>
      </c>
      <c r="H2485" s="69" t="str">
        <f>TEXT(ASTemp!H2485,Decimals)</f>
        <v/>
      </c>
      <c r="I2485" s="69" t="str">
        <f>TEXT(ASTemp!I2485,Decimals)</f>
        <v/>
      </c>
      <c r="J2485" s="69" t="str">
        <f>TEXT(ASTemp!J2485,Decimals)</f>
        <v/>
      </c>
      <c r="K2485" s="69" t="str">
        <f>TEXT(ASTemp!K2485,Decimals)</f>
        <v/>
      </c>
      <c r="L2485" s="69" t="str">
        <f>TEXT(ASTemp!L2485,Decimals)</f>
        <v/>
      </c>
      <c r="M2485" s="71" t="str">
        <f>TEXT(ASTemp!M2485,Percentages)</f>
        <v/>
      </c>
      <c r="N2485" s="72" t="str">
        <f>TEXT(ASTemp!N2485,Percentages)</f>
        <v/>
      </c>
    </row>
    <row r="2486" ht="14.25" customHeight="1">
      <c r="B2486" s="66" t="str">
        <f>ASTemp!B2486</f>
        <v/>
      </c>
      <c r="C2486" s="67" t="str">
        <f>ASTemp!C2486</f>
        <v/>
      </c>
      <c r="D2486" s="68" t="str">
        <f>ASTemp!D2486</f>
        <v/>
      </c>
      <c r="E2486" s="65" t="str">
        <f>ASTemp!E2486</f>
        <v/>
      </c>
      <c r="F2486" s="69" t="str">
        <f>TEXT(ASTemp!F2486,Decimals)</f>
        <v/>
      </c>
      <c r="G2486" s="69" t="str">
        <f>TEXT(ASTemp!G2486,Decimals)</f>
        <v/>
      </c>
      <c r="H2486" s="69" t="str">
        <f>TEXT(ASTemp!H2486,Decimals)</f>
        <v/>
      </c>
      <c r="I2486" s="69" t="str">
        <f>TEXT(ASTemp!I2486,Decimals)</f>
        <v/>
      </c>
      <c r="J2486" s="69" t="str">
        <f>TEXT(ASTemp!J2486,Decimals)</f>
        <v/>
      </c>
      <c r="K2486" s="69" t="str">
        <f>TEXT(ASTemp!K2486,Decimals)</f>
        <v/>
      </c>
      <c r="L2486" s="69" t="str">
        <f>TEXT(ASTemp!L2486,Decimals)</f>
        <v/>
      </c>
      <c r="M2486" s="71" t="str">
        <f>TEXT(ASTemp!M2486,Percentages)</f>
        <v/>
      </c>
      <c r="N2486" s="72" t="str">
        <f>TEXT(ASTemp!N2486,Percentages)</f>
        <v/>
      </c>
    </row>
    <row r="2487" ht="14.25" customHeight="1">
      <c r="B2487" s="66" t="str">
        <f>ASTemp!B2487</f>
        <v/>
      </c>
      <c r="C2487" s="67" t="str">
        <f>ASTemp!C2487</f>
        <v/>
      </c>
      <c r="D2487" s="68" t="str">
        <f>ASTemp!D2487</f>
        <v/>
      </c>
      <c r="E2487" s="65" t="str">
        <f>ASTemp!E2487</f>
        <v/>
      </c>
      <c r="F2487" s="69" t="str">
        <f>TEXT(ASTemp!F2487,Decimals)</f>
        <v/>
      </c>
      <c r="G2487" s="69" t="str">
        <f>TEXT(ASTemp!G2487,Decimals)</f>
        <v/>
      </c>
      <c r="H2487" s="69" t="str">
        <f>TEXT(ASTemp!H2487,Decimals)</f>
        <v/>
      </c>
      <c r="I2487" s="69" t="str">
        <f>TEXT(ASTemp!I2487,Decimals)</f>
        <v/>
      </c>
      <c r="J2487" s="69" t="str">
        <f>TEXT(ASTemp!J2487,Decimals)</f>
        <v/>
      </c>
      <c r="K2487" s="69" t="str">
        <f>TEXT(ASTemp!K2487,Decimals)</f>
        <v/>
      </c>
      <c r="L2487" s="69" t="str">
        <f>TEXT(ASTemp!L2487,Decimals)</f>
        <v/>
      </c>
      <c r="M2487" s="71" t="str">
        <f>TEXT(ASTemp!M2487,Percentages)</f>
        <v/>
      </c>
      <c r="N2487" s="72" t="str">
        <f>TEXT(ASTemp!N2487,Percentages)</f>
        <v/>
      </c>
    </row>
    <row r="2488" ht="14.25" customHeight="1">
      <c r="B2488" s="66" t="str">
        <f>ASTemp!B2488</f>
        <v/>
      </c>
      <c r="C2488" s="67" t="str">
        <f>ASTemp!C2488</f>
        <v/>
      </c>
      <c r="D2488" s="68" t="str">
        <f>ASTemp!D2488</f>
        <v/>
      </c>
      <c r="E2488" s="65" t="str">
        <f>ASTemp!E2488</f>
        <v/>
      </c>
      <c r="F2488" s="69" t="str">
        <f>TEXT(ASTemp!F2488,Decimals)</f>
        <v/>
      </c>
      <c r="G2488" s="69" t="str">
        <f>TEXT(ASTemp!G2488,Decimals)</f>
        <v/>
      </c>
      <c r="H2488" s="69" t="str">
        <f>TEXT(ASTemp!H2488,Decimals)</f>
        <v/>
      </c>
      <c r="I2488" s="69" t="str">
        <f>TEXT(ASTemp!I2488,Decimals)</f>
        <v/>
      </c>
      <c r="J2488" s="69" t="str">
        <f>TEXT(ASTemp!J2488,Decimals)</f>
        <v/>
      </c>
      <c r="K2488" s="69" t="str">
        <f>TEXT(ASTemp!K2488,Decimals)</f>
        <v/>
      </c>
      <c r="L2488" s="69" t="str">
        <f>TEXT(ASTemp!L2488,Decimals)</f>
        <v/>
      </c>
      <c r="M2488" s="71" t="str">
        <f>TEXT(ASTemp!M2488,Percentages)</f>
        <v/>
      </c>
      <c r="N2488" s="72" t="str">
        <f>TEXT(ASTemp!N2488,Percentages)</f>
        <v/>
      </c>
    </row>
    <row r="2489" ht="14.25" customHeight="1">
      <c r="B2489" s="66" t="str">
        <f>ASTemp!B2489</f>
        <v/>
      </c>
      <c r="C2489" s="67" t="str">
        <f>ASTemp!C2489</f>
        <v/>
      </c>
      <c r="D2489" s="68" t="str">
        <f>ASTemp!D2489</f>
        <v/>
      </c>
      <c r="E2489" s="65" t="str">
        <f>ASTemp!E2489</f>
        <v/>
      </c>
      <c r="F2489" s="69" t="str">
        <f>TEXT(ASTemp!F2489,Decimals)</f>
        <v/>
      </c>
      <c r="G2489" s="69" t="str">
        <f>TEXT(ASTemp!G2489,Decimals)</f>
        <v/>
      </c>
      <c r="H2489" s="69" t="str">
        <f>TEXT(ASTemp!H2489,Decimals)</f>
        <v/>
      </c>
      <c r="I2489" s="69" t="str">
        <f>TEXT(ASTemp!I2489,Decimals)</f>
        <v/>
      </c>
      <c r="J2489" s="69" t="str">
        <f>TEXT(ASTemp!J2489,Decimals)</f>
        <v/>
      </c>
      <c r="K2489" s="69" t="str">
        <f>TEXT(ASTemp!K2489,Decimals)</f>
        <v/>
      </c>
      <c r="L2489" s="69" t="str">
        <f>TEXT(ASTemp!L2489,Decimals)</f>
        <v/>
      </c>
      <c r="M2489" s="71" t="str">
        <f>TEXT(ASTemp!M2489,Percentages)</f>
        <v/>
      </c>
      <c r="N2489" s="72" t="str">
        <f>TEXT(ASTemp!N2489,Percentages)</f>
        <v/>
      </c>
    </row>
    <row r="2490" ht="14.25" customHeight="1">
      <c r="B2490" s="66" t="str">
        <f>ASTemp!B2490</f>
        <v/>
      </c>
      <c r="C2490" s="67" t="str">
        <f>ASTemp!C2490</f>
        <v/>
      </c>
      <c r="D2490" s="68" t="str">
        <f>ASTemp!D2490</f>
        <v/>
      </c>
      <c r="E2490" s="65" t="str">
        <f>ASTemp!E2490</f>
        <v/>
      </c>
      <c r="F2490" s="69" t="str">
        <f>TEXT(ASTemp!F2490,Decimals)</f>
        <v/>
      </c>
      <c r="G2490" s="69" t="str">
        <f>TEXT(ASTemp!G2490,Decimals)</f>
        <v/>
      </c>
      <c r="H2490" s="69" t="str">
        <f>TEXT(ASTemp!H2490,Decimals)</f>
        <v/>
      </c>
      <c r="I2490" s="69" t="str">
        <f>TEXT(ASTemp!I2490,Decimals)</f>
        <v/>
      </c>
      <c r="J2490" s="69" t="str">
        <f>TEXT(ASTemp!J2490,Decimals)</f>
        <v/>
      </c>
      <c r="K2490" s="69" t="str">
        <f>TEXT(ASTemp!K2490,Decimals)</f>
        <v/>
      </c>
      <c r="L2490" s="69" t="str">
        <f>TEXT(ASTemp!L2490,Decimals)</f>
        <v/>
      </c>
      <c r="M2490" s="71" t="str">
        <f>TEXT(ASTemp!M2490,Percentages)</f>
        <v/>
      </c>
      <c r="N2490" s="72" t="str">
        <f>TEXT(ASTemp!N2490,Percentages)</f>
        <v/>
      </c>
    </row>
    <row r="2491" ht="14.25" customHeight="1">
      <c r="B2491" s="66" t="str">
        <f>ASTemp!B2491</f>
        <v/>
      </c>
      <c r="C2491" s="67" t="str">
        <f>ASTemp!C2491</f>
        <v/>
      </c>
      <c r="D2491" s="68" t="str">
        <f>ASTemp!D2491</f>
        <v/>
      </c>
      <c r="E2491" s="65" t="str">
        <f>ASTemp!E2491</f>
        <v/>
      </c>
      <c r="F2491" s="69" t="str">
        <f>TEXT(ASTemp!F2491,Decimals)</f>
        <v/>
      </c>
      <c r="G2491" s="69" t="str">
        <f>TEXT(ASTemp!G2491,Decimals)</f>
        <v/>
      </c>
      <c r="H2491" s="69" t="str">
        <f>TEXT(ASTemp!H2491,Decimals)</f>
        <v/>
      </c>
      <c r="I2491" s="69" t="str">
        <f>TEXT(ASTemp!I2491,Decimals)</f>
        <v/>
      </c>
      <c r="J2491" s="69" t="str">
        <f>TEXT(ASTemp!J2491,Decimals)</f>
        <v/>
      </c>
      <c r="K2491" s="69" t="str">
        <f>TEXT(ASTemp!K2491,Decimals)</f>
        <v/>
      </c>
      <c r="L2491" s="69" t="str">
        <f>TEXT(ASTemp!L2491,Decimals)</f>
        <v/>
      </c>
      <c r="M2491" s="71" t="str">
        <f>TEXT(ASTemp!M2491,Percentages)</f>
        <v/>
      </c>
      <c r="N2491" s="72" t="str">
        <f>TEXT(ASTemp!N2491,Percentages)</f>
        <v/>
      </c>
    </row>
    <row r="2492" ht="14.25" customHeight="1">
      <c r="B2492" s="66" t="str">
        <f>ASTemp!B2492</f>
        <v/>
      </c>
      <c r="C2492" s="67" t="str">
        <f>ASTemp!C2492</f>
        <v/>
      </c>
      <c r="D2492" s="68" t="str">
        <f>ASTemp!D2492</f>
        <v/>
      </c>
      <c r="E2492" s="65" t="str">
        <f>ASTemp!E2492</f>
        <v/>
      </c>
      <c r="F2492" s="69" t="str">
        <f>TEXT(ASTemp!F2492,Decimals)</f>
        <v/>
      </c>
      <c r="G2492" s="69" t="str">
        <f>TEXT(ASTemp!G2492,Decimals)</f>
        <v/>
      </c>
      <c r="H2492" s="69" t="str">
        <f>TEXT(ASTemp!H2492,Decimals)</f>
        <v/>
      </c>
      <c r="I2492" s="69" t="str">
        <f>TEXT(ASTemp!I2492,Decimals)</f>
        <v/>
      </c>
      <c r="J2492" s="69" t="str">
        <f>TEXT(ASTemp!J2492,Decimals)</f>
        <v/>
      </c>
      <c r="K2492" s="69" t="str">
        <f>TEXT(ASTemp!K2492,Decimals)</f>
        <v/>
      </c>
      <c r="L2492" s="69" t="str">
        <f>TEXT(ASTemp!L2492,Decimals)</f>
        <v/>
      </c>
      <c r="M2492" s="71" t="str">
        <f>TEXT(ASTemp!M2492,Percentages)</f>
        <v/>
      </c>
      <c r="N2492" s="72" t="str">
        <f>TEXT(ASTemp!N2492,Percentages)</f>
        <v/>
      </c>
    </row>
    <row r="2493" ht="14.25" customHeight="1">
      <c r="B2493" s="66" t="str">
        <f>ASTemp!B2493</f>
        <v/>
      </c>
      <c r="C2493" s="67" t="str">
        <f>ASTemp!C2493</f>
        <v/>
      </c>
      <c r="D2493" s="68" t="str">
        <f>ASTemp!D2493</f>
        <v/>
      </c>
      <c r="E2493" s="65" t="str">
        <f>ASTemp!E2493</f>
        <v/>
      </c>
      <c r="F2493" s="69" t="str">
        <f>TEXT(ASTemp!F2493,Decimals)</f>
        <v/>
      </c>
      <c r="G2493" s="69" t="str">
        <f>TEXT(ASTemp!G2493,Decimals)</f>
        <v/>
      </c>
      <c r="H2493" s="69" t="str">
        <f>TEXT(ASTemp!H2493,Decimals)</f>
        <v/>
      </c>
      <c r="I2493" s="69" t="str">
        <f>TEXT(ASTemp!I2493,Decimals)</f>
        <v/>
      </c>
      <c r="J2493" s="69" t="str">
        <f>TEXT(ASTemp!J2493,Decimals)</f>
        <v/>
      </c>
      <c r="K2493" s="69" t="str">
        <f>TEXT(ASTemp!K2493,Decimals)</f>
        <v/>
      </c>
      <c r="L2493" s="69" t="str">
        <f>TEXT(ASTemp!L2493,Decimals)</f>
        <v/>
      </c>
      <c r="M2493" s="71" t="str">
        <f>TEXT(ASTemp!M2493,Percentages)</f>
        <v/>
      </c>
      <c r="N2493" s="72" t="str">
        <f>TEXT(ASTemp!N2493,Percentages)</f>
        <v/>
      </c>
    </row>
    <row r="2494" ht="14.25" customHeight="1">
      <c r="B2494" s="66" t="str">
        <f>ASTemp!B2494</f>
        <v/>
      </c>
      <c r="C2494" s="67" t="str">
        <f>ASTemp!C2494</f>
        <v/>
      </c>
      <c r="D2494" s="68" t="str">
        <f>ASTemp!D2494</f>
        <v/>
      </c>
      <c r="E2494" s="65" t="str">
        <f>ASTemp!E2494</f>
        <v/>
      </c>
      <c r="F2494" s="69" t="str">
        <f>TEXT(ASTemp!F2494,Decimals)</f>
        <v/>
      </c>
      <c r="G2494" s="69" t="str">
        <f>TEXT(ASTemp!G2494,Decimals)</f>
        <v/>
      </c>
      <c r="H2494" s="69" t="str">
        <f>TEXT(ASTemp!H2494,Decimals)</f>
        <v/>
      </c>
      <c r="I2494" s="69" t="str">
        <f>TEXT(ASTemp!I2494,Decimals)</f>
        <v/>
      </c>
      <c r="J2494" s="69" t="str">
        <f>TEXT(ASTemp!J2494,Decimals)</f>
        <v/>
      </c>
      <c r="K2494" s="69" t="str">
        <f>TEXT(ASTemp!K2494,Decimals)</f>
        <v/>
      </c>
      <c r="L2494" s="69" t="str">
        <f>TEXT(ASTemp!L2494,Decimals)</f>
        <v/>
      </c>
      <c r="M2494" s="71" t="str">
        <f>TEXT(ASTemp!M2494,Percentages)</f>
        <v/>
      </c>
      <c r="N2494" s="72" t="str">
        <f>TEXT(ASTemp!N2494,Percentages)</f>
        <v/>
      </c>
    </row>
    <row r="2495" ht="14.25" customHeight="1">
      <c r="B2495" s="66" t="str">
        <f>ASTemp!B2495</f>
        <v/>
      </c>
      <c r="C2495" s="67" t="str">
        <f>ASTemp!C2495</f>
        <v/>
      </c>
      <c r="D2495" s="68" t="str">
        <f>ASTemp!D2495</f>
        <v/>
      </c>
      <c r="E2495" s="65" t="str">
        <f>ASTemp!E2495</f>
        <v/>
      </c>
      <c r="F2495" s="69" t="str">
        <f>TEXT(ASTemp!F2495,Decimals)</f>
        <v/>
      </c>
      <c r="G2495" s="69" t="str">
        <f>TEXT(ASTemp!G2495,Decimals)</f>
        <v/>
      </c>
      <c r="H2495" s="69" t="str">
        <f>TEXT(ASTemp!H2495,Decimals)</f>
        <v/>
      </c>
      <c r="I2495" s="69" t="str">
        <f>TEXT(ASTemp!I2495,Decimals)</f>
        <v/>
      </c>
      <c r="J2495" s="69" t="str">
        <f>TEXT(ASTemp!J2495,Decimals)</f>
        <v/>
      </c>
      <c r="K2495" s="69" t="str">
        <f>TEXT(ASTemp!K2495,Decimals)</f>
        <v/>
      </c>
      <c r="L2495" s="69" t="str">
        <f>TEXT(ASTemp!L2495,Decimals)</f>
        <v/>
      </c>
      <c r="M2495" s="71" t="str">
        <f>TEXT(ASTemp!M2495,Percentages)</f>
        <v/>
      </c>
      <c r="N2495" s="72" t="str">
        <f>TEXT(ASTemp!N2495,Percentages)</f>
        <v/>
      </c>
    </row>
    <row r="2496" ht="14.25" customHeight="1">
      <c r="B2496" s="66" t="str">
        <f>ASTemp!B2496</f>
        <v/>
      </c>
      <c r="C2496" s="67" t="str">
        <f>ASTemp!C2496</f>
        <v/>
      </c>
      <c r="D2496" s="68" t="str">
        <f>ASTemp!D2496</f>
        <v/>
      </c>
      <c r="E2496" s="65" t="str">
        <f>ASTemp!E2496</f>
        <v/>
      </c>
      <c r="F2496" s="69" t="str">
        <f>TEXT(ASTemp!F2496,Decimals)</f>
        <v/>
      </c>
      <c r="G2496" s="69" t="str">
        <f>TEXT(ASTemp!G2496,Decimals)</f>
        <v/>
      </c>
      <c r="H2496" s="69" t="str">
        <f>TEXT(ASTemp!H2496,Decimals)</f>
        <v/>
      </c>
      <c r="I2496" s="69" t="str">
        <f>TEXT(ASTemp!I2496,Decimals)</f>
        <v/>
      </c>
      <c r="J2496" s="69" t="str">
        <f>TEXT(ASTemp!J2496,Decimals)</f>
        <v/>
      </c>
      <c r="K2496" s="69" t="str">
        <f>TEXT(ASTemp!K2496,Decimals)</f>
        <v/>
      </c>
      <c r="L2496" s="69" t="str">
        <f>TEXT(ASTemp!L2496,Decimals)</f>
        <v/>
      </c>
      <c r="M2496" s="71" t="str">
        <f>TEXT(ASTemp!M2496,Percentages)</f>
        <v/>
      </c>
      <c r="N2496" s="72" t="str">
        <f>TEXT(ASTemp!N2496,Percentages)</f>
        <v/>
      </c>
    </row>
    <row r="2497" ht="14.25" customHeight="1">
      <c r="B2497" s="66" t="str">
        <f>ASTemp!B2497</f>
        <v/>
      </c>
      <c r="C2497" s="67" t="str">
        <f>ASTemp!C2497</f>
        <v/>
      </c>
      <c r="D2497" s="68" t="str">
        <f>ASTemp!D2497</f>
        <v/>
      </c>
      <c r="E2497" s="65" t="str">
        <f>ASTemp!E2497</f>
        <v/>
      </c>
      <c r="F2497" s="69" t="str">
        <f>TEXT(ASTemp!F2497,Decimals)</f>
        <v/>
      </c>
      <c r="G2497" s="69" t="str">
        <f>TEXT(ASTemp!G2497,Decimals)</f>
        <v/>
      </c>
      <c r="H2497" s="69" t="str">
        <f>TEXT(ASTemp!H2497,Decimals)</f>
        <v/>
      </c>
      <c r="I2497" s="69" t="str">
        <f>TEXT(ASTemp!I2497,Decimals)</f>
        <v/>
      </c>
      <c r="J2497" s="69" t="str">
        <f>TEXT(ASTemp!J2497,Decimals)</f>
        <v/>
      </c>
      <c r="K2497" s="69" t="str">
        <f>TEXT(ASTemp!K2497,Decimals)</f>
        <v/>
      </c>
      <c r="L2497" s="69" t="str">
        <f>TEXT(ASTemp!L2497,Decimals)</f>
        <v/>
      </c>
      <c r="M2497" s="71" t="str">
        <f>TEXT(ASTemp!M2497,Percentages)</f>
        <v/>
      </c>
      <c r="N2497" s="72" t="str">
        <f>TEXT(ASTemp!N2497,Percentages)</f>
        <v/>
      </c>
    </row>
    <row r="2498" ht="14.25" customHeight="1">
      <c r="B2498" s="66" t="str">
        <f>ASTemp!B2498</f>
        <v/>
      </c>
      <c r="C2498" s="67" t="str">
        <f>ASTemp!C2498</f>
        <v/>
      </c>
      <c r="D2498" s="68" t="str">
        <f>ASTemp!D2498</f>
        <v/>
      </c>
      <c r="E2498" s="65" t="str">
        <f>ASTemp!E2498</f>
        <v/>
      </c>
      <c r="F2498" s="69" t="str">
        <f>TEXT(ASTemp!F2498,Decimals)</f>
        <v/>
      </c>
      <c r="G2498" s="69" t="str">
        <f>TEXT(ASTemp!G2498,Decimals)</f>
        <v/>
      </c>
      <c r="H2498" s="69" t="str">
        <f>TEXT(ASTemp!H2498,Decimals)</f>
        <v/>
      </c>
      <c r="I2498" s="69" t="str">
        <f>TEXT(ASTemp!I2498,Decimals)</f>
        <v/>
      </c>
      <c r="J2498" s="69" t="str">
        <f>TEXT(ASTemp!J2498,Decimals)</f>
        <v/>
      </c>
      <c r="K2498" s="69" t="str">
        <f>TEXT(ASTemp!K2498,Decimals)</f>
        <v/>
      </c>
      <c r="L2498" s="69" t="str">
        <f>TEXT(ASTemp!L2498,Decimals)</f>
        <v/>
      </c>
      <c r="M2498" s="71" t="str">
        <f>TEXT(ASTemp!M2498,Percentages)</f>
        <v/>
      </c>
      <c r="N2498" s="72" t="str">
        <f>TEXT(ASTemp!N2498,Percentages)</f>
        <v/>
      </c>
    </row>
    <row r="2499" ht="14.25" customHeight="1">
      <c r="B2499" s="66" t="str">
        <f>ASTemp!B2499</f>
        <v/>
      </c>
      <c r="C2499" s="67" t="str">
        <f>ASTemp!C2499</f>
        <v/>
      </c>
      <c r="D2499" s="68" t="str">
        <f>ASTemp!D2499</f>
        <v/>
      </c>
      <c r="E2499" s="65" t="str">
        <f>ASTemp!E2499</f>
        <v/>
      </c>
      <c r="F2499" s="69" t="str">
        <f>TEXT(ASTemp!F2499,Decimals)</f>
        <v/>
      </c>
      <c r="G2499" s="69" t="str">
        <f>TEXT(ASTemp!G2499,Decimals)</f>
        <v/>
      </c>
      <c r="H2499" s="69" t="str">
        <f>TEXT(ASTemp!H2499,Decimals)</f>
        <v/>
      </c>
      <c r="I2499" s="69" t="str">
        <f>TEXT(ASTemp!I2499,Decimals)</f>
        <v/>
      </c>
      <c r="J2499" s="69" t="str">
        <f>TEXT(ASTemp!J2499,Decimals)</f>
        <v/>
      </c>
      <c r="K2499" s="69" t="str">
        <f>TEXT(ASTemp!K2499,Decimals)</f>
        <v/>
      </c>
      <c r="L2499" s="69" t="str">
        <f>TEXT(ASTemp!L2499,Decimals)</f>
        <v/>
      </c>
      <c r="M2499" s="71" t="str">
        <f>TEXT(ASTemp!M2499,Percentages)</f>
        <v/>
      </c>
      <c r="N2499" s="72" t="str">
        <f>TEXT(ASTemp!N2499,Percentages)</f>
        <v/>
      </c>
    </row>
    <row r="2500" ht="14.25" customHeight="1">
      <c r="B2500" s="66" t="str">
        <f>ASTemp!B2500</f>
        <v/>
      </c>
      <c r="C2500" s="67" t="str">
        <f>ASTemp!C2500</f>
        <v/>
      </c>
      <c r="D2500" s="68" t="str">
        <f>ASTemp!D2500</f>
        <v/>
      </c>
      <c r="E2500" s="65" t="str">
        <f>ASTemp!E2500</f>
        <v/>
      </c>
      <c r="F2500" s="69" t="str">
        <f>TEXT(ASTemp!F2500,Decimals)</f>
        <v/>
      </c>
      <c r="G2500" s="69" t="str">
        <f>TEXT(ASTemp!G2500,Decimals)</f>
        <v/>
      </c>
      <c r="H2500" s="69" t="str">
        <f>TEXT(ASTemp!H2500,Decimals)</f>
        <v/>
      </c>
      <c r="I2500" s="69" t="str">
        <f>TEXT(ASTemp!I2500,Decimals)</f>
        <v/>
      </c>
      <c r="J2500" s="69" t="str">
        <f>TEXT(ASTemp!J2500,Decimals)</f>
        <v/>
      </c>
      <c r="K2500" s="69" t="str">
        <f>TEXT(ASTemp!K2500,Decimals)</f>
        <v/>
      </c>
      <c r="L2500" s="69" t="str">
        <f>TEXT(ASTemp!L2500,Decimals)</f>
        <v/>
      </c>
      <c r="M2500" s="71" t="str">
        <f>TEXT(ASTemp!M2500,Percentages)</f>
        <v/>
      </c>
      <c r="N2500" s="72" t="str">
        <f>TEXT(ASTemp!N2500,Percentages)</f>
        <v/>
      </c>
    </row>
    <row r="2501" ht="14.25" customHeight="1">
      <c r="B2501" s="66" t="str">
        <f>ASTemp!B2501</f>
        <v/>
      </c>
      <c r="C2501" s="67" t="str">
        <f>ASTemp!C2501</f>
        <v/>
      </c>
      <c r="D2501" s="68" t="str">
        <f>ASTemp!D2501</f>
        <v/>
      </c>
      <c r="E2501" s="65" t="str">
        <f>ASTemp!E2501</f>
        <v/>
      </c>
      <c r="F2501" s="69" t="str">
        <f>TEXT(ASTemp!F2501,Decimals)</f>
        <v/>
      </c>
      <c r="G2501" s="69" t="str">
        <f>TEXT(ASTemp!G2501,Decimals)</f>
        <v/>
      </c>
      <c r="H2501" s="69" t="str">
        <f>TEXT(ASTemp!H2501,Decimals)</f>
        <v/>
      </c>
      <c r="I2501" s="69" t="str">
        <f>TEXT(ASTemp!I2501,Decimals)</f>
        <v/>
      </c>
      <c r="J2501" s="69" t="str">
        <f>TEXT(ASTemp!J2501,Decimals)</f>
        <v/>
      </c>
      <c r="K2501" s="69" t="str">
        <f>TEXT(ASTemp!K2501,Decimals)</f>
        <v/>
      </c>
      <c r="L2501" s="69" t="str">
        <f>TEXT(ASTemp!L2501,Decimals)</f>
        <v/>
      </c>
      <c r="M2501" s="71" t="str">
        <f>TEXT(ASTemp!M2501,Percentages)</f>
        <v/>
      </c>
      <c r="N2501" s="72" t="str">
        <f>TEXT(ASTemp!N2501,Percentages)</f>
        <v/>
      </c>
    </row>
    <row r="2502" ht="14.25" customHeight="1">
      <c r="B2502" s="66" t="str">
        <f>ASTemp!B2502</f>
        <v/>
      </c>
      <c r="C2502" s="67" t="str">
        <f>ASTemp!C2502</f>
        <v/>
      </c>
      <c r="D2502" s="68" t="str">
        <f>ASTemp!D2502</f>
        <v/>
      </c>
      <c r="E2502" s="65" t="str">
        <f>ASTemp!E2502</f>
        <v/>
      </c>
      <c r="F2502" s="69" t="str">
        <f>TEXT(ASTemp!F2502,Decimals)</f>
        <v/>
      </c>
      <c r="G2502" s="69" t="str">
        <f>TEXT(ASTemp!G2502,Decimals)</f>
        <v/>
      </c>
      <c r="H2502" s="69" t="str">
        <f>TEXT(ASTemp!H2502,Decimals)</f>
        <v/>
      </c>
      <c r="I2502" s="69" t="str">
        <f>TEXT(ASTemp!I2502,Decimals)</f>
        <v/>
      </c>
      <c r="J2502" s="69" t="str">
        <f>TEXT(ASTemp!J2502,Decimals)</f>
        <v/>
      </c>
      <c r="K2502" s="69" t="str">
        <f>TEXT(ASTemp!K2502,Decimals)</f>
        <v/>
      </c>
      <c r="L2502" s="69" t="str">
        <f>TEXT(ASTemp!L2502,Decimals)</f>
        <v/>
      </c>
      <c r="M2502" s="71" t="str">
        <f>TEXT(ASTemp!M2502,Percentages)</f>
        <v/>
      </c>
      <c r="N2502" s="72" t="str">
        <f>TEXT(ASTemp!N2502,Percentages)</f>
        <v/>
      </c>
    </row>
    <row r="2503" ht="14.25" customHeight="1">
      <c r="B2503" s="66" t="str">
        <f>ASTemp!B2503</f>
        <v/>
      </c>
      <c r="C2503" s="67" t="str">
        <f>ASTemp!C2503</f>
        <v/>
      </c>
      <c r="D2503" s="68" t="str">
        <f>ASTemp!D2503</f>
        <v/>
      </c>
      <c r="E2503" s="65" t="str">
        <f>ASTemp!E2503</f>
        <v/>
      </c>
      <c r="F2503" s="69" t="str">
        <f>TEXT(ASTemp!F2503,Decimals)</f>
        <v/>
      </c>
      <c r="G2503" s="69" t="str">
        <f>TEXT(ASTemp!G2503,Decimals)</f>
        <v/>
      </c>
      <c r="H2503" s="69" t="str">
        <f>TEXT(ASTemp!H2503,Decimals)</f>
        <v/>
      </c>
      <c r="I2503" s="69" t="str">
        <f>TEXT(ASTemp!I2503,Decimals)</f>
        <v/>
      </c>
      <c r="J2503" s="69" t="str">
        <f>TEXT(ASTemp!J2503,Decimals)</f>
        <v/>
      </c>
      <c r="K2503" s="69" t="str">
        <f>TEXT(ASTemp!K2503,Decimals)</f>
        <v/>
      </c>
      <c r="L2503" s="69" t="str">
        <f>TEXT(ASTemp!L2503,Decimals)</f>
        <v/>
      </c>
      <c r="M2503" s="71" t="str">
        <f>TEXT(ASTemp!M2503,Percentages)</f>
        <v/>
      </c>
      <c r="N2503" s="72" t="str">
        <f>TEXT(ASTemp!N2503,Percentages)</f>
        <v/>
      </c>
    </row>
    <row r="2504" ht="14.25" customHeight="1">
      <c r="B2504" s="66" t="str">
        <f>ASTemp!B2504</f>
        <v/>
      </c>
      <c r="C2504" s="67" t="str">
        <f>ASTemp!C2504</f>
        <v/>
      </c>
      <c r="D2504" s="68" t="str">
        <f>ASTemp!D2504</f>
        <v/>
      </c>
      <c r="E2504" s="65" t="str">
        <f>ASTemp!E2504</f>
        <v/>
      </c>
      <c r="F2504" s="69" t="str">
        <f>TEXT(ASTemp!F2504,Decimals)</f>
        <v/>
      </c>
      <c r="G2504" s="69" t="str">
        <f>TEXT(ASTemp!G2504,Decimals)</f>
        <v/>
      </c>
      <c r="H2504" s="69" t="str">
        <f>TEXT(ASTemp!H2504,Decimals)</f>
        <v/>
      </c>
      <c r="I2504" s="69" t="str">
        <f>TEXT(ASTemp!I2504,Decimals)</f>
        <v/>
      </c>
      <c r="J2504" s="69" t="str">
        <f>TEXT(ASTemp!J2504,Decimals)</f>
        <v/>
      </c>
      <c r="K2504" s="69" t="str">
        <f>TEXT(ASTemp!K2504,Decimals)</f>
        <v/>
      </c>
      <c r="L2504" s="69" t="str">
        <f>TEXT(ASTemp!L2504,Decimals)</f>
        <v/>
      </c>
      <c r="M2504" s="71" t="str">
        <f>TEXT(ASTemp!M2504,Percentages)</f>
        <v/>
      </c>
      <c r="N2504" s="72" t="str">
        <f>TEXT(ASTemp!N2504,Percentages)</f>
        <v/>
      </c>
    </row>
    <row r="2505" ht="14.25" customHeight="1">
      <c r="B2505" s="66" t="str">
        <f>ASTemp!B2505</f>
        <v/>
      </c>
      <c r="C2505" s="67" t="str">
        <f>ASTemp!C2505</f>
        <v/>
      </c>
      <c r="D2505" s="68" t="str">
        <f>ASTemp!D2505</f>
        <v/>
      </c>
      <c r="E2505" s="65" t="str">
        <f>ASTemp!E2505</f>
        <v/>
      </c>
      <c r="F2505" s="69" t="str">
        <f>TEXT(ASTemp!F2505,Decimals)</f>
        <v/>
      </c>
      <c r="G2505" s="69" t="str">
        <f>TEXT(ASTemp!G2505,Decimals)</f>
        <v/>
      </c>
      <c r="H2505" s="69" t="str">
        <f>TEXT(ASTemp!H2505,Decimals)</f>
        <v/>
      </c>
      <c r="I2505" s="69" t="str">
        <f>TEXT(ASTemp!I2505,Decimals)</f>
        <v/>
      </c>
      <c r="J2505" s="69" t="str">
        <f>TEXT(ASTemp!J2505,Decimals)</f>
        <v/>
      </c>
      <c r="K2505" s="69" t="str">
        <f>TEXT(ASTemp!K2505,Decimals)</f>
        <v/>
      </c>
      <c r="L2505" s="69" t="str">
        <f>TEXT(ASTemp!L2505,Decimals)</f>
        <v/>
      </c>
      <c r="M2505" s="71" t="str">
        <f>TEXT(ASTemp!M2505,Percentages)</f>
        <v/>
      </c>
      <c r="N2505" s="72" t="str">
        <f>TEXT(ASTemp!N2505,Percentages)</f>
        <v/>
      </c>
    </row>
    <row r="2506" ht="14.25" customHeight="1">
      <c r="B2506" s="66" t="str">
        <f>ASTemp!B2506</f>
        <v/>
      </c>
      <c r="C2506" s="67" t="str">
        <f>ASTemp!C2506</f>
        <v/>
      </c>
      <c r="D2506" s="68" t="str">
        <f>ASTemp!D2506</f>
        <v/>
      </c>
      <c r="E2506" s="65" t="str">
        <f>ASTemp!E2506</f>
        <v/>
      </c>
      <c r="F2506" s="69" t="str">
        <f>TEXT(ASTemp!F2506,Decimals)</f>
        <v/>
      </c>
      <c r="G2506" s="69" t="str">
        <f>TEXT(ASTemp!G2506,Decimals)</f>
        <v/>
      </c>
      <c r="H2506" s="69" t="str">
        <f>TEXT(ASTemp!H2506,Decimals)</f>
        <v/>
      </c>
      <c r="I2506" s="69" t="str">
        <f>TEXT(ASTemp!I2506,Decimals)</f>
        <v/>
      </c>
      <c r="J2506" s="69" t="str">
        <f>TEXT(ASTemp!J2506,Decimals)</f>
        <v/>
      </c>
      <c r="K2506" s="69" t="str">
        <f>TEXT(ASTemp!K2506,Decimals)</f>
        <v/>
      </c>
      <c r="L2506" s="69" t="str">
        <f>TEXT(ASTemp!L2506,Decimals)</f>
        <v/>
      </c>
      <c r="M2506" s="71" t="str">
        <f>TEXT(ASTemp!M2506,Percentages)</f>
        <v/>
      </c>
      <c r="N2506" s="72" t="str">
        <f>TEXT(ASTemp!N2506,Percentages)</f>
        <v/>
      </c>
    </row>
    <row r="2507" ht="14.25" customHeight="1">
      <c r="B2507" s="66" t="str">
        <f>ASTemp!B2507</f>
        <v/>
      </c>
      <c r="C2507" s="67" t="str">
        <f>ASTemp!C2507</f>
        <v/>
      </c>
      <c r="D2507" s="68" t="str">
        <f>ASTemp!D2507</f>
        <v/>
      </c>
      <c r="E2507" s="65" t="str">
        <f>ASTemp!E2507</f>
        <v/>
      </c>
      <c r="F2507" s="69" t="str">
        <f>TEXT(ASTemp!F2507,Decimals)</f>
        <v/>
      </c>
      <c r="G2507" s="69" t="str">
        <f>TEXT(ASTemp!G2507,Decimals)</f>
        <v/>
      </c>
      <c r="H2507" s="69" t="str">
        <f>TEXT(ASTemp!H2507,Decimals)</f>
        <v/>
      </c>
      <c r="I2507" s="69" t="str">
        <f>TEXT(ASTemp!I2507,Decimals)</f>
        <v/>
      </c>
      <c r="J2507" s="69" t="str">
        <f>TEXT(ASTemp!J2507,Decimals)</f>
        <v/>
      </c>
      <c r="K2507" s="69" t="str">
        <f>TEXT(ASTemp!K2507,Decimals)</f>
        <v/>
      </c>
      <c r="L2507" s="69" t="str">
        <f>TEXT(ASTemp!L2507,Decimals)</f>
        <v/>
      </c>
      <c r="M2507" s="71" t="str">
        <f>TEXT(ASTemp!M2507,Percentages)</f>
        <v/>
      </c>
      <c r="N2507" s="72" t="str">
        <f>TEXT(ASTemp!N2507,Percentages)</f>
        <v/>
      </c>
    </row>
    <row r="2508" ht="14.25" customHeight="1">
      <c r="B2508" s="66" t="str">
        <f>ASTemp!B2508</f>
        <v/>
      </c>
      <c r="C2508" s="67" t="str">
        <f>ASTemp!C2508</f>
        <v/>
      </c>
      <c r="D2508" s="68" t="str">
        <f>ASTemp!D2508</f>
        <v/>
      </c>
      <c r="E2508" s="65" t="str">
        <f>ASTemp!E2508</f>
        <v/>
      </c>
      <c r="F2508" s="69" t="str">
        <f>TEXT(ASTemp!F2508,Decimals)</f>
        <v/>
      </c>
      <c r="G2508" s="69" t="str">
        <f>TEXT(ASTemp!G2508,Decimals)</f>
        <v/>
      </c>
      <c r="H2508" s="69" t="str">
        <f>TEXT(ASTemp!H2508,Decimals)</f>
        <v/>
      </c>
      <c r="I2508" s="69" t="str">
        <f>TEXT(ASTemp!I2508,Decimals)</f>
        <v/>
      </c>
      <c r="J2508" s="69" t="str">
        <f>TEXT(ASTemp!J2508,Decimals)</f>
        <v/>
      </c>
      <c r="K2508" s="69" t="str">
        <f>TEXT(ASTemp!K2508,Decimals)</f>
        <v/>
      </c>
      <c r="L2508" s="69" t="str">
        <f>TEXT(ASTemp!L2508,Decimals)</f>
        <v/>
      </c>
      <c r="M2508" s="71" t="str">
        <f>TEXT(ASTemp!M2508,Percentages)</f>
        <v/>
      </c>
      <c r="N2508" s="72" t="str">
        <f>TEXT(ASTemp!N2508,Percentages)</f>
        <v/>
      </c>
    </row>
    <row r="2509" ht="14.25" customHeight="1">
      <c r="B2509" s="66" t="str">
        <f>ASTemp!B2509</f>
        <v/>
      </c>
      <c r="C2509" s="67" t="str">
        <f>ASTemp!C2509</f>
        <v/>
      </c>
      <c r="D2509" s="68" t="str">
        <f>ASTemp!D2509</f>
        <v/>
      </c>
      <c r="E2509" s="65" t="str">
        <f>ASTemp!E2509</f>
        <v/>
      </c>
      <c r="F2509" s="69" t="str">
        <f>TEXT(ASTemp!F2509,Decimals)</f>
        <v/>
      </c>
      <c r="G2509" s="69" t="str">
        <f>TEXT(ASTemp!G2509,Decimals)</f>
        <v/>
      </c>
      <c r="H2509" s="69" t="str">
        <f>TEXT(ASTemp!H2509,Decimals)</f>
        <v/>
      </c>
      <c r="I2509" s="69" t="str">
        <f>TEXT(ASTemp!I2509,Decimals)</f>
        <v/>
      </c>
      <c r="J2509" s="69" t="str">
        <f>TEXT(ASTemp!J2509,Decimals)</f>
        <v/>
      </c>
      <c r="K2509" s="69" t="str">
        <f>TEXT(ASTemp!K2509,Decimals)</f>
        <v/>
      </c>
      <c r="L2509" s="69" t="str">
        <f>TEXT(ASTemp!L2509,Decimals)</f>
        <v/>
      </c>
      <c r="M2509" s="71" t="str">
        <f>TEXT(ASTemp!M2509,Percentages)</f>
        <v/>
      </c>
      <c r="N2509" s="72" t="str">
        <f>TEXT(ASTemp!N2509,Percentages)</f>
        <v/>
      </c>
    </row>
    <row r="2510" ht="14.25" customHeight="1">
      <c r="B2510" s="66" t="str">
        <f>ASTemp!B2510</f>
        <v/>
      </c>
      <c r="C2510" s="67" t="str">
        <f>ASTemp!C2510</f>
        <v/>
      </c>
      <c r="D2510" s="68" t="str">
        <f>ASTemp!D2510</f>
        <v/>
      </c>
      <c r="E2510" s="65" t="str">
        <f>ASTemp!E2510</f>
        <v/>
      </c>
      <c r="F2510" s="69" t="str">
        <f>TEXT(ASTemp!F2510,Decimals)</f>
        <v/>
      </c>
      <c r="G2510" s="69" t="str">
        <f>TEXT(ASTemp!G2510,Decimals)</f>
        <v/>
      </c>
      <c r="H2510" s="69" t="str">
        <f>TEXT(ASTemp!H2510,Decimals)</f>
        <v/>
      </c>
      <c r="I2510" s="69" t="str">
        <f>TEXT(ASTemp!I2510,Decimals)</f>
        <v/>
      </c>
      <c r="J2510" s="69" t="str">
        <f>TEXT(ASTemp!J2510,Decimals)</f>
        <v/>
      </c>
      <c r="K2510" s="69" t="str">
        <f>TEXT(ASTemp!K2510,Decimals)</f>
        <v/>
      </c>
      <c r="L2510" s="69" t="str">
        <f>TEXT(ASTemp!L2510,Decimals)</f>
        <v/>
      </c>
      <c r="M2510" s="71" t="str">
        <f>TEXT(ASTemp!M2510,Percentages)</f>
        <v/>
      </c>
      <c r="N2510" s="72" t="str">
        <f>TEXT(ASTemp!N2510,Percentages)</f>
        <v/>
      </c>
    </row>
    <row r="2511" ht="14.25" customHeight="1">
      <c r="B2511" s="66" t="str">
        <f>ASTemp!B2511</f>
        <v/>
      </c>
      <c r="C2511" s="67" t="str">
        <f>ASTemp!C2511</f>
        <v/>
      </c>
      <c r="D2511" s="68" t="str">
        <f>ASTemp!D2511</f>
        <v/>
      </c>
      <c r="E2511" s="65" t="str">
        <f>ASTemp!E2511</f>
        <v/>
      </c>
      <c r="F2511" s="69" t="str">
        <f>TEXT(ASTemp!F2511,Decimals)</f>
        <v/>
      </c>
      <c r="G2511" s="69" t="str">
        <f>TEXT(ASTemp!G2511,Decimals)</f>
        <v/>
      </c>
      <c r="H2511" s="69" t="str">
        <f>TEXT(ASTemp!H2511,Decimals)</f>
        <v/>
      </c>
      <c r="I2511" s="69" t="str">
        <f>TEXT(ASTemp!I2511,Decimals)</f>
        <v/>
      </c>
      <c r="J2511" s="69" t="str">
        <f>TEXT(ASTemp!J2511,Decimals)</f>
        <v/>
      </c>
      <c r="K2511" s="69" t="str">
        <f>TEXT(ASTemp!K2511,Decimals)</f>
        <v/>
      </c>
      <c r="L2511" s="69" t="str">
        <f>TEXT(ASTemp!L2511,Decimals)</f>
        <v/>
      </c>
      <c r="M2511" s="71" t="str">
        <f>TEXT(ASTemp!M2511,Percentages)</f>
        <v/>
      </c>
      <c r="N2511" s="72" t="str">
        <f>TEXT(ASTemp!N2511,Percentages)</f>
        <v/>
      </c>
    </row>
    <row r="2512" ht="14.25" customHeight="1">
      <c r="B2512" s="66" t="str">
        <f>ASTemp!B2512</f>
        <v/>
      </c>
      <c r="C2512" s="67" t="str">
        <f>ASTemp!C2512</f>
        <v/>
      </c>
      <c r="D2512" s="68" t="str">
        <f>ASTemp!D2512</f>
        <v/>
      </c>
      <c r="E2512" s="65" t="str">
        <f>ASTemp!E2512</f>
        <v/>
      </c>
      <c r="F2512" s="69" t="str">
        <f>TEXT(ASTemp!F2512,Decimals)</f>
        <v/>
      </c>
      <c r="G2512" s="69" t="str">
        <f>TEXT(ASTemp!G2512,Decimals)</f>
        <v/>
      </c>
      <c r="H2512" s="69" t="str">
        <f>TEXT(ASTemp!H2512,Decimals)</f>
        <v/>
      </c>
      <c r="I2512" s="69" t="str">
        <f>TEXT(ASTemp!I2512,Decimals)</f>
        <v/>
      </c>
      <c r="J2512" s="69" t="str">
        <f>TEXT(ASTemp!J2512,Decimals)</f>
        <v/>
      </c>
      <c r="K2512" s="69" t="str">
        <f>TEXT(ASTemp!K2512,Decimals)</f>
        <v/>
      </c>
      <c r="L2512" s="69" t="str">
        <f>TEXT(ASTemp!L2512,Decimals)</f>
        <v/>
      </c>
      <c r="M2512" s="71" t="str">
        <f>TEXT(ASTemp!M2512,Percentages)</f>
        <v/>
      </c>
      <c r="N2512" s="72" t="str">
        <f>TEXT(ASTemp!N2512,Percentages)</f>
        <v/>
      </c>
    </row>
    <row r="2513" ht="14.25" customHeight="1">
      <c r="B2513" s="66" t="str">
        <f>ASTemp!B2513</f>
        <v/>
      </c>
      <c r="C2513" s="67" t="str">
        <f>ASTemp!C2513</f>
        <v/>
      </c>
      <c r="D2513" s="68" t="str">
        <f>ASTemp!D2513</f>
        <v/>
      </c>
      <c r="E2513" s="65" t="str">
        <f>ASTemp!E2513</f>
        <v/>
      </c>
      <c r="F2513" s="69" t="str">
        <f>TEXT(ASTemp!F2513,Decimals)</f>
        <v/>
      </c>
      <c r="G2513" s="69" t="str">
        <f>TEXT(ASTemp!G2513,Decimals)</f>
        <v/>
      </c>
      <c r="H2513" s="69" t="str">
        <f>TEXT(ASTemp!H2513,Decimals)</f>
        <v/>
      </c>
      <c r="I2513" s="69" t="str">
        <f>TEXT(ASTemp!I2513,Decimals)</f>
        <v/>
      </c>
      <c r="J2513" s="69" t="str">
        <f>TEXT(ASTemp!J2513,Decimals)</f>
        <v/>
      </c>
      <c r="K2513" s="69" t="str">
        <f>TEXT(ASTemp!K2513,Decimals)</f>
        <v/>
      </c>
      <c r="L2513" s="69" t="str">
        <f>TEXT(ASTemp!L2513,Decimals)</f>
        <v/>
      </c>
      <c r="M2513" s="71" t="str">
        <f>TEXT(ASTemp!M2513,Percentages)</f>
        <v/>
      </c>
      <c r="N2513" s="72" t="str">
        <f>TEXT(ASTemp!N2513,Percentages)</f>
        <v/>
      </c>
    </row>
    <row r="2514" ht="14.25" customHeight="1">
      <c r="B2514" s="66" t="str">
        <f>ASTemp!B2514</f>
        <v/>
      </c>
      <c r="C2514" s="67" t="str">
        <f>ASTemp!C2514</f>
        <v/>
      </c>
      <c r="D2514" s="68" t="str">
        <f>ASTemp!D2514</f>
        <v/>
      </c>
      <c r="E2514" s="65" t="str">
        <f>ASTemp!E2514</f>
        <v/>
      </c>
      <c r="F2514" s="69" t="str">
        <f>TEXT(ASTemp!F2514,Decimals)</f>
        <v/>
      </c>
      <c r="G2514" s="69" t="str">
        <f>TEXT(ASTemp!G2514,Decimals)</f>
        <v/>
      </c>
      <c r="H2514" s="69" t="str">
        <f>TEXT(ASTemp!H2514,Decimals)</f>
        <v/>
      </c>
      <c r="I2514" s="69" t="str">
        <f>TEXT(ASTemp!I2514,Decimals)</f>
        <v/>
      </c>
      <c r="J2514" s="69" t="str">
        <f>TEXT(ASTemp!J2514,Decimals)</f>
        <v/>
      </c>
      <c r="K2514" s="69" t="str">
        <f>TEXT(ASTemp!K2514,Decimals)</f>
        <v/>
      </c>
      <c r="L2514" s="69" t="str">
        <f>TEXT(ASTemp!L2514,Decimals)</f>
        <v/>
      </c>
      <c r="M2514" s="71" t="str">
        <f>TEXT(ASTemp!M2514,Percentages)</f>
        <v/>
      </c>
      <c r="N2514" s="72" t="str">
        <f>TEXT(ASTemp!N2514,Percentages)</f>
        <v/>
      </c>
    </row>
    <row r="2515" ht="14.25" customHeight="1">
      <c r="B2515" s="66" t="str">
        <f>ASTemp!B2515</f>
        <v/>
      </c>
      <c r="C2515" s="67" t="str">
        <f>ASTemp!C2515</f>
        <v/>
      </c>
      <c r="D2515" s="68" t="str">
        <f>ASTemp!D2515</f>
        <v/>
      </c>
      <c r="E2515" s="65" t="str">
        <f>ASTemp!E2515</f>
        <v/>
      </c>
      <c r="F2515" s="69" t="str">
        <f>TEXT(ASTemp!F2515,Decimals)</f>
        <v/>
      </c>
      <c r="G2515" s="69" t="str">
        <f>TEXT(ASTemp!G2515,Decimals)</f>
        <v/>
      </c>
      <c r="H2515" s="69" t="str">
        <f>TEXT(ASTemp!H2515,Decimals)</f>
        <v/>
      </c>
      <c r="I2515" s="69" t="str">
        <f>TEXT(ASTemp!I2515,Decimals)</f>
        <v/>
      </c>
      <c r="J2515" s="69" t="str">
        <f>TEXT(ASTemp!J2515,Decimals)</f>
        <v/>
      </c>
      <c r="K2515" s="69" t="str">
        <f>TEXT(ASTemp!K2515,Decimals)</f>
        <v/>
      </c>
      <c r="L2515" s="69" t="str">
        <f>TEXT(ASTemp!L2515,Decimals)</f>
        <v/>
      </c>
      <c r="M2515" s="71" t="str">
        <f>TEXT(ASTemp!M2515,Percentages)</f>
        <v/>
      </c>
      <c r="N2515" s="72" t="str">
        <f>TEXT(ASTemp!N2515,Percentages)</f>
        <v/>
      </c>
    </row>
    <row r="2516" ht="14.25" customHeight="1">
      <c r="B2516" s="66" t="str">
        <f>ASTemp!B2516</f>
        <v/>
      </c>
      <c r="C2516" s="67" t="str">
        <f>ASTemp!C2516</f>
        <v/>
      </c>
      <c r="D2516" s="68" t="str">
        <f>ASTemp!D2516</f>
        <v/>
      </c>
      <c r="E2516" s="65" t="str">
        <f>ASTemp!E2516</f>
        <v/>
      </c>
      <c r="F2516" s="69" t="str">
        <f>TEXT(ASTemp!F2516,Decimals)</f>
        <v/>
      </c>
      <c r="G2516" s="69" t="str">
        <f>TEXT(ASTemp!G2516,Decimals)</f>
        <v/>
      </c>
      <c r="H2516" s="69" t="str">
        <f>TEXT(ASTemp!H2516,Decimals)</f>
        <v/>
      </c>
      <c r="I2516" s="69" t="str">
        <f>TEXT(ASTemp!I2516,Decimals)</f>
        <v/>
      </c>
      <c r="J2516" s="69" t="str">
        <f>TEXT(ASTemp!J2516,Decimals)</f>
        <v/>
      </c>
      <c r="K2516" s="69" t="str">
        <f>TEXT(ASTemp!K2516,Decimals)</f>
        <v/>
      </c>
      <c r="L2516" s="69" t="str">
        <f>TEXT(ASTemp!L2516,Decimals)</f>
        <v/>
      </c>
      <c r="M2516" s="71" t="str">
        <f>TEXT(ASTemp!M2516,Percentages)</f>
        <v/>
      </c>
      <c r="N2516" s="72" t="str">
        <f>TEXT(ASTemp!N2516,Percentages)</f>
        <v/>
      </c>
    </row>
    <row r="2517" ht="14.25" customHeight="1">
      <c r="B2517" s="66" t="str">
        <f>ASTemp!B2517</f>
        <v/>
      </c>
      <c r="C2517" s="67" t="str">
        <f>ASTemp!C2517</f>
        <v/>
      </c>
      <c r="D2517" s="68" t="str">
        <f>ASTemp!D2517</f>
        <v/>
      </c>
      <c r="E2517" s="65" t="str">
        <f>ASTemp!E2517</f>
        <v/>
      </c>
      <c r="F2517" s="69" t="str">
        <f>TEXT(ASTemp!F2517,Decimals)</f>
        <v/>
      </c>
      <c r="G2517" s="69" t="str">
        <f>TEXT(ASTemp!G2517,Decimals)</f>
        <v/>
      </c>
      <c r="H2517" s="69" t="str">
        <f>TEXT(ASTemp!H2517,Decimals)</f>
        <v/>
      </c>
      <c r="I2517" s="69" t="str">
        <f>TEXT(ASTemp!I2517,Decimals)</f>
        <v/>
      </c>
      <c r="J2517" s="69" t="str">
        <f>TEXT(ASTemp!J2517,Decimals)</f>
        <v/>
      </c>
      <c r="K2517" s="69" t="str">
        <f>TEXT(ASTemp!K2517,Decimals)</f>
        <v/>
      </c>
      <c r="L2517" s="69" t="str">
        <f>TEXT(ASTemp!L2517,Decimals)</f>
        <v/>
      </c>
      <c r="M2517" s="71" t="str">
        <f>TEXT(ASTemp!M2517,Percentages)</f>
        <v/>
      </c>
      <c r="N2517" s="72" t="str">
        <f>TEXT(ASTemp!N2517,Percentages)</f>
        <v/>
      </c>
    </row>
    <row r="2518" ht="14.25" customHeight="1">
      <c r="B2518" s="66" t="str">
        <f>ASTemp!B2518</f>
        <v/>
      </c>
      <c r="C2518" s="67" t="str">
        <f>ASTemp!C2518</f>
        <v/>
      </c>
      <c r="D2518" s="68" t="str">
        <f>ASTemp!D2518</f>
        <v/>
      </c>
      <c r="E2518" s="65" t="str">
        <f>ASTemp!E2518</f>
        <v/>
      </c>
      <c r="F2518" s="69" t="str">
        <f>TEXT(ASTemp!F2518,Decimals)</f>
        <v/>
      </c>
      <c r="G2518" s="69" t="str">
        <f>TEXT(ASTemp!G2518,Decimals)</f>
        <v/>
      </c>
      <c r="H2518" s="69" t="str">
        <f>TEXT(ASTemp!H2518,Decimals)</f>
        <v/>
      </c>
      <c r="I2518" s="69" t="str">
        <f>TEXT(ASTemp!I2518,Decimals)</f>
        <v/>
      </c>
      <c r="J2518" s="69" t="str">
        <f>TEXT(ASTemp!J2518,Decimals)</f>
        <v/>
      </c>
      <c r="K2518" s="69" t="str">
        <f>TEXT(ASTemp!K2518,Decimals)</f>
        <v/>
      </c>
      <c r="L2518" s="69" t="str">
        <f>TEXT(ASTemp!L2518,Decimals)</f>
        <v/>
      </c>
      <c r="M2518" s="71" t="str">
        <f>TEXT(ASTemp!M2518,Percentages)</f>
        <v/>
      </c>
      <c r="N2518" s="72" t="str">
        <f>TEXT(ASTemp!N2518,Percentages)</f>
        <v/>
      </c>
    </row>
    <row r="2519" ht="14.25" customHeight="1">
      <c r="B2519" s="66" t="str">
        <f>ASTemp!B2519</f>
        <v/>
      </c>
      <c r="C2519" s="67" t="str">
        <f>ASTemp!C2519</f>
        <v/>
      </c>
      <c r="D2519" s="68" t="str">
        <f>ASTemp!D2519</f>
        <v/>
      </c>
      <c r="E2519" s="65" t="str">
        <f>ASTemp!E2519</f>
        <v/>
      </c>
      <c r="F2519" s="69" t="str">
        <f>TEXT(ASTemp!F2519,Decimals)</f>
        <v/>
      </c>
      <c r="G2519" s="69" t="str">
        <f>TEXT(ASTemp!G2519,Decimals)</f>
        <v/>
      </c>
      <c r="H2519" s="69" t="str">
        <f>TEXT(ASTemp!H2519,Decimals)</f>
        <v/>
      </c>
      <c r="I2519" s="69" t="str">
        <f>TEXT(ASTemp!I2519,Decimals)</f>
        <v/>
      </c>
      <c r="J2519" s="69" t="str">
        <f>TEXT(ASTemp!J2519,Decimals)</f>
        <v/>
      </c>
      <c r="K2519" s="69" t="str">
        <f>TEXT(ASTemp!K2519,Decimals)</f>
        <v/>
      </c>
      <c r="L2519" s="69" t="str">
        <f>TEXT(ASTemp!L2519,Decimals)</f>
        <v/>
      </c>
      <c r="M2519" s="71" t="str">
        <f>TEXT(ASTemp!M2519,Percentages)</f>
        <v/>
      </c>
      <c r="N2519" s="72" t="str">
        <f>TEXT(ASTemp!N2519,Percentages)</f>
        <v/>
      </c>
    </row>
    <row r="2520" ht="14.25" customHeight="1">
      <c r="B2520" s="66" t="str">
        <f>ASTemp!B2520</f>
        <v/>
      </c>
      <c r="C2520" s="67" t="str">
        <f>ASTemp!C2520</f>
        <v/>
      </c>
      <c r="D2520" s="68" t="str">
        <f>ASTemp!D2520</f>
        <v/>
      </c>
      <c r="E2520" s="65" t="str">
        <f>ASTemp!E2520</f>
        <v/>
      </c>
      <c r="F2520" s="69" t="str">
        <f>TEXT(ASTemp!F2520,Decimals)</f>
        <v/>
      </c>
      <c r="G2520" s="69" t="str">
        <f>TEXT(ASTemp!G2520,Decimals)</f>
        <v/>
      </c>
      <c r="H2520" s="69" t="str">
        <f>TEXT(ASTemp!H2520,Decimals)</f>
        <v/>
      </c>
      <c r="I2520" s="69" t="str">
        <f>TEXT(ASTemp!I2520,Decimals)</f>
        <v/>
      </c>
      <c r="J2520" s="69" t="str">
        <f>TEXT(ASTemp!J2520,Decimals)</f>
        <v/>
      </c>
      <c r="K2520" s="69" t="str">
        <f>TEXT(ASTemp!K2520,Decimals)</f>
        <v/>
      </c>
      <c r="L2520" s="69" t="str">
        <f>TEXT(ASTemp!L2520,Decimals)</f>
        <v/>
      </c>
      <c r="M2520" s="71" t="str">
        <f>TEXT(ASTemp!M2520,Percentages)</f>
        <v/>
      </c>
      <c r="N2520" s="72" t="str">
        <f>TEXT(ASTemp!N2520,Percentages)</f>
        <v/>
      </c>
    </row>
    <row r="2521" ht="14.25" customHeight="1">
      <c r="B2521" s="66" t="str">
        <f>ASTemp!B2521</f>
        <v/>
      </c>
      <c r="C2521" s="67" t="str">
        <f>ASTemp!C2521</f>
        <v/>
      </c>
      <c r="D2521" s="68" t="str">
        <f>ASTemp!D2521</f>
        <v/>
      </c>
      <c r="E2521" s="65" t="str">
        <f>ASTemp!E2521</f>
        <v/>
      </c>
      <c r="F2521" s="69" t="str">
        <f>TEXT(ASTemp!F2521,Decimals)</f>
        <v/>
      </c>
      <c r="G2521" s="69" t="str">
        <f>TEXT(ASTemp!G2521,Decimals)</f>
        <v/>
      </c>
      <c r="H2521" s="69" t="str">
        <f>TEXT(ASTemp!H2521,Decimals)</f>
        <v/>
      </c>
      <c r="I2521" s="69" t="str">
        <f>TEXT(ASTemp!I2521,Decimals)</f>
        <v/>
      </c>
      <c r="J2521" s="69" t="str">
        <f>TEXT(ASTemp!J2521,Decimals)</f>
        <v/>
      </c>
      <c r="K2521" s="69" t="str">
        <f>TEXT(ASTemp!K2521,Decimals)</f>
        <v/>
      </c>
      <c r="L2521" s="69" t="str">
        <f>TEXT(ASTemp!L2521,Decimals)</f>
        <v/>
      </c>
      <c r="M2521" s="71" t="str">
        <f>TEXT(ASTemp!M2521,Percentages)</f>
        <v/>
      </c>
      <c r="N2521" s="72" t="str">
        <f>TEXT(ASTemp!N2521,Percentages)</f>
        <v/>
      </c>
    </row>
    <row r="2522" ht="14.25" customHeight="1">
      <c r="B2522" s="66" t="str">
        <f>ASTemp!B2522</f>
        <v/>
      </c>
      <c r="C2522" s="67" t="str">
        <f>ASTemp!C2522</f>
        <v/>
      </c>
      <c r="D2522" s="68" t="str">
        <f>ASTemp!D2522</f>
        <v/>
      </c>
      <c r="E2522" s="65" t="str">
        <f>ASTemp!E2522</f>
        <v/>
      </c>
      <c r="F2522" s="69" t="str">
        <f>TEXT(ASTemp!F2522,Decimals)</f>
        <v/>
      </c>
      <c r="G2522" s="69" t="str">
        <f>TEXT(ASTemp!G2522,Decimals)</f>
        <v/>
      </c>
      <c r="H2522" s="69" t="str">
        <f>TEXT(ASTemp!H2522,Decimals)</f>
        <v/>
      </c>
      <c r="I2522" s="69" t="str">
        <f>TEXT(ASTemp!I2522,Decimals)</f>
        <v/>
      </c>
      <c r="J2522" s="69" t="str">
        <f>TEXT(ASTemp!J2522,Decimals)</f>
        <v/>
      </c>
      <c r="K2522" s="69" t="str">
        <f>TEXT(ASTemp!K2522,Decimals)</f>
        <v/>
      </c>
      <c r="L2522" s="69" t="str">
        <f>TEXT(ASTemp!L2522,Decimals)</f>
        <v/>
      </c>
      <c r="M2522" s="71" t="str">
        <f>TEXT(ASTemp!M2522,Percentages)</f>
        <v/>
      </c>
      <c r="N2522" s="72" t="str">
        <f>TEXT(ASTemp!N2522,Percentages)</f>
        <v/>
      </c>
    </row>
    <row r="2523" ht="14.25" customHeight="1">
      <c r="B2523" s="66" t="str">
        <f>ASTemp!B2523</f>
        <v/>
      </c>
      <c r="C2523" s="67" t="str">
        <f>ASTemp!C2523</f>
        <v/>
      </c>
      <c r="D2523" s="68" t="str">
        <f>ASTemp!D2523</f>
        <v/>
      </c>
      <c r="E2523" s="65" t="str">
        <f>ASTemp!E2523</f>
        <v/>
      </c>
      <c r="F2523" s="69" t="str">
        <f>TEXT(ASTemp!F2523,Decimals)</f>
        <v/>
      </c>
      <c r="G2523" s="69" t="str">
        <f>TEXT(ASTemp!G2523,Decimals)</f>
        <v/>
      </c>
      <c r="H2523" s="69" t="str">
        <f>TEXT(ASTemp!H2523,Decimals)</f>
        <v/>
      </c>
      <c r="I2523" s="69" t="str">
        <f>TEXT(ASTemp!I2523,Decimals)</f>
        <v/>
      </c>
      <c r="J2523" s="69" t="str">
        <f>TEXT(ASTemp!J2523,Decimals)</f>
        <v/>
      </c>
      <c r="K2523" s="69" t="str">
        <f>TEXT(ASTemp!K2523,Decimals)</f>
        <v/>
      </c>
      <c r="L2523" s="69" t="str">
        <f>TEXT(ASTemp!L2523,Decimals)</f>
        <v/>
      </c>
      <c r="M2523" s="71" t="str">
        <f>TEXT(ASTemp!M2523,Percentages)</f>
        <v/>
      </c>
      <c r="N2523" s="72" t="str">
        <f>TEXT(ASTemp!N2523,Percentages)</f>
        <v/>
      </c>
    </row>
    <row r="2524" ht="14.25" customHeight="1">
      <c r="B2524" s="66" t="str">
        <f>ASTemp!B2524</f>
        <v/>
      </c>
      <c r="C2524" s="67" t="str">
        <f>ASTemp!C2524</f>
        <v/>
      </c>
      <c r="D2524" s="68" t="str">
        <f>ASTemp!D2524</f>
        <v/>
      </c>
      <c r="E2524" s="65" t="str">
        <f>ASTemp!E2524</f>
        <v/>
      </c>
      <c r="F2524" s="69" t="str">
        <f>TEXT(ASTemp!F2524,Decimals)</f>
        <v/>
      </c>
      <c r="G2524" s="69" t="str">
        <f>TEXT(ASTemp!G2524,Decimals)</f>
        <v/>
      </c>
      <c r="H2524" s="69" t="str">
        <f>TEXT(ASTemp!H2524,Decimals)</f>
        <v/>
      </c>
      <c r="I2524" s="69" t="str">
        <f>TEXT(ASTemp!I2524,Decimals)</f>
        <v/>
      </c>
      <c r="J2524" s="69" t="str">
        <f>TEXT(ASTemp!J2524,Decimals)</f>
        <v/>
      </c>
      <c r="K2524" s="69" t="str">
        <f>TEXT(ASTemp!K2524,Decimals)</f>
        <v/>
      </c>
      <c r="L2524" s="69" t="str">
        <f>TEXT(ASTemp!L2524,Decimals)</f>
        <v/>
      </c>
      <c r="M2524" s="71" t="str">
        <f>TEXT(ASTemp!M2524,Percentages)</f>
        <v/>
      </c>
      <c r="N2524" s="72" t="str">
        <f>TEXT(ASTemp!N2524,Percentages)</f>
        <v/>
      </c>
    </row>
    <row r="2525" ht="14.25" customHeight="1">
      <c r="B2525" s="66" t="str">
        <f>ASTemp!B2525</f>
        <v/>
      </c>
      <c r="C2525" s="67" t="str">
        <f>ASTemp!C2525</f>
        <v/>
      </c>
      <c r="D2525" s="68" t="str">
        <f>ASTemp!D2525</f>
        <v/>
      </c>
      <c r="E2525" s="65" t="str">
        <f>ASTemp!E2525</f>
        <v/>
      </c>
      <c r="F2525" s="69" t="str">
        <f>TEXT(ASTemp!F2525,Decimals)</f>
        <v/>
      </c>
      <c r="G2525" s="69" t="str">
        <f>TEXT(ASTemp!G2525,Decimals)</f>
        <v/>
      </c>
      <c r="H2525" s="69" t="str">
        <f>TEXT(ASTemp!H2525,Decimals)</f>
        <v/>
      </c>
      <c r="I2525" s="69" t="str">
        <f>TEXT(ASTemp!I2525,Decimals)</f>
        <v/>
      </c>
      <c r="J2525" s="69" t="str">
        <f>TEXT(ASTemp!J2525,Decimals)</f>
        <v/>
      </c>
      <c r="K2525" s="69" t="str">
        <f>TEXT(ASTemp!K2525,Decimals)</f>
        <v/>
      </c>
      <c r="L2525" s="69" t="str">
        <f>TEXT(ASTemp!L2525,Decimals)</f>
        <v/>
      </c>
      <c r="M2525" s="71" t="str">
        <f>TEXT(ASTemp!M2525,Percentages)</f>
        <v/>
      </c>
      <c r="N2525" s="72" t="str">
        <f>TEXT(ASTemp!N2525,Percentages)</f>
        <v/>
      </c>
    </row>
    <row r="2526" ht="14.25" customHeight="1">
      <c r="B2526" s="66" t="str">
        <f>ASTemp!B2526</f>
        <v/>
      </c>
      <c r="C2526" s="67" t="str">
        <f>ASTemp!C2526</f>
        <v/>
      </c>
      <c r="D2526" s="68" t="str">
        <f>ASTemp!D2526</f>
        <v/>
      </c>
      <c r="E2526" s="65" t="str">
        <f>ASTemp!E2526</f>
        <v/>
      </c>
      <c r="F2526" s="69" t="str">
        <f>TEXT(ASTemp!F2526,Decimals)</f>
        <v/>
      </c>
      <c r="G2526" s="69" t="str">
        <f>TEXT(ASTemp!G2526,Decimals)</f>
        <v/>
      </c>
      <c r="H2526" s="69" t="str">
        <f>TEXT(ASTemp!H2526,Decimals)</f>
        <v/>
      </c>
      <c r="I2526" s="69" t="str">
        <f>TEXT(ASTemp!I2526,Decimals)</f>
        <v/>
      </c>
      <c r="J2526" s="69" t="str">
        <f>TEXT(ASTemp!J2526,Decimals)</f>
        <v/>
      </c>
      <c r="K2526" s="69" t="str">
        <f>TEXT(ASTemp!K2526,Decimals)</f>
        <v/>
      </c>
      <c r="L2526" s="69" t="str">
        <f>TEXT(ASTemp!L2526,Decimals)</f>
        <v/>
      </c>
      <c r="M2526" s="71" t="str">
        <f>TEXT(ASTemp!M2526,Percentages)</f>
        <v/>
      </c>
      <c r="N2526" s="72" t="str">
        <f>TEXT(ASTemp!N2526,Percentages)</f>
        <v/>
      </c>
    </row>
    <row r="2527" ht="14.25" customHeight="1">
      <c r="B2527" s="66" t="str">
        <f>ASTemp!B2527</f>
        <v/>
      </c>
      <c r="C2527" s="67" t="str">
        <f>ASTemp!C2527</f>
        <v/>
      </c>
      <c r="D2527" s="68" t="str">
        <f>ASTemp!D2527</f>
        <v/>
      </c>
      <c r="E2527" s="65" t="str">
        <f>ASTemp!E2527</f>
        <v/>
      </c>
      <c r="F2527" s="69" t="str">
        <f>TEXT(ASTemp!F2527,Decimals)</f>
        <v/>
      </c>
      <c r="G2527" s="69" t="str">
        <f>TEXT(ASTemp!G2527,Decimals)</f>
        <v/>
      </c>
      <c r="H2527" s="69" t="str">
        <f>TEXT(ASTemp!H2527,Decimals)</f>
        <v/>
      </c>
      <c r="I2527" s="69" t="str">
        <f>TEXT(ASTemp!I2527,Decimals)</f>
        <v/>
      </c>
      <c r="J2527" s="69" t="str">
        <f>TEXT(ASTemp!J2527,Decimals)</f>
        <v/>
      </c>
      <c r="K2527" s="69" t="str">
        <f>TEXT(ASTemp!K2527,Decimals)</f>
        <v/>
      </c>
      <c r="L2527" s="69" t="str">
        <f>TEXT(ASTemp!L2527,Decimals)</f>
        <v/>
      </c>
      <c r="M2527" s="71" t="str">
        <f>TEXT(ASTemp!M2527,Percentages)</f>
        <v/>
      </c>
      <c r="N2527" s="72" t="str">
        <f>TEXT(ASTemp!N2527,Percentages)</f>
        <v/>
      </c>
    </row>
    <row r="2528" ht="14.25" customHeight="1">
      <c r="B2528" s="66" t="str">
        <f>ASTemp!B2528</f>
        <v/>
      </c>
      <c r="C2528" s="67" t="str">
        <f>ASTemp!C2528</f>
        <v/>
      </c>
      <c r="D2528" s="68" t="str">
        <f>ASTemp!D2528</f>
        <v/>
      </c>
      <c r="E2528" s="65" t="str">
        <f>ASTemp!E2528</f>
        <v/>
      </c>
      <c r="F2528" s="69" t="str">
        <f>TEXT(ASTemp!F2528,Decimals)</f>
        <v/>
      </c>
      <c r="G2528" s="69" t="str">
        <f>TEXT(ASTemp!G2528,Decimals)</f>
        <v/>
      </c>
      <c r="H2528" s="69" t="str">
        <f>TEXT(ASTemp!H2528,Decimals)</f>
        <v/>
      </c>
      <c r="I2528" s="69" t="str">
        <f>TEXT(ASTemp!I2528,Decimals)</f>
        <v/>
      </c>
      <c r="J2528" s="69" t="str">
        <f>TEXT(ASTemp!J2528,Decimals)</f>
        <v/>
      </c>
      <c r="K2528" s="69" t="str">
        <f>TEXT(ASTemp!K2528,Decimals)</f>
        <v/>
      </c>
      <c r="L2528" s="69" t="str">
        <f>TEXT(ASTemp!L2528,Decimals)</f>
        <v/>
      </c>
      <c r="M2528" s="71" t="str">
        <f>TEXT(ASTemp!M2528,Percentages)</f>
        <v/>
      </c>
      <c r="N2528" s="72" t="str">
        <f>TEXT(ASTemp!N2528,Percentages)</f>
        <v/>
      </c>
    </row>
    <row r="2529" ht="14.25" customHeight="1">
      <c r="B2529" s="66" t="str">
        <f>ASTemp!B2529</f>
        <v/>
      </c>
      <c r="C2529" s="67" t="str">
        <f>ASTemp!C2529</f>
        <v/>
      </c>
      <c r="D2529" s="68" t="str">
        <f>ASTemp!D2529</f>
        <v/>
      </c>
      <c r="E2529" s="65" t="str">
        <f>ASTemp!E2529</f>
        <v/>
      </c>
      <c r="F2529" s="69" t="str">
        <f>TEXT(ASTemp!F2529,Decimals)</f>
        <v/>
      </c>
      <c r="G2529" s="69" t="str">
        <f>TEXT(ASTemp!G2529,Decimals)</f>
        <v/>
      </c>
      <c r="H2529" s="69" t="str">
        <f>TEXT(ASTemp!H2529,Decimals)</f>
        <v/>
      </c>
      <c r="I2529" s="69" t="str">
        <f>TEXT(ASTemp!I2529,Decimals)</f>
        <v/>
      </c>
      <c r="J2529" s="69" t="str">
        <f>TEXT(ASTemp!J2529,Decimals)</f>
        <v/>
      </c>
      <c r="K2529" s="69" t="str">
        <f>TEXT(ASTemp!K2529,Decimals)</f>
        <v/>
      </c>
      <c r="L2529" s="69" t="str">
        <f>TEXT(ASTemp!L2529,Decimals)</f>
        <v/>
      </c>
      <c r="M2529" s="71" t="str">
        <f>TEXT(ASTemp!M2529,Percentages)</f>
        <v/>
      </c>
      <c r="N2529" s="72" t="str">
        <f>TEXT(ASTemp!N2529,Percentages)</f>
        <v/>
      </c>
    </row>
    <row r="2530" ht="14.25" customHeight="1">
      <c r="B2530" s="66" t="str">
        <f>ASTemp!B2530</f>
        <v/>
      </c>
      <c r="C2530" s="67" t="str">
        <f>ASTemp!C2530</f>
        <v/>
      </c>
      <c r="D2530" s="68" t="str">
        <f>ASTemp!D2530</f>
        <v/>
      </c>
      <c r="E2530" s="65" t="str">
        <f>ASTemp!E2530</f>
        <v/>
      </c>
      <c r="F2530" s="69" t="str">
        <f>TEXT(ASTemp!F2530,Decimals)</f>
        <v/>
      </c>
      <c r="G2530" s="69" t="str">
        <f>TEXT(ASTemp!G2530,Decimals)</f>
        <v/>
      </c>
      <c r="H2530" s="69" t="str">
        <f>TEXT(ASTemp!H2530,Decimals)</f>
        <v/>
      </c>
      <c r="I2530" s="69" t="str">
        <f>TEXT(ASTemp!I2530,Decimals)</f>
        <v/>
      </c>
      <c r="J2530" s="69" t="str">
        <f>TEXT(ASTemp!J2530,Decimals)</f>
        <v/>
      </c>
      <c r="K2530" s="69" t="str">
        <f>TEXT(ASTemp!K2530,Decimals)</f>
        <v/>
      </c>
      <c r="L2530" s="69" t="str">
        <f>TEXT(ASTemp!L2530,Decimals)</f>
        <v/>
      </c>
      <c r="M2530" s="71" t="str">
        <f>TEXT(ASTemp!M2530,Percentages)</f>
        <v/>
      </c>
      <c r="N2530" s="72" t="str">
        <f>TEXT(ASTemp!N2530,Percentages)</f>
        <v/>
      </c>
    </row>
    <row r="2531" ht="14.25" customHeight="1">
      <c r="B2531" s="66" t="str">
        <f>ASTemp!B2531</f>
        <v/>
      </c>
      <c r="C2531" s="67" t="str">
        <f>ASTemp!C2531</f>
        <v/>
      </c>
      <c r="D2531" s="68" t="str">
        <f>ASTemp!D2531</f>
        <v/>
      </c>
      <c r="E2531" s="65" t="str">
        <f>ASTemp!E2531</f>
        <v/>
      </c>
      <c r="F2531" s="69" t="str">
        <f>TEXT(ASTemp!F2531,Decimals)</f>
        <v/>
      </c>
      <c r="G2531" s="69" t="str">
        <f>TEXT(ASTemp!G2531,Decimals)</f>
        <v/>
      </c>
      <c r="H2531" s="69" t="str">
        <f>TEXT(ASTemp!H2531,Decimals)</f>
        <v/>
      </c>
      <c r="I2531" s="69" t="str">
        <f>TEXT(ASTemp!I2531,Decimals)</f>
        <v/>
      </c>
      <c r="J2531" s="69" t="str">
        <f>TEXT(ASTemp!J2531,Decimals)</f>
        <v/>
      </c>
      <c r="K2531" s="69" t="str">
        <f>TEXT(ASTemp!K2531,Decimals)</f>
        <v/>
      </c>
      <c r="L2531" s="69" t="str">
        <f>TEXT(ASTemp!L2531,Decimals)</f>
        <v/>
      </c>
      <c r="M2531" s="71" t="str">
        <f>TEXT(ASTemp!M2531,Percentages)</f>
        <v/>
      </c>
      <c r="N2531" s="72" t="str">
        <f>TEXT(ASTemp!N2531,Percentages)</f>
        <v/>
      </c>
    </row>
    <row r="2532" ht="14.25" customHeight="1">
      <c r="B2532" s="66" t="str">
        <f>ASTemp!B2532</f>
        <v/>
      </c>
      <c r="C2532" s="67" t="str">
        <f>ASTemp!C2532</f>
        <v/>
      </c>
      <c r="D2532" s="68" t="str">
        <f>ASTemp!D2532</f>
        <v/>
      </c>
      <c r="E2532" s="65" t="str">
        <f>ASTemp!E2532</f>
        <v/>
      </c>
      <c r="F2532" s="69" t="str">
        <f>TEXT(ASTemp!F2532,Decimals)</f>
        <v/>
      </c>
      <c r="G2532" s="69" t="str">
        <f>TEXT(ASTemp!G2532,Decimals)</f>
        <v/>
      </c>
      <c r="H2532" s="69" t="str">
        <f>TEXT(ASTemp!H2532,Decimals)</f>
        <v/>
      </c>
      <c r="I2532" s="69" t="str">
        <f>TEXT(ASTemp!I2532,Decimals)</f>
        <v/>
      </c>
      <c r="J2532" s="69" t="str">
        <f>TEXT(ASTemp!J2532,Decimals)</f>
        <v/>
      </c>
      <c r="K2532" s="69" t="str">
        <f>TEXT(ASTemp!K2532,Decimals)</f>
        <v/>
      </c>
      <c r="L2532" s="69" t="str">
        <f>TEXT(ASTemp!L2532,Decimals)</f>
        <v/>
      </c>
      <c r="M2532" s="71" t="str">
        <f>TEXT(ASTemp!M2532,Percentages)</f>
        <v/>
      </c>
      <c r="N2532" s="72" t="str">
        <f>TEXT(ASTemp!N2532,Percentages)</f>
        <v/>
      </c>
    </row>
    <row r="2533" ht="14.25" customHeight="1">
      <c r="B2533" s="66" t="str">
        <f>ASTemp!B2533</f>
        <v/>
      </c>
      <c r="C2533" s="67" t="str">
        <f>ASTemp!C2533</f>
        <v/>
      </c>
      <c r="D2533" s="68" t="str">
        <f>ASTemp!D2533</f>
        <v/>
      </c>
      <c r="E2533" s="65" t="str">
        <f>ASTemp!E2533</f>
        <v/>
      </c>
      <c r="F2533" s="69" t="str">
        <f>TEXT(ASTemp!F2533,Decimals)</f>
        <v/>
      </c>
      <c r="G2533" s="69" t="str">
        <f>TEXT(ASTemp!G2533,Decimals)</f>
        <v/>
      </c>
      <c r="H2533" s="69" t="str">
        <f>TEXT(ASTemp!H2533,Decimals)</f>
        <v/>
      </c>
      <c r="I2533" s="69" t="str">
        <f>TEXT(ASTemp!I2533,Decimals)</f>
        <v/>
      </c>
      <c r="J2533" s="69" t="str">
        <f>TEXT(ASTemp!J2533,Decimals)</f>
        <v/>
      </c>
      <c r="K2533" s="69" t="str">
        <f>TEXT(ASTemp!K2533,Decimals)</f>
        <v/>
      </c>
      <c r="L2533" s="69" t="str">
        <f>TEXT(ASTemp!L2533,Decimals)</f>
        <v/>
      </c>
      <c r="M2533" s="71" t="str">
        <f>TEXT(ASTemp!M2533,Percentages)</f>
        <v/>
      </c>
      <c r="N2533" s="72" t="str">
        <f>TEXT(ASTemp!N2533,Percentages)</f>
        <v/>
      </c>
    </row>
    <row r="2534" ht="14.25" customHeight="1">
      <c r="B2534" s="66" t="str">
        <f>ASTemp!B2534</f>
        <v/>
      </c>
      <c r="C2534" s="67" t="str">
        <f>ASTemp!C2534</f>
        <v/>
      </c>
      <c r="D2534" s="68" t="str">
        <f>ASTemp!D2534</f>
        <v/>
      </c>
      <c r="E2534" s="65" t="str">
        <f>ASTemp!E2534</f>
        <v/>
      </c>
      <c r="F2534" s="69" t="str">
        <f>TEXT(ASTemp!F2534,Decimals)</f>
        <v/>
      </c>
      <c r="G2534" s="69" t="str">
        <f>TEXT(ASTemp!G2534,Decimals)</f>
        <v/>
      </c>
      <c r="H2534" s="69" t="str">
        <f>TEXT(ASTemp!H2534,Decimals)</f>
        <v/>
      </c>
      <c r="I2534" s="69" t="str">
        <f>TEXT(ASTemp!I2534,Decimals)</f>
        <v/>
      </c>
      <c r="J2534" s="69" t="str">
        <f>TEXT(ASTemp!J2534,Decimals)</f>
        <v/>
      </c>
      <c r="K2534" s="69" t="str">
        <f>TEXT(ASTemp!K2534,Decimals)</f>
        <v/>
      </c>
      <c r="L2534" s="69" t="str">
        <f>TEXT(ASTemp!L2534,Decimals)</f>
        <v/>
      </c>
      <c r="M2534" s="71" t="str">
        <f>TEXT(ASTemp!M2534,Percentages)</f>
        <v/>
      </c>
      <c r="N2534" s="72" t="str">
        <f>TEXT(ASTemp!N2534,Percentages)</f>
        <v/>
      </c>
    </row>
    <row r="2535" ht="14.25" customHeight="1">
      <c r="B2535" s="66" t="str">
        <f>ASTemp!B2535</f>
        <v/>
      </c>
      <c r="C2535" s="67" t="str">
        <f>ASTemp!C2535</f>
        <v/>
      </c>
      <c r="D2535" s="68" t="str">
        <f>ASTemp!D2535</f>
        <v/>
      </c>
      <c r="E2535" s="65" t="str">
        <f>ASTemp!E2535</f>
        <v/>
      </c>
      <c r="F2535" s="69" t="str">
        <f>TEXT(ASTemp!F2535,Decimals)</f>
        <v/>
      </c>
      <c r="G2535" s="69" t="str">
        <f>TEXT(ASTemp!G2535,Decimals)</f>
        <v/>
      </c>
      <c r="H2535" s="69" t="str">
        <f>TEXT(ASTemp!H2535,Decimals)</f>
        <v/>
      </c>
      <c r="I2535" s="69" t="str">
        <f>TEXT(ASTemp!I2535,Decimals)</f>
        <v/>
      </c>
      <c r="J2535" s="69" t="str">
        <f>TEXT(ASTemp!J2535,Decimals)</f>
        <v/>
      </c>
      <c r="K2535" s="69" t="str">
        <f>TEXT(ASTemp!K2535,Decimals)</f>
        <v/>
      </c>
      <c r="L2535" s="69" t="str">
        <f>TEXT(ASTemp!L2535,Decimals)</f>
        <v/>
      </c>
      <c r="M2535" s="71" t="str">
        <f>TEXT(ASTemp!M2535,Percentages)</f>
        <v/>
      </c>
      <c r="N2535" s="72" t="str">
        <f>TEXT(ASTemp!N2535,Percentages)</f>
        <v/>
      </c>
    </row>
    <row r="2536" ht="14.25" customHeight="1">
      <c r="B2536" s="66" t="str">
        <f>ASTemp!B2536</f>
        <v/>
      </c>
      <c r="C2536" s="67" t="str">
        <f>ASTemp!C2536</f>
        <v/>
      </c>
      <c r="D2536" s="68" t="str">
        <f>ASTemp!D2536</f>
        <v/>
      </c>
      <c r="E2536" s="65" t="str">
        <f>ASTemp!E2536</f>
        <v/>
      </c>
      <c r="F2536" s="69" t="str">
        <f>TEXT(ASTemp!F2536,Decimals)</f>
        <v/>
      </c>
      <c r="G2536" s="69" t="str">
        <f>TEXT(ASTemp!G2536,Decimals)</f>
        <v/>
      </c>
      <c r="H2536" s="69" t="str">
        <f>TEXT(ASTemp!H2536,Decimals)</f>
        <v/>
      </c>
      <c r="I2536" s="69" t="str">
        <f>TEXT(ASTemp!I2536,Decimals)</f>
        <v/>
      </c>
      <c r="J2536" s="69" t="str">
        <f>TEXT(ASTemp!J2536,Decimals)</f>
        <v/>
      </c>
      <c r="K2536" s="69" t="str">
        <f>TEXT(ASTemp!K2536,Decimals)</f>
        <v/>
      </c>
      <c r="L2536" s="69" t="str">
        <f>TEXT(ASTemp!L2536,Decimals)</f>
        <v/>
      </c>
      <c r="M2536" s="71" t="str">
        <f>TEXT(ASTemp!M2536,Percentages)</f>
        <v/>
      </c>
      <c r="N2536" s="72" t="str">
        <f>TEXT(ASTemp!N2536,Percentages)</f>
        <v/>
      </c>
    </row>
    <row r="2537" ht="14.25" customHeight="1">
      <c r="B2537" s="66" t="str">
        <f>ASTemp!B2537</f>
        <v/>
      </c>
      <c r="C2537" s="67" t="str">
        <f>ASTemp!C2537</f>
        <v/>
      </c>
      <c r="D2537" s="68" t="str">
        <f>ASTemp!D2537</f>
        <v/>
      </c>
      <c r="E2537" s="65" t="str">
        <f>ASTemp!E2537</f>
        <v/>
      </c>
      <c r="F2537" s="69" t="str">
        <f>TEXT(ASTemp!F2537,Decimals)</f>
        <v/>
      </c>
      <c r="G2537" s="69" t="str">
        <f>TEXT(ASTemp!G2537,Decimals)</f>
        <v/>
      </c>
      <c r="H2537" s="69" t="str">
        <f>TEXT(ASTemp!H2537,Decimals)</f>
        <v/>
      </c>
      <c r="I2537" s="69" t="str">
        <f>TEXT(ASTemp!I2537,Decimals)</f>
        <v/>
      </c>
      <c r="J2537" s="69" t="str">
        <f>TEXT(ASTemp!J2537,Decimals)</f>
        <v/>
      </c>
      <c r="K2537" s="69" t="str">
        <f>TEXT(ASTemp!K2537,Decimals)</f>
        <v/>
      </c>
      <c r="L2537" s="69" t="str">
        <f>TEXT(ASTemp!L2537,Decimals)</f>
        <v/>
      </c>
      <c r="M2537" s="71" t="str">
        <f>TEXT(ASTemp!M2537,Percentages)</f>
        <v/>
      </c>
      <c r="N2537" s="72" t="str">
        <f>TEXT(ASTemp!N2537,Percentages)</f>
        <v/>
      </c>
    </row>
    <row r="2538" ht="14.25" customHeight="1">
      <c r="B2538" s="66" t="str">
        <f>ASTemp!B2538</f>
        <v/>
      </c>
      <c r="C2538" s="67" t="str">
        <f>ASTemp!C2538</f>
        <v/>
      </c>
      <c r="D2538" s="68" t="str">
        <f>ASTemp!D2538</f>
        <v/>
      </c>
      <c r="E2538" s="65" t="str">
        <f>ASTemp!E2538</f>
        <v/>
      </c>
      <c r="F2538" s="69" t="str">
        <f>TEXT(ASTemp!F2538,Decimals)</f>
        <v/>
      </c>
      <c r="G2538" s="69" t="str">
        <f>TEXT(ASTemp!G2538,Decimals)</f>
        <v/>
      </c>
      <c r="H2538" s="69" t="str">
        <f>TEXT(ASTemp!H2538,Decimals)</f>
        <v/>
      </c>
      <c r="I2538" s="69" t="str">
        <f>TEXT(ASTemp!I2538,Decimals)</f>
        <v/>
      </c>
      <c r="J2538" s="69" t="str">
        <f>TEXT(ASTemp!J2538,Decimals)</f>
        <v/>
      </c>
      <c r="K2538" s="69" t="str">
        <f>TEXT(ASTemp!K2538,Decimals)</f>
        <v/>
      </c>
      <c r="L2538" s="69" t="str">
        <f>TEXT(ASTemp!L2538,Decimals)</f>
        <v/>
      </c>
      <c r="M2538" s="71" t="str">
        <f>TEXT(ASTemp!M2538,Percentages)</f>
        <v/>
      </c>
      <c r="N2538" s="72" t="str">
        <f>TEXT(ASTemp!N2538,Percentages)</f>
        <v/>
      </c>
    </row>
    <row r="2539" ht="14.25" customHeight="1">
      <c r="B2539" s="66" t="str">
        <f>ASTemp!B2539</f>
        <v/>
      </c>
      <c r="C2539" s="67" t="str">
        <f>ASTemp!C2539</f>
        <v/>
      </c>
      <c r="D2539" s="68" t="str">
        <f>ASTemp!D2539</f>
        <v/>
      </c>
      <c r="E2539" s="65" t="str">
        <f>ASTemp!E2539</f>
        <v/>
      </c>
      <c r="F2539" s="69" t="str">
        <f>TEXT(ASTemp!F2539,Decimals)</f>
        <v/>
      </c>
      <c r="G2539" s="69" t="str">
        <f>TEXT(ASTemp!G2539,Decimals)</f>
        <v/>
      </c>
      <c r="H2539" s="69" t="str">
        <f>TEXT(ASTemp!H2539,Decimals)</f>
        <v/>
      </c>
      <c r="I2539" s="69" t="str">
        <f>TEXT(ASTemp!I2539,Decimals)</f>
        <v/>
      </c>
      <c r="J2539" s="69" t="str">
        <f>TEXT(ASTemp!J2539,Decimals)</f>
        <v/>
      </c>
      <c r="K2539" s="69" t="str">
        <f>TEXT(ASTemp!K2539,Decimals)</f>
        <v/>
      </c>
      <c r="L2539" s="69" t="str">
        <f>TEXT(ASTemp!L2539,Decimals)</f>
        <v/>
      </c>
      <c r="M2539" s="71" t="str">
        <f>TEXT(ASTemp!M2539,Percentages)</f>
        <v/>
      </c>
      <c r="N2539" s="72" t="str">
        <f>TEXT(ASTemp!N2539,Percentages)</f>
        <v/>
      </c>
    </row>
    <row r="2540" ht="14.25" customHeight="1">
      <c r="B2540" s="66" t="str">
        <f>ASTemp!B2540</f>
        <v/>
      </c>
      <c r="C2540" s="67" t="str">
        <f>ASTemp!C2540</f>
        <v/>
      </c>
      <c r="D2540" s="68" t="str">
        <f>ASTemp!D2540</f>
        <v/>
      </c>
      <c r="E2540" s="65" t="str">
        <f>ASTemp!E2540</f>
        <v/>
      </c>
      <c r="F2540" s="69" t="str">
        <f>TEXT(ASTemp!F2540,Decimals)</f>
        <v/>
      </c>
      <c r="G2540" s="69" t="str">
        <f>TEXT(ASTemp!G2540,Decimals)</f>
        <v/>
      </c>
      <c r="H2540" s="69" t="str">
        <f>TEXT(ASTemp!H2540,Decimals)</f>
        <v/>
      </c>
      <c r="I2540" s="69" t="str">
        <f>TEXT(ASTemp!I2540,Decimals)</f>
        <v/>
      </c>
      <c r="J2540" s="69" t="str">
        <f>TEXT(ASTemp!J2540,Decimals)</f>
        <v/>
      </c>
      <c r="K2540" s="69" t="str">
        <f>TEXT(ASTemp!K2540,Decimals)</f>
        <v/>
      </c>
      <c r="L2540" s="69" t="str">
        <f>TEXT(ASTemp!L2540,Decimals)</f>
        <v/>
      </c>
      <c r="M2540" s="71" t="str">
        <f>TEXT(ASTemp!M2540,Percentages)</f>
        <v/>
      </c>
      <c r="N2540" s="72" t="str">
        <f>TEXT(ASTemp!N2540,Percentages)</f>
        <v/>
      </c>
    </row>
    <row r="2541" ht="14.25" customHeight="1">
      <c r="B2541" s="66" t="str">
        <f>ASTemp!B2541</f>
        <v/>
      </c>
      <c r="C2541" s="67" t="str">
        <f>ASTemp!C2541</f>
        <v/>
      </c>
      <c r="D2541" s="68" t="str">
        <f>ASTemp!D2541</f>
        <v/>
      </c>
      <c r="E2541" s="65" t="str">
        <f>ASTemp!E2541</f>
        <v/>
      </c>
      <c r="F2541" s="69" t="str">
        <f>TEXT(ASTemp!F2541,Decimals)</f>
        <v/>
      </c>
      <c r="G2541" s="69" t="str">
        <f>TEXT(ASTemp!G2541,Decimals)</f>
        <v/>
      </c>
      <c r="H2541" s="69" t="str">
        <f>TEXT(ASTemp!H2541,Decimals)</f>
        <v/>
      </c>
      <c r="I2541" s="69" t="str">
        <f>TEXT(ASTemp!I2541,Decimals)</f>
        <v/>
      </c>
      <c r="J2541" s="69" t="str">
        <f>TEXT(ASTemp!J2541,Decimals)</f>
        <v/>
      </c>
      <c r="K2541" s="69" t="str">
        <f>TEXT(ASTemp!K2541,Decimals)</f>
        <v/>
      </c>
      <c r="L2541" s="69" t="str">
        <f>TEXT(ASTemp!L2541,Decimals)</f>
        <v/>
      </c>
      <c r="M2541" s="71" t="str">
        <f>TEXT(ASTemp!M2541,Percentages)</f>
        <v/>
      </c>
      <c r="N2541" s="72" t="str">
        <f>TEXT(ASTemp!N2541,Percentages)</f>
        <v/>
      </c>
    </row>
    <row r="2542" ht="14.25" customHeight="1">
      <c r="B2542" s="66" t="str">
        <f>ASTemp!B2542</f>
        <v/>
      </c>
      <c r="C2542" s="67" t="str">
        <f>ASTemp!C2542</f>
        <v/>
      </c>
      <c r="D2542" s="68" t="str">
        <f>ASTemp!D2542</f>
        <v/>
      </c>
      <c r="E2542" s="65" t="str">
        <f>ASTemp!E2542</f>
        <v/>
      </c>
      <c r="F2542" s="69" t="str">
        <f>TEXT(ASTemp!F2542,Decimals)</f>
        <v/>
      </c>
      <c r="G2542" s="69" t="str">
        <f>TEXT(ASTemp!G2542,Decimals)</f>
        <v/>
      </c>
      <c r="H2542" s="69" t="str">
        <f>TEXT(ASTemp!H2542,Decimals)</f>
        <v/>
      </c>
      <c r="I2542" s="69" t="str">
        <f>TEXT(ASTemp!I2542,Decimals)</f>
        <v/>
      </c>
      <c r="J2542" s="69" t="str">
        <f>TEXT(ASTemp!J2542,Decimals)</f>
        <v/>
      </c>
      <c r="K2542" s="69" t="str">
        <f>TEXT(ASTemp!K2542,Decimals)</f>
        <v/>
      </c>
      <c r="L2542" s="69" t="str">
        <f>TEXT(ASTemp!L2542,Decimals)</f>
        <v/>
      </c>
      <c r="M2542" s="71" t="str">
        <f>TEXT(ASTemp!M2542,Percentages)</f>
        <v/>
      </c>
      <c r="N2542" s="72" t="str">
        <f>TEXT(ASTemp!N2542,Percentages)</f>
        <v/>
      </c>
    </row>
    <row r="2543" ht="14.25" customHeight="1">
      <c r="B2543" s="66" t="str">
        <f>ASTemp!B2543</f>
        <v/>
      </c>
      <c r="C2543" s="67" t="str">
        <f>ASTemp!C2543</f>
        <v/>
      </c>
      <c r="D2543" s="68" t="str">
        <f>ASTemp!D2543</f>
        <v/>
      </c>
      <c r="E2543" s="65" t="str">
        <f>ASTemp!E2543</f>
        <v/>
      </c>
      <c r="F2543" s="69" t="str">
        <f>TEXT(ASTemp!F2543,Decimals)</f>
        <v/>
      </c>
      <c r="G2543" s="69" t="str">
        <f>TEXT(ASTemp!G2543,Decimals)</f>
        <v/>
      </c>
      <c r="H2543" s="69" t="str">
        <f>TEXT(ASTemp!H2543,Decimals)</f>
        <v/>
      </c>
      <c r="I2543" s="69" t="str">
        <f>TEXT(ASTemp!I2543,Decimals)</f>
        <v/>
      </c>
      <c r="J2543" s="69" t="str">
        <f>TEXT(ASTemp!J2543,Decimals)</f>
        <v/>
      </c>
      <c r="K2543" s="69" t="str">
        <f>TEXT(ASTemp!K2543,Decimals)</f>
        <v/>
      </c>
      <c r="L2543" s="69" t="str">
        <f>TEXT(ASTemp!L2543,Decimals)</f>
        <v/>
      </c>
      <c r="M2543" s="71" t="str">
        <f>TEXT(ASTemp!M2543,Percentages)</f>
        <v/>
      </c>
      <c r="N2543" s="72" t="str">
        <f>TEXT(ASTemp!N2543,Percentages)</f>
        <v/>
      </c>
    </row>
    <row r="2544" ht="14.25" customHeight="1">
      <c r="B2544" s="66" t="str">
        <f>ASTemp!B2544</f>
        <v/>
      </c>
      <c r="C2544" s="67" t="str">
        <f>ASTemp!C2544</f>
        <v/>
      </c>
      <c r="D2544" s="68" t="str">
        <f>ASTemp!D2544</f>
        <v/>
      </c>
      <c r="E2544" s="65" t="str">
        <f>ASTemp!E2544</f>
        <v/>
      </c>
      <c r="F2544" s="69" t="str">
        <f>TEXT(ASTemp!F2544,Decimals)</f>
        <v/>
      </c>
      <c r="G2544" s="69" t="str">
        <f>TEXT(ASTemp!G2544,Decimals)</f>
        <v/>
      </c>
      <c r="H2544" s="69" t="str">
        <f>TEXT(ASTemp!H2544,Decimals)</f>
        <v/>
      </c>
      <c r="I2544" s="69" t="str">
        <f>TEXT(ASTemp!I2544,Decimals)</f>
        <v/>
      </c>
      <c r="J2544" s="69" t="str">
        <f>TEXT(ASTemp!J2544,Decimals)</f>
        <v/>
      </c>
      <c r="K2544" s="69" t="str">
        <f>TEXT(ASTemp!K2544,Decimals)</f>
        <v/>
      </c>
      <c r="L2544" s="69" t="str">
        <f>TEXT(ASTemp!L2544,Decimals)</f>
        <v/>
      </c>
      <c r="M2544" s="71" t="str">
        <f>TEXT(ASTemp!M2544,Percentages)</f>
        <v/>
      </c>
      <c r="N2544" s="72" t="str">
        <f>TEXT(ASTemp!N2544,Percentages)</f>
        <v/>
      </c>
    </row>
    <row r="2545" ht="14.25" customHeight="1">
      <c r="B2545" s="66" t="str">
        <f>ASTemp!B2545</f>
        <v/>
      </c>
      <c r="C2545" s="67" t="str">
        <f>ASTemp!C2545</f>
        <v/>
      </c>
      <c r="D2545" s="68" t="str">
        <f>ASTemp!D2545</f>
        <v/>
      </c>
      <c r="E2545" s="65" t="str">
        <f>ASTemp!E2545</f>
        <v/>
      </c>
      <c r="F2545" s="69" t="str">
        <f>TEXT(ASTemp!F2545,Decimals)</f>
        <v/>
      </c>
      <c r="G2545" s="69" t="str">
        <f>TEXT(ASTemp!G2545,Decimals)</f>
        <v/>
      </c>
      <c r="H2545" s="69" t="str">
        <f>TEXT(ASTemp!H2545,Decimals)</f>
        <v/>
      </c>
      <c r="I2545" s="69" t="str">
        <f>TEXT(ASTemp!I2545,Decimals)</f>
        <v/>
      </c>
      <c r="J2545" s="69" t="str">
        <f>TEXT(ASTemp!J2545,Decimals)</f>
        <v/>
      </c>
      <c r="K2545" s="69" t="str">
        <f>TEXT(ASTemp!K2545,Decimals)</f>
        <v/>
      </c>
      <c r="L2545" s="69" t="str">
        <f>TEXT(ASTemp!L2545,Decimals)</f>
        <v/>
      </c>
      <c r="M2545" s="71" t="str">
        <f>TEXT(ASTemp!M2545,Percentages)</f>
        <v/>
      </c>
      <c r="N2545" s="72" t="str">
        <f>TEXT(ASTemp!N2545,Percentages)</f>
        <v/>
      </c>
    </row>
    <row r="2546" ht="14.25" customHeight="1">
      <c r="B2546" s="66" t="str">
        <f>ASTemp!B2546</f>
        <v/>
      </c>
      <c r="C2546" s="67" t="str">
        <f>ASTemp!C2546</f>
        <v/>
      </c>
      <c r="D2546" s="68" t="str">
        <f>ASTemp!D2546</f>
        <v/>
      </c>
      <c r="E2546" s="65" t="str">
        <f>ASTemp!E2546</f>
        <v/>
      </c>
      <c r="F2546" s="69" t="str">
        <f>TEXT(ASTemp!F2546,Decimals)</f>
        <v/>
      </c>
      <c r="G2546" s="69" t="str">
        <f>TEXT(ASTemp!G2546,Decimals)</f>
        <v/>
      </c>
      <c r="H2546" s="69" t="str">
        <f>TEXT(ASTemp!H2546,Decimals)</f>
        <v/>
      </c>
      <c r="I2546" s="69" t="str">
        <f>TEXT(ASTemp!I2546,Decimals)</f>
        <v/>
      </c>
      <c r="J2546" s="69" t="str">
        <f>TEXT(ASTemp!J2546,Decimals)</f>
        <v/>
      </c>
      <c r="K2546" s="69" t="str">
        <f>TEXT(ASTemp!K2546,Decimals)</f>
        <v/>
      </c>
      <c r="L2546" s="69" t="str">
        <f>TEXT(ASTemp!L2546,Decimals)</f>
        <v/>
      </c>
      <c r="M2546" s="71" t="str">
        <f>TEXT(ASTemp!M2546,Percentages)</f>
        <v/>
      </c>
      <c r="N2546" s="72" t="str">
        <f>TEXT(ASTemp!N2546,Percentages)</f>
        <v/>
      </c>
    </row>
    <row r="2547" ht="14.25" customHeight="1">
      <c r="B2547" s="66" t="str">
        <f>ASTemp!B2547</f>
        <v/>
      </c>
      <c r="C2547" s="67" t="str">
        <f>ASTemp!C2547</f>
        <v/>
      </c>
      <c r="D2547" s="68" t="str">
        <f>ASTemp!D2547</f>
        <v/>
      </c>
      <c r="E2547" s="65" t="str">
        <f>ASTemp!E2547</f>
        <v/>
      </c>
      <c r="F2547" s="69" t="str">
        <f>TEXT(ASTemp!F2547,Decimals)</f>
        <v/>
      </c>
      <c r="G2547" s="69" t="str">
        <f>TEXT(ASTemp!G2547,Decimals)</f>
        <v/>
      </c>
      <c r="H2547" s="69" t="str">
        <f>TEXT(ASTemp!H2547,Decimals)</f>
        <v/>
      </c>
      <c r="I2547" s="69" t="str">
        <f>TEXT(ASTemp!I2547,Decimals)</f>
        <v/>
      </c>
      <c r="J2547" s="69" t="str">
        <f>TEXT(ASTemp!J2547,Decimals)</f>
        <v/>
      </c>
      <c r="K2547" s="69" t="str">
        <f>TEXT(ASTemp!K2547,Decimals)</f>
        <v/>
      </c>
      <c r="L2547" s="69" t="str">
        <f>TEXT(ASTemp!L2547,Decimals)</f>
        <v/>
      </c>
      <c r="M2547" s="71" t="str">
        <f>TEXT(ASTemp!M2547,Percentages)</f>
        <v/>
      </c>
      <c r="N2547" s="72" t="str">
        <f>TEXT(ASTemp!N2547,Percentages)</f>
        <v/>
      </c>
    </row>
    <row r="2548" ht="14.25" customHeight="1">
      <c r="B2548" s="66" t="str">
        <f>ASTemp!B2548</f>
        <v/>
      </c>
      <c r="C2548" s="67" t="str">
        <f>ASTemp!C2548</f>
        <v/>
      </c>
      <c r="D2548" s="68" t="str">
        <f>ASTemp!D2548</f>
        <v/>
      </c>
      <c r="E2548" s="65" t="str">
        <f>ASTemp!E2548</f>
        <v/>
      </c>
      <c r="F2548" s="69" t="str">
        <f>TEXT(ASTemp!F2548,Decimals)</f>
        <v/>
      </c>
      <c r="G2548" s="69" t="str">
        <f>TEXT(ASTemp!G2548,Decimals)</f>
        <v/>
      </c>
      <c r="H2548" s="69" t="str">
        <f>TEXT(ASTemp!H2548,Decimals)</f>
        <v/>
      </c>
      <c r="I2548" s="69" t="str">
        <f>TEXT(ASTemp!I2548,Decimals)</f>
        <v/>
      </c>
      <c r="J2548" s="69" t="str">
        <f>TEXT(ASTemp!J2548,Decimals)</f>
        <v/>
      </c>
      <c r="K2548" s="69" t="str">
        <f>TEXT(ASTemp!K2548,Decimals)</f>
        <v/>
      </c>
      <c r="L2548" s="69" t="str">
        <f>TEXT(ASTemp!L2548,Decimals)</f>
        <v/>
      </c>
      <c r="M2548" s="71" t="str">
        <f>TEXT(ASTemp!M2548,Percentages)</f>
        <v/>
      </c>
      <c r="N2548" s="72" t="str">
        <f>TEXT(ASTemp!N2548,Percentages)</f>
        <v/>
      </c>
    </row>
    <row r="2549" ht="14.25" customHeight="1">
      <c r="B2549" s="66" t="str">
        <f>ASTemp!B2549</f>
        <v/>
      </c>
      <c r="C2549" s="67" t="str">
        <f>ASTemp!C2549</f>
        <v/>
      </c>
      <c r="D2549" s="68" t="str">
        <f>ASTemp!D2549</f>
        <v/>
      </c>
      <c r="E2549" s="65" t="str">
        <f>ASTemp!E2549</f>
        <v/>
      </c>
      <c r="F2549" s="69" t="str">
        <f>TEXT(ASTemp!F2549,Decimals)</f>
        <v/>
      </c>
      <c r="G2549" s="69" t="str">
        <f>TEXT(ASTemp!G2549,Decimals)</f>
        <v/>
      </c>
      <c r="H2549" s="69" t="str">
        <f>TEXT(ASTemp!H2549,Decimals)</f>
        <v/>
      </c>
      <c r="I2549" s="69" t="str">
        <f>TEXT(ASTemp!I2549,Decimals)</f>
        <v/>
      </c>
      <c r="J2549" s="69" t="str">
        <f>TEXT(ASTemp!J2549,Decimals)</f>
        <v/>
      </c>
      <c r="K2549" s="69" t="str">
        <f>TEXT(ASTemp!K2549,Decimals)</f>
        <v/>
      </c>
      <c r="L2549" s="69" t="str">
        <f>TEXT(ASTemp!L2549,Decimals)</f>
        <v/>
      </c>
      <c r="M2549" s="71" t="str">
        <f>TEXT(ASTemp!M2549,Percentages)</f>
        <v/>
      </c>
      <c r="N2549" s="72" t="str">
        <f>TEXT(ASTemp!N2549,Percentages)</f>
        <v/>
      </c>
    </row>
    <row r="2550" ht="14.25" customHeight="1">
      <c r="B2550" s="66" t="str">
        <f>ASTemp!B2550</f>
        <v/>
      </c>
      <c r="C2550" s="67" t="str">
        <f>ASTemp!C2550</f>
        <v/>
      </c>
      <c r="D2550" s="68" t="str">
        <f>ASTemp!D2550</f>
        <v/>
      </c>
      <c r="E2550" s="65" t="str">
        <f>ASTemp!E2550</f>
        <v/>
      </c>
      <c r="F2550" s="69" t="str">
        <f>TEXT(ASTemp!F2550,Decimals)</f>
        <v/>
      </c>
      <c r="G2550" s="69" t="str">
        <f>TEXT(ASTemp!G2550,Decimals)</f>
        <v/>
      </c>
      <c r="H2550" s="69" t="str">
        <f>TEXT(ASTemp!H2550,Decimals)</f>
        <v/>
      </c>
      <c r="I2550" s="69" t="str">
        <f>TEXT(ASTemp!I2550,Decimals)</f>
        <v/>
      </c>
      <c r="J2550" s="69" t="str">
        <f>TEXT(ASTemp!J2550,Decimals)</f>
        <v/>
      </c>
      <c r="K2550" s="69" t="str">
        <f>TEXT(ASTemp!K2550,Decimals)</f>
        <v/>
      </c>
      <c r="L2550" s="69" t="str">
        <f>TEXT(ASTemp!L2550,Decimals)</f>
        <v/>
      </c>
      <c r="M2550" s="71" t="str">
        <f>TEXT(ASTemp!M2550,Percentages)</f>
        <v/>
      </c>
      <c r="N2550" s="72" t="str">
        <f>TEXT(ASTemp!N2550,Percentages)</f>
        <v/>
      </c>
    </row>
    <row r="2551" ht="14.25" customHeight="1">
      <c r="B2551" s="66" t="str">
        <f>ASTemp!B2551</f>
        <v/>
      </c>
      <c r="C2551" s="67" t="str">
        <f>ASTemp!C2551</f>
        <v/>
      </c>
      <c r="D2551" s="68" t="str">
        <f>ASTemp!D2551</f>
        <v/>
      </c>
      <c r="E2551" s="65" t="str">
        <f>ASTemp!E2551</f>
        <v/>
      </c>
      <c r="F2551" s="69" t="str">
        <f>TEXT(ASTemp!F2551,Decimals)</f>
        <v/>
      </c>
      <c r="G2551" s="69" t="str">
        <f>TEXT(ASTemp!G2551,Decimals)</f>
        <v/>
      </c>
      <c r="H2551" s="69" t="str">
        <f>TEXT(ASTemp!H2551,Decimals)</f>
        <v/>
      </c>
      <c r="I2551" s="69" t="str">
        <f>TEXT(ASTemp!I2551,Decimals)</f>
        <v/>
      </c>
      <c r="J2551" s="69" t="str">
        <f>TEXT(ASTemp!J2551,Decimals)</f>
        <v/>
      </c>
      <c r="K2551" s="69" t="str">
        <f>TEXT(ASTemp!K2551,Decimals)</f>
        <v/>
      </c>
      <c r="L2551" s="69" t="str">
        <f>TEXT(ASTemp!L2551,Decimals)</f>
        <v/>
      </c>
      <c r="M2551" s="71" t="str">
        <f>TEXT(ASTemp!M2551,Percentages)</f>
        <v/>
      </c>
      <c r="N2551" s="72" t="str">
        <f>TEXT(ASTemp!N2551,Percentages)</f>
        <v/>
      </c>
    </row>
    <row r="2552" ht="14.25" customHeight="1">
      <c r="B2552" s="66" t="str">
        <f>ASTemp!B2552</f>
        <v/>
      </c>
      <c r="C2552" s="67" t="str">
        <f>ASTemp!C2552</f>
        <v/>
      </c>
      <c r="D2552" s="68" t="str">
        <f>ASTemp!D2552</f>
        <v/>
      </c>
      <c r="E2552" s="65" t="str">
        <f>ASTemp!E2552</f>
        <v/>
      </c>
      <c r="F2552" s="69" t="str">
        <f>TEXT(ASTemp!F2552,Decimals)</f>
        <v/>
      </c>
      <c r="G2552" s="69" t="str">
        <f>TEXT(ASTemp!G2552,Decimals)</f>
        <v/>
      </c>
      <c r="H2552" s="69" t="str">
        <f>TEXT(ASTemp!H2552,Decimals)</f>
        <v/>
      </c>
      <c r="I2552" s="69" t="str">
        <f>TEXT(ASTemp!I2552,Decimals)</f>
        <v/>
      </c>
      <c r="J2552" s="69" t="str">
        <f>TEXT(ASTemp!J2552,Decimals)</f>
        <v/>
      </c>
      <c r="K2552" s="69" t="str">
        <f>TEXT(ASTemp!K2552,Decimals)</f>
        <v/>
      </c>
      <c r="L2552" s="69" t="str">
        <f>TEXT(ASTemp!L2552,Decimals)</f>
        <v/>
      </c>
      <c r="M2552" s="71" t="str">
        <f>TEXT(ASTemp!M2552,Percentages)</f>
        <v/>
      </c>
      <c r="N2552" s="72" t="str">
        <f>TEXT(ASTemp!N2552,Percentages)</f>
        <v/>
      </c>
    </row>
    <row r="2553" ht="14.25" customHeight="1">
      <c r="B2553" s="66" t="str">
        <f>ASTemp!B2553</f>
        <v/>
      </c>
      <c r="C2553" s="67" t="str">
        <f>ASTemp!C2553</f>
        <v/>
      </c>
      <c r="D2553" s="68" t="str">
        <f>ASTemp!D2553</f>
        <v/>
      </c>
      <c r="E2553" s="65" t="str">
        <f>ASTemp!E2553</f>
        <v/>
      </c>
      <c r="F2553" s="69" t="str">
        <f>TEXT(ASTemp!F2553,Decimals)</f>
        <v/>
      </c>
      <c r="G2553" s="69" t="str">
        <f>TEXT(ASTemp!G2553,Decimals)</f>
        <v/>
      </c>
      <c r="H2553" s="69" t="str">
        <f>TEXT(ASTemp!H2553,Decimals)</f>
        <v/>
      </c>
      <c r="I2553" s="69" t="str">
        <f>TEXT(ASTemp!I2553,Decimals)</f>
        <v/>
      </c>
      <c r="J2553" s="69" t="str">
        <f>TEXT(ASTemp!J2553,Decimals)</f>
        <v/>
      </c>
      <c r="K2553" s="69" t="str">
        <f>TEXT(ASTemp!K2553,Decimals)</f>
        <v/>
      </c>
      <c r="L2553" s="69" t="str">
        <f>TEXT(ASTemp!L2553,Decimals)</f>
        <v/>
      </c>
      <c r="M2553" s="71" t="str">
        <f>TEXT(ASTemp!M2553,Percentages)</f>
        <v/>
      </c>
      <c r="N2553" s="72" t="str">
        <f>TEXT(ASTemp!N2553,Percentages)</f>
        <v/>
      </c>
    </row>
    <row r="2554" ht="14.25" customHeight="1">
      <c r="B2554" s="66" t="str">
        <f>ASTemp!B2554</f>
        <v/>
      </c>
      <c r="C2554" s="67" t="str">
        <f>ASTemp!C2554</f>
        <v/>
      </c>
      <c r="D2554" s="68" t="str">
        <f>ASTemp!D2554</f>
        <v/>
      </c>
      <c r="E2554" s="65" t="str">
        <f>ASTemp!E2554</f>
        <v/>
      </c>
      <c r="F2554" s="69" t="str">
        <f>TEXT(ASTemp!F2554,Decimals)</f>
        <v/>
      </c>
      <c r="G2554" s="69" t="str">
        <f>TEXT(ASTemp!G2554,Decimals)</f>
        <v/>
      </c>
      <c r="H2554" s="69" t="str">
        <f>TEXT(ASTemp!H2554,Decimals)</f>
        <v/>
      </c>
      <c r="I2554" s="69" t="str">
        <f>TEXT(ASTemp!I2554,Decimals)</f>
        <v/>
      </c>
      <c r="J2554" s="69" t="str">
        <f>TEXT(ASTemp!J2554,Decimals)</f>
        <v/>
      </c>
      <c r="K2554" s="69" t="str">
        <f>TEXT(ASTemp!K2554,Decimals)</f>
        <v/>
      </c>
      <c r="L2554" s="69" t="str">
        <f>TEXT(ASTemp!L2554,Decimals)</f>
        <v/>
      </c>
      <c r="M2554" s="71" t="str">
        <f>TEXT(ASTemp!M2554,Percentages)</f>
        <v/>
      </c>
      <c r="N2554" s="72" t="str">
        <f>TEXT(ASTemp!N2554,Percentages)</f>
        <v/>
      </c>
    </row>
    <row r="2555" ht="14.25" customHeight="1">
      <c r="B2555" s="66" t="str">
        <f>ASTemp!B2555</f>
        <v/>
      </c>
      <c r="C2555" s="67" t="str">
        <f>ASTemp!C2555</f>
        <v/>
      </c>
      <c r="D2555" s="68" t="str">
        <f>ASTemp!D2555</f>
        <v/>
      </c>
      <c r="E2555" s="65" t="str">
        <f>ASTemp!E2555</f>
        <v/>
      </c>
      <c r="F2555" s="69" t="str">
        <f>TEXT(ASTemp!F2555,Decimals)</f>
        <v/>
      </c>
      <c r="G2555" s="69" t="str">
        <f>TEXT(ASTemp!G2555,Decimals)</f>
        <v/>
      </c>
      <c r="H2555" s="69" t="str">
        <f>TEXT(ASTemp!H2555,Decimals)</f>
        <v/>
      </c>
      <c r="I2555" s="69" t="str">
        <f>TEXT(ASTemp!I2555,Decimals)</f>
        <v/>
      </c>
      <c r="J2555" s="69" t="str">
        <f>TEXT(ASTemp!J2555,Decimals)</f>
        <v/>
      </c>
      <c r="K2555" s="69" t="str">
        <f>TEXT(ASTemp!K2555,Decimals)</f>
        <v/>
      </c>
      <c r="L2555" s="69" t="str">
        <f>TEXT(ASTemp!L2555,Decimals)</f>
        <v/>
      </c>
      <c r="M2555" s="71" t="str">
        <f>TEXT(ASTemp!M2555,Percentages)</f>
        <v/>
      </c>
      <c r="N2555" s="72" t="str">
        <f>TEXT(ASTemp!N2555,Percentages)</f>
        <v/>
      </c>
    </row>
    <row r="2556" ht="14.25" customHeight="1">
      <c r="B2556" s="66" t="str">
        <f>ASTemp!B2556</f>
        <v/>
      </c>
      <c r="C2556" s="67" t="str">
        <f>ASTemp!C2556</f>
        <v/>
      </c>
      <c r="D2556" s="68" t="str">
        <f>ASTemp!D2556</f>
        <v/>
      </c>
      <c r="E2556" s="65" t="str">
        <f>ASTemp!E2556</f>
        <v/>
      </c>
      <c r="F2556" s="69" t="str">
        <f>TEXT(ASTemp!F2556,Decimals)</f>
        <v/>
      </c>
      <c r="G2556" s="69" t="str">
        <f>TEXT(ASTemp!G2556,Decimals)</f>
        <v/>
      </c>
      <c r="H2556" s="69" t="str">
        <f>TEXT(ASTemp!H2556,Decimals)</f>
        <v/>
      </c>
      <c r="I2556" s="69" t="str">
        <f>TEXT(ASTemp!I2556,Decimals)</f>
        <v/>
      </c>
      <c r="J2556" s="69" t="str">
        <f>TEXT(ASTemp!J2556,Decimals)</f>
        <v/>
      </c>
      <c r="K2556" s="69" t="str">
        <f>TEXT(ASTemp!K2556,Decimals)</f>
        <v/>
      </c>
      <c r="L2556" s="69" t="str">
        <f>TEXT(ASTemp!L2556,Decimals)</f>
        <v/>
      </c>
      <c r="M2556" s="71" t="str">
        <f>TEXT(ASTemp!M2556,Percentages)</f>
        <v/>
      </c>
      <c r="N2556" s="72" t="str">
        <f>TEXT(ASTemp!N2556,Percentages)</f>
        <v/>
      </c>
    </row>
    <row r="2557" ht="14.25" customHeight="1">
      <c r="B2557" s="66" t="str">
        <f>ASTemp!B2557</f>
        <v/>
      </c>
      <c r="C2557" s="67" t="str">
        <f>ASTemp!C2557</f>
        <v/>
      </c>
      <c r="D2557" s="68" t="str">
        <f>ASTemp!D2557</f>
        <v/>
      </c>
      <c r="E2557" s="65" t="str">
        <f>ASTemp!E2557</f>
        <v/>
      </c>
      <c r="F2557" s="69" t="str">
        <f>TEXT(ASTemp!F2557,Decimals)</f>
        <v/>
      </c>
      <c r="G2557" s="69" t="str">
        <f>TEXT(ASTemp!G2557,Decimals)</f>
        <v/>
      </c>
      <c r="H2557" s="69" t="str">
        <f>TEXT(ASTemp!H2557,Decimals)</f>
        <v/>
      </c>
      <c r="I2557" s="69" t="str">
        <f>TEXT(ASTemp!I2557,Decimals)</f>
        <v/>
      </c>
      <c r="J2557" s="69" t="str">
        <f>TEXT(ASTemp!J2557,Decimals)</f>
        <v/>
      </c>
      <c r="K2557" s="69" t="str">
        <f>TEXT(ASTemp!K2557,Decimals)</f>
        <v/>
      </c>
      <c r="L2557" s="69" t="str">
        <f>TEXT(ASTemp!L2557,Decimals)</f>
        <v/>
      </c>
      <c r="M2557" s="71" t="str">
        <f>TEXT(ASTemp!M2557,Percentages)</f>
        <v/>
      </c>
      <c r="N2557" s="72" t="str">
        <f>TEXT(ASTemp!N2557,Percentages)</f>
        <v/>
      </c>
    </row>
    <row r="2558" ht="14.25" customHeight="1">
      <c r="B2558" s="66" t="str">
        <f>ASTemp!B2558</f>
        <v/>
      </c>
      <c r="C2558" s="67" t="str">
        <f>ASTemp!C2558</f>
        <v/>
      </c>
      <c r="D2558" s="68" t="str">
        <f>ASTemp!D2558</f>
        <v/>
      </c>
      <c r="E2558" s="65" t="str">
        <f>ASTemp!E2558</f>
        <v/>
      </c>
      <c r="F2558" s="69" t="str">
        <f>TEXT(ASTemp!F2558,Decimals)</f>
        <v/>
      </c>
      <c r="G2558" s="69" t="str">
        <f>TEXT(ASTemp!G2558,Decimals)</f>
        <v/>
      </c>
      <c r="H2558" s="69" t="str">
        <f>TEXT(ASTemp!H2558,Decimals)</f>
        <v/>
      </c>
      <c r="I2558" s="69" t="str">
        <f>TEXT(ASTemp!I2558,Decimals)</f>
        <v/>
      </c>
      <c r="J2558" s="69" t="str">
        <f>TEXT(ASTemp!J2558,Decimals)</f>
        <v/>
      </c>
      <c r="K2558" s="69" t="str">
        <f>TEXT(ASTemp!K2558,Decimals)</f>
        <v/>
      </c>
      <c r="L2558" s="69" t="str">
        <f>TEXT(ASTemp!L2558,Decimals)</f>
        <v/>
      </c>
      <c r="M2558" s="71" t="str">
        <f>TEXT(ASTemp!M2558,Percentages)</f>
        <v/>
      </c>
      <c r="N2558" s="72" t="str">
        <f>TEXT(ASTemp!N2558,Percentages)</f>
        <v/>
      </c>
    </row>
    <row r="2559" ht="14.25" customHeight="1">
      <c r="B2559" s="66" t="str">
        <f>ASTemp!B2559</f>
        <v/>
      </c>
      <c r="C2559" s="67" t="str">
        <f>ASTemp!C2559</f>
        <v/>
      </c>
      <c r="D2559" s="68" t="str">
        <f>ASTemp!D2559</f>
        <v/>
      </c>
      <c r="E2559" s="65" t="str">
        <f>ASTemp!E2559</f>
        <v/>
      </c>
      <c r="F2559" s="69" t="str">
        <f>TEXT(ASTemp!F2559,Decimals)</f>
        <v/>
      </c>
      <c r="G2559" s="69" t="str">
        <f>TEXT(ASTemp!G2559,Decimals)</f>
        <v/>
      </c>
      <c r="H2559" s="69" t="str">
        <f>TEXT(ASTemp!H2559,Decimals)</f>
        <v/>
      </c>
      <c r="I2559" s="69" t="str">
        <f>TEXT(ASTemp!I2559,Decimals)</f>
        <v/>
      </c>
      <c r="J2559" s="69" t="str">
        <f>TEXT(ASTemp!J2559,Decimals)</f>
        <v/>
      </c>
      <c r="K2559" s="69" t="str">
        <f>TEXT(ASTemp!K2559,Decimals)</f>
        <v/>
      </c>
      <c r="L2559" s="69" t="str">
        <f>TEXT(ASTemp!L2559,Decimals)</f>
        <v/>
      </c>
      <c r="M2559" s="71" t="str">
        <f>TEXT(ASTemp!M2559,Percentages)</f>
        <v/>
      </c>
      <c r="N2559" s="72" t="str">
        <f>TEXT(ASTemp!N2559,Percentages)</f>
        <v/>
      </c>
    </row>
    <row r="2560" ht="14.25" customHeight="1">
      <c r="B2560" s="66" t="str">
        <f>ASTemp!B2560</f>
        <v/>
      </c>
      <c r="C2560" s="67" t="str">
        <f>ASTemp!C2560</f>
        <v/>
      </c>
      <c r="D2560" s="68" t="str">
        <f>ASTemp!D2560</f>
        <v/>
      </c>
      <c r="E2560" s="65" t="str">
        <f>ASTemp!E2560</f>
        <v/>
      </c>
      <c r="F2560" s="69" t="str">
        <f>TEXT(ASTemp!F2560,Decimals)</f>
        <v/>
      </c>
      <c r="G2560" s="69" t="str">
        <f>TEXT(ASTemp!G2560,Decimals)</f>
        <v/>
      </c>
      <c r="H2560" s="69" t="str">
        <f>TEXT(ASTemp!H2560,Decimals)</f>
        <v/>
      </c>
      <c r="I2560" s="69" t="str">
        <f>TEXT(ASTemp!I2560,Decimals)</f>
        <v/>
      </c>
      <c r="J2560" s="69" t="str">
        <f>TEXT(ASTemp!J2560,Decimals)</f>
        <v/>
      </c>
      <c r="K2560" s="69" t="str">
        <f>TEXT(ASTemp!K2560,Decimals)</f>
        <v/>
      </c>
      <c r="L2560" s="69" t="str">
        <f>TEXT(ASTemp!L2560,Decimals)</f>
        <v/>
      </c>
      <c r="M2560" s="71" t="str">
        <f>TEXT(ASTemp!M2560,Percentages)</f>
        <v/>
      </c>
      <c r="N2560" s="72" t="str">
        <f>TEXT(ASTemp!N2560,Percentages)</f>
        <v/>
      </c>
    </row>
    <row r="2561" ht="14.25" customHeight="1">
      <c r="B2561" s="66" t="str">
        <f>ASTemp!B2561</f>
        <v/>
      </c>
      <c r="C2561" s="67" t="str">
        <f>ASTemp!C2561</f>
        <v/>
      </c>
      <c r="D2561" s="68" t="str">
        <f>ASTemp!D2561</f>
        <v/>
      </c>
      <c r="E2561" s="65" t="str">
        <f>ASTemp!E2561</f>
        <v/>
      </c>
      <c r="F2561" s="69" t="str">
        <f>TEXT(ASTemp!F2561,Decimals)</f>
        <v/>
      </c>
      <c r="G2561" s="69" t="str">
        <f>TEXT(ASTemp!G2561,Decimals)</f>
        <v/>
      </c>
      <c r="H2561" s="69" t="str">
        <f>TEXT(ASTemp!H2561,Decimals)</f>
        <v/>
      </c>
      <c r="I2561" s="69" t="str">
        <f>TEXT(ASTemp!I2561,Decimals)</f>
        <v/>
      </c>
      <c r="J2561" s="69" t="str">
        <f>TEXT(ASTemp!J2561,Decimals)</f>
        <v/>
      </c>
      <c r="K2561" s="69" t="str">
        <f>TEXT(ASTemp!K2561,Decimals)</f>
        <v/>
      </c>
      <c r="L2561" s="69" t="str">
        <f>TEXT(ASTemp!L2561,Decimals)</f>
        <v/>
      </c>
      <c r="M2561" s="71" t="str">
        <f>TEXT(ASTemp!M2561,Percentages)</f>
        <v/>
      </c>
      <c r="N2561" s="72" t="str">
        <f>TEXT(ASTemp!N2561,Percentages)</f>
        <v/>
      </c>
    </row>
    <row r="2562" ht="14.25" customHeight="1">
      <c r="B2562" s="66" t="str">
        <f>ASTemp!B2562</f>
        <v/>
      </c>
      <c r="C2562" s="67" t="str">
        <f>ASTemp!C2562</f>
        <v/>
      </c>
      <c r="D2562" s="68" t="str">
        <f>ASTemp!D2562</f>
        <v/>
      </c>
      <c r="E2562" s="65" t="str">
        <f>ASTemp!E2562</f>
        <v/>
      </c>
      <c r="F2562" s="69" t="str">
        <f>TEXT(ASTemp!F2562,Decimals)</f>
        <v/>
      </c>
      <c r="G2562" s="69" t="str">
        <f>TEXT(ASTemp!G2562,Decimals)</f>
        <v/>
      </c>
      <c r="H2562" s="69" t="str">
        <f>TEXT(ASTemp!H2562,Decimals)</f>
        <v/>
      </c>
      <c r="I2562" s="69" t="str">
        <f>TEXT(ASTemp!I2562,Decimals)</f>
        <v/>
      </c>
      <c r="J2562" s="69" t="str">
        <f>TEXT(ASTemp!J2562,Decimals)</f>
        <v/>
      </c>
      <c r="K2562" s="69" t="str">
        <f>TEXT(ASTemp!K2562,Decimals)</f>
        <v/>
      </c>
      <c r="L2562" s="69" t="str">
        <f>TEXT(ASTemp!L2562,Decimals)</f>
        <v/>
      </c>
      <c r="M2562" s="71" t="str">
        <f>TEXT(ASTemp!M2562,Percentages)</f>
        <v/>
      </c>
      <c r="N2562" s="72" t="str">
        <f>TEXT(ASTemp!N2562,Percentages)</f>
        <v/>
      </c>
    </row>
    <row r="2563" ht="14.25" customHeight="1">
      <c r="B2563" s="66" t="str">
        <f>ASTemp!B2563</f>
        <v/>
      </c>
      <c r="C2563" s="67" t="str">
        <f>ASTemp!C2563</f>
        <v/>
      </c>
      <c r="D2563" s="68" t="str">
        <f>ASTemp!D2563</f>
        <v/>
      </c>
      <c r="E2563" s="65" t="str">
        <f>ASTemp!E2563</f>
        <v/>
      </c>
      <c r="F2563" s="69" t="str">
        <f>TEXT(ASTemp!F2563,Decimals)</f>
        <v/>
      </c>
      <c r="G2563" s="69" t="str">
        <f>TEXT(ASTemp!G2563,Decimals)</f>
        <v/>
      </c>
      <c r="H2563" s="69" t="str">
        <f>TEXT(ASTemp!H2563,Decimals)</f>
        <v/>
      </c>
      <c r="I2563" s="69" t="str">
        <f>TEXT(ASTemp!I2563,Decimals)</f>
        <v/>
      </c>
      <c r="J2563" s="69" t="str">
        <f>TEXT(ASTemp!J2563,Decimals)</f>
        <v/>
      </c>
      <c r="K2563" s="69" t="str">
        <f>TEXT(ASTemp!K2563,Decimals)</f>
        <v/>
      </c>
      <c r="L2563" s="69" t="str">
        <f>TEXT(ASTemp!L2563,Decimals)</f>
        <v/>
      </c>
      <c r="M2563" s="71" t="str">
        <f>TEXT(ASTemp!M2563,Percentages)</f>
        <v/>
      </c>
      <c r="N2563" s="72" t="str">
        <f>TEXT(ASTemp!N2563,Percentages)</f>
        <v/>
      </c>
    </row>
    <row r="2564" ht="14.25" customHeight="1">
      <c r="B2564" s="66" t="str">
        <f>ASTemp!B2564</f>
        <v/>
      </c>
      <c r="C2564" s="67" t="str">
        <f>ASTemp!C2564</f>
        <v/>
      </c>
      <c r="D2564" s="68" t="str">
        <f>ASTemp!D2564</f>
        <v/>
      </c>
      <c r="E2564" s="65" t="str">
        <f>ASTemp!E2564</f>
        <v/>
      </c>
      <c r="F2564" s="69" t="str">
        <f>TEXT(ASTemp!F2564,Decimals)</f>
        <v/>
      </c>
      <c r="G2564" s="69" t="str">
        <f>TEXT(ASTemp!G2564,Decimals)</f>
        <v/>
      </c>
      <c r="H2564" s="69" t="str">
        <f>TEXT(ASTemp!H2564,Decimals)</f>
        <v/>
      </c>
      <c r="I2564" s="69" t="str">
        <f>TEXT(ASTemp!I2564,Decimals)</f>
        <v/>
      </c>
      <c r="J2564" s="69" t="str">
        <f>TEXT(ASTemp!J2564,Decimals)</f>
        <v/>
      </c>
      <c r="K2564" s="69" t="str">
        <f>TEXT(ASTemp!K2564,Decimals)</f>
        <v/>
      </c>
      <c r="L2564" s="69" t="str">
        <f>TEXT(ASTemp!L2564,Decimals)</f>
        <v/>
      </c>
      <c r="M2564" s="71" t="str">
        <f>TEXT(ASTemp!M2564,Percentages)</f>
        <v/>
      </c>
      <c r="N2564" s="72" t="str">
        <f>TEXT(ASTemp!N2564,Percentages)</f>
        <v/>
      </c>
    </row>
    <row r="2565" ht="14.25" customHeight="1">
      <c r="B2565" s="66" t="str">
        <f>ASTemp!B2565</f>
        <v/>
      </c>
      <c r="C2565" s="67" t="str">
        <f>ASTemp!C2565</f>
        <v/>
      </c>
      <c r="D2565" s="68" t="str">
        <f>ASTemp!D2565</f>
        <v/>
      </c>
      <c r="E2565" s="65" t="str">
        <f>ASTemp!E2565</f>
        <v/>
      </c>
      <c r="F2565" s="69" t="str">
        <f>TEXT(ASTemp!F2565,Decimals)</f>
        <v/>
      </c>
      <c r="G2565" s="69" t="str">
        <f>TEXT(ASTemp!G2565,Decimals)</f>
        <v/>
      </c>
      <c r="H2565" s="69" t="str">
        <f>TEXT(ASTemp!H2565,Decimals)</f>
        <v/>
      </c>
      <c r="I2565" s="69" t="str">
        <f>TEXT(ASTemp!I2565,Decimals)</f>
        <v/>
      </c>
      <c r="J2565" s="69" t="str">
        <f>TEXT(ASTemp!J2565,Decimals)</f>
        <v/>
      </c>
      <c r="K2565" s="69" t="str">
        <f>TEXT(ASTemp!K2565,Decimals)</f>
        <v/>
      </c>
      <c r="L2565" s="69" t="str">
        <f>TEXT(ASTemp!L2565,Decimals)</f>
        <v/>
      </c>
      <c r="M2565" s="71" t="str">
        <f>TEXT(ASTemp!M2565,Percentages)</f>
        <v/>
      </c>
      <c r="N2565" s="72" t="str">
        <f>TEXT(ASTemp!N2565,Percentages)</f>
        <v/>
      </c>
    </row>
    <row r="2566" ht="14.25" customHeight="1">
      <c r="B2566" s="66" t="str">
        <f>ASTemp!B2566</f>
        <v/>
      </c>
      <c r="C2566" s="67" t="str">
        <f>ASTemp!C2566</f>
        <v/>
      </c>
      <c r="D2566" s="68" t="str">
        <f>ASTemp!D2566</f>
        <v/>
      </c>
      <c r="E2566" s="65" t="str">
        <f>ASTemp!E2566</f>
        <v/>
      </c>
      <c r="F2566" s="69" t="str">
        <f>TEXT(ASTemp!F2566,Decimals)</f>
        <v/>
      </c>
      <c r="G2566" s="69" t="str">
        <f>TEXT(ASTemp!G2566,Decimals)</f>
        <v/>
      </c>
      <c r="H2566" s="69" t="str">
        <f>TEXT(ASTemp!H2566,Decimals)</f>
        <v/>
      </c>
      <c r="I2566" s="69" t="str">
        <f>TEXT(ASTemp!I2566,Decimals)</f>
        <v/>
      </c>
      <c r="J2566" s="69" t="str">
        <f>TEXT(ASTemp!J2566,Decimals)</f>
        <v/>
      </c>
      <c r="K2566" s="69" t="str">
        <f>TEXT(ASTemp!K2566,Decimals)</f>
        <v/>
      </c>
      <c r="L2566" s="69" t="str">
        <f>TEXT(ASTemp!L2566,Decimals)</f>
        <v/>
      </c>
      <c r="M2566" s="71" t="str">
        <f>TEXT(ASTemp!M2566,Percentages)</f>
        <v/>
      </c>
      <c r="N2566" s="72" t="str">
        <f>TEXT(ASTemp!N2566,Percentages)</f>
        <v/>
      </c>
    </row>
    <row r="2567" ht="14.25" customHeight="1">
      <c r="B2567" s="66" t="str">
        <f>ASTemp!B2567</f>
        <v/>
      </c>
      <c r="C2567" s="67" t="str">
        <f>ASTemp!C2567</f>
        <v/>
      </c>
      <c r="D2567" s="68" t="str">
        <f>ASTemp!D2567</f>
        <v/>
      </c>
      <c r="E2567" s="65" t="str">
        <f>ASTemp!E2567</f>
        <v/>
      </c>
      <c r="F2567" s="69" t="str">
        <f>TEXT(ASTemp!F2567,Decimals)</f>
        <v/>
      </c>
      <c r="G2567" s="69" t="str">
        <f>TEXT(ASTemp!G2567,Decimals)</f>
        <v/>
      </c>
      <c r="H2567" s="69" t="str">
        <f>TEXT(ASTemp!H2567,Decimals)</f>
        <v/>
      </c>
      <c r="I2567" s="69" t="str">
        <f>TEXT(ASTemp!I2567,Decimals)</f>
        <v/>
      </c>
      <c r="J2567" s="69" t="str">
        <f>TEXT(ASTemp!J2567,Decimals)</f>
        <v/>
      </c>
      <c r="K2567" s="69" t="str">
        <f>TEXT(ASTemp!K2567,Decimals)</f>
        <v/>
      </c>
      <c r="L2567" s="69" t="str">
        <f>TEXT(ASTemp!L2567,Decimals)</f>
        <v/>
      </c>
      <c r="M2567" s="71" t="str">
        <f>TEXT(ASTemp!M2567,Percentages)</f>
        <v/>
      </c>
      <c r="N2567" s="72" t="str">
        <f>TEXT(ASTemp!N2567,Percentages)</f>
        <v/>
      </c>
    </row>
    <row r="2568" ht="14.25" customHeight="1">
      <c r="B2568" s="66" t="str">
        <f>ASTemp!B2568</f>
        <v/>
      </c>
      <c r="C2568" s="67" t="str">
        <f>ASTemp!C2568</f>
        <v/>
      </c>
      <c r="D2568" s="68" t="str">
        <f>ASTemp!D2568</f>
        <v/>
      </c>
      <c r="E2568" s="65" t="str">
        <f>ASTemp!E2568</f>
        <v/>
      </c>
      <c r="F2568" s="69" t="str">
        <f>TEXT(ASTemp!F2568,Decimals)</f>
        <v/>
      </c>
      <c r="G2568" s="69" t="str">
        <f>TEXT(ASTemp!G2568,Decimals)</f>
        <v/>
      </c>
      <c r="H2568" s="69" t="str">
        <f>TEXT(ASTemp!H2568,Decimals)</f>
        <v/>
      </c>
      <c r="I2568" s="69" t="str">
        <f>TEXT(ASTemp!I2568,Decimals)</f>
        <v/>
      </c>
      <c r="J2568" s="69" t="str">
        <f>TEXT(ASTemp!J2568,Decimals)</f>
        <v/>
      </c>
      <c r="K2568" s="69" t="str">
        <f>TEXT(ASTemp!K2568,Decimals)</f>
        <v/>
      </c>
      <c r="L2568" s="69" t="str">
        <f>TEXT(ASTemp!L2568,Decimals)</f>
        <v/>
      </c>
      <c r="M2568" s="71" t="str">
        <f>TEXT(ASTemp!M2568,Percentages)</f>
        <v/>
      </c>
      <c r="N2568" s="72" t="str">
        <f>TEXT(ASTemp!N2568,Percentages)</f>
        <v/>
      </c>
    </row>
    <row r="2569" ht="14.25" customHeight="1">
      <c r="B2569" s="66" t="str">
        <f>ASTemp!B2569</f>
        <v/>
      </c>
      <c r="C2569" s="67" t="str">
        <f>ASTemp!C2569</f>
        <v/>
      </c>
      <c r="D2569" s="68" t="str">
        <f>ASTemp!D2569</f>
        <v/>
      </c>
      <c r="E2569" s="65" t="str">
        <f>ASTemp!E2569</f>
        <v/>
      </c>
      <c r="F2569" s="69" t="str">
        <f>TEXT(ASTemp!F2569,Decimals)</f>
        <v/>
      </c>
      <c r="G2569" s="69" t="str">
        <f>TEXT(ASTemp!G2569,Decimals)</f>
        <v/>
      </c>
      <c r="H2569" s="69" t="str">
        <f>TEXT(ASTemp!H2569,Decimals)</f>
        <v/>
      </c>
      <c r="I2569" s="69" t="str">
        <f>TEXT(ASTemp!I2569,Decimals)</f>
        <v/>
      </c>
      <c r="J2569" s="69" t="str">
        <f>TEXT(ASTemp!J2569,Decimals)</f>
        <v/>
      </c>
      <c r="K2569" s="69" t="str">
        <f>TEXT(ASTemp!K2569,Decimals)</f>
        <v/>
      </c>
      <c r="L2569" s="69" t="str">
        <f>TEXT(ASTemp!L2569,Decimals)</f>
        <v/>
      </c>
      <c r="M2569" s="71" t="str">
        <f>TEXT(ASTemp!M2569,Percentages)</f>
        <v/>
      </c>
      <c r="N2569" s="72" t="str">
        <f>TEXT(ASTemp!N2569,Percentages)</f>
        <v/>
      </c>
    </row>
    <row r="2570" ht="14.25" customHeight="1">
      <c r="B2570" s="66" t="str">
        <f>ASTemp!B2570</f>
        <v/>
      </c>
      <c r="C2570" s="67" t="str">
        <f>ASTemp!C2570</f>
        <v/>
      </c>
      <c r="D2570" s="68" t="str">
        <f>ASTemp!D2570</f>
        <v/>
      </c>
      <c r="E2570" s="65" t="str">
        <f>ASTemp!E2570</f>
        <v/>
      </c>
      <c r="F2570" s="69" t="str">
        <f>TEXT(ASTemp!F2570,Decimals)</f>
        <v/>
      </c>
      <c r="G2570" s="69" t="str">
        <f>TEXT(ASTemp!G2570,Decimals)</f>
        <v/>
      </c>
      <c r="H2570" s="69" t="str">
        <f>TEXT(ASTemp!H2570,Decimals)</f>
        <v/>
      </c>
      <c r="I2570" s="69" t="str">
        <f>TEXT(ASTemp!I2570,Decimals)</f>
        <v/>
      </c>
      <c r="J2570" s="69" t="str">
        <f>TEXT(ASTemp!J2570,Decimals)</f>
        <v/>
      </c>
      <c r="K2570" s="69" t="str">
        <f>TEXT(ASTemp!K2570,Decimals)</f>
        <v/>
      </c>
      <c r="L2570" s="69" t="str">
        <f>TEXT(ASTemp!L2570,Decimals)</f>
        <v/>
      </c>
      <c r="M2570" s="71" t="str">
        <f>TEXT(ASTemp!M2570,Percentages)</f>
        <v/>
      </c>
      <c r="N2570" s="72" t="str">
        <f>TEXT(ASTemp!N2570,Percentages)</f>
        <v/>
      </c>
    </row>
    <row r="2571" ht="14.25" customHeight="1">
      <c r="B2571" s="66" t="str">
        <f>ASTemp!B2571</f>
        <v/>
      </c>
      <c r="C2571" s="67" t="str">
        <f>ASTemp!C2571</f>
        <v/>
      </c>
      <c r="D2571" s="68" t="str">
        <f>ASTemp!D2571</f>
        <v/>
      </c>
      <c r="E2571" s="65" t="str">
        <f>ASTemp!E2571</f>
        <v/>
      </c>
      <c r="F2571" s="69" t="str">
        <f>TEXT(ASTemp!F2571,Decimals)</f>
        <v/>
      </c>
      <c r="G2571" s="69" t="str">
        <f>TEXT(ASTemp!G2571,Decimals)</f>
        <v/>
      </c>
      <c r="H2571" s="69" t="str">
        <f>TEXT(ASTemp!H2571,Decimals)</f>
        <v/>
      </c>
      <c r="I2571" s="69" t="str">
        <f>TEXT(ASTemp!I2571,Decimals)</f>
        <v/>
      </c>
      <c r="J2571" s="69" t="str">
        <f>TEXT(ASTemp!J2571,Decimals)</f>
        <v/>
      </c>
      <c r="K2571" s="69" t="str">
        <f>TEXT(ASTemp!K2571,Decimals)</f>
        <v/>
      </c>
      <c r="L2571" s="69" t="str">
        <f>TEXT(ASTemp!L2571,Decimals)</f>
        <v/>
      </c>
      <c r="M2571" s="71" t="str">
        <f>TEXT(ASTemp!M2571,Percentages)</f>
        <v/>
      </c>
      <c r="N2571" s="72" t="str">
        <f>TEXT(ASTemp!N2571,Percentages)</f>
        <v/>
      </c>
    </row>
    <row r="2572" ht="14.25" customHeight="1">
      <c r="B2572" s="66" t="str">
        <f>ASTemp!B2572</f>
        <v/>
      </c>
      <c r="C2572" s="67" t="str">
        <f>ASTemp!C2572</f>
        <v/>
      </c>
      <c r="D2572" s="68" t="str">
        <f>ASTemp!D2572</f>
        <v/>
      </c>
      <c r="E2572" s="65" t="str">
        <f>ASTemp!E2572</f>
        <v/>
      </c>
      <c r="F2572" s="69" t="str">
        <f>TEXT(ASTemp!F2572,Decimals)</f>
        <v/>
      </c>
      <c r="G2572" s="69" t="str">
        <f>TEXT(ASTemp!G2572,Decimals)</f>
        <v/>
      </c>
      <c r="H2572" s="69" t="str">
        <f>TEXT(ASTemp!H2572,Decimals)</f>
        <v/>
      </c>
      <c r="I2572" s="69" t="str">
        <f>TEXT(ASTemp!I2572,Decimals)</f>
        <v/>
      </c>
      <c r="J2572" s="69" t="str">
        <f>TEXT(ASTemp!J2572,Decimals)</f>
        <v/>
      </c>
      <c r="K2572" s="69" t="str">
        <f>TEXT(ASTemp!K2572,Decimals)</f>
        <v/>
      </c>
      <c r="L2572" s="69" t="str">
        <f>TEXT(ASTemp!L2572,Decimals)</f>
        <v/>
      </c>
      <c r="M2572" s="71" t="str">
        <f>TEXT(ASTemp!M2572,Percentages)</f>
        <v/>
      </c>
      <c r="N2572" s="72" t="str">
        <f>TEXT(ASTemp!N2572,Percentages)</f>
        <v/>
      </c>
    </row>
    <row r="2573" ht="14.25" customHeight="1">
      <c r="B2573" s="66" t="str">
        <f>ASTemp!B2573</f>
        <v/>
      </c>
      <c r="C2573" s="67" t="str">
        <f>ASTemp!C2573</f>
        <v/>
      </c>
      <c r="D2573" s="68" t="str">
        <f>ASTemp!D2573</f>
        <v/>
      </c>
      <c r="E2573" s="65" t="str">
        <f>ASTemp!E2573</f>
        <v/>
      </c>
      <c r="F2573" s="69" t="str">
        <f>TEXT(ASTemp!F2573,Decimals)</f>
        <v/>
      </c>
      <c r="G2573" s="69" t="str">
        <f>TEXT(ASTemp!G2573,Decimals)</f>
        <v/>
      </c>
      <c r="H2573" s="69" t="str">
        <f>TEXT(ASTemp!H2573,Decimals)</f>
        <v/>
      </c>
      <c r="I2573" s="69" t="str">
        <f>TEXT(ASTemp!I2573,Decimals)</f>
        <v/>
      </c>
      <c r="J2573" s="69" t="str">
        <f>TEXT(ASTemp!J2573,Decimals)</f>
        <v/>
      </c>
      <c r="K2573" s="69" t="str">
        <f>TEXT(ASTemp!K2573,Decimals)</f>
        <v/>
      </c>
      <c r="L2573" s="69" t="str">
        <f>TEXT(ASTemp!L2573,Decimals)</f>
        <v/>
      </c>
      <c r="M2573" s="71" t="str">
        <f>TEXT(ASTemp!M2573,Percentages)</f>
        <v/>
      </c>
      <c r="N2573" s="72" t="str">
        <f>TEXT(ASTemp!N2573,Percentages)</f>
        <v/>
      </c>
    </row>
    <row r="2574" ht="14.25" customHeight="1">
      <c r="B2574" s="66" t="str">
        <f>ASTemp!B2574</f>
        <v/>
      </c>
      <c r="C2574" s="67" t="str">
        <f>ASTemp!C2574</f>
        <v/>
      </c>
      <c r="D2574" s="68" t="str">
        <f>ASTemp!D2574</f>
        <v/>
      </c>
      <c r="E2574" s="65" t="str">
        <f>ASTemp!E2574</f>
        <v/>
      </c>
      <c r="F2574" s="69" t="str">
        <f>TEXT(ASTemp!F2574,Decimals)</f>
        <v/>
      </c>
      <c r="G2574" s="69" t="str">
        <f>TEXT(ASTemp!G2574,Decimals)</f>
        <v/>
      </c>
      <c r="H2574" s="69" t="str">
        <f>TEXT(ASTemp!H2574,Decimals)</f>
        <v/>
      </c>
      <c r="I2574" s="69" t="str">
        <f>TEXT(ASTemp!I2574,Decimals)</f>
        <v/>
      </c>
      <c r="J2574" s="69" t="str">
        <f>TEXT(ASTemp!J2574,Decimals)</f>
        <v/>
      </c>
      <c r="K2574" s="69" t="str">
        <f>TEXT(ASTemp!K2574,Decimals)</f>
        <v/>
      </c>
      <c r="L2574" s="69" t="str">
        <f>TEXT(ASTemp!L2574,Decimals)</f>
        <v/>
      </c>
      <c r="M2574" s="71" t="str">
        <f>TEXT(ASTemp!M2574,Percentages)</f>
        <v/>
      </c>
      <c r="N2574" s="72" t="str">
        <f>TEXT(ASTemp!N2574,Percentages)</f>
        <v/>
      </c>
    </row>
    <row r="2575" ht="14.25" customHeight="1">
      <c r="B2575" s="66" t="str">
        <f>ASTemp!B2575</f>
        <v/>
      </c>
      <c r="C2575" s="67" t="str">
        <f>ASTemp!C2575</f>
        <v/>
      </c>
      <c r="D2575" s="68" t="str">
        <f>ASTemp!D2575</f>
        <v/>
      </c>
      <c r="E2575" s="65" t="str">
        <f>ASTemp!E2575</f>
        <v/>
      </c>
      <c r="F2575" s="69" t="str">
        <f>TEXT(ASTemp!F2575,Decimals)</f>
        <v/>
      </c>
      <c r="G2575" s="69" t="str">
        <f>TEXT(ASTemp!G2575,Decimals)</f>
        <v/>
      </c>
      <c r="H2575" s="69" t="str">
        <f>TEXT(ASTemp!H2575,Decimals)</f>
        <v/>
      </c>
      <c r="I2575" s="69" t="str">
        <f>TEXT(ASTemp!I2575,Decimals)</f>
        <v/>
      </c>
      <c r="J2575" s="69" t="str">
        <f>TEXT(ASTemp!J2575,Decimals)</f>
        <v/>
      </c>
      <c r="K2575" s="69" t="str">
        <f>TEXT(ASTemp!K2575,Decimals)</f>
        <v/>
      </c>
      <c r="L2575" s="69" t="str">
        <f>TEXT(ASTemp!L2575,Decimals)</f>
        <v/>
      </c>
      <c r="M2575" s="71" t="str">
        <f>TEXT(ASTemp!M2575,Percentages)</f>
        <v/>
      </c>
      <c r="N2575" s="72" t="str">
        <f>TEXT(ASTemp!N2575,Percentages)</f>
        <v/>
      </c>
    </row>
    <row r="2576" ht="14.25" customHeight="1">
      <c r="B2576" s="66" t="str">
        <f>ASTemp!B2576</f>
        <v/>
      </c>
      <c r="C2576" s="67" t="str">
        <f>ASTemp!C2576</f>
        <v/>
      </c>
      <c r="D2576" s="68" t="str">
        <f>ASTemp!D2576</f>
        <v/>
      </c>
      <c r="E2576" s="65" t="str">
        <f>ASTemp!E2576</f>
        <v/>
      </c>
      <c r="F2576" s="69" t="str">
        <f>TEXT(ASTemp!F2576,Decimals)</f>
        <v/>
      </c>
      <c r="G2576" s="69" t="str">
        <f>TEXT(ASTemp!G2576,Decimals)</f>
        <v/>
      </c>
      <c r="H2576" s="69" t="str">
        <f>TEXT(ASTemp!H2576,Decimals)</f>
        <v/>
      </c>
      <c r="I2576" s="69" t="str">
        <f>TEXT(ASTemp!I2576,Decimals)</f>
        <v/>
      </c>
      <c r="J2576" s="69" t="str">
        <f>TEXT(ASTemp!J2576,Decimals)</f>
        <v/>
      </c>
      <c r="K2576" s="69" t="str">
        <f>TEXT(ASTemp!K2576,Decimals)</f>
        <v/>
      </c>
      <c r="L2576" s="69" t="str">
        <f>TEXT(ASTemp!L2576,Decimals)</f>
        <v/>
      </c>
      <c r="M2576" s="71" t="str">
        <f>TEXT(ASTemp!M2576,Percentages)</f>
        <v/>
      </c>
      <c r="N2576" s="72" t="str">
        <f>TEXT(ASTemp!N2576,Percentages)</f>
        <v/>
      </c>
    </row>
    <row r="2577" ht="14.25" customHeight="1">
      <c r="B2577" s="66" t="str">
        <f>ASTemp!B2577</f>
        <v/>
      </c>
      <c r="C2577" s="67" t="str">
        <f>ASTemp!C2577</f>
        <v/>
      </c>
      <c r="D2577" s="68" t="str">
        <f>ASTemp!D2577</f>
        <v/>
      </c>
      <c r="E2577" s="65" t="str">
        <f>ASTemp!E2577</f>
        <v/>
      </c>
      <c r="F2577" s="69" t="str">
        <f>TEXT(ASTemp!F2577,Decimals)</f>
        <v/>
      </c>
      <c r="G2577" s="69" t="str">
        <f>TEXT(ASTemp!G2577,Decimals)</f>
        <v/>
      </c>
      <c r="H2577" s="69" t="str">
        <f>TEXT(ASTemp!H2577,Decimals)</f>
        <v/>
      </c>
      <c r="I2577" s="69" t="str">
        <f>TEXT(ASTemp!I2577,Decimals)</f>
        <v/>
      </c>
      <c r="J2577" s="69" t="str">
        <f>TEXT(ASTemp!J2577,Decimals)</f>
        <v/>
      </c>
      <c r="K2577" s="69" t="str">
        <f>TEXT(ASTemp!K2577,Decimals)</f>
        <v/>
      </c>
      <c r="L2577" s="69" t="str">
        <f>TEXT(ASTemp!L2577,Decimals)</f>
        <v/>
      </c>
      <c r="M2577" s="71" t="str">
        <f>TEXT(ASTemp!M2577,Percentages)</f>
        <v/>
      </c>
      <c r="N2577" s="72" t="str">
        <f>TEXT(ASTemp!N2577,Percentages)</f>
        <v/>
      </c>
    </row>
    <row r="2578" ht="14.25" customHeight="1">
      <c r="B2578" s="66" t="str">
        <f>ASTemp!B2578</f>
        <v/>
      </c>
      <c r="C2578" s="67" t="str">
        <f>ASTemp!C2578</f>
        <v/>
      </c>
      <c r="D2578" s="68" t="str">
        <f>ASTemp!D2578</f>
        <v/>
      </c>
      <c r="E2578" s="65" t="str">
        <f>ASTemp!E2578</f>
        <v/>
      </c>
      <c r="F2578" s="69" t="str">
        <f>TEXT(ASTemp!F2578,Decimals)</f>
        <v/>
      </c>
      <c r="G2578" s="69" t="str">
        <f>TEXT(ASTemp!G2578,Decimals)</f>
        <v/>
      </c>
      <c r="H2578" s="69" t="str">
        <f>TEXT(ASTemp!H2578,Decimals)</f>
        <v/>
      </c>
      <c r="I2578" s="69" t="str">
        <f>TEXT(ASTemp!I2578,Decimals)</f>
        <v/>
      </c>
      <c r="J2578" s="69" t="str">
        <f>TEXT(ASTemp!J2578,Decimals)</f>
        <v/>
      </c>
      <c r="K2578" s="69" t="str">
        <f>TEXT(ASTemp!K2578,Decimals)</f>
        <v/>
      </c>
      <c r="L2578" s="69" t="str">
        <f>TEXT(ASTemp!L2578,Decimals)</f>
        <v/>
      </c>
      <c r="M2578" s="71" t="str">
        <f>TEXT(ASTemp!M2578,Percentages)</f>
        <v/>
      </c>
      <c r="N2578" s="72" t="str">
        <f>TEXT(ASTemp!N2578,Percentages)</f>
        <v/>
      </c>
    </row>
    <row r="2579" ht="14.25" customHeight="1">
      <c r="B2579" s="66" t="str">
        <f>ASTemp!B2579</f>
        <v/>
      </c>
      <c r="C2579" s="67" t="str">
        <f>ASTemp!C2579</f>
        <v/>
      </c>
      <c r="D2579" s="68" t="str">
        <f>ASTemp!D2579</f>
        <v/>
      </c>
      <c r="E2579" s="65" t="str">
        <f>ASTemp!E2579</f>
        <v/>
      </c>
      <c r="F2579" s="69" t="str">
        <f>TEXT(ASTemp!F2579,Decimals)</f>
        <v/>
      </c>
      <c r="G2579" s="69" t="str">
        <f>TEXT(ASTemp!G2579,Decimals)</f>
        <v/>
      </c>
      <c r="H2579" s="69" t="str">
        <f>TEXT(ASTemp!H2579,Decimals)</f>
        <v/>
      </c>
      <c r="I2579" s="69" t="str">
        <f>TEXT(ASTemp!I2579,Decimals)</f>
        <v/>
      </c>
      <c r="J2579" s="69" t="str">
        <f>TEXT(ASTemp!J2579,Decimals)</f>
        <v/>
      </c>
      <c r="K2579" s="69" t="str">
        <f>TEXT(ASTemp!K2579,Decimals)</f>
        <v/>
      </c>
      <c r="L2579" s="69" t="str">
        <f>TEXT(ASTemp!L2579,Decimals)</f>
        <v/>
      </c>
      <c r="M2579" s="71" t="str">
        <f>TEXT(ASTemp!M2579,Percentages)</f>
        <v/>
      </c>
      <c r="N2579" s="72" t="str">
        <f>TEXT(ASTemp!N2579,Percentages)</f>
        <v/>
      </c>
    </row>
    <row r="2580" ht="14.25" customHeight="1">
      <c r="B2580" s="66" t="str">
        <f>ASTemp!B2580</f>
        <v/>
      </c>
      <c r="C2580" s="67" t="str">
        <f>ASTemp!C2580</f>
        <v/>
      </c>
      <c r="D2580" s="68" t="str">
        <f>ASTemp!D2580</f>
        <v/>
      </c>
      <c r="E2580" s="65" t="str">
        <f>ASTemp!E2580</f>
        <v/>
      </c>
      <c r="F2580" s="69" t="str">
        <f>TEXT(ASTemp!F2580,Decimals)</f>
        <v/>
      </c>
      <c r="G2580" s="69" t="str">
        <f>TEXT(ASTemp!G2580,Decimals)</f>
        <v/>
      </c>
      <c r="H2580" s="69" t="str">
        <f>TEXT(ASTemp!H2580,Decimals)</f>
        <v/>
      </c>
      <c r="I2580" s="69" t="str">
        <f>TEXT(ASTemp!I2580,Decimals)</f>
        <v/>
      </c>
      <c r="J2580" s="69" t="str">
        <f>TEXT(ASTemp!J2580,Decimals)</f>
        <v/>
      </c>
      <c r="K2580" s="69" t="str">
        <f>TEXT(ASTemp!K2580,Decimals)</f>
        <v/>
      </c>
      <c r="L2580" s="69" t="str">
        <f>TEXT(ASTemp!L2580,Decimals)</f>
        <v/>
      </c>
      <c r="M2580" s="71" t="str">
        <f>TEXT(ASTemp!M2580,Percentages)</f>
        <v/>
      </c>
      <c r="N2580" s="72" t="str">
        <f>TEXT(ASTemp!N2580,Percentages)</f>
        <v/>
      </c>
    </row>
    <row r="2581" ht="14.25" customHeight="1">
      <c r="B2581" s="66" t="str">
        <f>ASTemp!B2581</f>
        <v/>
      </c>
      <c r="C2581" s="67" t="str">
        <f>ASTemp!C2581</f>
        <v/>
      </c>
      <c r="D2581" s="68" t="str">
        <f>ASTemp!D2581</f>
        <v/>
      </c>
      <c r="E2581" s="65" t="str">
        <f>ASTemp!E2581</f>
        <v/>
      </c>
      <c r="F2581" s="69" t="str">
        <f>TEXT(ASTemp!F2581,Decimals)</f>
        <v/>
      </c>
      <c r="G2581" s="69" t="str">
        <f>TEXT(ASTemp!G2581,Decimals)</f>
        <v/>
      </c>
      <c r="H2581" s="69" t="str">
        <f>TEXT(ASTemp!H2581,Decimals)</f>
        <v/>
      </c>
      <c r="I2581" s="69" t="str">
        <f>TEXT(ASTemp!I2581,Decimals)</f>
        <v/>
      </c>
      <c r="J2581" s="69" t="str">
        <f>TEXT(ASTemp!J2581,Decimals)</f>
        <v/>
      </c>
      <c r="K2581" s="69" t="str">
        <f>TEXT(ASTemp!K2581,Decimals)</f>
        <v/>
      </c>
      <c r="L2581" s="69" t="str">
        <f>TEXT(ASTemp!L2581,Decimals)</f>
        <v/>
      </c>
      <c r="M2581" s="71" t="str">
        <f>TEXT(ASTemp!M2581,Percentages)</f>
        <v/>
      </c>
      <c r="N2581" s="72" t="str">
        <f>TEXT(ASTemp!N2581,Percentages)</f>
        <v/>
      </c>
    </row>
    <row r="2582" ht="14.25" customHeight="1">
      <c r="B2582" s="66" t="str">
        <f>ASTemp!B2582</f>
        <v/>
      </c>
      <c r="C2582" s="67" t="str">
        <f>ASTemp!C2582</f>
        <v/>
      </c>
      <c r="D2582" s="68" t="str">
        <f>ASTemp!D2582</f>
        <v/>
      </c>
      <c r="E2582" s="65" t="str">
        <f>ASTemp!E2582</f>
        <v/>
      </c>
      <c r="F2582" s="69" t="str">
        <f>TEXT(ASTemp!F2582,Decimals)</f>
        <v/>
      </c>
      <c r="G2582" s="69" t="str">
        <f>TEXT(ASTemp!G2582,Decimals)</f>
        <v/>
      </c>
      <c r="H2582" s="69" t="str">
        <f>TEXT(ASTemp!H2582,Decimals)</f>
        <v/>
      </c>
      <c r="I2582" s="69" t="str">
        <f>TEXT(ASTemp!I2582,Decimals)</f>
        <v/>
      </c>
      <c r="J2582" s="69" t="str">
        <f>TEXT(ASTemp!J2582,Decimals)</f>
        <v/>
      </c>
      <c r="K2582" s="69" t="str">
        <f>TEXT(ASTemp!K2582,Decimals)</f>
        <v/>
      </c>
      <c r="L2582" s="69" t="str">
        <f>TEXT(ASTemp!L2582,Decimals)</f>
        <v/>
      </c>
      <c r="M2582" s="71" t="str">
        <f>TEXT(ASTemp!M2582,Percentages)</f>
        <v/>
      </c>
      <c r="N2582" s="72" t="str">
        <f>TEXT(ASTemp!N2582,Percentages)</f>
        <v/>
      </c>
    </row>
    <row r="2583" ht="14.25" customHeight="1">
      <c r="B2583" s="66" t="str">
        <f>ASTemp!B2583</f>
        <v/>
      </c>
      <c r="C2583" s="67" t="str">
        <f>ASTemp!C2583</f>
        <v/>
      </c>
      <c r="D2583" s="68" t="str">
        <f>ASTemp!D2583</f>
        <v/>
      </c>
      <c r="E2583" s="65" t="str">
        <f>ASTemp!E2583</f>
        <v/>
      </c>
      <c r="F2583" s="69" t="str">
        <f>TEXT(ASTemp!F2583,Decimals)</f>
        <v/>
      </c>
      <c r="G2583" s="69" t="str">
        <f>TEXT(ASTemp!G2583,Decimals)</f>
        <v/>
      </c>
      <c r="H2583" s="69" t="str">
        <f>TEXT(ASTemp!H2583,Decimals)</f>
        <v/>
      </c>
      <c r="I2583" s="69" t="str">
        <f>TEXT(ASTemp!I2583,Decimals)</f>
        <v/>
      </c>
      <c r="J2583" s="69" t="str">
        <f>TEXT(ASTemp!J2583,Decimals)</f>
        <v/>
      </c>
      <c r="K2583" s="69" t="str">
        <f>TEXT(ASTemp!K2583,Decimals)</f>
        <v/>
      </c>
      <c r="L2583" s="69" t="str">
        <f>TEXT(ASTemp!L2583,Decimals)</f>
        <v/>
      </c>
      <c r="M2583" s="71" t="str">
        <f>TEXT(ASTemp!M2583,Percentages)</f>
        <v/>
      </c>
      <c r="N2583" s="72" t="str">
        <f>TEXT(ASTemp!N2583,Percentages)</f>
        <v/>
      </c>
    </row>
    <row r="2584" ht="14.25" customHeight="1">
      <c r="B2584" s="66" t="str">
        <f>ASTemp!B2584</f>
        <v/>
      </c>
      <c r="C2584" s="67" t="str">
        <f>ASTemp!C2584</f>
        <v/>
      </c>
      <c r="D2584" s="68" t="str">
        <f>ASTemp!D2584</f>
        <v/>
      </c>
      <c r="E2584" s="65" t="str">
        <f>ASTemp!E2584</f>
        <v/>
      </c>
      <c r="F2584" s="69" t="str">
        <f>TEXT(ASTemp!F2584,Decimals)</f>
        <v/>
      </c>
      <c r="G2584" s="69" t="str">
        <f>TEXT(ASTemp!G2584,Decimals)</f>
        <v/>
      </c>
      <c r="H2584" s="69" t="str">
        <f>TEXT(ASTemp!H2584,Decimals)</f>
        <v/>
      </c>
      <c r="I2584" s="69" t="str">
        <f>TEXT(ASTemp!I2584,Decimals)</f>
        <v/>
      </c>
      <c r="J2584" s="69" t="str">
        <f>TEXT(ASTemp!J2584,Decimals)</f>
        <v/>
      </c>
      <c r="K2584" s="69" t="str">
        <f>TEXT(ASTemp!K2584,Decimals)</f>
        <v/>
      </c>
      <c r="L2584" s="69" t="str">
        <f>TEXT(ASTemp!L2584,Decimals)</f>
        <v/>
      </c>
      <c r="M2584" s="71" t="str">
        <f>TEXT(ASTemp!M2584,Percentages)</f>
        <v/>
      </c>
      <c r="N2584" s="72" t="str">
        <f>TEXT(ASTemp!N2584,Percentages)</f>
        <v/>
      </c>
    </row>
    <row r="2585" ht="14.25" customHeight="1">
      <c r="B2585" s="66" t="str">
        <f>ASTemp!B2585</f>
        <v/>
      </c>
      <c r="C2585" s="67" t="str">
        <f>ASTemp!C2585</f>
        <v/>
      </c>
      <c r="D2585" s="68" t="str">
        <f>ASTemp!D2585</f>
        <v/>
      </c>
      <c r="E2585" s="65" t="str">
        <f>ASTemp!E2585</f>
        <v/>
      </c>
      <c r="F2585" s="69" t="str">
        <f>TEXT(ASTemp!F2585,Decimals)</f>
        <v/>
      </c>
      <c r="G2585" s="69" t="str">
        <f>TEXT(ASTemp!G2585,Decimals)</f>
        <v/>
      </c>
      <c r="H2585" s="69" t="str">
        <f>TEXT(ASTemp!H2585,Decimals)</f>
        <v/>
      </c>
      <c r="I2585" s="69" t="str">
        <f>TEXT(ASTemp!I2585,Decimals)</f>
        <v/>
      </c>
      <c r="J2585" s="69" t="str">
        <f>TEXT(ASTemp!J2585,Decimals)</f>
        <v/>
      </c>
      <c r="K2585" s="69" t="str">
        <f>TEXT(ASTemp!K2585,Decimals)</f>
        <v/>
      </c>
      <c r="L2585" s="69" t="str">
        <f>TEXT(ASTemp!L2585,Decimals)</f>
        <v/>
      </c>
      <c r="M2585" s="71" t="str">
        <f>TEXT(ASTemp!M2585,Percentages)</f>
        <v/>
      </c>
      <c r="N2585" s="72" t="str">
        <f>TEXT(ASTemp!N2585,Percentages)</f>
        <v/>
      </c>
    </row>
    <row r="2586" ht="14.25" customHeight="1">
      <c r="B2586" s="66" t="str">
        <f>ASTemp!B2586</f>
        <v/>
      </c>
      <c r="C2586" s="67" t="str">
        <f>ASTemp!C2586</f>
        <v/>
      </c>
      <c r="D2586" s="68" t="str">
        <f>ASTemp!D2586</f>
        <v/>
      </c>
      <c r="E2586" s="65" t="str">
        <f>ASTemp!E2586</f>
        <v/>
      </c>
      <c r="F2586" s="69" t="str">
        <f>TEXT(ASTemp!F2586,Decimals)</f>
        <v/>
      </c>
      <c r="G2586" s="69" t="str">
        <f>TEXT(ASTemp!G2586,Decimals)</f>
        <v/>
      </c>
      <c r="H2586" s="69" t="str">
        <f>TEXT(ASTemp!H2586,Decimals)</f>
        <v/>
      </c>
      <c r="I2586" s="69" t="str">
        <f>TEXT(ASTemp!I2586,Decimals)</f>
        <v/>
      </c>
      <c r="J2586" s="69" t="str">
        <f>TEXT(ASTemp!J2586,Decimals)</f>
        <v/>
      </c>
      <c r="K2586" s="69" t="str">
        <f>TEXT(ASTemp!K2586,Decimals)</f>
        <v/>
      </c>
      <c r="L2586" s="69" t="str">
        <f>TEXT(ASTemp!L2586,Decimals)</f>
        <v/>
      </c>
      <c r="M2586" s="71" t="str">
        <f>TEXT(ASTemp!M2586,Percentages)</f>
        <v/>
      </c>
      <c r="N2586" s="72" t="str">
        <f>TEXT(ASTemp!N2586,Percentages)</f>
        <v/>
      </c>
    </row>
    <row r="2587" ht="14.25" customHeight="1">
      <c r="B2587" s="66" t="str">
        <f>ASTemp!B2587</f>
        <v/>
      </c>
      <c r="C2587" s="67" t="str">
        <f>ASTemp!C2587</f>
        <v/>
      </c>
      <c r="D2587" s="68" t="str">
        <f>ASTemp!D2587</f>
        <v/>
      </c>
      <c r="E2587" s="65" t="str">
        <f>ASTemp!E2587</f>
        <v/>
      </c>
      <c r="F2587" s="69" t="str">
        <f>TEXT(ASTemp!F2587,Decimals)</f>
        <v/>
      </c>
      <c r="G2587" s="69" t="str">
        <f>TEXT(ASTemp!G2587,Decimals)</f>
        <v/>
      </c>
      <c r="H2587" s="69" t="str">
        <f>TEXT(ASTemp!H2587,Decimals)</f>
        <v/>
      </c>
      <c r="I2587" s="69" t="str">
        <f>TEXT(ASTemp!I2587,Decimals)</f>
        <v/>
      </c>
      <c r="J2587" s="69" t="str">
        <f>TEXT(ASTemp!J2587,Decimals)</f>
        <v/>
      </c>
      <c r="K2587" s="69" t="str">
        <f>TEXT(ASTemp!K2587,Decimals)</f>
        <v/>
      </c>
      <c r="L2587" s="69" t="str">
        <f>TEXT(ASTemp!L2587,Decimals)</f>
        <v/>
      </c>
      <c r="M2587" s="71" t="str">
        <f>TEXT(ASTemp!M2587,Percentages)</f>
        <v/>
      </c>
      <c r="N2587" s="72" t="str">
        <f>TEXT(ASTemp!N2587,Percentages)</f>
        <v/>
      </c>
    </row>
    <row r="2588" ht="14.25" customHeight="1">
      <c r="B2588" s="66" t="str">
        <f>ASTemp!B2588</f>
        <v/>
      </c>
      <c r="C2588" s="67" t="str">
        <f>ASTemp!C2588</f>
        <v/>
      </c>
      <c r="D2588" s="68" t="str">
        <f>ASTemp!D2588</f>
        <v/>
      </c>
      <c r="E2588" s="65" t="str">
        <f>ASTemp!E2588</f>
        <v/>
      </c>
      <c r="F2588" s="69" t="str">
        <f>TEXT(ASTemp!F2588,Decimals)</f>
        <v/>
      </c>
      <c r="G2588" s="69" t="str">
        <f>TEXT(ASTemp!G2588,Decimals)</f>
        <v/>
      </c>
      <c r="H2588" s="69" t="str">
        <f>TEXT(ASTemp!H2588,Decimals)</f>
        <v/>
      </c>
      <c r="I2588" s="69" t="str">
        <f>TEXT(ASTemp!I2588,Decimals)</f>
        <v/>
      </c>
      <c r="J2588" s="69" t="str">
        <f>TEXT(ASTemp!J2588,Decimals)</f>
        <v/>
      </c>
      <c r="K2588" s="69" t="str">
        <f>TEXT(ASTemp!K2588,Decimals)</f>
        <v/>
      </c>
      <c r="L2588" s="69" t="str">
        <f>TEXT(ASTemp!L2588,Decimals)</f>
        <v/>
      </c>
      <c r="M2588" s="71" t="str">
        <f>TEXT(ASTemp!M2588,Percentages)</f>
        <v/>
      </c>
      <c r="N2588" s="72" t="str">
        <f>TEXT(ASTemp!N2588,Percentages)</f>
        <v/>
      </c>
    </row>
    <row r="2589" ht="14.25" customHeight="1">
      <c r="B2589" s="66" t="str">
        <f>ASTemp!B2589</f>
        <v/>
      </c>
      <c r="C2589" s="67" t="str">
        <f>ASTemp!C2589</f>
        <v/>
      </c>
      <c r="D2589" s="68" t="str">
        <f>ASTemp!D2589</f>
        <v/>
      </c>
      <c r="E2589" s="65" t="str">
        <f>ASTemp!E2589</f>
        <v/>
      </c>
      <c r="F2589" s="69" t="str">
        <f>TEXT(ASTemp!F2589,Decimals)</f>
        <v/>
      </c>
      <c r="G2589" s="69" t="str">
        <f>TEXT(ASTemp!G2589,Decimals)</f>
        <v/>
      </c>
      <c r="H2589" s="69" t="str">
        <f>TEXT(ASTemp!H2589,Decimals)</f>
        <v/>
      </c>
      <c r="I2589" s="69" t="str">
        <f>TEXT(ASTemp!I2589,Decimals)</f>
        <v/>
      </c>
      <c r="J2589" s="69" t="str">
        <f>TEXT(ASTemp!J2589,Decimals)</f>
        <v/>
      </c>
      <c r="K2589" s="69" t="str">
        <f>TEXT(ASTemp!K2589,Decimals)</f>
        <v/>
      </c>
      <c r="L2589" s="69" t="str">
        <f>TEXT(ASTemp!L2589,Decimals)</f>
        <v/>
      </c>
      <c r="M2589" s="71" t="str">
        <f>TEXT(ASTemp!M2589,Percentages)</f>
        <v/>
      </c>
      <c r="N2589" s="72" t="str">
        <f>TEXT(ASTemp!N2589,Percentages)</f>
        <v/>
      </c>
    </row>
    <row r="2590" ht="14.25" customHeight="1">
      <c r="B2590" s="66" t="str">
        <f>ASTemp!B2590</f>
        <v/>
      </c>
      <c r="C2590" s="67" t="str">
        <f>ASTemp!C2590</f>
        <v/>
      </c>
      <c r="D2590" s="68" t="str">
        <f>ASTemp!D2590</f>
        <v/>
      </c>
      <c r="E2590" s="65" t="str">
        <f>ASTemp!E2590</f>
        <v/>
      </c>
      <c r="F2590" s="69" t="str">
        <f>TEXT(ASTemp!F2590,Decimals)</f>
        <v/>
      </c>
      <c r="G2590" s="69" t="str">
        <f>TEXT(ASTemp!G2590,Decimals)</f>
        <v/>
      </c>
      <c r="H2590" s="69" t="str">
        <f>TEXT(ASTemp!H2590,Decimals)</f>
        <v/>
      </c>
      <c r="I2590" s="69" t="str">
        <f>TEXT(ASTemp!I2590,Decimals)</f>
        <v/>
      </c>
      <c r="J2590" s="69" t="str">
        <f>TEXT(ASTemp!J2590,Decimals)</f>
        <v/>
      </c>
      <c r="K2590" s="69" t="str">
        <f>TEXT(ASTemp!K2590,Decimals)</f>
        <v/>
      </c>
      <c r="L2590" s="69" t="str">
        <f>TEXT(ASTemp!L2590,Decimals)</f>
        <v/>
      </c>
      <c r="M2590" s="71" t="str">
        <f>TEXT(ASTemp!M2590,Percentages)</f>
        <v/>
      </c>
      <c r="N2590" s="72" t="str">
        <f>TEXT(ASTemp!N2590,Percentages)</f>
        <v/>
      </c>
    </row>
    <row r="2591" ht="14.25" customHeight="1">
      <c r="B2591" s="66" t="str">
        <f>ASTemp!B2591</f>
        <v/>
      </c>
      <c r="C2591" s="67" t="str">
        <f>ASTemp!C2591</f>
        <v/>
      </c>
      <c r="D2591" s="68" t="str">
        <f>ASTemp!D2591</f>
        <v/>
      </c>
      <c r="E2591" s="65" t="str">
        <f>ASTemp!E2591</f>
        <v/>
      </c>
      <c r="F2591" s="69" t="str">
        <f>TEXT(ASTemp!F2591,Decimals)</f>
        <v/>
      </c>
      <c r="G2591" s="69" t="str">
        <f>TEXT(ASTemp!G2591,Decimals)</f>
        <v/>
      </c>
      <c r="H2591" s="69" t="str">
        <f>TEXT(ASTemp!H2591,Decimals)</f>
        <v/>
      </c>
      <c r="I2591" s="69" t="str">
        <f>TEXT(ASTemp!I2591,Decimals)</f>
        <v/>
      </c>
      <c r="J2591" s="69" t="str">
        <f>TEXT(ASTemp!J2591,Decimals)</f>
        <v/>
      </c>
      <c r="K2591" s="69" t="str">
        <f>TEXT(ASTemp!K2591,Decimals)</f>
        <v/>
      </c>
      <c r="L2591" s="69" t="str">
        <f>TEXT(ASTemp!L2591,Decimals)</f>
        <v/>
      </c>
      <c r="M2591" s="71" t="str">
        <f>TEXT(ASTemp!M2591,Percentages)</f>
        <v/>
      </c>
      <c r="N2591" s="72" t="str">
        <f>TEXT(ASTemp!N2591,Percentages)</f>
        <v/>
      </c>
    </row>
    <row r="2592" ht="14.25" customHeight="1">
      <c r="B2592" s="66" t="str">
        <f>ASTemp!B2592</f>
        <v/>
      </c>
      <c r="C2592" s="67" t="str">
        <f>ASTemp!C2592</f>
        <v/>
      </c>
      <c r="D2592" s="68" t="str">
        <f>ASTemp!D2592</f>
        <v/>
      </c>
      <c r="E2592" s="65" t="str">
        <f>ASTemp!E2592</f>
        <v/>
      </c>
      <c r="F2592" s="69" t="str">
        <f>TEXT(ASTemp!F2592,Decimals)</f>
        <v/>
      </c>
      <c r="G2592" s="69" t="str">
        <f>TEXT(ASTemp!G2592,Decimals)</f>
        <v/>
      </c>
      <c r="H2592" s="69" t="str">
        <f>TEXT(ASTemp!H2592,Decimals)</f>
        <v/>
      </c>
      <c r="I2592" s="69" t="str">
        <f>TEXT(ASTemp!I2592,Decimals)</f>
        <v/>
      </c>
      <c r="J2592" s="69" t="str">
        <f>TEXT(ASTemp!J2592,Decimals)</f>
        <v/>
      </c>
      <c r="K2592" s="69" t="str">
        <f>TEXT(ASTemp!K2592,Decimals)</f>
        <v/>
      </c>
      <c r="L2592" s="69" t="str">
        <f>TEXT(ASTemp!L2592,Decimals)</f>
        <v/>
      </c>
      <c r="M2592" s="71" t="str">
        <f>TEXT(ASTemp!M2592,Percentages)</f>
        <v/>
      </c>
      <c r="N2592" s="72" t="str">
        <f>TEXT(ASTemp!N2592,Percentages)</f>
        <v/>
      </c>
    </row>
    <row r="2593" ht="14.25" customHeight="1">
      <c r="B2593" s="66" t="str">
        <f>ASTemp!B2593</f>
        <v/>
      </c>
      <c r="C2593" s="67" t="str">
        <f>ASTemp!C2593</f>
        <v/>
      </c>
      <c r="D2593" s="68" t="str">
        <f>ASTemp!D2593</f>
        <v/>
      </c>
      <c r="E2593" s="65" t="str">
        <f>ASTemp!E2593</f>
        <v/>
      </c>
      <c r="F2593" s="69" t="str">
        <f>TEXT(ASTemp!F2593,Decimals)</f>
        <v/>
      </c>
      <c r="G2593" s="69" t="str">
        <f>TEXT(ASTemp!G2593,Decimals)</f>
        <v/>
      </c>
      <c r="H2593" s="69" t="str">
        <f>TEXT(ASTemp!H2593,Decimals)</f>
        <v/>
      </c>
      <c r="I2593" s="69" t="str">
        <f>TEXT(ASTemp!I2593,Decimals)</f>
        <v/>
      </c>
      <c r="J2593" s="69" t="str">
        <f>TEXT(ASTemp!J2593,Decimals)</f>
        <v/>
      </c>
      <c r="K2593" s="69" t="str">
        <f>TEXT(ASTemp!K2593,Decimals)</f>
        <v/>
      </c>
      <c r="L2593" s="69" t="str">
        <f>TEXT(ASTemp!L2593,Decimals)</f>
        <v/>
      </c>
      <c r="M2593" s="71" t="str">
        <f>TEXT(ASTemp!M2593,Percentages)</f>
        <v/>
      </c>
      <c r="N2593" s="72" t="str">
        <f>TEXT(ASTemp!N2593,Percentages)</f>
        <v/>
      </c>
    </row>
    <row r="2594" ht="14.25" customHeight="1">
      <c r="B2594" s="66" t="str">
        <f>ASTemp!B2594</f>
        <v/>
      </c>
      <c r="C2594" s="67" t="str">
        <f>ASTemp!C2594</f>
        <v/>
      </c>
      <c r="D2594" s="68" t="str">
        <f>ASTemp!D2594</f>
        <v/>
      </c>
      <c r="E2594" s="65" t="str">
        <f>ASTemp!E2594</f>
        <v/>
      </c>
      <c r="F2594" s="69" t="str">
        <f>TEXT(ASTemp!F2594,Decimals)</f>
        <v/>
      </c>
      <c r="G2594" s="69" t="str">
        <f>TEXT(ASTemp!G2594,Decimals)</f>
        <v/>
      </c>
      <c r="H2594" s="69" t="str">
        <f>TEXT(ASTemp!H2594,Decimals)</f>
        <v/>
      </c>
      <c r="I2594" s="69" t="str">
        <f>TEXT(ASTemp!I2594,Decimals)</f>
        <v/>
      </c>
      <c r="J2594" s="69" t="str">
        <f>TEXT(ASTemp!J2594,Decimals)</f>
        <v/>
      </c>
      <c r="K2594" s="69" t="str">
        <f>TEXT(ASTemp!K2594,Decimals)</f>
        <v/>
      </c>
      <c r="L2594" s="69" t="str">
        <f>TEXT(ASTemp!L2594,Decimals)</f>
        <v/>
      </c>
      <c r="M2594" s="71" t="str">
        <f>TEXT(ASTemp!M2594,Percentages)</f>
        <v/>
      </c>
      <c r="N2594" s="72" t="str">
        <f>TEXT(ASTemp!N2594,Percentages)</f>
        <v/>
      </c>
    </row>
    <row r="2595" ht="14.25" customHeight="1">
      <c r="B2595" s="66" t="str">
        <f>ASTemp!B2595</f>
        <v/>
      </c>
      <c r="C2595" s="67" t="str">
        <f>ASTemp!C2595</f>
        <v/>
      </c>
      <c r="D2595" s="68" t="str">
        <f>ASTemp!D2595</f>
        <v/>
      </c>
      <c r="E2595" s="65" t="str">
        <f>ASTemp!E2595</f>
        <v/>
      </c>
      <c r="F2595" s="69" t="str">
        <f>TEXT(ASTemp!F2595,Decimals)</f>
        <v/>
      </c>
      <c r="G2595" s="69" t="str">
        <f>TEXT(ASTemp!G2595,Decimals)</f>
        <v/>
      </c>
      <c r="H2595" s="69" t="str">
        <f>TEXT(ASTemp!H2595,Decimals)</f>
        <v/>
      </c>
      <c r="I2595" s="69" t="str">
        <f>TEXT(ASTemp!I2595,Decimals)</f>
        <v/>
      </c>
      <c r="J2595" s="69" t="str">
        <f>TEXT(ASTemp!J2595,Decimals)</f>
        <v/>
      </c>
      <c r="K2595" s="69" t="str">
        <f>TEXT(ASTemp!K2595,Decimals)</f>
        <v/>
      </c>
      <c r="L2595" s="69" t="str">
        <f>TEXT(ASTemp!L2595,Decimals)</f>
        <v/>
      </c>
      <c r="M2595" s="71" t="str">
        <f>TEXT(ASTemp!M2595,Percentages)</f>
        <v/>
      </c>
      <c r="N2595" s="72" t="str">
        <f>TEXT(ASTemp!N2595,Percentages)</f>
        <v/>
      </c>
    </row>
    <row r="2596" ht="14.25" customHeight="1">
      <c r="B2596" s="66" t="str">
        <f>ASTemp!B2596</f>
        <v/>
      </c>
      <c r="C2596" s="67" t="str">
        <f>ASTemp!C2596</f>
        <v/>
      </c>
      <c r="D2596" s="68" t="str">
        <f>ASTemp!D2596</f>
        <v/>
      </c>
      <c r="E2596" s="65" t="str">
        <f>ASTemp!E2596</f>
        <v/>
      </c>
      <c r="F2596" s="69" t="str">
        <f>TEXT(ASTemp!F2596,Decimals)</f>
        <v/>
      </c>
      <c r="G2596" s="69" t="str">
        <f>TEXT(ASTemp!G2596,Decimals)</f>
        <v/>
      </c>
      <c r="H2596" s="69" t="str">
        <f>TEXT(ASTemp!H2596,Decimals)</f>
        <v/>
      </c>
      <c r="I2596" s="69" t="str">
        <f>TEXT(ASTemp!I2596,Decimals)</f>
        <v/>
      </c>
      <c r="J2596" s="69" t="str">
        <f>TEXT(ASTemp!J2596,Decimals)</f>
        <v/>
      </c>
      <c r="K2596" s="69" t="str">
        <f>TEXT(ASTemp!K2596,Decimals)</f>
        <v/>
      </c>
      <c r="L2596" s="69" t="str">
        <f>TEXT(ASTemp!L2596,Decimals)</f>
        <v/>
      </c>
      <c r="M2596" s="71" t="str">
        <f>TEXT(ASTemp!M2596,Percentages)</f>
        <v/>
      </c>
      <c r="N2596" s="72" t="str">
        <f>TEXT(ASTemp!N2596,Percentages)</f>
        <v/>
      </c>
    </row>
    <row r="2597" ht="14.25" customHeight="1">
      <c r="B2597" s="66" t="str">
        <f>ASTemp!B2597</f>
        <v/>
      </c>
      <c r="C2597" s="67" t="str">
        <f>ASTemp!C2597</f>
        <v/>
      </c>
      <c r="D2597" s="68" t="str">
        <f>ASTemp!D2597</f>
        <v/>
      </c>
      <c r="E2597" s="65" t="str">
        <f>ASTemp!E2597</f>
        <v/>
      </c>
      <c r="F2597" s="69" t="str">
        <f>TEXT(ASTemp!F2597,Decimals)</f>
        <v/>
      </c>
      <c r="G2597" s="69" t="str">
        <f>TEXT(ASTemp!G2597,Decimals)</f>
        <v/>
      </c>
      <c r="H2597" s="69" t="str">
        <f>TEXT(ASTemp!H2597,Decimals)</f>
        <v/>
      </c>
      <c r="I2597" s="69" t="str">
        <f>TEXT(ASTemp!I2597,Decimals)</f>
        <v/>
      </c>
      <c r="J2597" s="69" t="str">
        <f>TEXT(ASTemp!J2597,Decimals)</f>
        <v/>
      </c>
      <c r="K2597" s="69" t="str">
        <f>TEXT(ASTemp!K2597,Decimals)</f>
        <v/>
      </c>
      <c r="L2597" s="69" t="str">
        <f>TEXT(ASTemp!L2597,Decimals)</f>
        <v/>
      </c>
      <c r="M2597" s="71" t="str">
        <f>TEXT(ASTemp!M2597,Percentages)</f>
        <v/>
      </c>
      <c r="N2597" s="72" t="str">
        <f>TEXT(ASTemp!N2597,Percentages)</f>
        <v/>
      </c>
    </row>
    <row r="2598" ht="14.25" customHeight="1">
      <c r="B2598" s="66" t="str">
        <f>ASTemp!B2598</f>
        <v/>
      </c>
      <c r="C2598" s="67" t="str">
        <f>ASTemp!C2598</f>
        <v/>
      </c>
      <c r="D2598" s="68" t="str">
        <f>ASTemp!D2598</f>
        <v/>
      </c>
      <c r="E2598" s="65" t="str">
        <f>ASTemp!E2598</f>
        <v/>
      </c>
      <c r="F2598" s="69" t="str">
        <f>TEXT(ASTemp!F2598,Decimals)</f>
        <v/>
      </c>
      <c r="G2598" s="69" t="str">
        <f>TEXT(ASTemp!G2598,Decimals)</f>
        <v/>
      </c>
      <c r="H2598" s="69" t="str">
        <f>TEXT(ASTemp!H2598,Decimals)</f>
        <v/>
      </c>
      <c r="I2598" s="69" t="str">
        <f>TEXT(ASTemp!I2598,Decimals)</f>
        <v/>
      </c>
      <c r="J2598" s="69" t="str">
        <f>TEXT(ASTemp!J2598,Decimals)</f>
        <v/>
      </c>
      <c r="K2598" s="69" t="str">
        <f>TEXT(ASTemp!K2598,Decimals)</f>
        <v/>
      </c>
      <c r="L2598" s="69" t="str">
        <f>TEXT(ASTemp!L2598,Decimals)</f>
        <v/>
      </c>
      <c r="M2598" s="71" t="str">
        <f>TEXT(ASTemp!M2598,Percentages)</f>
        <v/>
      </c>
      <c r="N2598" s="72" t="str">
        <f>TEXT(ASTemp!N2598,Percentages)</f>
        <v/>
      </c>
    </row>
    <row r="2599" ht="14.25" customHeight="1">
      <c r="B2599" s="66" t="str">
        <f>ASTemp!B2599</f>
        <v/>
      </c>
      <c r="C2599" s="67" t="str">
        <f>ASTemp!C2599</f>
        <v/>
      </c>
      <c r="D2599" s="68" t="str">
        <f>ASTemp!D2599</f>
        <v/>
      </c>
      <c r="E2599" s="65" t="str">
        <f>ASTemp!E2599</f>
        <v/>
      </c>
      <c r="F2599" s="69" t="str">
        <f>TEXT(ASTemp!F2599,Decimals)</f>
        <v/>
      </c>
      <c r="G2599" s="69" t="str">
        <f>TEXT(ASTemp!G2599,Decimals)</f>
        <v/>
      </c>
      <c r="H2599" s="69" t="str">
        <f>TEXT(ASTemp!H2599,Decimals)</f>
        <v/>
      </c>
      <c r="I2599" s="69" t="str">
        <f>TEXT(ASTemp!I2599,Decimals)</f>
        <v/>
      </c>
      <c r="J2599" s="69" t="str">
        <f>TEXT(ASTemp!J2599,Decimals)</f>
        <v/>
      </c>
      <c r="K2599" s="69" t="str">
        <f>TEXT(ASTemp!K2599,Decimals)</f>
        <v/>
      </c>
      <c r="L2599" s="69" t="str">
        <f>TEXT(ASTemp!L2599,Decimals)</f>
        <v/>
      </c>
      <c r="M2599" s="71" t="str">
        <f>TEXT(ASTemp!M2599,Percentages)</f>
        <v/>
      </c>
      <c r="N2599" s="72" t="str">
        <f>TEXT(ASTemp!N2599,Percentages)</f>
        <v/>
      </c>
    </row>
    <row r="2600" ht="14.25" customHeight="1">
      <c r="B2600" s="66" t="str">
        <f>ASTemp!B2600</f>
        <v/>
      </c>
      <c r="C2600" s="67" t="str">
        <f>ASTemp!C2600</f>
        <v/>
      </c>
      <c r="D2600" s="68" t="str">
        <f>ASTemp!D2600</f>
        <v/>
      </c>
      <c r="E2600" s="65" t="str">
        <f>ASTemp!E2600</f>
        <v/>
      </c>
      <c r="F2600" s="69" t="str">
        <f>TEXT(ASTemp!F2600,Decimals)</f>
        <v/>
      </c>
      <c r="G2600" s="69" t="str">
        <f>TEXT(ASTemp!G2600,Decimals)</f>
        <v/>
      </c>
      <c r="H2600" s="69" t="str">
        <f>TEXT(ASTemp!H2600,Decimals)</f>
        <v/>
      </c>
      <c r="I2600" s="69" t="str">
        <f>TEXT(ASTemp!I2600,Decimals)</f>
        <v/>
      </c>
      <c r="J2600" s="69" t="str">
        <f>TEXT(ASTemp!J2600,Decimals)</f>
        <v/>
      </c>
      <c r="K2600" s="69" t="str">
        <f>TEXT(ASTemp!K2600,Decimals)</f>
        <v/>
      </c>
      <c r="L2600" s="69" t="str">
        <f>TEXT(ASTemp!L2600,Decimals)</f>
        <v/>
      </c>
      <c r="M2600" s="71" t="str">
        <f>TEXT(ASTemp!M2600,Percentages)</f>
        <v/>
      </c>
      <c r="N2600" s="72" t="str">
        <f>TEXT(ASTemp!N2600,Percentages)</f>
        <v/>
      </c>
    </row>
    <row r="2601" ht="14.25" customHeight="1">
      <c r="B2601" s="66" t="str">
        <f>ASTemp!B2601</f>
        <v/>
      </c>
      <c r="C2601" s="67" t="str">
        <f>ASTemp!C2601</f>
        <v/>
      </c>
      <c r="D2601" s="68" t="str">
        <f>ASTemp!D2601</f>
        <v/>
      </c>
      <c r="E2601" s="65" t="str">
        <f>ASTemp!E2601</f>
        <v/>
      </c>
      <c r="F2601" s="69" t="str">
        <f>TEXT(ASTemp!F2601,Decimals)</f>
        <v/>
      </c>
      <c r="G2601" s="69" t="str">
        <f>TEXT(ASTemp!G2601,Decimals)</f>
        <v/>
      </c>
      <c r="H2601" s="69" t="str">
        <f>TEXT(ASTemp!H2601,Decimals)</f>
        <v/>
      </c>
      <c r="I2601" s="69" t="str">
        <f>TEXT(ASTemp!I2601,Decimals)</f>
        <v/>
      </c>
      <c r="J2601" s="69" t="str">
        <f>TEXT(ASTemp!J2601,Decimals)</f>
        <v/>
      </c>
      <c r="K2601" s="69" t="str">
        <f>TEXT(ASTemp!K2601,Decimals)</f>
        <v/>
      </c>
      <c r="L2601" s="69" t="str">
        <f>TEXT(ASTemp!L2601,Decimals)</f>
        <v/>
      </c>
      <c r="M2601" s="71" t="str">
        <f>TEXT(ASTemp!M2601,Percentages)</f>
        <v/>
      </c>
      <c r="N2601" s="72" t="str">
        <f>TEXT(ASTemp!N2601,Percentages)</f>
        <v/>
      </c>
    </row>
    <row r="2602" ht="14.25" customHeight="1">
      <c r="B2602" s="66" t="str">
        <f>ASTemp!B2602</f>
        <v/>
      </c>
      <c r="C2602" s="67" t="str">
        <f>ASTemp!C2602</f>
        <v/>
      </c>
      <c r="D2602" s="68" t="str">
        <f>ASTemp!D2602</f>
        <v/>
      </c>
      <c r="E2602" s="65" t="str">
        <f>ASTemp!E2602</f>
        <v/>
      </c>
      <c r="F2602" s="69" t="str">
        <f>TEXT(ASTemp!F2602,Decimals)</f>
        <v/>
      </c>
      <c r="G2602" s="69" t="str">
        <f>TEXT(ASTemp!G2602,Decimals)</f>
        <v/>
      </c>
      <c r="H2602" s="69" t="str">
        <f>TEXT(ASTemp!H2602,Decimals)</f>
        <v/>
      </c>
      <c r="I2602" s="69" t="str">
        <f>TEXT(ASTemp!I2602,Decimals)</f>
        <v/>
      </c>
      <c r="J2602" s="69" t="str">
        <f>TEXT(ASTemp!J2602,Decimals)</f>
        <v/>
      </c>
      <c r="K2602" s="69" t="str">
        <f>TEXT(ASTemp!K2602,Decimals)</f>
        <v/>
      </c>
      <c r="L2602" s="69" t="str">
        <f>TEXT(ASTemp!L2602,Decimals)</f>
        <v/>
      </c>
      <c r="M2602" s="71" t="str">
        <f>TEXT(ASTemp!M2602,Percentages)</f>
        <v/>
      </c>
      <c r="N2602" s="72" t="str">
        <f>TEXT(ASTemp!N2602,Percentages)</f>
        <v/>
      </c>
    </row>
    <row r="2603" ht="14.25" customHeight="1">
      <c r="B2603" s="66" t="str">
        <f>ASTemp!B2603</f>
        <v/>
      </c>
      <c r="C2603" s="67" t="str">
        <f>ASTemp!C2603</f>
        <v/>
      </c>
      <c r="D2603" s="68" t="str">
        <f>ASTemp!D2603</f>
        <v/>
      </c>
      <c r="E2603" s="65" t="str">
        <f>ASTemp!E2603</f>
        <v/>
      </c>
      <c r="F2603" s="69" t="str">
        <f>TEXT(ASTemp!F2603,Decimals)</f>
        <v/>
      </c>
      <c r="G2603" s="69" t="str">
        <f>TEXT(ASTemp!G2603,Decimals)</f>
        <v/>
      </c>
      <c r="H2603" s="69" t="str">
        <f>TEXT(ASTemp!H2603,Decimals)</f>
        <v/>
      </c>
      <c r="I2603" s="69" t="str">
        <f>TEXT(ASTemp!I2603,Decimals)</f>
        <v/>
      </c>
      <c r="J2603" s="69" t="str">
        <f>TEXT(ASTemp!J2603,Decimals)</f>
        <v/>
      </c>
      <c r="K2603" s="69" t="str">
        <f>TEXT(ASTemp!K2603,Decimals)</f>
        <v/>
      </c>
      <c r="L2603" s="69" t="str">
        <f>TEXT(ASTemp!L2603,Decimals)</f>
        <v/>
      </c>
      <c r="M2603" s="71" t="str">
        <f>TEXT(ASTemp!M2603,Percentages)</f>
        <v/>
      </c>
      <c r="N2603" s="72" t="str">
        <f>TEXT(ASTemp!N2603,Percentages)</f>
        <v/>
      </c>
    </row>
    <row r="2604" ht="14.25" customHeight="1">
      <c r="B2604" s="66" t="str">
        <f>ASTemp!B2604</f>
        <v/>
      </c>
      <c r="C2604" s="67" t="str">
        <f>ASTemp!C2604</f>
        <v/>
      </c>
      <c r="D2604" s="68" t="str">
        <f>ASTemp!D2604</f>
        <v/>
      </c>
      <c r="E2604" s="65" t="str">
        <f>ASTemp!E2604</f>
        <v/>
      </c>
      <c r="F2604" s="69" t="str">
        <f>TEXT(ASTemp!F2604,Decimals)</f>
        <v/>
      </c>
      <c r="G2604" s="69" t="str">
        <f>TEXT(ASTemp!G2604,Decimals)</f>
        <v/>
      </c>
      <c r="H2604" s="69" t="str">
        <f>TEXT(ASTemp!H2604,Decimals)</f>
        <v/>
      </c>
      <c r="I2604" s="69" t="str">
        <f>TEXT(ASTemp!I2604,Decimals)</f>
        <v/>
      </c>
      <c r="J2604" s="69" t="str">
        <f>TEXT(ASTemp!J2604,Decimals)</f>
        <v/>
      </c>
      <c r="K2604" s="69" t="str">
        <f>TEXT(ASTemp!K2604,Decimals)</f>
        <v/>
      </c>
      <c r="L2604" s="69" t="str">
        <f>TEXT(ASTemp!L2604,Decimals)</f>
        <v/>
      </c>
      <c r="M2604" s="71" t="str">
        <f>TEXT(ASTemp!M2604,Percentages)</f>
        <v/>
      </c>
      <c r="N2604" s="72" t="str">
        <f>TEXT(ASTemp!N2604,Percentages)</f>
        <v/>
      </c>
    </row>
    <row r="2605" ht="14.25" customHeight="1">
      <c r="B2605" s="66" t="str">
        <f>ASTemp!B2605</f>
        <v/>
      </c>
      <c r="C2605" s="67" t="str">
        <f>ASTemp!C2605</f>
        <v/>
      </c>
      <c r="D2605" s="68" t="str">
        <f>ASTemp!D2605</f>
        <v/>
      </c>
      <c r="E2605" s="65" t="str">
        <f>ASTemp!E2605</f>
        <v/>
      </c>
      <c r="F2605" s="69" t="str">
        <f>TEXT(ASTemp!F2605,Decimals)</f>
        <v/>
      </c>
      <c r="G2605" s="69" t="str">
        <f>TEXT(ASTemp!G2605,Decimals)</f>
        <v/>
      </c>
      <c r="H2605" s="69" t="str">
        <f>TEXT(ASTemp!H2605,Decimals)</f>
        <v/>
      </c>
      <c r="I2605" s="69" t="str">
        <f>TEXT(ASTemp!I2605,Decimals)</f>
        <v/>
      </c>
      <c r="J2605" s="69" t="str">
        <f>TEXT(ASTemp!J2605,Decimals)</f>
        <v/>
      </c>
      <c r="K2605" s="69" t="str">
        <f>TEXT(ASTemp!K2605,Decimals)</f>
        <v/>
      </c>
      <c r="L2605" s="69" t="str">
        <f>TEXT(ASTemp!L2605,Decimals)</f>
        <v/>
      </c>
      <c r="M2605" s="71" t="str">
        <f>TEXT(ASTemp!M2605,Percentages)</f>
        <v/>
      </c>
      <c r="N2605" s="72" t="str">
        <f>TEXT(ASTemp!N2605,Percentages)</f>
        <v/>
      </c>
    </row>
    <row r="2606" ht="14.25" customHeight="1">
      <c r="B2606" s="66" t="str">
        <f>ASTemp!B2606</f>
        <v/>
      </c>
      <c r="C2606" s="67" t="str">
        <f>ASTemp!C2606</f>
        <v/>
      </c>
      <c r="D2606" s="68" t="str">
        <f>ASTemp!D2606</f>
        <v/>
      </c>
      <c r="E2606" s="65" t="str">
        <f>ASTemp!E2606</f>
        <v/>
      </c>
      <c r="F2606" s="69" t="str">
        <f>TEXT(ASTemp!F2606,Decimals)</f>
        <v/>
      </c>
      <c r="G2606" s="69" t="str">
        <f>TEXT(ASTemp!G2606,Decimals)</f>
        <v/>
      </c>
      <c r="H2606" s="69" t="str">
        <f>TEXT(ASTemp!H2606,Decimals)</f>
        <v/>
      </c>
      <c r="I2606" s="69" t="str">
        <f>TEXT(ASTemp!I2606,Decimals)</f>
        <v/>
      </c>
      <c r="J2606" s="69" t="str">
        <f>TEXT(ASTemp!J2606,Decimals)</f>
        <v/>
      </c>
      <c r="K2606" s="69" t="str">
        <f>TEXT(ASTemp!K2606,Decimals)</f>
        <v/>
      </c>
      <c r="L2606" s="69" t="str">
        <f>TEXT(ASTemp!L2606,Decimals)</f>
        <v/>
      </c>
      <c r="M2606" s="71" t="str">
        <f>TEXT(ASTemp!M2606,Percentages)</f>
        <v/>
      </c>
      <c r="N2606" s="72" t="str">
        <f>TEXT(ASTemp!N2606,Percentages)</f>
        <v/>
      </c>
    </row>
    <row r="2607" ht="14.25" customHeight="1">
      <c r="B2607" s="66" t="str">
        <f>ASTemp!B2607</f>
        <v/>
      </c>
      <c r="C2607" s="67" t="str">
        <f>ASTemp!C2607</f>
        <v/>
      </c>
      <c r="D2607" s="68" t="str">
        <f>ASTemp!D2607</f>
        <v/>
      </c>
      <c r="E2607" s="65" t="str">
        <f>ASTemp!E2607</f>
        <v/>
      </c>
      <c r="F2607" s="69" t="str">
        <f>TEXT(ASTemp!F2607,Decimals)</f>
        <v/>
      </c>
      <c r="G2607" s="69" t="str">
        <f>TEXT(ASTemp!G2607,Decimals)</f>
        <v/>
      </c>
      <c r="H2607" s="69" t="str">
        <f>TEXT(ASTemp!H2607,Decimals)</f>
        <v/>
      </c>
      <c r="I2607" s="69" t="str">
        <f>TEXT(ASTemp!I2607,Decimals)</f>
        <v/>
      </c>
      <c r="J2607" s="69" t="str">
        <f>TEXT(ASTemp!J2607,Decimals)</f>
        <v/>
      </c>
      <c r="K2607" s="69" t="str">
        <f>TEXT(ASTemp!K2607,Decimals)</f>
        <v/>
      </c>
      <c r="L2607" s="69" t="str">
        <f>TEXT(ASTemp!L2607,Decimals)</f>
        <v/>
      </c>
      <c r="M2607" s="71" t="str">
        <f>TEXT(ASTemp!M2607,Percentages)</f>
        <v/>
      </c>
      <c r="N2607" s="72" t="str">
        <f>TEXT(ASTemp!N2607,Percentages)</f>
        <v/>
      </c>
    </row>
    <row r="2608" ht="14.25" customHeight="1">
      <c r="B2608" s="66" t="str">
        <f>ASTemp!B2608</f>
        <v/>
      </c>
      <c r="C2608" s="67" t="str">
        <f>ASTemp!C2608</f>
        <v/>
      </c>
      <c r="D2608" s="68" t="str">
        <f>ASTemp!D2608</f>
        <v/>
      </c>
      <c r="E2608" s="65" t="str">
        <f>ASTemp!E2608</f>
        <v/>
      </c>
      <c r="F2608" s="69" t="str">
        <f>TEXT(ASTemp!F2608,Decimals)</f>
        <v/>
      </c>
      <c r="G2608" s="69" t="str">
        <f>TEXT(ASTemp!G2608,Decimals)</f>
        <v/>
      </c>
      <c r="H2608" s="69" t="str">
        <f>TEXT(ASTemp!H2608,Decimals)</f>
        <v/>
      </c>
      <c r="I2608" s="69" t="str">
        <f>TEXT(ASTemp!I2608,Decimals)</f>
        <v/>
      </c>
      <c r="J2608" s="69" t="str">
        <f>TEXT(ASTemp!J2608,Decimals)</f>
        <v/>
      </c>
      <c r="K2608" s="69" t="str">
        <f>TEXT(ASTemp!K2608,Decimals)</f>
        <v/>
      </c>
      <c r="L2608" s="69" t="str">
        <f>TEXT(ASTemp!L2608,Decimals)</f>
        <v/>
      </c>
      <c r="M2608" s="71" t="str">
        <f>TEXT(ASTemp!M2608,Percentages)</f>
        <v/>
      </c>
      <c r="N2608" s="72" t="str">
        <f>TEXT(ASTemp!N2608,Percentages)</f>
        <v/>
      </c>
    </row>
    <row r="2609" ht="14.25" customHeight="1">
      <c r="B2609" s="66" t="str">
        <f>ASTemp!B2609</f>
        <v/>
      </c>
      <c r="C2609" s="67" t="str">
        <f>ASTemp!C2609</f>
        <v/>
      </c>
      <c r="D2609" s="68" t="str">
        <f>ASTemp!D2609</f>
        <v/>
      </c>
      <c r="E2609" s="65" t="str">
        <f>ASTemp!E2609</f>
        <v/>
      </c>
      <c r="F2609" s="69" t="str">
        <f>TEXT(ASTemp!F2609,Decimals)</f>
        <v/>
      </c>
      <c r="G2609" s="69" t="str">
        <f>TEXT(ASTemp!G2609,Decimals)</f>
        <v/>
      </c>
      <c r="H2609" s="69" t="str">
        <f>TEXT(ASTemp!H2609,Decimals)</f>
        <v/>
      </c>
      <c r="I2609" s="69" t="str">
        <f>TEXT(ASTemp!I2609,Decimals)</f>
        <v/>
      </c>
      <c r="J2609" s="69" t="str">
        <f>TEXT(ASTemp!J2609,Decimals)</f>
        <v/>
      </c>
      <c r="K2609" s="69" t="str">
        <f>TEXT(ASTemp!K2609,Decimals)</f>
        <v/>
      </c>
      <c r="L2609" s="69" t="str">
        <f>TEXT(ASTemp!L2609,Decimals)</f>
        <v/>
      </c>
      <c r="M2609" s="71" t="str">
        <f>TEXT(ASTemp!M2609,Percentages)</f>
        <v/>
      </c>
      <c r="N2609" s="72" t="str">
        <f>TEXT(ASTemp!N2609,Percentages)</f>
        <v/>
      </c>
    </row>
    <row r="2610" ht="14.25" customHeight="1">
      <c r="B2610" s="66" t="str">
        <f>ASTemp!B2610</f>
        <v/>
      </c>
      <c r="C2610" s="67" t="str">
        <f>ASTemp!C2610</f>
        <v/>
      </c>
      <c r="D2610" s="68" t="str">
        <f>ASTemp!D2610</f>
        <v/>
      </c>
      <c r="E2610" s="65" t="str">
        <f>ASTemp!E2610</f>
        <v/>
      </c>
      <c r="F2610" s="69" t="str">
        <f>TEXT(ASTemp!F2610,Decimals)</f>
        <v/>
      </c>
      <c r="G2610" s="69" t="str">
        <f>TEXT(ASTemp!G2610,Decimals)</f>
        <v/>
      </c>
      <c r="H2610" s="69" t="str">
        <f>TEXT(ASTemp!H2610,Decimals)</f>
        <v/>
      </c>
      <c r="I2610" s="69" t="str">
        <f>TEXT(ASTemp!I2610,Decimals)</f>
        <v/>
      </c>
      <c r="J2610" s="69" t="str">
        <f>TEXT(ASTemp!J2610,Decimals)</f>
        <v/>
      </c>
      <c r="K2610" s="69" t="str">
        <f>TEXT(ASTemp!K2610,Decimals)</f>
        <v/>
      </c>
      <c r="L2610" s="69" t="str">
        <f>TEXT(ASTemp!L2610,Decimals)</f>
        <v/>
      </c>
      <c r="M2610" s="71" t="str">
        <f>TEXT(ASTemp!M2610,Percentages)</f>
        <v/>
      </c>
      <c r="N2610" s="72" t="str">
        <f>TEXT(ASTemp!N2610,Percentages)</f>
        <v/>
      </c>
    </row>
    <row r="2611" ht="14.25" customHeight="1">
      <c r="B2611" s="66" t="str">
        <f>ASTemp!B2611</f>
        <v/>
      </c>
      <c r="C2611" s="67" t="str">
        <f>ASTemp!C2611</f>
        <v/>
      </c>
      <c r="D2611" s="68" t="str">
        <f>ASTemp!D2611</f>
        <v/>
      </c>
      <c r="E2611" s="65" t="str">
        <f>ASTemp!E2611</f>
        <v/>
      </c>
      <c r="F2611" s="69" t="str">
        <f>TEXT(ASTemp!F2611,Decimals)</f>
        <v/>
      </c>
      <c r="G2611" s="69" t="str">
        <f>TEXT(ASTemp!G2611,Decimals)</f>
        <v/>
      </c>
      <c r="H2611" s="69" t="str">
        <f>TEXT(ASTemp!H2611,Decimals)</f>
        <v/>
      </c>
      <c r="I2611" s="69" t="str">
        <f>TEXT(ASTemp!I2611,Decimals)</f>
        <v/>
      </c>
      <c r="J2611" s="69" t="str">
        <f>TEXT(ASTemp!J2611,Decimals)</f>
        <v/>
      </c>
      <c r="K2611" s="69" t="str">
        <f>TEXT(ASTemp!K2611,Decimals)</f>
        <v/>
      </c>
      <c r="L2611" s="69" t="str">
        <f>TEXT(ASTemp!L2611,Decimals)</f>
        <v/>
      </c>
      <c r="M2611" s="71" t="str">
        <f>TEXT(ASTemp!M2611,Percentages)</f>
        <v/>
      </c>
      <c r="N2611" s="72" t="str">
        <f>TEXT(ASTemp!N2611,Percentages)</f>
        <v/>
      </c>
    </row>
  </sheetData>
  <mergeCells count="17">
    <mergeCell ref="L7:N7"/>
    <mergeCell ref="L9:N9"/>
    <mergeCell ref="L8:N8"/>
    <mergeCell ref="B5:D5"/>
    <mergeCell ref="B6:D6"/>
    <mergeCell ref="B7:D7"/>
    <mergeCell ref="B8:D8"/>
    <mergeCell ref="L4:N4"/>
    <mergeCell ref="L5:N5"/>
    <mergeCell ref="L6:N6"/>
    <mergeCell ref="B4:D4"/>
    <mergeCell ref="E4:F4"/>
    <mergeCell ref="B9:D9"/>
    <mergeCell ref="B10:D10"/>
    <mergeCell ref="E9:F9"/>
    <mergeCell ref="B2:N2"/>
    <mergeCell ref="E7:F7"/>
  </mergeCells>
  <conditionalFormatting sqref="B13:B2611">
    <cfRule type="expression" dxfId="0" priority="1">
      <formula>ISNUMBER($B13)</formula>
    </cfRule>
  </conditionalFormatting>
  <conditionalFormatting sqref="N13:N2611">
    <cfRule type="expression" dxfId="1" priority="2">
      <formula>ISNUMBER($B13)</formula>
    </cfRule>
  </conditionalFormatting>
  <conditionalFormatting sqref="B13:N2611">
    <cfRule type="expression" dxfId="2" priority="3">
      <formula>AND($B14="",ISNUMBER($B13))</formula>
    </cfRule>
  </conditionalFormatting>
  <dataValidations>
    <dataValidation type="list" allowBlank="1" showErrorMessage="1" sqref="L4">
      <formula1>"Mr.,Ms.,Mrs."</formula1>
    </dataValidation>
    <dataValidation type="list" allowBlank="1" showErrorMessage="1" sqref="E9">
      <formula1>"0.0,1.0,2.0"</formula1>
    </dataValidation>
  </dataValidations>
  <printOptions/>
  <pageMargins bottom="0.25" footer="0.0" header="0.0" left="0.5" right="0.0" top="0.25"/>
  <pageSetup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5" width="10.71"/>
    <col customWidth="1" min="6" max="6" width="11.71"/>
    <col customWidth="1" min="7" max="9" width="10.71"/>
    <col customWidth="1" min="10" max="11" width="19.0"/>
    <col customWidth="1" min="12" max="14" width="10.71"/>
    <col customWidth="1" min="15" max="15" width="1.57"/>
  </cols>
  <sheetData>
    <row r="1" ht="7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O1" t="str">
        <f>""</f>
        <v/>
      </c>
    </row>
    <row r="2" ht="14.25" customHeight="1">
      <c r="A2" s="1"/>
      <c r="B2" s="4" t="str">
        <f>"Loan Payment Schedule for "&amp;$L$4&amp;" "&amp;$L$5</f>
        <v>Loan Payment Schedule for Mr. Eddie Kouton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8"/>
    </row>
    <row r="3" ht="14.2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</row>
    <row r="4" ht="14.25" customHeight="1">
      <c r="A4" s="1"/>
      <c r="B4" s="12" t="s">
        <v>4</v>
      </c>
      <c r="C4" s="13"/>
      <c r="D4" s="14"/>
      <c r="E4" s="18">
        <f>'Amortization Schedule'!PV</f>
        <v>500000</v>
      </c>
      <c r="F4" s="19"/>
      <c r="G4" s="2"/>
      <c r="J4" s="20" t="s">
        <v>9</v>
      </c>
      <c r="K4" s="21"/>
      <c r="L4" s="23" t="str">
        <f>'Amortization Schedule'!L4:N4</f>
        <v>Mr.</v>
      </c>
      <c r="M4" s="13"/>
      <c r="N4" s="19"/>
    </row>
    <row r="5" ht="14.25" customHeight="1">
      <c r="A5" s="1"/>
      <c r="B5" s="24" t="s">
        <v>14</v>
      </c>
      <c r="C5" s="25"/>
      <c r="D5" s="27"/>
      <c r="E5" s="29">
        <f>'Amortization Schedule'!E5</f>
        <v>0.05</v>
      </c>
      <c r="F5" s="31" t="str">
        <f>IF('Amortization Schedule'!F5="","",'Amortization Schedule'!F5)</f>
        <v>Yearly</v>
      </c>
      <c r="G5" s="2"/>
      <c r="J5" s="32" t="s">
        <v>24</v>
      </c>
      <c r="K5" s="33"/>
      <c r="L5" s="34" t="str">
        <f>'Amortization Schedule'!L5:N5</f>
        <v>Eddie Kouton</v>
      </c>
      <c r="M5" s="25"/>
      <c r="N5" s="35"/>
    </row>
    <row r="6" ht="14.25" customHeight="1">
      <c r="A6" s="1"/>
      <c r="B6" s="24" t="s">
        <v>26</v>
      </c>
      <c r="C6" s="25"/>
      <c r="D6" s="27"/>
      <c r="E6" s="37">
        <f>'Amortization Schedule'!E6</f>
        <v>12</v>
      </c>
      <c r="F6" s="31" t="str">
        <f>IF('Amortization Schedule'!F6="","",'Amortization Schedule'!F6)</f>
        <v>Months</v>
      </c>
      <c r="G6" s="2"/>
      <c r="J6" s="32" t="s">
        <v>29</v>
      </c>
      <c r="K6" s="33"/>
      <c r="L6" s="34" t="str">
        <f>'Amortization Schedule'!L6:N6</f>
        <v>Citi Bank</v>
      </c>
      <c r="M6" s="25"/>
      <c r="N6" s="35"/>
    </row>
    <row r="7" ht="14.25" customHeight="1">
      <c r="A7" s="1"/>
      <c r="B7" s="24" t="s">
        <v>33</v>
      </c>
      <c r="C7" s="25"/>
      <c r="D7" s="27"/>
      <c r="E7" s="38" t="str">
        <f>IF('Amortization Schedule'!E7="","",'Amortization Schedule'!E7)</f>
        <v>Weekly</v>
      </c>
      <c r="F7" s="35"/>
      <c r="G7" s="2"/>
      <c r="J7" s="32" t="s">
        <v>35</v>
      </c>
      <c r="K7" s="33"/>
      <c r="L7" s="39">
        <f>'Amortization Schedule'!L7:N7</f>
        <v>42087</v>
      </c>
      <c r="M7" s="25"/>
      <c r="N7" s="35"/>
    </row>
    <row r="8" ht="14.25" customHeight="1">
      <c r="A8" s="1"/>
      <c r="B8" s="24" t="s">
        <v>36</v>
      </c>
      <c r="C8" s="25"/>
      <c r="D8" s="27"/>
      <c r="E8" s="40">
        <f>'Amortization Schedule'!E8</f>
        <v>2015</v>
      </c>
      <c r="F8" s="43" t="str">
        <f>'Amortization Schedule'!F8</f>
        <v>Sep</v>
      </c>
      <c r="G8" s="2"/>
      <c r="J8" s="32" t="s">
        <v>38</v>
      </c>
      <c r="K8" s="33"/>
      <c r="L8" s="47">
        <f>SUM($I$13:$I$2611)</f>
        <v>12844.4584</v>
      </c>
      <c r="M8" s="25"/>
      <c r="N8" s="35"/>
    </row>
    <row r="9" ht="14.25" customHeight="1">
      <c r="A9" s="1"/>
      <c r="B9" s="24" t="s">
        <v>42</v>
      </c>
      <c r="C9" s="25"/>
      <c r="D9" s="27"/>
      <c r="E9" s="48">
        <f>'Amortization Schedule'!E9:F9</f>
        <v>1</v>
      </c>
      <c r="F9" s="35"/>
      <c r="G9" s="1"/>
      <c r="J9" s="49" t="s">
        <v>43</v>
      </c>
      <c r="K9" s="50"/>
      <c r="L9" s="52">
        <f>SUM($G$13:$G$2611)</f>
        <v>512844.4584</v>
      </c>
      <c r="M9" s="53"/>
      <c r="N9" s="54"/>
    </row>
    <row r="10" ht="14.25" customHeight="1">
      <c r="A10" s="1"/>
      <c r="B10" s="55" t="s">
        <v>44</v>
      </c>
      <c r="C10" s="53"/>
      <c r="D10" s="56"/>
      <c r="E10" s="57"/>
      <c r="F10" s="58"/>
      <c r="G10" s="1"/>
    </row>
    <row r="11" ht="14.25" customHeight="1">
      <c r="A11" s="1"/>
      <c r="B11" s="2"/>
      <c r="C11" s="1"/>
      <c r="D11" s="1"/>
      <c r="E11" s="1"/>
      <c r="F11" s="1"/>
      <c r="G11" s="1"/>
      <c r="H11" s="59"/>
      <c r="I11" s="59"/>
      <c r="J11" s="59"/>
      <c r="K11" s="59"/>
      <c r="L11" s="59"/>
    </row>
    <row r="12" ht="14.25" customHeight="1">
      <c r="A12" s="1"/>
      <c r="B12" s="60" t="s">
        <v>45</v>
      </c>
      <c r="C12" s="61" t="s">
        <v>46</v>
      </c>
      <c r="D12" s="62" t="s">
        <v>47</v>
      </c>
      <c r="E12" s="62" t="s">
        <v>48</v>
      </c>
      <c r="F12" s="63" t="s">
        <v>49</v>
      </c>
      <c r="G12" s="62" t="s">
        <v>50</v>
      </c>
      <c r="H12" s="63" t="s">
        <v>51</v>
      </c>
      <c r="I12" s="63" t="s">
        <v>52</v>
      </c>
      <c r="J12" s="63" t="s">
        <v>53</v>
      </c>
      <c r="K12" s="63" t="s">
        <v>54</v>
      </c>
      <c r="L12" s="63" t="s">
        <v>55</v>
      </c>
      <c r="M12" s="63" t="s">
        <v>56</v>
      </c>
      <c r="N12" s="64" t="s">
        <v>57</v>
      </c>
    </row>
    <row r="13" ht="14.25" customHeight="1">
      <c r="A13" s="65"/>
      <c r="B13" s="66">
        <f>IF(ROWS($1:1)&lt;=Nper,ROWS($1:1),"")</f>
        <v>1</v>
      </c>
      <c r="C13" s="67">
        <f>IF($B13="","",IF($E$7="Weekly",Start_Date+7*(ROWS($1:1)-1),EDATE(Start_Date,VLOOKUP(IF(ASTemp!$E$7="","Monthly",ASTemp!$E$7),Parameters!$B$3:$D$6,3,0)*(ROWS($1:1)-1))))</f>
        <v>42277</v>
      </c>
      <c r="D13" s="68">
        <f t="shared" ref="D13:D2611" si="2">IF($B13="","",YEAR(C13))</f>
        <v>2015</v>
      </c>
      <c r="E13" s="65" t="str">
        <f>IF($B13="","",VLOOKUP(MONTH(C13),Parameters!$F$2:$G$13,2,0))</f>
        <v>Sep</v>
      </c>
      <c r="F13" s="65">
        <f>IF($B13="","",PV-N(J12))</f>
        <v>500000</v>
      </c>
      <c r="G13" s="70">
        <f>IF($B13="","",PMT(Rate,Nper,-PV,,Type))</f>
        <v>9862.393431</v>
      </c>
      <c r="H13" s="70">
        <f>IF($B13="","",PPMT(Rate,ROWS($1:1),Nper,-PV,,Type))</f>
        <v>9381.6242</v>
      </c>
      <c r="I13" s="70">
        <f>IF($B13="","",IPMT(Rate,ROWS($1:1),Nper,-PV,,Type))</f>
        <v>480.7692308</v>
      </c>
      <c r="J13" s="73">
        <f t="shared" ref="J13:K13" si="1">IF($B13="","",N(J12)+N(H13))</f>
        <v>9381.6242</v>
      </c>
      <c r="K13" s="74">
        <f t="shared" si="1"/>
        <v>480.7692308</v>
      </c>
      <c r="L13" s="65">
        <f>IF($B13="","",PV-J13)</f>
        <v>490618.3758</v>
      </c>
      <c r="M13" s="71">
        <f>IF($B13="","",J13/PV)</f>
        <v>0.0187632484</v>
      </c>
      <c r="N13" s="72">
        <f t="shared" ref="N13:N2611" si="4">IF($B13="","",1-M13)</f>
        <v>0.9812367516</v>
      </c>
    </row>
    <row r="14" ht="14.25" customHeight="1">
      <c r="B14" s="66">
        <f>IF(ROWS($1:2)&lt;=Nper,ROWS($1:2),"")</f>
        <v>2</v>
      </c>
      <c r="C14" s="67">
        <f>IF($B14="","",IF($E$7="Weekly",Start_Date+7*(ROWS($1:2)-1),EDATE(Start_Date,VLOOKUP(IF(ASTemp!$E$7="","Monthly",ASTemp!$E$7),Parameters!$B$3:$D$6,3,0)*(ROWS($1:2)-1))))</f>
        <v>42284</v>
      </c>
      <c r="D14" s="68">
        <f t="shared" si="2"/>
        <v>2015</v>
      </c>
      <c r="E14" s="65" t="str">
        <f>IF($B14="","",VLOOKUP(MONTH(C14),Parameters!$F$2:$G$13,2,0))</f>
        <v>Oct</v>
      </c>
      <c r="F14" s="65">
        <f>IF($B14="","",PV-N(J13))</f>
        <v>490618.3758</v>
      </c>
      <c r="G14" s="70">
        <f>IF($B14="","",PMT(Rate,Nper,-PV,,Type))</f>
        <v>9862.393431</v>
      </c>
      <c r="H14" s="70">
        <f>IF($B14="","",PPMT(Rate,ROWS($1:2),Nper,-PV,,Type))</f>
        <v>9390.644992</v>
      </c>
      <c r="I14" s="70">
        <f>IF($B14="","",IPMT(Rate,ROWS($1:2),Nper,-PV,,Type))</f>
        <v>471.7484383</v>
      </c>
      <c r="J14" s="73">
        <f t="shared" ref="J14:K14" si="3">IF($B14="","",N(J13)+N(H14))</f>
        <v>18772.26919</v>
      </c>
      <c r="K14" s="74">
        <f t="shared" si="3"/>
        <v>952.517669</v>
      </c>
      <c r="L14" s="65">
        <f>IF($B14="","",PV-J14)</f>
        <v>481227.7308</v>
      </c>
      <c r="M14" s="71">
        <f>IF($B14="","",J14/PV)</f>
        <v>0.03754453838</v>
      </c>
      <c r="N14" s="72">
        <f t="shared" si="4"/>
        <v>0.9624554616</v>
      </c>
    </row>
    <row r="15" ht="14.25" customHeight="1">
      <c r="B15" s="66">
        <f>IF(ROWS($1:3)&lt;=Nper,ROWS($1:3),"")</f>
        <v>3</v>
      </c>
      <c r="C15" s="67">
        <f>IF($B15="","",IF($E$7="Weekly",Start_Date+7*(ROWS($1:3)-1),EDATE(Start_Date,VLOOKUP(IF(ASTemp!$E$7="","Monthly",ASTemp!$E$7),Parameters!$B$3:$D$6,3,0)*(ROWS($1:3)-1))))</f>
        <v>42291</v>
      </c>
      <c r="D15" s="68">
        <f t="shared" si="2"/>
        <v>2015</v>
      </c>
      <c r="E15" s="65" t="str">
        <f>IF($B15="","",VLOOKUP(MONTH(C15),Parameters!$F$2:$G$13,2,0))</f>
        <v>Oct</v>
      </c>
      <c r="F15" s="65">
        <f>IF($B15="","",PV-N(J14))</f>
        <v>481227.7308</v>
      </c>
      <c r="G15" s="70">
        <f>IF($B15="","",PMT(Rate,Nper,-PV,,Type))</f>
        <v>9862.393431</v>
      </c>
      <c r="H15" s="70">
        <f>IF($B15="","",PPMT(Rate,ROWS($1:3),Nper,-PV,,Type))</f>
        <v>9399.674459</v>
      </c>
      <c r="I15" s="70">
        <f>IF($B15="","",IPMT(Rate,ROWS($1:3),Nper,-PV,,Type))</f>
        <v>462.7189719</v>
      </c>
      <c r="J15" s="73">
        <f t="shared" ref="J15:K15" si="5">IF($B15="","",N(J14)+N(H15))</f>
        <v>28171.94365</v>
      </c>
      <c r="K15" s="74">
        <f t="shared" si="5"/>
        <v>1415.236641</v>
      </c>
      <c r="L15" s="65">
        <f>IF($B15="","",PV-J15)</f>
        <v>471828.0563</v>
      </c>
      <c r="M15" s="71">
        <f>IF($B15="","",J15/PV)</f>
        <v>0.0563438873</v>
      </c>
      <c r="N15" s="72">
        <f t="shared" si="4"/>
        <v>0.9436561127</v>
      </c>
    </row>
    <row r="16" ht="14.25" customHeight="1">
      <c r="B16" s="66">
        <f>IF(ROWS($1:4)&lt;=Nper,ROWS($1:4),"")</f>
        <v>4</v>
      </c>
      <c r="C16" s="67">
        <f>IF($B16="","",IF($E$7="Weekly",Start_Date+7*(ROWS($1:4)-1),EDATE(Start_Date,VLOOKUP(IF(ASTemp!$E$7="","Monthly",ASTemp!$E$7),Parameters!$B$3:$D$6,3,0)*(ROWS($1:4)-1))))</f>
        <v>42298</v>
      </c>
      <c r="D16" s="68">
        <f t="shared" si="2"/>
        <v>2015</v>
      </c>
      <c r="E16" s="65" t="str">
        <f>IF($B16="","",VLOOKUP(MONTH(C16),Parameters!$F$2:$G$13,2,0))</f>
        <v>Oct</v>
      </c>
      <c r="F16" s="65">
        <f>IF($B16="","",PV-N(J15))</f>
        <v>471828.0563</v>
      </c>
      <c r="G16" s="70">
        <f>IF($B16="","",PMT(Rate,Nper,-PV,,Type))</f>
        <v>9862.393431</v>
      </c>
      <c r="H16" s="70">
        <f>IF($B16="","",PPMT(Rate,ROWS($1:4),Nper,-PV,,Type))</f>
        <v>9408.712607</v>
      </c>
      <c r="I16" s="70">
        <f>IF($B16="","",IPMT(Rate,ROWS($1:4),Nper,-PV,,Type))</f>
        <v>453.6808234</v>
      </c>
      <c r="J16" s="73">
        <f t="shared" ref="J16:K16" si="6">IF($B16="","",N(J15)+N(H16))</f>
        <v>37580.65626</v>
      </c>
      <c r="K16" s="74">
        <f t="shared" si="6"/>
        <v>1868.917464</v>
      </c>
      <c r="L16" s="65">
        <f>IF($B16="","",PV-J16)</f>
        <v>462419.3437</v>
      </c>
      <c r="M16" s="71">
        <f>IF($B16="","",J16/PV)</f>
        <v>0.07516131252</v>
      </c>
      <c r="N16" s="72">
        <f t="shared" si="4"/>
        <v>0.9248386875</v>
      </c>
    </row>
    <row r="17" ht="14.25" customHeight="1">
      <c r="B17" s="66">
        <f>IF(ROWS($1:5)&lt;=Nper,ROWS($1:5),"")</f>
        <v>5</v>
      </c>
      <c r="C17" s="67">
        <f>IF($B17="","",IF($E$7="Weekly",Start_Date+7*(ROWS($1:5)-1),EDATE(Start_Date,VLOOKUP(IF(ASTemp!$E$7="","Monthly",ASTemp!$E$7),Parameters!$B$3:$D$6,3,0)*(ROWS($1:5)-1))))</f>
        <v>42305</v>
      </c>
      <c r="D17" s="68">
        <f t="shared" si="2"/>
        <v>2015</v>
      </c>
      <c r="E17" s="65" t="str">
        <f>IF($B17="","",VLOOKUP(MONTH(C17),Parameters!$F$2:$G$13,2,0))</f>
        <v>Oct</v>
      </c>
      <c r="F17" s="65">
        <f>IF($B17="","",PV-N(J16))</f>
        <v>462419.3437</v>
      </c>
      <c r="G17" s="70">
        <f>IF($B17="","",PMT(Rate,Nper,-PV,,Type))</f>
        <v>9862.393431</v>
      </c>
      <c r="H17" s="70">
        <f>IF($B17="","",PPMT(Rate,ROWS($1:5),Nper,-PV,,Type))</f>
        <v>9417.759446</v>
      </c>
      <c r="I17" s="70">
        <f>IF($B17="","",IPMT(Rate,ROWS($1:5),Nper,-PV,,Type))</f>
        <v>444.6339844</v>
      </c>
      <c r="J17" s="73">
        <f t="shared" ref="J17:K17" si="7">IF($B17="","",N(J16)+N(H17))</f>
        <v>46998.4157</v>
      </c>
      <c r="K17" s="74">
        <f t="shared" si="7"/>
        <v>2313.551449</v>
      </c>
      <c r="L17" s="65">
        <f>IF($B17="","",PV-J17)</f>
        <v>453001.5843</v>
      </c>
      <c r="M17" s="71">
        <f>IF($B17="","",J17/PV)</f>
        <v>0.09399683141</v>
      </c>
      <c r="N17" s="72">
        <f t="shared" si="4"/>
        <v>0.9060031686</v>
      </c>
    </row>
    <row r="18" ht="14.25" customHeight="1">
      <c r="B18" s="66">
        <f>IF(ROWS($1:6)&lt;=Nper,ROWS($1:6),"")</f>
        <v>6</v>
      </c>
      <c r="C18" s="67">
        <f>IF($B18="","",IF($E$7="Weekly",Start_Date+7*(ROWS($1:6)-1),EDATE(Start_Date,VLOOKUP(IF(ASTemp!$E$7="","Monthly",ASTemp!$E$7),Parameters!$B$3:$D$6,3,0)*(ROWS($1:6)-1))))</f>
        <v>42312</v>
      </c>
      <c r="D18" s="68">
        <f t="shared" si="2"/>
        <v>2015</v>
      </c>
      <c r="E18" s="65" t="str">
        <f>IF($B18="","",VLOOKUP(MONTH(C18),Parameters!$F$2:$G$13,2,0))</f>
        <v>Nov</v>
      </c>
      <c r="F18" s="65">
        <f>IF($B18="","",PV-N(J17))</f>
        <v>453001.5843</v>
      </c>
      <c r="G18" s="70">
        <f>IF($B18="","",PMT(Rate,Nper,-PV,,Type))</f>
        <v>9862.393431</v>
      </c>
      <c r="H18" s="70">
        <f>IF($B18="","",PPMT(Rate,ROWS($1:6),Nper,-PV,,Type))</f>
        <v>9426.814984</v>
      </c>
      <c r="I18" s="70">
        <f>IF($B18="","",IPMT(Rate,ROWS($1:6),Nper,-PV,,Type))</f>
        <v>435.5784464</v>
      </c>
      <c r="J18" s="73">
        <f t="shared" ref="J18:K18" si="8">IF($B18="","",N(J17)+N(H18))</f>
        <v>56425.23069</v>
      </c>
      <c r="K18" s="74">
        <f t="shared" si="8"/>
        <v>2749.129895</v>
      </c>
      <c r="L18" s="65">
        <f>IF($B18="","",PV-J18)</f>
        <v>443574.7693</v>
      </c>
      <c r="M18" s="71">
        <f>IF($B18="","",J18/PV)</f>
        <v>0.1128504614</v>
      </c>
      <c r="N18" s="72">
        <f t="shared" si="4"/>
        <v>0.8871495386</v>
      </c>
    </row>
    <row r="19" ht="14.25" customHeight="1">
      <c r="B19" s="66">
        <f>IF(ROWS($1:7)&lt;=Nper,ROWS($1:7),"")</f>
        <v>7</v>
      </c>
      <c r="C19" s="67">
        <f>IF($B19="","",IF($E$7="Weekly",Start_Date+7*(ROWS($1:7)-1),EDATE(Start_Date,VLOOKUP(IF(ASTemp!$E$7="","Monthly",ASTemp!$E$7),Parameters!$B$3:$D$6,3,0)*(ROWS($1:7)-1))))</f>
        <v>42319</v>
      </c>
      <c r="D19" s="68">
        <f t="shared" si="2"/>
        <v>2015</v>
      </c>
      <c r="E19" s="65" t="str">
        <f>IF($B19="","",VLOOKUP(MONTH(C19),Parameters!$F$2:$G$13,2,0))</f>
        <v>Nov</v>
      </c>
      <c r="F19" s="65">
        <f>IF($B19="","",PV-N(J18))</f>
        <v>443574.7693</v>
      </c>
      <c r="G19" s="70">
        <f>IF($B19="","",PMT(Rate,Nper,-PV,,Type))</f>
        <v>9862.393431</v>
      </c>
      <c r="H19" s="70">
        <f>IF($B19="","",PPMT(Rate,ROWS($1:7),Nper,-PV,,Type))</f>
        <v>9435.879229</v>
      </c>
      <c r="I19" s="70">
        <f>IF($B19="","",IPMT(Rate,ROWS($1:7),Nper,-PV,,Type))</f>
        <v>426.5142013</v>
      </c>
      <c r="J19" s="73">
        <f t="shared" ref="J19:K19" si="9">IF($B19="","",N(J18)+N(H19))</f>
        <v>65861.10992</v>
      </c>
      <c r="K19" s="74">
        <f t="shared" si="9"/>
        <v>3175.644096</v>
      </c>
      <c r="L19" s="65">
        <f>IF($B19="","",PV-J19)</f>
        <v>434138.8901</v>
      </c>
      <c r="M19" s="71">
        <f>IF($B19="","",J19/PV)</f>
        <v>0.1317222198</v>
      </c>
      <c r="N19" s="72">
        <f t="shared" si="4"/>
        <v>0.8682777802</v>
      </c>
    </row>
    <row r="20" ht="14.25" customHeight="1">
      <c r="B20" s="66">
        <f>IF(ROWS($1:8)&lt;=Nper,ROWS($1:8),"")</f>
        <v>8</v>
      </c>
      <c r="C20" s="67">
        <f>IF($B20="","",IF($E$7="Weekly",Start_Date+7*(ROWS($1:8)-1),EDATE(Start_Date,VLOOKUP(IF(ASTemp!$E$7="","Monthly",ASTemp!$E$7),Parameters!$B$3:$D$6,3,0)*(ROWS($1:8)-1))))</f>
        <v>42326</v>
      </c>
      <c r="D20" s="68">
        <f t="shared" si="2"/>
        <v>2015</v>
      </c>
      <c r="E20" s="65" t="str">
        <f>IF($B20="","",VLOOKUP(MONTH(C20),Parameters!$F$2:$G$13,2,0))</f>
        <v>Nov</v>
      </c>
      <c r="F20" s="65">
        <f>IF($B20="","",PV-N(J19))</f>
        <v>434138.8901</v>
      </c>
      <c r="G20" s="70">
        <f>IF($B20="","",PMT(Rate,Nper,-PV,,Type))</f>
        <v>9862.393431</v>
      </c>
      <c r="H20" s="70">
        <f>IF($B20="","",PPMT(Rate,ROWS($1:8),Nper,-PV,,Type))</f>
        <v>9444.95219</v>
      </c>
      <c r="I20" s="70">
        <f>IF($B20="","",IPMT(Rate,ROWS($1:8),Nper,-PV,,Type))</f>
        <v>417.4412405</v>
      </c>
      <c r="J20" s="73">
        <f t="shared" ref="J20:K20" si="10">IF($B20="","",N(J19)+N(H20))</f>
        <v>75306.06211</v>
      </c>
      <c r="K20" s="74">
        <f t="shared" si="10"/>
        <v>3593.085337</v>
      </c>
      <c r="L20" s="65">
        <f>IF($B20="","",PV-J20)</f>
        <v>424693.9379</v>
      </c>
      <c r="M20" s="71">
        <f>IF($B20="","",J20/PV)</f>
        <v>0.1506121242</v>
      </c>
      <c r="N20" s="72">
        <f t="shared" si="4"/>
        <v>0.8493878758</v>
      </c>
    </row>
    <row r="21" ht="14.25" customHeight="1">
      <c r="B21" s="66">
        <f>IF(ROWS($1:9)&lt;=Nper,ROWS($1:9),"")</f>
        <v>9</v>
      </c>
      <c r="C21" s="67">
        <f>IF($B21="","",IF($E$7="Weekly",Start_Date+7*(ROWS($1:9)-1),EDATE(Start_Date,VLOOKUP(IF(ASTemp!$E$7="","Monthly",ASTemp!$E$7),Parameters!$B$3:$D$6,3,0)*(ROWS($1:9)-1))))</f>
        <v>42333</v>
      </c>
      <c r="D21" s="68">
        <f t="shared" si="2"/>
        <v>2015</v>
      </c>
      <c r="E21" s="65" t="str">
        <f>IF($B21="","",VLOOKUP(MONTH(C21),Parameters!$F$2:$G$13,2,0))</f>
        <v>Nov</v>
      </c>
      <c r="F21" s="65">
        <f>IF($B21="","",PV-N(J20))</f>
        <v>424693.9379</v>
      </c>
      <c r="G21" s="70">
        <f>IF($B21="","",PMT(Rate,Nper,-PV,,Type))</f>
        <v>9862.393431</v>
      </c>
      <c r="H21" s="70">
        <f>IF($B21="","",PPMT(Rate,ROWS($1:9),Nper,-PV,,Type))</f>
        <v>9454.033875</v>
      </c>
      <c r="I21" s="70">
        <f>IF($B21="","",IPMT(Rate,ROWS($1:9),Nper,-PV,,Type))</f>
        <v>408.3595557</v>
      </c>
      <c r="J21" s="73">
        <f t="shared" ref="J21:K21" si="11">IF($B21="","",N(J20)+N(H21))</f>
        <v>84760.09598</v>
      </c>
      <c r="K21" s="74">
        <f t="shared" si="11"/>
        <v>4001.444893</v>
      </c>
      <c r="L21" s="65">
        <f>IF($B21="","",PV-J21)</f>
        <v>415239.904</v>
      </c>
      <c r="M21" s="71">
        <f>IF($B21="","",J21/PV)</f>
        <v>0.169520192</v>
      </c>
      <c r="N21" s="72">
        <f t="shared" si="4"/>
        <v>0.830479808</v>
      </c>
    </row>
    <row r="22" ht="14.25" customHeight="1">
      <c r="B22" s="66">
        <f>IF(ROWS($1:10)&lt;=Nper,ROWS($1:10),"")</f>
        <v>10</v>
      </c>
      <c r="C22" s="67">
        <f>IF($B22="","",IF($E$7="Weekly",Start_Date+7*(ROWS($1:10)-1),EDATE(Start_Date,VLOOKUP(IF(ASTemp!$E$7="","Monthly",ASTemp!$E$7),Parameters!$B$3:$D$6,3,0)*(ROWS($1:10)-1))))</f>
        <v>42340</v>
      </c>
      <c r="D22" s="68">
        <f t="shared" si="2"/>
        <v>2015</v>
      </c>
      <c r="E22" s="65" t="str">
        <f>IF($B22="","",VLOOKUP(MONTH(C22),Parameters!$F$2:$G$13,2,0))</f>
        <v>Dec</v>
      </c>
      <c r="F22" s="65">
        <f>IF($B22="","",PV-N(J21))</f>
        <v>415239.904</v>
      </c>
      <c r="G22" s="70">
        <f>IF($B22="","",PMT(Rate,Nper,-PV,,Type))</f>
        <v>9862.393431</v>
      </c>
      <c r="H22" s="70">
        <f>IF($B22="","",PPMT(Rate,ROWS($1:10),Nper,-PV,,Type))</f>
        <v>9463.124292</v>
      </c>
      <c r="I22" s="70">
        <f>IF($B22="","",IPMT(Rate,ROWS($1:10),Nper,-PV,,Type))</f>
        <v>399.2691385</v>
      </c>
      <c r="J22" s="73">
        <f t="shared" ref="J22:K22" si="12">IF($B22="","",N(J21)+N(H22))</f>
        <v>94223.22028</v>
      </c>
      <c r="K22" s="74">
        <f t="shared" si="12"/>
        <v>4400.714031</v>
      </c>
      <c r="L22" s="65">
        <f>IF($B22="","",PV-J22)</f>
        <v>405776.7797</v>
      </c>
      <c r="M22" s="71">
        <f>IF($B22="","",J22/PV)</f>
        <v>0.1884464406</v>
      </c>
      <c r="N22" s="72">
        <f t="shared" si="4"/>
        <v>0.8115535594</v>
      </c>
    </row>
    <row r="23" ht="14.25" customHeight="1">
      <c r="B23" s="66">
        <f>IF(ROWS($1:11)&lt;=Nper,ROWS($1:11),"")</f>
        <v>11</v>
      </c>
      <c r="C23" s="67">
        <f>IF($B23="","",IF($E$7="Weekly",Start_Date+7*(ROWS($1:11)-1),EDATE(Start_Date,VLOOKUP(IF(ASTemp!$E$7="","Monthly",ASTemp!$E$7),Parameters!$B$3:$D$6,3,0)*(ROWS($1:11)-1))))</f>
        <v>42347</v>
      </c>
      <c r="D23" s="68">
        <f t="shared" si="2"/>
        <v>2015</v>
      </c>
      <c r="E23" s="65" t="str">
        <f>IF($B23="","",VLOOKUP(MONTH(C23),Parameters!$F$2:$G$13,2,0))</f>
        <v>Dec</v>
      </c>
      <c r="F23" s="65">
        <f>IF($B23="","",PV-N(J22))</f>
        <v>405776.7797</v>
      </c>
      <c r="G23" s="70">
        <f>IF($B23="","",PMT(Rate,Nper,-PV,,Type))</f>
        <v>9862.393431</v>
      </c>
      <c r="H23" s="70">
        <f>IF($B23="","",PPMT(Rate,ROWS($1:11),Nper,-PV,,Type))</f>
        <v>9472.22345</v>
      </c>
      <c r="I23" s="70">
        <f>IF($B23="","",IPMT(Rate,ROWS($1:11),Nper,-PV,,Type))</f>
        <v>390.1699805</v>
      </c>
      <c r="J23" s="73">
        <f t="shared" ref="J23:K23" si="13">IF($B23="","",N(J22)+N(H23))</f>
        <v>103695.4437</v>
      </c>
      <c r="K23" s="74">
        <f t="shared" si="13"/>
        <v>4790.884012</v>
      </c>
      <c r="L23" s="65">
        <f>IF($B23="","",PV-J23)</f>
        <v>396304.5563</v>
      </c>
      <c r="M23" s="71">
        <f>IF($B23="","",J23/PV)</f>
        <v>0.2073908875</v>
      </c>
      <c r="N23" s="72">
        <f t="shared" si="4"/>
        <v>0.7926091125</v>
      </c>
    </row>
    <row r="24" ht="14.25" customHeight="1">
      <c r="B24" s="66">
        <f>IF(ROWS($1:12)&lt;=Nper,ROWS($1:12),"")</f>
        <v>12</v>
      </c>
      <c r="C24" s="67">
        <f>IF($B24="","",IF($E$7="Weekly",Start_Date+7*(ROWS($1:12)-1),EDATE(Start_Date,VLOOKUP(IF(ASTemp!$E$7="","Monthly",ASTemp!$E$7),Parameters!$B$3:$D$6,3,0)*(ROWS($1:12)-1))))</f>
        <v>42354</v>
      </c>
      <c r="D24" s="68">
        <f t="shared" si="2"/>
        <v>2015</v>
      </c>
      <c r="E24" s="65" t="str">
        <f>IF($B24="","",VLOOKUP(MONTH(C24),Parameters!$F$2:$G$13,2,0))</f>
        <v>Dec</v>
      </c>
      <c r="F24" s="65">
        <f>IF($B24="","",PV-N(J23))</f>
        <v>396304.5563</v>
      </c>
      <c r="G24" s="70">
        <f>IF($B24="","",PMT(Rate,Nper,-PV,,Type))</f>
        <v>9862.393431</v>
      </c>
      <c r="H24" s="70">
        <f>IF($B24="","",PPMT(Rate,ROWS($1:12),Nper,-PV,,Type))</f>
        <v>9481.331357</v>
      </c>
      <c r="I24" s="70">
        <f>IF($B24="","",IPMT(Rate,ROWS($1:12),Nper,-PV,,Type))</f>
        <v>381.0620733</v>
      </c>
      <c r="J24" s="73">
        <f t="shared" ref="J24:K24" si="14">IF($B24="","",N(J23)+N(H24))</f>
        <v>113176.7751</v>
      </c>
      <c r="K24" s="74">
        <f t="shared" si="14"/>
        <v>5171.946085</v>
      </c>
      <c r="L24" s="65">
        <f>IF($B24="","",PV-J24)</f>
        <v>386823.2249</v>
      </c>
      <c r="M24" s="71">
        <f>IF($B24="","",J24/PV)</f>
        <v>0.2263535502</v>
      </c>
      <c r="N24" s="72">
        <f t="shared" si="4"/>
        <v>0.7736464498</v>
      </c>
    </row>
    <row r="25" ht="14.25" customHeight="1">
      <c r="B25" s="66">
        <f>IF(ROWS($1:13)&lt;=Nper,ROWS($1:13),"")</f>
        <v>13</v>
      </c>
      <c r="C25" s="67">
        <f>IF($B25="","",IF($E$7="Weekly",Start_Date+7*(ROWS($1:13)-1),EDATE(Start_Date,VLOOKUP(IF(ASTemp!$E$7="","Monthly",ASTemp!$E$7),Parameters!$B$3:$D$6,3,0)*(ROWS($1:13)-1))))</f>
        <v>42361</v>
      </c>
      <c r="D25" s="68">
        <f t="shared" si="2"/>
        <v>2015</v>
      </c>
      <c r="E25" s="65" t="str">
        <f>IF($B25="","",VLOOKUP(MONTH(C25),Parameters!$F$2:$G$13,2,0))</f>
        <v>Dec</v>
      </c>
      <c r="F25" s="65">
        <f>IF($B25="","",PV-N(J24))</f>
        <v>386823.2249</v>
      </c>
      <c r="G25" s="70">
        <f>IF($B25="","",PMT(Rate,Nper,-PV,,Type))</f>
        <v>9862.393431</v>
      </c>
      <c r="H25" s="70">
        <f>IF($B25="","",PPMT(Rate,ROWS($1:13),Nper,-PV,,Type))</f>
        <v>9490.448022</v>
      </c>
      <c r="I25" s="70">
        <f>IF($B25="","",IPMT(Rate,ROWS($1:13),Nper,-PV,,Type))</f>
        <v>371.9454086</v>
      </c>
      <c r="J25" s="73">
        <f t="shared" ref="J25:K25" si="15">IF($B25="","",N(J24)+N(H25))</f>
        <v>122667.2231</v>
      </c>
      <c r="K25" s="74">
        <f t="shared" si="15"/>
        <v>5543.891493</v>
      </c>
      <c r="L25" s="65">
        <f>IF($B25="","",PV-J25)</f>
        <v>377332.7769</v>
      </c>
      <c r="M25" s="71">
        <f>IF($B25="","",J25/PV)</f>
        <v>0.2453344462</v>
      </c>
      <c r="N25" s="72">
        <f t="shared" si="4"/>
        <v>0.7546655538</v>
      </c>
    </row>
    <row r="26" ht="14.25" customHeight="1">
      <c r="B26" s="66">
        <f>IF(ROWS($1:14)&lt;=Nper,ROWS($1:14),"")</f>
        <v>14</v>
      </c>
      <c r="C26" s="67">
        <f>IF($B26="","",IF($E$7="Weekly",Start_Date+7*(ROWS($1:14)-1),EDATE(Start_Date,VLOOKUP(IF(ASTemp!$E$7="","Monthly",ASTemp!$E$7),Parameters!$B$3:$D$6,3,0)*(ROWS($1:14)-1))))</f>
        <v>42368</v>
      </c>
      <c r="D26" s="68">
        <f t="shared" si="2"/>
        <v>2015</v>
      </c>
      <c r="E26" s="65" t="str">
        <f>IF($B26="","",VLOOKUP(MONTH(C26),Parameters!$F$2:$G$13,2,0))</f>
        <v>Dec</v>
      </c>
      <c r="F26" s="65">
        <f>IF($B26="","",PV-N(J25))</f>
        <v>377332.7769</v>
      </c>
      <c r="G26" s="70">
        <f>IF($B26="","",PMT(Rate,Nper,-PV,,Type))</f>
        <v>9862.393431</v>
      </c>
      <c r="H26" s="70">
        <f>IF($B26="","",PPMT(Rate,ROWS($1:14),Nper,-PV,,Type))</f>
        <v>9499.573453</v>
      </c>
      <c r="I26" s="70">
        <f>IF($B26="","",IPMT(Rate,ROWS($1:14),Nper,-PV,,Type))</f>
        <v>362.8199778</v>
      </c>
      <c r="J26" s="73">
        <f t="shared" ref="J26:K26" si="16">IF($B26="","",N(J25)+N(H26))</f>
        <v>132166.7966</v>
      </c>
      <c r="K26" s="74">
        <f t="shared" si="16"/>
        <v>5906.711471</v>
      </c>
      <c r="L26" s="65">
        <f>IF($B26="","",PV-J26)</f>
        <v>367833.2034</v>
      </c>
      <c r="M26" s="71">
        <f>IF($B26="","",J26/PV)</f>
        <v>0.2643335931</v>
      </c>
      <c r="N26" s="72">
        <f t="shared" si="4"/>
        <v>0.7356664069</v>
      </c>
    </row>
    <row r="27" ht="14.25" customHeight="1">
      <c r="B27" s="66">
        <f>IF(ROWS($1:15)&lt;=Nper,ROWS($1:15),"")</f>
        <v>15</v>
      </c>
      <c r="C27" s="67">
        <f>IF($B27="","",IF($E$7="Weekly",Start_Date+7*(ROWS($1:15)-1),EDATE(Start_Date,VLOOKUP(IF(ASTemp!$E$7="","Monthly",ASTemp!$E$7),Parameters!$B$3:$D$6,3,0)*(ROWS($1:15)-1))))</f>
        <v>42375</v>
      </c>
      <c r="D27" s="68">
        <f t="shared" si="2"/>
        <v>2016</v>
      </c>
      <c r="E27" s="65" t="str">
        <f>IF($B27="","",VLOOKUP(MONTH(C27),Parameters!$F$2:$G$13,2,0))</f>
        <v>Jan</v>
      </c>
      <c r="F27" s="65">
        <f>IF($B27="","",PV-N(J26))</f>
        <v>367833.2034</v>
      </c>
      <c r="G27" s="70">
        <f>IF($B27="","",PMT(Rate,Nper,-PV,,Type))</f>
        <v>9862.393431</v>
      </c>
      <c r="H27" s="70">
        <f>IF($B27="","",PPMT(Rate,ROWS($1:15),Nper,-PV,,Type))</f>
        <v>9508.707658</v>
      </c>
      <c r="I27" s="70">
        <f>IF($B27="","",IPMT(Rate,ROWS($1:15),Nper,-PV,,Type))</f>
        <v>353.6857725</v>
      </c>
      <c r="J27" s="73">
        <f t="shared" ref="J27:K27" si="17">IF($B27="","",N(J26)+N(H27))</f>
        <v>141675.5042</v>
      </c>
      <c r="K27" s="74">
        <f t="shared" si="17"/>
        <v>6260.397244</v>
      </c>
      <c r="L27" s="65">
        <f>IF($B27="","",PV-J27)</f>
        <v>358324.4958</v>
      </c>
      <c r="M27" s="71">
        <f>IF($B27="","",J27/PV)</f>
        <v>0.2833510084</v>
      </c>
      <c r="N27" s="72">
        <f t="shared" si="4"/>
        <v>0.7166489916</v>
      </c>
    </row>
    <row r="28" ht="14.25" customHeight="1">
      <c r="B28" s="66">
        <f>IF(ROWS($1:16)&lt;=Nper,ROWS($1:16),"")</f>
        <v>16</v>
      </c>
      <c r="C28" s="67">
        <f>IF($B28="","",IF($E$7="Weekly",Start_Date+7*(ROWS($1:16)-1),EDATE(Start_Date,VLOOKUP(IF(ASTemp!$E$7="","Monthly",ASTemp!$E$7),Parameters!$B$3:$D$6,3,0)*(ROWS($1:16)-1))))</f>
        <v>42382</v>
      </c>
      <c r="D28" s="68">
        <f t="shared" si="2"/>
        <v>2016</v>
      </c>
      <c r="E28" s="65" t="str">
        <f>IF($B28="","",VLOOKUP(MONTH(C28),Parameters!$F$2:$G$13,2,0))</f>
        <v>Jan</v>
      </c>
      <c r="F28" s="65">
        <f>IF($B28="","",PV-N(J27))</f>
        <v>358324.4958</v>
      </c>
      <c r="G28" s="70">
        <f>IF($B28="","",PMT(Rate,Nper,-PV,,Type))</f>
        <v>9862.393431</v>
      </c>
      <c r="H28" s="70">
        <f>IF($B28="","",PPMT(Rate,ROWS($1:16),Nper,-PV,,Type))</f>
        <v>9517.850646</v>
      </c>
      <c r="I28" s="70">
        <f>IF($B28="","",IPMT(Rate,ROWS($1:16),Nper,-PV,,Type))</f>
        <v>344.5427844</v>
      </c>
      <c r="J28" s="73">
        <f t="shared" ref="J28:K28" si="18">IF($B28="","",N(J27)+N(H28))</f>
        <v>151193.3549</v>
      </c>
      <c r="K28" s="74">
        <f t="shared" si="18"/>
        <v>6604.940028</v>
      </c>
      <c r="L28" s="65">
        <f>IF($B28="","",PV-J28)</f>
        <v>348806.6451</v>
      </c>
      <c r="M28" s="71">
        <f>IF($B28="","",J28/PV)</f>
        <v>0.3023867097</v>
      </c>
      <c r="N28" s="72">
        <f t="shared" si="4"/>
        <v>0.6976132903</v>
      </c>
    </row>
    <row r="29" ht="14.25" customHeight="1">
      <c r="B29" s="66">
        <f>IF(ROWS($1:17)&lt;=Nper,ROWS($1:17),"")</f>
        <v>17</v>
      </c>
      <c r="C29" s="67">
        <f>IF($B29="","",IF($E$7="Weekly",Start_Date+7*(ROWS($1:17)-1),EDATE(Start_Date,VLOOKUP(IF(ASTemp!$E$7="","Monthly",ASTemp!$E$7),Parameters!$B$3:$D$6,3,0)*(ROWS($1:17)-1))))</f>
        <v>42389</v>
      </c>
      <c r="D29" s="68">
        <f t="shared" si="2"/>
        <v>2016</v>
      </c>
      <c r="E29" s="65" t="str">
        <f>IF($B29="","",VLOOKUP(MONTH(C29),Parameters!$F$2:$G$13,2,0))</f>
        <v>Jan</v>
      </c>
      <c r="F29" s="65">
        <f>IF($B29="","",PV-N(J28))</f>
        <v>348806.6451</v>
      </c>
      <c r="G29" s="70">
        <f>IF($B29="","",PMT(Rate,Nper,-PV,,Type))</f>
        <v>9862.393431</v>
      </c>
      <c r="H29" s="70">
        <f>IF($B29="","",PPMT(Rate,ROWS($1:17),Nper,-PV,,Type))</f>
        <v>9527.002426</v>
      </c>
      <c r="I29" s="70">
        <f>IF($B29="","",IPMT(Rate,ROWS($1:17),Nper,-PV,,Type))</f>
        <v>335.3910049</v>
      </c>
      <c r="J29" s="73">
        <f t="shared" ref="J29:K29" si="19">IF($B29="","",N(J28)+N(H29))</f>
        <v>160720.3573</v>
      </c>
      <c r="K29" s="74">
        <f t="shared" si="19"/>
        <v>6940.331033</v>
      </c>
      <c r="L29" s="65">
        <f>IF($B29="","",PV-J29)</f>
        <v>339279.6427</v>
      </c>
      <c r="M29" s="71">
        <f>IF($B29="","",J29/PV)</f>
        <v>0.3214407146</v>
      </c>
      <c r="N29" s="72">
        <f t="shared" si="4"/>
        <v>0.6785592854</v>
      </c>
    </row>
    <row r="30" ht="14.25" customHeight="1">
      <c r="B30" s="66">
        <f>IF(ROWS($1:18)&lt;=Nper,ROWS($1:18),"")</f>
        <v>18</v>
      </c>
      <c r="C30" s="67">
        <f>IF($B30="","",IF($E$7="Weekly",Start_Date+7*(ROWS($1:18)-1),EDATE(Start_Date,VLOOKUP(IF(ASTemp!$E$7="","Monthly",ASTemp!$E$7),Parameters!$B$3:$D$6,3,0)*(ROWS($1:18)-1))))</f>
        <v>42396</v>
      </c>
      <c r="D30" s="68">
        <f t="shared" si="2"/>
        <v>2016</v>
      </c>
      <c r="E30" s="65" t="str">
        <f>IF($B30="","",VLOOKUP(MONTH(C30),Parameters!$F$2:$G$13,2,0))</f>
        <v>Jan</v>
      </c>
      <c r="F30" s="65">
        <f>IF($B30="","",PV-N(J29))</f>
        <v>339279.6427</v>
      </c>
      <c r="G30" s="70">
        <f>IF($B30="","",PMT(Rate,Nper,-PV,,Type))</f>
        <v>9862.393431</v>
      </c>
      <c r="H30" s="70">
        <f>IF($B30="","",PPMT(Rate,ROWS($1:18),Nper,-PV,,Type))</f>
        <v>9536.163005</v>
      </c>
      <c r="I30" s="70">
        <f>IF($B30="","",IPMT(Rate,ROWS($1:18),Nper,-PV,,Type))</f>
        <v>326.2304257</v>
      </c>
      <c r="J30" s="73">
        <f t="shared" ref="J30:K30" si="20">IF($B30="","",N(J29)+N(H30))</f>
        <v>170256.5203</v>
      </c>
      <c r="K30" s="74">
        <f t="shared" si="20"/>
        <v>7266.561459</v>
      </c>
      <c r="L30" s="65">
        <f>IF($B30="","",PV-J30)</f>
        <v>329743.4797</v>
      </c>
      <c r="M30" s="71">
        <f>IF($B30="","",J30/PV)</f>
        <v>0.3405130406</v>
      </c>
      <c r="N30" s="72">
        <f t="shared" si="4"/>
        <v>0.6594869594</v>
      </c>
    </row>
    <row r="31" ht="14.25" customHeight="1">
      <c r="B31" s="66">
        <f>IF(ROWS($1:19)&lt;=Nper,ROWS($1:19),"")</f>
        <v>19</v>
      </c>
      <c r="C31" s="67">
        <f>IF($B31="","",IF($E$7="Weekly",Start_Date+7*(ROWS($1:19)-1),EDATE(Start_Date,VLOOKUP(IF(ASTemp!$E$7="","Monthly",ASTemp!$E$7),Parameters!$B$3:$D$6,3,0)*(ROWS($1:19)-1))))</f>
        <v>42403</v>
      </c>
      <c r="D31" s="68">
        <f t="shared" si="2"/>
        <v>2016</v>
      </c>
      <c r="E31" s="65" t="str">
        <f>IF($B31="","",VLOOKUP(MONTH(C31),Parameters!$F$2:$G$13,2,0))</f>
        <v>Feb</v>
      </c>
      <c r="F31" s="65">
        <f>IF($B31="","",PV-N(J30))</f>
        <v>329743.4797</v>
      </c>
      <c r="G31" s="70">
        <f>IF($B31="","",PMT(Rate,Nper,-PV,,Type))</f>
        <v>9862.393431</v>
      </c>
      <c r="H31" s="70">
        <f>IF($B31="","",PPMT(Rate,ROWS($1:19),Nper,-PV,,Type))</f>
        <v>9545.332393</v>
      </c>
      <c r="I31" s="70">
        <f>IF($B31="","",IPMT(Rate,ROWS($1:19),Nper,-PV,,Type))</f>
        <v>317.0610382</v>
      </c>
      <c r="J31" s="73">
        <f t="shared" ref="J31:K31" si="21">IF($B31="","",N(J30)+N(H31))</f>
        <v>179801.8527</v>
      </c>
      <c r="K31" s="74">
        <f t="shared" si="21"/>
        <v>7583.622497</v>
      </c>
      <c r="L31" s="65">
        <f>IF($B31="","",PV-J31)</f>
        <v>320198.1473</v>
      </c>
      <c r="M31" s="71">
        <f>IF($B31="","",J31/PV)</f>
        <v>0.3596037054</v>
      </c>
      <c r="N31" s="72">
        <f t="shared" si="4"/>
        <v>0.6403962946</v>
      </c>
    </row>
    <row r="32" ht="14.25" customHeight="1">
      <c r="B32" s="66">
        <f>IF(ROWS($1:20)&lt;=Nper,ROWS($1:20),"")</f>
        <v>20</v>
      </c>
      <c r="C32" s="67">
        <f>IF($B32="","",IF($E$7="Weekly",Start_Date+7*(ROWS($1:20)-1),EDATE(Start_Date,VLOOKUP(IF(ASTemp!$E$7="","Monthly",ASTemp!$E$7),Parameters!$B$3:$D$6,3,0)*(ROWS($1:20)-1))))</f>
        <v>42410</v>
      </c>
      <c r="D32" s="68">
        <f t="shared" si="2"/>
        <v>2016</v>
      </c>
      <c r="E32" s="65" t="str">
        <f>IF($B32="","",VLOOKUP(MONTH(C32),Parameters!$F$2:$G$13,2,0))</f>
        <v>Feb</v>
      </c>
      <c r="F32" s="65">
        <f>IF($B32="","",PV-N(J31))</f>
        <v>320198.1473</v>
      </c>
      <c r="G32" s="70">
        <f>IF($B32="","",PMT(Rate,Nper,-PV,,Type))</f>
        <v>9862.393431</v>
      </c>
      <c r="H32" s="70">
        <f>IF($B32="","",PPMT(Rate,ROWS($1:20),Nper,-PV,,Type))</f>
        <v>9554.510597</v>
      </c>
      <c r="I32" s="70">
        <f>IF($B32="","",IPMT(Rate,ROWS($1:20),Nper,-PV,,Type))</f>
        <v>307.882834</v>
      </c>
      <c r="J32" s="73">
        <f t="shared" ref="J32:K32" si="22">IF($B32="","",N(J31)+N(H32))</f>
        <v>189356.3633</v>
      </c>
      <c r="K32" s="74">
        <f t="shared" si="22"/>
        <v>7891.505331</v>
      </c>
      <c r="L32" s="65">
        <f>IF($B32="","",PV-J32)</f>
        <v>310643.6367</v>
      </c>
      <c r="M32" s="71">
        <f>IF($B32="","",J32/PV)</f>
        <v>0.3787127266</v>
      </c>
      <c r="N32" s="72">
        <f t="shared" si="4"/>
        <v>0.6212872734</v>
      </c>
    </row>
    <row r="33" ht="14.25" customHeight="1">
      <c r="B33" s="66">
        <f>IF(ROWS($1:21)&lt;=Nper,ROWS($1:21),"")</f>
        <v>21</v>
      </c>
      <c r="C33" s="67">
        <f>IF($B33="","",IF($E$7="Weekly",Start_Date+7*(ROWS($1:21)-1),EDATE(Start_Date,VLOOKUP(IF(ASTemp!$E$7="","Monthly",ASTemp!$E$7),Parameters!$B$3:$D$6,3,0)*(ROWS($1:21)-1))))</f>
        <v>42417</v>
      </c>
      <c r="D33" s="68">
        <f t="shared" si="2"/>
        <v>2016</v>
      </c>
      <c r="E33" s="65" t="str">
        <f>IF($B33="","",VLOOKUP(MONTH(C33),Parameters!$F$2:$G$13,2,0))</f>
        <v>Feb</v>
      </c>
      <c r="F33" s="65">
        <f>IF($B33="","",PV-N(J32))</f>
        <v>310643.6367</v>
      </c>
      <c r="G33" s="70">
        <f>IF($B33="","",PMT(Rate,Nper,-PV,,Type))</f>
        <v>9862.393431</v>
      </c>
      <c r="H33" s="70">
        <f>IF($B33="","",PPMT(Rate,ROWS($1:21),Nper,-PV,,Type))</f>
        <v>9563.697626</v>
      </c>
      <c r="I33" s="70">
        <f>IF($B33="","",IPMT(Rate,ROWS($1:21),Nper,-PV,,Type))</f>
        <v>298.6958045</v>
      </c>
      <c r="J33" s="73">
        <f t="shared" ref="J33:K33" si="23">IF($B33="","",N(J32)+N(H33))</f>
        <v>198920.0609</v>
      </c>
      <c r="K33" s="74">
        <f t="shared" si="23"/>
        <v>8190.201135</v>
      </c>
      <c r="L33" s="65">
        <f>IF($B33="","",PV-J33)</f>
        <v>301079.9391</v>
      </c>
      <c r="M33" s="71">
        <f>IF($B33="","",J33/PV)</f>
        <v>0.3978401218</v>
      </c>
      <c r="N33" s="72">
        <f t="shared" si="4"/>
        <v>0.6021598782</v>
      </c>
    </row>
    <row r="34" ht="14.25" customHeight="1">
      <c r="B34" s="66">
        <f>IF(ROWS($1:22)&lt;=Nper,ROWS($1:22),"")</f>
        <v>22</v>
      </c>
      <c r="C34" s="67">
        <f>IF($B34="","",IF($E$7="Weekly",Start_Date+7*(ROWS($1:22)-1),EDATE(Start_Date,VLOOKUP(IF(ASTemp!$E$7="","Monthly",ASTemp!$E$7),Parameters!$B$3:$D$6,3,0)*(ROWS($1:22)-1))))</f>
        <v>42424</v>
      </c>
      <c r="D34" s="68">
        <f t="shared" si="2"/>
        <v>2016</v>
      </c>
      <c r="E34" s="65" t="str">
        <f>IF($B34="","",VLOOKUP(MONTH(C34),Parameters!$F$2:$G$13,2,0))</f>
        <v>Feb</v>
      </c>
      <c r="F34" s="65">
        <f>IF($B34="","",PV-N(J33))</f>
        <v>301079.9391</v>
      </c>
      <c r="G34" s="70">
        <f>IF($B34="","",PMT(Rate,Nper,-PV,,Type))</f>
        <v>9862.393431</v>
      </c>
      <c r="H34" s="70">
        <f>IF($B34="","",PPMT(Rate,ROWS($1:22),Nper,-PV,,Type))</f>
        <v>9572.893489</v>
      </c>
      <c r="I34" s="70">
        <f>IF($B34="","",IPMT(Rate,ROWS($1:22),Nper,-PV,,Type))</f>
        <v>289.4999414</v>
      </c>
      <c r="J34" s="73">
        <f t="shared" ref="J34:K34" si="24">IF($B34="","",N(J33)+N(H34))</f>
        <v>208492.9544</v>
      </c>
      <c r="K34" s="74">
        <f t="shared" si="24"/>
        <v>8479.701077</v>
      </c>
      <c r="L34" s="65">
        <f>IF($B34="","",PV-J34)</f>
        <v>291507.0456</v>
      </c>
      <c r="M34" s="71">
        <f>IF($B34="","",J34/PV)</f>
        <v>0.4169859088</v>
      </c>
      <c r="N34" s="72">
        <f t="shared" si="4"/>
        <v>0.5830140912</v>
      </c>
    </row>
    <row r="35" ht="14.25" customHeight="1">
      <c r="B35" s="66">
        <f>IF(ROWS($1:23)&lt;=Nper,ROWS($1:23),"")</f>
        <v>23</v>
      </c>
      <c r="C35" s="67">
        <f>IF($B35="","",IF($E$7="Weekly",Start_Date+7*(ROWS($1:23)-1),EDATE(Start_Date,VLOOKUP(IF(ASTemp!$E$7="","Monthly",ASTemp!$E$7),Parameters!$B$3:$D$6,3,0)*(ROWS($1:23)-1))))</f>
        <v>42431</v>
      </c>
      <c r="D35" s="68">
        <f t="shared" si="2"/>
        <v>2016</v>
      </c>
      <c r="E35" s="65" t="str">
        <f>IF($B35="","",VLOOKUP(MONTH(C35),Parameters!$F$2:$G$13,2,0))</f>
        <v>Mar</v>
      </c>
      <c r="F35" s="65">
        <f>IF($B35="","",PV-N(J34))</f>
        <v>291507.0456</v>
      </c>
      <c r="G35" s="70">
        <f>IF($B35="","",PMT(Rate,Nper,-PV,,Type))</f>
        <v>9862.393431</v>
      </c>
      <c r="H35" s="70">
        <f>IF($B35="","",PPMT(Rate,ROWS($1:23),Nper,-PV,,Type))</f>
        <v>9582.098195</v>
      </c>
      <c r="I35" s="70">
        <f>IF($B35="","",IPMT(Rate,ROWS($1:23),Nper,-PV,,Type))</f>
        <v>280.2952362</v>
      </c>
      <c r="J35" s="73">
        <f t="shared" ref="J35:K35" si="25">IF($B35="","",N(J34)+N(H35))</f>
        <v>218075.0526</v>
      </c>
      <c r="K35" s="74">
        <f t="shared" si="25"/>
        <v>8759.996313</v>
      </c>
      <c r="L35" s="65">
        <f>IF($B35="","",PV-J35)</f>
        <v>281924.9474</v>
      </c>
      <c r="M35" s="71">
        <f>IF($B35="","",J35/PV)</f>
        <v>0.4361501052</v>
      </c>
      <c r="N35" s="72">
        <f t="shared" si="4"/>
        <v>0.5638498948</v>
      </c>
    </row>
    <row r="36" ht="14.25" customHeight="1">
      <c r="B36" s="66">
        <f>IF(ROWS($1:24)&lt;=Nper,ROWS($1:24),"")</f>
        <v>24</v>
      </c>
      <c r="C36" s="67">
        <f>IF($B36="","",IF($E$7="Weekly",Start_Date+7*(ROWS($1:24)-1),EDATE(Start_Date,VLOOKUP(IF(ASTemp!$E$7="","Monthly",ASTemp!$E$7),Parameters!$B$3:$D$6,3,0)*(ROWS($1:24)-1))))</f>
        <v>42438</v>
      </c>
      <c r="D36" s="68">
        <f t="shared" si="2"/>
        <v>2016</v>
      </c>
      <c r="E36" s="65" t="str">
        <f>IF($B36="","",VLOOKUP(MONTH(C36),Parameters!$F$2:$G$13,2,0))</f>
        <v>Mar</v>
      </c>
      <c r="F36" s="65">
        <f>IF($B36="","",PV-N(J35))</f>
        <v>281924.9474</v>
      </c>
      <c r="G36" s="70">
        <f>IF($B36="","",PMT(Rate,Nper,-PV,,Type))</f>
        <v>9862.393431</v>
      </c>
      <c r="H36" s="70">
        <f>IF($B36="","",PPMT(Rate,ROWS($1:24),Nper,-PV,,Type))</f>
        <v>9591.31175</v>
      </c>
      <c r="I36" s="70">
        <f>IF($B36="","",IPMT(Rate,ROWS($1:24),Nper,-PV,,Type))</f>
        <v>271.0816802</v>
      </c>
      <c r="J36" s="73">
        <f t="shared" ref="J36:K36" si="26">IF($B36="","",N(J35)+N(H36))</f>
        <v>227666.3643</v>
      </c>
      <c r="K36" s="74">
        <f t="shared" si="26"/>
        <v>9031.077993</v>
      </c>
      <c r="L36" s="65">
        <f>IF($B36="","",PV-J36)</f>
        <v>272333.6357</v>
      </c>
      <c r="M36" s="71">
        <f>IF($B36="","",J36/PV)</f>
        <v>0.4553327287</v>
      </c>
      <c r="N36" s="72">
        <f t="shared" si="4"/>
        <v>0.5446672713</v>
      </c>
    </row>
    <row r="37" ht="14.25" customHeight="1">
      <c r="B37" s="66">
        <f>IF(ROWS($1:25)&lt;=Nper,ROWS($1:25),"")</f>
        <v>25</v>
      </c>
      <c r="C37" s="67">
        <f>IF($B37="","",IF($E$7="Weekly",Start_Date+7*(ROWS($1:25)-1),EDATE(Start_Date,VLOOKUP(IF(ASTemp!$E$7="","Monthly",ASTemp!$E$7),Parameters!$B$3:$D$6,3,0)*(ROWS($1:25)-1))))</f>
        <v>42445</v>
      </c>
      <c r="D37" s="68">
        <f t="shared" si="2"/>
        <v>2016</v>
      </c>
      <c r="E37" s="65" t="str">
        <f>IF($B37="","",VLOOKUP(MONTH(C37),Parameters!$F$2:$G$13,2,0))</f>
        <v>Mar</v>
      </c>
      <c r="F37" s="65">
        <f>IF($B37="","",PV-N(J36))</f>
        <v>272333.6357</v>
      </c>
      <c r="G37" s="70">
        <f>IF($B37="","",PMT(Rate,Nper,-PV,,Type))</f>
        <v>9862.393431</v>
      </c>
      <c r="H37" s="70">
        <f>IF($B37="","",PPMT(Rate,ROWS($1:25),Nper,-PV,,Type))</f>
        <v>9600.534166</v>
      </c>
      <c r="I37" s="70">
        <f>IF($B37="","",IPMT(Rate,ROWS($1:25),Nper,-PV,,Type))</f>
        <v>261.8592651</v>
      </c>
      <c r="J37" s="73">
        <f t="shared" ref="J37:K37" si="27">IF($B37="","",N(J36)+N(H37))</f>
        <v>237266.8985</v>
      </c>
      <c r="K37" s="74">
        <f t="shared" si="27"/>
        <v>9292.937258</v>
      </c>
      <c r="L37" s="65">
        <f>IF($B37="","",PV-J37)</f>
        <v>262733.1015</v>
      </c>
      <c r="M37" s="71">
        <f>IF($B37="","",J37/PV)</f>
        <v>0.474533797</v>
      </c>
      <c r="N37" s="72">
        <f t="shared" si="4"/>
        <v>0.525466203</v>
      </c>
    </row>
    <row r="38" ht="14.25" customHeight="1">
      <c r="B38" s="66">
        <f>IF(ROWS($1:26)&lt;=Nper,ROWS($1:26),"")</f>
        <v>26</v>
      </c>
      <c r="C38" s="67">
        <f>IF($B38="","",IF($E$7="Weekly",Start_Date+7*(ROWS($1:26)-1),EDATE(Start_Date,VLOOKUP(IF(ASTemp!$E$7="","Monthly",ASTemp!$E$7),Parameters!$B$3:$D$6,3,0)*(ROWS($1:26)-1))))</f>
        <v>42452</v>
      </c>
      <c r="D38" s="68">
        <f t="shared" si="2"/>
        <v>2016</v>
      </c>
      <c r="E38" s="65" t="str">
        <f>IF($B38="","",VLOOKUP(MONTH(C38),Parameters!$F$2:$G$13,2,0))</f>
        <v>Mar</v>
      </c>
      <c r="F38" s="65">
        <f>IF($B38="","",PV-N(J37))</f>
        <v>262733.1015</v>
      </c>
      <c r="G38" s="70">
        <f>IF($B38="","",PMT(Rate,Nper,-PV,,Type))</f>
        <v>9862.393431</v>
      </c>
      <c r="H38" s="70">
        <f>IF($B38="","",PPMT(Rate,ROWS($1:26),Nper,-PV,,Type))</f>
        <v>9609.765448</v>
      </c>
      <c r="I38" s="70">
        <f>IF($B38="","",IPMT(Rate,ROWS($1:26),Nper,-PV,,Type))</f>
        <v>252.6279822</v>
      </c>
      <c r="J38" s="73">
        <f t="shared" ref="J38:K38" si="28">IF($B38="","",N(J37)+N(H38))</f>
        <v>246876.664</v>
      </c>
      <c r="K38" s="74">
        <f t="shared" si="28"/>
        <v>9545.565241</v>
      </c>
      <c r="L38" s="65">
        <f>IF($B38="","",PV-J38)</f>
        <v>253123.336</v>
      </c>
      <c r="M38" s="71">
        <f>IF($B38="","",J38/PV)</f>
        <v>0.4937533279</v>
      </c>
      <c r="N38" s="72">
        <f t="shared" si="4"/>
        <v>0.5062466721</v>
      </c>
    </row>
    <row r="39" ht="14.25" customHeight="1">
      <c r="B39" s="66">
        <f>IF(ROWS($1:27)&lt;=Nper,ROWS($1:27),"")</f>
        <v>27</v>
      </c>
      <c r="C39" s="67">
        <f>IF($B39="","",IF($E$7="Weekly",Start_Date+7*(ROWS($1:27)-1),EDATE(Start_Date,VLOOKUP(IF(ASTemp!$E$7="","Monthly",ASTemp!$E$7),Parameters!$B$3:$D$6,3,0)*(ROWS($1:27)-1))))</f>
        <v>42459</v>
      </c>
      <c r="D39" s="68">
        <f t="shared" si="2"/>
        <v>2016</v>
      </c>
      <c r="E39" s="65" t="str">
        <f>IF($B39="","",VLOOKUP(MONTH(C39),Parameters!$F$2:$G$13,2,0))</f>
        <v>Mar</v>
      </c>
      <c r="F39" s="65">
        <f>IF($B39="","",PV-N(J38))</f>
        <v>253123.336</v>
      </c>
      <c r="G39" s="70">
        <f>IF($B39="","",PMT(Rate,Nper,-PV,,Type))</f>
        <v>9862.393431</v>
      </c>
      <c r="H39" s="70">
        <f>IF($B39="","",PPMT(Rate,ROWS($1:27),Nper,-PV,,Type))</f>
        <v>9619.005608</v>
      </c>
      <c r="I39" s="70">
        <f>IF($B39="","",IPMT(Rate,ROWS($1:27),Nper,-PV,,Type))</f>
        <v>243.3878231</v>
      </c>
      <c r="J39" s="73">
        <f t="shared" ref="J39:K39" si="29">IF($B39="","",N(J38)+N(H39))</f>
        <v>256495.6696</v>
      </c>
      <c r="K39" s="74">
        <f t="shared" si="29"/>
        <v>9788.953064</v>
      </c>
      <c r="L39" s="65">
        <f>IF($B39="","",PV-J39)</f>
        <v>243504.3304</v>
      </c>
      <c r="M39" s="71">
        <f>IF($B39="","",J39/PV)</f>
        <v>0.5129913391</v>
      </c>
      <c r="N39" s="72">
        <f t="shared" si="4"/>
        <v>0.4870086609</v>
      </c>
    </row>
    <row r="40" ht="14.25" customHeight="1">
      <c r="B40" s="66">
        <f>IF(ROWS($1:28)&lt;=Nper,ROWS($1:28),"")</f>
        <v>28</v>
      </c>
      <c r="C40" s="67">
        <f>IF($B40="","",IF($E$7="Weekly",Start_Date+7*(ROWS($1:28)-1),EDATE(Start_Date,VLOOKUP(IF(ASTemp!$E$7="","Monthly",ASTemp!$E$7),Parameters!$B$3:$D$6,3,0)*(ROWS($1:28)-1))))</f>
        <v>42466</v>
      </c>
      <c r="D40" s="68">
        <f t="shared" si="2"/>
        <v>2016</v>
      </c>
      <c r="E40" s="65" t="str">
        <f>IF($B40="","",VLOOKUP(MONTH(C40),Parameters!$F$2:$G$13,2,0))</f>
        <v>Apr</v>
      </c>
      <c r="F40" s="65">
        <f>IF($B40="","",PV-N(J39))</f>
        <v>243504.3304</v>
      </c>
      <c r="G40" s="70">
        <f>IF($B40="","",PMT(Rate,Nper,-PV,,Type))</f>
        <v>9862.393431</v>
      </c>
      <c r="H40" s="70">
        <f>IF($B40="","",PPMT(Rate,ROWS($1:28),Nper,-PV,,Type))</f>
        <v>9628.254651</v>
      </c>
      <c r="I40" s="70">
        <f>IF($B40="","",IPMT(Rate,ROWS($1:28),Nper,-PV,,Type))</f>
        <v>234.1387793</v>
      </c>
      <c r="J40" s="73">
        <f t="shared" ref="J40:K40" si="30">IF($B40="","",N(J39)+N(H40))</f>
        <v>266123.9242</v>
      </c>
      <c r="K40" s="74">
        <f t="shared" si="30"/>
        <v>10023.09184</v>
      </c>
      <c r="L40" s="65">
        <f>IF($B40="","",PV-J40)</f>
        <v>233876.0758</v>
      </c>
      <c r="M40" s="71">
        <f>IF($B40="","",J40/PV)</f>
        <v>0.5322478484</v>
      </c>
      <c r="N40" s="72">
        <f t="shared" si="4"/>
        <v>0.4677521516</v>
      </c>
    </row>
    <row r="41" ht="14.25" customHeight="1">
      <c r="B41" s="66">
        <f>IF(ROWS($1:29)&lt;=Nper,ROWS($1:29),"")</f>
        <v>29</v>
      </c>
      <c r="C41" s="67">
        <f>IF($B41="","",IF($E$7="Weekly",Start_Date+7*(ROWS($1:29)-1),EDATE(Start_Date,VLOOKUP(IF(ASTemp!$E$7="","Monthly",ASTemp!$E$7),Parameters!$B$3:$D$6,3,0)*(ROWS($1:29)-1))))</f>
        <v>42473</v>
      </c>
      <c r="D41" s="68">
        <f t="shared" si="2"/>
        <v>2016</v>
      </c>
      <c r="E41" s="65" t="str">
        <f>IF($B41="","",VLOOKUP(MONTH(C41),Parameters!$F$2:$G$13,2,0))</f>
        <v>Apr</v>
      </c>
      <c r="F41" s="65">
        <f>IF($B41="","",PV-N(J40))</f>
        <v>233876.0758</v>
      </c>
      <c r="G41" s="70">
        <f>IF($B41="","",PMT(Rate,Nper,-PV,,Type))</f>
        <v>9862.393431</v>
      </c>
      <c r="H41" s="70">
        <f>IF($B41="","",PPMT(Rate,ROWS($1:29),Nper,-PV,,Type))</f>
        <v>9637.512589</v>
      </c>
      <c r="I41" s="70">
        <f>IF($B41="","",IPMT(Rate,ROWS($1:29),Nper,-PV,,Type))</f>
        <v>224.8808421</v>
      </c>
      <c r="J41" s="73">
        <f t="shared" ref="J41:K41" si="31">IF($B41="","",N(J40)+N(H41))</f>
        <v>275761.4368</v>
      </c>
      <c r="K41" s="74">
        <f t="shared" si="31"/>
        <v>10247.97269</v>
      </c>
      <c r="L41" s="65">
        <f>IF($B41="","",PV-J41)</f>
        <v>224238.5632</v>
      </c>
      <c r="M41" s="71">
        <f>IF($B41="","",J41/PV)</f>
        <v>0.5515228736</v>
      </c>
      <c r="N41" s="72">
        <f t="shared" si="4"/>
        <v>0.4484771264</v>
      </c>
    </row>
    <row r="42" ht="14.25" customHeight="1">
      <c r="B42" s="66">
        <f>IF(ROWS($1:30)&lt;=Nper,ROWS($1:30),"")</f>
        <v>30</v>
      </c>
      <c r="C42" s="67">
        <f>IF($B42="","",IF($E$7="Weekly",Start_Date+7*(ROWS($1:30)-1),EDATE(Start_Date,VLOOKUP(IF(ASTemp!$E$7="","Monthly",ASTemp!$E$7),Parameters!$B$3:$D$6,3,0)*(ROWS($1:30)-1))))</f>
        <v>42480</v>
      </c>
      <c r="D42" s="68">
        <f t="shared" si="2"/>
        <v>2016</v>
      </c>
      <c r="E42" s="65" t="str">
        <f>IF($B42="","",VLOOKUP(MONTH(C42),Parameters!$F$2:$G$13,2,0))</f>
        <v>Apr</v>
      </c>
      <c r="F42" s="65">
        <f>IF($B42="","",PV-N(J41))</f>
        <v>224238.5632</v>
      </c>
      <c r="G42" s="70">
        <f>IF($B42="","",PMT(Rate,Nper,-PV,,Type))</f>
        <v>9862.393431</v>
      </c>
      <c r="H42" s="70">
        <f>IF($B42="","",PPMT(Rate,ROWS($1:30),Nper,-PV,,Type))</f>
        <v>9646.779428</v>
      </c>
      <c r="I42" s="70">
        <f>IF($B42="","",IPMT(Rate,ROWS($1:30),Nper,-PV,,Type))</f>
        <v>215.6140031</v>
      </c>
      <c r="J42" s="73">
        <f t="shared" ref="J42:K42" si="32">IF($B42="","",N(J41)+N(H42))</f>
        <v>285408.2162</v>
      </c>
      <c r="K42" s="74">
        <f t="shared" si="32"/>
        <v>10463.58669</v>
      </c>
      <c r="L42" s="65">
        <f>IF($B42="","",PV-J42)</f>
        <v>214591.7838</v>
      </c>
      <c r="M42" s="71">
        <f>IF($B42="","",J42/PV)</f>
        <v>0.5708164325</v>
      </c>
      <c r="N42" s="72">
        <f t="shared" si="4"/>
        <v>0.4291835675</v>
      </c>
    </row>
    <row r="43" ht="14.25" customHeight="1">
      <c r="B43" s="66">
        <f>IF(ROWS($1:31)&lt;=Nper,ROWS($1:31),"")</f>
        <v>31</v>
      </c>
      <c r="C43" s="67">
        <f>IF($B43="","",IF($E$7="Weekly",Start_Date+7*(ROWS($1:31)-1),EDATE(Start_Date,VLOOKUP(IF(ASTemp!$E$7="","Monthly",ASTemp!$E$7),Parameters!$B$3:$D$6,3,0)*(ROWS($1:31)-1))))</f>
        <v>42487</v>
      </c>
      <c r="D43" s="68">
        <f t="shared" si="2"/>
        <v>2016</v>
      </c>
      <c r="E43" s="65" t="str">
        <f>IF($B43="","",VLOOKUP(MONTH(C43),Parameters!$F$2:$G$13,2,0))</f>
        <v>Apr</v>
      </c>
      <c r="F43" s="65">
        <f>IF($B43="","",PV-N(J42))</f>
        <v>214591.7838</v>
      </c>
      <c r="G43" s="70">
        <f>IF($B43="","",PMT(Rate,Nper,-PV,,Type))</f>
        <v>9862.393431</v>
      </c>
      <c r="H43" s="70">
        <f>IF($B43="","",PPMT(Rate,ROWS($1:31),Nper,-PV,,Type))</f>
        <v>9656.055177</v>
      </c>
      <c r="I43" s="70">
        <f>IF($B43="","",IPMT(Rate,ROWS($1:31),Nper,-PV,,Type))</f>
        <v>206.3382536</v>
      </c>
      <c r="J43" s="73">
        <f t="shared" ref="J43:K43" si="33">IF($B43="","",N(J42)+N(H43))</f>
        <v>295064.2714</v>
      </c>
      <c r="K43" s="74">
        <f t="shared" si="33"/>
        <v>10669.92494</v>
      </c>
      <c r="L43" s="65">
        <f>IF($B43="","",PV-J43)</f>
        <v>204935.7286</v>
      </c>
      <c r="M43" s="71">
        <f>IF($B43="","",J43/PV)</f>
        <v>0.5901285428</v>
      </c>
      <c r="N43" s="72">
        <f t="shared" si="4"/>
        <v>0.4098714572</v>
      </c>
    </row>
    <row r="44" ht="14.25" customHeight="1">
      <c r="B44" s="66">
        <f>IF(ROWS($1:32)&lt;=Nper,ROWS($1:32),"")</f>
        <v>32</v>
      </c>
      <c r="C44" s="67">
        <f>IF($B44="","",IF($E$7="Weekly",Start_Date+7*(ROWS($1:32)-1),EDATE(Start_Date,VLOOKUP(IF(ASTemp!$E$7="","Monthly",ASTemp!$E$7),Parameters!$B$3:$D$6,3,0)*(ROWS($1:32)-1))))</f>
        <v>42494</v>
      </c>
      <c r="D44" s="68">
        <f t="shared" si="2"/>
        <v>2016</v>
      </c>
      <c r="E44" s="65" t="str">
        <f>IF($B44="","",VLOOKUP(MONTH(C44),Parameters!$F$2:$G$13,2,0))</f>
        <v>May</v>
      </c>
      <c r="F44" s="65">
        <f>IF($B44="","",PV-N(J43))</f>
        <v>204935.7286</v>
      </c>
      <c r="G44" s="70">
        <f>IF($B44="","",PMT(Rate,Nper,-PV,,Type))</f>
        <v>9862.393431</v>
      </c>
      <c r="H44" s="70">
        <f>IF($B44="","",PPMT(Rate,ROWS($1:32),Nper,-PV,,Type))</f>
        <v>9665.339846</v>
      </c>
      <c r="I44" s="70">
        <f>IF($B44="","",IPMT(Rate,ROWS($1:32),Nper,-PV,,Type))</f>
        <v>197.0535852</v>
      </c>
      <c r="J44" s="73">
        <f t="shared" ref="J44:K44" si="34">IF($B44="","",N(J43)+N(H44))</f>
        <v>304729.6113</v>
      </c>
      <c r="K44" s="74">
        <f t="shared" si="34"/>
        <v>10866.97853</v>
      </c>
      <c r="L44" s="65">
        <f>IF($B44="","",PV-J44)</f>
        <v>195270.3887</v>
      </c>
      <c r="M44" s="71">
        <f>IF($B44="","",J44/PV)</f>
        <v>0.6094592225</v>
      </c>
      <c r="N44" s="72">
        <f t="shared" si="4"/>
        <v>0.3905407775</v>
      </c>
    </row>
    <row r="45" ht="14.25" customHeight="1">
      <c r="B45" s="66">
        <f>IF(ROWS($1:33)&lt;=Nper,ROWS($1:33),"")</f>
        <v>33</v>
      </c>
      <c r="C45" s="67">
        <f>IF($B45="","",IF($E$7="Weekly",Start_Date+7*(ROWS($1:33)-1),EDATE(Start_Date,VLOOKUP(IF(ASTemp!$E$7="","Monthly",ASTemp!$E$7),Parameters!$B$3:$D$6,3,0)*(ROWS($1:33)-1))))</f>
        <v>42501</v>
      </c>
      <c r="D45" s="68">
        <f t="shared" si="2"/>
        <v>2016</v>
      </c>
      <c r="E45" s="65" t="str">
        <f>IF($B45="","",VLOOKUP(MONTH(C45),Parameters!$F$2:$G$13,2,0))</f>
        <v>May</v>
      </c>
      <c r="F45" s="65">
        <f>IF($B45="","",PV-N(J44))</f>
        <v>195270.3887</v>
      </c>
      <c r="G45" s="70">
        <f>IF($B45="","",PMT(Rate,Nper,-PV,,Type))</f>
        <v>9862.393431</v>
      </c>
      <c r="H45" s="70">
        <f>IF($B45="","",PPMT(Rate,ROWS($1:33),Nper,-PV,,Type))</f>
        <v>9674.633442</v>
      </c>
      <c r="I45" s="70">
        <f>IF($B45="","",IPMT(Rate,ROWS($1:33),Nper,-PV,,Type))</f>
        <v>187.7599892</v>
      </c>
      <c r="J45" s="73">
        <f t="shared" ref="J45:K45" si="35">IF($B45="","",N(J44)+N(H45))</f>
        <v>314404.2447</v>
      </c>
      <c r="K45" s="74">
        <f t="shared" si="35"/>
        <v>11054.73852</v>
      </c>
      <c r="L45" s="65">
        <f>IF($B45="","",PV-J45)</f>
        <v>185595.7553</v>
      </c>
      <c r="M45" s="71">
        <f>IF($B45="","",J45/PV)</f>
        <v>0.6288084894</v>
      </c>
      <c r="N45" s="72">
        <f t="shared" si="4"/>
        <v>0.3711915106</v>
      </c>
    </row>
    <row r="46" ht="14.25" customHeight="1">
      <c r="B46" s="66">
        <f>IF(ROWS($1:34)&lt;=Nper,ROWS($1:34),"")</f>
        <v>34</v>
      </c>
      <c r="C46" s="67">
        <f>IF($B46="","",IF($E$7="Weekly",Start_Date+7*(ROWS($1:34)-1),EDATE(Start_Date,VLOOKUP(IF(ASTemp!$E$7="","Monthly",ASTemp!$E$7),Parameters!$B$3:$D$6,3,0)*(ROWS($1:34)-1))))</f>
        <v>42508</v>
      </c>
      <c r="D46" s="68">
        <f t="shared" si="2"/>
        <v>2016</v>
      </c>
      <c r="E46" s="65" t="str">
        <f>IF($B46="","",VLOOKUP(MONTH(C46),Parameters!$F$2:$G$13,2,0))</f>
        <v>May</v>
      </c>
      <c r="F46" s="65">
        <f>IF($B46="","",PV-N(J45))</f>
        <v>185595.7553</v>
      </c>
      <c r="G46" s="70">
        <f>IF($B46="","",PMT(Rate,Nper,-PV,,Type))</f>
        <v>9862.393431</v>
      </c>
      <c r="H46" s="70">
        <f>IF($B46="","",PPMT(Rate,ROWS($1:34),Nper,-PV,,Type))</f>
        <v>9683.935974</v>
      </c>
      <c r="I46" s="70">
        <f>IF($B46="","",IPMT(Rate,ROWS($1:34),Nper,-PV,,Type))</f>
        <v>178.457457</v>
      </c>
      <c r="J46" s="73">
        <f t="shared" ref="J46:K46" si="36">IF($B46="","",N(J45)+N(H46))</f>
        <v>324088.1807</v>
      </c>
      <c r="K46" s="74">
        <f t="shared" si="36"/>
        <v>11233.19597</v>
      </c>
      <c r="L46" s="65">
        <f>IF($B46="","",PV-J46)</f>
        <v>175911.8193</v>
      </c>
      <c r="M46" s="71">
        <f>IF($B46="","",J46/PV)</f>
        <v>0.6481763613</v>
      </c>
      <c r="N46" s="72">
        <f t="shared" si="4"/>
        <v>0.3518236387</v>
      </c>
    </row>
    <row r="47" ht="14.25" customHeight="1">
      <c r="B47" s="66">
        <f>IF(ROWS($1:35)&lt;=Nper,ROWS($1:35),"")</f>
        <v>35</v>
      </c>
      <c r="C47" s="67">
        <f>IF($B47="","",IF($E$7="Weekly",Start_Date+7*(ROWS($1:35)-1),EDATE(Start_Date,VLOOKUP(IF(ASTemp!$E$7="","Monthly",ASTemp!$E$7),Parameters!$B$3:$D$6,3,0)*(ROWS($1:35)-1))))</f>
        <v>42515</v>
      </c>
      <c r="D47" s="68">
        <f t="shared" si="2"/>
        <v>2016</v>
      </c>
      <c r="E47" s="65" t="str">
        <f>IF($B47="","",VLOOKUP(MONTH(C47),Parameters!$F$2:$G$13,2,0))</f>
        <v>May</v>
      </c>
      <c r="F47" s="65">
        <f>IF($B47="","",PV-N(J46))</f>
        <v>175911.8193</v>
      </c>
      <c r="G47" s="70">
        <f>IF($B47="","",PMT(Rate,Nper,-PV,,Type))</f>
        <v>9862.393431</v>
      </c>
      <c r="H47" s="70">
        <f>IF($B47="","",PPMT(Rate,ROWS($1:35),Nper,-PV,,Type))</f>
        <v>9693.247451</v>
      </c>
      <c r="I47" s="70">
        <f>IF($B47="","",IPMT(Rate,ROWS($1:35),Nper,-PV,,Type))</f>
        <v>169.1459801</v>
      </c>
      <c r="J47" s="73">
        <f t="shared" ref="J47:K47" si="37">IF($B47="","",N(J46)+N(H47))</f>
        <v>333781.4281</v>
      </c>
      <c r="K47" s="74">
        <f t="shared" si="37"/>
        <v>11402.34195</v>
      </c>
      <c r="L47" s="65">
        <f>IF($B47="","",PV-J47)</f>
        <v>166218.5719</v>
      </c>
      <c r="M47" s="71">
        <f>IF($B47="","",J47/PV)</f>
        <v>0.6675628562</v>
      </c>
      <c r="N47" s="72">
        <f t="shared" si="4"/>
        <v>0.3324371438</v>
      </c>
    </row>
    <row r="48" ht="14.25" customHeight="1">
      <c r="B48" s="66">
        <f>IF(ROWS($1:36)&lt;=Nper,ROWS($1:36),"")</f>
        <v>36</v>
      </c>
      <c r="C48" s="67">
        <f>IF($B48="","",IF($E$7="Weekly",Start_Date+7*(ROWS($1:36)-1),EDATE(Start_Date,VLOOKUP(IF(ASTemp!$E$7="","Monthly",ASTemp!$E$7),Parameters!$B$3:$D$6,3,0)*(ROWS($1:36)-1))))</f>
        <v>42522</v>
      </c>
      <c r="D48" s="68">
        <f t="shared" si="2"/>
        <v>2016</v>
      </c>
      <c r="E48" s="65" t="str">
        <f>IF($B48="","",VLOOKUP(MONTH(C48),Parameters!$F$2:$G$13,2,0))</f>
        <v>Jun</v>
      </c>
      <c r="F48" s="65">
        <f>IF($B48="","",PV-N(J47))</f>
        <v>166218.5719</v>
      </c>
      <c r="G48" s="70">
        <f>IF($B48="","",PMT(Rate,Nper,-PV,,Type))</f>
        <v>9862.393431</v>
      </c>
      <c r="H48" s="70">
        <f>IF($B48="","",PPMT(Rate,ROWS($1:36),Nper,-PV,,Type))</f>
        <v>9702.567881</v>
      </c>
      <c r="I48" s="70">
        <f>IF($B48="","",IPMT(Rate,ROWS($1:36),Nper,-PV,,Type))</f>
        <v>159.8255499</v>
      </c>
      <c r="J48" s="73">
        <f t="shared" ref="J48:K48" si="38">IF($B48="","",N(J47)+N(H48))</f>
        <v>343483.996</v>
      </c>
      <c r="K48" s="74">
        <f t="shared" si="38"/>
        <v>11562.1675</v>
      </c>
      <c r="L48" s="65">
        <f>IF($B48="","",PV-J48)</f>
        <v>156516.004</v>
      </c>
      <c r="M48" s="71">
        <f>IF($B48="","",J48/PV)</f>
        <v>0.686967992</v>
      </c>
      <c r="N48" s="72">
        <f t="shared" si="4"/>
        <v>0.313032008</v>
      </c>
    </row>
    <row r="49" ht="14.25" customHeight="1">
      <c r="B49" s="66">
        <f>IF(ROWS($1:37)&lt;=Nper,ROWS($1:37),"")</f>
        <v>37</v>
      </c>
      <c r="C49" s="67">
        <f>IF($B49="","",IF($E$7="Weekly",Start_Date+7*(ROWS($1:37)-1),EDATE(Start_Date,VLOOKUP(IF(ASTemp!$E$7="","Monthly",ASTemp!$E$7),Parameters!$B$3:$D$6,3,0)*(ROWS($1:37)-1))))</f>
        <v>42529</v>
      </c>
      <c r="D49" s="68">
        <f t="shared" si="2"/>
        <v>2016</v>
      </c>
      <c r="E49" s="65" t="str">
        <f>IF($B49="","",VLOOKUP(MONTH(C49),Parameters!$F$2:$G$13,2,0))</f>
        <v>Jun</v>
      </c>
      <c r="F49" s="65">
        <f>IF($B49="","",PV-N(J48))</f>
        <v>156516.004</v>
      </c>
      <c r="G49" s="70">
        <f>IF($B49="","",PMT(Rate,Nper,-PV,,Type))</f>
        <v>9862.393431</v>
      </c>
      <c r="H49" s="70">
        <f>IF($B49="","",PPMT(Rate,ROWS($1:37),Nper,-PV,,Type))</f>
        <v>9711.897273</v>
      </c>
      <c r="I49" s="70">
        <f>IF($B49="","",IPMT(Rate,ROWS($1:37),Nper,-PV,,Type))</f>
        <v>150.4961577</v>
      </c>
      <c r="J49" s="73">
        <f t="shared" ref="J49:K49" si="39">IF($B49="","",N(J48)+N(H49))</f>
        <v>353195.8933</v>
      </c>
      <c r="K49" s="74">
        <f t="shared" si="39"/>
        <v>11712.66366</v>
      </c>
      <c r="L49" s="65">
        <f>IF($B49="","",PV-J49)</f>
        <v>146804.1067</v>
      </c>
      <c r="M49" s="71">
        <f>IF($B49="","",J49/PV)</f>
        <v>0.7063917865</v>
      </c>
      <c r="N49" s="72">
        <f t="shared" si="4"/>
        <v>0.2936082135</v>
      </c>
    </row>
    <row r="50" ht="14.25" customHeight="1">
      <c r="B50" s="66">
        <f>IF(ROWS($1:38)&lt;=Nper,ROWS($1:38),"")</f>
        <v>38</v>
      </c>
      <c r="C50" s="67">
        <f>IF($B50="","",IF($E$7="Weekly",Start_Date+7*(ROWS($1:38)-1),EDATE(Start_Date,VLOOKUP(IF(ASTemp!$E$7="","Monthly",ASTemp!$E$7),Parameters!$B$3:$D$6,3,0)*(ROWS($1:38)-1))))</f>
        <v>42536</v>
      </c>
      <c r="D50" s="68">
        <f t="shared" si="2"/>
        <v>2016</v>
      </c>
      <c r="E50" s="65" t="str">
        <f>IF($B50="","",VLOOKUP(MONTH(C50),Parameters!$F$2:$G$13,2,0))</f>
        <v>Jun</v>
      </c>
      <c r="F50" s="65">
        <f>IF($B50="","",PV-N(J49))</f>
        <v>146804.1067</v>
      </c>
      <c r="G50" s="70">
        <f>IF($B50="","",PMT(Rate,Nper,-PV,,Type))</f>
        <v>9862.393431</v>
      </c>
      <c r="H50" s="70">
        <f>IF($B50="","",PPMT(Rate,ROWS($1:38),Nper,-PV,,Type))</f>
        <v>9721.235636</v>
      </c>
      <c r="I50" s="70">
        <f>IF($B50="","",IPMT(Rate,ROWS($1:38),Nper,-PV,,Type))</f>
        <v>141.1577949</v>
      </c>
      <c r="J50" s="73">
        <f t="shared" ref="J50:K50" si="40">IF($B50="","",N(J49)+N(H50))</f>
        <v>362917.1289</v>
      </c>
      <c r="K50" s="74">
        <f t="shared" si="40"/>
        <v>11853.82146</v>
      </c>
      <c r="L50" s="65">
        <f>IF($B50="","",PV-J50)</f>
        <v>137082.8711</v>
      </c>
      <c r="M50" s="71">
        <f>IF($B50="","",J50/PV)</f>
        <v>0.7258342578</v>
      </c>
      <c r="N50" s="72">
        <f t="shared" si="4"/>
        <v>0.2741657422</v>
      </c>
    </row>
    <row r="51" ht="14.25" customHeight="1">
      <c r="B51" s="66">
        <f>IF(ROWS($1:39)&lt;=Nper,ROWS($1:39),"")</f>
        <v>39</v>
      </c>
      <c r="C51" s="67">
        <f>IF($B51="","",IF($E$7="Weekly",Start_Date+7*(ROWS($1:39)-1),EDATE(Start_Date,VLOOKUP(IF(ASTemp!$E$7="","Monthly",ASTemp!$E$7),Parameters!$B$3:$D$6,3,0)*(ROWS($1:39)-1))))</f>
        <v>42543</v>
      </c>
      <c r="D51" s="68">
        <f t="shared" si="2"/>
        <v>2016</v>
      </c>
      <c r="E51" s="65" t="str">
        <f>IF($B51="","",VLOOKUP(MONTH(C51),Parameters!$F$2:$G$13,2,0))</f>
        <v>Jun</v>
      </c>
      <c r="F51" s="65">
        <f>IF($B51="","",PV-N(J50))</f>
        <v>137082.8711</v>
      </c>
      <c r="G51" s="70">
        <f>IF($B51="","",PMT(Rate,Nper,-PV,,Type))</f>
        <v>9862.393431</v>
      </c>
      <c r="H51" s="70">
        <f>IF($B51="","",PPMT(Rate,ROWS($1:39),Nper,-PV,,Type))</f>
        <v>9730.582978</v>
      </c>
      <c r="I51" s="70">
        <f>IF($B51="","",IPMT(Rate,ROWS($1:39),Nper,-PV,,Type))</f>
        <v>131.810453</v>
      </c>
      <c r="J51" s="73">
        <f t="shared" ref="J51:K51" si="41">IF($B51="","",N(J50)+N(H51))</f>
        <v>372647.7119</v>
      </c>
      <c r="K51" s="74">
        <f t="shared" si="41"/>
        <v>11985.63191</v>
      </c>
      <c r="L51" s="65">
        <f>IF($B51="","",PV-J51)</f>
        <v>127352.2881</v>
      </c>
      <c r="M51" s="71">
        <f>IF($B51="","",J51/PV)</f>
        <v>0.7452954238</v>
      </c>
      <c r="N51" s="72">
        <f t="shared" si="4"/>
        <v>0.2547045762</v>
      </c>
    </row>
    <row r="52" ht="14.25" customHeight="1">
      <c r="B52" s="66">
        <f>IF(ROWS($1:40)&lt;=Nper,ROWS($1:40),"")</f>
        <v>40</v>
      </c>
      <c r="C52" s="67">
        <f>IF($B52="","",IF($E$7="Weekly",Start_Date+7*(ROWS($1:40)-1),EDATE(Start_Date,VLOOKUP(IF(ASTemp!$E$7="","Monthly",ASTemp!$E$7),Parameters!$B$3:$D$6,3,0)*(ROWS($1:40)-1))))</f>
        <v>42550</v>
      </c>
      <c r="D52" s="68">
        <f t="shared" si="2"/>
        <v>2016</v>
      </c>
      <c r="E52" s="65" t="str">
        <f>IF($B52="","",VLOOKUP(MONTH(C52),Parameters!$F$2:$G$13,2,0))</f>
        <v>Jun</v>
      </c>
      <c r="F52" s="65">
        <f>IF($B52="","",PV-N(J51))</f>
        <v>127352.2881</v>
      </c>
      <c r="G52" s="70">
        <f>IF($B52="","",PMT(Rate,Nper,-PV,,Type))</f>
        <v>9862.393431</v>
      </c>
      <c r="H52" s="70">
        <f>IF($B52="","",PPMT(Rate,ROWS($1:40),Nper,-PV,,Type))</f>
        <v>9739.939307</v>
      </c>
      <c r="I52" s="70">
        <f>IF($B52="","",IPMT(Rate,ROWS($1:40),Nper,-PV,,Type))</f>
        <v>122.4541232</v>
      </c>
      <c r="J52" s="73">
        <f t="shared" ref="J52:K52" si="42">IF($B52="","",N(J51)+N(H52))</f>
        <v>382387.6512</v>
      </c>
      <c r="K52" s="74">
        <f t="shared" si="42"/>
        <v>12108.08603</v>
      </c>
      <c r="L52" s="65">
        <f>IF($B52="","",PV-J52)</f>
        <v>117612.3488</v>
      </c>
      <c r="M52" s="71">
        <f>IF($B52="","",J52/PV)</f>
        <v>0.7647753024</v>
      </c>
      <c r="N52" s="72">
        <f t="shared" si="4"/>
        <v>0.2352246976</v>
      </c>
    </row>
    <row r="53" ht="14.25" customHeight="1">
      <c r="B53" s="66">
        <f>IF(ROWS($1:41)&lt;=Nper,ROWS($1:41),"")</f>
        <v>41</v>
      </c>
      <c r="C53" s="67">
        <f>IF($B53="","",IF($E$7="Weekly",Start_Date+7*(ROWS($1:41)-1),EDATE(Start_Date,VLOOKUP(IF(ASTemp!$E$7="","Monthly",ASTemp!$E$7),Parameters!$B$3:$D$6,3,0)*(ROWS($1:41)-1))))</f>
        <v>42557</v>
      </c>
      <c r="D53" s="68">
        <f t="shared" si="2"/>
        <v>2016</v>
      </c>
      <c r="E53" s="65" t="str">
        <f>IF($B53="","",VLOOKUP(MONTH(C53),Parameters!$F$2:$G$13,2,0))</f>
        <v>Jul</v>
      </c>
      <c r="F53" s="65">
        <f>IF($B53="","",PV-N(J52))</f>
        <v>117612.3488</v>
      </c>
      <c r="G53" s="70">
        <f>IF($B53="","",PMT(Rate,Nper,-PV,,Type))</f>
        <v>9862.393431</v>
      </c>
      <c r="H53" s="70">
        <f>IF($B53="","",PPMT(Rate,ROWS($1:41),Nper,-PV,,Type))</f>
        <v>9749.304634</v>
      </c>
      <c r="I53" s="70">
        <f>IF($B53="","",IPMT(Rate,ROWS($1:41),Nper,-PV,,Type))</f>
        <v>113.0887969</v>
      </c>
      <c r="J53" s="73">
        <f t="shared" ref="J53:K53" si="43">IF($B53="","",N(J52)+N(H53))</f>
        <v>392136.9558</v>
      </c>
      <c r="K53" s="74">
        <f t="shared" si="43"/>
        <v>12221.17483</v>
      </c>
      <c r="L53" s="65">
        <f>IF($B53="","",PV-J53)</f>
        <v>107863.0442</v>
      </c>
      <c r="M53" s="71">
        <f>IF($B53="","",J53/PV)</f>
        <v>0.7842739117</v>
      </c>
      <c r="N53" s="72">
        <f t="shared" si="4"/>
        <v>0.2157260883</v>
      </c>
    </row>
    <row r="54" ht="14.25" customHeight="1">
      <c r="B54" s="66">
        <f>IF(ROWS($1:42)&lt;=Nper,ROWS($1:42),"")</f>
        <v>42</v>
      </c>
      <c r="C54" s="67">
        <f>IF($B54="","",IF($E$7="Weekly",Start_Date+7*(ROWS($1:42)-1),EDATE(Start_Date,VLOOKUP(IF(ASTemp!$E$7="","Monthly",ASTemp!$E$7),Parameters!$B$3:$D$6,3,0)*(ROWS($1:42)-1))))</f>
        <v>42564</v>
      </c>
      <c r="D54" s="68">
        <f t="shared" si="2"/>
        <v>2016</v>
      </c>
      <c r="E54" s="65" t="str">
        <f>IF($B54="","",VLOOKUP(MONTH(C54),Parameters!$F$2:$G$13,2,0))</f>
        <v>Jul</v>
      </c>
      <c r="F54" s="65">
        <f>IF($B54="","",PV-N(J53))</f>
        <v>107863.0442</v>
      </c>
      <c r="G54" s="70">
        <f>IF($B54="","",PMT(Rate,Nper,-PV,,Type))</f>
        <v>9862.393431</v>
      </c>
      <c r="H54" s="70">
        <f>IF($B54="","",PPMT(Rate,ROWS($1:42),Nper,-PV,,Type))</f>
        <v>9758.678965</v>
      </c>
      <c r="I54" s="70">
        <f>IF($B54="","",IPMT(Rate,ROWS($1:42),Nper,-PV,,Type))</f>
        <v>103.7144655</v>
      </c>
      <c r="J54" s="73">
        <f t="shared" ref="J54:K54" si="44">IF($B54="","",N(J53)+N(H54))</f>
        <v>401895.6348</v>
      </c>
      <c r="K54" s="74">
        <f t="shared" si="44"/>
        <v>12324.88929</v>
      </c>
      <c r="L54" s="65">
        <f>IF($B54="","",PV-J54)</f>
        <v>98104.36521</v>
      </c>
      <c r="M54" s="71">
        <f>IF($B54="","",J54/PV)</f>
        <v>0.8037912696</v>
      </c>
      <c r="N54" s="72">
        <f t="shared" si="4"/>
        <v>0.1962087304</v>
      </c>
    </row>
    <row r="55" ht="14.25" customHeight="1">
      <c r="B55" s="66">
        <f>IF(ROWS($1:43)&lt;=Nper,ROWS($1:43),"")</f>
        <v>43</v>
      </c>
      <c r="C55" s="67">
        <f>IF($B55="","",IF($E$7="Weekly",Start_Date+7*(ROWS($1:43)-1),EDATE(Start_Date,VLOOKUP(IF(ASTemp!$E$7="","Monthly",ASTemp!$E$7),Parameters!$B$3:$D$6,3,0)*(ROWS($1:43)-1))))</f>
        <v>42571</v>
      </c>
      <c r="D55" s="68">
        <f t="shared" si="2"/>
        <v>2016</v>
      </c>
      <c r="E55" s="65" t="str">
        <f>IF($B55="","",VLOOKUP(MONTH(C55),Parameters!$F$2:$G$13,2,0))</f>
        <v>Jul</v>
      </c>
      <c r="F55" s="65">
        <f>IF($B55="","",PV-N(J54))</f>
        <v>98104.36521</v>
      </c>
      <c r="G55" s="70">
        <f>IF($B55="","",PMT(Rate,Nper,-PV,,Type))</f>
        <v>9862.393431</v>
      </c>
      <c r="H55" s="70">
        <f>IF($B55="","",PPMT(Rate,ROWS($1:43),Nper,-PV,,Type))</f>
        <v>9768.06231</v>
      </c>
      <c r="I55" s="70">
        <f>IF($B55="","",IPMT(Rate,ROWS($1:43),Nper,-PV,,Type))</f>
        <v>94.33112039</v>
      </c>
      <c r="J55" s="73">
        <f t="shared" ref="J55:K55" si="45">IF($B55="","",N(J54)+N(H55))</f>
        <v>411663.6971</v>
      </c>
      <c r="K55" s="74">
        <f t="shared" si="45"/>
        <v>12419.22041</v>
      </c>
      <c r="L55" s="65">
        <f>IF($B55="","",PV-J55)</f>
        <v>88336.3029</v>
      </c>
      <c r="M55" s="71">
        <f>IF($B55="","",J55/PV)</f>
        <v>0.8233273942</v>
      </c>
      <c r="N55" s="72">
        <f t="shared" si="4"/>
        <v>0.1766726058</v>
      </c>
    </row>
    <row r="56" ht="14.25" customHeight="1">
      <c r="B56" s="66">
        <f>IF(ROWS($1:44)&lt;=Nper,ROWS($1:44),"")</f>
        <v>44</v>
      </c>
      <c r="C56" s="67">
        <f>IF($B56="","",IF($E$7="Weekly",Start_Date+7*(ROWS($1:44)-1),EDATE(Start_Date,VLOOKUP(IF(ASTemp!$E$7="","Monthly",ASTemp!$E$7),Parameters!$B$3:$D$6,3,0)*(ROWS($1:44)-1))))</f>
        <v>42578</v>
      </c>
      <c r="D56" s="68">
        <f t="shared" si="2"/>
        <v>2016</v>
      </c>
      <c r="E56" s="65" t="str">
        <f>IF($B56="","",VLOOKUP(MONTH(C56),Parameters!$F$2:$G$13,2,0))</f>
        <v>Jul</v>
      </c>
      <c r="F56" s="65">
        <f>IF($B56="","",PV-N(J55))</f>
        <v>88336.3029</v>
      </c>
      <c r="G56" s="70">
        <f>IF($B56="","",PMT(Rate,Nper,-PV,,Type))</f>
        <v>9862.393431</v>
      </c>
      <c r="H56" s="70">
        <f>IF($B56="","",PPMT(Rate,ROWS($1:44),Nper,-PV,,Type))</f>
        <v>9777.454678</v>
      </c>
      <c r="I56" s="70">
        <f>IF($B56="","",IPMT(Rate,ROWS($1:44),Nper,-PV,,Type))</f>
        <v>84.93875278</v>
      </c>
      <c r="J56" s="73">
        <f t="shared" ref="J56:K56" si="46">IF($B56="","",N(J55)+N(H56))</f>
        <v>421441.1518</v>
      </c>
      <c r="K56" s="74">
        <f t="shared" si="46"/>
        <v>12504.15917</v>
      </c>
      <c r="L56" s="65">
        <f>IF($B56="","",PV-J56)</f>
        <v>78558.84822</v>
      </c>
      <c r="M56" s="71">
        <f>IF($B56="","",J56/PV)</f>
        <v>0.8428823036</v>
      </c>
      <c r="N56" s="72">
        <f t="shared" si="4"/>
        <v>0.1571176964</v>
      </c>
    </row>
    <row r="57" ht="14.25" customHeight="1">
      <c r="B57" s="66">
        <f>IF(ROWS($1:45)&lt;=Nper,ROWS($1:45),"")</f>
        <v>45</v>
      </c>
      <c r="C57" s="67">
        <f>IF($B57="","",IF($E$7="Weekly",Start_Date+7*(ROWS($1:45)-1),EDATE(Start_Date,VLOOKUP(IF(ASTemp!$E$7="","Monthly",ASTemp!$E$7),Parameters!$B$3:$D$6,3,0)*(ROWS($1:45)-1))))</f>
        <v>42585</v>
      </c>
      <c r="D57" s="68">
        <f t="shared" si="2"/>
        <v>2016</v>
      </c>
      <c r="E57" s="65" t="str">
        <f>IF($B57="","",VLOOKUP(MONTH(C57),Parameters!$F$2:$G$13,2,0))</f>
        <v>Aug</v>
      </c>
      <c r="F57" s="65">
        <f>IF($B57="","",PV-N(J56))</f>
        <v>78558.84822</v>
      </c>
      <c r="G57" s="70">
        <f>IF($B57="","",PMT(Rate,Nper,-PV,,Type))</f>
        <v>9862.393431</v>
      </c>
      <c r="H57" s="70">
        <f>IF($B57="","",PPMT(Rate,ROWS($1:45),Nper,-PV,,Type))</f>
        <v>9786.856077</v>
      </c>
      <c r="I57" s="70">
        <f>IF($B57="","",IPMT(Rate,ROWS($1:45),Nper,-PV,,Type))</f>
        <v>75.53735406</v>
      </c>
      <c r="J57" s="73">
        <f t="shared" ref="J57:K57" si="47">IF($B57="","",N(J56)+N(H57))</f>
        <v>431228.0079</v>
      </c>
      <c r="K57" s="74">
        <f t="shared" si="47"/>
        <v>12579.69652</v>
      </c>
      <c r="L57" s="65">
        <f>IF($B57="","",PV-J57)</f>
        <v>68771.99214</v>
      </c>
      <c r="M57" s="71">
        <f>IF($B57="","",J57/PV)</f>
        <v>0.8624560157</v>
      </c>
      <c r="N57" s="72">
        <f t="shared" si="4"/>
        <v>0.1375439843</v>
      </c>
    </row>
    <row r="58" ht="14.25" customHeight="1">
      <c r="B58" s="66">
        <f>IF(ROWS($1:46)&lt;=Nper,ROWS($1:46),"")</f>
        <v>46</v>
      </c>
      <c r="C58" s="67">
        <f>IF($B58="","",IF($E$7="Weekly",Start_Date+7*(ROWS($1:46)-1),EDATE(Start_Date,VLOOKUP(IF(ASTemp!$E$7="","Monthly",ASTemp!$E$7),Parameters!$B$3:$D$6,3,0)*(ROWS($1:46)-1))))</f>
        <v>42592</v>
      </c>
      <c r="D58" s="68">
        <f t="shared" si="2"/>
        <v>2016</v>
      </c>
      <c r="E58" s="65" t="str">
        <f>IF($B58="","",VLOOKUP(MONTH(C58),Parameters!$F$2:$G$13,2,0))</f>
        <v>Aug</v>
      </c>
      <c r="F58" s="65">
        <f>IF($B58="","",PV-N(J57))</f>
        <v>68771.99214</v>
      </c>
      <c r="G58" s="70">
        <f>IF($B58="","",PMT(Rate,Nper,-PV,,Type))</f>
        <v>9862.393431</v>
      </c>
      <c r="H58" s="70">
        <f>IF($B58="","",PPMT(Rate,ROWS($1:46),Nper,-PV,,Type))</f>
        <v>9796.266515</v>
      </c>
      <c r="I58" s="70">
        <f>IF($B58="","",IPMT(Rate,ROWS($1:46),Nper,-PV,,Type))</f>
        <v>66.12691552</v>
      </c>
      <c r="J58" s="73">
        <f t="shared" ref="J58:K58" si="48">IF($B58="","",N(J57)+N(H58))</f>
        <v>441024.2744</v>
      </c>
      <c r="K58" s="74">
        <f t="shared" si="48"/>
        <v>12645.82344</v>
      </c>
      <c r="L58" s="65">
        <f>IF($B58="","",PV-J58)</f>
        <v>58975.72563</v>
      </c>
      <c r="M58" s="71">
        <f>IF($B58="","",J58/PV)</f>
        <v>0.8820485487</v>
      </c>
      <c r="N58" s="72">
        <f t="shared" si="4"/>
        <v>0.1179514513</v>
      </c>
    </row>
    <row r="59" ht="14.25" customHeight="1">
      <c r="B59" s="66">
        <f>IF(ROWS($1:47)&lt;=Nper,ROWS($1:47),"")</f>
        <v>47</v>
      </c>
      <c r="C59" s="67">
        <f>IF($B59="","",IF($E$7="Weekly",Start_Date+7*(ROWS($1:47)-1),EDATE(Start_Date,VLOOKUP(IF(ASTemp!$E$7="","Monthly",ASTemp!$E$7),Parameters!$B$3:$D$6,3,0)*(ROWS($1:47)-1))))</f>
        <v>42599</v>
      </c>
      <c r="D59" s="68">
        <f t="shared" si="2"/>
        <v>2016</v>
      </c>
      <c r="E59" s="65" t="str">
        <f>IF($B59="","",VLOOKUP(MONTH(C59),Parameters!$F$2:$G$13,2,0))</f>
        <v>Aug</v>
      </c>
      <c r="F59" s="65">
        <f>IF($B59="","",PV-N(J58))</f>
        <v>58975.72563</v>
      </c>
      <c r="G59" s="70">
        <f>IF($B59="","",PMT(Rate,Nper,-PV,,Type))</f>
        <v>9862.393431</v>
      </c>
      <c r="H59" s="70">
        <f>IF($B59="","",PPMT(Rate,ROWS($1:47),Nper,-PV,,Type))</f>
        <v>9805.686002</v>
      </c>
      <c r="I59" s="70">
        <f>IF($B59="","",IPMT(Rate,ROWS($1:47),Nper,-PV,,Type))</f>
        <v>56.70742849</v>
      </c>
      <c r="J59" s="73">
        <f t="shared" ref="J59:K59" si="49">IF($B59="","",N(J58)+N(H59))</f>
        <v>450829.9604</v>
      </c>
      <c r="K59" s="74">
        <f t="shared" si="49"/>
        <v>12702.53087</v>
      </c>
      <c r="L59" s="65">
        <f>IF($B59="","",PV-J59)</f>
        <v>49170.03962</v>
      </c>
      <c r="M59" s="71">
        <f>IF($B59="","",J59/PV)</f>
        <v>0.9016599208</v>
      </c>
      <c r="N59" s="72">
        <f t="shared" si="4"/>
        <v>0.09834007925</v>
      </c>
    </row>
    <row r="60" ht="14.25" customHeight="1">
      <c r="B60" s="66">
        <f>IF(ROWS($1:48)&lt;=Nper,ROWS($1:48),"")</f>
        <v>48</v>
      </c>
      <c r="C60" s="67">
        <f>IF($B60="","",IF($E$7="Weekly",Start_Date+7*(ROWS($1:48)-1),EDATE(Start_Date,VLOOKUP(IF(ASTemp!$E$7="","Monthly",ASTemp!$E$7),Parameters!$B$3:$D$6,3,0)*(ROWS($1:48)-1))))</f>
        <v>42606</v>
      </c>
      <c r="D60" s="68">
        <f t="shared" si="2"/>
        <v>2016</v>
      </c>
      <c r="E60" s="65" t="str">
        <f>IF($B60="","",VLOOKUP(MONTH(C60),Parameters!$F$2:$G$13,2,0))</f>
        <v>Aug</v>
      </c>
      <c r="F60" s="65">
        <f>IF($B60="","",PV-N(J59))</f>
        <v>49170.03962</v>
      </c>
      <c r="G60" s="70">
        <f>IF($B60="","",PMT(Rate,Nper,-PV,,Type))</f>
        <v>9862.393431</v>
      </c>
      <c r="H60" s="70">
        <f>IF($B60="","",PPMT(Rate,ROWS($1:48),Nper,-PV,,Type))</f>
        <v>9815.114546</v>
      </c>
      <c r="I60" s="70">
        <f>IF($B60="","",IPMT(Rate,ROWS($1:48),Nper,-PV,,Type))</f>
        <v>47.27888425</v>
      </c>
      <c r="J60" s="73">
        <f t="shared" ref="J60:K60" si="50">IF($B60="","",N(J59)+N(H60))</f>
        <v>460645.0749</v>
      </c>
      <c r="K60" s="74">
        <f t="shared" si="50"/>
        <v>12749.80975</v>
      </c>
      <c r="L60" s="65">
        <f>IF($B60="","",PV-J60)</f>
        <v>39354.92508</v>
      </c>
      <c r="M60" s="71">
        <f>IF($B60="","",J60/PV)</f>
        <v>0.9212901498</v>
      </c>
      <c r="N60" s="72">
        <f t="shared" si="4"/>
        <v>0.07870985015</v>
      </c>
    </row>
    <row r="61" ht="14.25" customHeight="1">
      <c r="B61" s="66">
        <f>IF(ROWS($1:49)&lt;=Nper,ROWS($1:49),"")</f>
        <v>49</v>
      </c>
      <c r="C61" s="67">
        <f>IF($B61="","",IF($E$7="Weekly",Start_Date+7*(ROWS($1:49)-1),EDATE(Start_Date,VLOOKUP(IF(ASTemp!$E$7="","Monthly",ASTemp!$E$7),Parameters!$B$3:$D$6,3,0)*(ROWS($1:49)-1))))</f>
        <v>42613</v>
      </c>
      <c r="D61" s="68">
        <f t="shared" si="2"/>
        <v>2016</v>
      </c>
      <c r="E61" s="65" t="str">
        <f>IF($B61="","",VLOOKUP(MONTH(C61),Parameters!$F$2:$G$13,2,0))</f>
        <v>Aug</v>
      </c>
      <c r="F61" s="65">
        <f>IF($B61="","",PV-N(J60))</f>
        <v>39354.92508</v>
      </c>
      <c r="G61" s="70">
        <f>IF($B61="","",PMT(Rate,Nper,-PV,,Type))</f>
        <v>9862.393431</v>
      </c>
      <c r="H61" s="70">
        <f>IF($B61="","",PPMT(Rate,ROWS($1:49),Nper,-PV,,Type))</f>
        <v>9824.552157</v>
      </c>
      <c r="I61" s="70">
        <f>IF($B61="","",IPMT(Rate,ROWS($1:49),Nper,-PV,,Type))</f>
        <v>37.84127411</v>
      </c>
      <c r="J61" s="73">
        <f t="shared" ref="J61:K61" si="51">IF($B61="","",N(J60)+N(H61))</f>
        <v>470469.6271</v>
      </c>
      <c r="K61" s="74">
        <f t="shared" si="51"/>
        <v>12787.65102</v>
      </c>
      <c r="L61" s="65">
        <f>IF($B61="","",PV-J61)</f>
        <v>29530.37292</v>
      </c>
      <c r="M61" s="71">
        <f>IF($B61="","",J61/PV)</f>
        <v>0.9409392542</v>
      </c>
      <c r="N61" s="72">
        <f t="shared" si="4"/>
        <v>0.05906074584</v>
      </c>
    </row>
    <row r="62" ht="14.25" customHeight="1">
      <c r="B62" s="66">
        <f>IF(ROWS($1:50)&lt;=Nper,ROWS($1:50),"")</f>
        <v>50</v>
      </c>
      <c r="C62" s="67">
        <f>IF($B62="","",IF($E$7="Weekly",Start_Date+7*(ROWS($1:50)-1),EDATE(Start_Date,VLOOKUP(IF(ASTemp!$E$7="","Monthly",ASTemp!$E$7),Parameters!$B$3:$D$6,3,0)*(ROWS($1:50)-1))))</f>
        <v>42620</v>
      </c>
      <c r="D62" s="68">
        <f t="shared" si="2"/>
        <v>2016</v>
      </c>
      <c r="E62" s="65" t="str">
        <f>IF($B62="","",VLOOKUP(MONTH(C62),Parameters!$F$2:$G$13,2,0))</f>
        <v>Sep</v>
      </c>
      <c r="F62" s="65">
        <f>IF($B62="","",PV-N(J61))</f>
        <v>29530.37292</v>
      </c>
      <c r="G62" s="70">
        <f>IF($B62="","",PMT(Rate,Nper,-PV,,Type))</f>
        <v>9862.393431</v>
      </c>
      <c r="H62" s="70">
        <f>IF($B62="","",PPMT(Rate,ROWS($1:50),Nper,-PV,,Type))</f>
        <v>9833.998841</v>
      </c>
      <c r="I62" s="70">
        <f>IF($B62="","",IPMT(Rate,ROWS($1:50),Nper,-PV,,Type))</f>
        <v>28.39458935</v>
      </c>
      <c r="J62" s="73">
        <f t="shared" ref="J62:K62" si="52">IF($B62="","",N(J61)+N(H62))</f>
        <v>480303.6259</v>
      </c>
      <c r="K62" s="74">
        <f t="shared" si="52"/>
        <v>12816.04561</v>
      </c>
      <c r="L62" s="65">
        <f>IF($B62="","",PV-J62)</f>
        <v>19696.37408</v>
      </c>
      <c r="M62" s="71">
        <f>IF($B62="","",J62/PV)</f>
        <v>0.9606072518</v>
      </c>
      <c r="N62" s="72">
        <f t="shared" si="4"/>
        <v>0.03939274816</v>
      </c>
    </row>
    <row r="63" ht="14.25" customHeight="1">
      <c r="B63" s="66">
        <f>IF(ROWS($1:51)&lt;=Nper,ROWS($1:51),"")</f>
        <v>51</v>
      </c>
      <c r="C63" s="67">
        <f>IF($B63="","",IF($E$7="Weekly",Start_Date+7*(ROWS($1:51)-1),EDATE(Start_Date,VLOOKUP(IF(ASTemp!$E$7="","Monthly",ASTemp!$E$7),Parameters!$B$3:$D$6,3,0)*(ROWS($1:51)-1))))</f>
        <v>42627</v>
      </c>
      <c r="D63" s="68">
        <f t="shared" si="2"/>
        <v>2016</v>
      </c>
      <c r="E63" s="65" t="str">
        <f>IF($B63="","",VLOOKUP(MONTH(C63),Parameters!$F$2:$G$13,2,0))</f>
        <v>Sep</v>
      </c>
      <c r="F63" s="65">
        <f>IF($B63="","",PV-N(J62))</f>
        <v>19696.37408</v>
      </c>
      <c r="G63" s="70">
        <f>IF($B63="","",PMT(Rate,Nper,-PV,,Type))</f>
        <v>9862.393431</v>
      </c>
      <c r="H63" s="70">
        <f>IF($B63="","",PPMT(Rate,ROWS($1:51),Nper,-PV,,Type))</f>
        <v>9843.454609</v>
      </c>
      <c r="I63" s="70">
        <f>IF($B63="","",IPMT(Rate,ROWS($1:51),Nper,-PV,,Type))</f>
        <v>18.93882123</v>
      </c>
      <c r="J63" s="73">
        <f t="shared" ref="J63:K63" si="53">IF($B63="","",N(J62)+N(H63))</f>
        <v>490147.0805</v>
      </c>
      <c r="K63" s="74">
        <f t="shared" si="53"/>
        <v>12834.98443</v>
      </c>
      <c r="L63" s="65">
        <f>IF($B63="","",PV-J63)</f>
        <v>9852.91947</v>
      </c>
      <c r="M63" s="71">
        <f>IF($B63="","",J63/PV)</f>
        <v>0.9802941611</v>
      </c>
      <c r="N63" s="72">
        <f t="shared" si="4"/>
        <v>0.01970583894</v>
      </c>
    </row>
    <row r="64" ht="14.25" customHeight="1">
      <c r="B64" s="66">
        <f>IF(ROWS($1:52)&lt;=Nper,ROWS($1:52),"")</f>
        <v>52</v>
      </c>
      <c r="C64" s="67">
        <f>IF($B64="","",IF($E$7="Weekly",Start_Date+7*(ROWS($1:52)-1),EDATE(Start_Date,VLOOKUP(IF(ASTemp!$E$7="","Monthly",ASTemp!$E$7),Parameters!$B$3:$D$6,3,0)*(ROWS($1:52)-1))))</f>
        <v>42634</v>
      </c>
      <c r="D64" s="68">
        <f t="shared" si="2"/>
        <v>2016</v>
      </c>
      <c r="E64" s="65" t="str">
        <f>IF($B64="","",VLOOKUP(MONTH(C64),Parameters!$F$2:$G$13,2,0))</f>
        <v>Sep</v>
      </c>
      <c r="F64" s="65">
        <f>IF($B64="","",PV-N(J63))</f>
        <v>9852.91947</v>
      </c>
      <c r="G64" s="70">
        <f>IF($B64="","",PMT(Rate,Nper,-PV,,Type))</f>
        <v>9862.393431</v>
      </c>
      <c r="H64" s="70">
        <f>IF($B64="","",PPMT(Rate,ROWS($1:52),Nper,-PV,,Type))</f>
        <v>9852.91947</v>
      </c>
      <c r="I64" s="70">
        <f>IF($B64="","",IPMT(Rate,ROWS($1:52),Nper,-PV,,Type))</f>
        <v>9.473961029</v>
      </c>
      <c r="J64" s="73">
        <f t="shared" ref="J64:K64" si="54">IF($B64="","",N(J63)+N(H64))</f>
        <v>500000</v>
      </c>
      <c r="K64" s="74">
        <f t="shared" si="54"/>
        <v>12844.4584</v>
      </c>
      <c r="L64" s="65">
        <f>IF($B64="","",PV-J64)</f>
        <v>-0.000000001455191523</v>
      </c>
      <c r="M64" s="71">
        <f>IF($B64="","",J64/PV)</f>
        <v>1</v>
      </c>
      <c r="N64" s="72">
        <f t="shared" si="4"/>
        <v>0</v>
      </c>
    </row>
    <row r="65" ht="14.25" customHeight="1">
      <c r="B65" s="66" t="str">
        <f>IF(ROWS($1:53)&lt;=Nper,ROWS($1:53),"")</f>
        <v/>
      </c>
      <c r="C65" s="67" t="str">
        <f>IF($B65="","",IF($E$7="Weekly",Start_Date+7*(ROWS($1:53)-1),EDATE(Start_Date,VLOOKUP(IF(ASTemp!$E$7="","Monthly",ASTemp!$E$7),Parameters!$B$3:$D$6,3,0)*(ROWS($1:53)-1))))</f>
        <v/>
      </c>
      <c r="D65" s="68" t="str">
        <f t="shared" si="2"/>
        <v/>
      </c>
      <c r="E65" s="65" t="str">
        <f>IF($B65="","",VLOOKUP(MONTH(C65),Parameters!$F$2:$G$13,2,0))</f>
        <v/>
      </c>
      <c r="F65" s="69" t="str">
        <f>IF($B65="","",PV-N(J64))</f>
        <v/>
      </c>
      <c r="G65" s="69" t="str">
        <f>IF($B65="","",PMT(Rate,Nper,-PV,,Type))</f>
        <v/>
      </c>
      <c r="H65" s="69" t="str">
        <f>IF($B65="","",PPMT(Rate,ROWS($1:53),Nper,-PV,,Type))</f>
        <v/>
      </c>
      <c r="I65" s="69" t="str">
        <f>IF($B65="","",IPMT(Rate,ROWS($1:53),Nper,-PV,,Type))</f>
        <v/>
      </c>
      <c r="J65" s="73" t="str">
        <f t="shared" ref="J65:K65" si="55">IF($B65="","",N(J64)+N(H65))</f>
        <v/>
      </c>
      <c r="K65" s="74" t="str">
        <f t="shared" si="55"/>
        <v/>
      </c>
      <c r="L65" s="69" t="str">
        <f>IF($B65="","",PV-J65)</f>
        <v/>
      </c>
      <c r="M65" s="71" t="str">
        <f>IF($B65="","",J65/PV)</f>
        <v/>
      </c>
      <c r="N65" s="72" t="str">
        <f t="shared" si="4"/>
        <v/>
      </c>
    </row>
    <row r="66" ht="14.25" customHeight="1">
      <c r="B66" s="66" t="str">
        <f>IF(ROWS($1:54)&lt;=Nper,ROWS($1:54),"")</f>
        <v/>
      </c>
      <c r="C66" s="67" t="str">
        <f>IF($B66="","",IF($E$7="Weekly",Start_Date+7*(ROWS($1:54)-1),EDATE(Start_Date,VLOOKUP(IF(ASTemp!$E$7="","Monthly",ASTemp!$E$7),Parameters!$B$3:$D$6,3,0)*(ROWS($1:54)-1))))</f>
        <v/>
      </c>
      <c r="D66" s="68" t="str">
        <f t="shared" si="2"/>
        <v/>
      </c>
      <c r="E66" s="65" t="str">
        <f>IF($B66="","",VLOOKUP(MONTH(C66),Parameters!$F$2:$G$13,2,0))</f>
        <v/>
      </c>
      <c r="F66" s="69" t="str">
        <f>IF($B66="","",PV-N(J65))</f>
        <v/>
      </c>
      <c r="G66" s="69" t="str">
        <f>IF($B66="","",PMT(Rate,Nper,-PV,,Type))</f>
        <v/>
      </c>
      <c r="H66" s="69" t="str">
        <f>IF($B66="","",PPMT(Rate,ROWS($1:54),Nper,-PV,,Type))</f>
        <v/>
      </c>
      <c r="I66" s="69" t="str">
        <f>IF($B66="","",IPMT(Rate,ROWS($1:54),Nper,-PV,,Type))</f>
        <v/>
      </c>
      <c r="J66" s="73" t="str">
        <f t="shared" ref="J66:K66" si="56">IF($B66="","",N(J65)+N(H66))</f>
        <v/>
      </c>
      <c r="K66" s="74" t="str">
        <f t="shared" si="56"/>
        <v/>
      </c>
      <c r="L66" s="69" t="str">
        <f>IF($B66="","",PV-J66)</f>
        <v/>
      </c>
      <c r="M66" s="71" t="str">
        <f>IF($B66="","",J66/PV)</f>
        <v/>
      </c>
      <c r="N66" s="72" t="str">
        <f t="shared" si="4"/>
        <v/>
      </c>
    </row>
    <row r="67" ht="14.25" customHeight="1">
      <c r="B67" s="66" t="str">
        <f>IF(ROWS($1:55)&lt;=Nper,ROWS($1:55),"")</f>
        <v/>
      </c>
      <c r="C67" s="67" t="str">
        <f>IF($B67="","",IF($E$7="Weekly",Start_Date+7*(ROWS($1:55)-1),EDATE(Start_Date,VLOOKUP(IF(ASTemp!$E$7="","Monthly",ASTemp!$E$7),Parameters!$B$3:$D$6,3,0)*(ROWS($1:55)-1))))</f>
        <v/>
      </c>
      <c r="D67" s="68" t="str">
        <f t="shared" si="2"/>
        <v/>
      </c>
      <c r="E67" s="65" t="str">
        <f>IF($B67="","",VLOOKUP(MONTH(C67),Parameters!$F$2:$G$13,2,0))</f>
        <v/>
      </c>
      <c r="F67" s="69" t="str">
        <f>IF($B67="","",PV-N(J66))</f>
        <v/>
      </c>
      <c r="G67" s="69" t="str">
        <f>IF($B67="","",PMT(Rate,Nper,-PV,,Type))</f>
        <v/>
      </c>
      <c r="H67" s="69" t="str">
        <f>IF($B67="","",PPMT(Rate,ROWS($1:55),Nper,-PV,,Type))</f>
        <v/>
      </c>
      <c r="I67" s="69" t="str">
        <f>IF($B67="","",IPMT(Rate,ROWS($1:55),Nper,-PV,,Type))</f>
        <v/>
      </c>
      <c r="J67" s="73" t="str">
        <f t="shared" ref="J67:K67" si="57">IF($B67="","",N(J66)+N(H67))</f>
        <v/>
      </c>
      <c r="K67" s="74" t="str">
        <f t="shared" si="57"/>
        <v/>
      </c>
      <c r="L67" s="69" t="str">
        <f>IF($B67="","",PV-J67)</f>
        <v/>
      </c>
      <c r="M67" s="71" t="str">
        <f>IF($B67="","",J67/PV)</f>
        <v/>
      </c>
      <c r="N67" s="72" t="str">
        <f t="shared" si="4"/>
        <v/>
      </c>
    </row>
    <row r="68" ht="14.25" customHeight="1">
      <c r="B68" s="66" t="str">
        <f>IF(ROWS($1:56)&lt;=Nper,ROWS($1:56),"")</f>
        <v/>
      </c>
      <c r="C68" s="67" t="str">
        <f>IF($B68="","",IF($E$7="Weekly",Start_Date+7*(ROWS($1:56)-1),EDATE(Start_Date,VLOOKUP(IF(ASTemp!$E$7="","Monthly",ASTemp!$E$7),Parameters!$B$3:$D$6,3,0)*(ROWS($1:56)-1))))</f>
        <v/>
      </c>
      <c r="D68" s="68" t="str">
        <f t="shared" si="2"/>
        <v/>
      </c>
      <c r="E68" s="65" t="str">
        <f>IF($B68="","",VLOOKUP(MONTH(C68),Parameters!$F$2:$G$13,2,0))</f>
        <v/>
      </c>
      <c r="F68" s="69" t="str">
        <f>IF($B68="","",PV-N(J67))</f>
        <v/>
      </c>
      <c r="G68" s="69" t="str">
        <f>IF($B68="","",PMT(Rate,Nper,-PV,,Type))</f>
        <v/>
      </c>
      <c r="H68" s="69" t="str">
        <f>IF($B68="","",PPMT(Rate,ROWS($1:56),Nper,-PV,,Type))</f>
        <v/>
      </c>
      <c r="I68" s="69" t="str">
        <f>IF($B68="","",IPMT(Rate,ROWS($1:56),Nper,-PV,,Type))</f>
        <v/>
      </c>
      <c r="J68" s="73" t="str">
        <f t="shared" ref="J68:K68" si="58">IF($B68="","",N(J67)+N(H68))</f>
        <v/>
      </c>
      <c r="K68" s="74" t="str">
        <f t="shared" si="58"/>
        <v/>
      </c>
      <c r="L68" s="69" t="str">
        <f>IF($B68="","",PV-J68)</f>
        <v/>
      </c>
      <c r="M68" s="71" t="str">
        <f>IF($B68="","",J68/PV)</f>
        <v/>
      </c>
      <c r="N68" s="72" t="str">
        <f t="shared" si="4"/>
        <v/>
      </c>
    </row>
    <row r="69" ht="14.25" customHeight="1">
      <c r="B69" s="66" t="str">
        <f>IF(ROWS($1:57)&lt;=Nper,ROWS($1:57),"")</f>
        <v/>
      </c>
      <c r="C69" s="67" t="str">
        <f>IF($B69="","",IF($E$7="Weekly",Start_Date+7*(ROWS($1:57)-1),EDATE(Start_Date,VLOOKUP(IF(ASTemp!$E$7="","Monthly",ASTemp!$E$7),Parameters!$B$3:$D$6,3,0)*(ROWS($1:57)-1))))</f>
        <v/>
      </c>
      <c r="D69" s="68" t="str">
        <f t="shared" si="2"/>
        <v/>
      </c>
      <c r="E69" s="65" t="str">
        <f>IF($B69="","",VLOOKUP(MONTH(C69),Parameters!$F$2:$G$13,2,0))</f>
        <v/>
      </c>
      <c r="F69" s="69" t="str">
        <f>IF($B69="","",PV-N(J68))</f>
        <v/>
      </c>
      <c r="G69" s="69" t="str">
        <f>IF($B69="","",PMT(Rate,Nper,-PV,,Type))</f>
        <v/>
      </c>
      <c r="H69" s="69" t="str">
        <f>IF($B69="","",PPMT(Rate,ROWS($1:57),Nper,-PV,,Type))</f>
        <v/>
      </c>
      <c r="I69" s="69" t="str">
        <f>IF($B69="","",IPMT(Rate,ROWS($1:57),Nper,-PV,,Type))</f>
        <v/>
      </c>
      <c r="J69" s="73" t="str">
        <f t="shared" ref="J69:K69" si="59">IF($B69="","",N(J68)+N(H69))</f>
        <v/>
      </c>
      <c r="K69" s="74" t="str">
        <f t="shared" si="59"/>
        <v/>
      </c>
      <c r="L69" s="69" t="str">
        <f>IF($B69="","",PV-J69)</f>
        <v/>
      </c>
      <c r="M69" s="71" t="str">
        <f>IF($B69="","",J69/PV)</f>
        <v/>
      </c>
      <c r="N69" s="72" t="str">
        <f t="shared" si="4"/>
        <v/>
      </c>
    </row>
    <row r="70" ht="14.25" customHeight="1">
      <c r="B70" s="66" t="str">
        <f>IF(ROWS($1:58)&lt;=Nper,ROWS($1:58),"")</f>
        <v/>
      </c>
      <c r="C70" s="67" t="str">
        <f>IF($B70="","",IF($E$7="Weekly",Start_Date+7*(ROWS($1:58)-1),EDATE(Start_Date,VLOOKUP(IF(ASTemp!$E$7="","Monthly",ASTemp!$E$7),Parameters!$B$3:$D$6,3,0)*(ROWS($1:58)-1))))</f>
        <v/>
      </c>
      <c r="D70" s="68" t="str">
        <f t="shared" si="2"/>
        <v/>
      </c>
      <c r="E70" s="65" t="str">
        <f>IF($B70="","",VLOOKUP(MONTH(C70),Parameters!$F$2:$G$13,2,0))</f>
        <v/>
      </c>
      <c r="F70" s="69" t="str">
        <f>IF($B70="","",PV-N(J69))</f>
        <v/>
      </c>
      <c r="G70" s="69" t="str">
        <f>IF($B70="","",PMT(Rate,Nper,-PV,,Type))</f>
        <v/>
      </c>
      <c r="H70" s="69" t="str">
        <f>IF($B70="","",PPMT(Rate,ROWS($1:58),Nper,-PV,,Type))</f>
        <v/>
      </c>
      <c r="I70" s="69" t="str">
        <f>IF($B70="","",IPMT(Rate,ROWS($1:58),Nper,-PV,,Type))</f>
        <v/>
      </c>
      <c r="J70" s="73" t="str">
        <f t="shared" ref="J70:K70" si="60">IF($B70="","",N(J69)+N(H70))</f>
        <v/>
      </c>
      <c r="K70" s="74" t="str">
        <f t="shared" si="60"/>
        <v/>
      </c>
      <c r="L70" s="69" t="str">
        <f>IF($B70="","",PV-J70)</f>
        <v/>
      </c>
      <c r="M70" s="71" t="str">
        <f>IF($B70="","",J70/PV)</f>
        <v/>
      </c>
      <c r="N70" s="72" t="str">
        <f t="shared" si="4"/>
        <v/>
      </c>
    </row>
    <row r="71" ht="14.25" customHeight="1">
      <c r="B71" s="66" t="str">
        <f>IF(ROWS($1:59)&lt;=Nper,ROWS($1:59),"")</f>
        <v/>
      </c>
      <c r="C71" s="67" t="str">
        <f>IF($B71="","",IF($E$7="Weekly",Start_Date+7*(ROWS($1:59)-1),EDATE(Start_Date,VLOOKUP(IF(ASTemp!$E$7="","Monthly",ASTemp!$E$7),Parameters!$B$3:$D$6,3,0)*(ROWS($1:59)-1))))</f>
        <v/>
      </c>
      <c r="D71" s="68" t="str">
        <f t="shared" si="2"/>
        <v/>
      </c>
      <c r="E71" s="65" t="str">
        <f>IF($B71="","",VLOOKUP(MONTH(C71),Parameters!$F$2:$G$13,2,0))</f>
        <v/>
      </c>
      <c r="F71" s="69" t="str">
        <f>IF($B71="","",PV-N(J70))</f>
        <v/>
      </c>
      <c r="G71" s="69" t="str">
        <f>IF($B71="","",PMT(Rate,Nper,-PV,,Type))</f>
        <v/>
      </c>
      <c r="H71" s="69" t="str">
        <f>IF($B71="","",PPMT(Rate,ROWS($1:59),Nper,-PV,,Type))</f>
        <v/>
      </c>
      <c r="I71" s="69" t="str">
        <f>IF($B71="","",IPMT(Rate,ROWS($1:59),Nper,-PV,,Type))</f>
        <v/>
      </c>
      <c r="J71" s="73" t="str">
        <f t="shared" ref="J71:K71" si="61">IF($B71="","",N(J70)+N(H71))</f>
        <v/>
      </c>
      <c r="K71" s="74" t="str">
        <f t="shared" si="61"/>
        <v/>
      </c>
      <c r="L71" s="69" t="str">
        <f>IF($B71="","",PV-J71)</f>
        <v/>
      </c>
      <c r="M71" s="71" t="str">
        <f>IF($B71="","",J71/PV)</f>
        <v/>
      </c>
      <c r="N71" s="72" t="str">
        <f t="shared" si="4"/>
        <v/>
      </c>
    </row>
    <row r="72" ht="14.25" customHeight="1">
      <c r="B72" s="66" t="str">
        <f>IF(ROWS($1:60)&lt;=Nper,ROWS($1:60),"")</f>
        <v/>
      </c>
      <c r="C72" s="67" t="str">
        <f>IF($B72="","",IF($E$7="Weekly",Start_Date+7*(ROWS($1:60)-1),EDATE(Start_Date,VLOOKUP(IF(ASTemp!$E$7="","Monthly",ASTemp!$E$7),Parameters!$B$3:$D$6,3,0)*(ROWS($1:60)-1))))</f>
        <v/>
      </c>
      <c r="D72" s="68" t="str">
        <f t="shared" si="2"/>
        <v/>
      </c>
      <c r="E72" s="65" t="str">
        <f>IF($B72="","",VLOOKUP(MONTH(C72),Parameters!$F$2:$G$13,2,0))</f>
        <v/>
      </c>
      <c r="F72" s="69" t="str">
        <f>IF($B72="","",PV-N(J71))</f>
        <v/>
      </c>
      <c r="G72" s="69" t="str">
        <f>IF($B72="","",PMT(Rate,Nper,-PV,,Type))</f>
        <v/>
      </c>
      <c r="H72" s="69" t="str">
        <f>IF($B72="","",PPMT(Rate,ROWS($1:60),Nper,-PV,,Type))</f>
        <v/>
      </c>
      <c r="I72" s="69" t="str">
        <f>IF($B72="","",IPMT(Rate,ROWS($1:60),Nper,-PV,,Type))</f>
        <v/>
      </c>
      <c r="J72" s="73" t="str">
        <f t="shared" ref="J72:K72" si="62">IF($B72="","",N(J71)+N(H72))</f>
        <v/>
      </c>
      <c r="K72" s="74" t="str">
        <f t="shared" si="62"/>
        <v/>
      </c>
      <c r="L72" s="69" t="str">
        <f>IF($B72="","",PV-J72)</f>
        <v/>
      </c>
      <c r="M72" s="71" t="str">
        <f>IF($B72="","",J72/PV)</f>
        <v/>
      </c>
      <c r="N72" s="72" t="str">
        <f t="shared" si="4"/>
        <v/>
      </c>
    </row>
    <row r="73" ht="14.25" customHeight="1">
      <c r="B73" s="66" t="str">
        <f>IF(ROWS($1:61)&lt;=Nper,ROWS($1:61),"")</f>
        <v/>
      </c>
      <c r="C73" s="67" t="str">
        <f>IF($B73="","",IF($E$7="Weekly",Start_Date+7*(ROWS($1:61)-1),EDATE(Start_Date,VLOOKUP(IF(ASTemp!$E$7="","Monthly",ASTemp!$E$7),Parameters!$B$3:$D$6,3,0)*(ROWS($1:61)-1))))</f>
        <v/>
      </c>
      <c r="D73" s="68" t="str">
        <f t="shared" si="2"/>
        <v/>
      </c>
      <c r="E73" s="65" t="str">
        <f>IF($B73="","",VLOOKUP(MONTH(C73),Parameters!$F$2:$G$13,2,0))</f>
        <v/>
      </c>
      <c r="F73" s="69" t="str">
        <f>IF($B73="","",PV-N(J72))</f>
        <v/>
      </c>
      <c r="G73" s="69" t="str">
        <f>IF($B73="","",PMT(Rate,Nper,-PV,,Type))</f>
        <v/>
      </c>
      <c r="H73" s="69" t="str">
        <f>IF($B73="","",PPMT(Rate,ROWS($1:61),Nper,-PV,,Type))</f>
        <v/>
      </c>
      <c r="I73" s="69" t="str">
        <f>IF($B73="","",IPMT(Rate,ROWS($1:61),Nper,-PV,,Type))</f>
        <v/>
      </c>
      <c r="J73" s="73" t="str">
        <f t="shared" ref="J73:K73" si="63">IF($B73="","",N(J72)+N(H73))</f>
        <v/>
      </c>
      <c r="K73" s="74" t="str">
        <f t="shared" si="63"/>
        <v/>
      </c>
      <c r="L73" s="69" t="str">
        <f>IF($B73="","",PV-J73)</f>
        <v/>
      </c>
      <c r="M73" s="71" t="str">
        <f>IF($B73="","",J73/PV)</f>
        <v/>
      </c>
      <c r="N73" s="72" t="str">
        <f t="shared" si="4"/>
        <v/>
      </c>
    </row>
    <row r="74" ht="14.25" customHeight="1">
      <c r="B74" s="66" t="str">
        <f>IF(ROWS($1:62)&lt;=Nper,ROWS($1:62),"")</f>
        <v/>
      </c>
      <c r="C74" s="67" t="str">
        <f>IF($B74="","",IF($E$7="Weekly",Start_Date+7*(ROWS($1:62)-1),EDATE(Start_Date,VLOOKUP(IF(ASTemp!$E$7="","Monthly",ASTemp!$E$7),Parameters!$B$3:$D$6,3,0)*(ROWS($1:62)-1))))</f>
        <v/>
      </c>
      <c r="D74" s="68" t="str">
        <f t="shared" si="2"/>
        <v/>
      </c>
      <c r="E74" s="65" t="str">
        <f>IF($B74="","",VLOOKUP(MONTH(C74),Parameters!$F$2:$G$13,2,0))</f>
        <v/>
      </c>
      <c r="F74" s="69" t="str">
        <f>IF($B74="","",PV-N(J73))</f>
        <v/>
      </c>
      <c r="G74" s="69" t="str">
        <f>IF($B74="","",PMT(Rate,Nper,-PV,,Type))</f>
        <v/>
      </c>
      <c r="H74" s="69" t="str">
        <f>IF($B74="","",PPMT(Rate,ROWS($1:62),Nper,-PV,,Type))</f>
        <v/>
      </c>
      <c r="I74" s="69" t="str">
        <f>IF($B74="","",IPMT(Rate,ROWS($1:62),Nper,-PV,,Type))</f>
        <v/>
      </c>
      <c r="J74" s="73" t="str">
        <f t="shared" ref="J74:K74" si="64">IF($B74="","",N(J73)+N(H74))</f>
        <v/>
      </c>
      <c r="K74" s="74" t="str">
        <f t="shared" si="64"/>
        <v/>
      </c>
      <c r="L74" s="69" t="str">
        <f>IF($B74="","",PV-J74)</f>
        <v/>
      </c>
      <c r="M74" s="71" t="str">
        <f>IF($B74="","",J74/PV)</f>
        <v/>
      </c>
      <c r="N74" s="72" t="str">
        <f t="shared" si="4"/>
        <v/>
      </c>
    </row>
    <row r="75" ht="14.25" customHeight="1">
      <c r="B75" s="66" t="str">
        <f>IF(ROWS($1:63)&lt;=Nper,ROWS($1:63),"")</f>
        <v/>
      </c>
      <c r="C75" s="67" t="str">
        <f>IF($B75="","",IF($E$7="Weekly",Start_Date+7*(ROWS($1:63)-1),EDATE(Start_Date,VLOOKUP(IF(ASTemp!$E$7="","Monthly",ASTemp!$E$7),Parameters!$B$3:$D$6,3,0)*(ROWS($1:63)-1))))</f>
        <v/>
      </c>
      <c r="D75" s="68" t="str">
        <f t="shared" si="2"/>
        <v/>
      </c>
      <c r="E75" s="65" t="str">
        <f>IF($B75="","",VLOOKUP(MONTH(C75),Parameters!$F$2:$G$13,2,0))</f>
        <v/>
      </c>
      <c r="F75" s="69" t="str">
        <f>IF($B75="","",PV-N(J74))</f>
        <v/>
      </c>
      <c r="G75" s="69" t="str">
        <f>IF($B75="","",PMT(Rate,Nper,-PV,,Type))</f>
        <v/>
      </c>
      <c r="H75" s="69" t="str">
        <f>IF($B75="","",PPMT(Rate,ROWS($1:63),Nper,-PV,,Type))</f>
        <v/>
      </c>
      <c r="I75" s="69" t="str">
        <f>IF($B75="","",IPMT(Rate,ROWS($1:63),Nper,-PV,,Type))</f>
        <v/>
      </c>
      <c r="J75" s="73" t="str">
        <f t="shared" ref="J75:K75" si="65">IF($B75="","",N(J74)+N(H75))</f>
        <v/>
      </c>
      <c r="K75" s="74" t="str">
        <f t="shared" si="65"/>
        <v/>
      </c>
      <c r="L75" s="69" t="str">
        <f>IF($B75="","",PV-J75)</f>
        <v/>
      </c>
      <c r="M75" s="71" t="str">
        <f>IF($B75="","",J75/PV)</f>
        <v/>
      </c>
      <c r="N75" s="72" t="str">
        <f t="shared" si="4"/>
        <v/>
      </c>
    </row>
    <row r="76" ht="14.25" customHeight="1">
      <c r="B76" s="66" t="str">
        <f>IF(ROWS($1:64)&lt;=Nper,ROWS($1:64),"")</f>
        <v/>
      </c>
      <c r="C76" s="67" t="str">
        <f>IF($B76="","",IF($E$7="Weekly",Start_Date+7*(ROWS($1:64)-1),EDATE(Start_Date,VLOOKUP(IF(ASTemp!$E$7="","Monthly",ASTemp!$E$7),Parameters!$B$3:$D$6,3,0)*(ROWS($1:64)-1))))</f>
        <v/>
      </c>
      <c r="D76" s="68" t="str">
        <f t="shared" si="2"/>
        <v/>
      </c>
      <c r="E76" s="65" t="str">
        <f>IF($B76="","",VLOOKUP(MONTH(C76),Parameters!$F$2:$G$13,2,0))</f>
        <v/>
      </c>
      <c r="F76" s="69" t="str">
        <f>IF($B76="","",PV-N(J75))</f>
        <v/>
      </c>
      <c r="G76" s="69" t="str">
        <f>IF($B76="","",PMT(Rate,Nper,-PV,,Type))</f>
        <v/>
      </c>
      <c r="H76" s="69" t="str">
        <f>IF($B76="","",PPMT(Rate,ROWS($1:64),Nper,-PV,,Type))</f>
        <v/>
      </c>
      <c r="I76" s="69" t="str">
        <f>IF($B76="","",IPMT(Rate,ROWS($1:64),Nper,-PV,,Type))</f>
        <v/>
      </c>
      <c r="J76" s="73" t="str">
        <f t="shared" ref="J76:K76" si="66">IF($B76="","",N(J75)+N(H76))</f>
        <v/>
      </c>
      <c r="K76" s="74" t="str">
        <f t="shared" si="66"/>
        <v/>
      </c>
      <c r="L76" s="69" t="str">
        <f>IF($B76="","",PV-J76)</f>
        <v/>
      </c>
      <c r="M76" s="71" t="str">
        <f>IF($B76="","",J76/PV)</f>
        <v/>
      </c>
      <c r="N76" s="72" t="str">
        <f t="shared" si="4"/>
        <v/>
      </c>
    </row>
    <row r="77" ht="14.25" customHeight="1">
      <c r="B77" s="66" t="str">
        <f>IF(ROWS($1:65)&lt;=Nper,ROWS($1:65),"")</f>
        <v/>
      </c>
      <c r="C77" s="67" t="str">
        <f>IF($B77="","",IF($E$7="Weekly",Start_Date+7*(ROWS($1:65)-1),EDATE(Start_Date,VLOOKUP(IF(ASTemp!$E$7="","Monthly",ASTemp!$E$7),Parameters!$B$3:$D$6,3,0)*(ROWS($1:65)-1))))</f>
        <v/>
      </c>
      <c r="D77" s="68" t="str">
        <f t="shared" si="2"/>
        <v/>
      </c>
      <c r="E77" s="65" t="str">
        <f>IF($B77="","",VLOOKUP(MONTH(C77),Parameters!$F$2:$G$13,2,0))</f>
        <v/>
      </c>
      <c r="F77" s="69" t="str">
        <f>IF($B77="","",PV-N(J76))</f>
        <v/>
      </c>
      <c r="G77" s="69" t="str">
        <f>IF($B77="","",PMT(Rate,Nper,-PV,,Type))</f>
        <v/>
      </c>
      <c r="H77" s="69" t="str">
        <f>IF($B77="","",PPMT(Rate,ROWS($1:65),Nper,-PV,,Type))</f>
        <v/>
      </c>
      <c r="I77" s="69" t="str">
        <f>IF($B77="","",IPMT(Rate,ROWS($1:65),Nper,-PV,,Type))</f>
        <v/>
      </c>
      <c r="J77" s="73" t="str">
        <f t="shared" ref="J77:K77" si="67">IF($B77="","",N(J76)+N(H77))</f>
        <v/>
      </c>
      <c r="K77" s="74" t="str">
        <f t="shared" si="67"/>
        <v/>
      </c>
      <c r="L77" s="69" t="str">
        <f>IF($B77="","",PV-J77)</f>
        <v/>
      </c>
      <c r="M77" s="71" t="str">
        <f>IF($B77="","",J77/PV)</f>
        <v/>
      </c>
      <c r="N77" s="72" t="str">
        <f t="shared" si="4"/>
        <v/>
      </c>
    </row>
    <row r="78" ht="14.25" customHeight="1">
      <c r="B78" s="66" t="str">
        <f>IF(ROWS($1:66)&lt;=Nper,ROWS($1:66),"")</f>
        <v/>
      </c>
      <c r="C78" s="67" t="str">
        <f>IF($B78="","",IF($E$7="Weekly",Start_Date+7*(ROWS($1:66)-1),EDATE(Start_Date,VLOOKUP(IF(ASTemp!$E$7="","Monthly",ASTemp!$E$7),Parameters!$B$3:$D$6,3,0)*(ROWS($1:66)-1))))</f>
        <v/>
      </c>
      <c r="D78" s="68" t="str">
        <f t="shared" si="2"/>
        <v/>
      </c>
      <c r="E78" s="65" t="str">
        <f>IF($B78="","",VLOOKUP(MONTH(C78),Parameters!$F$2:$G$13,2,0))</f>
        <v/>
      </c>
      <c r="F78" s="69" t="str">
        <f>IF($B78="","",PV-N(J77))</f>
        <v/>
      </c>
      <c r="G78" s="69" t="str">
        <f>IF($B78="","",PMT(Rate,Nper,-PV,,Type))</f>
        <v/>
      </c>
      <c r="H78" s="69" t="str">
        <f>IF($B78="","",PPMT(Rate,ROWS($1:66),Nper,-PV,,Type))</f>
        <v/>
      </c>
      <c r="I78" s="69" t="str">
        <f>IF($B78="","",IPMT(Rate,ROWS($1:66),Nper,-PV,,Type))</f>
        <v/>
      </c>
      <c r="J78" s="73" t="str">
        <f t="shared" ref="J78:K78" si="68">IF($B78="","",N(J77)+N(H78))</f>
        <v/>
      </c>
      <c r="K78" s="74" t="str">
        <f t="shared" si="68"/>
        <v/>
      </c>
      <c r="L78" s="69" t="str">
        <f>IF($B78="","",PV-J78)</f>
        <v/>
      </c>
      <c r="M78" s="71" t="str">
        <f>IF($B78="","",J78/PV)</f>
        <v/>
      </c>
      <c r="N78" s="72" t="str">
        <f t="shared" si="4"/>
        <v/>
      </c>
    </row>
    <row r="79" ht="14.25" customHeight="1">
      <c r="B79" s="66" t="str">
        <f>IF(ROWS($1:67)&lt;=Nper,ROWS($1:67),"")</f>
        <v/>
      </c>
      <c r="C79" s="67" t="str">
        <f>IF($B79="","",IF($E$7="Weekly",Start_Date+7*(ROWS($1:67)-1),EDATE(Start_Date,VLOOKUP(IF(ASTemp!$E$7="","Monthly",ASTemp!$E$7),Parameters!$B$3:$D$6,3,0)*(ROWS($1:67)-1))))</f>
        <v/>
      </c>
      <c r="D79" s="68" t="str">
        <f t="shared" si="2"/>
        <v/>
      </c>
      <c r="E79" s="65" t="str">
        <f>IF($B79="","",VLOOKUP(MONTH(C79),Parameters!$F$2:$G$13,2,0))</f>
        <v/>
      </c>
      <c r="F79" s="69" t="str">
        <f>IF($B79="","",PV-N(J78))</f>
        <v/>
      </c>
      <c r="G79" s="69" t="str">
        <f>IF($B79="","",PMT(Rate,Nper,-PV,,Type))</f>
        <v/>
      </c>
      <c r="H79" s="69" t="str">
        <f>IF($B79="","",PPMT(Rate,ROWS($1:67),Nper,-PV,,Type))</f>
        <v/>
      </c>
      <c r="I79" s="69" t="str">
        <f>IF($B79="","",IPMT(Rate,ROWS($1:67),Nper,-PV,,Type))</f>
        <v/>
      </c>
      <c r="J79" s="73" t="str">
        <f t="shared" ref="J79:K79" si="69">IF($B79="","",N(J78)+N(H79))</f>
        <v/>
      </c>
      <c r="K79" s="74" t="str">
        <f t="shared" si="69"/>
        <v/>
      </c>
      <c r="L79" s="69" t="str">
        <f>IF($B79="","",PV-J79)</f>
        <v/>
      </c>
      <c r="M79" s="71" t="str">
        <f>IF($B79="","",J79/PV)</f>
        <v/>
      </c>
      <c r="N79" s="72" t="str">
        <f t="shared" si="4"/>
        <v/>
      </c>
    </row>
    <row r="80" ht="14.25" customHeight="1">
      <c r="B80" s="66" t="str">
        <f>IF(ROWS($1:68)&lt;=Nper,ROWS($1:68),"")</f>
        <v/>
      </c>
      <c r="C80" s="67" t="str">
        <f>IF($B80="","",IF($E$7="Weekly",Start_Date+7*(ROWS($1:68)-1),EDATE(Start_Date,VLOOKUP(IF(ASTemp!$E$7="","Monthly",ASTemp!$E$7),Parameters!$B$3:$D$6,3,0)*(ROWS($1:68)-1))))</f>
        <v/>
      </c>
      <c r="D80" s="68" t="str">
        <f t="shared" si="2"/>
        <v/>
      </c>
      <c r="E80" s="65" t="str">
        <f>IF($B80="","",VLOOKUP(MONTH(C80),Parameters!$F$2:$G$13,2,0))</f>
        <v/>
      </c>
      <c r="F80" s="69" t="str">
        <f>IF($B80="","",PV-N(J79))</f>
        <v/>
      </c>
      <c r="G80" s="69" t="str">
        <f>IF($B80="","",PMT(Rate,Nper,-PV,,Type))</f>
        <v/>
      </c>
      <c r="H80" s="69" t="str">
        <f>IF($B80="","",PPMT(Rate,ROWS($1:68),Nper,-PV,,Type))</f>
        <v/>
      </c>
      <c r="I80" s="69" t="str">
        <f>IF($B80="","",IPMT(Rate,ROWS($1:68),Nper,-PV,,Type))</f>
        <v/>
      </c>
      <c r="J80" s="73" t="str">
        <f t="shared" ref="J80:K80" si="70">IF($B80="","",N(J79)+N(H80))</f>
        <v/>
      </c>
      <c r="K80" s="74" t="str">
        <f t="shared" si="70"/>
        <v/>
      </c>
      <c r="L80" s="69" t="str">
        <f>IF($B80="","",PV-J80)</f>
        <v/>
      </c>
      <c r="M80" s="71" t="str">
        <f>IF($B80="","",J80/PV)</f>
        <v/>
      </c>
      <c r="N80" s="72" t="str">
        <f t="shared" si="4"/>
        <v/>
      </c>
    </row>
    <row r="81" ht="14.25" customHeight="1">
      <c r="B81" s="66" t="str">
        <f>IF(ROWS($1:69)&lt;=Nper,ROWS($1:69),"")</f>
        <v/>
      </c>
      <c r="C81" s="67" t="str">
        <f>IF($B81="","",IF($E$7="Weekly",Start_Date+7*(ROWS($1:69)-1),EDATE(Start_Date,VLOOKUP(IF(ASTemp!$E$7="","Monthly",ASTemp!$E$7),Parameters!$B$3:$D$6,3,0)*(ROWS($1:69)-1))))</f>
        <v/>
      </c>
      <c r="D81" s="68" t="str">
        <f t="shared" si="2"/>
        <v/>
      </c>
      <c r="E81" s="65" t="str">
        <f>IF($B81="","",VLOOKUP(MONTH(C81),Parameters!$F$2:$G$13,2,0))</f>
        <v/>
      </c>
      <c r="F81" s="69" t="str">
        <f>IF($B81="","",PV-N(J80))</f>
        <v/>
      </c>
      <c r="G81" s="69" t="str">
        <f>IF($B81="","",PMT(Rate,Nper,-PV,,Type))</f>
        <v/>
      </c>
      <c r="H81" s="69" t="str">
        <f>IF($B81="","",PPMT(Rate,ROWS($1:69),Nper,-PV,,Type))</f>
        <v/>
      </c>
      <c r="I81" s="69" t="str">
        <f>IF($B81="","",IPMT(Rate,ROWS($1:69),Nper,-PV,,Type))</f>
        <v/>
      </c>
      <c r="J81" s="73" t="str">
        <f t="shared" ref="J81:K81" si="71">IF($B81="","",N(J80)+N(H81))</f>
        <v/>
      </c>
      <c r="K81" s="74" t="str">
        <f t="shared" si="71"/>
        <v/>
      </c>
      <c r="L81" s="69" t="str">
        <f>IF($B81="","",PV-J81)</f>
        <v/>
      </c>
      <c r="M81" s="71" t="str">
        <f>IF($B81="","",J81/PV)</f>
        <v/>
      </c>
      <c r="N81" s="72" t="str">
        <f t="shared" si="4"/>
        <v/>
      </c>
    </row>
    <row r="82" ht="14.25" customHeight="1">
      <c r="B82" s="66" t="str">
        <f>IF(ROWS($1:70)&lt;=Nper,ROWS($1:70),"")</f>
        <v/>
      </c>
      <c r="C82" s="67" t="str">
        <f>IF($B82="","",IF($E$7="Weekly",Start_Date+7*(ROWS($1:70)-1),EDATE(Start_Date,VLOOKUP(IF(ASTemp!$E$7="","Monthly",ASTemp!$E$7),Parameters!$B$3:$D$6,3,0)*(ROWS($1:70)-1))))</f>
        <v/>
      </c>
      <c r="D82" s="68" t="str">
        <f t="shared" si="2"/>
        <v/>
      </c>
      <c r="E82" s="65" t="str">
        <f>IF($B82="","",VLOOKUP(MONTH(C82),Parameters!$F$2:$G$13,2,0))</f>
        <v/>
      </c>
      <c r="F82" s="69" t="str">
        <f>IF($B82="","",PV-N(J81))</f>
        <v/>
      </c>
      <c r="G82" s="69" t="str">
        <f>IF($B82="","",PMT(Rate,Nper,-PV,,Type))</f>
        <v/>
      </c>
      <c r="H82" s="69" t="str">
        <f>IF($B82="","",PPMT(Rate,ROWS($1:70),Nper,-PV,,Type))</f>
        <v/>
      </c>
      <c r="I82" s="69" t="str">
        <f>IF($B82="","",IPMT(Rate,ROWS($1:70),Nper,-PV,,Type))</f>
        <v/>
      </c>
      <c r="J82" s="73" t="str">
        <f t="shared" ref="J82:K82" si="72">IF($B82="","",N(J81)+N(H82))</f>
        <v/>
      </c>
      <c r="K82" s="74" t="str">
        <f t="shared" si="72"/>
        <v/>
      </c>
      <c r="L82" s="69" t="str">
        <f>IF($B82="","",PV-J82)</f>
        <v/>
      </c>
      <c r="M82" s="71" t="str">
        <f>IF($B82="","",J82/PV)</f>
        <v/>
      </c>
      <c r="N82" s="72" t="str">
        <f t="shared" si="4"/>
        <v/>
      </c>
    </row>
    <row r="83" ht="14.25" customHeight="1">
      <c r="B83" s="66" t="str">
        <f>IF(ROWS($1:71)&lt;=Nper,ROWS($1:71),"")</f>
        <v/>
      </c>
      <c r="C83" s="67" t="str">
        <f>IF($B83="","",IF($E$7="Weekly",Start_Date+7*(ROWS($1:71)-1),EDATE(Start_Date,VLOOKUP(IF(ASTemp!$E$7="","Monthly",ASTemp!$E$7),Parameters!$B$3:$D$6,3,0)*(ROWS($1:71)-1))))</f>
        <v/>
      </c>
      <c r="D83" s="68" t="str">
        <f t="shared" si="2"/>
        <v/>
      </c>
      <c r="E83" s="65" t="str">
        <f>IF($B83="","",VLOOKUP(MONTH(C83),Parameters!$F$2:$G$13,2,0))</f>
        <v/>
      </c>
      <c r="F83" s="69" t="str">
        <f>IF($B83="","",PV-N(J82))</f>
        <v/>
      </c>
      <c r="G83" s="69" t="str">
        <f>IF($B83="","",PMT(Rate,Nper,-PV,,Type))</f>
        <v/>
      </c>
      <c r="H83" s="69" t="str">
        <f>IF($B83="","",PPMT(Rate,ROWS($1:71),Nper,-PV,,Type))</f>
        <v/>
      </c>
      <c r="I83" s="69" t="str">
        <f>IF($B83="","",IPMT(Rate,ROWS($1:71),Nper,-PV,,Type))</f>
        <v/>
      </c>
      <c r="J83" s="73" t="str">
        <f t="shared" ref="J83:K83" si="73">IF($B83="","",N(J82)+N(H83))</f>
        <v/>
      </c>
      <c r="K83" s="74" t="str">
        <f t="shared" si="73"/>
        <v/>
      </c>
      <c r="L83" s="69" t="str">
        <f>IF($B83="","",PV-J83)</f>
        <v/>
      </c>
      <c r="M83" s="71" t="str">
        <f>IF($B83="","",J83/PV)</f>
        <v/>
      </c>
      <c r="N83" s="72" t="str">
        <f t="shared" si="4"/>
        <v/>
      </c>
    </row>
    <row r="84" ht="14.25" customHeight="1">
      <c r="B84" s="66" t="str">
        <f>IF(ROWS($1:72)&lt;=Nper,ROWS($1:72),"")</f>
        <v/>
      </c>
      <c r="C84" s="67" t="str">
        <f>IF($B84="","",IF($E$7="Weekly",Start_Date+7*(ROWS($1:72)-1),EDATE(Start_Date,VLOOKUP(IF(ASTemp!$E$7="","Monthly",ASTemp!$E$7),Parameters!$B$3:$D$6,3,0)*(ROWS($1:72)-1))))</f>
        <v/>
      </c>
      <c r="D84" s="68" t="str">
        <f t="shared" si="2"/>
        <v/>
      </c>
      <c r="E84" s="65" t="str">
        <f>IF($B84="","",VLOOKUP(MONTH(C84),Parameters!$F$2:$G$13,2,0))</f>
        <v/>
      </c>
      <c r="F84" s="69" t="str">
        <f>IF($B84="","",PV-N(J83))</f>
        <v/>
      </c>
      <c r="G84" s="69" t="str">
        <f>IF($B84="","",PMT(Rate,Nper,-PV,,Type))</f>
        <v/>
      </c>
      <c r="H84" s="69" t="str">
        <f>IF($B84="","",PPMT(Rate,ROWS($1:72),Nper,-PV,,Type))</f>
        <v/>
      </c>
      <c r="I84" s="69" t="str">
        <f>IF($B84="","",IPMT(Rate,ROWS($1:72),Nper,-PV,,Type))</f>
        <v/>
      </c>
      <c r="J84" s="73" t="str">
        <f t="shared" ref="J84:K84" si="74">IF($B84="","",N(J83)+N(H84))</f>
        <v/>
      </c>
      <c r="K84" s="74" t="str">
        <f t="shared" si="74"/>
        <v/>
      </c>
      <c r="L84" s="69" t="str">
        <f>IF($B84="","",PV-J84)</f>
        <v/>
      </c>
      <c r="M84" s="71" t="str">
        <f>IF($B84="","",J84/PV)</f>
        <v/>
      </c>
      <c r="N84" s="72" t="str">
        <f t="shared" si="4"/>
        <v/>
      </c>
    </row>
    <row r="85" ht="14.25" customHeight="1">
      <c r="B85" s="66" t="str">
        <f>IF(ROWS($1:73)&lt;=Nper,ROWS($1:73),"")</f>
        <v/>
      </c>
      <c r="C85" s="67" t="str">
        <f>IF($B85="","",IF($E$7="Weekly",Start_Date+7*(ROWS($1:73)-1),EDATE(Start_Date,VLOOKUP(IF(ASTemp!$E$7="","Monthly",ASTemp!$E$7),Parameters!$B$3:$D$6,3,0)*(ROWS($1:73)-1))))</f>
        <v/>
      </c>
      <c r="D85" s="68" t="str">
        <f t="shared" si="2"/>
        <v/>
      </c>
      <c r="E85" s="65" t="str">
        <f>IF($B85="","",VLOOKUP(MONTH(C85),Parameters!$F$2:$G$13,2,0))</f>
        <v/>
      </c>
      <c r="F85" s="69" t="str">
        <f>IF($B85="","",PV-N(J84))</f>
        <v/>
      </c>
      <c r="G85" s="69" t="str">
        <f>IF($B85="","",PMT(Rate,Nper,-PV,,Type))</f>
        <v/>
      </c>
      <c r="H85" s="69" t="str">
        <f>IF($B85="","",PPMT(Rate,ROWS($1:73),Nper,-PV,,Type))</f>
        <v/>
      </c>
      <c r="I85" s="69" t="str">
        <f>IF($B85="","",IPMT(Rate,ROWS($1:73),Nper,-PV,,Type))</f>
        <v/>
      </c>
      <c r="J85" s="73" t="str">
        <f t="shared" ref="J85:K85" si="75">IF($B85="","",N(J84)+N(H85))</f>
        <v/>
      </c>
      <c r="K85" s="74" t="str">
        <f t="shared" si="75"/>
        <v/>
      </c>
      <c r="L85" s="69" t="str">
        <f>IF($B85="","",PV-J85)</f>
        <v/>
      </c>
      <c r="M85" s="71" t="str">
        <f>IF($B85="","",J85/PV)</f>
        <v/>
      </c>
      <c r="N85" s="72" t="str">
        <f t="shared" si="4"/>
        <v/>
      </c>
    </row>
    <row r="86" ht="14.25" customHeight="1">
      <c r="B86" s="66" t="str">
        <f>IF(ROWS($1:74)&lt;=Nper,ROWS($1:74),"")</f>
        <v/>
      </c>
      <c r="C86" s="67" t="str">
        <f>IF($B86="","",IF($E$7="Weekly",Start_Date+7*(ROWS($1:74)-1),EDATE(Start_Date,VLOOKUP(IF(ASTemp!$E$7="","Monthly",ASTemp!$E$7),Parameters!$B$3:$D$6,3,0)*(ROWS($1:74)-1))))</f>
        <v/>
      </c>
      <c r="D86" s="68" t="str">
        <f t="shared" si="2"/>
        <v/>
      </c>
      <c r="E86" s="65" t="str">
        <f>IF($B86="","",VLOOKUP(MONTH(C86),Parameters!$F$2:$G$13,2,0))</f>
        <v/>
      </c>
      <c r="F86" s="69" t="str">
        <f>IF($B86="","",PV-N(J85))</f>
        <v/>
      </c>
      <c r="G86" s="69" t="str">
        <f>IF($B86="","",PMT(Rate,Nper,-PV,,Type))</f>
        <v/>
      </c>
      <c r="H86" s="69" t="str">
        <f>IF($B86="","",PPMT(Rate,ROWS($1:74),Nper,-PV,,Type))</f>
        <v/>
      </c>
      <c r="I86" s="69" t="str">
        <f>IF($B86="","",IPMT(Rate,ROWS($1:74),Nper,-PV,,Type))</f>
        <v/>
      </c>
      <c r="J86" s="73" t="str">
        <f t="shared" ref="J86:K86" si="76">IF($B86="","",N(J85)+N(H86))</f>
        <v/>
      </c>
      <c r="K86" s="74" t="str">
        <f t="shared" si="76"/>
        <v/>
      </c>
      <c r="L86" s="69" t="str">
        <f>IF($B86="","",PV-J86)</f>
        <v/>
      </c>
      <c r="M86" s="71" t="str">
        <f>IF($B86="","",J86/PV)</f>
        <v/>
      </c>
      <c r="N86" s="72" t="str">
        <f t="shared" si="4"/>
        <v/>
      </c>
    </row>
    <row r="87" ht="14.25" customHeight="1">
      <c r="B87" s="66" t="str">
        <f>IF(ROWS($1:75)&lt;=Nper,ROWS($1:75),"")</f>
        <v/>
      </c>
      <c r="C87" s="67" t="str">
        <f>IF($B87="","",IF($E$7="Weekly",Start_Date+7*(ROWS($1:75)-1),EDATE(Start_Date,VLOOKUP(IF(ASTemp!$E$7="","Monthly",ASTemp!$E$7),Parameters!$B$3:$D$6,3,0)*(ROWS($1:75)-1))))</f>
        <v/>
      </c>
      <c r="D87" s="68" t="str">
        <f t="shared" si="2"/>
        <v/>
      </c>
      <c r="E87" s="65" t="str">
        <f>IF($B87="","",VLOOKUP(MONTH(C87),Parameters!$F$2:$G$13,2,0))</f>
        <v/>
      </c>
      <c r="F87" s="69" t="str">
        <f>IF($B87="","",PV-N(J86))</f>
        <v/>
      </c>
      <c r="G87" s="69" t="str">
        <f>IF($B87="","",PMT(Rate,Nper,-PV,,Type))</f>
        <v/>
      </c>
      <c r="H87" s="69" t="str">
        <f>IF($B87="","",PPMT(Rate,ROWS($1:75),Nper,-PV,,Type))</f>
        <v/>
      </c>
      <c r="I87" s="69" t="str">
        <f>IF($B87="","",IPMT(Rate,ROWS($1:75),Nper,-PV,,Type))</f>
        <v/>
      </c>
      <c r="J87" s="73" t="str">
        <f t="shared" ref="J87:K87" si="77">IF($B87="","",N(J86)+N(H87))</f>
        <v/>
      </c>
      <c r="K87" s="74" t="str">
        <f t="shared" si="77"/>
        <v/>
      </c>
      <c r="L87" s="69" t="str">
        <f>IF($B87="","",PV-J87)</f>
        <v/>
      </c>
      <c r="M87" s="71" t="str">
        <f>IF($B87="","",J87/PV)</f>
        <v/>
      </c>
      <c r="N87" s="72" t="str">
        <f t="shared" si="4"/>
        <v/>
      </c>
    </row>
    <row r="88" ht="14.25" customHeight="1">
      <c r="B88" s="66" t="str">
        <f>IF(ROWS($1:76)&lt;=Nper,ROWS($1:76),"")</f>
        <v/>
      </c>
      <c r="C88" s="67" t="str">
        <f>IF($B88="","",IF($E$7="Weekly",Start_Date+7*(ROWS($1:76)-1),EDATE(Start_Date,VLOOKUP(IF(ASTemp!$E$7="","Monthly",ASTemp!$E$7),Parameters!$B$3:$D$6,3,0)*(ROWS($1:76)-1))))</f>
        <v/>
      </c>
      <c r="D88" s="68" t="str">
        <f t="shared" si="2"/>
        <v/>
      </c>
      <c r="E88" s="65" t="str">
        <f>IF($B88="","",VLOOKUP(MONTH(C88),Parameters!$F$2:$G$13,2,0))</f>
        <v/>
      </c>
      <c r="F88" s="69" t="str">
        <f>IF($B88="","",PV-N(J87))</f>
        <v/>
      </c>
      <c r="G88" s="69" t="str">
        <f>IF($B88="","",PMT(Rate,Nper,-PV,,Type))</f>
        <v/>
      </c>
      <c r="H88" s="69" t="str">
        <f>IF($B88="","",PPMT(Rate,ROWS($1:76),Nper,-PV,,Type))</f>
        <v/>
      </c>
      <c r="I88" s="69" t="str">
        <f>IF($B88="","",IPMT(Rate,ROWS($1:76),Nper,-PV,,Type))</f>
        <v/>
      </c>
      <c r="J88" s="73" t="str">
        <f t="shared" ref="J88:K88" si="78">IF($B88="","",N(J87)+N(H88))</f>
        <v/>
      </c>
      <c r="K88" s="74" t="str">
        <f t="shared" si="78"/>
        <v/>
      </c>
      <c r="L88" s="69" t="str">
        <f>IF($B88="","",PV-J88)</f>
        <v/>
      </c>
      <c r="M88" s="71" t="str">
        <f>IF($B88="","",J88/PV)</f>
        <v/>
      </c>
      <c r="N88" s="72" t="str">
        <f t="shared" si="4"/>
        <v/>
      </c>
    </row>
    <row r="89" ht="14.25" customHeight="1">
      <c r="B89" s="66" t="str">
        <f>IF(ROWS($1:77)&lt;=Nper,ROWS($1:77),"")</f>
        <v/>
      </c>
      <c r="C89" s="67" t="str">
        <f>IF($B89="","",IF($E$7="Weekly",Start_Date+7*(ROWS($1:77)-1),EDATE(Start_Date,VLOOKUP(IF(ASTemp!$E$7="","Monthly",ASTemp!$E$7),Parameters!$B$3:$D$6,3,0)*(ROWS($1:77)-1))))</f>
        <v/>
      </c>
      <c r="D89" s="68" t="str">
        <f t="shared" si="2"/>
        <v/>
      </c>
      <c r="E89" s="65" t="str">
        <f>IF($B89="","",VLOOKUP(MONTH(C89),Parameters!$F$2:$G$13,2,0))</f>
        <v/>
      </c>
      <c r="F89" s="69" t="str">
        <f>IF($B89="","",PV-N(J88))</f>
        <v/>
      </c>
      <c r="G89" s="69" t="str">
        <f>IF($B89="","",PMT(Rate,Nper,-PV,,Type))</f>
        <v/>
      </c>
      <c r="H89" s="69" t="str">
        <f>IF($B89="","",PPMT(Rate,ROWS($1:77),Nper,-PV,,Type))</f>
        <v/>
      </c>
      <c r="I89" s="69" t="str">
        <f>IF($B89="","",IPMT(Rate,ROWS($1:77),Nper,-PV,,Type))</f>
        <v/>
      </c>
      <c r="J89" s="73" t="str">
        <f t="shared" ref="J89:K89" si="79">IF($B89="","",N(J88)+N(H89))</f>
        <v/>
      </c>
      <c r="K89" s="74" t="str">
        <f t="shared" si="79"/>
        <v/>
      </c>
      <c r="L89" s="69" t="str">
        <f>IF($B89="","",PV-J89)</f>
        <v/>
      </c>
      <c r="M89" s="71" t="str">
        <f>IF($B89="","",J89/PV)</f>
        <v/>
      </c>
      <c r="N89" s="72" t="str">
        <f t="shared" si="4"/>
        <v/>
      </c>
    </row>
    <row r="90" ht="14.25" customHeight="1">
      <c r="B90" s="66" t="str">
        <f>IF(ROWS($1:78)&lt;=Nper,ROWS($1:78),"")</f>
        <v/>
      </c>
      <c r="C90" s="67" t="str">
        <f>IF($B90="","",IF($E$7="Weekly",Start_Date+7*(ROWS($1:78)-1),EDATE(Start_Date,VLOOKUP(IF(ASTemp!$E$7="","Monthly",ASTemp!$E$7),Parameters!$B$3:$D$6,3,0)*(ROWS($1:78)-1))))</f>
        <v/>
      </c>
      <c r="D90" s="68" t="str">
        <f t="shared" si="2"/>
        <v/>
      </c>
      <c r="E90" s="65" t="str">
        <f>IF($B90="","",VLOOKUP(MONTH(C90),Parameters!$F$2:$G$13,2,0))</f>
        <v/>
      </c>
      <c r="F90" s="69" t="str">
        <f>IF($B90="","",PV-N(J89))</f>
        <v/>
      </c>
      <c r="G90" s="69" t="str">
        <f>IF($B90="","",PMT(Rate,Nper,-PV,,Type))</f>
        <v/>
      </c>
      <c r="H90" s="69" t="str">
        <f>IF($B90="","",PPMT(Rate,ROWS($1:78),Nper,-PV,,Type))</f>
        <v/>
      </c>
      <c r="I90" s="69" t="str">
        <f>IF($B90="","",IPMT(Rate,ROWS($1:78),Nper,-PV,,Type))</f>
        <v/>
      </c>
      <c r="J90" s="73" t="str">
        <f t="shared" ref="J90:K90" si="80">IF($B90="","",N(J89)+N(H90))</f>
        <v/>
      </c>
      <c r="K90" s="74" t="str">
        <f t="shared" si="80"/>
        <v/>
      </c>
      <c r="L90" s="69" t="str">
        <f>IF($B90="","",PV-J90)</f>
        <v/>
      </c>
      <c r="M90" s="71" t="str">
        <f>IF($B90="","",J90/PV)</f>
        <v/>
      </c>
      <c r="N90" s="72" t="str">
        <f t="shared" si="4"/>
        <v/>
      </c>
    </row>
    <row r="91" ht="14.25" customHeight="1">
      <c r="B91" s="66" t="str">
        <f>IF(ROWS($1:79)&lt;=Nper,ROWS($1:79),"")</f>
        <v/>
      </c>
      <c r="C91" s="67" t="str">
        <f>IF($B91="","",IF($E$7="Weekly",Start_Date+7*(ROWS($1:79)-1),EDATE(Start_Date,VLOOKUP(IF(ASTemp!$E$7="","Monthly",ASTemp!$E$7),Parameters!$B$3:$D$6,3,0)*(ROWS($1:79)-1))))</f>
        <v/>
      </c>
      <c r="D91" s="68" t="str">
        <f t="shared" si="2"/>
        <v/>
      </c>
      <c r="E91" s="65" t="str">
        <f>IF($B91="","",VLOOKUP(MONTH(C91),Parameters!$F$2:$G$13,2,0))</f>
        <v/>
      </c>
      <c r="F91" s="69" t="str">
        <f>IF($B91="","",PV-N(J90))</f>
        <v/>
      </c>
      <c r="G91" s="69" t="str">
        <f>IF($B91="","",PMT(Rate,Nper,-PV,,Type))</f>
        <v/>
      </c>
      <c r="H91" s="69" t="str">
        <f>IF($B91="","",PPMT(Rate,ROWS($1:79),Nper,-PV,,Type))</f>
        <v/>
      </c>
      <c r="I91" s="69" t="str">
        <f>IF($B91="","",IPMT(Rate,ROWS($1:79),Nper,-PV,,Type))</f>
        <v/>
      </c>
      <c r="J91" s="73" t="str">
        <f t="shared" ref="J91:K91" si="81">IF($B91="","",N(J90)+N(H91))</f>
        <v/>
      </c>
      <c r="K91" s="74" t="str">
        <f t="shared" si="81"/>
        <v/>
      </c>
      <c r="L91" s="69" t="str">
        <f>IF($B91="","",PV-J91)</f>
        <v/>
      </c>
      <c r="M91" s="71" t="str">
        <f>IF($B91="","",J91/PV)</f>
        <v/>
      </c>
      <c r="N91" s="72" t="str">
        <f t="shared" si="4"/>
        <v/>
      </c>
    </row>
    <row r="92" ht="14.25" customHeight="1">
      <c r="B92" s="66" t="str">
        <f>IF(ROWS($1:80)&lt;=Nper,ROWS($1:80),"")</f>
        <v/>
      </c>
      <c r="C92" s="67" t="str">
        <f>IF($B92="","",IF($E$7="Weekly",Start_Date+7*(ROWS($1:80)-1),EDATE(Start_Date,VLOOKUP(IF(ASTemp!$E$7="","Monthly",ASTemp!$E$7),Parameters!$B$3:$D$6,3,0)*(ROWS($1:80)-1))))</f>
        <v/>
      </c>
      <c r="D92" s="68" t="str">
        <f t="shared" si="2"/>
        <v/>
      </c>
      <c r="E92" s="65" t="str">
        <f>IF($B92="","",VLOOKUP(MONTH(C92),Parameters!$F$2:$G$13,2,0))</f>
        <v/>
      </c>
      <c r="F92" s="69" t="str">
        <f>IF($B92="","",PV-N(J91))</f>
        <v/>
      </c>
      <c r="G92" s="69" t="str">
        <f>IF($B92="","",PMT(Rate,Nper,-PV,,Type))</f>
        <v/>
      </c>
      <c r="H92" s="69" t="str">
        <f>IF($B92="","",PPMT(Rate,ROWS($1:80),Nper,-PV,,Type))</f>
        <v/>
      </c>
      <c r="I92" s="69" t="str">
        <f>IF($B92="","",IPMT(Rate,ROWS($1:80),Nper,-PV,,Type))</f>
        <v/>
      </c>
      <c r="J92" s="73" t="str">
        <f t="shared" ref="J92:K92" si="82">IF($B92="","",N(J91)+N(H92))</f>
        <v/>
      </c>
      <c r="K92" s="74" t="str">
        <f t="shared" si="82"/>
        <v/>
      </c>
      <c r="L92" s="69" t="str">
        <f>IF($B92="","",PV-J92)</f>
        <v/>
      </c>
      <c r="M92" s="71" t="str">
        <f>IF($B92="","",J92/PV)</f>
        <v/>
      </c>
      <c r="N92" s="72" t="str">
        <f t="shared" si="4"/>
        <v/>
      </c>
    </row>
    <row r="93" ht="14.25" customHeight="1">
      <c r="B93" s="66" t="str">
        <f>IF(ROWS($1:81)&lt;=Nper,ROWS($1:81),"")</f>
        <v/>
      </c>
      <c r="C93" s="67" t="str">
        <f>IF($B93="","",IF($E$7="Weekly",Start_Date+7*(ROWS($1:81)-1),EDATE(Start_Date,VLOOKUP(IF(ASTemp!$E$7="","Monthly",ASTemp!$E$7),Parameters!$B$3:$D$6,3,0)*(ROWS($1:81)-1))))</f>
        <v/>
      </c>
      <c r="D93" s="68" t="str">
        <f t="shared" si="2"/>
        <v/>
      </c>
      <c r="E93" s="65" t="str">
        <f>IF($B93="","",VLOOKUP(MONTH(C93),Parameters!$F$2:$G$13,2,0))</f>
        <v/>
      </c>
      <c r="F93" s="69" t="str">
        <f>IF($B93="","",PV-N(J92))</f>
        <v/>
      </c>
      <c r="G93" s="69" t="str">
        <f>IF($B93="","",PMT(Rate,Nper,-PV,,Type))</f>
        <v/>
      </c>
      <c r="H93" s="69" t="str">
        <f>IF($B93="","",PPMT(Rate,ROWS($1:81),Nper,-PV,,Type))</f>
        <v/>
      </c>
      <c r="I93" s="69" t="str">
        <f>IF($B93="","",IPMT(Rate,ROWS($1:81),Nper,-PV,,Type))</f>
        <v/>
      </c>
      <c r="J93" s="73" t="str">
        <f t="shared" ref="J93:K93" si="83">IF($B93="","",N(J92)+N(H93))</f>
        <v/>
      </c>
      <c r="K93" s="74" t="str">
        <f t="shared" si="83"/>
        <v/>
      </c>
      <c r="L93" s="69" t="str">
        <f>IF($B93="","",PV-J93)</f>
        <v/>
      </c>
      <c r="M93" s="71" t="str">
        <f>IF($B93="","",J93/PV)</f>
        <v/>
      </c>
      <c r="N93" s="72" t="str">
        <f t="shared" si="4"/>
        <v/>
      </c>
    </row>
    <row r="94" ht="14.25" customHeight="1">
      <c r="B94" s="66" t="str">
        <f>IF(ROWS($1:82)&lt;=Nper,ROWS($1:82),"")</f>
        <v/>
      </c>
      <c r="C94" s="67" t="str">
        <f>IF($B94="","",IF($E$7="Weekly",Start_Date+7*(ROWS($1:82)-1),EDATE(Start_Date,VLOOKUP(IF(ASTemp!$E$7="","Monthly",ASTemp!$E$7),Parameters!$B$3:$D$6,3,0)*(ROWS($1:82)-1))))</f>
        <v/>
      </c>
      <c r="D94" s="68" t="str">
        <f t="shared" si="2"/>
        <v/>
      </c>
      <c r="E94" s="65" t="str">
        <f>IF($B94="","",VLOOKUP(MONTH(C94),Parameters!$F$2:$G$13,2,0))</f>
        <v/>
      </c>
      <c r="F94" s="69" t="str">
        <f>IF($B94="","",PV-N(J93))</f>
        <v/>
      </c>
      <c r="G94" s="69" t="str">
        <f>IF($B94="","",PMT(Rate,Nper,-PV,,Type))</f>
        <v/>
      </c>
      <c r="H94" s="69" t="str">
        <f>IF($B94="","",PPMT(Rate,ROWS($1:82),Nper,-PV,,Type))</f>
        <v/>
      </c>
      <c r="I94" s="69" t="str">
        <f>IF($B94="","",IPMT(Rate,ROWS($1:82),Nper,-PV,,Type))</f>
        <v/>
      </c>
      <c r="J94" s="73" t="str">
        <f t="shared" ref="J94:K94" si="84">IF($B94="","",N(J93)+N(H94))</f>
        <v/>
      </c>
      <c r="K94" s="74" t="str">
        <f t="shared" si="84"/>
        <v/>
      </c>
      <c r="L94" s="69" t="str">
        <f>IF($B94="","",PV-J94)</f>
        <v/>
      </c>
      <c r="M94" s="71" t="str">
        <f>IF($B94="","",J94/PV)</f>
        <v/>
      </c>
      <c r="N94" s="72" t="str">
        <f t="shared" si="4"/>
        <v/>
      </c>
    </row>
    <row r="95" ht="14.25" customHeight="1">
      <c r="B95" s="66" t="str">
        <f>IF(ROWS($1:83)&lt;=Nper,ROWS($1:83),"")</f>
        <v/>
      </c>
      <c r="C95" s="67" t="str">
        <f>IF($B95="","",IF($E$7="Weekly",Start_Date+7*(ROWS($1:83)-1),EDATE(Start_Date,VLOOKUP(IF(ASTemp!$E$7="","Monthly",ASTemp!$E$7),Parameters!$B$3:$D$6,3,0)*(ROWS($1:83)-1))))</f>
        <v/>
      </c>
      <c r="D95" s="68" t="str">
        <f t="shared" si="2"/>
        <v/>
      </c>
      <c r="E95" s="65" t="str">
        <f>IF($B95="","",VLOOKUP(MONTH(C95),Parameters!$F$2:$G$13,2,0))</f>
        <v/>
      </c>
      <c r="F95" s="69" t="str">
        <f>IF($B95="","",PV-N(J94))</f>
        <v/>
      </c>
      <c r="G95" s="69" t="str">
        <f>IF($B95="","",PMT(Rate,Nper,-PV,,Type))</f>
        <v/>
      </c>
      <c r="H95" s="69" t="str">
        <f>IF($B95="","",PPMT(Rate,ROWS($1:83),Nper,-PV,,Type))</f>
        <v/>
      </c>
      <c r="I95" s="69" t="str">
        <f>IF($B95="","",IPMT(Rate,ROWS($1:83),Nper,-PV,,Type))</f>
        <v/>
      </c>
      <c r="J95" s="73" t="str">
        <f t="shared" ref="J95:K95" si="85">IF($B95="","",N(J94)+N(H95))</f>
        <v/>
      </c>
      <c r="K95" s="74" t="str">
        <f t="shared" si="85"/>
        <v/>
      </c>
      <c r="L95" s="69" t="str">
        <f>IF($B95="","",PV-J95)</f>
        <v/>
      </c>
      <c r="M95" s="71" t="str">
        <f>IF($B95="","",J95/PV)</f>
        <v/>
      </c>
      <c r="N95" s="72" t="str">
        <f t="shared" si="4"/>
        <v/>
      </c>
    </row>
    <row r="96" ht="14.25" customHeight="1">
      <c r="B96" s="66" t="str">
        <f>IF(ROWS($1:84)&lt;=Nper,ROWS($1:84),"")</f>
        <v/>
      </c>
      <c r="C96" s="67" t="str">
        <f>IF($B96="","",IF($E$7="Weekly",Start_Date+7*(ROWS($1:84)-1),EDATE(Start_Date,VLOOKUP(IF(ASTemp!$E$7="","Monthly",ASTemp!$E$7),Parameters!$B$3:$D$6,3,0)*(ROWS($1:84)-1))))</f>
        <v/>
      </c>
      <c r="D96" s="68" t="str">
        <f t="shared" si="2"/>
        <v/>
      </c>
      <c r="E96" s="65" t="str">
        <f>IF($B96="","",VLOOKUP(MONTH(C96),Parameters!$F$2:$G$13,2,0))</f>
        <v/>
      </c>
      <c r="F96" s="69" t="str">
        <f>IF($B96="","",PV-N(J95))</f>
        <v/>
      </c>
      <c r="G96" s="69" t="str">
        <f>IF($B96="","",PMT(Rate,Nper,-PV,,Type))</f>
        <v/>
      </c>
      <c r="H96" s="69" t="str">
        <f>IF($B96="","",PPMT(Rate,ROWS($1:84),Nper,-PV,,Type))</f>
        <v/>
      </c>
      <c r="I96" s="69" t="str">
        <f>IF($B96="","",IPMT(Rate,ROWS($1:84),Nper,-PV,,Type))</f>
        <v/>
      </c>
      <c r="J96" s="73" t="str">
        <f t="shared" ref="J96:K96" si="86">IF($B96="","",N(J95)+N(H96))</f>
        <v/>
      </c>
      <c r="K96" s="74" t="str">
        <f t="shared" si="86"/>
        <v/>
      </c>
      <c r="L96" s="69" t="str">
        <f>IF($B96="","",PV-J96)</f>
        <v/>
      </c>
      <c r="M96" s="71" t="str">
        <f>IF($B96="","",J96/PV)</f>
        <v/>
      </c>
      <c r="N96" s="72" t="str">
        <f t="shared" si="4"/>
        <v/>
      </c>
    </row>
    <row r="97" ht="14.25" customHeight="1">
      <c r="B97" s="66" t="str">
        <f>IF(ROWS($1:85)&lt;=Nper,ROWS($1:85),"")</f>
        <v/>
      </c>
      <c r="C97" s="67" t="str">
        <f>IF($B97="","",IF($E$7="Weekly",Start_Date+7*(ROWS($1:85)-1),EDATE(Start_Date,VLOOKUP(IF(ASTemp!$E$7="","Monthly",ASTemp!$E$7),Parameters!$B$3:$D$6,3,0)*(ROWS($1:85)-1))))</f>
        <v/>
      </c>
      <c r="D97" s="68" t="str">
        <f t="shared" si="2"/>
        <v/>
      </c>
      <c r="E97" s="65" t="str">
        <f>IF($B97="","",VLOOKUP(MONTH(C97),Parameters!$F$2:$G$13,2,0))</f>
        <v/>
      </c>
      <c r="F97" s="69" t="str">
        <f>IF($B97="","",PV-N(J96))</f>
        <v/>
      </c>
      <c r="G97" s="69" t="str">
        <f>IF($B97="","",PMT(Rate,Nper,-PV,,Type))</f>
        <v/>
      </c>
      <c r="H97" s="69" t="str">
        <f>IF($B97="","",PPMT(Rate,ROWS($1:85),Nper,-PV,,Type))</f>
        <v/>
      </c>
      <c r="I97" s="69" t="str">
        <f>IF($B97="","",IPMT(Rate,ROWS($1:85),Nper,-PV,,Type))</f>
        <v/>
      </c>
      <c r="J97" s="73" t="str">
        <f t="shared" ref="J97:K97" si="87">IF($B97="","",N(J96)+N(H97))</f>
        <v/>
      </c>
      <c r="K97" s="74" t="str">
        <f t="shared" si="87"/>
        <v/>
      </c>
      <c r="L97" s="69" t="str">
        <f>IF($B97="","",PV-J97)</f>
        <v/>
      </c>
      <c r="M97" s="71" t="str">
        <f>IF($B97="","",J97/PV)</f>
        <v/>
      </c>
      <c r="N97" s="72" t="str">
        <f t="shared" si="4"/>
        <v/>
      </c>
    </row>
    <row r="98" ht="14.25" customHeight="1">
      <c r="B98" s="66" t="str">
        <f>IF(ROWS($1:86)&lt;=Nper,ROWS($1:86),"")</f>
        <v/>
      </c>
      <c r="C98" s="67" t="str">
        <f>IF($B98="","",IF($E$7="Weekly",Start_Date+7*(ROWS($1:86)-1),EDATE(Start_Date,VLOOKUP(IF(ASTemp!$E$7="","Monthly",ASTemp!$E$7),Parameters!$B$3:$D$6,3,0)*(ROWS($1:86)-1))))</f>
        <v/>
      </c>
      <c r="D98" s="68" t="str">
        <f t="shared" si="2"/>
        <v/>
      </c>
      <c r="E98" s="65" t="str">
        <f>IF($B98="","",VLOOKUP(MONTH(C98),Parameters!$F$2:$G$13,2,0))</f>
        <v/>
      </c>
      <c r="F98" s="69" t="str">
        <f>IF($B98="","",PV-N(J97))</f>
        <v/>
      </c>
      <c r="G98" s="69" t="str">
        <f>IF($B98="","",PMT(Rate,Nper,-PV,,Type))</f>
        <v/>
      </c>
      <c r="H98" s="69" t="str">
        <f>IF($B98="","",PPMT(Rate,ROWS($1:86),Nper,-PV,,Type))</f>
        <v/>
      </c>
      <c r="I98" s="69" t="str">
        <f>IF($B98="","",IPMT(Rate,ROWS($1:86),Nper,-PV,,Type))</f>
        <v/>
      </c>
      <c r="J98" s="73" t="str">
        <f t="shared" ref="J98:K98" si="88">IF($B98="","",N(J97)+N(H98))</f>
        <v/>
      </c>
      <c r="K98" s="74" t="str">
        <f t="shared" si="88"/>
        <v/>
      </c>
      <c r="L98" s="69" t="str">
        <f>IF($B98="","",PV-J98)</f>
        <v/>
      </c>
      <c r="M98" s="71" t="str">
        <f>IF($B98="","",J98/PV)</f>
        <v/>
      </c>
      <c r="N98" s="72" t="str">
        <f t="shared" si="4"/>
        <v/>
      </c>
    </row>
    <row r="99" ht="14.25" customHeight="1">
      <c r="B99" s="66" t="str">
        <f>IF(ROWS($1:87)&lt;=Nper,ROWS($1:87),"")</f>
        <v/>
      </c>
      <c r="C99" s="67" t="str">
        <f>IF($B99="","",IF($E$7="Weekly",Start_Date+7*(ROWS($1:87)-1),EDATE(Start_Date,VLOOKUP(IF(ASTemp!$E$7="","Monthly",ASTemp!$E$7),Parameters!$B$3:$D$6,3,0)*(ROWS($1:87)-1))))</f>
        <v/>
      </c>
      <c r="D99" s="68" t="str">
        <f t="shared" si="2"/>
        <v/>
      </c>
      <c r="E99" s="65" t="str">
        <f>IF($B99="","",VLOOKUP(MONTH(C99),Parameters!$F$2:$G$13,2,0))</f>
        <v/>
      </c>
      <c r="F99" s="69" t="str">
        <f>IF($B99="","",PV-N(J98))</f>
        <v/>
      </c>
      <c r="G99" s="69" t="str">
        <f>IF($B99="","",PMT(Rate,Nper,-PV,,Type))</f>
        <v/>
      </c>
      <c r="H99" s="69" t="str">
        <f>IF($B99="","",PPMT(Rate,ROWS($1:87),Nper,-PV,,Type))</f>
        <v/>
      </c>
      <c r="I99" s="69" t="str">
        <f>IF($B99="","",IPMT(Rate,ROWS($1:87),Nper,-PV,,Type))</f>
        <v/>
      </c>
      <c r="J99" s="73" t="str">
        <f t="shared" ref="J99:K99" si="89">IF($B99="","",N(J98)+N(H99))</f>
        <v/>
      </c>
      <c r="K99" s="74" t="str">
        <f t="shared" si="89"/>
        <v/>
      </c>
      <c r="L99" s="69" t="str">
        <f>IF($B99="","",PV-J99)</f>
        <v/>
      </c>
      <c r="M99" s="71" t="str">
        <f>IF($B99="","",J99/PV)</f>
        <v/>
      </c>
      <c r="N99" s="72" t="str">
        <f t="shared" si="4"/>
        <v/>
      </c>
    </row>
    <row r="100" ht="14.25" customHeight="1">
      <c r="B100" s="66" t="str">
        <f>IF(ROWS($1:88)&lt;=Nper,ROWS($1:88),"")</f>
        <v/>
      </c>
      <c r="C100" s="67" t="str">
        <f>IF($B100="","",IF($E$7="Weekly",Start_Date+7*(ROWS($1:88)-1),EDATE(Start_Date,VLOOKUP(IF(ASTemp!$E$7="","Monthly",ASTemp!$E$7),Parameters!$B$3:$D$6,3,0)*(ROWS($1:88)-1))))</f>
        <v/>
      </c>
      <c r="D100" s="68" t="str">
        <f t="shared" si="2"/>
        <v/>
      </c>
      <c r="E100" s="65" t="str">
        <f>IF($B100="","",VLOOKUP(MONTH(C100),Parameters!$F$2:$G$13,2,0))</f>
        <v/>
      </c>
      <c r="F100" s="69" t="str">
        <f>IF($B100="","",PV-N(J99))</f>
        <v/>
      </c>
      <c r="G100" s="69" t="str">
        <f>IF($B100="","",PMT(Rate,Nper,-PV,,Type))</f>
        <v/>
      </c>
      <c r="H100" s="69" t="str">
        <f>IF($B100="","",PPMT(Rate,ROWS($1:88),Nper,-PV,,Type))</f>
        <v/>
      </c>
      <c r="I100" s="69" t="str">
        <f>IF($B100="","",IPMT(Rate,ROWS($1:88),Nper,-PV,,Type))</f>
        <v/>
      </c>
      <c r="J100" s="73" t="str">
        <f t="shared" ref="J100:K100" si="90">IF($B100="","",N(J99)+N(H100))</f>
        <v/>
      </c>
      <c r="K100" s="74" t="str">
        <f t="shared" si="90"/>
        <v/>
      </c>
      <c r="L100" s="69" t="str">
        <f>IF($B100="","",PV-J100)</f>
        <v/>
      </c>
      <c r="M100" s="71" t="str">
        <f>IF($B100="","",J100/PV)</f>
        <v/>
      </c>
      <c r="N100" s="72" t="str">
        <f t="shared" si="4"/>
        <v/>
      </c>
    </row>
    <row r="101" ht="14.25" customHeight="1">
      <c r="B101" s="66" t="str">
        <f>IF(ROWS($1:89)&lt;=Nper,ROWS($1:89),"")</f>
        <v/>
      </c>
      <c r="C101" s="67" t="str">
        <f>IF($B101="","",IF($E$7="Weekly",Start_Date+7*(ROWS($1:89)-1),EDATE(Start_Date,VLOOKUP(IF(ASTemp!$E$7="","Monthly",ASTemp!$E$7),Parameters!$B$3:$D$6,3,0)*(ROWS($1:89)-1))))</f>
        <v/>
      </c>
      <c r="D101" s="68" t="str">
        <f t="shared" si="2"/>
        <v/>
      </c>
      <c r="E101" s="65" t="str">
        <f>IF($B101="","",VLOOKUP(MONTH(C101),Parameters!$F$2:$G$13,2,0))</f>
        <v/>
      </c>
      <c r="F101" s="69" t="str">
        <f>IF($B101="","",PV-N(J100))</f>
        <v/>
      </c>
      <c r="G101" s="69" t="str">
        <f>IF($B101="","",PMT(Rate,Nper,-PV,,Type))</f>
        <v/>
      </c>
      <c r="H101" s="69" t="str">
        <f>IF($B101="","",PPMT(Rate,ROWS($1:89),Nper,-PV,,Type))</f>
        <v/>
      </c>
      <c r="I101" s="69" t="str">
        <f>IF($B101="","",IPMT(Rate,ROWS($1:89),Nper,-PV,,Type))</f>
        <v/>
      </c>
      <c r="J101" s="73" t="str">
        <f t="shared" ref="J101:K101" si="91">IF($B101="","",N(J100)+N(H101))</f>
        <v/>
      </c>
      <c r="K101" s="74" t="str">
        <f t="shared" si="91"/>
        <v/>
      </c>
      <c r="L101" s="69" t="str">
        <f>IF($B101="","",PV-J101)</f>
        <v/>
      </c>
      <c r="M101" s="71" t="str">
        <f>IF($B101="","",J101/PV)</f>
        <v/>
      </c>
      <c r="N101" s="72" t="str">
        <f t="shared" si="4"/>
        <v/>
      </c>
    </row>
    <row r="102" ht="14.25" customHeight="1">
      <c r="B102" s="66" t="str">
        <f>IF(ROWS($1:90)&lt;=Nper,ROWS($1:90),"")</f>
        <v/>
      </c>
      <c r="C102" s="67" t="str">
        <f>IF($B102="","",IF($E$7="Weekly",Start_Date+7*(ROWS($1:90)-1),EDATE(Start_Date,VLOOKUP(IF(ASTemp!$E$7="","Monthly",ASTemp!$E$7),Parameters!$B$3:$D$6,3,0)*(ROWS($1:90)-1))))</f>
        <v/>
      </c>
      <c r="D102" s="68" t="str">
        <f t="shared" si="2"/>
        <v/>
      </c>
      <c r="E102" s="65" t="str">
        <f>IF($B102="","",VLOOKUP(MONTH(C102),Parameters!$F$2:$G$13,2,0))</f>
        <v/>
      </c>
      <c r="F102" s="69" t="str">
        <f>IF($B102="","",PV-N(J101))</f>
        <v/>
      </c>
      <c r="G102" s="69" t="str">
        <f>IF($B102="","",PMT(Rate,Nper,-PV,,Type))</f>
        <v/>
      </c>
      <c r="H102" s="69" t="str">
        <f>IF($B102="","",PPMT(Rate,ROWS($1:90),Nper,-PV,,Type))</f>
        <v/>
      </c>
      <c r="I102" s="69" t="str">
        <f>IF($B102="","",IPMT(Rate,ROWS($1:90),Nper,-PV,,Type))</f>
        <v/>
      </c>
      <c r="J102" s="73" t="str">
        <f t="shared" ref="J102:K102" si="92">IF($B102="","",N(J101)+N(H102))</f>
        <v/>
      </c>
      <c r="K102" s="74" t="str">
        <f t="shared" si="92"/>
        <v/>
      </c>
      <c r="L102" s="69" t="str">
        <f>IF($B102="","",PV-J102)</f>
        <v/>
      </c>
      <c r="M102" s="71" t="str">
        <f>IF($B102="","",J102/PV)</f>
        <v/>
      </c>
      <c r="N102" s="72" t="str">
        <f t="shared" si="4"/>
        <v/>
      </c>
    </row>
    <row r="103" ht="14.25" customHeight="1">
      <c r="B103" s="66" t="str">
        <f>IF(ROWS($1:91)&lt;=Nper,ROWS($1:91),"")</f>
        <v/>
      </c>
      <c r="C103" s="67" t="str">
        <f>IF($B103="","",IF($E$7="Weekly",Start_Date+7*(ROWS($1:91)-1),EDATE(Start_Date,VLOOKUP(IF(ASTemp!$E$7="","Monthly",ASTemp!$E$7),Parameters!$B$3:$D$6,3,0)*(ROWS($1:91)-1))))</f>
        <v/>
      </c>
      <c r="D103" s="68" t="str">
        <f t="shared" si="2"/>
        <v/>
      </c>
      <c r="E103" s="65" t="str">
        <f>IF($B103="","",VLOOKUP(MONTH(C103),Parameters!$F$2:$G$13,2,0))</f>
        <v/>
      </c>
      <c r="F103" s="69" t="str">
        <f>IF($B103="","",PV-N(J102))</f>
        <v/>
      </c>
      <c r="G103" s="69" t="str">
        <f>IF($B103="","",PMT(Rate,Nper,-PV,,Type))</f>
        <v/>
      </c>
      <c r="H103" s="69" t="str">
        <f>IF($B103="","",PPMT(Rate,ROWS($1:91),Nper,-PV,,Type))</f>
        <v/>
      </c>
      <c r="I103" s="69" t="str">
        <f>IF($B103="","",IPMT(Rate,ROWS($1:91),Nper,-PV,,Type))</f>
        <v/>
      </c>
      <c r="J103" s="73" t="str">
        <f t="shared" ref="J103:K103" si="93">IF($B103="","",N(J102)+N(H103))</f>
        <v/>
      </c>
      <c r="K103" s="74" t="str">
        <f t="shared" si="93"/>
        <v/>
      </c>
      <c r="L103" s="69" t="str">
        <f>IF($B103="","",PV-J103)</f>
        <v/>
      </c>
      <c r="M103" s="71" t="str">
        <f>IF($B103="","",J103/PV)</f>
        <v/>
      </c>
      <c r="N103" s="72" t="str">
        <f t="shared" si="4"/>
        <v/>
      </c>
    </row>
    <row r="104" ht="14.25" customHeight="1">
      <c r="B104" s="66" t="str">
        <f>IF(ROWS($1:92)&lt;=Nper,ROWS($1:92),"")</f>
        <v/>
      </c>
      <c r="C104" s="67" t="str">
        <f>IF($B104="","",IF($E$7="Weekly",Start_Date+7*(ROWS($1:92)-1),EDATE(Start_Date,VLOOKUP(IF(ASTemp!$E$7="","Monthly",ASTemp!$E$7),Parameters!$B$3:$D$6,3,0)*(ROWS($1:92)-1))))</f>
        <v/>
      </c>
      <c r="D104" s="68" t="str">
        <f t="shared" si="2"/>
        <v/>
      </c>
      <c r="E104" s="65" t="str">
        <f>IF($B104="","",VLOOKUP(MONTH(C104),Parameters!$F$2:$G$13,2,0))</f>
        <v/>
      </c>
      <c r="F104" s="69" t="str">
        <f>IF($B104="","",PV-N(J103))</f>
        <v/>
      </c>
      <c r="G104" s="69" t="str">
        <f>IF($B104="","",PMT(Rate,Nper,-PV,,Type))</f>
        <v/>
      </c>
      <c r="H104" s="69" t="str">
        <f>IF($B104="","",PPMT(Rate,ROWS($1:92),Nper,-PV,,Type))</f>
        <v/>
      </c>
      <c r="I104" s="69" t="str">
        <f>IF($B104="","",IPMT(Rate,ROWS($1:92),Nper,-PV,,Type))</f>
        <v/>
      </c>
      <c r="J104" s="73" t="str">
        <f t="shared" ref="J104:K104" si="94">IF($B104="","",N(J103)+N(H104))</f>
        <v/>
      </c>
      <c r="K104" s="74" t="str">
        <f t="shared" si="94"/>
        <v/>
      </c>
      <c r="L104" s="69" t="str">
        <f>IF($B104="","",PV-J104)</f>
        <v/>
      </c>
      <c r="M104" s="71" t="str">
        <f>IF($B104="","",J104/PV)</f>
        <v/>
      </c>
      <c r="N104" s="72" t="str">
        <f t="shared" si="4"/>
        <v/>
      </c>
    </row>
    <row r="105" ht="14.25" customHeight="1">
      <c r="B105" s="66" t="str">
        <f>IF(ROWS($1:93)&lt;=Nper,ROWS($1:93),"")</f>
        <v/>
      </c>
      <c r="C105" s="67" t="str">
        <f>IF($B105="","",IF($E$7="Weekly",Start_Date+7*(ROWS($1:93)-1),EDATE(Start_Date,VLOOKUP(IF(ASTemp!$E$7="","Monthly",ASTemp!$E$7),Parameters!$B$3:$D$6,3,0)*(ROWS($1:93)-1))))</f>
        <v/>
      </c>
      <c r="D105" s="68" t="str">
        <f t="shared" si="2"/>
        <v/>
      </c>
      <c r="E105" s="65" t="str">
        <f>IF($B105="","",VLOOKUP(MONTH(C105),Parameters!$F$2:$G$13,2,0))</f>
        <v/>
      </c>
      <c r="F105" s="69" t="str">
        <f>IF($B105="","",PV-N(J104))</f>
        <v/>
      </c>
      <c r="G105" s="69" t="str">
        <f>IF($B105="","",PMT(Rate,Nper,-PV,,Type))</f>
        <v/>
      </c>
      <c r="H105" s="69" t="str">
        <f>IF($B105="","",PPMT(Rate,ROWS($1:93),Nper,-PV,,Type))</f>
        <v/>
      </c>
      <c r="I105" s="69" t="str">
        <f>IF($B105="","",IPMT(Rate,ROWS($1:93),Nper,-PV,,Type))</f>
        <v/>
      </c>
      <c r="J105" s="73" t="str">
        <f t="shared" ref="J105:K105" si="95">IF($B105="","",N(J104)+N(H105))</f>
        <v/>
      </c>
      <c r="K105" s="74" t="str">
        <f t="shared" si="95"/>
        <v/>
      </c>
      <c r="L105" s="69" t="str">
        <f>IF($B105="","",PV-J105)</f>
        <v/>
      </c>
      <c r="M105" s="71" t="str">
        <f>IF($B105="","",J105/PV)</f>
        <v/>
      </c>
      <c r="N105" s="72" t="str">
        <f t="shared" si="4"/>
        <v/>
      </c>
    </row>
    <row r="106" ht="14.25" customHeight="1">
      <c r="B106" s="66" t="str">
        <f>IF(ROWS($1:94)&lt;=Nper,ROWS($1:94),"")</f>
        <v/>
      </c>
      <c r="C106" s="67" t="str">
        <f>IF($B106="","",IF($E$7="Weekly",Start_Date+7*(ROWS($1:94)-1),EDATE(Start_Date,VLOOKUP(IF(ASTemp!$E$7="","Monthly",ASTemp!$E$7),Parameters!$B$3:$D$6,3,0)*(ROWS($1:94)-1))))</f>
        <v/>
      </c>
      <c r="D106" s="68" t="str">
        <f t="shared" si="2"/>
        <v/>
      </c>
      <c r="E106" s="65" t="str">
        <f>IF($B106="","",VLOOKUP(MONTH(C106),Parameters!$F$2:$G$13,2,0))</f>
        <v/>
      </c>
      <c r="F106" s="69" t="str">
        <f>IF($B106="","",PV-N(J105))</f>
        <v/>
      </c>
      <c r="G106" s="69" t="str">
        <f>IF($B106="","",PMT(Rate,Nper,-PV,,Type))</f>
        <v/>
      </c>
      <c r="H106" s="69" t="str">
        <f>IF($B106="","",PPMT(Rate,ROWS($1:94),Nper,-PV,,Type))</f>
        <v/>
      </c>
      <c r="I106" s="69" t="str">
        <f>IF($B106="","",IPMT(Rate,ROWS($1:94),Nper,-PV,,Type))</f>
        <v/>
      </c>
      <c r="J106" s="73" t="str">
        <f t="shared" ref="J106:K106" si="96">IF($B106="","",N(J105)+N(H106))</f>
        <v/>
      </c>
      <c r="K106" s="74" t="str">
        <f t="shared" si="96"/>
        <v/>
      </c>
      <c r="L106" s="69" t="str">
        <f>IF($B106="","",PV-J106)</f>
        <v/>
      </c>
      <c r="M106" s="71" t="str">
        <f>IF($B106="","",J106/PV)</f>
        <v/>
      </c>
      <c r="N106" s="72" t="str">
        <f t="shared" si="4"/>
        <v/>
      </c>
    </row>
    <row r="107" ht="14.25" customHeight="1">
      <c r="B107" s="66" t="str">
        <f>IF(ROWS($1:95)&lt;=Nper,ROWS($1:95),"")</f>
        <v/>
      </c>
      <c r="C107" s="67" t="str">
        <f>IF($B107="","",IF($E$7="Weekly",Start_Date+7*(ROWS($1:95)-1),EDATE(Start_Date,VLOOKUP(IF(ASTemp!$E$7="","Monthly",ASTemp!$E$7),Parameters!$B$3:$D$6,3,0)*(ROWS($1:95)-1))))</f>
        <v/>
      </c>
      <c r="D107" s="68" t="str">
        <f t="shared" si="2"/>
        <v/>
      </c>
      <c r="E107" s="65" t="str">
        <f>IF($B107="","",VLOOKUP(MONTH(C107),Parameters!$F$2:$G$13,2,0))</f>
        <v/>
      </c>
      <c r="F107" s="69" t="str">
        <f>IF($B107="","",PV-N(J106))</f>
        <v/>
      </c>
      <c r="G107" s="69" t="str">
        <f>IF($B107="","",PMT(Rate,Nper,-PV,,Type))</f>
        <v/>
      </c>
      <c r="H107" s="69" t="str">
        <f>IF($B107="","",PPMT(Rate,ROWS($1:95),Nper,-PV,,Type))</f>
        <v/>
      </c>
      <c r="I107" s="69" t="str">
        <f>IF($B107="","",IPMT(Rate,ROWS($1:95),Nper,-PV,,Type))</f>
        <v/>
      </c>
      <c r="J107" s="73" t="str">
        <f t="shared" ref="J107:K107" si="97">IF($B107="","",N(J106)+N(H107))</f>
        <v/>
      </c>
      <c r="K107" s="74" t="str">
        <f t="shared" si="97"/>
        <v/>
      </c>
      <c r="L107" s="69" t="str">
        <f>IF($B107="","",PV-J107)</f>
        <v/>
      </c>
      <c r="M107" s="71" t="str">
        <f>IF($B107="","",J107/PV)</f>
        <v/>
      </c>
      <c r="N107" s="72" t="str">
        <f t="shared" si="4"/>
        <v/>
      </c>
    </row>
    <row r="108" ht="14.25" customHeight="1">
      <c r="B108" s="66" t="str">
        <f>IF(ROWS($1:96)&lt;=Nper,ROWS($1:96),"")</f>
        <v/>
      </c>
      <c r="C108" s="67" t="str">
        <f>IF($B108="","",IF($E$7="Weekly",Start_Date+7*(ROWS($1:96)-1),EDATE(Start_Date,VLOOKUP(IF(ASTemp!$E$7="","Monthly",ASTemp!$E$7),Parameters!$B$3:$D$6,3,0)*(ROWS($1:96)-1))))</f>
        <v/>
      </c>
      <c r="D108" s="68" t="str">
        <f t="shared" si="2"/>
        <v/>
      </c>
      <c r="E108" s="65" t="str">
        <f>IF($B108="","",VLOOKUP(MONTH(C108),Parameters!$F$2:$G$13,2,0))</f>
        <v/>
      </c>
      <c r="F108" s="69" t="str">
        <f>IF($B108="","",PV-N(J107))</f>
        <v/>
      </c>
      <c r="G108" s="69" t="str">
        <f>IF($B108="","",PMT(Rate,Nper,-PV,,Type))</f>
        <v/>
      </c>
      <c r="H108" s="69" t="str">
        <f>IF($B108="","",PPMT(Rate,ROWS($1:96),Nper,-PV,,Type))</f>
        <v/>
      </c>
      <c r="I108" s="69" t="str">
        <f>IF($B108="","",IPMT(Rate,ROWS($1:96),Nper,-PV,,Type))</f>
        <v/>
      </c>
      <c r="J108" s="73" t="str">
        <f t="shared" ref="J108:K108" si="98">IF($B108="","",N(J107)+N(H108))</f>
        <v/>
      </c>
      <c r="K108" s="74" t="str">
        <f t="shared" si="98"/>
        <v/>
      </c>
      <c r="L108" s="69" t="str">
        <f>IF($B108="","",PV-J108)</f>
        <v/>
      </c>
      <c r="M108" s="71" t="str">
        <f>IF($B108="","",J108/PV)</f>
        <v/>
      </c>
      <c r="N108" s="72" t="str">
        <f t="shared" si="4"/>
        <v/>
      </c>
    </row>
    <row r="109" ht="14.25" customHeight="1">
      <c r="B109" s="66" t="str">
        <f>IF(ROWS($1:97)&lt;=Nper,ROWS($1:97),"")</f>
        <v/>
      </c>
      <c r="C109" s="67" t="str">
        <f>IF($B109="","",IF($E$7="Weekly",Start_Date+7*(ROWS($1:97)-1),EDATE(Start_Date,VLOOKUP(IF(ASTemp!$E$7="","Monthly",ASTemp!$E$7),Parameters!$B$3:$D$6,3,0)*(ROWS($1:97)-1))))</f>
        <v/>
      </c>
      <c r="D109" s="68" t="str">
        <f t="shared" si="2"/>
        <v/>
      </c>
      <c r="E109" s="65" t="str">
        <f>IF($B109="","",VLOOKUP(MONTH(C109),Parameters!$F$2:$G$13,2,0))</f>
        <v/>
      </c>
      <c r="F109" s="69" t="str">
        <f>IF($B109="","",PV-N(J108))</f>
        <v/>
      </c>
      <c r="G109" s="69" t="str">
        <f>IF($B109="","",PMT(Rate,Nper,-PV,,Type))</f>
        <v/>
      </c>
      <c r="H109" s="69" t="str">
        <f>IF($B109="","",PPMT(Rate,ROWS($1:97),Nper,-PV,,Type))</f>
        <v/>
      </c>
      <c r="I109" s="69" t="str">
        <f>IF($B109="","",IPMT(Rate,ROWS($1:97),Nper,-PV,,Type))</f>
        <v/>
      </c>
      <c r="J109" s="73" t="str">
        <f t="shared" ref="J109:K109" si="99">IF($B109="","",N(J108)+N(H109))</f>
        <v/>
      </c>
      <c r="K109" s="74" t="str">
        <f t="shared" si="99"/>
        <v/>
      </c>
      <c r="L109" s="69" t="str">
        <f>IF($B109="","",PV-J109)</f>
        <v/>
      </c>
      <c r="M109" s="71" t="str">
        <f>IF($B109="","",J109/PV)</f>
        <v/>
      </c>
      <c r="N109" s="72" t="str">
        <f t="shared" si="4"/>
        <v/>
      </c>
    </row>
    <row r="110" ht="14.25" customHeight="1">
      <c r="B110" s="66" t="str">
        <f>IF(ROWS($1:98)&lt;=Nper,ROWS($1:98),"")</f>
        <v/>
      </c>
      <c r="C110" s="67" t="str">
        <f>IF($B110="","",IF($E$7="Weekly",Start_Date+7*(ROWS($1:98)-1),EDATE(Start_Date,VLOOKUP(IF(ASTemp!$E$7="","Monthly",ASTemp!$E$7),Parameters!$B$3:$D$6,3,0)*(ROWS($1:98)-1))))</f>
        <v/>
      </c>
      <c r="D110" s="68" t="str">
        <f t="shared" si="2"/>
        <v/>
      </c>
      <c r="E110" s="65" t="str">
        <f>IF($B110="","",VLOOKUP(MONTH(C110),Parameters!$F$2:$G$13,2,0))</f>
        <v/>
      </c>
      <c r="F110" s="69" t="str">
        <f>IF($B110="","",PV-N(J109))</f>
        <v/>
      </c>
      <c r="G110" s="69" t="str">
        <f>IF($B110="","",PMT(Rate,Nper,-PV,,Type))</f>
        <v/>
      </c>
      <c r="H110" s="69" t="str">
        <f>IF($B110="","",PPMT(Rate,ROWS($1:98),Nper,-PV,,Type))</f>
        <v/>
      </c>
      <c r="I110" s="69" t="str">
        <f>IF($B110="","",IPMT(Rate,ROWS($1:98),Nper,-PV,,Type))</f>
        <v/>
      </c>
      <c r="J110" s="73" t="str">
        <f t="shared" ref="J110:K110" si="100">IF($B110="","",N(J109)+N(H110))</f>
        <v/>
      </c>
      <c r="K110" s="74" t="str">
        <f t="shared" si="100"/>
        <v/>
      </c>
      <c r="L110" s="69" t="str">
        <f>IF($B110="","",PV-J110)</f>
        <v/>
      </c>
      <c r="M110" s="71" t="str">
        <f>IF($B110="","",J110/PV)</f>
        <v/>
      </c>
      <c r="N110" s="72" t="str">
        <f t="shared" si="4"/>
        <v/>
      </c>
    </row>
    <row r="111" ht="14.25" customHeight="1">
      <c r="B111" s="66" t="str">
        <f>IF(ROWS($1:99)&lt;=Nper,ROWS($1:99),"")</f>
        <v/>
      </c>
      <c r="C111" s="67" t="str">
        <f>IF($B111="","",IF($E$7="Weekly",Start_Date+7*(ROWS($1:99)-1),EDATE(Start_Date,VLOOKUP(IF(ASTemp!$E$7="","Monthly",ASTemp!$E$7),Parameters!$B$3:$D$6,3,0)*(ROWS($1:99)-1))))</f>
        <v/>
      </c>
      <c r="D111" s="68" t="str">
        <f t="shared" si="2"/>
        <v/>
      </c>
      <c r="E111" s="65" t="str">
        <f>IF($B111="","",VLOOKUP(MONTH(C111),Parameters!$F$2:$G$13,2,0))</f>
        <v/>
      </c>
      <c r="F111" s="69" t="str">
        <f>IF($B111="","",PV-N(J110))</f>
        <v/>
      </c>
      <c r="G111" s="69" t="str">
        <f>IF($B111="","",PMT(Rate,Nper,-PV,,Type))</f>
        <v/>
      </c>
      <c r="H111" s="69" t="str">
        <f>IF($B111="","",PPMT(Rate,ROWS($1:99),Nper,-PV,,Type))</f>
        <v/>
      </c>
      <c r="I111" s="69" t="str">
        <f>IF($B111="","",IPMT(Rate,ROWS($1:99),Nper,-PV,,Type))</f>
        <v/>
      </c>
      <c r="J111" s="73" t="str">
        <f t="shared" ref="J111:K111" si="101">IF($B111="","",N(J110)+N(H111))</f>
        <v/>
      </c>
      <c r="K111" s="74" t="str">
        <f t="shared" si="101"/>
        <v/>
      </c>
      <c r="L111" s="69" t="str">
        <f>IF($B111="","",PV-J111)</f>
        <v/>
      </c>
      <c r="M111" s="71" t="str">
        <f>IF($B111="","",J111/PV)</f>
        <v/>
      </c>
      <c r="N111" s="72" t="str">
        <f t="shared" si="4"/>
        <v/>
      </c>
    </row>
    <row r="112" ht="14.25" customHeight="1">
      <c r="B112" s="66" t="str">
        <f>IF(ROWS($1:100)&lt;=Nper,ROWS($1:100),"")</f>
        <v/>
      </c>
      <c r="C112" s="67" t="str">
        <f>IF($B112="","",IF($E$7="Weekly",Start_Date+7*(ROWS($1:100)-1),EDATE(Start_Date,VLOOKUP(IF(ASTemp!$E$7="","Monthly",ASTemp!$E$7),Parameters!$B$3:$D$6,3,0)*(ROWS($1:100)-1))))</f>
        <v/>
      </c>
      <c r="D112" s="68" t="str">
        <f t="shared" si="2"/>
        <v/>
      </c>
      <c r="E112" s="65" t="str">
        <f>IF($B112="","",VLOOKUP(MONTH(C112),Parameters!$F$2:$G$13,2,0))</f>
        <v/>
      </c>
      <c r="F112" s="69" t="str">
        <f>IF($B112="","",PV-N(J111))</f>
        <v/>
      </c>
      <c r="G112" s="69" t="str">
        <f>IF($B112="","",PMT(Rate,Nper,-PV,,Type))</f>
        <v/>
      </c>
      <c r="H112" s="69" t="str">
        <f>IF($B112="","",PPMT(Rate,ROWS($1:100),Nper,-PV,,Type))</f>
        <v/>
      </c>
      <c r="I112" s="69" t="str">
        <f>IF($B112="","",IPMT(Rate,ROWS($1:100),Nper,-PV,,Type))</f>
        <v/>
      </c>
      <c r="J112" s="73" t="str">
        <f t="shared" ref="J112:K112" si="102">IF($B112="","",N(J111)+N(H112))</f>
        <v/>
      </c>
      <c r="K112" s="74" t="str">
        <f t="shared" si="102"/>
        <v/>
      </c>
      <c r="L112" s="69" t="str">
        <f>IF($B112="","",PV-J112)</f>
        <v/>
      </c>
      <c r="M112" s="71" t="str">
        <f>IF($B112="","",J112/PV)</f>
        <v/>
      </c>
      <c r="N112" s="72" t="str">
        <f t="shared" si="4"/>
        <v/>
      </c>
    </row>
    <row r="113" ht="14.25" customHeight="1">
      <c r="B113" s="66" t="str">
        <f>IF(ROWS($1:101)&lt;=Nper,ROWS($1:101),"")</f>
        <v/>
      </c>
      <c r="C113" s="67" t="str">
        <f>IF($B113="","",IF($E$7="Weekly",Start_Date+7*(ROWS($1:101)-1),EDATE(Start_Date,VLOOKUP(IF(ASTemp!$E$7="","Monthly",ASTemp!$E$7),Parameters!$B$3:$D$6,3,0)*(ROWS($1:101)-1))))</f>
        <v/>
      </c>
      <c r="D113" s="68" t="str">
        <f t="shared" si="2"/>
        <v/>
      </c>
      <c r="E113" s="65" t="str">
        <f>IF($B113="","",VLOOKUP(MONTH(C113),Parameters!$F$2:$G$13,2,0))</f>
        <v/>
      </c>
      <c r="F113" s="69" t="str">
        <f>IF($B113="","",PV-N(J112))</f>
        <v/>
      </c>
      <c r="G113" s="69" t="str">
        <f>IF($B113="","",PMT(Rate,Nper,-PV,,Type))</f>
        <v/>
      </c>
      <c r="H113" s="69" t="str">
        <f>IF($B113="","",PPMT(Rate,ROWS($1:101),Nper,-PV,,Type))</f>
        <v/>
      </c>
      <c r="I113" s="69" t="str">
        <f>IF($B113="","",IPMT(Rate,ROWS($1:101),Nper,-PV,,Type))</f>
        <v/>
      </c>
      <c r="J113" s="73" t="str">
        <f t="shared" ref="J113:K113" si="103">IF($B113="","",N(J112)+N(H113))</f>
        <v/>
      </c>
      <c r="K113" s="74" t="str">
        <f t="shared" si="103"/>
        <v/>
      </c>
      <c r="L113" s="69" t="str">
        <f>IF($B113="","",PV-J113)</f>
        <v/>
      </c>
      <c r="M113" s="71" t="str">
        <f>IF($B113="","",J113/PV)</f>
        <v/>
      </c>
      <c r="N113" s="72" t="str">
        <f t="shared" si="4"/>
        <v/>
      </c>
    </row>
    <row r="114" ht="14.25" customHeight="1">
      <c r="B114" s="66" t="str">
        <f>IF(ROWS($1:102)&lt;=Nper,ROWS($1:102),"")</f>
        <v/>
      </c>
      <c r="C114" s="67" t="str">
        <f>IF($B114="","",IF($E$7="Weekly",Start_Date+7*(ROWS($1:102)-1),EDATE(Start_Date,VLOOKUP(IF(ASTemp!$E$7="","Monthly",ASTemp!$E$7),Parameters!$B$3:$D$6,3,0)*(ROWS($1:102)-1))))</f>
        <v/>
      </c>
      <c r="D114" s="68" t="str">
        <f t="shared" si="2"/>
        <v/>
      </c>
      <c r="E114" s="65" t="str">
        <f>IF($B114="","",VLOOKUP(MONTH(C114),Parameters!$F$2:$G$13,2,0))</f>
        <v/>
      </c>
      <c r="F114" s="69" t="str">
        <f>IF($B114="","",PV-N(J113))</f>
        <v/>
      </c>
      <c r="G114" s="69" t="str">
        <f>IF($B114="","",PMT(Rate,Nper,-PV,,Type))</f>
        <v/>
      </c>
      <c r="H114" s="69" t="str">
        <f>IF($B114="","",PPMT(Rate,ROWS($1:102),Nper,-PV,,Type))</f>
        <v/>
      </c>
      <c r="I114" s="69" t="str">
        <f>IF($B114="","",IPMT(Rate,ROWS($1:102),Nper,-PV,,Type))</f>
        <v/>
      </c>
      <c r="J114" s="73" t="str">
        <f t="shared" ref="J114:K114" si="104">IF($B114="","",N(J113)+N(H114))</f>
        <v/>
      </c>
      <c r="K114" s="74" t="str">
        <f t="shared" si="104"/>
        <v/>
      </c>
      <c r="L114" s="69" t="str">
        <f>IF($B114="","",PV-J114)</f>
        <v/>
      </c>
      <c r="M114" s="71" t="str">
        <f>IF($B114="","",J114/PV)</f>
        <v/>
      </c>
      <c r="N114" s="72" t="str">
        <f t="shared" si="4"/>
        <v/>
      </c>
    </row>
    <row r="115" ht="14.25" customHeight="1">
      <c r="B115" s="66" t="str">
        <f>IF(ROWS($1:103)&lt;=Nper,ROWS($1:103),"")</f>
        <v/>
      </c>
      <c r="C115" s="67" t="str">
        <f>IF($B115="","",IF($E$7="Weekly",Start_Date+7*(ROWS($1:103)-1),EDATE(Start_Date,VLOOKUP(IF(ASTemp!$E$7="","Monthly",ASTemp!$E$7),Parameters!$B$3:$D$6,3,0)*(ROWS($1:103)-1))))</f>
        <v/>
      </c>
      <c r="D115" s="68" t="str">
        <f t="shared" si="2"/>
        <v/>
      </c>
      <c r="E115" s="65" t="str">
        <f>IF($B115="","",VLOOKUP(MONTH(C115),Parameters!$F$2:$G$13,2,0))</f>
        <v/>
      </c>
      <c r="F115" s="69" t="str">
        <f>IF($B115="","",PV-N(J114))</f>
        <v/>
      </c>
      <c r="G115" s="69" t="str">
        <f>IF($B115="","",PMT(Rate,Nper,-PV,,Type))</f>
        <v/>
      </c>
      <c r="H115" s="69" t="str">
        <f>IF($B115="","",PPMT(Rate,ROWS($1:103),Nper,-PV,,Type))</f>
        <v/>
      </c>
      <c r="I115" s="69" t="str">
        <f>IF($B115="","",IPMT(Rate,ROWS($1:103),Nper,-PV,,Type))</f>
        <v/>
      </c>
      <c r="J115" s="73" t="str">
        <f t="shared" ref="J115:K115" si="105">IF($B115="","",N(J114)+N(H115))</f>
        <v/>
      </c>
      <c r="K115" s="74" t="str">
        <f t="shared" si="105"/>
        <v/>
      </c>
      <c r="L115" s="69" t="str">
        <f>IF($B115="","",PV-J115)</f>
        <v/>
      </c>
      <c r="M115" s="71" t="str">
        <f>IF($B115="","",J115/PV)</f>
        <v/>
      </c>
      <c r="N115" s="72" t="str">
        <f t="shared" si="4"/>
        <v/>
      </c>
    </row>
    <row r="116" ht="14.25" customHeight="1">
      <c r="B116" s="66" t="str">
        <f>IF(ROWS($1:104)&lt;=Nper,ROWS($1:104),"")</f>
        <v/>
      </c>
      <c r="C116" s="67" t="str">
        <f>IF($B116="","",IF($E$7="Weekly",Start_Date+7*(ROWS($1:104)-1),EDATE(Start_Date,VLOOKUP(IF(ASTemp!$E$7="","Monthly",ASTemp!$E$7),Parameters!$B$3:$D$6,3,0)*(ROWS($1:104)-1))))</f>
        <v/>
      </c>
      <c r="D116" s="68" t="str">
        <f t="shared" si="2"/>
        <v/>
      </c>
      <c r="E116" s="65" t="str">
        <f>IF($B116="","",VLOOKUP(MONTH(C116),Parameters!$F$2:$G$13,2,0))</f>
        <v/>
      </c>
      <c r="F116" s="69" t="str">
        <f>IF($B116="","",PV-N(J115))</f>
        <v/>
      </c>
      <c r="G116" s="69" t="str">
        <f>IF($B116="","",PMT(Rate,Nper,-PV,,Type))</f>
        <v/>
      </c>
      <c r="H116" s="69" t="str">
        <f>IF($B116="","",PPMT(Rate,ROWS($1:104),Nper,-PV,,Type))</f>
        <v/>
      </c>
      <c r="I116" s="69" t="str">
        <f>IF($B116="","",IPMT(Rate,ROWS($1:104),Nper,-PV,,Type))</f>
        <v/>
      </c>
      <c r="J116" s="73" t="str">
        <f t="shared" ref="J116:K116" si="106">IF($B116="","",N(J115)+N(H116))</f>
        <v/>
      </c>
      <c r="K116" s="74" t="str">
        <f t="shared" si="106"/>
        <v/>
      </c>
      <c r="L116" s="69" t="str">
        <f>IF($B116="","",PV-J116)</f>
        <v/>
      </c>
      <c r="M116" s="71" t="str">
        <f>IF($B116="","",J116/PV)</f>
        <v/>
      </c>
      <c r="N116" s="72" t="str">
        <f t="shared" si="4"/>
        <v/>
      </c>
    </row>
    <row r="117" ht="14.25" customHeight="1">
      <c r="B117" s="66" t="str">
        <f>IF(ROWS($1:105)&lt;=Nper,ROWS($1:105),"")</f>
        <v/>
      </c>
      <c r="C117" s="67" t="str">
        <f>IF($B117="","",IF($E$7="Weekly",Start_Date+7*(ROWS($1:105)-1),EDATE(Start_Date,VLOOKUP(IF(ASTemp!$E$7="","Monthly",ASTemp!$E$7),Parameters!$B$3:$D$6,3,0)*(ROWS($1:105)-1))))</f>
        <v/>
      </c>
      <c r="D117" s="68" t="str">
        <f t="shared" si="2"/>
        <v/>
      </c>
      <c r="E117" s="65" t="str">
        <f>IF($B117="","",VLOOKUP(MONTH(C117),Parameters!$F$2:$G$13,2,0))</f>
        <v/>
      </c>
      <c r="F117" s="69" t="str">
        <f>IF($B117="","",PV-N(J116))</f>
        <v/>
      </c>
      <c r="G117" s="69" t="str">
        <f>IF($B117="","",PMT(Rate,Nper,-PV,,Type))</f>
        <v/>
      </c>
      <c r="H117" s="69" t="str">
        <f>IF($B117="","",PPMT(Rate,ROWS($1:105),Nper,-PV,,Type))</f>
        <v/>
      </c>
      <c r="I117" s="69" t="str">
        <f>IF($B117="","",IPMT(Rate,ROWS($1:105),Nper,-PV,,Type))</f>
        <v/>
      </c>
      <c r="J117" s="73" t="str">
        <f t="shared" ref="J117:K117" si="107">IF($B117="","",N(J116)+N(H117))</f>
        <v/>
      </c>
      <c r="K117" s="74" t="str">
        <f t="shared" si="107"/>
        <v/>
      </c>
      <c r="L117" s="69" t="str">
        <f>IF($B117="","",PV-J117)</f>
        <v/>
      </c>
      <c r="M117" s="71" t="str">
        <f>IF($B117="","",J117/PV)</f>
        <v/>
      </c>
      <c r="N117" s="72" t="str">
        <f t="shared" si="4"/>
        <v/>
      </c>
    </row>
    <row r="118" ht="14.25" customHeight="1">
      <c r="B118" s="66" t="str">
        <f>IF(ROWS($1:106)&lt;=Nper,ROWS($1:106),"")</f>
        <v/>
      </c>
      <c r="C118" s="67" t="str">
        <f>IF($B118="","",IF($E$7="Weekly",Start_Date+7*(ROWS($1:106)-1),EDATE(Start_Date,VLOOKUP(IF(ASTemp!$E$7="","Monthly",ASTemp!$E$7),Parameters!$B$3:$D$6,3,0)*(ROWS($1:106)-1))))</f>
        <v/>
      </c>
      <c r="D118" s="68" t="str">
        <f t="shared" si="2"/>
        <v/>
      </c>
      <c r="E118" s="65" t="str">
        <f>IF($B118="","",VLOOKUP(MONTH(C118),Parameters!$F$2:$G$13,2,0))</f>
        <v/>
      </c>
      <c r="F118" s="69" t="str">
        <f>IF($B118="","",PV-N(J117))</f>
        <v/>
      </c>
      <c r="G118" s="69" t="str">
        <f>IF($B118="","",PMT(Rate,Nper,-PV,,Type))</f>
        <v/>
      </c>
      <c r="H118" s="69" t="str">
        <f>IF($B118="","",PPMT(Rate,ROWS($1:106),Nper,-PV,,Type))</f>
        <v/>
      </c>
      <c r="I118" s="69" t="str">
        <f>IF($B118="","",IPMT(Rate,ROWS($1:106),Nper,-PV,,Type))</f>
        <v/>
      </c>
      <c r="J118" s="73" t="str">
        <f t="shared" ref="J118:K118" si="108">IF($B118="","",N(J117)+N(H118))</f>
        <v/>
      </c>
      <c r="K118" s="74" t="str">
        <f t="shared" si="108"/>
        <v/>
      </c>
      <c r="L118" s="69" t="str">
        <f>IF($B118="","",PV-J118)</f>
        <v/>
      </c>
      <c r="M118" s="71" t="str">
        <f>IF($B118="","",J118/PV)</f>
        <v/>
      </c>
      <c r="N118" s="72" t="str">
        <f t="shared" si="4"/>
        <v/>
      </c>
    </row>
    <row r="119" ht="14.25" customHeight="1">
      <c r="B119" s="66" t="str">
        <f>IF(ROWS($1:107)&lt;=Nper,ROWS($1:107),"")</f>
        <v/>
      </c>
      <c r="C119" s="67" t="str">
        <f>IF($B119="","",IF($E$7="Weekly",Start_Date+7*(ROWS($1:107)-1),EDATE(Start_Date,VLOOKUP(IF(ASTemp!$E$7="","Monthly",ASTemp!$E$7),Parameters!$B$3:$D$6,3,0)*(ROWS($1:107)-1))))</f>
        <v/>
      </c>
      <c r="D119" s="68" t="str">
        <f t="shared" si="2"/>
        <v/>
      </c>
      <c r="E119" s="65" t="str">
        <f>IF($B119="","",VLOOKUP(MONTH(C119),Parameters!$F$2:$G$13,2,0))</f>
        <v/>
      </c>
      <c r="F119" s="69" t="str">
        <f>IF($B119="","",PV-N(J118))</f>
        <v/>
      </c>
      <c r="G119" s="69" t="str">
        <f>IF($B119="","",PMT(Rate,Nper,-PV,,Type))</f>
        <v/>
      </c>
      <c r="H119" s="69" t="str">
        <f>IF($B119="","",PPMT(Rate,ROWS($1:107),Nper,-PV,,Type))</f>
        <v/>
      </c>
      <c r="I119" s="69" t="str">
        <f>IF($B119="","",IPMT(Rate,ROWS($1:107),Nper,-PV,,Type))</f>
        <v/>
      </c>
      <c r="J119" s="73" t="str">
        <f t="shared" ref="J119:K119" si="109">IF($B119="","",N(J118)+N(H119))</f>
        <v/>
      </c>
      <c r="K119" s="74" t="str">
        <f t="shared" si="109"/>
        <v/>
      </c>
      <c r="L119" s="69" t="str">
        <f>IF($B119="","",PV-J119)</f>
        <v/>
      </c>
      <c r="M119" s="71" t="str">
        <f>IF($B119="","",J119/PV)</f>
        <v/>
      </c>
      <c r="N119" s="72" t="str">
        <f t="shared" si="4"/>
        <v/>
      </c>
    </row>
    <row r="120" ht="14.25" customHeight="1">
      <c r="B120" s="66" t="str">
        <f>IF(ROWS($1:108)&lt;=Nper,ROWS($1:108),"")</f>
        <v/>
      </c>
      <c r="C120" s="67" t="str">
        <f>IF($B120="","",IF($E$7="Weekly",Start_Date+7*(ROWS($1:108)-1),EDATE(Start_Date,VLOOKUP(IF(ASTemp!$E$7="","Monthly",ASTemp!$E$7),Parameters!$B$3:$D$6,3,0)*(ROWS($1:108)-1))))</f>
        <v/>
      </c>
      <c r="D120" s="68" t="str">
        <f t="shared" si="2"/>
        <v/>
      </c>
      <c r="E120" s="65" t="str">
        <f>IF($B120="","",VLOOKUP(MONTH(C120),Parameters!$F$2:$G$13,2,0))</f>
        <v/>
      </c>
      <c r="F120" s="69" t="str">
        <f>IF($B120="","",PV-N(J119))</f>
        <v/>
      </c>
      <c r="G120" s="69" t="str">
        <f>IF($B120="","",PMT(Rate,Nper,-PV,,Type))</f>
        <v/>
      </c>
      <c r="H120" s="69" t="str">
        <f>IF($B120="","",PPMT(Rate,ROWS($1:108),Nper,-PV,,Type))</f>
        <v/>
      </c>
      <c r="I120" s="69" t="str">
        <f>IF($B120="","",IPMT(Rate,ROWS($1:108),Nper,-PV,,Type))</f>
        <v/>
      </c>
      <c r="J120" s="73" t="str">
        <f t="shared" ref="J120:K120" si="110">IF($B120="","",N(J119)+N(H120))</f>
        <v/>
      </c>
      <c r="K120" s="74" t="str">
        <f t="shared" si="110"/>
        <v/>
      </c>
      <c r="L120" s="69" t="str">
        <f>IF($B120="","",PV-J120)</f>
        <v/>
      </c>
      <c r="M120" s="71" t="str">
        <f>IF($B120="","",J120/PV)</f>
        <v/>
      </c>
      <c r="N120" s="72" t="str">
        <f t="shared" si="4"/>
        <v/>
      </c>
    </row>
    <row r="121" ht="14.25" customHeight="1">
      <c r="B121" s="66" t="str">
        <f>IF(ROWS($1:109)&lt;=Nper,ROWS($1:109),"")</f>
        <v/>
      </c>
      <c r="C121" s="67" t="str">
        <f>IF($B121="","",IF($E$7="Weekly",Start_Date+7*(ROWS($1:109)-1),EDATE(Start_Date,VLOOKUP(IF(ASTemp!$E$7="","Monthly",ASTemp!$E$7),Parameters!$B$3:$D$6,3,0)*(ROWS($1:109)-1))))</f>
        <v/>
      </c>
      <c r="D121" s="68" t="str">
        <f t="shared" si="2"/>
        <v/>
      </c>
      <c r="E121" s="65" t="str">
        <f>IF($B121="","",VLOOKUP(MONTH(C121),Parameters!$F$2:$G$13,2,0))</f>
        <v/>
      </c>
      <c r="F121" s="69" t="str">
        <f>IF($B121="","",PV-N(J120))</f>
        <v/>
      </c>
      <c r="G121" s="69" t="str">
        <f>IF($B121="","",PMT(Rate,Nper,-PV,,Type))</f>
        <v/>
      </c>
      <c r="H121" s="69" t="str">
        <f>IF($B121="","",PPMT(Rate,ROWS($1:109),Nper,-PV,,Type))</f>
        <v/>
      </c>
      <c r="I121" s="69" t="str">
        <f>IF($B121="","",IPMT(Rate,ROWS($1:109),Nper,-PV,,Type))</f>
        <v/>
      </c>
      <c r="J121" s="73" t="str">
        <f t="shared" ref="J121:K121" si="111">IF($B121="","",N(J120)+N(H121))</f>
        <v/>
      </c>
      <c r="K121" s="74" t="str">
        <f t="shared" si="111"/>
        <v/>
      </c>
      <c r="L121" s="69" t="str">
        <f>IF($B121="","",PV-J121)</f>
        <v/>
      </c>
      <c r="M121" s="71" t="str">
        <f>IF($B121="","",J121/PV)</f>
        <v/>
      </c>
      <c r="N121" s="72" t="str">
        <f t="shared" si="4"/>
        <v/>
      </c>
    </row>
    <row r="122" ht="14.25" customHeight="1">
      <c r="B122" s="66" t="str">
        <f>IF(ROWS($1:110)&lt;=Nper,ROWS($1:110),"")</f>
        <v/>
      </c>
      <c r="C122" s="67" t="str">
        <f>IF($B122="","",IF($E$7="Weekly",Start_Date+7*(ROWS($1:110)-1),EDATE(Start_Date,VLOOKUP(IF(ASTemp!$E$7="","Monthly",ASTemp!$E$7),Parameters!$B$3:$D$6,3,0)*(ROWS($1:110)-1))))</f>
        <v/>
      </c>
      <c r="D122" s="68" t="str">
        <f t="shared" si="2"/>
        <v/>
      </c>
      <c r="E122" s="65" t="str">
        <f>IF($B122="","",VLOOKUP(MONTH(C122),Parameters!$F$2:$G$13,2,0))</f>
        <v/>
      </c>
      <c r="F122" s="69" t="str">
        <f>IF($B122="","",PV-N(J121))</f>
        <v/>
      </c>
      <c r="G122" s="69" t="str">
        <f>IF($B122="","",PMT(Rate,Nper,-PV,,Type))</f>
        <v/>
      </c>
      <c r="H122" s="69" t="str">
        <f>IF($B122="","",PPMT(Rate,ROWS($1:110),Nper,-PV,,Type))</f>
        <v/>
      </c>
      <c r="I122" s="69" t="str">
        <f>IF($B122="","",IPMT(Rate,ROWS($1:110),Nper,-PV,,Type))</f>
        <v/>
      </c>
      <c r="J122" s="73" t="str">
        <f t="shared" ref="J122:K122" si="112">IF($B122="","",N(J121)+N(H122))</f>
        <v/>
      </c>
      <c r="K122" s="74" t="str">
        <f t="shared" si="112"/>
        <v/>
      </c>
      <c r="L122" s="69" t="str">
        <f>IF($B122="","",PV-J122)</f>
        <v/>
      </c>
      <c r="M122" s="71" t="str">
        <f>IF($B122="","",J122/PV)</f>
        <v/>
      </c>
      <c r="N122" s="72" t="str">
        <f t="shared" si="4"/>
        <v/>
      </c>
    </row>
    <row r="123" ht="14.25" customHeight="1">
      <c r="B123" s="66" t="str">
        <f>IF(ROWS($1:111)&lt;=Nper,ROWS($1:111),"")</f>
        <v/>
      </c>
      <c r="C123" s="67" t="str">
        <f>IF($B123="","",IF($E$7="Weekly",Start_Date+7*(ROWS($1:111)-1),EDATE(Start_Date,VLOOKUP(IF(ASTemp!$E$7="","Monthly",ASTemp!$E$7),Parameters!$B$3:$D$6,3,0)*(ROWS($1:111)-1))))</f>
        <v/>
      </c>
      <c r="D123" s="68" t="str">
        <f t="shared" si="2"/>
        <v/>
      </c>
      <c r="E123" s="65" t="str">
        <f>IF($B123="","",VLOOKUP(MONTH(C123),Parameters!$F$2:$G$13,2,0))</f>
        <v/>
      </c>
      <c r="F123" s="69" t="str">
        <f>IF($B123="","",PV-N(J122))</f>
        <v/>
      </c>
      <c r="G123" s="69" t="str">
        <f>IF($B123="","",PMT(Rate,Nper,-PV,,Type))</f>
        <v/>
      </c>
      <c r="H123" s="69" t="str">
        <f>IF($B123="","",PPMT(Rate,ROWS($1:111),Nper,-PV,,Type))</f>
        <v/>
      </c>
      <c r="I123" s="69" t="str">
        <f>IF($B123="","",IPMT(Rate,ROWS($1:111),Nper,-PV,,Type))</f>
        <v/>
      </c>
      <c r="J123" s="73" t="str">
        <f t="shared" ref="J123:K123" si="113">IF($B123="","",N(J122)+N(H123))</f>
        <v/>
      </c>
      <c r="K123" s="74" t="str">
        <f t="shared" si="113"/>
        <v/>
      </c>
      <c r="L123" s="69" t="str">
        <f>IF($B123="","",PV-J123)</f>
        <v/>
      </c>
      <c r="M123" s="71" t="str">
        <f>IF($B123="","",J123/PV)</f>
        <v/>
      </c>
      <c r="N123" s="72" t="str">
        <f t="shared" si="4"/>
        <v/>
      </c>
    </row>
    <row r="124" ht="14.25" customHeight="1">
      <c r="B124" s="66" t="str">
        <f>IF(ROWS($1:112)&lt;=Nper,ROWS($1:112),"")</f>
        <v/>
      </c>
      <c r="C124" s="67" t="str">
        <f>IF($B124="","",IF($E$7="Weekly",Start_Date+7*(ROWS($1:112)-1),EDATE(Start_Date,VLOOKUP(IF(ASTemp!$E$7="","Monthly",ASTemp!$E$7),Parameters!$B$3:$D$6,3,0)*(ROWS($1:112)-1))))</f>
        <v/>
      </c>
      <c r="D124" s="68" t="str">
        <f t="shared" si="2"/>
        <v/>
      </c>
      <c r="E124" s="65" t="str">
        <f>IF($B124="","",VLOOKUP(MONTH(C124),Parameters!$F$2:$G$13,2,0))</f>
        <v/>
      </c>
      <c r="F124" s="69" t="str">
        <f>IF($B124="","",PV-N(J123))</f>
        <v/>
      </c>
      <c r="G124" s="69" t="str">
        <f>IF($B124="","",PMT(Rate,Nper,-PV,,Type))</f>
        <v/>
      </c>
      <c r="H124" s="69" t="str">
        <f>IF($B124="","",PPMT(Rate,ROWS($1:112),Nper,-PV,,Type))</f>
        <v/>
      </c>
      <c r="I124" s="69" t="str">
        <f>IF($B124="","",IPMT(Rate,ROWS($1:112),Nper,-PV,,Type))</f>
        <v/>
      </c>
      <c r="J124" s="73" t="str">
        <f t="shared" ref="J124:K124" si="114">IF($B124="","",N(J123)+N(H124))</f>
        <v/>
      </c>
      <c r="K124" s="74" t="str">
        <f t="shared" si="114"/>
        <v/>
      </c>
      <c r="L124" s="69" t="str">
        <f>IF($B124="","",PV-J124)</f>
        <v/>
      </c>
      <c r="M124" s="71" t="str">
        <f>IF($B124="","",J124/PV)</f>
        <v/>
      </c>
      <c r="N124" s="72" t="str">
        <f t="shared" si="4"/>
        <v/>
      </c>
    </row>
    <row r="125" ht="14.25" customHeight="1">
      <c r="B125" s="66" t="str">
        <f>IF(ROWS($1:113)&lt;=Nper,ROWS($1:113),"")</f>
        <v/>
      </c>
      <c r="C125" s="67" t="str">
        <f>IF($B125="","",IF($E$7="Weekly",Start_Date+7*(ROWS($1:113)-1),EDATE(Start_Date,VLOOKUP(IF(ASTemp!$E$7="","Monthly",ASTemp!$E$7),Parameters!$B$3:$D$6,3,0)*(ROWS($1:113)-1))))</f>
        <v/>
      </c>
      <c r="D125" s="68" t="str">
        <f t="shared" si="2"/>
        <v/>
      </c>
      <c r="E125" s="65" t="str">
        <f>IF($B125="","",VLOOKUP(MONTH(C125),Parameters!$F$2:$G$13,2,0))</f>
        <v/>
      </c>
      <c r="F125" s="69" t="str">
        <f>IF($B125="","",PV-N(J124))</f>
        <v/>
      </c>
      <c r="G125" s="69" t="str">
        <f>IF($B125="","",PMT(Rate,Nper,-PV,,Type))</f>
        <v/>
      </c>
      <c r="H125" s="69" t="str">
        <f>IF($B125="","",PPMT(Rate,ROWS($1:113),Nper,-PV,,Type))</f>
        <v/>
      </c>
      <c r="I125" s="69" t="str">
        <f>IF($B125="","",IPMT(Rate,ROWS($1:113),Nper,-PV,,Type))</f>
        <v/>
      </c>
      <c r="J125" s="73" t="str">
        <f t="shared" ref="J125:K125" si="115">IF($B125="","",N(J124)+N(H125))</f>
        <v/>
      </c>
      <c r="K125" s="74" t="str">
        <f t="shared" si="115"/>
        <v/>
      </c>
      <c r="L125" s="69" t="str">
        <f>IF($B125="","",PV-J125)</f>
        <v/>
      </c>
      <c r="M125" s="71" t="str">
        <f>IF($B125="","",J125/PV)</f>
        <v/>
      </c>
      <c r="N125" s="72" t="str">
        <f t="shared" si="4"/>
        <v/>
      </c>
    </row>
    <row r="126" ht="14.25" customHeight="1">
      <c r="B126" s="66" t="str">
        <f>IF(ROWS($1:114)&lt;=Nper,ROWS($1:114),"")</f>
        <v/>
      </c>
      <c r="C126" s="67" t="str">
        <f>IF($B126="","",IF($E$7="Weekly",Start_Date+7*(ROWS($1:114)-1),EDATE(Start_Date,VLOOKUP(IF(ASTemp!$E$7="","Monthly",ASTemp!$E$7),Parameters!$B$3:$D$6,3,0)*(ROWS($1:114)-1))))</f>
        <v/>
      </c>
      <c r="D126" s="68" t="str">
        <f t="shared" si="2"/>
        <v/>
      </c>
      <c r="E126" s="65" t="str">
        <f>IF($B126="","",VLOOKUP(MONTH(C126),Parameters!$F$2:$G$13,2,0))</f>
        <v/>
      </c>
      <c r="F126" s="69" t="str">
        <f>IF($B126="","",PV-N(J125))</f>
        <v/>
      </c>
      <c r="G126" s="69" t="str">
        <f>IF($B126="","",PMT(Rate,Nper,-PV,,Type))</f>
        <v/>
      </c>
      <c r="H126" s="69" t="str">
        <f>IF($B126="","",PPMT(Rate,ROWS($1:114),Nper,-PV,,Type))</f>
        <v/>
      </c>
      <c r="I126" s="69" t="str">
        <f>IF($B126="","",IPMT(Rate,ROWS($1:114),Nper,-PV,,Type))</f>
        <v/>
      </c>
      <c r="J126" s="73" t="str">
        <f t="shared" ref="J126:K126" si="116">IF($B126="","",N(J125)+N(H126))</f>
        <v/>
      </c>
      <c r="K126" s="74" t="str">
        <f t="shared" si="116"/>
        <v/>
      </c>
      <c r="L126" s="69" t="str">
        <f>IF($B126="","",PV-J126)</f>
        <v/>
      </c>
      <c r="M126" s="71" t="str">
        <f>IF($B126="","",J126/PV)</f>
        <v/>
      </c>
      <c r="N126" s="72" t="str">
        <f t="shared" si="4"/>
        <v/>
      </c>
    </row>
    <row r="127" ht="14.25" customHeight="1">
      <c r="B127" s="66" t="str">
        <f>IF(ROWS($1:115)&lt;=Nper,ROWS($1:115),"")</f>
        <v/>
      </c>
      <c r="C127" s="67" t="str">
        <f>IF($B127="","",IF($E$7="Weekly",Start_Date+7*(ROWS($1:115)-1),EDATE(Start_Date,VLOOKUP(IF(ASTemp!$E$7="","Monthly",ASTemp!$E$7),Parameters!$B$3:$D$6,3,0)*(ROWS($1:115)-1))))</f>
        <v/>
      </c>
      <c r="D127" s="68" t="str">
        <f t="shared" si="2"/>
        <v/>
      </c>
      <c r="E127" s="65" t="str">
        <f>IF($B127="","",VLOOKUP(MONTH(C127),Parameters!$F$2:$G$13,2,0))</f>
        <v/>
      </c>
      <c r="F127" s="69" t="str">
        <f>IF($B127="","",PV-N(J126))</f>
        <v/>
      </c>
      <c r="G127" s="69" t="str">
        <f>IF($B127="","",PMT(Rate,Nper,-PV,,Type))</f>
        <v/>
      </c>
      <c r="H127" s="69" t="str">
        <f>IF($B127="","",PPMT(Rate,ROWS($1:115),Nper,-PV,,Type))</f>
        <v/>
      </c>
      <c r="I127" s="69" t="str">
        <f>IF($B127="","",IPMT(Rate,ROWS($1:115),Nper,-PV,,Type))</f>
        <v/>
      </c>
      <c r="J127" s="73" t="str">
        <f t="shared" ref="J127:K127" si="117">IF($B127="","",N(J126)+N(H127))</f>
        <v/>
      </c>
      <c r="K127" s="74" t="str">
        <f t="shared" si="117"/>
        <v/>
      </c>
      <c r="L127" s="69" t="str">
        <f>IF($B127="","",PV-J127)</f>
        <v/>
      </c>
      <c r="M127" s="71" t="str">
        <f>IF($B127="","",J127/PV)</f>
        <v/>
      </c>
      <c r="N127" s="72" t="str">
        <f t="shared" si="4"/>
        <v/>
      </c>
    </row>
    <row r="128" ht="14.25" customHeight="1">
      <c r="B128" s="66" t="str">
        <f>IF(ROWS($1:116)&lt;=Nper,ROWS($1:116),"")</f>
        <v/>
      </c>
      <c r="C128" s="67" t="str">
        <f>IF($B128="","",IF($E$7="Weekly",Start_Date+7*(ROWS($1:116)-1),EDATE(Start_Date,VLOOKUP(IF(ASTemp!$E$7="","Monthly",ASTemp!$E$7),Parameters!$B$3:$D$6,3,0)*(ROWS($1:116)-1))))</f>
        <v/>
      </c>
      <c r="D128" s="68" t="str">
        <f t="shared" si="2"/>
        <v/>
      </c>
      <c r="E128" s="65" t="str">
        <f>IF($B128="","",VLOOKUP(MONTH(C128),Parameters!$F$2:$G$13,2,0))</f>
        <v/>
      </c>
      <c r="F128" s="69" t="str">
        <f>IF($B128="","",PV-N(J127))</f>
        <v/>
      </c>
      <c r="G128" s="69" t="str">
        <f>IF($B128="","",PMT(Rate,Nper,-PV,,Type))</f>
        <v/>
      </c>
      <c r="H128" s="69" t="str">
        <f>IF($B128="","",PPMT(Rate,ROWS($1:116),Nper,-PV,,Type))</f>
        <v/>
      </c>
      <c r="I128" s="69" t="str">
        <f>IF($B128="","",IPMT(Rate,ROWS($1:116),Nper,-PV,,Type))</f>
        <v/>
      </c>
      <c r="J128" s="73" t="str">
        <f t="shared" ref="J128:K128" si="118">IF($B128="","",N(J127)+N(H128))</f>
        <v/>
      </c>
      <c r="K128" s="74" t="str">
        <f t="shared" si="118"/>
        <v/>
      </c>
      <c r="L128" s="69" t="str">
        <f>IF($B128="","",PV-J128)</f>
        <v/>
      </c>
      <c r="M128" s="71" t="str">
        <f>IF($B128="","",J128/PV)</f>
        <v/>
      </c>
      <c r="N128" s="72" t="str">
        <f t="shared" si="4"/>
        <v/>
      </c>
    </row>
    <row r="129" ht="14.25" customHeight="1">
      <c r="B129" s="66" t="str">
        <f>IF(ROWS($1:117)&lt;=Nper,ROWS($1:117),"")</f>
        <v/>
      </c>
      <c r="C129" s="67" t="str">
        <f>IF($B129="","",IF($E$7="Weekly",Start_Date+7*(ROWS($1:117)-1),EDATE(Start_Date,VLOOKUP(IF(ASTemp!$E$7="","Monthly",ASTemp!$E$7),Parameters!$B$3:$D$6,3,0)*(ROWS($1:117)-1))))</f>
        <v/>
      </c>
      <c r="D129" s="68" t="str">
        <f t="shared" si="2"/>
        <v/>
      </c>
      <c r="E129" s="65" t="str">
        <f>IF($B129="","",VLOOKUP(MONTH(C129),Parameters!$F$2:$G$13,2,0))</f>
        <v/>
      </c>
      <c r="F129" s="69" t="str">
        <f>IF($B129="","",PV-N(J128))</f>
        <v/>
      </c>
      <c r="G129" s="69" t="str">
        <f>IF($B129="","",PMT(Rate,Nper,-PV,,Type))</f>
        <v/>
      </c>
      <c r="H129" s="69" t="str">
        <f>IF($B129="","",PPMT(Rate,ROWS($1:117),Nper,-PV,,Type))</f>
        <v/>
      </c>
      <c r="I129" s="69" t="str">
        <f>IF($B129="","",IPMT(Rate,ROWS($1:117),Nper,-PV,,Type))</f>
        <v/>
      </c>
      <c r="J129" s="73" t="str">
        <f t="shared" ref="J129:K129" si="119">IF($B129="","",N(J128)+N(H129))</f>
        <v/>
      </c>
      <c r="K129" s="74" t="str">
        <f t="shared" si="119"/>
        <v/>
      </c>
      <c r="L129" s="69" t="str">
        <f>IF($B129="","",PV-J129)</f>
        <v/>
      </c>
      <c r="M129" s="71" t="str">
        <f>IF($B129="","",J129/PV)</f>
        <v/>
      </c>
      <c r="N129" s="72" t="str">
        <f t="shared" si="4"/>
        <v/>
      </c>
    </row>
    <row r="130" ht="14.25" customHeight="1">
      <c r="B130" s="66" t="str">
        <f>IF(ROWS($1:118)&lt;=Nper,ROWS($1:118),"")</f>
        <v/>
      </c>
      <c r="C130" s="67" t="str">
        <f>IF($B130="","",IF($E$7="Weekly",Start_Date+7*(ROWS($1:118)-1),EDATE(Start_Date,VLOOKUP(IF(ASTemp!$E$7="","Monthly",ASTemp!$E$7),Parameters!$B$3:$D$6,3,0)*(ROWS($1:118)-1))))</f>
        <v/>
      </c>
      <c r="D130" s="68" t="str">
        <f t="shared" si="2"/>
        <v/>
      </c>
      <c r="E130" s="65" t="str">
        <f>IF($B130="","",VLOOKUP(MONTH(C130),Parameters!$F$2:$G$13,2,0))</f>
        <v/>
      </c>
      <c r="F130" s="69" t="str">
        <f>IF($B130="","",PV-N(J129))</f>
        <v/>
      </c>
      <c r="G130" s="69" t="str">
        <f>IF($B130="","",PMT(Rate,Nper,-PV,,Type))</f>
        <v/>
      </c>
      <c r="H130" s="69" t="str">
        <f>IF($B130="","",PPMT(Rate,ROWS($1:118),Nper,-PV,,Type))</f>
        <v/>
      </c>
      <c r="I130" s="69" t="str">
        <f>IF($B130="","",IPMT(Rate,ROWS($1:118),Nper,-PV,,Type))</f>
        <v/>
      </c>
      <c r="J130" s="73" t="str">
        <f t="shared" ref="J130:K130" si="120">IF($B130="","",N(J129)+N(H130))</f>
        <v/>
      </c>
      <c r="K130" s="74" t="str">
        <f t="shared" si="120"/>
        <v/>
      </c>
      <c r="L130" s="69" t="str">
        <f>IF($B130="","",PV-J130)</f>
        <v/>
      </c>
      <c r="M130" s="71" t="str">
        <f>IF($B130="","",J130/PV)</f>
        <v/>
      </c>
      <c r="N130" s="72" t="str">
        <f t="shared" si="4"/>
        <v/>
      </c>
    </row>
    <row r="131" ht="14.25" customHeight="1">
      <c r="B131" s="66" t="str">
        <f>IF(ROWS($1:119)&lt;=Nper,ROWS($1:119),"")</f>
        <v/>
      </c>
      <c r="C131" s="67" t="str">
        <f>IF($B131="","",IF($E$7="Weekly",Start_Date+7*(ROWS($1:119)-1),EDATE(Start_Date,VLOOKUP(IF(ASTemp!$E$7="","Monthly",ASTemp!$E$7),Parameters!$B$3:$D$6,3,0)*(ROWS($1:119)-1))))</f>
        <v/>
      </c>
      <c r="D131" s="68" t="str">
        <f t="shared" si="2"/>
        <v/>
      </c>
      <c r="E131" s="65" t="str">
        <f>IF($B131="","",VLOOKUP(MONTH(C131),Parameters!$F$2:$G$13,2,0))</f>
        <v/>
      </c>
      <c r="F131" s="69" t="str">
        <f>IF($B131="","",PV-N(J130))</f>
        <v/>
      </c>
      <c r="G131" s="69" t="str">
        <f>IF($B131="","",PMT(Rate,Nper,-PV,,Type))</f>
        <v/>
      </c>
      <c r="H131" s="69" t="str">
        <f>IF($B131="","",PPMT(Rate,ROWS($1:119),Nper,-PV,,Type))</f>
        <v/>
      </c>
      <c r="I131" s="69" t="str">
        <f>IF($B131="","",IPMT(Rate,ROWS($1:119),Nper,-PV,,Type))</f>
        <v/>
      </c>
      <c r="J131" s="73" t="str">
        <f t="shared" ref="J131:K131" si="121">IF($B131="","",N(J130)+N(H131))</f>
        <v/>
      </c>
      <c r="K131" s="74" t="str">
        <f t="shared" si="121"/>
        <v/>
      </c>
      <c r="L131" s="69" t="str">
        <f>IF($B131="","",PV-J131)</f>
        <v/>
      </c>
      <c r="M131" s="71" t="str">
        <f>IF($B131="","",J131/PV)</f>
        <v/>
      </c>
      <c r="N131" s="72" t="str">
        <f t="shared" si="4"/>
        <v/>
      </c>
    </row>
    <row r="132" ht="14.25" customHeight="1">
      <c r="B132" s="66" t="str">
        <f>IF(ROWS($1:120)&lt;=Nper,ROWS($1:120),"")</f>
        <v/>
      </c>
      <c r="C132" s="67" t="str">
        <f>IF($B132="","",IF($E$7="Weekly",Start_Date+7*(ROWS($1:120)-1),EDATE(Start_Date,VLOOKUP(IF(ASTemp!$E$7="","Monthly",ASTemp!$E$7),Parameters!$B$3:$D$6,3,0)*(ROWS($1:120)-1))))</f>
        <v/>
      </c>
      <c r="D132" s="68" t="str">
        <f t="shared" si="2"/>
        <v/>
      </c>
      <c r="E132" s="65" t="str">
        <f>IF($B132="","",VLOOKUP(MONTH(C132),Parameters!$F$2:$G$13,2,0))</f>
        <v/>
      </c>
      <c r="F132" s="69" t="str">
        <f>IF($B132="","",PV-N(J131))</f>
        <v/>
      </c>
      <c r="G132" s="69" t="str">
        <f>IF($B132="","",PMT(Rate,Nper,-PV,,Type))</f>
        <v/>
      </c>
      <c r="H132" s="69" t="str">
        <f>IF($B132="","",PPMT(Rate,ROWS($1:120),Nper,-PV,,Type))</f>
        <v/>
      </c>
      <c r="I132" s="69" t="str">
        <f>IF($B132="","",IPMT(Rate,ROWS($1:120),Nper,-PV,,Type))</f>
        <v/>
      </c>
      <c r="J132" s="73" t="str">
        <f t="shared" ref="J132:K132" si="122">IF($B132="","",N(J131)+N(H132))</f>
        <v/>
      </c>
      <c r="K132" s="74" t="str">
        <f t="shared" si="122"/>
        <v/>
      </c>
      <c r="L132" s="69" t="str">
        <f>IF($B132="","",PV-J132)</f>
        <v/>
      </c>
      <c r="M132" s="71" t="str">
        <f>IF($B132="","",J132/PV)</f>
        <v/>
      </c>
      <c r="N132" s="72" t="str">
        <f t="shared" si="4"/>
        <v/>
      </c>
    </row>
    <row r="133" ht="14.25" customHeight="1">
      <c r="B133" s="66" t="str">
        <f>IF(ROWS($1:121)&lt;=Nper,ROWS($1:121),"")</f>
        <v/>
      </c>
      <c r="C133" s="67" t="str">
        <f>IF($B133="","",IF($E$7="Weekly",Start_Date+7*(ROWS($1:121)-1),EDATE(Start_Date,VLOOKUP(IF(ASTemp!$E$7="","Monthly",ASTemp!$E$7),Parameters!$B$3:$D$6,3,0)*(ROWS($1:121)-1))))</f>
        <v/>
      </c>
      <c r="D133" s="68" t="str">
        <f t="shared" si="2"/>
        <v/>
      </c>
      <c r="E133" s="65" t="str">
        <f>IF($B133="","",VLOOKUP(MONTH(C133),Parameters!$F$2:$G$13,2,0))</f>
        <v/>
      </c>
      <c r="F133" s="69" t="str">
        <f>IF($B133="","",PV-N(J132))</f>
        <v/>
      </c>
      <c r="G133" s="69" t="str">
        <f>IF($B133="","",PMT(Rate,Nper,-PV,,Type))</f>
        <v/>
      </c>
      <c r="H133" s="69" t="str">
        <f>IF($B133="","",PPMT(Rate,ROWS($1:121),Nper,-PV,,Type))</f>
        <v/>
      </c>
      <c r="I133" s="69" t="str">
        <f>IF($B133="","",IPMT(Rate,ROWS($1:121),Nper,-PV,,Type))</f>
        <v/>
      </c>
      <c r="J133" s="73" t="str">
        <f t="shared" ref="J133:K133" si="123">IF($B133="","",N(J132)+N(H133))</f>
        <v/>
      </c>
      <c r="K133" s="74" t="str">
        <f t="shared" si="123"/>
        <v/>
      </c>
      <c r="L133" s="69" t="str">
        <f>IF($B133="","",PV-J133)</f>
        <v/>
      </c>
      <c r="M133" s="71" t="str">
        <f>IF($B133="","",J133/PV)</f>
        <v/>
      </c>
      <c r="N133" s="72" t="str">
        <f t="shared" si="4"/>
        <v/>
      </c>
    </row>
    <row r="134" ht="14.25" customHeight="1">
      <c r="B134" s="66" t="str">
        <f>IF(ROWS($1:122)&lt;=Nper,ROWS($1:122),"")</f>
        <v/>
      </c>
      <c r="C134" s="67" t="str">
        <f>IF($B134="","",IF($E$7="Weekly",Start_Date+7*(ROWS($1:122)-1),EDATE(Start_Date,VLOOKUP(IF(ASTemp!$E$7="","Monthly",ASTemp!$E$7),Parameters!$B$3:$D$6,3,0)*(ROWS($1:122)-1))))</f>
        <v/>
      </c>
      <c r="D134" s="68" t="str">
        <f t="shared" si="2"/>
        <v/>
      </c>
      <c r="E134" s="65" t="str">
        <f>IF($B134="","",VLOOKUP(MONTH(C134),Parameters!$F$2:$G$13,2,0))</f>
        <v/>
      </c>
      <c r="F134" s="69" t="str">
        <f>IF($B134="","",PV-N(J133))</f>
        <v/>
      </c>
      <c r="G134" s="69" t="str">
        <f>IF($B134="","",PMT(Rate,Nper,-PV,,Type))</f>
        <v/>
      </c>
      <c r="H134" s="69" t="str">
        <f>IF($B134="","",PPMT(Rate,ROWS($1:122),Nper,-PV,,Type))</f>
        <v/>
      </c>
      <c r="I134" s="69" t="str">
        <f>IF($B134="","",IPMT(Rate,ROWS($1:122),Nper,-PV,,Type))</f>
        <v/>
      </c>
      <c r="J134" s="73" t="str">
        <f t="shared" ref="J134:K134" si="124">IF($B134="","",N(J133)+N(H134))</f>
        <v/>
      </c>
      <c r="K134" s="74" t="str">
        <f t="shared" si="124"/>
        <v/>
      </c>
      <c r="L134" s="69" t="str">
        <f>IF($B134="","",PV-J134)</f>
        <v/>
      </c>
      <c r="M134" s="71" t="str">
        <f>IF($B134="","",J134/PV)</f>
        <v/>
      </c>
      <c r="N134" s="72" t="str">
        <f t="shared" si="4"/>
        <v/>
      </c>
    </row>
    <row r="135" ht="14.25" customHeight="1">
      <c r="B135" s="66" t="str">
        <f>IF(ROWS($1:123)&lt;=Nper,ROWS($1:123),"")</f>
        <v/>
      </c>
      <c r="C135" s="67" t="str">
        <f>IF($B135="","",IF($E$7="Weekly",Start_Date+7*(ROWS($1:123)-1),EDATE(Start_Date,VLOOKUP(IF(ASTemp!$E$7="","Monthly",ASTemp!$E$7),Parameters!$B$3:$D$6,3,0)*(ROWS($1:123)-1))))</f>
        <v/>
      </c>
      <c r="D135" s="68" t="str">
        <f t="shared" si="2"/>
        <v/>
      </c>
      <c r="E135" s="65" t="str">
        <f>IF($B135="","",VLOOKUP(MONTH(C135),Parameters!$F$2:$G$13,2,0))</f>
        <v/>
      </c>
      <c r="F135" s="69" t="str">
        <f>IF($B135="","",PV-N(J134))</f>
        <v/>
      </c>
      <c r="G135" s="69" t="str">
        <f>IF($B135="","",PMT(Rate,Nper,-PV,,Type))</f>
        <v/>
      </c>
      <c r="H135" s="69" t="str">
        <f>IF($B135="","",PPMT(Rate,ROWS($1:123),Nper,-PV,,Type))</f>
        <v/>
      </c>
      <c r="I135" s="69" t="str">
        <f>IF($B135="","",IPMT(Rate,ROWS($1:123),Nper,-PV,,Type))</f>
        <v/>
      </c>
      <c r="J135" s="73" t="str">
        <f t="shared" ref="J135:K135" si="125">IF($B135="","",N(J134)+N(H135))</f>
        <v/>
      </c>
      <c r="K135" s="74" t="str">
        <f t="shared" si="125"/>
        <v/>
      </c>
      <c r="L135" s="69" t="str">
        <f>IF($B135="","",PV-J135)</f>
        <v/>
      </c>
      <c r="M135" s="71" t="str">
        <f>IF($B135="","",J135/PV)</f>
        <v/>
      </c>
      <c r="N135" s="72" t="str">
        <f t="shared" si="4"/>
        <v/>
      </c>
    </row>
    <row r="136" ht="14.25" customHeight="1">
      <c r="B136" s="66" t="str">
        <f>IF(ROWS($1:124)&lt;=Nper,ROWS($1:124),"")</f>
        <v/>
      </c>
      <c r="C136" s="67" t="str">
        <f>IF($B136="","",IF($E$7="Weekly",Start_Date+7*(ROWS($1:124)-1),EDATE(Start_Date,VLOOKUP(IF(ASTemp!$E$7="","Monthly",ASTemp!$E$7),Parameters!$B$3:$D$6,3,0)*(ROWS($1:124)-1))))</f>
        <v/>
      </c>
      <c r="D136" s="68" t="str">
        <f t="shared" si="2"/>
        <v/>
      </c>
      <c r="E136" s="65" t="str">
        <f>IF($B136="","",VLOOKUP(MONTH(C136),Parameters!$F$2:$G$13,2,0))</f>
        <v/>
      </c>
      <c r="F136" s="69" t="str">
        <f>IF($B136="","",PV-N(J135))</f>
        <v/>
      </c>
      <c r="G136" s="69" t="str">
        <f>IF($B136="","",PMT(Rate,Nper,-PV,,Type))</f>
        <v/>
      </c>
      <c r="H136" s="69" t="str">
        <f>IF($B136="","",PPMT(Rate,ROWS($1:124),Nper,-PV,,Type))</f>
        <v/>
      </c>
      <c r="I136" s="69" t="str">
        <f>IF($B136="","",IPMT(Rate,ROWS($1:124),Nper,-PV,,Type))</f>
        <v/>
      </c>
      <c r="J136" s="73" t="str">
        <f t="shared" ref="J136:K136" si="126">IF($B136="","",N(J135)+N(H136))</f>
        <v/>
      </c>
      <c r="K136" s="74" t="str">
        <f t="shared" si="126"/>
        <v/>
      </c>
      <c r="L136" s="69" t="str">
        <f>IF($B136="","",PV-J136)</f>
        <v/>
      </c>
      <c r="M136" s="71" t="str">
        <f>IF($B136="","",J136/PV)</f>
        <v/>
      </c>
      <c r="N136" s="72" t="str">
        <f t="shared" si="4"/>
        <v/>
      </c>
    </row>
    <row r="137" ht="14.25" customHeight="1">
      <c r="B137" s="66" t="str">
        <f>IF(ROWS($1:125)&lt;=Nper,ROWS($1:125),"")</f>
        <v/>
      </c>
      <c r="C137" s="67" t="str">
        <f>IF($B137="","",IF($E$7="Weekly",Start_Date+7*(ROWS($1:125)-1),EDATE(Start_Date,VLOOKUP(IF(ASTemp!$E$7="","Monthly",ASTemp!$E$7),Parameters!$B$3:$D$6,3,0)*(ROWS($1:125)-1))))</f>
        <v/>
      </c>
      <c r="D137" s="68" t="str">
        <f t="shared" si="2"/>
        <v/>
      </c>
      <c r="E137" s="65" t="str">
        <f>IF($B137="","",VLOOKUP(MONTH(C137),Parameters!$F$2:$G$13,2,0))</f>
        <v/>
      </c>
      <c r="F137" s="69" t="str">
        <f>IF($B137="","",PV-N(J136))</f>
        <v/>
      </c>
      <c r="G137" s="69" t="str">
        <f>IF($B137="","",PMT(Rate,Nper,-PV,,Type))</f>
        <v/>
      </c>
      <c r="H137" s="69" t="str">
        <f>IF($B137="","",PPMT(Rate,ROWS($1:125),Nper,-PV,,Type))</f>
        <v/>
      </c>
      <c r="I137" s="69" t="str">
        <f>IF($B137="","",IPMT(Rate,ROWS($1:125),Nper,-PV,,Type))</f>
        <v/>
      </c>
      <c r="J137" s="73" t="str">
        <f t="shared" ref="J137:K137" si="127">IF($B137="","",N(J136)+N(H137))</f>
        <v/>
      </c>
      <c r="K137" s="74" t="str">
        <f t="shared" si="127"/>
        <v/>
      </c>
      <c r="L137" s="69" t="str">
        <f>IF($B137="","",PV-J137)</f>
        <v/>
      </c>
      <c r="M137" s="71" t="str">
        <f>IF($B137="","",J137/PV)</f>
        <v/>
      </c>
      <c r="N137" s="72" t="str">
        <f t="shared" si="4"/>
        <v/>
      </c>
    </row>
    <row r="138" ht="14.25" customHeight="1">
      <c r="B138" s="66" t="str">
        <f>IF(ROWS($1:126)&lt;=Nper,ROWS($1:126),"")</f>
        <v/>
      </c>
      <c r="C138" s="67" t="str">
        <f>IF($B138="","",IF($E$7="Weekly",Start_Date+7*(ROWS($1:126)-1),EDATE(Start_Date,VLOOKUP(IF(ASTemp!$E$7="","Monthly",ASTemp!$E$7),Parameters!$B$3:$D$6,3,0)*(ROWS($1:126)-1))))</f>
        <v/>
      </c>
      <c r="D138" s="68" t="str">
        <f t="shared" si="2"/>
        <v/>
      </c>
      <c r="E138" s="65" t="str">
        <f>IF($B138="","",VLOOKUP(MONTH(C138),Parameters!$F$2:$G$13,2,0))</f>
        <v/>
      </c>
      <c r="F138" s="69" t="str">
        <f>IF($B138="","",PV-N(J137))</f>
        <v/>
      </c>
      <c r="G138" s="69" t="str">
        <f>IF($B138="","",PMT(Rate,Nper,-PV,,Type))</f>
        <v/>
      </c>
      <c r="H138" s="69" t="str">
        <f>IF($B138="","",PPMT(Rate,ROWS($1:126),Nper,-PV,,Type))</f>
        <v/>
      </c>
      <c r="I138" s="69" t="str">
        <f>IF($B138="","",IPMT(Rate,ROWS($1:126),Nper,-PV,,Type))</f>
        <v/>
      </c>
      <c r="J138" s="73" t="str">
        <f t="shared" ref="J138:K138" si="128">IF($B138="","",N(J137)+N(H138))</f>
        <v/>
      </c>
      <c r="K138" s="74" t="str">
        <f t="shared" si="128"/>
        <v/>
      </c>
      <c r="L138" s="69" t="str">
        <f>IF($B138="","",PV-J138)</f>
        <v/>
      </c>
      <c r="M138" s="71" t="str">
        <f>IF($B138="","",J138/PV)</f>
        <v/>
      </c>
      <c r="N138" s="72" t="str">
        <f t="shared" si="4"/>
        <v/>
      </c>
    </row>
    <row r="139" ht="14.25" customHeight="1">
      <c r="B139" s="66" t="str">
        <f>IF(ROWS($1:127)&lt;=Nper,ROWS($1:127),"")</f>
        <v/>
      </c>
      <c r="C139" s="67" t="str">
        <f>IF($B139="","",IF($E$7="Weekly",Start_Date+7*(ROWS($1:127)-1),EDATE(Start_Date,VLOOKUP(IF(ASTemp!$E$7="","Monthly",ASTemp!$E$7),Parameters!$B$3:$D$6,3,0)*(ROWS($1:127)-1))))</f>
        <v/>
      </c>
      <c r="D139" s="68" t="str">
        <f t="shared" si="2"/>
        <v/>
      </c>
      <c r="E139" s="65" t="str">
        <f>IF($B139="","",VLOOKUP(MONTH(C139),Parameters!$F$2:$G$13,2,0))</f>
        <v/>
      </c>
      <c r="F139" s="69" t="str">
        <f>IF($B139="","",PV-N(J138))</f>
        <v/>
      </c>
      <c r="G139" s="69" t="str">
        <f>IF($B139="","",PMT(Rate,Nper,-PV,,Type))</f>
        <v/>
      </c>
      <c r="H139" s="69" t="str">
        <f>IF($B139="","",PPMT(Rate,ROWS($1:127),Nper,-PV,,Type))</f>
        <v/>
      </c>
      <c r="I139" s="69" t="str">
        <f>IF($B139="","",IPMT(Rate,ROWS($1:127),Nper,-PV,,Type))</f>
        <v/>
      </c>
      <c r="J139" s="73" t="str">
        <f t="shared" ref="J139:K139" si="129">IF($B139="","",N(J138)+N(H139))</f>
        <v/>
      </c>
      <c r="K139" s="74" t="str">
        <f t="shared" si="129"/>
        <v/>
      </c>
      <c r="L139" s="69" t="str">
        <f>IF($B139="","",PV-J139)</f>
        <v/>
      </c>
      <c r="M139" s="71" t="str">
        <f>IF($B139="","",J139/PV)</f>
        <v/>
      </c>
      <c r="N139" s="72" t="str">
        <f t="shared" si="4"/>
        <v/>
      </c>
    </row>
    <row r="140" ht="14.25" customHeight="1">
      <c r="B140" s="66" t="str">
        <f>IF(ROWS($1:128)&lt;=Nper,ROWS($1:128),"")</f>
        <v/>
      </c>
      <c r="C140" s="67" t="str">
        <f>IF($B140="","",IF($E$7="Weekly",Start_Date+7*(ROWS($1:128)-1),EDATE(Start_Date,VLOOKUP(IF(ASTemp!$E$7="","Monthly",ASTemp!$E$7),Parameters!$B$3:$D$6,3,0)*(ROWS($1:128)-1))))</f>
        <v/>
      </c>
      <c r="D140" s="68" t="str">
        <f t="shared" si="2"/>
        <v/>
      </c>
      <c r="E140" s="65" t="str">
        <f>IF($B140="","",VLOOKUP(MONTH(C140),Parameters!$F$2:$G$13,2,0))</f>
        <v/>
      </c>
      <c r="F140" s="69" t="str">
        <f>IF($B140="","",PV-N(J139))</f>
        <v/>
      </c>
      <c r="G140" s="69" t="str">
        <f>IF($B140="","",PMT(Rate,Nper,-PV,,Type))</f>
        <v/>
      </c>
      <c r="H140" s="69" t="str">
        <f>IF($B140="","",PPMT(Rate,ROWS($1:128),Nper,-PV,,Type))</f>
        <v/>
      </c>
      <c r="I140" s="69" t="str">
        <f>IF($B140="","",IPMT(Rate,ROWS($1:128),Nper,-PV,,Type))</f>
        <v/>
      </c>
      <c r="J140" s="73" t="str">
        <f t="shared" ref="J140:K140" si="130">IF($B140="","",N(J139)+N(H140))</f>
        <v/>
      </c>
      <c r="K140" s="74" t="str">
        <f t="shared" si="130"/>
        <v/>
      </c>
      <c r="L140" s="69" t="str">
        <f>IF($B140="","",PV-J140)</f>
        <v/>
      </c>
      <c r="M140" s="71" t="str">
        <f>IF($B140="","",J140/PV)</f>
        <v/>
      </c>
      <c r="N140" s="72" t="str">
        <f t="shared" si="4"/>
        <v/>
      </c>
    </row>
    <row r="141" ht="14.25" customHeight="1">
      <c r="B141" s="66" t="str">
        <f>IF(ROWS($1:129)&lt;=Nper,ROWS($1:129),"")</f>
        <v/>
      </c>
      <c r="C141" s="67" t="str">
        <f>IF($B141="","",IF($E$7="Weekly",Start_Date+7*(ROWS($1:129)-1),EDATE(Start_Date,VLOOKUP(IF(ASTemp!$E$7="","Monthly",ASTemp!$E$7),Parameters!$B$3:$D$6,3,0)*(ROWS($1:129)-1))))</f>
        <v/>
      </c>
      <c r="D141" s="68" t="str">
        <f t="shared" si="2"/>
        <v/>
      </c>
      <c r="E141" s="65" t="str">
        <f>IF($B141="","",VLOOKUP(MONTH(C141),Parameters!$F$2:$G$13,2,0))</f>
        <v/>
      </c>
      <c r="F141" s="69" t="str">
        <f>IF($B141="","",PV-N(J140))</f>
        <v/>
      </c>
      <c r="G141" s="69" t="str">
        <f>IF($B141="","",PMT(Rate,Nper,-PV,,Type))</f>
        <v/>
      </c>
      <c r="H141" s="69" t="str">
        <f>IF($B141="","",PPMT(Rate,ROWS($1:129),Nper,-PV,,Type))</f>
        <v/>
      </c>
      <c r="I141" s="69" t="str">
        <f>IF($B141="","",IPMT(Rate,ROWS($1:129),Nper,-PV,,Type))</f>
        <v/>
      </c>
      <c r="J141" s="73" t="str">
        <f t="shared" ref="J141:K141" si="131">IF($B141="","",N(J140)+N(H141))</f>
        <v/>
      </c>
      <c r="K141" s="74" t="str">
        <f t="shared" si="131"/>
        <v/>
      </c>
      <c r="L141" s="69" t="str">
        <f>IF($B141="","",PV-J141)</f>
        <v/>
      </c>
      <c r="M141" s="71" t="str">
        <f>IF($B141="","",J141/PV)</f>
        <v/>
      </c>
      <c r="N141" s="72" t="str">
        <f t="shared" si="4"/>
        <v/>
      </c>
    </row>
    <row r="142" ht="14.25" customHeight="1">
      <c r="B142" s="66" t="str">
        <f>IF(ROWS($1:130)&lt;=Nper,ROWS($1:130),"")</f>
        <v/>
      </c>
      <c r="C142" s="67" t="str">
        <f>IF($B142="","",IF($E$7="Weekly",Start_Date+7*(ROWS($1:130)-1),EDATE(Start_Date,VLOOKUP(IF(ASTemp!$E$7="","Monthly",ASTemp!$E$7),Parameters!$B$3:$D$6,3,0)*(ROWS($1:130)-1))))</f>
        <v/>
      </c>
      <c r="D142" s="68" t="str">
        <f t="shared" si="2"/>
        <v/>
      </c>
      <c r="E142" s="65" t="str">
        <f>IF($B142="","",VLOOKUP(MONTH(C142),Parameters!$F$2:$G$13,2,0))</f>
        <v/>
      </c>
      <c r="F142" s="69" t="str">
        <f>IF($B142="","",PV-N(J141))</f>
        <v/>
      </c>
      <c r="G142" s="69" t="str">
        <f>IF($B142="","",PMT(Rate,Nper,-PV,,Type))</f>
        <v/>
      </c>
      <c r="H142" s="69" t="str">
        <f>IF($B142="","",PPMT(Rate,ROWS($1:130),Nper,-PV,,Type))</f>
        <v/>
      </c>
      <c r="I142" s="69" t="str">
        <f>IF($B142="","",IPMT(Rate,ROWS($1:130),Nper,-PV,,Type))</f>
        <v/>
      </c>
      <c r="J142" s="73" t="str">
        <f t="shared" ref="J142:K142" si="132">IF($B142="","",N(J141)+N(H142))</f>
        <v/>
      </c>
      <c r="K142" s="74" t="str">
        <f t="shared" si="132"/>
        <v/>
      </c>
      <c r="L142" s="69" t="str">
        <f>IF($B142="","",PV-J142)</f>
        <v/>
      </c>
      <c r="M142" s="71" t="str">
        <f>IF($B142="","",J142/PV)</f>
        <v/>
      </c>
      <c r="N142" s="72" t="str">
        <f t="shared" si="4"/>
        <v/>
      </c>
    </row>
    <row r="143" ht="14.25" customHeight="1">
      <c r="B143" s="66" t="str">
        <f>IF(ROWS($1:131)&lt;=Nper,ROWS($1:131),"")</f>
        <v/>
      </c>
      <c r="C143" s="67" t="str">
        <f>IF($B143="","",IF($E$7="Weekly",Start_Date+7*(ROWS($1:131)-1),EDATE(Start_Date,VLOOKUP(IF(ASTemp!$E$7="","Monthly",ASTemp!$E$7),Parameters!$B$3:$D$6,3,0)*(ROWS($1:131)-1))))</f>
        <v/>
      </c>
      <c r="D143" s="68" t="str">
        <f t="shared" si="2"/>
        <v/>
      </c>
      <c r="E143" s="65" t="str">
        <f>IF($B143="","",VLOOKUP(MONTH(C143),Parameters!$F$2:$G$13,2,0))</f>
        <v/>
      </c>
      <c r="F143" s="69" t="str">
        <f>IF($B143="","",PV-N(J142))</f>
        <v/>
      </c>
      <c r="G143" s="69" t="str">
        <f>IF($B143="","",PMT(Rate,Nper,-PV,,Type))</f>
        <v/>
      </c>
      <c r="H143" s="69" t="str">
        <f>IF($B143="","",PPMT(Rate,ROWS($1:131),Nper,-PV,,Type))</f>
        <v/>
      </c>
      <c r="I143" s="69" t="str">
        <f>IF($B143="","",IPMT(Rate,ROWS($1:131),Nper,-PV,,Type))</f>
        <v/>
      </c>
      <c r="J143" s="73" t="str">
        <f t="shared" ref="J143:K143" si="133">IF($B143="","",N(J142)+N(H143))</f>
        <v/>
      </c>
      <c r="K143" s="74" t="str">
        <f t="shared" si="133"/>
        <v/>
      </c>
      <c r="L143" s="69" t="str">
        <f>IF($B143="","",PV-J143)</f>
        <v/>
      </c>
      <c r="M143" s="71" t="str">
        <f>IF($B143="","",J143/PV)</f>
        <v/>
      </c>
      <c r="N143" s="72" t="str">
        <f t="shared" si="4"/>
        <v/>
      </c>
    </row>
    <row r="144" ht="14.25" customHeight="1">
      <c r="B144" s="66" t="str">
        <f>IF(ROWS($1:132)&lt;=Nper,ROWS($1:132),"")</f>
        <v/>
      </c>
      <c r="C144" s="67" t="str">
        <f>IF($B144="","",IF($E$7="Weekly",Start_Date+7*(ROWS($1:132)-1),EDATE(Start_Date,VLOOKUP(IF(ASTemp!$E$7="","Monthly",ASTemp!$E$7),Parameters!$B$3:$D$6,3,0)*(ROWS($1:132)-1))))</f>
        <v/>
      </c>
      <c r="D144" s="68" t="str">
        <f t="shared" si="2"/>
        <v/>
      </c>
      <c r="E144" s="65" t="str">
        <f>IF($B144="","",VLOOKUP(MONTH(C144),Parameters!$F$2:$G$13,2,0))</f>
        <v/>
      </c>
      <c r="F144" s="69" t="str">
        <f>IF($B144="","",PV-N(J143))</f>
        <v/>
      </c>
      <c r="G144" s="69" t="str">
        <f>IF($B144="","",PMT(Rate,Nper,-PV,,Type))</f>
        <v/>
      </c>
      <c r="H144" s="69" t="str">
        <f>IF($B144="","",PPMT(Rate,ROWS($1:132),Nper,-PV,,Type))</f>
        <v/>
      </c>
      <c r="I144" s="69" t="str">
        <f>IF($B144="","",IPMT(Rate,ROWS($1:132),Nper,-PV,,Type))</f>
        <v/>
      </c>
      <c r="J144" s="73" t="str">
        <f t="shared" ref="J144:K144" si="134">IF($B144="","",N(J143)+N(H144))</f>
        <v/>
      </c>
      <c r="K144" s="74" t="str">
        <f t="shared" si="134"/>
        <v/>
      </c>
      <c r="L144" s="69" t="str">
        <f>IF($B144="","",PV-J144)</f>
        <v/>
      </c>
      <c r="M144" s="71" t="str">
        <f>IF($B144="","",J144/PV)</f>
        <v/>
      </c>
      <c r="N144" s="72" t="str">
        <f t="shared" si="4"/>
        <v/>
      </c>
    </row>
    <row r="145" ht="14.25" customHeight="1">
      <c r="B145" s="66" t="str">
        <f>IF(ROWS($1:133)&lt;=Nper,ROWS($1:133),"")</f>
        <v/>
      </c>
      <c r="C145" s="67" t="str">
        <f>IF($B145="","",IF($E$7="Weekly",Start_Date+7*(ROWS($1:133)-1),EDATE(Start_Date,VLOOKUP(IF(ASTemp!$E$7="","Monthly",ASTemp!$E$7),Parameters!$B$3:$D$6,3,0)*(ROWS($1:133)-1))))</f>
        <v/>
      </c>
      <c r="D145" s="68" t="str">
        <f t="shared" si="2"/>
        <v/>
      </c>
      <c r="E145" s="65" t="str">
        <f>IF($B145="","",VLOOKUP(MONTH(C145),Parameters!$F$2:$G$13,2,0))</f>
        <v/>
      </c>
      <c r="F145" s="69" t="str">
        <f>IF($B145="","",PV-N(J144))</f>
        <v/>
      </c>
      <c r="G145" s="69" t="str">
        <f>IF($B145="","",PMT(Rate,Nper,-PV,,Type))</f>
        <v/>
      </c>
      <c r="H145" s="69" t="str">
        <f>IF($B145="","",PPMT(Rate,ROWS($1:133),Nper,-PV,,Type))</f>
        <v/>
      </c>
      <c r="I145" s="69" t="str">
        <f>IF($B145="","",IPMT(Rate,ROWS($1:133),Nper,-PV,,Type))</f>
        <v/>
      </c>
      <c r="J145" s="73" t="str">
        <f t="shared" ref="J145:K145" si="135">IF($B145="","",N(J144)+N(H145))</f>
        <v/>
      </c>
      <c r="K145" s="74" t="str">
        <f t="shared" si="135"/>
        <v/>
      </c>
      <c r="L145" s="69" t="str">
        <f>IF($B145="","",PV-J145)</f>
        <v/>
      </c>
      <c r="M145" s="71" t="str">
        <f>IF($B145="","",J145/PV)</f>
        <v/>
      </c>
      <c r="N145" s="72" t="str">
        <f t="shared" si="4"/>
        <v/>
      </c>
    </row>
    <row r="146" ht="14.25" customHeight="1">
      <c r="B146" s="66" t="str">
        <f>IF(ROWS($1:134)&lt;=Nper,ROWS($1:134),"")</f>
        <v/>
      </c>
      <c r="C146" s="67" t="str">
        <f>IF($B146="","",IF($E$7="Weekly",Start_Date+7*(ROWS($1:134)-1),EDATE(Start_Date,VLOOKUP(IF(ASTemp!$E$7="","Monthly",ASTemp!$E$7),Parameters!$B$3:$D$6,3,0)*(ROWS($1:134)-1))))</f>
        <v/>
      </c>
      <c r="D146" s="68" t="str">
        <f t="shared" si="2"/>
        <v/>
      </c>
      <c r="E146" s="65" t="str">
        <f>IF($B146="","",VLOOKUP(MONTH(C146),Parameters!$F$2:$G$13,2,0))</f>
        <v/>
      </c>
      <c r="F146" s="69" t="str">
        <f>IF($B146="","",PV-N(J145))</f>
        <v/>
      </c>
      <c r="G146" s="69" t="str">
        <f>IF($B146="","",PMT(Rate,Nper,-PV,,Type))</f>
        <v/>
      </c>
      <c r="H146" s="69" t="str">
        <f>IF($B146="","",PPMT(Rate,ROWS($1:134),Nper,-PV,,Type))</f>
        <v/>
      </c>
      <c r="I146" s="69" t="str">
        <f>IF($B146="","",IPMT(Rate,ROWS($1:134),Nper,-PV,,Type))</f>
        <v/>
      </c>
      <c r="J146" s="73" t="str">
        <f t="shared" ref="J146:K146" si="136">IF($B146="","",N(J145)+N(H146))</f>
        <v/>
      </c>
      <c r="K146" s="74" t="str">
        <f t="shared" si="136"/>
        <v/>
      </c>
      <c r="L146" s="69" t="str">
        <f>IF($B146="","",PV-J146)</f>
        <v/>
      </c>
      <c r="M146" s="71" t="str">
        <f>IF($B146="","",J146/PV)</f>
        <v/>
      </c>
      <c r="N146" s="72" t="str">
        <f t="shared" si="4"/>
        <v/>
      </c>
    </row>
    <row r="147" ht="14.25" customHeight="1">
      <c r="B147" s="66" t="str">
        <f>IF(ROWS($1:135)&lt;=Nper,ROWS($1:135),"")</f>
        <v/>
      </c>
      <c r="C147" s="67" t="str">
        <f>IF($B147="","",IF($E$7="Weekly",Start_Date+7*(ROWS($1:135)-1),EDATE(Start_Date,VLOOKUP(IF(ASTemp!$E$7="","Monthly",ASTemp!$E$7),Parameters!$B$3:$D$6,3,0)*(ROWS($1:135)-1))))</f>
        <v/>
      </c>
      <c r="D147" s="68" t="str">
        <f t="shared" si="2"/>
        <v/>
      </c>
      <c r="E147" s="65" t="str">
        <f>IF($B147="","",VLOOKUP(MONTH(C147),Parameters!$F$2:$G$13,2,0))</f>
        <v/>
      </c>
      <c r="F147" s="69" t="str">
        <f>IF($B147="","",PV-N(J146))</f>
        <v/>
      </c>
      <c r="G147" s="69" t="str">
        <f>IF($B147="","",PMT(Rate,Nper,-PV,,Type))</f>
        <v/>
      </c>
      <c r="H147" s="69" t="str">
        <f>IF($B147="","",PPMT(Rate,ROWS($1:135),Nper,-PV,,Type))</f>
        <v/>
      </c>
      <c r="I147" s="69" t="str">
        <f>IF($B147="","",IPMT(Rate,ROWS($1:135),Nper,-PV,,Type))</f>
        <v/>
      </c>
      <c r="J147" s="73" t="str">
        <f t="shared" ref="J147:K147" si="137">IF($B147="","",N(J146)+N(H147))</f>
        <v/>
      </c>
      <c r="K147" s="74" t="str">
        <f t="shared" si="137"/>
        <v/>
      </c>
      <c r="L147" s="69" t="str">
        <f>IF($B147="","",PV-J147)</f>
        <v/>
      </c>
      <c r="M147" s="71" t="str">
        <f>IF($B147="","",J147/PV)</f>
        <v/>
      </c>
      <c r="N147" s="72" t="str">
        <f t="shared" si="4"/>
        <v/>
      </c>
    </row>
    <row r="148" ht="14.25" customHeight="1">
      <c r="B148" s="66" t="str">
        <f>IF(ROWS($1:136)&lt;=Nper,ROWS($1:136),"")</f>
        <v/>
      </c>
      <c r="C148" s="67" t="str">
        <f>IF($B148="","",IF($E$7="Weekly",Start_Date+7*(ROWS($1:136)-1),EDATE(Start_Date,VLOOKUP(IF(ASTemp!$E$7="","Monthly",ASTemp!$E$7),Parameters!$B$3:$D$6,3,0)*(ROWS($1:136)-1))))</f>
        <v/>
      </c>
      <c r="D148" s="68" t="str">
        <f t="shared" si="2"/>
        <v/>
      </c>
      <c r="E148" s="65" t="str">
        <f>IF($B148="","",VLOOKUP(MONTH(C148),Parameters!$F$2:$G$13,2,0))</f>
        <v/>
      </c>
      <c r="F148" s="69" t="str">
        <f>IF($B148="","",PV-N(J147))</f>
        <v/>
      </c>
      <c r="G148" s="69" t="str">
        <f>IF($B148="","",PMT(Rate,Nper,-PV,,Type))</f>
        <v/>
      </c>
      <c r="H148" s="69" t="str">
        <f>IF($B148="","",PPMT(Rate,ROWS($1:136),Nper,-PV,,Type))</f>
        <v/>
      </c>
      <c r="I148" s="69" t="str">
        <f>IF($B148="","",IPMT(Rate,ROWS($1:136),Nper,-PV,,Type))</f>
        <v/>
      </c>
      <c r="J148" s="73" t="str">
        <f t="shared" ref="J148:K148" si="138">IF($B148="","",N(J147)+N(H148))</f>
        <v/>
      </c>
      <c r="K148" s="74" t="str">
        <f t="shared" si="138"/>
        <v/>
      </c>
      <c r="L148" s="69" t="str">
        <f>IF($B148="","",PV-J148)</f>
        <v/>
      </c>
      <c r="M148" s="71" t="str">
        <f>IF($B148="","",J148/PV)</f>
        <v/>
      </c>
      <c r="N148" s="72" t="str">
        <f t="shared" si="4"/>
        <v/>
      </c>
    </row>
    <row r="149" ht="14.25" customHeight="1">
      <c r="B149" s="66" t="str">
        <f>IF(ROWS($1:137)&lt;=Nper,ROWS($1:137),"")</f>
        <v/>
      </c>
      <c r="C149" s="67" t="str">
        <f>IF($B149="","",IF($E$7="Weekly",Start_Date+7*(ROWS($1:137)-1),EDATE(Start_Date,VLOOKUP(IF(ASTemp!$E$7="","Monthly",ASTemp!$E$7),Parameters!$B$3:$D$6,3,0)*(ROWS($1:137)-1))))</f>
        <v/>
      </c>
      <c r="D149" s="68" t="str">
        <f t="shared" si="2"/>
        <v/>
      </c>
      <c r="E149" s="65" t="str">
        <f>IF($B149="","",VLOOKUP(MONTH(C149),Parameters!$F$2:$G$13,2,0))</f>
        <v/>
      </c>
      <c r="F149" s="69" t="str">
        <f>IF($B149="","",PV-N(J148))</f>
        <v/>
      </c>
      <c r="G149" s="69" t="str">
        <f>IF($B149="","",PMT(Rate,Nper,-PV,,Type))</f>
        <v/>
      </c>
      <c r="H149" s="69" t="str">
        <f>IF($B149="","",PPMT(Rate,ROWS($1:137),Nper,-PV,,Type))</f>
        <v/>
      </c>
      <c r="I149" s="69" t="str">
        <f>IF($B149="","",IPMT(Rate,ROWS($1:137),Nper,-PV,,Type))</f>
        <v/>
      </c>
      <c r="J149" s="73" t="str">
        <f t="shared" ref="J149:K149" si="139">IF($B149="","",N(J148)+N(H149))</f>
        <v/>
      </c>
      <c r="K149" s="74" t="str">
        <f t="shared" si="139"/>
        <v/>
      </c>
      <c r="L149" s="69" t="str">
        <f>IF($B149="","",PV-J149)</f>
        <v/>
      </c>
      <c r="M149" s="71" t="str">
        <f>IF($B149="","",J149/PV)</f>
        <v/>
      </c>
      <c r="N149" s="72" t="str">
        <f t="shared" si="4"/>
        <v/>
      </c>
    </row>
    <row r="150" ht="14.25" customHeight="1">
      <c r="B150" s="66" t="str">
        <f>IF(ROWS($1:138)&lt;=Nper,ROWS($1:138),"")</f>
        <v/>
      </c>
      <c r="C150" s="67" t="str">
        <f>IF($B150="","",IF($E$7="Weekly",Start_Date+7*(ROWS($1:138)-1),EDATE(Start_Date,VLOOKUP(IF(ASTemp!$E$7="","Monthly",ASTemp!$E$7),Parameters!$B$3:$D$6,3,0)*(ROWS($1:138)-1))))</f>
        <v/>
      </c>
      <c r="D150" s="68" t="str">
        <f t="shared" si="2"/>
        <v/>
      </c>
      <c r="E150" s="65" t="str">
        <f>IF($B150="","",VLOOKUP(MONTH(C150),Parameters!$F$2:$G$13,2,0))</f>
        <v/>
      </c>
      <c r="F150" s="69" t="str">
        <f>IF($B150="","",PV-N(J149))</f>
        <v/>
      </c>
      <c r="G150" s="69" t="str">
        <f>IF($B150="","",PMT(Rate,Nper,-PV,,Type))</f>
        <v/>
      </c>
      <c r="H150" s="69" t="str">
        <f>IF($B150="","",PPMT(Rate,ROWS($1:138),Nper,-PV,,Type))</f>
        <v/>
      </c>
      <c r="I150" s="69" t="str">
        <f>IF($B150="","",IPMT(Rate,ROWS($1:138),Nper,-PV,,Type))</f>
        <v/>
      </c>
      <c r="J150" s="73" t="str">
        <f t="shared" ref="J150:K150" si="140">IF($B150="","",N(J149)+N(H150))</f>
        <v/>
      </c>
      <c r="K150" s="74" t="str">
        <f t="shared" si="140"/>
        <v/>
      </c>
      <c r="L150" s="69" t="str">
        <f>IF($B150="","",PV-J150)</f>
        <v/>
      </c>
      <c r="M150" s="71" t="str">
        <f>IF($B150="","",J150/PV)</f>
        <v/>
      </c>
      <c r="N150" s="72" t="str">
        <f t="shared" si="4"/>
        <v/>
      </c>
    </row>
    <row r="151" ht="14.25" customHeight="1">
      <c r="B151" s="66" t="str">
        <f>IF(ROWS($1:139)&lt;=Nper,ROWS($1:139),"")</f>
        <v/>
      </c>
      <c r="C151" s="67" t="str">
        <f>IF($B151="","",IF($E$7="Weekly",Start_Date+7*(ROWS($1:139)-1),EDATE(Start_Date,VLOOKUP(IF(ASTemp!$E$7="","Monthly",ASTemp!$E$7),Parameters!$B$3:$D$6,3,0)*(ROWS($1:139)-1))))</f>
        <v/>
      </c>
      <c r="D151" s="68" t="str">
        <f t="shared" si="2"/>
        <v/>
      </c>
      <c r="E151" s="65" t="str">
        <f>IF($B151="","",VLOOKUP(MONTH(C151),Parameters!$F$2:$G$13,2,0))</f>
        <v/>
      </c>
      <c r="F151" s="69" t="str">
        <f>IF($B151="","",PV-N(J150))</f>
        <v/>
      </c>
      <c r="G151" s="69" t="str">
        <f>IF($B151="","",PMT(Rate,Nper,-PV,,Type))</f>
        <v/>
      </c>
      <c r="H151" s="69" t="str">
        <f>IF($B151="","",PPMT(Rate,ROWS($1:139),Nper,-PV,,Type))</f>
        <v/>
      </c>
      <c r="I151" s="69" t="str">
        <f>IF($B151="","",IPMT(Rate,ROWS($1:139),Nper,-PV,,Type))</f>
        <v/>
      </c>
      <c r="J151" s="73" t="str">
        <f t="shared" ref="J151:K151" si="141">IF($B151="","",N(J150)+N(H151))</f>
        <v/>
      </c>
      <c r="K151" s="74" t="str">
        <f t="shared" si="141"/>
        <v/>
      </c>
      <c r="L151" s="69" t="str">
        <f>IF($B151="","",PV-J151)</f>
        <v/>
      </c>
      <c r="M151" s="71" t="str">
        <f>IF($B151="","",J151/PV)</f>
        <v/>
      </c>
      <c r="N151" s="72" t="str">
        <f t="shared" si="4"/>
        <v/>
      </c>
    </row>
    <row r="152" ht="14.25" customHeight="1">
      <c r="B152" s="66" t="str">
        <f>IF(ROWS($1:140)&lt;=Nper,ROWS($1:140),"")</f>
        <v/>
      </c>
      <c r="C152" s="67" t="str">
        <f>IF($B152="","",IF($E$7="Weekly",Start_Date+7*(ROWS($1:140)-1),EDATE(Start_Date,VLOOKUP(IF(ASTemp!$E$7="","Monthly",ASTemp!$E$7),Parameters!$B$3:$D$6,3,0)*(ROWS($1:140)-1))))</f>
        <v/>
      </c>
      <c r="D152" s="68" t="str">
        <f t="shared" si="2"/>
        <v/>
      </c>
      <c r="E152" s="65" t="str">
        <f>IF($B152="","",VLOOKUP(MONTH(C152),Parameters!$F$2:$G$13,2,0))</f>
        <v/>
      </c>
      <c r="F152" s="69" t="str">
        <f>IF($B152="","",PV-N(J151))</f>
        <v/>
      </c>
      <c r="G152" s="69" t="str">
        <f>IF($B152="","",PMT(Rate,Nper,-PV,,Type))</f>
        <v/>
      </c>
      <c r="H152" s="69" t="str">
        <f>IF($B152="","",PPMT(Rate,ROWS($1:140),Nper,-PV,,Type))</f>
        <v/>
      </c>
      <c r="I152" s="69" t="str">
        <f>IF($B152="","",IPMT(Rate,ROWS($1:140),Nper,-PV,,Type))</f>
        <v/>
      </c>
      <c r="J152" s="73" t="str">
        <f t="shared" ref="J152:K152" si="142">IF($B152="","",N(J151)+N(H152))</f>
        <v/>
      </c>
      <c r="K152" s="74" t="str">
        <f t="shared" si="142"/>
        <v/>
      </c>
      <c r="L152" s="69" t="str">
        <f>IF($B152="","",PV-J152)</f>
        <v/>
      </c>
      <c r="M152" s="71" t="str">
        <f>IF($B152="","",J152/PV)</f>
        <v/>
      </c>
      <c r="N152" s="72" t="str">
        <f t="shared" si="4"/>
        <v/>
      </c>
    </row>
    <row r="153" ht="14.25" customHeight="1">
      <c r="B153" s="66" t="str">
        <f>IF(ROWS($1:141)&lt;=Nper,ROWS($1:141),"")</f>
        <v/>
      </c>
      <c r="C153" s="67" t="str">
        <f>IF($B153="","",IF($E$7="Weekly",Start_Date+7*(ROWS($1:141)-1),EDATE(Start_Date,VLOOKUP(IF(ASTemp!$E$7="","Monthly",ASTemp!$E$7),Parameters!$B$3:$D$6,3,0)*(ROWS($1:141)-1))))</f>
        <v/>
      </c>
      <c r="D153" s="68" t="str">
        <f t="shared" si="2"/>
        <v/>
      </c>
      <c r="E153" s="65" t="str">
        <f>IF($B153="","",VLOOKUP(MONTH(C153),Parameters!$F$2:$G$13,2,0))</f>
        <v/>
      </c>
      <c r="F153" s="69" t="str">
        <f>IF($B153="","",PV-N(J152))</f>
        <v/>
      </c>
      <c r="G153" s="69" t="str">
        <f>IF($B153="","",PMT(Rate,Nper,-PV,,Type))</f>
        <v/>
      </c>
      <c r="H153" s="69" t="str">
        <f>IF($B153="","",PPMT(Rate,ROWS($1:141),Nper,-PV,,Type))</f>
        <v/>
      </c>
      <c r="I153" s="69" t="str">
        <f>IF($B153="","",IPMT(Rate,ROWS($1:141),Nper,-PV,,Type))</f>
        <v/>
      </c>
      <c r="J153" s="73" t="str">
        <f t="shared" ref="J153:K153" si="143">IF($B153="","",N(J152)+N(H153))</f>
        <v/>
      </c>
      <c r="K153" s="74" t="str">
        <f t="shared" si="143"/>
        <v/>
      </c>
      <c r="L153" s="69" t="str">
        <f>IF($B153="","",PV-J153)</f>
        <v/>
      </c>
      <c r="M153" s="71" t="str">
        <f>IF($B153="","",J153/PV)</f>
        <v/>
      </c>
      <c r="N153" s="72" t="str">
        <f t="shared" si="4"/>
        <v/>
      </c>
    </row>
    <row r="154" ht="14.25" customHeight="1">
      <c r="B154" s="66" t="str">
        <f>IF(ROWS($1:142)&lt;=Nper,ROWS($1:142),"")</f>
        <v/>
      </c>
      <c r="C154" s="67" t="str">
        <f>IF($B154="","",IF($E$7="Weekly",Start_Date+7*(ROWS($1:142)-1),EDATE(Start_Date,VLOOKUP(IF(ASTemp!$E$7="","Monthly",ASTemp!$E$7),Parameters!$B$3:$D$6,3,0)*(ROWS($1:142)-1))))</f>
        <v/>
      </c>
      <c r="D154" s="68" t="str">
        <f t="shared" si="2"/>
        <v/>
      </c>
      <c r="E154" s="65" t="str">
        <f>IF($B154="","",VLOOKUP(MONTH(C154),Parameters!$F$2:$G$13,2,0))</f>
        <v/>
      </c>
      <c r="F154" s="69" t="str">
        <f>IF($B154="","",PV-N(J153))</f>
        <v/>
      </c>
      <c r="G154" s="69" t="str">
        <f>IF($B154="","",PMT(Rate,Nper,-PV,,Type))</f>
        <v/>
      </c>
      <c r="H154" s="69" t="str">
        <f>IF($B154="","",PPMT(Rate,ROWS($1:142),Nper,-PV,,Type))</f>
        <v/>
      </c>
      <c r="I154" s="69" t="str">
        <f>IF($B154="","",IPMT(Rate,ROWS($1:142),Nper,-PV,,Type))</f>
        <v/>
      </c>
      <c r="J154" s="73" t="str">
        <f t="shared" ref="J154:K154" si="144">IF($B154="","",N(J153)+N(H154))</f>
        <v/>
      </c>
      <c r="K154" s="74" t="str">
        <f t="shared" si="144"/>
        <v/>
      </c>
      <c r="L154" s="69" t="str">
        <f>IF($B154="","",PV-J154)</f>
        <v/>
      </c>
      <c r="M154" s="71" t="str">
        <f>IF($B154="","",J154/PV)</f>
        <v/>
      </c>
      <c r="N154" s="72" t="str">
        <f t="shared" si="4"/>
        <v/>
      </c>
    </row>
    <row r="155" ht="14.25" customHeight="1">
      <c r="B155" s="66" t="str">
        <f>IF(ROWS($1:143)&lt;=Nper,ROWS($1:143),"")</f>
        <v/>
      </c>
      <c r="C155" s="67" t="str">
        <f>IF($B155="","",IF($E$7="Weekly",Start_Date+7*(ROWS($1:143)-1),EDATE(Start_Date,VLOOKUP(IF(ASTemp!$E$7="","Monthly",ASTemp!$E$7),Parameters!$B$3:$D$6,3,0)*(ROWS($1:143)-1))))</f>
        <v/>
      </c>
      <c r="D155" s="68" t="str">
        <f t="shared" si="2"/>
        <v/>
      </c>
      <c r="E155" s="65" t="str">
        <f>IF($B155="","",VLOOKUP(MONTH(C155),Parameters!$F$2:$G$13,2,0))</f>
        <v/>
      </c>
      <c r="F155" s="69" t="str">
        <f>IF($B155="","",PV-N(J154))</f>
        <v/>
      </c>
      <c r="G155" s="69" t="str">
        <f>IF($B155="","",PMT(Rate,Nper,-PV,,Type))</f>
        <v/>
      </c>
      <c r="H155" s="69" t="str">
        <f>IF($B155="","",PPMT(Rate,ROWS($1:143),Nper,-PV,,Type))</f>
        <v/>
      </c>
      <c r="I155" s="69" t="str">
        <f>IF($B155="","",IPMT(Rate,ROWS($1:143),Nper,-PV,,Type))</f>
        <v/>
      </c>
      <c r="J155" s="73" t="str">
        <f t="shared" ref="J155:K155" si="145">IF($B155="","",N(J154)+N(H155))</f>
        <v/>
      </c>
      <c r="K155" s="74" t="str">
        <f t="shared" si="145"/>
        <v/>
      </c>
      <c r="L155" s="69" t="str">
        <f>IF($B155="","",PV-J155)</f>
        <v/>
      </c>
      <c r="M155" s="71" t="str">
        <f>IF($B155="","",J155/PV)</f>
        <v/>
      </c>
      <c r="N155" s="72" t="str">
        <f t="shared" si="4"/>
        <v/>
      </c>
    </row>
    <row r="156" ht="14.25" customHeight="1">
      <c r="B156" s="66" t="str">
        <f>IF(ROWS($1:144)&lt;=Nper,ROWS($1:144),"")</f>
        <v/>
      </c>
      <c r="C156" s="67" t="str">
        <f>IF($B156="","",IF($E$7="Weekly",Start_Date+7*(ROWS($1:144)-1),EDATE(Start_Date,VLOOKUP(IF(ASTemp!$E$7="","Monthly",ASTemp!$E$7),Parameters!$B$3:$D$6,3,0)*(ROWS($1:144)-1))))</f>
        <v/>
      </c>
      <c r="D156" s="68" t="str">
        <f t="shared" si="2"/>
        <v/>
      </c>
      <c r="E156" s="65" t="str">
        <f>IF($B156="","",VLOOKUP(MONTH(C156),Parameters!$F$2:$G$13,2,0))</f>
        <v/>
      </c>
      <c r="F156" s="69" t="str">
        <f>IF($B156="","",PV-N(J155))</f>
        <v/>
      </c>
      <c r="G156" s="69" t="str">
        <f>IF($B156="","",PMT(Rate,Nper,-PV,,Type))</f>
        <v/>
      </c>
      <c r="H156" s="69" t="str">
        <f>IF($B156="","",PPMT(Rate,ROWS($1:144),Nper,-PV,,Type))</f>
        <v/>
      </c>
      <c r="I156" s="69" t="str">
        <f>IF($B156="","",IPMT(Rate,ROWS($1:144),Nper,-PV,,Type))</f>
        <v/>
      </c>
      <c r="J156" s="73" t="str">
        <f t="shared" ref="J156:K156" si="146">IF($B156="","",N(J155)+N(H156))</f>
        <v/>
      </c>
      <c r="K156" s="74" t="str">
        <f t="shared" si="146"/>
        <v/>
      </c>
      <c r="L156" s="69" t="str">
        <f>IF($B156="","",PV-J156)</f>
        <v/>
      </c>
      <c r="M156" s="71" t="str">
        <f>IF($B156="","",J156/PV)</f>
        <v/>
      </c>
      <c r="N156" s="72" t="str">
        <f t="shared" si="4"/>
        <v/>
      </c>
    </row>
    <row r="157" ht="14.25" customHeight="1">
      <c r="B157" s="66" t="str">
        <f>IF(ROWS($1:145)&lt;=Nper,ROWS($1:145),"")</f>
        <v/>
      </c>
      <c r="C157" s="67" t="str">
        <f>IF($B157="","",IF($E$7="Weekly",Start_Date+7*(ROWS($1:145)-1),EDATE(Start_Date,VLOOKUP(IF(ASTemp!$E$7="","Monthly",ASTemp!$E$7),Parameters!$B$3:$D$6,3,0)*(ROWS($1:145)-1))))</f>
        <v/>
      </c>
      <c r="D157" s="68" t="str">
        <f t="shared" si="2"/>
        <v/>
      </c>
      <c r="E157" s="65" t="str">
        <f>IF($B157="","",VLOOKUP(MONTH(C157),Parameters!$F$2:$G$13,2,0))</f>
        <v/>
      </c>
      <c r="F157" s="69" t="str">
        <f>IF($B157="","",PV-N(J156))</f>
        <v/>
      </c>
      <c r="G157" s="69" t="str">
        <f>IF($B157="","",PMT(Rate,Nper,-PV,,Type))</f>
        <v/>
      </c>
      <c r="H157" s="69" t="str">
        <f>IF($B157="","",PPMT(Rate,ROWS($1:145),Nper,-PV,,Type))</f>
        <v/>
      </c>
      <c r="I157" s="69" t="str">
        <f>IF($B157="","",IPMT(Rate,ROWS($1:145),Nper,-PV,,Type))</f>
        <v/>
      </c>
      <c r="J157" s="73" t="str">
        <f t="shared" ref="J157:K157" si="147">IF($B157="","",N(J156)+N(H157))</f>
        <v/>
      </c>
      <c r="K157" s="74" t="str">
        <f t="shared" si="147"/>
        <v/>
      </c>
      <c r="L157" s="69" t="str">
        <f>IF($B157="","",PV-J157)</f>
        <v/>
      </c>
      <c r="M157" s="71" t="str">
        <f>IF($B157="","",J157/PV)</f>
        <v/>
      </c>
      <c r="N157" s="72" t="str">
        <f t="shared" si="4"/>
        <v/>
      </c>
    </row>
    <row r="158" ht="14.25" customHeight="1">
      <c r="B158" s="66" t="str">
        <f>IF(ROWS($1:146)&lt;=Nper,ROWS($1:146),"")</f>
        <v/>
      </c>
      <c r="C158" s="67" t="str">
        <f>IF($B158="","",IF($E$7="Weekly",Start_Date+7*(ROWS($1:146)-1),EDATE(Start_Date,VLOOKUP(IF(ASTemp!$E$7="","Monthly",ASTemp!$E$7),Parameters!$B$3:$D$6,3,0)*(ROWS($1:146)-1))))</f>
        <v/>
      </c>
      <c r="D158" s="68" t="str">
        <f t="shared" si="2"/>
        <v/>
      </c>
      <c r="E158" s="65" t="str">
        <f>IF($B158="","",VLOOKUP(MONTH(C158),Parameters!$F$2:$G$13,2,0))</f>
        <v/>
      </c>
      <c r="F158" s="69" t="str">
        <f>IF($B158="","",PV-N(J157))</f>
        <v/>
      </c>
      <c r="G158" s="69" t="str">
        <f>IF($B158="","",PMT(Rate,Nper,-PV,,Type))</f>
        <v/>
      </c>
      <c r="H158" s="69" t="str">
        <f>IF($B158="","",PPMT(Rate,ROWS($1:146),Nper,-PV,,Type))</f>
        <v/>
      </c>
      <c r="I158" s="69" t="str">
        <f>IF($B158="","",IPMT(Rate,ROWS($1:146),Nper,-PV,,Type))</f>
        <v/>
      </c>
      <c r="J158" s="73" t="str">
        <f t="shared" ref="J158:K158" si="148">IF($B158="","",N(J157)+N(H158))</f>
        <v/>
      </c>
      <c r="K158" s="74" t="str">
        <f t="shared" si="148"/>
        <v/>
      </c>
      <c r="L158" s="69" t="str">
        <f>IF($B158="","",PV-J158)</f>
        <v/>
      </c>
      <c r="M158" s="71" t="str">
        <f>IF($B158="","",J158/PV)</f>
        <v/>
      </c>
      <c r="N158" s="72" t="str">
        <f t="shared" si="4"/>
        <v/>
      </c>
    </row>
    <row r="159" ht="14.25" customHeight="1">
      <c r="B159" s="66" t="str">
        <f>IF(ROWS($1:147)&lt;=Nper,ROWS($1:147),"")</f>
        <v/>
      </c>
      <c r="C159" s="67" t="str">
        <f>IF($B159="","",IF($E$7="Weekly",Start_Date+7*(ROWS($1:147)-1),EDATE(Start_Date,VLOOKUP(IF(ASTemp!$E$7="","Monthly",ASTemp!$E$7),Parameters!$B$3:$D$6,3,0)*(ROWS($1:147)-1))))</f>
        <v/>
      </c>
      <c r="D159" s="68" t="str">
        <f t="shared" si="2"/>
        <v/>
      </c>
      <c r="E159" s="65" t="str">
        <f>IF($B159="","",VLOOKUP(MONTH(C159),Parameters!$F$2:$G$13,2,0))</f>
        <v/>
      </c>
      <c r="F159" s="69" t="str">
        <f>IF($B159="","",PV-N(J158))</f>
        <v/>
      </c>
      <c r="G159" s="69" t="str">
        <f>IF($B159="","",PMT(Rate,Nper,-PV,,Type))</f>
        <v/>
      </c>
      <c r="H159" s="69" t="str">
        <f>IF($B159="","",PPMT(Rate,ROWS($1:147),Nper,-PV,,Type))</f>
        <v/>
      </c>
      <c r="I159" s="69" t="str">
        <f>IF($B159="","",IPMT(Rate,ROWS($1:147),Nper,-PV,,Type))</f>
        <v/>
      </c>
      <c r="J159" s="73" t="str">
        <f t="shared" ref="J159:K159" si="149">IF($B159="","",N(J158)+N(H159))</f>
        <v/>
      </c>
      <c r="K159" s="74" t="str">
        <f t="shared" si="149"/>
        <v/>
      </c>
      <c r="L159" s="69" t="str">
        <f>IF($B159="","",PV-J159)</f>
        <v/>
      </c>
      <c r="M159" s="71" t="str">
        <f>IF($B159="","",J159/PV)</f>
        <v/>
      </c>
      <c r="N159" s="72" t="str">
        <f t="shared" si="4"/>
        <v/>
      </c>
    </row>
    <row r="160" ht="14.25" customHeight="1">
      <c r="B160" s="66" t="str">
        <f>IF(ROWS($1:148)&lt;=Nper,ROWS($1:148),"")</f>
        <v/>
      </c>
      <c r="C160" s="67" t="str">
        <f>IF($B160="","",IF($E$7="Weekly",Start_Date+7*(ROWS($1:148)-1),EDATE(Start_Date,VLOOKUP(IF(ASTemp!$E$7="","Monthly",ASTemp!$E$7),Parameters!$B$3:$D$6,3,0)*(ROWS($1:148)-1))))</f>
        <v/>
      </c>
      <c r="D160" s="68" t="str">
        <f t="shared" si="2"/>
        <v/>
      </c>
      <c r="E160" s="65" t="str">
        <f>IF($B160="","",VLOOKUP(MONTH(C160),Parameters!$F$2:$G$13,2,0))</f>
        <v/>
      </c>
      <c r="F160" s="69" t="str">
        <f>IF($B160="","",PV-N(J159))</f>
        <v/>
      </c>
      <c r="G160" s="69" t="str">
        <f>IF($B160="","",PMT(Rate,Nper,-PV,,Type))</f>
        <v/>
      </c>
      <c r="H160" s="69" t="str">
        <f>IF($B160="","",PPMT(Rate,ROWS($1:148),Nper,-PV,,Type))</f>
        <v/>
      </c>
      <c r="I160" s="69" t="str">
        <f>IF($B160="","",IPMT(Rate,ROWS($1:148),Nper,-PV,,Type))</f>
        <v/>
      </c>
      <c r="J160" s="73" t="str">
        <f t="shared" ref="J160:K160" si="150">IF($B160="","",N(J159)+N(H160))</f>
        <v/>
      </c>
      <c r="K160" s="74" t="str">
        <f t="shared" si="150"/>
        <v/>
      </c>
      <c r="L160" s="69" t="str">
        <f>IF($B160="","",PV-J160)</f>
        <v/>
      </c>
      <c r="M160" s="71" t="str">
        <f>IF($B160="","",J160/PV)</f>
        <v/>
      </c>
      <c r="N160" s="72" t="str">
        <f t="shared" si="4"/>
        <v/>
      </c>
    </row>
    <row r="161" ht="14.25" customHeight="1">
      <c r="B161" s="66" t="str">
        <f>IF(ROWS($1:149)&lt;=Nper,ROWS($1:149),"")</f>
        <v/>
      </c>
      <c r="C161" s="67" t="str">
        <f>IF($B161="","",IF($E$7="Weekly",Start_Date+7*(ROWS($1:149)-1),EDATE(Start_Date,VLOOKUP(IF(ASTemp!$E$7="","Monthly",ASTemp!$E$7),Parameters!$B$3:$D$6,3,0)*(ROWS($1:149)-1))))</f>
        <v/>
      </c>
      <c r="D161" s="68" t="str">
        <f t="shared" si="2"/>
        <v/>
      </c>
      <c r="E161" s="65" t="str">
        <f>IF($B161="","",VLOOKUP(MONTH(C161),Parameters!$F$2:$G$13,2,0))</f>
        <v/>
      </c>
      <c r="F161" s="69" t="str">
        <f>IF($B161="","",PV-N(J160))</f>
        <v/>
      </c>
      <c r="G161" s="69" t="str">
        <f>IF($B161="","",PMT(Rate,Nper,-PV,,Type))</f>
        <v/>
      </c>
      <c r="H161" s="69" t="str">
        <f>IF($B161="","",PPMT(Rate,ROWS($1:149),Nper,-PV,,Type))</f>
        <v/>
      </c>
      <c r="I161" s="69" t="str">
        <f>IF($B161="","",IPMT(Rate,ROWS($1:149),Nper,-PV,,Type))</f>
        <v/>
      </c>
      <c r="J161" s="73" t="str">
        <f t="shared" ref="J161:K161" si="151">IF($B161="","",N(J160)+N(H161))</f>
        <v/>
      </c>
      <c r="K161" s="74" t="str">
        <f t="shared" si="151"/>
        <v/>
      </c>
      <c r="L161" s="69" t="str">
        <f>IF($B161="","",PV-J161)</f>
        <v/>
      </c>
      <c r="M161" s="71" t="str">
        <f>IF($B161="","",J161/PV)</f>
        <v/>
      </c>
      <c r="N161" s="72" t="str">
        <f t="shared" si="4"/>
        <v/>
      </c>
    </row>
    <row r="162" ht="14.25" customHeight="1">
      <c r="B162" s="66" t="str">
        <f>IF(ROWS($1:150)&lt;=Nper,ROWS($1:150),"")</f>
        <v/>
      </c>
      <c r="C162" s="67" t="str">
        <f>IF($B162="","",IF($E$7="Weekly",Start_Date+7*(ROWS($1:150)-1),EDATE(Start_Date,VLOOKUP(IF(ASTemp!$E$7="","Monthly",ASTemp!$E$7),Parameters!$B$3:$D$6,3,0)*(ROWS($1:150)-1))))</f>
        <v/>
      </c>
      <c r="D162" s="68" t="str">
        <f t="shared" si="2"/>
        <v/>
      </c>
      <c r="E162" s="65" t="str">
        <f>IF($B162="","",VLOOKUP(MONTH(C162),Parameters!$F$2:$G$13,2,0))</f>
        <v/>
      </c>
      <c r="F162" s="69" t="str">
        <f>IF($B162="","",PV-N(J161))</f>
        <v/>
      </c>
      <c r="G162" s="69" t="str">
        <f>IF($B162="","",PMT(Rate,Nper,-PV,,Type))</f>
        <v/>
      </c>
      <c r="H162" s="69" t="str">
        <f>IF($B162="","",PPMT(Rate,ROWS($1:150),Nper,-PV,,Type))</f>
        <v/>
      </c>
      <c r="I162" s="69" t="str">
        <f>IF($B162="","",IPMT(Rate,ROWS($1:150),Nper,-PV,,Type))</f>
        <v/>
      </c>
      <c r="J162" s="73" t="str">
        <f t="shared" ref="J162:K162" si="152">IF($B162="","",N(J161)+N(H162))</f>
        <v/>
      </c>
      <c r="K162" s="74" t="str">
        <f t="shared" si="152"/>
        <v/>
      </c>
      <c r="L162" s="69" t="str">
        <f>IF($B162="","",PV-J162)</f>
        <v/>
      </c>
      <c r="M162" s="71" t="str">
        <f>IF($B162="","",J162/PV)</f>
        <v/>
      </c>
      <c r="N162" s="72" t="str">
        <f t="shared" si="4"/>
        <v/>
      </c>
    </row>
    <row r="163" ht="14.25" customHeight="1">
      <c r="B163" s="66" t="str">
        <f>IF(ROWS($1:151)&lt;=Nper,ROWS($1:151),"")</f>
        <v/>
      </c>
      <c r="C163" s="67" t="str">
        <f>IF($B163="","",IF($E$7="Weekly",Start_Date+7*(ROWS($1:151)-1),EDATE(Start_Date,VLOOKUP(IF(ASTemp!$E$7="","Monthly",ASTemp!$E$7),Parameters!$B$3:$D$6,3,0)*(ROWS($1:151)-1))))</f>
        <v/>
      </c>
      <c r="D163" s="68" t="str">
        <f t="shared" si="2"/>
        <v/>
      </c>
      <c r="E163" s="65" t="str">
        <f>IF($B163="","",VLOOKUP(MONTH(C163),Parameters!$F$2:$G$13,2,0))</f>
        <v/>
      </c>
      <c r="F163" s="69" t="str">
        <f>IF($B163="","",PV-N(J162))</f>
        <v/>
      </c>
      <c r="G163" s="69" t="str">
        <f>IF($B163="","",PMT(Rate,Nper,-PV,,Type))</f>
        <v/>
      </c>
      <c r="H163" s="69" t="str">
        <f>IF($B163="","",PPMT(Rate,ROWS($1:151),Nper,-PV,,Type))</f>
        <v/>
      </c>
      <c r="I163" s="69" t="str">
        <f>IF($B163="","",IPMT(Rate,ROWS($1:151),Nper,-PV,,Type))</f>
        <v/>
      </c>
      <c r="J163" s="73" t="str">
        <f t="shared" ref="J163:K163" si="153">IF($B163="","",N(J162)+N(H163))</f>
        <v/>
      </c>
      <c r="K163" s="74" t="str">
        <f t="shared" si="153"/>
        <v/>
      </c>
      <c r="L163" s="69" t="str">
        <f>IF($B163="","",PV-J163)</f>
        <v/>
      </c>
      <c r="M163" s="71" t="str">
        <f>IF($B163="","",J163/PV)</f>
        <v/>
      </c>
      <c r="N163" s="72" t="str">
        <f t="shared" si="4"/>
        <v/>
      </c>
    </row>
    <row r="164" ht="14.25" customHeight="1">
      <c r="B164" s="66" t="str">
        <f>IF(ROWS($1:152)&lt;=Nper,ROWS($1:152),"")</f>
        <v/>
      </c>
      <c r="C164" s="67" t="str">
        <f>IF($B164="","",IF($E$7="Weekly",Start_Date+7*(ROWS($1:152)-1),EDATE(Start_Date,VLOOKUP(IF(ASTemp!$E$7="","Monthly",ASTemp!$E$7),Parameters!$B$3:$D$6,3,0)*(ROWS($1:152)-1))))</f>
        <v/>
      </c>
      <c r="D164" s="68" t="str">
        <f t="shared" si="2"/>
        <v/>
      </c>
      <c r="E164" s="65" t="str">
        <f>IF($B164="","",VLOOKUP(MONTH(C164),Parameters!$F$2:$G$13,2,0))</f>
        <v/>
      </c>
      <c r="F164" s="69" t="str">
        <f>IF($B164="","",PV-N(J163))</f>
        <v/>
      </c>
      <c r="G164" s="69" t="str">
        <f>IF($B164="","",PMT(Rate,Nper,-PV,,Type))</f>
        <v/>
      </c>
      <c r="H164" s="69" t="str">
        <f>IF($B164="","",PPMT(Rate,ROWS($1:152),Nper,-PV,,Type))</f>
        <v/>
      </c>
      <c r="I164" s="69" t="str">
        <f>IF($B164="","",IPMT(Rate,ROWS($1:152),Nper,-PV,,Type))</f>
        <v/>
      </c>
      <c r="J164" s="73" t="str">
        <f t="shared" ref="J164:K164" si="154">IF($B164="","",N(J163)+N(H164))</f>
        <v/>
      </c>
      <c r="K164" s="74" t="str">
        <f t="shared" si="154"/>
        <v/>
      </c>
      <c r="L164" s="69" t="str">
        <f>IF($B164="","",PV-J164)</f>
        <v/>
      </c>
      <c r="M164" s="71" t="str">
        <f>IF($B164="","",J164/PV)</f>
        <v/>
      </c>
      <c r="N164" s="72" t="str">
        <f t="shared" si="4"/>
        <v/>
      </c>
    </row>
    <row r="165" ht="14.25" customHeight="1">
      <c r="B165" s="66" t="str">
        <f>IF(ROWS($1:153)&lt;=Nper,ROWS($1:153),"")</f>
        <v/>
      </c>
      <c r="C165" s="67" t="str">
        <f>IF($B165="","",IF($E$7="Weekly",Start_Date+7*(ROWS($1:153)-1),EDATE(Start_Date,VLOOKUP(IF(ASTemp!$E$7="","Monthly",ASTemp!$E$7),Parameters!$B$3:$D$6,3,0)*(ROWS($1:153)-1))))</f>
        <v/>
      </c>
      <c r="D165" s="68" t="str">
        <f t="shared" si="2"/>
        <v/>
      </c>
      <c r="E165" s="65" t="str">
        <f>IF($B165="","",VLOOKUP(MONTH(C165),Parameters!$F$2:$G$13,2,0))</f>
        <v/>
      </c>
      <c r="F165" s="69" t="str">
        <f>IF($B165="","",PV-N(J164))</f>
        <v/>
      </c>
      <c r="G165" s="69" t="str">
        <f>IF($B165="","",PMT(Rate,Nper,-PV,,Type))</f>
        <v/>
      </c>
      <c r="H165" s="69" t="str">
        <f>IF($B165="","",PPMT(Rate,ROWS($1:153),Nper,-PV,,Type))</f>
        <v/>
      </c>
      <c r="I165" s="69" t="str">
        <f>IF($B165="","",IPMT(Rate,ROWS($1:153),Nper,-PV,,Type))</f>
        <v/>
      </c>
      <c r="J165" s="73" t="str">
        <f t="shared" ref="J165:K165" si="155">IF($B165="","",N(J164)+N(H165))</f>
        <v/>
      </c>
      <c r="K165" s="74" t="str">
        <f t="shared" si="155"/>
        <v/>
      </c>
      <c r="L165" s="69" t="str">
        <f>IF($B165="","",PV-J165)</f>
        <v/>
      </c>
      <c r="M165" s="71" t="str">
        <f>IF($B165="","",J165/PV)</f>
        <v/>
      </c>
      <c r="N165" s="72" t="str">
        <f t="shared" si="4"/>
        <v/>
      </c>
    </row>
    <row r="166" ht="14.25" customHeight="1">
      <c r="B166" s="66" t="str">
        <f>IF(ROWS($1:154)&lt;=Nper,ROWS($1:154),"")</f>
        <v/>
      </c>
      <c r="C166" s="67" t="str">
        <f>IF($B166="","",IF($E$7="Weekly",Start_Date+7*(ROWS($1:154)-1),EDATE(Start_Date,VLOOKUP(IF(ASTemp!$E$7="","Monthly",ASTemp!$E$7),Parameters!$B$3:$D$6,3,0)*(ROWS($1:154)-1))))</f>
        <v/>
      </c>
      <c r="D166" s="68" t="str">
        <f t="shared" si="2"/>
        <v/>
      </c>
      <c r="E166" s="65" t="str">
        <f>IF($B166="","",VLOOKUP(MONTH(C166),Parameters!$F$2:$G$13,2,0))</f>
        <v/>
      </c>
      <c r="F166" s="69" t="str">
        <f>IF($B166="","",PV-N(J165))</f>
        <v/>
      </c>
      <c r="G166" s="69" t="str">
        <f>IF($B166="","",PMT(Rate,Nper,-PV,,Type))</f>
        <v/>
      </c>
      <c r="H166" s="69" t="str">
        <f>IF($B166="","",PPMT(Rate,ROWS($1:154),Nper,-PV,,Type))</f>
        <v/>
      </c>
      <c r="I166" s="69" t="str">
        <f>IF($B166="","",IPMT(Rate,ROWS($1:154),Nper,-PV,,Type))</f>
        <v/>
      </c>
      <c r="J166" s="73" t="str">
        <f t="shared" ref="J166:K166" si="156">IF($B166="","",N(J165)+N(H166))</f>
        <v/>
      </c>
      <c r="K166" s="74" t="str">
        <f t="shared" si="156"/>
        <v/>
      </c>
      <c r="L166" s="69" t="str">
        <f>IF($B166="","",PV-J166)</f>
        <v/>
      </c>
      <c r="M166" s="71" t="str">
        <f>IF($B166="","",J166/PV)</f>
        <v/>
      </c>
      <c r="N166" s="72" t="str">
        <f t="shared" si="4"/>
        <v/>
      </c>
    </row>
    <row r="167" ht="14.25" customHeight="1">
      <c r="B167" s="66" t="str">
        <f>IF(ROWS($1:155)&lt;=Nper,ROWS($1:155),"")</f>
        <v/>
      </c>
      <c r="C167" s="67" t="str">
        <f>IF($B167="","",IF($E$7="Weekly",Start_Date+7*(ROWS($1:155)-1),EDATE(Start_Date,VLOOKUP(IF(ASTemp!$E$7="","Monthly",ASTemp!$E$7),Parameters!$B$3:$D$6,3,0)*(ROWS($1:155)-1))))</f>
        <v/>
      </c>
      <c r="D167" s="68" t="str">
        <f t="shared" si="2"/>
        <v/>
      </c>
      <c r="E167" s="65" t="str">
        <f>IF($B167="","",VLOOKUP(MONTH(C167),Parameters!$F$2:$G$13,2,0))</f>
        <v/>
      </c>
      <c r="F167" s="69" t="str">
        <f>IF($B167="","",PV-N(J166))</f>
        <v/>
      </c>
      <c r="G167" s="69" t="str">
        <f>IF($B167="","",PMT(Rate,Nper,-PV,,Type))</f>
        <v/>
      </c>
      <c r="H167" s="69" t="str">
        <f>IF($B167="","",PPMT(Rate,ROWS($1:155),Nper,-PV,,Type))</f>
        <v/>
      </c>
      <c r="I167" s="69" t="str">
        <f>IF($B167="","",IPMT(Rate,ROWS($1:155),Nper,-PV,,Type))</f>
        <v/>
      </c>
      <c r="J167" s="73" t="str">
        <f t="shared" ref="J167:K167" si="157">IF($B167="","",N(J166)+N(H167))</f>
        <v/>
      </c>
      <c r="K167" s="74" t="str">
        <f t="shared" si="157"/>
        <v/>
      </c>
      <c r="L167" s="69" t="str">
        <f>IF($B167="","",PV-J167)</f>
        <v/>
      </c>
      <c r="M167" s="71" t="str">
        <f>IF($B167="","",J167/PV)</f>
        <v/>
      </c>
      <c r="N167" s="72" t="str">
        <f t="shared" si="4"/>
        <v/>
      </c>
    </row>
    <row r="168" ht="14.25" customHeight="1">
      <c r="B168" s="66" t="str">
        <f>IF(ROWS($1:156)&lt;=Nper,ROWS($1:156),"")</f>
        <v/>
      </c>
      <c r="C168" s="67" t="str">
        <f>IF($B168="","",IF($E$7="Weekly",Start_Date+7*(ROWS($1:156)-1),EDATE(Start_Date,VLOOKUP(IF(ASTemp!$E$7="","Monthly",ASTemp!$E$7),Parameters!$B$3:$D$6,3,0)*(ROWS($1:156)-1))))</f>
        <v/>
      </c>
      <c r="D168" s="68" t="str">
        <f t="shared" si="2"/>
        <v/>
      </c>
      <c r="E168" s="65" t="str">
        <f>IF($B168="","",VLOOKUP(MONTH(C168),Parameters!$F$2:$G$13,2,0))</f>
        <v/>
      </c>
      <c r="F168" s="69" t="str">
        <f>IF($B168="","",PV-N(J167))</f>
        <v/>
      </c>
      <c r="G168" s="69" t="str">
        <f>IF($B168="","",PMT(Rate,Nper,-PV,,Type))</f>
        <v/>
      </c>
      <c r="H168" s="69" t="str">
        <f>IF($B168="","",PPMT(Rate,ROWS($1:156),Nper,-PV,,Type))</f>
        <v/>
      </c>
      <c r="I168" s="69" t="str">
        <f>IF($B168="","",IPMT(Rate,ROWS($1:156),Nper,-PV,,Type))</f>
        <v/>
      </c>
      <c r="J168" s="73" t="str">
        <f t="shared" ref="J168:K168" si="158">IF($B168="","",N(J167)+N(H168))</f>
        <v/>
      </c>
      <c r="K168" s="74" t="str">
        <f t="shared" si="158"/>
        <v/>
      </c>
      <c r="L168" s="69" t="str">
        <f>IF($B168="","",PV-J168)</f>
        <v/>
      </c>
      <c r="M168" s="71" t="str">
        <f>IF($B168="","",J168/PV)</f>
        <v/>
      </c>
      <c r="N168" s="72" t="str">
        <f t="shared" si="4"/>
        <v/>
      </c>
    </row>
    <row r="169" ht="14.25" customHeight="1">
      <c r="B169" s="66" t="str">
        <f>IF(ROWS($1:157)&lt;=Nper,ROWS($1:157),"")</f>
        <v/>
      </c>
      <c r="C169" s="67" t="str">
        <f>IF($B169="","",IF($E$7="Weekly",Start_Date+7*(ROWS($1:157)-1),EDATE(Start_Date,VLOOKUP(IF(ASTemp!$E$7="","Monthly",ASTemp!$E$7),Parameters!$B$3:$D$6,3,0)*(ROWS($1:157)-1))))</f>
        <v/>
      </c>
      <c r="D169" s="68" t="str">
        <f t="shared" si="2"/>
        <v/>
      </c>
      <c r="E169" s="65" t="str">
        <f>IF($B169="","",VLOOKUP(MONTH(C169),Parameters!$F$2:$G$13,2,0))</f>
        <v/>
      </c>
      <c r="F169" s="69" t="str">
        <f>IF($B169="","",PV-N(J168))</f>
        <v/>
      </c>
      <c r="G169" s="69" t="str">
        <f>IF($B169="","",PMT(Rate,Nper,-PV,,Type))</f>
        <v/>
      </c>
      <c r="H169" s="69" t="str">
        <f>IF($B169="","",PPMT(Rate,ROWS($1:157),Nper,-PV,,Type))</f>
        <v/>
      </c>
      <c r="I169" s="69" t="str">
        <f>IF($B169="","",IPMT(Rate,ROWS($1:157),Nper,-PV,,Type))</f>
        <v/>
      </c>
      <c r="J169" s="73" t="str">
        <f t="shared" ref="J169:K169" si="159">IF($B169="","",N(J168)+N(H169))</f>
        <v/>
      </c>
      <c r="K169" s="74" t="str">
        <f t="shared" si="159"/>
        <v/>
      </c>
      <c r="L169" s="69" t="str">
        <f>IF($B169="","",PV-J169)</f>
        <v/>
      </c>
      <c r="M169" s="71" t="str">
        <f>IF($B169="","",J169/PV)</f>
        <v/>
      </c>
      <c r="N169" s="72" t="str">
        <f t="shared" si="4"/>
        <v/>
      </c>
    </row>
    <row r="170" ht="14.25" customHeight="1">
      <c r="B170" s="66" t="str">
        <f>IF(ROWS($1:158)&lt;=Nper,ROWS($1:158),"")</f>
        <v/>
      </c>
      <c r="C170" s="67" t="str">
        <f>IF($B170="","",IF($E$7="Weekly",Start_Date+7*(ROWS($1:158)-1),EDATE(Start_Date,VLOOKUP(IF(ASTemp!$E$7="","Monthly",ASTemp!$E$7),Parameters!$B$3:$D$6,3,0)*(ROWS($1:158)-1))))</f>
        <v/>
      </c>
      <c r="D170" s="68" t="str">
        <f t="shared" si="2"/>
        <v/>
      </c>
      <c r="E170" s="65" t="str">
        <f>IF($B170="","",VLOOKUP(MONTH(C170),Parameters!$F$2:$G$13,2,0))</f>
        <v/>
      </c>
      <c r="F170" s="69" t="str">
        <f>IF($B170="","",PV-N(J169))</f>
        <v/>
      </c>
      <c r="G170" s="69" t="str">
        <f>IF($B170="","",PMT(Rate,Nper,-PV,,Type))</f>
        <v/>
      </c>
      <c r="H170" s="69" t="str">
        <f>IF($B170="","",PPMT(Rate,ROWS($1:158),Nper,-PV,,Type))</f>
        <v/>
      </c>
      <c r="I170" s="69" t="str">
        <f>IF($B170="","",IPMT(Rate,ROWS($1:158),Nper,-PV,,Type))</f>
        <v/>
      </c>
      <c r="J170" s="73" t="str">
        <f t="shared" ref="J170:K170" si="160">IF($B170="","",N(J169)+N(H170))</f>
        <v/>
      </c>
      <c r="K170" s="74" t="str">
        <f t="shared" si="160"/>
        <v/>
      </c>
      <c r="L170" s="69" t="str">
        <f>IF($B170="","",PV-J170)</f>
        <v/>
      </c>
      <c r="M170" s="71" t="str">
        <f>IF($B170="","",J170/PV)</f>
        <v/>
      </c>
      <c r="N170" s="72" t="str">
        <f t="shared" si="4"/>
        <v/>
      </c>
    </row>
    <row r="171" ht="14.25" customHeight="1">
      <c r="B171" s="66" t="str">
        <f>IF(ROWS($1:159)&lt;=Nper,ROWS($1:159),"")</f>
        <v/>
      </c>
      <c r="C171" s="67" t="str">
        <f>IF($B171="","",IF($E$7="Weekly",Start_Date+7*(ROWS($1:159)-1),EDATE(Start_Date,VLOOKUP(IF(ASTemp!$E$7="","Monthly",ASTemp!$E$7),Parameters!$B$3:$D$6,3,0)*(ROWS($1:159)-1))))</f>
        <v/>
      </c>
      <c r="D171" s="68" t="str">
        <f t="shared" si="2"/>
        <v/>
      </c>
      <c r="E171" s="65" t="str">
        <f>IF($B171="","",VLOOKUP(MONTH(C171),Parameters!$F$2:$G$13,2,0))</f>
        <v/>
      </c>
      <c r="F171" s="69" t="str">
        <f>IF($B171="","",PV-N(J170))</f>
        <v/>
      </c>
      <c r="G171" s="69" t="str">
        <f>IF($B171="","",PMT(Rate,Nper,-PV,,Type))</f>
        <v/>
      </c>
      <c r="H171" s="69" t="str">
        <f>IF($B171="","",PPMT(Rate,ROWS($1:159),Nper,-PV,,Type))</f>
        <v/>
      </c>
      <c r="I171" s="69" t="str">
        <f>IF($B171="","",IPMT(Rate,ROWS($1:159),Nper,-PV,,Type))</f>
        <v/>
      </c>
      <c r="J171" s="73" t="str">
        <f t="shared" ref="J171:K171" si="161">IF($B171="","",N(J170)+N(H171))</f>
        <v/>
      </c>
      <c r="K171" s="74" t="str">
        <f t="shared" si="161"/>
        <v/>
      </c>
      <c r="L171" s="69" t="str">
        <f>IF($B171="","",PV-J171)</f>
        <v/>
      </c>
      <c r="M171" s="71" t="str">
        <f>IF($B171="","",J171/PV)</f>
        <v/>
      </c>
      <c r="N171" s="72" t="str">
        <f t="shared" si="4"/>
        <v/>
      </c>
    </row>
    <row r="172" ht="14.25" customHeight="1">
      <c r="B172" s="66" t="str">
        <f>IF(ROWS($1:160)&lt;=Nper,ROWS($1:160),"")</f>
        <v/>
      </c>
      <c r="C172" s="67" t="str">
        <f>IF($B172="","",IF($E$7="Weekly",Start_Date+7*(ROWS($1:160)-1),EDATE(Start_Date,VLOOKUP(IF(ASTemp!$E$7="","Monthly",ASTemp!$E$7),Parameters!$B$3:$D$6,3,0)*(ROWS($1:160)-1))))</f>
        <v/>
      </c>
      <c r="D172" s="68" t="str">
        <f t="shared" si="2"/>
        <v/>
      </c>
      <c r="E172" s="65" t="str">
        <f>IF($B172="","",VLOOKUP(MONTH(C172),Parameters!$F$2:$G$13,2,0))</f>
        <v/>
      </c>
      <c r="F172" s="69" t="str">
        <f>IF($B172="","",PV-N(J171))</f>
        <v/>
      </c>
      <c r="G172" s="69" t="str">
        <f>IF($B172="","",PMT(Rate,Nper,-PV,,Type))</f>
        <v/>
      </c>
      <c r="H172" s="69" t="str">
        <f>IF($B172="","",PPMT(Rate,ROWS($1:160),Nper,-PV,,Type))</f>
        <v/>
      </c>
      <c r="I172" s="69" t="str">
        <f>IF($B172="","",IPMT(Rate,ROWS($1:160),Nper,-PV,,Type))</f>
        <v/>
      </c>
      <c r="J172" s="73" t="str">
        <f t="shared" ref="J172:K172" si="162">IF($B172="","",N(J171)+N(H172))</f>
        <v/>
      </c>
      <c r="K172" s="74" t="str">
        <f t="shared" si="162"/>
        <v/>
      </c>
      <c r="L172" s="69" t="str">
        <f>IF($B172="","",PV-J172)</f>
        <v/>
      </c>
      <c r="M172" s="71" t="str">
        <f>IF($B172="","",J172/PV)</f>
        <v/>
      </c>
      <c r="N172" s="72" t="str">
        <f t="shared" si="4"/>
        <v/>
      </c>
    </row>
    <row r="173" ht="14.25" customHeight="1">
      <c r="B173" s="66" t="str">
        <f>IF(ROWS($1:161)&lt;=Nper,ROWS($1:161),"")</f>
        <v/>
      </c>
      <c r="C173" s="67" t="str">
        <f>IF($B173="","",IF($E$7="Weekly",Start_Date+7*(ROWS($1:161)-1),EDATE(Start_Date,VLOOKUP(IF(ASTemp!$E$7="","Monthly",ASTemp!$E$7),Parameters!$B$3:$D$6,3,0)*(ROWS($1:161)-1))))</f>
        <v/>
      </c>
      <c r="D173" s="68" t="str">
        <f t="shared" si="2"/>
        <v/>
      </c>
      <c r="E173" s="65" t="str">
        <f>IF($B173="","",VLOOKUP(MONTH(C173),Parameters!$F$2:$G$13,2,0))</f>
        <v/>
      </c>
      <c r="F173" s="69" t="str">
        <f>IF($B173="","",PV-N(J172))</f>
        <v/>
      </c>
      <c r="G173" s="69" t="str">
        <f>IF($B173="","",PMT(Rate,Nper,-PV,,Type))</f>
        <v/>
      </c>
      <c r="H173" s="69" t="str">
        <f>IF($B173="","",PPMT(Rate,ROWS($1:161),Nper,-PV,,Type))</f>
        <v/>
      </c>
      <c r="I173" s="69" t="str">
        <f>IF($B173="","",IPMT(Rate,ROWS($1:161),Nper,-PV,,Type))</f>
        <v/>
      </c>
      <c r="J173" s="73" t="str">
        <f t="shared" ref="J173:K173" si="163">IF($B173="","",N(J172)+N(H173))</f>
        <v/>
      </c>
      <c r="K173" s="74" t="str">
        <f t="shared" si="163"/>
        <v/>
      </c>
      <c r="L173" s="69" t="str">
        <f>IF($B173="","",PV-J173)</f>
        <v/>
      </c>
      <c r="M173" s="71" t="str">
        <f>IF($B173="","",J173/PV)</f>
        <v/>
      </c>
      <c r="N173" s="72" t="str">
        <f t="shared" si="4"/>
        <v/>
      </c>
    </row>
    <row r="174" ht="14.25" customHeight="1">
      <c r="B174" s="66" t="str">
        <f>IF(ROWS($1:162)&lt;=Nper,ROWS($1:162),"")</f>
        <v/>
      </c>
      <c r="C174" s="67" t="str">
        <f>IF($B174="","",IF($E$7="Weekly",Start_Date+7*(ROWS($1:162)-1),EDATE(Start_Date,VLOOKUP(IF(ASTemp!$E$7="","Monthly",ASTemp!$E$7),Parameters!$B$3:$D$6,3,0)*(ROWS($1:162)-1))))</f>
        <v/>
      </c>
      <c r="D174" s="68" t="str">
        <f t="shared" si="2"/>
        <v/>
      </c>
      <c r="E174" s="65" t="str">
        <f>IF($B174="","",VLOOKUP(MONTH(C174),Parameters!$F$2:$G$13,2,0))</f>
        <v/>
      </c>
      <c r="F174" s="69" t="str">
        <f>IF($B174="","",PV-N(J173))</f>
        <v/>
      </c>
      <c r="G174" s="69" t="str">
        <f>IF($B174="","",PMT(Rate,Nper,-PV,,Type))</f>
        <v/>
      </c>
      <c r="H174" s="69" t="str">
        <f>IF($B174="","",PPMT(Rate,ROWS($1:162),Nper,-PV,,Type))</f>
        <v/>
      </c>
      <c r="I174" s="69" t="str">
        <f>IF($B174="","",IPMT(Rate,ROWS($1:162),Nper,-PV,,Type))</f>
        <v/>
      </c>
      <c r="J174" s="73" t="str">
        <f t="shared" ref="J174:K174" si="164">IF($B174="","",N(J173)+N(H174))</f>
        <v/>
      </c>
      <c r="K174" s="74" t="str">
        <f t="shared" si="164"/>
        <v/>
      </c>
      <c r="L174" s="69" t="str">
        <f>IF($B174="","",PV-J174)</f>
        <v/>
      </c>
      <c r="M174" s="71" t="str">
        <f>IF($B174="","",J174/PV)</f>
        <v/>
      </c>
      <c r="N174" s="72" t="str">
        <f t="shared" si="4"/>
        <v/>
      </c>
    </row>
    <row r="175" ht="14.25" customHeight="1">
      <c r="B175" s="66" t="str">
        <f>IF(ROWS($1:163)&lt;=Nper,ROWS($1:163),"")</f>
        <v/>
      </c>
      <c r="C175" s="67" t="str">
        <f>IF($B175="","",IF($E$7="Weekly",Start_Date+7*(ROWS($1:163)-1),EDATE(Start_Date,VLOOKUP(IF(ASTemp!$E$7="","Monthly",ASTemp!$E$7),Parameters!$B$3:$D$6,3,0)*(ROWS($1:163)-1))))</f>
        <v/>
      </c>
      <c r="D175" s="68" t="str">
        <f t="shared" si="2"/>
        <v/>
      </c>
      <c r="E175" s="65" t="str">
        <f>IF($B175="","",VLOOKUP(MONTH(C175),Parameters!$F$2:$G$13,2,0))</f>
        <v/>
      </c>
      <c r="F175" s="69" t="str">
        <f>IF($B175="","",PV-N(J174))</f>
        <v/>
      </c>
      <c r="G175" s="69" t="str">
        <f>IF($B175="","",PMT(Rate,Nper,-PV,,Type))</f>
        <v/>
      </c>
      <c r="H175" s="69" t="str">
        <f>IF($B175="","",PPMT(Rate,ROWS($1:163),Nper,-PV,,Type))</f>
        <v/>
      </c>
      <c r="I175" s="69" t="str">
        <f>IF($B175="","",IPMT(Rate,ROWS($1:163),Nper,-PV,,Type))</f>
        <v/>
      </c>
      <c r="J175" s="73" t="str">
        <f t="shared" ref="J175:K175" si="165">IF($B175="","",N(J174)+N(H175))</f>
        <v/>
      </c>
      <c r="K175" s="74" t="str">
        <f t="shared" si="165"/>
        <v/>
      </c>
      <c r="L175" s="69" t="str">
        <f>IF($B175="","",PV-J175)</f>
        <v/>
      </c>
      <c r="M175" s="71" t="str">
        <f>IF($B175="","",J175/PV)</f>
        <v/>
      </c>
      <c r="N175" s="72" t="str">
        <f t="shared" si="4"/>
        <v/>
      </c>
    </row>
    <row r="176" ht="14.25" customHeight="1">
      <c r="B176" s="66" t="str">
        <f>IF(ROWS($1:164)&lt;=Nper,ROWS($1:164),"")</f>
        <v/>
      </c>
      <c r="C176" s="67" t="str">
        <f>IF($B176="","",IF($E$7="Weekly",Start_Date+7*(ROWS($1:164)-1),EDATE(Start_Date,VLOOKUP(IF(ASTemp!$E$7="","Monthly",ASTemp!$E$7),Parameters!$B$3:$D$6,3,0)*(ROWS($1:164)-1))))</f>
        <v/>
      </c>
      <c r="D176" s="68" t="str">
        <f t="shared" si="2"/>
        <v/>
      </c>
      <c r="E176" s="65" t="str">
        <f>IF($B176="","",VLOOKUP(MONTH(C176),Parameters!$F$2:$G$13,2,0))</f>
        <v/>
      </c>
      <c r="F176" s="69" t="str">
        <f>IF($B176="","",PV-N(J175))</f>
        <v/>
      </c>
      <c r="G176" s="69" t="str">
        <f>IF($B176="","",PMT(Rate,Nper,-PV,,Type))</f>
        <v/>
      </c>
      <c r="H176" s="69" t="str">
        <f>IF($B176="","",PPMT(Rate,ROWS($1:164),Nper,-PV,,Type))</f>
        <v/>
      </c>
      <c r="I176" s="69" t="str">
        <f>IF($B176="","",IPMT(Rate,ROWS($1:164),Nper,-PV,,Type))</f>
        <v/>
      </c>
      <c r="J176" s="73" t="str">
        <f t="shared" ref="J176:K176" si="166">IF($B176="","",N(J175)+N(H176))</f>
        <v/>
      </c>
      <c r="K176" s="74" t="str">
        <f t="shared" si="166"/>
        <v/>
      </c>
      <c r="L176" s="69" t="str">
        <f>IF($B176="","",PV-J176)</f>
        <v/>
      </c>
      <c r="M176" s="71" t="str">
        <f>IF($B176="","",J176/PV)</f>
        <v/>
      </c>
      <c r="N176" s="72" t="str">
        <f t="shared" si="4"/>
        <v/>
      </c>
    </row>
    <row r="177" ht="14.25" customHeight="1">
      <c r="B177" s="66" t="str">
        <f>IF(ROWS($1:165)&lt;=Nper,ROWS($1:165),"")</f>
        <v/>
      </c>
      <c r="C177" s="67" t="str">
        <f>IF($B177="","",IF($E$7="Weekly",Start_Date+7*(ROWS($1:165)-1),EDATE(Start_Date,VLOOKUP(IF(ASTemp!$E$7="","Monthly",ASTemp!$E$7),Parameters!$B$3:$D$6,3,0)*(ROWS($1:165)-1))))</f>
        <v/>
      </c>
      <c r="D177" s="68" t="str">
        <f t="shared" si="2"/>
        <v/>
      </c>
      <c r="E177" s="65" t="str">
        <f>IF($B177="","",VLOOKUP(MONTH(C177),Parameters!$F$2:$G$13,2,0))</f>
        <v/>
      </c>
      <c r="F177" s="69" t="str">
        <f>IF($B177="","",PV-N(J176))</f>
        <v/>
      </c>
      <c r="G177" s="69" t="str">
        <f>IF($B177="","",PMT(Rate,Nper,-PV,,Type))</f>
        <v/>
      </c>
      <c r="H177" s="69" t="str">
        <f>IF($B177="","",PPMT(Rate,ROWS($1:165),Nper,-PV,,Type))</f>
        <v/>
      </c>
      <c r="I177" s="69" t="str">
        <f>IF($B177="","",IPMT(Rate,ROWS($1:165),Nper,-PV,,Type))</f>
        <v/>
      </c>
      <c r="J177" s="73" t="str">
        <f t="shared" ref="J177:K177" si="167">IF($B177="","",N(J176)+N(H177))</f>
        <v/>
      </c>
      <c r="K177" s="74" t="str">
        <f t="shared" si="167"/>
        <v/>
      </c>
      <c r="L177" s="69" t="str">
        <f>IF($B177="","",PV-J177)</f>
        <v/>
      </c>
      <c r="M177" s="71" t="str">
        <f>IF($B177="","",J177/PV)</f>
        <v/>
      </c>
      <c r="N177" s="72" t="str">
        <f t="shared" si="4"/>
        <v/>
      </c>
    </row>
    <row r="178" ht="14.25" customHeight="1">
      <c r="B178" s="66" t="str">
        <f>IF(ROWS($1:166)&lt;=Nper,ROWS($1:166),"")</f>
        <v/>
      </c>
      <c r="C178" s="67" t="str">
        <f>IF($B178="","",IF($E$7="Weekly",Start_Date+7*(ROWS($1:166)-1),EDATE(Start_Date,VLOOKUP(IF(ASTemp!$E$7="","Monthly",ASTemp!$E$7),Parameters!$B$3:$D$6,3,0)*(ROWS($1:166)-1))))</f>
        <v/>
      </c>
      <c r="D178" s="68" t="str">
        <f t="shared" si="2"/>
        <v/>
      </c>
      <c r="E178" s="65" t="str">
        <f>IF($B178="","",VLOOKUP(MONTH(C178),Parameters!$F$2:$G$13,2,0))</f>
        <v/>
      </c>
      <c r="F178" s="69" t="str">
        <f>IF($B178="","",PV-N(J177))</f>
        <v/>
      </c>
      <c r="G178" s="69" t="str">
        <f>IF($B178="","",PMT(Rate,Nper,-PV,,Type))</f>
        <v/>
      </c>
      <c r="H178" s="69" t="str">
        <f>IF($B178="","",PPMT(Rate,ROWS($1:166),Nper,-PV,,Type))</f>
        <v/>
      </c>
      <c r="I178" s="69" t="str">
        <f>IF($B178="","",IPMT(Rate,ROWS($1:166),Nper,-PV,,Type))</f>
        <v/>
      </c>
      <c r="J178" s="73" t="str">
        <f t="shared" ref="J178:K178" si="168">IF($B178="","",N(J177)+N(H178))</f>
        <v/>
      </c>
      <c r="K178" s="74" t="str">
        <f t="shared" si="168"/>
        <v/>
      </c>
      <c r="L178" s="69" t="str">
        <f>IF($B178="","",PV-J178)</f>
        <v/>
      </c>
      <c r="M178" s="71" t="str">
        <f>IF($B178="","",J178/PV)</f>
        <v/>
      </c>
      <c r="N178" s="72" t="str">
        <f t="shared" si="4"/>
        <v/>
      </c>
    </row>
    <row r="179" ht="14.25" customHeight="1">
      <c r="B179" s="66" t="str">
        <f>IF(ROWS($1:167)&lt;=Nper,ROWS($1:167),"")</f>
        <v/>
      </c>
      <c r="C179" s="67" t="str">
        <f>IF($B179="","",IF($E$7="Weekly",Start_Date+7*(ROWS($1:167)-1),EDATE(Start_Date,VLOOKUP(IF(ASTemp!$E$7="","Monthly",ASTemp!$E$7),Parameters!$B$3:$D$6,3,0)*(ROWS($1:167)-1))))</f>
        <v/>
      </c>
      <c r="D179" s="68" t="str">
        <f t="shared" si="2"/>
        <v/>
      </c>
      <c r="E179" s="65" t="str">
        <f>IF($B179="","",VLOOKUP(MONTH(C179),Parameters!$F$2:$G$13,2,0))</f>
        <v/>
      </c>
      <c r="F179" s="69" t="str">
        <f>IF($B179="","",PV-N(J178))</f>
        <v/>
      </c>
      <c r="G179" s="69" t="str">
        <f>IF($B179="","",PMT(Rate,Nper,-PV,,Type))</f>
        <v/>
      </c>
      <c r="H179" s="69" t="str">
        <f>IF($B179="","",PPMT(Rate,ROWS($1:167),Nper,-PV,,Type))</f>
        <v/>
      </c>
      <c r="I179" s="69" t="str">
        <f>IF($B179="","",IPMT(Rate,ROWS($1:167),Nper,-PV,,Type))</f>
        <v/>
      </c>
      <c r="J179" s="73" t="str">
        <f t="shared" ref="J179:K179" si="169">IF($B179="","",N(J178)+N(H179))</f>
        <v/>
      </c>
      <c r="K179" s="74" t="str">
        <f t="shared" si="169"/>
        <v/>
      </c>
      <c r="L179" s="69" t="str">
        <f>IF($B179="","",PV-J179)</f>
        <v/>
      </c>
      <c r="M179" s="71" t="str">
        <f>IF($B179="","",J179/PV)</f>
        <v/>
      </c>
      <c r="N179" s="72" t="str">
        <f t="shared" si="4"/>
        <v/>
      </c>
    </row>
    <row r="180" ht="14.25" customHeight="1">
      <c r="B180" s="66" t="str">
        <f>IF(ROWS($1:168)&lt;=Nper,ROWS($1:168),"")</f>
        <v/>
      </c>
      <c r="C180" s="67" t="str">
        <f>IF($B180="","",IF($E$7="Weekly",Start_Date+7*(ROWS($1:168)-1),EDATE(Start_Date,VLOOKUP(IF(ASTemp!$E$7="","Monthly",ASTemp!$E$7),Parameters!$B$3:$D$6,3,0)*(ROWS($1:168)-1))))</f>
        <v/>
      </c>
      <c r="D180" s="68" t="str">
        <f t="shared" si="2"/>
        <v/>
      </c>
      <c r="E180" s="65" t="str">
        <f>IF($B180="","",VLOOKUP(MONTH(C180),Parameters!$F$2:$G$13,2,0))</f>
        <v/>
      </c>
      <c r="F180" s="69" t="str">
        <f>IF($B180="","",PV-N(J179))</f>
        <v/>
      </c>
      <c r="G180" s="69" t="str">
        <f>IF($B180="","",PMT(Rate,Nper,-PV,,Type))</f>
        <v/>
      </c>
      <c r="H180" s="69" t="str">
        <f>IF($B180="","",PPMT(Rate,ROWS($1:168),Nper,-PV,,Type))</f>
        <v/>
      </c>
      <c r="I180" s="69" t="str">
        <f>IF($B180="","",IPMT(Rate,ROWS($1:168),Nper,-PV,,Type))</f>
        <v/>
      </c>
      <c r="J180" s="73" t="str">
        <f t="shared" ref="J180:K180" si="170">IF($B180="","",N(J179)+N(H180))</f>
        <v/>
      </c>
      <c r="K180" s="74" t="str">
        <f t="shared" si="170"/>
        <v/>
      </c>
      <c r="L180" s="69" t="str">
        <f>IF($B180="","",PV-J180)</f>
        <v/>
      </c>
      <c r="M180" s="71" t="str">
        <f>IF($B180="","",J180/PV)</f>
        <v/>
      </c>
      <c r="N180" s="72" t="str">
        <f t="shared" si="4"/>
        <v/>
      </c>
    </row>
    <row r="181" ht="14.25" customHeight="1">
      <c r="B181" s="66" t="str">
        <f>IF(ROWS($1:169)&lt;=Nper,ROWS($1:169),"")</f>
        <v/>
      </c>
      <c r="C181" s="67" t="str">
        <f>IF($B181="","",IF($E$7="Weekly",Start_Date+7*(ROWS($1:169)-1),EDATE(Start_Date,VLOOKUP(IF(ASTemp!$E$7="","Monthly",ASTemp!$E$7),Parameters!$B$3:$D$6,3,0)*(ROWS($1:169)-1))))</f>
        <v/>
      </c>
      <c r="D181" s="68" t="str">
        <f t="shared" si="2"/>
        <v/>
      </c>
      <c r="E181" s="65" t="str">
        <f>IF($B181="","",VLOOKUP(MONTH(C181),Parameters!$F$2:$G$13,2,0))</f>
        <v/>
      </c>
      <c r="F181" s="69" t="str">
        <f>IF($B181="","",PV-N(J180))</f>
        <v/>
      </c>
      <c r="G181" s="69" t="str">
        <f>IF($B181="","",PMT(Rate,Nper,-PV,,Type))</f>
        <v/>
      </c>
      <c r="H181" s="69" t="str">
        <f>IF($B181="","",PPMT(Rate,ROWS($1:169),Nper,-PV,,Type))</f>
        <v/>
      </c>
      <c r="I181" s="69" t="str">
        <f>IF($B181="","",IPMT(Rate,ROWS($1:169),Nper,-PV,,Type))</f>
        <v/>
      </c>
      <c r="J181" s="73" t="str">
        <f t="shared" ref="J181:K181" si="171">IF($B181="","",N(J180)+N(H181))</f>
        <v/>
      </c>
      <c r="K181" s="74" t="str">
        <f t="shared" si="171"/>
        <v/>
      </c>
      <c r="L181" s="69" t="str">
        <f>IF($B181="","",PV-J181)</f>
        <v/>
      </c>
      <c r="M181" s="71" t="str">
        <f>IF($B181="","",J181/PV)</f>
        <v/>
      </c>
      <c r="N181" s="72" t="str">
        <f t="shared" si="4"/>
        <v/>
      </c>
    </row>
    <row r="182" ht="14.25" customHeight="1">
      <c r="B182" s="66" t="str">
        <f>IF(ROWS($1:170)&lt;=Nper,ROWS($1:170),"")</f>
        <v/>
      </c>
      <c r="C182" s="67" t="str">
        <f>IF($B182="","",IF($E$7="Weekly",Start_Date+7*(ROWS($1:170)-1),EDATE(Start_Date,VLOOKUP(IF(ASTemp!$E$7="","Monthly",ASTemp!$E$7),Parameters!$B$3:$D$6,3,0)*(ROWS($1:170)-1))))</f>
        <v/>
      </c>
      <c r="D182" s="68" t="str">
        <f t="shared" si="2"/>
        <v/>
      </c>
      <c r="E182" s="65" t="str">
        <f>IF($B182="","",VLOOKUP(MONTH(C182),Parameters!$F$2:$G$13,2,0))</f>
        <v/>
      </c>
      <c r="F182" s="69" t="str">
        <f>IF($B182="","",PV-N(J181))</f>
        <v/>
      </c>
      <c r="G182" s="69" t="str">
        <f>IF($B182="","",PMT(Rate,Nper,-PV,,Type))</f>
        <v/>
      </c>
      <c r="H182" s="69" t="str">
        <f>IF($B182="","",PPMT(Rate,ROWS($1:170),Nper,-PV,,Type))</f>
        <v/>
      </c>
      <c r="I182" s="69" t="str">
        <f>IF($B182="","",IPMT(Rate,ROWS($1:170),Nper,-PV,,Type))</f>
        <v/>
      </c>
      <c r="J182" s="73" t="str">
        <f t="shared" ref="J182:K182" si="172">IF($B182="","",N(J181)+N(H182))</f>
        <v/>
      </c>
      <c r="K182" s="74" t="str">
        <f t="shared" si="172"/>
        <v/>
      </c>
      <c r="L182" s="69" t="str">
        <f>IF($B182="","",PV-J182)</f>
        <v/>
      </c>
      <c r="M182" s="71" t="str">
        <f>IF($B182="","",J182/PV)</f>
        <v/>
      </c>
      <c r="N182" s="72" t="str">
        <f t="shared" si="4"/>
        <v/>
      </c>
    </row>
    <row r="183" ht="14.25" customHeight="1">
      <c r="B183" s="66" t="str">
        <f>IF(ROWS($1:171)&lt;=Nper,ROWS($1:171),"")</f>
        <v/>
      </c>
      <c r="C183" s="67" t="str">
        <f>IF($B183="","",IF($E$7="Weekly",Start_Date+7*(ROWS($1:171)-1),EDATE(Start_Date,VLOOKUP(IF(ASTemp!$E$7="","Monthly",ASTemp!$E$7),Parameters!$B$3:$D$6,3,0)*(ROWS($1:171)-1))))</f>
        <v/>
      </c>
      <c r="D183" s="68" t="str">
        <f t="shared" si="2"/>
        <v/>
      </c>
      <c r="E183" s="65" t="str">
        <f>IF($B183="","",VLOOKUP(MONTH(C183),Parameters!$F$2:$G$13,2,0))</f>
        <v/>
      </c>
      <c r="F183" s="69" t="str">
        <f>IF($B183="","",PV-N(J182))</f>
        <v/>
      </c>
      <c r="G183" s="69" t="str">
        <f>IF($B183="","",PMT(Rate,Nper,-PV,,Type))</f>
        <v/>
      </c>
      <c r="H183" s="69" t="str">
        <f>IF($B183="","",PPMT(Rate,ROWS($1:171),Nper,-PV,,Type))</f>
        <v/>
      </c>
      <c r="I183" s="69" t="str">
        <f>IF($B183="","",IPMT(Rate,ROWS($1:171),Nper,-PV,,Type))</f>
        <v/>
      </c>
      <c r="J183" s="73" t="str">
        <f t="shared" ref="J183:K183" si="173">IF($B183="","",N(J182)+N(H183))</f>
        <v/>
      </c>
      <c r="K183" s="74" t="str">
        <f t="shared" si="173"/>
        <v/>
      </c>
      <c r="L183" s="69" t="str">
        <f>IF($B183="","",PV-J183)</f>
        <v/>
      </c>
      <c r="M183" s="71" t="str">
        <f>IF($B183="","",J183/PV)</f>
        <v/>
      </c>
      <c r="N183" s="72" t="str">
        <f t="shared" si="4"/>
        <v/>
      </c>
    </row>
    <row r="184" ht="14.25" customHeight="1">
      <c r="B184" s="66" t="str">
        <f>IF(ROWS($1:172)&lt;=Nper,ROWS($1:172),"")</f>
        <v/>
      </c>
      <c r="C184" s="67" t="str">
        <f>IF($B184="","",IF($E$7="Weekly",Start_Date+7*(ROWS($1:172)-1),EDATE(Start_Date,VLOOKUP(IF(ASTemp!$E$7="","Monthly",ASTemp!$E$7),Parameters!$B$3:$D$6,3,0)*(ROWS($1:172)-1))))</f>
        <v/>
      </c>
      <c r="D184" s="68" t="str">
        <f t="shared" si="2"/>
        <v/>
      </c>
      <c r="E184" s="65" t="str">
        <f>IF($B184="","",VLOOKUP(MONTH(C184),Parameters!$F$2:$G$13,2,0))</f>
        <v/>
      </c>
      <c r="F184" s="69" t="str">
        <f>IF($B184="","",PV-N(J183))</f>
        <v/>
      </c>
      <c r="G184" s="69" t="str">
        <f>IF($B184="","",PMT(Rate,Nper,-PV,,Type))</f>
        <v/>
      </c>
      <c r="H184" s="69" t="str">
        <f>IF($B184="","",PPMT(Rate,ROWS($1:172),Nper,-PV,,Type))</f>
        <v/>
      </c>
      <c r="I184" s="69" t="str">
        <f>IF($B184="","",IPMT(Rate,ROWS($1:172),Nper,-PV,,Type))</f>
        <v/>
      </c>
      <c r="J184" s="73" t="str">
        <f t="shared" ref="J184:K184" si="174">IF($B184="","",N(J183)+N(H184))</f>
        <v/>
      </c>
      <c r="K184" s="74" t="str">
        <f t="shared" si="174"/>
        <v/>
      </c>
      <c r="L184" s="69" t="str">
        <f>IF($B184="","",PV-J184)</f>
        <v/>
      </c>
      <c r="M184" s="71" t="str">
        <f>IF($B184="","",J184/PV)</f>
        <v/>
      </c>
      <c r="N184" s="72" t="str">
        <f t="shared" si="4"/>
        <v/>
      </c>
    </row>
    <row r="185" ht="14.25" customHeight="1">
      <c r="B185" s="66" t="str">
        <f>IF(ROWS($1:173)&lt;=Nper,ROWS($1:173),"")</f>
        <v/>
      </c>
      <c r="C185" s="67" t="str">
        <f>IF($B185="","",IF($E$7="Weekly",Start_Date+7*(ROWS($1:173)-1),EDATE(Start_Date,VLOOKUP(IF(ASTemp!$E$7="","Monthly",ASTemp!$E$7),Parameters!$B$3:$D$6,3,0)*(ROWS($1:173)-1))))</f>
        <v/>
      </c>
      <c r="D185" s="68" t="str">
        <f t="shared" si="2"/>
        <v/>
      </c>
      <c r="E185" s="65" t="str">
        <f>IF($B185="","",VLOOKUP(MONTH(C185),Parameters!$F$2:$G$13,2,0))</f>
        <v/>
      </c>
      <c r="F185" s="69" t="str">
        <f>IF($B185="","",PV-N(J184))</f>
        <v/>
      </c>
      <c r="G185" s="69" t="str">
        <f>IF($B185="","",PMT(Rate,Nper,-PV,,Type))</f>
        <v/>
      </c>
      <c r="H185" s="69" t="str">
        <f>IF($B185="","",PPMT(Rate,ROWS($1:173),Nper,-PV,,Type))</f>
        <v/>
      </c>
      <c r="I185" s="69" t="str">
        <f>IF($B185="","",IPMT(Rate,ROWS($1:173),Nper,-PV,,Type))</f>
        <v/>
      </c>
      <c r="J185" s="73" t="str">
        <f t="shared" ref="J185:K185" si="175">IF($B185="","",N(J184)+N(H185))</f>
        <v/>
      </c>
      <c r="K185" s="74" t="str">
        <f t="shared" si="175"/>
        <v/>
      </c>
      <c r="L185" s="69" t="str">
        <f>IF($B185="","",PV-J185)</f>
        <v/>
      </c>
      <c r="M185" s="71" t="str">
        <f>IF($B185="","",J185/PV)</f>
        <v/>
      </c>
      <c r="N185" s="72" t="str">
        <f t="shared" si="4"/>
        <v/>
      </c>
    </row>
    <row r="186" ht="14.25" customHeight="1">
      <c r="B186" s="66" t="str">
        <f>IF(ROWS($1:174)&lt;=Nper,ROWS($1:174),"")</f>
        <v/>
      </c>
      <c r="C186" s="67" t="str">
        <f>IF($B186="","",IF($E$7="Weekly",Start_Date+7*(ROWS($1:174)-1),EDATE(Start_Date,VLOOKUP(IF(ASTemp!$E$7="","Monthly",ASTemp!$E$7),Parameters!$B$3:$D$6,3,0)*(ROWS($1:174)-1))))</f>
        <v/>
      </c>
      <c r="D186" s="68" t="str">
        <f t="shared" si="2"/>
        <v/>
      </c>
      <c r="E186" s="65" t="str">
        <f>IF($B186="","",VLOOKUP(MONTH(C186),Parameters!$F$2:$G$13,2,0))</f>
        <v/>
      </c>
      <c r="F186" s="69" t="str">
        <f>IF($B186="","",PV-N(J185))</f>
        <v/>
      </c>
      <c r="G186" s="69" t="str">
        <f>IF($B186="","",PMT(Rate,Nper,-PV,,Type))</f>
        <v/>
      </c>
      <c r="H186" s="69" t="str">
        <f>IF($B186="","",PPMT(Rate,ROWS($1:174),Nper,-PV,,Type))</f>
        <v/>
      </c>
      <c r="I186" s="69" t="str">
        <f>IF($B186="","",IPMT(Rate,ROWS($1:174),Nper,-PV,,Type))</f>
        <v/>
      </c>
      <c r="J186" s="73" t="str">
        <f t="shared" ref="J186:K186" si="176">IF($B186="","",N(J185)+N(H186))</f>
        <v/>
      </c>
      <c r="K186" s="74" t="str">
        <f t="shared" si="176"/>
        <v/>
      </c>
      <c r="L186" s="69" t="str">
        <f>IF($B186="","",PV-J186)</f>
        <v/>
      </c>
      <c r="M186" s="71" t="str">
        <f>IF($B186="","",J186/PV)</f>
        <v/>
      </c>
      <c r="N186" s="72" t="str">
        <f t="shared" si="4"/>
        <v/>
      </c>
    </row>
    <row r="187" ht="14.25" customHeight="1">
      <c r="B187" s="66" t="str">
        <f>IF(ROWS($1:175)&lt;=Nper,ROWS($1:175),"")</f>
        <v/>
      </c>
      <c r="C187" s="67" t="str">
        <f>IF($B187="","",IF($E$7="Weekly",Start_Date+7*(ROWS($1:175)-1),EDATE(Start_Date,VLOOKUP(IF(ASTemp!$E$7="","Monthly",ASTemp!$E$7),Parameters!$B$3:$D$6,3,0)*(ROWS($1:175)-1))))</f>
        <v/>
      </c>
      <c r="D187" s="68" t="str">
        <f t="shared" si="2"/>
        <v/>
      </c>
      <c r="E187" s="65" t="str">
        <f>IF($B187="","",VLOOKUP(MONTH(C187),Parameters!$F$2:$G$13,2,0))</f>
        <v/>
      </c>
      <c r="F187" s="69" t="str">
        <f>IF($B187="","",PV-N(J186))</f>
        <v/>
      </c>
      <c r="G187" s="69" t="str">
        <f>IF($B187="","",PMT(Rate,Nper,-PV,,Type))</f>
        <v/>
      </c>
      <c r="H187" s="69" t="str">
        <f>IF($B187="","",PPMT(Rate,ROWS($1:175),Nper,-PV,,Type))</f>
        <v/>
      </c>
      <c r="I187" s="69" t="str">
        <f>IF($B187="","",IPMT(Rate,ROWS($1:175),Nper,-PV,,Type))</f>
        <v/>
      </c>
      <c r="J187" s="73" t="str">
        <f t="shared" ref="J187:K187" si="177">IF($B187="","",N(J186)+N(H187))</f>
        <v/>
      </c>
      <c r="K187" s="74" t="str">
        <f t="shared" si="177"/>
        <v/>
      </c>
      <c r="L187" s="69" t="str">
        <f>IF($B187="","",PV-J187)</f>
        <v/>
      </c>
      <c r="M187" s="71" t="str">
        <f>IF($B187="","",J187/PV)</f>
        <v/>
      </c>
      <c r="N187" s="72" t="str">
        <f t="shared" si="4"/>
        <v/>
      </c>
    </row>
    <row r="188" ht="14.25" customHeight="1">
      <c r="B188" s="66" t="str">
        <f>IF(ROWS($1:176)&lt;=Nper,ROWS($1:176),"")</f>
        <v/>
      </c>
      <c r="C188" s="67" t="str">
        <f>IF($B188="","",IF($E$7="Weekly",Start_Date+7*(ROWS($1:176)-1),EDATE(Start_Date,VLOOKUP(IF(ASTemp!$E$7="","Monthly",ASTemp!$E$7),Parameters!$B$3:$D$6,3,0)*(ROWS($1:176)-1))))</f>
        <v/>
      </c>
      <c r="D188" s="68" t="str">
        <f t="shared" si="2"/>
        <v/>
      </c>
      <c r="E188" s="65" t="str">
        <f>IF($B188="","",VLOOKUP(MONTH(C188),Parameters!$F$2:$G$13,2,0))</f>
        <v/>
      </c>
      <c r="F188" s="69" t="str">
        <f>IF($B188="","",PV-N(J187))</f>
        <v/>
      </c>
      <c r="G188" s="69" t="str">
        <f>IF($B188="","",PMT(Rate,Nper,-PV,,Type))</f>
        <v/>
      </c>
      <c r="H188" s="69" t="str">
        <f>IF($B188="","",PPMT(Rate,ROWS($1:176),Nper,-PV,,Type))</f>
        <v/>
      </c>
      <c r="I188" s="69" t="str">
        <f>IF($B188="","",IPMT(Rate,ROWS($1:176),Nper,-PV,,Type))</f>
        <v/>
      </c>
      <c r="J188" s="73" t="str">
        <f t="shared" ref="J188:K188" si="178">IF($B188="","",N(J187)+N(H188))</f>
        <v/>
      </c>
      <c r="K188" s="74" t="str">
        <f t="shared" si="178"/>
        <v/>
      </c>
      <c r="L188" s="69" t="str">
        <f>IF($B188="","",PV-J188)</f>
        <v/>
      </c>
      <c r="M188" s="71" t="str">
        <f>IF($B188="","",J188/PV)</f>
        <v/>
      </c>
      <c r="N188" s="72" t="str">
        <f t="shared" si="4"/>
        <v/>
      </c>
    </row>
    <row r="189" ht="14.25" customHeight="1">
      <c r="B189" s="66" t="str">
        <f>IF(ROWS($1:177)&lt;=Nper,ROWS($1:177),"")</f>
        <v/>
      </c>
      <c r="C189" s="67" t="str">
        <f>IF($B189="","",IF($E$7="Weekly",Start_Date+7*(ROWS($1:177)-1),EDATE(Start_Date,VLOOKUP(IF(ASTemp!$E$7="","Monthly",ASTemp!$E$7),Parameters!$B$3:$D$6,3,0)*(ROWS($1:177)-1))))</f>
        <v/>
      </c>
      <c r="D189" s="68" t="str">
        <f t="shared" si="2"/>
        <v/>
      </c>
      <c r="E189" s="65" t="str">
        <f>IF($B189="","",VLOOKUP(MONTH(C189),Parameters!$F$2:$G$13,2,0))</f>
        <v/>
      </c>
      <c r="F189" s="69" t="str">
        <f>IF($B189="","",PV-N(J188))</f>
        <v/>
      </c>
      <c r="G189" s="69" t="str">
        <f>IF($B189="","",PMT(Rate,Nper,-PV,,Type))</f>
        <v/>
      </c>
      <c r="H189" s="69" t="str">
        <f>IF($B189="","",PPMT(Rate,ROWS($1:177),Nper,-PV,,Type))</f>
        <v/>
      </c>
      <c r="I189" s="69" t="str">
        <f>IF($B189="","",IPMT(Rate,ROWS($1:177),Nper,-PV,,Type))</f>
        <v/>
      </c>
      <c r="J189" s="73" t="str">
        <f t="shared" ref="J189:K189" si="179">IF($B189="","",N(J188)+N(H189))</f>
        <v/>
      </c>
      <c r="K189" s="74" t="str">
        <f t="shared" si="179"/>
        <v/>
      </c>
      <c r="L189" s="69" t="str">
        <f>IF($B189="","",PV-J189)</f>
        <v/>
      </c>
      <c r="M189" s="71" t="str">
        <f>IF($B189="","",J189/PV)</f>
        <v/>
      </c>
      <c r="N189" s="72" t="str">
        <f t="shared" si="4"/>
        <v/>
      </c>
    </row>
    <row r="190" ht="14.25" customHeight="1">
      <c r="B190" s="66" t="str">
        <f>IF(ROWS($1:178)&lt;=Nper,ROWS($1:178),"")</f>
        <v/>
      </c>
      <c r="C190" s="67" t="str">
        <f>IF($B190="","",IF($E$7="Weekly",Start_Date+7*(ROWS($1:178)-1),EDATE(Start_Date,VLOOKUP(IF(ASTemp!$E$7="","Monthly",ASTemp!$E$7),Parameters!$B$3:$D$6,3,0)*(ROWS($1:178)-1))))</f>
        <v/>
      </c>
      <c r="D190" s="68" t="str">
        <f t="shared" si="2"/>
        <v/>
      </c>
      <c r="E190" s="65" t="str">
        <f>IF($B190="","",VLOOKUP(MONTH(C190),Parameters!$F$2:$G$13,2,0))</f>
        <v/>
      </c>
      <c r="F190" s="69" t="str">
        <f>IF($B190="","",PV-N(J189))</f>
        <v/>
      </c>
      <c r="G190" s="69" t="str">
        <f>IF($B190="","",PMT(Rate,Nper,-PV,,Type))</f>
        <v/>
      </c>
      <c r="H190" s="69" t="str">
        <f>IF($B190="","",PPMT(Rate,ROWS($1:178),Nper,-PV,,Type))</f>
        <v/>
      </c>
      <c r="I190" s="69" t="str">
        <f>IF($B190="","",IPMT(Rate,ROWS($1:178),Nper,-PV,,Type))</f>
        <v/>
      </c>
      <c r="J190" s="73" t="str">
        <f t="shared" ref="J190:K190" si="180">IF($B190="","",N(J189)+N(H190))</f>
        <v/>
      </c>
      <c r="K190" s="74" t="str">
        <f t="shared" si="180"/>
        <v/>
      </c>
      <c r="L190" s="69" t="str">
        <f>IF($B190="","",PV-J190)</f>
        <v/>
      </c>
      <c r="M190" s="71" t="str">
        <f>IF($B190="","",J190/PV)</f>
        <v/>
      </c>
      <c r="N190" s="72" t="str">
        <f t="shared" si="4"/>
        <v/>
      </c>
    </row>
    <row r="191" ht="14.25" customHeight="1">
      <c r="B191" s="66" t="str">
        <f>IF(ROWS($1:179)&lt;=Nper,ROWS($1:179),"")</f>
        <v/>
      </c>
      <c r="C191" s="67" t="str">
        <f>IF($B191="","",IF($E$7="Weekly",Start_Date+7*(ROWS($1:179)-1),EDATE(Start_Date,VLOOKUP(IF(ASTemp!$E$7="","Monthly",ASTemp!$E$7),Parameters!$B$3:$D$6,3,0)*(ROWS($1:179)-1))))</f>
        <v/>
      </c>
      <c r="D191" s="68" t="str">
        <f t="shared" si="2"/>
        <v/>
      </c>
      <c r="E191" s="65" t="str">
        <f>IF($B191="","",VLOOKUP(MONTH(C191),Parameters!$F$2:$G$13,2,0))</f>
        <v/>
      </c>
      <c r="F191" s="69" t="str">
        <f>IF($B191="","",PV-N(J190))</f>
        <v/>
      </c>
      <c r="G191" s="69" t="str">
        <f>IF($B191="","",PMT(Rate,Nper,-PV,,Type))</f>
        <v/>
      </c>
      <c r="H191" s="69" t="str">
        <f>IF($B191="","",PPMT(Rate,ROWS($1:179),Nper,-PV,,Type))</f>
        <v/>
      </c>
      <c r="I191" s="69" t="str">
        <f>IF($B191="","",IPMT(Rate,ROWS($1:179),Nper,-PV,,Type))</f>
        <v/>
      </c>
      <c r="J191" s="73" t="str">
        <f t="shared" ref="J191:K191" si="181">IF($B191="","",N(J190)+N(H191))</f>
        <v/>
      </c>
      <c r="K191" s="74" t="str">
        <f t="shared" si="181"/>
        <v/>
      </c>
      <c r="L191" s="69" t="str">
        <f>IF($B191="","",PV-J191)</f>
        <v/>
      </c>
      <c r="M191" s="71" t="str">
        <f>IF($B191="","",J191/PV)</f>
        <v/>
      </c>
      <c r="N191" s="72" t="str">
        <f t="shared" si="4"/>
        <v/>
      </c>
    </row>
    <row r="192" ht="14.25" customHeight="1">
      <c r="B192" s="66" t="str">
        <f>IF(ROWS($1:180)&lt;=Nper,ROWS($1:180),"")</f>
        <v/>
      </c>
      <c r="C192" s="67" t="str">
        <f>IF($B192="","",IF($E$7="Weekly",Start_Date+7*(ROWS($1:180)-1),EDATE(Start_Date,VLOOKUP(IF(ASTemp!$E$7="","Monthly",ASTemp!$E$7),Parameters!$B$3:$D$6,3,0)*(ROWS($1:180)-1))))</f>
        <v/>
      </c>
      <c r="D192" s="68" t="str">
        <f t="shared" si="2"/>
        <v/>
      </c>
      <c r="E192" s="65" t="str">
        <f>IF($B192="","",VLOOKUP(MONTH(C192),Parameters!$F$2:$G$13,2,0))</f>
        <v/>
      </c>
      <c r="F192" s="69" t="str">
        <f>IF($B192="","",PV-N(J191))</f>
        <v/>
      </c>
      <c r="G192" s="69" t="str">
        <f>IF($B192="","",PMT(Rate,Nper,-PV,,Type))</f>
        <v/>
      </c>
      <c r="H192" s="69" t="str">
        <f>IF($B192="","",PPMT(Rate,ROWS($1:180),Nper,-PV,,Type))</f>
        <v/>
      </c>
      <c r="I192" s="69" t="str">
        <f>IF($B192="","",IPMT(Rate,ROWS($1:180),Nper,-PV,,Type))</f>
        <v/>
      </c>
      <c r="J192" s="73" t="str">
        <f t="shared" ref="J192:K192" si="182">IF($B192="","",N(J191)+N(H192))</f>
        <v/>
      </c>
      <c r="K192" s="74" t="str">
        <f t="shared" si="182"/>
        <v/>
      </c>
      <c r="L192" s="69" t="str">
        <f>IF($B192="","",PV-J192)</f>
        <v/>
      </c>
      <c r="M192" s="71" t="str">
        <f>IF($B192="","",J192/PV)</f>
        <v/>
      </c>
      <c r="N192" s="72" t="str">
        <f t="shared" si="4"/>
        <v/>
      </c>
    </row>
    <row r="193" ht="14.25" customHeight="1">
      <c r="B193" s="66" t="str">
        <f>IF(ROWS($1:181)&lt;=Nper,ROWS($1:181),"")</f>
        <v/>
      </c>
      <c r="C193" s="67" t="str">
        <f>IF($B193="","",IF($E$7="Weekly",Start_Date+7*(ROWS($1:181)-1),EDATE(Start_Date,VLOOKUP(IF(ASTemp!$E$7="","Monthly",ASTemp!$E$7),Parameters!$B$3:$D$6,3,0)*(ROWS($1:181)-1))))</f>
        <v/>
      </c>
      <c r="D193" s="68" t="str">
        <f t="shared" si="2"/>
        <v/>
      </c>
      <c r="E193" s="65" t="str">
        <f>IF($B193="","",VLOOKUP(MONTH(C193),Parameters!$F$2:$G$13,2,0))</f>
        <v/>
      </c>
      <c r="F193" s="69" t="str">
        <f>IF($B193="","",PV-N(J192))</f>
        <v/>
      </c>
      <c r="G193" s="69" t="str">
        <f>IF($B193="","",PMT(Rate,Nper,-PV,,Type))</f>
        <v/>
      </c>
      <c r="H193" s="69" t="str">
        <f>IF($B193="","",PPMT(Rate,ROWS($1:181),Nper,-PV,,Type))</f>
        <v/>
      </c>
      <c r="I193" s="69" t="str">
        <f>IF($B193="","",IPMT(Rate,ROWS($1:181),Nper,-PV,,Type))</f>
        <v/>
      </c>
      <c r="J193" s="73" t="str">
        <f t="shared" ref="J193:K193" si="183">IF($B193="","",N(J192)+N(H193))</f>
        <v/>
      </c>
      <c r="K193" s="74" t="str">
        <f t="shared" si="183"/>
        <v/>
      </c>
      <c r="L193" s="69" t="str">
        <f>IF($B193="","",PV-J193)</f>
        <v/>
      </c>
      <c r="M193" s="71" t="str">
        <f>IF($B193="","",J193/PV)</f>
        <v/>
      </c>
      <c r="N193" s="72" t="str">
        <f t="shared" si="4"/>
        <v/>
      </c>
    </row>
    <row r="194" ht="14.25" customHeight="1">
      <c r="B194" s="66" t="str">
        <f>IF(ROWS($1:182)&lt;=Nper,ROWS($1:182),"")</f>
        <v/>
      </c>
      <c r="C194" s="67" t="str">
        <f>IF($B194="","",IF($E$7="Weekly",Start_Date+7*(ROWS($1:182)-1),EDATE(Start_Date,VLOOKUP(IF(ASTemp!$E$7="","Monthly",ASTemp!$E$7),Parameters!$B$3:$D$6,3,0)*(ROWS($1:182)-1))))</f>
        <v/>
      </c>
      <c r="D194" s="68" t="str">
        <f t="shared" si="2"/>
        <v/>
      </c>
      <c r="E194" s="65" t="str">
        <f>IF($B194="","",VLOOKUP(MONTH(C194),Parameters!$F$2:$G$13,2,0))</f>
        <v/>
      </c>
      <c r="F194" s="69" t="str">
        <f>IF($B194="","",PV-N(J193))</f>
        <v/>
      </c>
      <c r="G194" s="69" t="str">
        <f>IF($B194="","",PMT(Rate,Nper,-PV,,Type))</f>
        <v/>
      </c>
      <c r="H194" s="69" t="str">
        <f>IF($B194="","",PPMT(Rate,ROWS($1:182),Nper,-PV,,Type))</f>
        <v/>
      </c>
      <c r="I194" s="69" t="str">
        <f>IF($B194="","",IPMT(Rate,ROWS($1:182),Nper,-PV,,Type))</f>
        <v/>
      </c>
      <c r="J194" s="73" t="str">
        <f t="shared" ref="J194:K194" si="184">IF($B194="","",N(J193)+N(H194))</f>
        <v/>
      </c>
      <c r="K194" s="74" t="str">
        <f t="shared" si="184"/>
        <v/>
      </c>
      <c r="L194" s="69" t="str">
        <f>IF($B194="","",PV-J194)</f>
        <v/>
      </c>
      <c r="M194" s="71" t="str">
        <f>IF($B194="","",J194/PV)</f>
        <v/>
      </c>
      <c r="N194" s="72" t="str">
        <f t="shared" si="4"/>
        <v/>
      </c>
    </row>
    <row r="195" ht="14.25" customHeight="1">
      <c r="B195" s="66" t="str">
        <f>IF(ROWS($1:183)&lt;=Nper,ROWS($1:183),"")</f>
        <v/>
      </c>
      <c r="C195" s="67" t="str">
        <f>IF($B195="","",IF($E$7="Weekly",Start_Date+7*(ROWS($1:183)-1),EDATE(Start_Date,VLOOKUP(IF(ASTemp!$E$7="","Monthly",ASTemp!$E$7),Parameters!$B$3:$D$6,3,0)*(ROWS($1:183)-1))))</f>
        <v/>
      </c>
      <c r="D195" s="68" t="str">
        <f t="shared" si="2"/>
        <v/>
      </c>
      <c r="E195" s="65" t="str">
        <f>IF($B195="","",VLOOKUP(MONTH(C195),Parameters!$F$2:$G$13,2,0))</f>
        <v/>
      </c>
      <c r="F195" s="69" t="str">
        <f>IF($B195="","",PV-N(J194))</f>
        <v/>
      </c>
      <c r="G195" s="69" t="str">
        <f>IF($B195="","",PMT(Rate,Nper,-PV,,Type))</f>
        <v/>
      </c>
      <c r="H195" s="69" t="str">
        <f>IF($B195="","",PPMT(Rate,ROWS($1:183),Nper,-PV,,Type))</f>
        <v/>
      </c>
      <c r="I195" s="69" t="str">
        <f>IF($B195="","",IPMT(Rate,ROWS($1:183),Nper,-PV,,Type))</f>
        <v/>
      </c>
      <c r="J195" s="73" t="str">
        <f t="shared" ref="J195:K195" si="185">IF($B195="","",N(J194)+N(H195))</f>
        <v/>
      </c>
      <c r="K195" s="74" t="str">
        <f t="shared" si="185"/>
        <v/>
      </c>
      <c r="L195" s="69" t="str">
        <f>IF($B195="","",PV-J195)</f>
        <v/>
      </c>
      <c r="M195" s="71" t="str">
        <f>IF($B195="","",J195/PV)</f>
        <v/>
      </c>
      <c r="N195" s="72" t="str">
        <f t="shared" si="4"/>
        <v/>
      </c>
    </row>
    <row r="196" ht="14.25" customHeight="1">
      <c r="B196" s="66" t="str">
        <f>IF(ROWS($1:184)&lt;=Nper,ROWS($1:184),"")</f>
        <v/>
      </c>
      <c r="C196" s="67" t="str">
        <f>IF($B196="","",IF($E$7="Weekly",Start_Date+7*(ROWS($1:184)-1),EDATE(Start_Date,VLOOKUP(IF(ASTemp!$E$7="","Monthly",ASTemp!$E$7),Parameters!$B$3:$D$6,3,0)*(ROWS($1:184)-1))))</f>
        <v/>
      </c>
      <c r="D196" s="68" t="str">
        <f t="shared" si="2"/>
        <v/>
      </c>
      <c r="E196" s="65" t="str">
        <f>IF($B196="","",VLOOKUP(MONTH(C196),Parameters!$F$2:$G$13,2,0))</f>
        <v/>
      </c>
      <c r="F196" s="69" t="str">
        <f>IF($B196="","",PV-N(J195))</f>
        <v/>
      </c>
      <c r="G196" s="69" t="str">
        <f>IF($B196="","",PMT(Rate,Nper,-PV,,Type))</f>
        <v/>
      </c>
      <c r="H196" s="69" t="str">
        <f>IF($B196="","",PPMT(Rate,ROWS($1:184),Nper,-PV,,Type))</f>
        <v/>
      </c>
      <c r="I196" s="69" t="str">
        <f>IF($B196="","",IPMT(Rate,ROWS($1:184),Nper,-PV,,Type))</f>
        <v/>
      </c>
      <c r="J196" s="73" t="str">
        <f t="shared" ref="J196:K196" si="186">IF($B196="","",N(J195)+N(H196))</f>
        <v/>
      </c>
      <c r="K196" s="74" t="str">
        <f t="shared" si="186"/>
        <v/>
      </c>
      <c r="L196" s="69" t="str">
        <f>IF($B196="","",PV-J196)</f>
        <v/>
      </c>
      <c r="M196" s="71" t="str">
        <f>IF($B196="","",J196/PV)</f>
        <v/>
      </c>
      <c r="N196" s="72" t="str">
        <f t="shared" si="4"/>
        <v/>
      </c>
    </row>
    <row r="197" ht="14.25" customHeight="1">
      <c r="B197" s="66" t="str">
        <f>IF(ROWS($1:185)&lt;=Nper,ROWS($1:185),"")</f>
        <v/>
      </c>
      <c r="C197" s="67" t="str">
        <f>IF($B197="","",IF($E$7="Weekly",Start_Date+7*(ROWS($1:185)-1),EDATE(Start_Date,VLOOKUP(IF(ASTemp!$E$7="","Monthly",ASTemp!$E$7),Parameters!$B$3:$D$6,3,0)*(ROWS($1:185)-1))))</f>
        <v/>
      </c>
      <c r="D197" s="68" t="str">
        <f t="shared" si="2"/>
        <v/>
      </c>
      <c r="E197" s="65" t="str">
        <f>IF($B197="","",VLOOKUP(MONTH(C197),Parameters!$F$2:$G$13,2,0))</f>
        <v/>
      </c>
      <c r="F197" s="69" t="str">
        <f>IF($B197="","",PV-N(J196))</f>
        <v/>
      </c>
      <c r="G197" s="69" t="str">
        <f>IF($B197="","",PMT(Rate,Nper,-PV,,Type))</f>
        <v/>
      </c>
      <c r="H197" s="69" t="str">
        <f>IF($B197="","",PPMT(Rate,ROWS($1:185),Nper,-PV,,Type))</f>
        <v/>
      </c>
      <c r="I197" s="69" t="str">
        <f>IF($B197="","",IPMT(Rate,ROWS($1:185),Nper,-PV,,Type))</f>
        <v/>
      </c>
      <c r="J197" s="73" t="str">
        <f t="shared" ref="J197:K197" si="187">IF($B197="","",N(J196)+N(H197))</f>
        <v/>
      </c>
      <c r="K197" s="74" t="str">
        <f t="shared" si="187"/>
        <v/>
      </c>
      <c r="L197" s="69" t="str">
        <f>IF($B197="","",PV-J197)</f>
        <v/>
      </c>
      <c r="M197" s="71" t="str">
        <f>IF($B197="","",J197/PV)</f>
        <v/>
      </c>
      <c r="N197" s="72" t="str">
        <f t="shared" si="4"/>
        <v/>
      </c>
    </row>
    <row r="198" ht="14.25" customHeight="1">
      <c r="B198" s="66" t="str">
        <f>IF(ROWS($1:186)&lt;=Nper,ROWS($1:186),"")</f>
        <v/>
      </c>
      <c r="C198" s="67" t="str">
        <f>IF($B198="","",IF($E$7="Weekly",Start_Date+7*(ROWS($1:186)-1),EDATE(Start_Date,VLOOKUP(IF(ASTemp!$E$7="","Monthly",ASTemp!$E$7),Parameters!$B$3:$D$6,3,0)*(ROWS($1:186)-1))))</f>
        <v/>
      </c>
      <c r="D198" s="68" t="str">
        <f t="shared" si="2"/>
        <v/>
      </c>
      <c r="E198" s="65" t="str">
        <f>IF($B198="","",VLOOKUP(MONTH(C198),Parameters!$F$2:$G$13,2,0))</f>
        <v/>
      </c>
      <c r="F198" s="69" t="str">
        <f>IF($B198="","",PV-N(J197))</f>
        <v/>
      </c>
      <c r="G198" s="69" t="str">
        <f>IF($B198="","",PMT(Rate,Nper,-PV,,Type))</f>
        <v/>
      </c>
      <c r="H198" s="69" t="str">
        <f>IF($B198="","",PPMT(Rate,ROWS($1:186),Nper,-PV,,Type))</f>
        <v/>
      </c>
      <c r="I198" s="69" t="str">
        <f>IF($B198="","",IPMT(Rate,ROWS($1:186),Nper,-PV,,Type))</f>
        <v/>
      </c>
      <c r="J198" s="73" t="str">
        <f t="shared" ref="J198:K198" si="188">IF($B198="","",N(J197)+N(H198))</f>
        <v/>
      </c>
      <c r="K198" s="74" t="str">
        <f t="shared" si="188"/>
        <v/>
      </c>
      <c r="L198" s="69" t="str">
        <f>IF($B198="","",PV-J198)</f>
        <v/>
      </c>
      <c r="M198" s="71" t="str">
        <f>IF($B198="","",J198/PV)</f>
        <v/>
      </c>
      <c r="N198" s="72" t="str">
        <f t="shared" si="4"/>
        <v/>
      </c>
    </row>
    <row r="199" ht="14.25" customHeight="1">
      <c r="B199" s="66" t="str">
        <f>IF(ROWS($1:187)&lt;=Nper,ROWS($1:187),"")</f>
        <v/>
      </c>
      <c r="C199" s="67" t="str">
        <f>IF($B199="","",IF($E$7="Weekly",Start_Date+7*(ROWS($1:187)-1),EDATE(Start_Date,VLOOKUP(IF(ASTemp!$E$7="","Monthly",ASTemp!$E$7),Parameters!$B$3:$D$6,3,0)*(ROWS($1:187)-1))))</f>
        <v/>
      </c>
      <c r="D199" s="68" t="str">
        <f t="shared" si="2"/>
        <v/>
      </c>
      <c r="E199" s="65" t="str">
        <f>IF($B199="","",VLOOKUP(MONTH(C199),Parameters!$F$2:$G$13,2,0))</f>
        <v/>
      </c>
      <c r="F199" s="69" t="str">
        <f>IF($B199="","",PV-N(J198))</f>
        <v/>
      </c>
      <c r="G199" s="69" t="str">
        <f>IF($B199="","",PMT(Rate,Nper,-PV,,Type))</f>
        <v/>
      </c>
      <c r="H199" s="69" t="str">
        <f>IF($B199="","",PPMT(Rate,ROWS($1:187),Nper,-PV,,Type))</f>
        <v/>
      </c>
      <c r="I199" s="69" t="str">
        <f>IF($B199="","",IPMT(Rate,ROWS($1:187),Nper,-PV,,Type))</f>
        <v/>
      </c>
      <c r="J199" s="73" t="str">
        <f t="shared" ref="J199:K199" si="189">IF($B199="","",N(J198)+N(H199))</f>
        <v/>
      </c>
      <c r="K199" s="74" t="str">
        <f t="shared" si="189"/>
        <v/>
      </c>
      <c r="L199" s="69" t="str">
        <f>IF($B199="","",PV-J199)</f>
        <v/>
      </c>
      <c r="M199" s="71" t="str">
        <f>IF($B199="","",J199/PV)</f>
        <v/>
      </c>
      <c r="N199" s="72" t="str">
        <f t="shared" si="4"/>
        <v/>
      </c>
    </row>
    <row r="200" ht="14.25" customHeight="1">
      <c r="B200" s="66" t="str">
        <f>IF(ROWS($1:188)&lt;=Nper,ROWS($1:188),"")</f>
        <v/>
      </c>
      <c r="C200" s="67" t="str">
        <f>IF($B200="","",IF($E$7="Weekly",Start_Date+7*(ROWS($1:188)-1),EDATE(Start_Date,VLOOKUP(IF(ASTemp!$E$7="","Monthly",ASTemp!$E$7),Parameters!$B$3:$D$6,3,0)*(ROWS($1:188)-1))))</f>
        <v/>
      </c>
      <c r="D200" s="68" t="str">
        <f t="shared" si="2"/>
        <v/>
      </c>
      <c r="E200" s="65" t="str">
        <f>IF($B200="","",VLOOKUP(MONTH(C200),Parameters!$F$2:$G$13,2,0))</f>
        <v/>
      </c>
      <c r="F200" s="69" t="str">
        <f>IF($B200="","",PV-N(J199))</f>
        <v/>
      </c>
      <c r="G200" s="69" t="str">
        <f>IF($B200="","",PMT(Rate,Nper,-PV,,Type))</f>
        <v/>
      </c>
      <c r="H200" s="69" t="str">
        <f>IF($B200="","",PPMT(Rate,ROWS($1:188),Nper,-PV,,Type))</f>
        <v/>
      </c>
      <c r="I200" s="69" t="str">
        <f>IF($B200="","",IPMT(Rate,ROWS($1:188),Nper,-PV,,Type))</f>
        <v/>
      </c>
      <c r="J200" s="73" t="str">
        <f t="shared" ref="J200:K200" si="190">IF($B200="","",N(J199)+N(H200))</f>
        <v/>
      </c>
      <c r="K200" s="74" t="str">
        <f t="shared" si="190"/>
        <v/>
      </c>
      <c r="L200" s="69" t="str">
        <f>IF($B200="","",PV-J200)</f>
        <v/>
      </c>
      <c r="M200" s="71" t="str">
        <f>IF($B200="","",J200/PV)</f>
        <v/>
      </c>
      <c r="N200" s="72" t="str">
        <f t="shared" si="4"/>
        <v/>
      </c>
    </row>
    <row r="201" ht="14.25" customHeight="1">
      <c r="B201" s="66" t="str">
        <f>IF(ROWS($1:189)&lt;=Nper,ROWS($1:189),"")</f>
        <v/>
      </c>
      <c r="C201" s="67" t="str">
        <f>IF($B201="","",IF($E$7="Weekly",Start_Date+7*(ROWS($1:189)-1),EDATE(Start_Date,VLOOKUP(IF(ASTemp!$E$7="","Monthly",ASTemp!$E$7),Parameters!$B$3:$D$6,3,0)*(ROWS($1:189)-1))))</f>
        <v/>
      </c>
      <c r="D201" s="68" t="str">
        <f t="shared" si="2"/>
        <v/>
      </c>
      <c r="E201" s="65" t="str">
        <f>IF($B201="","",VLOOKUP(MONTH(C201),Parameters!$F$2:$G$13,2,0))</f>
        <v/>
      </c>
      <c r="F201" s="69" t="str">
        <f>IF($B201="","",PV-N(J200))</f>
        <v/>
      </c>
      <c r="G201" s="69" t="str">
        <f>IF($B201="","",PMT(Rate,Nper,-PV,,Type))</f>
        <v/>
      </c>
      <c r="H201" s="69" t="str">
        <f>IF($B201="","",PPMT(Rate,ROWS($1:189),Nper,-PV,,Type))</f>
        <v/>
      </c>
      <c r="I201" s="69" t="str">
        <f>IF($B201="","",IPMT(Rate,ROWS($1:189),Nper,-PV,,Type))</f>
        <v/>
      </c>
      <c r="J201" s="73" t="str">
        <f t="shared" ref="J201:K201" si="191">IF($B201="","",N(J200)+N(H201))</f>
        <v/>
      </c>
      <c r="K201" s="74" t="str">
        <f t="shared" si="191"/>
        <v/>
      </c>
      <c r="L201" s="69" t="str">
        <f>IF($B201="","",PV-J201)</f>
        <v/>
      </c>
      <c r="M201" s="71" t="str">
        <f>IF($B201="","",J201/PV)</f>
        <v/>
      </c>
      <c r="N201" s="72" t="str">
        <f t="shared" si="4"/>
        <v/>
      </c>
    </row>
    <row r="202" ht="14.25" customHeight="1">
      <c r="B202" s="66" t="str">
        <f>IF(ROWS($1:190)&lt;=Nper,ROWS($1:190),"")</f>
        <v/>
      </c>
      <c r="C202" s="67" t="str">
        <f>IF($B202="","",IF($E$7="Weekly",Start_Date+7*(ROWS($1:190)-1),EDATE(Start_Date,VLOOKUP(IF(ASTemp!$E$7="","Monthly",ASTemp!$E$7),Parameters!$B$3:$D$6,3,0)*(ROWS($1:190)-1))))</f>
        <v/>
      </c>
      <c r="D202" s="68" t="str">
        <f t="shared" si="2"/>
        <v/>
      </c>
      <c r="E202" s="65" t="str">
        <f>IF($B202="","",VLOOKUP(MONTH(C202),Parameters!$F$2:$G$13,2,0))</f>
        <v/>
      </c>
      <c r="F202" s="69" t="str">
        <f>IF($B202="","",PV-N(J201))</f>
        <v/>
      </c>
      <c r="G202" s="69" t="str">
        <f>IF($B202="","",PMT(Rate,Nper,-PV,,Type))</f>
        <v/>
      </c>
      <c r="H202" s="69" t="str">
        <f>IF($B202="","",PPMT(Rate,ROWS($1:190),Nper,-PV,,Type))</f>
        <v/>
      </c>
      <c r="I202" s="69" t="str">
        <f>IF($B202="","",IPMT(Rate,ROWS($1:190),Nper,-PV,,Type))</f>
        <v/>
      </c>
      <c r="J202" s="73" t="str">
        <f t="shared" ref="J202:K202" si="192">IF($B202="","",N(J201)+N(H202))</f>
        <v/>
      </c>
      <c r="K202" s="74" t="str">
        <f t="shared" si="192"/>
        <v/>
      </c>
      <c r="L202" s="69" t="str">
        <f>IF($B202="","",PV-J202)</f>
        <v/>
      </c>
      <c r="M202" s="71" t="str">
        <f>IF($B202="","",J202/PV)</f>
        <v/>
      </c>
      <c r="N202" s="72" t="str">
        <f t="shared" si="4"/>
        <v/>
      </c>
    </row>
    <row r="203" ht="14.25" customHeight="1">
      <c r="B203" s="66" t="str">
        <f>IF(ROWS($1:191)&lt;=Nper,ROWS($1:191),"")</f>
        <v/>
      </c>
      <c r="C203" s="67" t="str">
        <f>IF($B203="","",IF($E$7="Weekly",Start_Date+7*(ROWS($1:191)-1),EDATE(Start_Date,VLOOKUP(IF(ASTemp!$E$7="","Monthly",ASTemp!$E$7),Parameters!$B$3:$D$6,3,0)*(ROWS($1:191)-1))))</f>
        <v/>
      </c>
      <c r="D203" s="68" t="str">
        <f t="shared" si="2"/>
        <v/>
      </c>
      <c r="E203" s="65" t="str">
        <f>IF($B203="","",VLOOKUP(MONTH(C203),Parameters!$F$2:$G$13,2,0))</f>
        <v/>
      </c>
      <c r="F203" s="69" t="str">
        <f>IF($B203="","",PV-N(J202))</f>
        <v/>
      </c>
      <c r="G203" s="69" t="str">
        <f>IF($B203="","",PMT(Rate,Nper,-PV,,Type))</f>
        <v/>
      </c>
      <c r="H203" s="69" t="str">
        <f>IF($B203="","",PPMT(Rate,ROWS($1:191),Nper,-PV,,Type))</f>
        <v/>
      </c>
      <c r="I203" s="69" t="str">
        <f>IF($B203="","",IPMT(Rate,ROWS($1:191),Nper,-PV,,Type))</f>
        <v/>
      </c>
      <c r="J203" s="73" t="str">
        <f t="shared" ref="J203:K203" si="193">IF($B203="","",N(J202)+N(H203))</f>
        <v/>
      </c>
      <c r="K203" s="74" t="str">
        <f t="shared" si="193"/>
        <v/>
      </c>
      <c r="L203" s="69" t="str">
        <f>IF($B203="","",PV-J203)</f>
        <v/>
      </c>
      <c r="M203" s="71" t="str">
        <f>IF($B203="","",J203/PV)</f>
        <v/>
      </c>
      <c r="N203" s="72" t="str">
        <f t="shared" si="4"/>
        <v/>
      </c>
    </row>
    <row r="204" ht="14.25" customHeight="1">
      <c r="B204" s="66" t="str">
        <f>IF(ROWS($1:192)&lt;=Nper,ROWS($1:192),"")</f>
        <v/>
      </c>
      <c r="C204" s="67" t="str">
        <f>IF($B204="","",IF($E$7="Weekly",Start_Date+7*(ROWS($1:192)-1),EDATE(Start_Date,VLOOKUP(IF(ASTemp!$E$7="","Monthly",ASTemp!$E$7),Parameters!$B$3:$D$6,3,0)*(ROWS($1:192)-1))))</f>
        <v/>
      </c>
      <c r="D204" s="68" t="str">
        <f t="shared" si="2"/>
        <v/>
      </c>
      <c r="E204" s="65" t="str">
        <f>IF($B204="","",VLOOKUP(MONTH(C204),Parameters!$F$2:$G$13,2,0))</f>
        <v/>
      </c>
      <c r="F204" s="69" t="str">
        <f>IF($B204="","",PV-N(J203))</f>
        <v/>
      </c>
      <c r="G204" s="69" t="str">
        <f>IF($B204="","",PMT(Rate,Nper,-PV,,Type))</f>
        <v/>
      </c>
      <c r="H204" s="69" t="str">
        <f>IF($B204="","",PPMT(Rate,ROWS($1:192),Nper,-PV,,Type))</f>
        <v/>
      </c>
      <c r="I204" s="69" t="str">
        <f>IF($B204="","",IPMT(Rate,ROWS($1:192),Nper,-PV,,Type))</f>
        <v/>
      </c>
      <c r="J204" s="73" t="str">
        <f t="shared" ref="J204:K204" si="194">IF($B204="","",N(J203)+N(H204))</f>
        <v/>
      </c>
      <c r="K204" s="74" t="str">
        <f t="shared" si="194"/>
        <v/>
      </c>
      <c r="L204" s="69" t="str">
        <f>IF($B204="","",PV-J204)</f>
        <v/>
      </c>
      <c r="M204" s="71" t="str">
        <f>IF($B204="","",J204/PV)</f>
        <v/>
      </c>
      <c r="N204" s="72" t="str">
        <f t="shared" si="4"/>
        <v/>
      </c>
    </row>
    <row r="205" ht="14.25" customHeight="1">
      <c r="B205" s="66" t="str">
        <f>IF(ROWS($1:193)&lt;=Nper,ROWS($1:193),"")</f>
        <v/>
      </c>
      <c r="C205" s="67" t="str">
        <f>IF($B205="","",IF($E$7="Weekly",Start_Date+7*(ROWS($1:193)-1),EDATE(Start_Date,VLOOKUP(IF(ASTemp!$E$7="","Monthly",ASTemp!$E$7),Parameters!$B$3:$D$6,3,0)*(ROWS($1:193)-1))))</f>
        <v/>
      </c>
      <c r="D205" s="68" t="str">
        <f t="shared" si="2"/>
        <v/>
      </c>
      <c r="E205" s="65" t="str">
        <f>IF($B205="","",VLOOKUP(MONTH(C205),Parameters!$F$2:$G$13,2,0))</f>
        <v/>
      </c>
      <c r="F205" s="69" t="str">
        <f>IF($B205="","",PV-N(J204))</f>
        <v/>
      </c>
      <c r="G205" s="69" t="str">
        <f>IF($B205="","",PMT(Rate,Nper,-PV,,Type))</f>
        <v/>
      </c>
      <c r="H205" s="69" t="str">
        <f>IF($B205="","",PPMT(Rate,ROWS($1:193),Nper,-PV,,Type))</f>
        <v/>
      </c>
      <c r="I205" s="69" t="str">
        <f>IF($B205="","",IPMT(Rate,ROWS($1:193),Nper,-PV,,Type))</f>
        <v/>
      </c>
      <c r="J205" s="73" t="str">
        <f t="shared" ref="J205:K205" si="195">IF($B205="","",N(J204)+N(H205))</f>
        <v/>
      </c>
      <c r="K205" s="74" t="str">
        <f t="shared" si="195"/>
        <v/>
      </c>
      <c r="L205" s="69" t="str">
        <f>IF($B205="","",PV-J205)</f>
        <v/>
      </c>
      <c r="M205" s="71" t="str">
        <f>IF($B205="","",J205/PV)</f>
        <v/>
      </c>
      <c r="N205" s="72" t="str">
        <f t="shared" si="4"/>
        <v/>
      </c>
    </row>
    <row r="206" ht="14.25" customHeight="1">
      <c r="B206" s="66" t="str">
        <f>IF(ROWS($1:194)&lt;=Nper,ROWS($1:194),"")</f>
        <v/>
      </c>
      <c r="C206" s="67" t="str">
        <f>IF($B206="","",IF($E$7="Weekly",Start_Date+7*(ROWS($1:194)-1),EDATE(Start_Date,VLOOKUP(IF(ASTemp!$E$7="","Monthly",ASTemp!$E$7),Parameters!$B$3:$D$6,3,0)*(ROWS($1:194)-1))))</f>
        <v/>
      </c>
      <c r="D206" s="68" t="str">
        <f t="shared" si="2"/>
        <v/>
      </c>
      <c r="E206" s="65" t="str">
        <f>IF($B206="","",VLOOKUP(MONTH(C206),Parameters!$F$2:$G$13,2,0))</f>
        <v/>
      </c>
      <c r="F206" s="69" t="str">
        <f>IF($B206="","",PV-N(J205))</f>
        <v/>
      </c>
      <c r="G206" s="69" t="str">
        <f>IF($B206="","",PMT(Rate,Nper,-PV,,Type))</f>
        <v/>
      </c>
      <c r="H206" s="69" t="str">
        <f>IF($B206="","",PPMT(Rate,ROWS($1:194),Nper,-PV,,Type))</f>
        <v/>
      </c>
      <c r="I206" s="69" t="str">
        <f>IF($B206="","",IPMT(Rate,ROWS($1:194),Nper,-PV,,Type))</f>
        <v/>
      </c>
      <c r="J206" s="73" t="str">
        <f t="shared" ref="J206:K206" si="196">IF($B206="","",N(J205)+N(H206))</f>
        <v/>
      </c>
      <c r="K206" s="74" t="str">
        <f t="shared" si="196"/>
        <v/>
      </c>
      <c r="L206" s="69" t="str">
        <f>IF($B206="","",PV-J206)</f>
        <v/>
      </c>
      <c r="M206" s="71" t="str">
        <f>IF($B206="","",J206/PV)</f>
        <v/>
      </c>
      <c r="N206" s="72" t="str">
        <f t="shared" si="4"/>
        <v/>
      </c>
    </row>
    <row r="207" ht="14.25" customHeight="1">
      <c r="B207" s="66" t="str">
        <f>IF(ROWS($1:195)&lt;=Nper,ROWS($1:195),"")</f>
        <v/>
      </c>
      <c r="C207" s="67" t="str">
        <f>IF($B207="","",IF($E$7="Weekly",Start_Date+7*(ROWS($1:195)-1),EDATE(Start_Date,VLOOKUP(IF(ASTemp!$E$7="","Monthly",ASTemp!$E$7),Parameters!$B$3:$D$6,3,0)*(ROWS($1:195)-1))))</f>
        <v/>
      </c>
      <c r="D207" s="68" t="str">
        <f t="shared" si="2"/>
        <v/>
      </c>
      <c r="E207" s="65" t="str">
        <f>IF($B207="","",VLOOKUP(MONTH(C207),Parameters!$F$2:$G$13,2,0))</f>
        <v/>
      </c>
      <c r="F207" s="69" t="str">
        <f>IF($B207="","",PV-N(J206))</f>
        <v/>
      </c>
      <c r="G207" s="69" t="str">
        <f>IF($B207="","",PMT(Rate,Nper,-PV,,Type))</f>
        <v/>
      </c>
      <c r="H207" s="69" t="str">
        <f>IF($B207="","",PPMT(Rate,ROWS($1:195),Nper,-PV,,Type))</f>
        <v/>
      </c>
      <c r="I207" s="69" t="str">
        <f>IF($B207="","",IPMT(Rate,ROWS($1:195),Nper,-PV,,Type))</f>
        <v/>
      </c>
      <c r="J207" s="73" t="str">
        <f t="shared" ref="J207:K207" si="197">IF($B207="","",N(J206)+N(H207))</f>
        <v/>
      </c>
      <c r="K207" s="74" t="str">
        <f t="shared" si="197"/>
        <v/>
      </c>
      <c r="L207" s="69" t="str">
        <f>IF($B207="","",PV-J207)</f>
        <v/>
      </c>
      <c r="M207" s="71" t="str">
        <f>IF($B207="","",J207/PV)</f>
        <v/>
      </c>
      <c r="N207" s="72" t="str">
        <f t="shared" si="4"/>
        <v/>
      </c>
    </row>
    <row r="208" ht="14.25" customHeight="1">
      <c r="B208" s="66" t="str">
        <f>IF(ROWS($1:196)&lt;=Nper,ROWS($1:196),"")</f>
        <v/>
      </c>
      <c r="C208" s="67" t="str">
        <f>IF($B208="","",IF($E$7="Weekly",Start_Date+7*(ROWS($1:196)-1),EDATE(Start_Date,VLOOKUP(IF(ASTemp!$E$7="","Monthly",ASTemp!$E$7),Parameters!$B$3:$D$6,3,0)*(ROWS($1:196)-1))))</f>
        <v/>
      </c>
      <c r="D208" s="68" t="str">
        <f t="shared" si="2"/>
        <v/>
      </c>
      <c r="E208" s="65" t="str">
        <f>IF($B208="","",VLOOKUP(MONTH(C208),Parameters!$F$2:$G$13,2,0))</f>
        <v/>
      </c>
      <c r="F208" s="69" t="str">
        <f>IF($B208="","",PV-N(J207))</f>
        <v/>
      </c>
      <c r="G208" s="69" t="str">
        <f>IF($B208="","",PMT(Rate,Nper,-PV,,Type))</f>
        <v/>
      </c>
      <c r="H208" s="69" t="str">
        <f>IF($B208="","",PPMT(Rate,ROWS($1:196),Nper,-PV,,Type))</f>
        <v/>
      </c>
      <c r="I208" s="69" t="str">
        <f>IF($B208="","",IPMT(Rate,ROWS($1:196),Nper,-PV,,Type))</f>
        <v/>
      </c>
      <c r="J208" s="73" t="str">
        <f t="shared" ref="J208:K208" si="198">IF($B208="","",N(J207)+N(H208))</f>
        <v/>
      </c>
      <c r="K208" s="74" t="str">
        <f t="shared" si="198"/>
        <v/>
      </c>
      <c r="L208" s="69" t="str">
        <f>IF($B208="","",PV-J208)</f>
        <v/>
      </c>
      <c r="M208" s="71" t="str">
        <f>IF($B208="","",J208/PV)</f>
        <v/>
      </c>
      <c r="N208" s="72" t="str">
        <f t="shared" si="4"/>
        <v/>
      </c>
    </row>
    <row r="209" ht="14.25" customHeight="1">
      <c r="B209" s="66" t="str">
        <f>IF(ROWS($1:197)&lt;=Nper,ROWS($1:197),"")</f>
        <v/>
      </c>
      <c r="C209" s="67" t="str">
        <f>IF($B209="","",IF($E$7="Weekly",Start_Date+7*(ROWS($1:197)-1),EDATE(Start_Date,VLOOKUP(IF(ASTemp!$E$7="","Monthly",ASTemp!$E$7),Parameters!$B$3:$D$6,3,0)*(ROWS($1:197)-1))))</f>
        <v/>
      </c>
      <c r="D209" s="68" t="str">
        <f t="shared" si="2"/>
        <v/>
      </c>
      <c r="E209" s="65" t="str">
        <f>IF($B209="","",VLOOKUP(MONTH(C209),Parameters!$F$2:$G$13,2,0))</f>
        <v/>
      </c>
      <c r="F209" s="69" t="str">
        <f>IF($B209="","",PV-N(J208))</f>
        <v/>
      </c>
      <c r="G209" s="69" t="str">
        <f>IF($B209="","",PMT(Rate,Nper,-PV,,Type))</f>
        <v/>
      </c>
      <c r="H209" s="69" t="str">
        <f>IF($B209="","",PPMT(Rate,ROWS($1:197),Nper,-PV,,Type))</f>
        <v/>
      </c>
      <c r="I209" s="69" t="str">
        <f>IF($B209="","",IPMT(Rate,ROWS($1:197),Nper,-PV,,Type))</f>
        <v/>
      </c>
      <c r="J209" s="73" t="str">
        <f t="shared" ref="J209:K209" si="199">IF($B209="","",N(J208)+N(H209))</f>
        <v/>
      </c>
      <c r="K209" s="74" t="str">
        <f t="shared" si="199"/>
        <v/>
      </c>
      <c r="L209" s="69" t="str">
        <f>IF($B209="","",PV-J209)</f>
        <v/>
      </c>
      <c r="M209" s="71" t="str">
        <f>IF($B209="","",J209/PV)</f>
        <v/>
      </c>
      <c r="N209" s="72" t="str">
        <f t="shared" si="4"/>
        <v/>
      </c>
    </row>
    <row r="210" ht="14.25" customHeight="1">
      <c r="B210" s="66" t="str">
        <f>IF(ROWS($1:198)&lt;=Nper,ROWS($1:198),"")</f>
        <v/>
      </c>
      <c r="C210" s="67" t="str">
        <f>IF($B210="","",IF($E$7="Weekly",Start_Date+7*(ROWS($1:198)-1),EDATE(Start_Date,VLOOKUP(IF(ASTemp!$E$7="","Monthly",ASTemp!$E$7),Parameters!$B$3:$D$6,3,0)*(ROWS($1:198)-1))))</f>
        <v/>
      </c>
      <c r="D210" s="68" t="str">
        <f t="shared" si="2"/>
        <v/>
      </c>
      <c r="E210" s="65" t="str">
        <f>IF($B210="","",VLOOKUP(MONTH(C210),Parameters!$F$2:$G$13,2,0))</f>
        <v/>
      </c>
      <c r="F210" s="69" t="str">
        <f>IF($B210="","",PV-N(J209))</f>
        <v/>
      </c>
      <c r="G210" s="69" t="str">
        <f>IF($B210="","",PMT(Rate,Nper,-PV,,Type))</f>
        <v/>
      </c>
      <c r="H210" s="69" t="str">
        <f>IF($B210="","",PPMT(Rate,ROWS($1:198),Nper,-PV,,Type))</f>
        <v/>
      </c>
      <c r="I210" s="69" t="str">
        <f>IF($B210="","",IPMT(Rate,ROWS($1:198),Nper,-PV,,Type))</f>
        <v/>
      </c>
      <c r="J210" s="73" t="str">
        <f t="shared" ref="J210:K210" si="200">IF($B210="","",N(J209)+N(H210))</f>
        <v/>
      </c>
      <c r="K210" s="74" t="str">
        <f t="shared" si="200"/>
        <v/>
      </c>
      <c r="L210" s="69" t="str">
        <f>IF($B210="","",PV-J210)</f>
        <v/>
      </c>
      <c r="M210" s="71" t="str">
        <f>IF($B210="","",J210/PV)</f>
        <v/>
      </c>
      <c r="N210" s="72" t="str">
        <f t="shared" si="4"/>
        <v/>
      </c>
    </row>
    <row r="211" ht="14.25" customHeight="1">
      <c r="B211" s="66" t="str">
        <f>IF(ROWS($1:199)&lt;=Nper,ROWS($1:199),"")</f>
        <v/>
      </c>
      <c r="C211" s="67" t="str">
        <f>IF($B211="","",IF($E$7="Weekly",Start_Date+7*(ROWS($1:199)-1),EDATE(Start_Date,VLOOKUP(IF(ASTemp!$E$7="","Monthly",ASTemp!$E$7),Parameters!$B$3:$D$6,3,0)*(ROWS($1:199)-1))))</f>
        <v/>
      </c>
      <c r="D211" s="68" t="str">
        <f t="shared" si="2"/>
        <v/>
      </c>
      <c r="E211" s="65" t="str">
        <f>IF($B211="","",VLOOKUP(MONTH(C211),Parameters!$F$2:$G$13,2,0))</f>
        <v/>
      </c>
      <c r="F211" s="69" t="str">
        <f>IF($B211="","",PV-N(J210))</f>
        <v/>
      </c>
      <c r="G211" s="69" t="str">
        <f>IF($B211="","",PMT(Rate,Nper,-PV,,Type))</f>
        <v/>
      </c>
      <c r="H211" s="69" t="str">
        <f>IF($B211="","",PPMT(Rate,ROWS($1:199),Nper,-PV,,Type))</f>
        <v/>
      </c>
      <c r="I211" s="69" t="str">
        <f>IF($B211="","",IPMT(Rate,ROWS($1:199),Nper,-PV,,Type))</f>
        <v/>
      </c>
      <c r="J211" s="73" t="str">
        <f t="shared" ref="J211:K211" si="201">IF($B211="","",N(J210)+N(H211))</f>
        <v/>
      </c>
      <c r="K211" s="74" t="str">
        <f t="shared" si="201"/>
        <v/>
      </c>
      <c r="L211" s="69" t="str">
        <f>IF($B211="","",PV-J211)</f>
        <v/>
      </c>
      <c r="M211" s="71" t="str">
        <f>IF($B211="","",J211/PV)</f>
        <v/>
      </c>
      <c r="N211" s="72" t="str">
        <f t="shared" si="4"/>
        <v/>
      </c>
    </row>
    <row r="212" ht="14.25" customHeight="1">
      <c r="B212" s="66" t="str">
        <f>IF(ROWS($1:200)&lt;=Nper,ROWS($1:200),"")</f>
        <v/>
      </c>
      <c r="C212" s="67" t="str">
        <f>IF($B212="","",IF($E$7="Weekly",Start_Date+7*(ROWS($1:200)-1),EDATE(Start_Date,VLOOKUP(IF(ASTemp!$E$7="","Monthly",ASTemp!$E$7),Parameters!$B$3:$D$6,3,0)*(ROWS($1:200)-1))))</f>
        <v/>
      </c>
      <c r="D212" s="68" t="str">
        <f t="shared" si="2"/>
        <v/>
      </c>
      <c r="E212" s="65" t="str">
        <f>IF($B212="","",VLOOKUP(MONTH(C212),Parameters!$F$2:$G$13,2,0))</f>
        <v/>
      </c>
      <c r="F212" s="69" t="str">
        <f>IF($B212="","",PV-N(J211))</f>
        <v/>
      </c>
      <c r="G212" s="69" t="str">
        <f>IF($B212="","",PMT(Rate,Nper,-PV,,Type))</f>
        <v/>
      </c>
      <c r="H212" s="69" t="str">
        <f>IF($B212="","",PPMT(Rate,ROWS($1:200),Nper,-PV,,Type))</f>
        <v/>
      </c>
      <c r="I212" s="69" t="str">
        <f>IF($B212="","",IPMT(Rate,ROWS($1:200),Nper,-PV,,Type))</f>
        <v/>
      </c>
      <c r="J212" s="73" t="str">
        <f t="shared" ref="J212:K212" si="202">IF($B212="","",N(J211)+N(H212))</f>
        <v/>
      </c>
      <c r="K212" s="74" t="str">
        <f t="shared" si="202"/>
        <v/>
      </c>
      <c r="L212" s="69" t="str">
        <f>IF($B212="","",PV-J212)</f>
        <v/>
      </c>
      <c r="M212" s="71" t="str">
        <f>IF($B212="","",J212/PV)</f>
        <v/>
      </c>
      <c r="N212" s="72" t="str">
        <f t="shared" si="4"/>
        <v/>
      </c>
    </row>
    <row r="213" ht="14.25" customHeight="1">
      <c r="B213" s="66" t="str">
        <f>IF(ROWS($1:201)&lt;=Nper,ROWS($1:201),"")</f>
        <v/>
      </c>
      <c r="C213" s="67" t="str">
        <f>IF($B213="","",IF($E$7="Weekly",Start_Date+7*(ROWS($1:201)-1),EDATE(Start_Date,VLOOKUP(IF(ASTemp!$E$7="","Monthly",ASTemp!$E$7),Parameters!$B$3:$D$6,3,0)*(ROWS($1:201)-1))))</f>
        <v/>
      </c>
      <c r="D213" s="68" t="str">
        <f t="shared" si="2"/>
        <v/>
      </c>
      <c r="E213" s="65" t="str">
        <f>IF($B213="","",VLOOKUP(MONTH(C213),Parameters!$F$2:$G$13,2,0))</f>
        <v/>
      </c>
      <c r="F213" s="69" t="str">
        <f>IF($B213="","",PV-N(J212))</f>
        <v/>
      </c>
      <c r="G213" s="69" t="str">
        <f>IF($B213="","",PMT(Rate,Nper,-PV,,Type))</f>
        <v/>
      </c>
      <c r="H213" s="69" t="str">
        <f>IF($B213="","",PPMT(Rate,ROWS($1:201),Nper,-PV,,Type))</f>
        <v/>
      </c>
      <c r="I213" s="69" t="str">
        <f>IF($B213="","",IPMT(Rate,ROWS($1:201),Nper,-PV,,Type))</f>
        <v/>
      </c>
      <c r="J213" s="73" t="str">
        <f t="shared" ref="J213:K213" si="203">IF($B213="","",N(J212)+N(H213))</f>
        <v/>
      </c>
      <c r="K213" s="74" t="str">
        <f t="shared" si="203"/>
        <v/>
      </c>
      <c r="L213" s="69" t="str">
        <f>IF($B213="","",PV-J213)</f>
        <v/>
      </c>
      <c r="M213" s="71" t="str">
        <f>IF($B213="","",J213/PV)</f>
        <v/>
      </c>
      <c r="N213" s="72" t="str">
        <f t="shared" si="4"/>
        <v/>
      </c>
    </row>
    <row r="214" ht="14.25" customHeight="1">
      <c r="B214" s="66" t="str">
        <f>IF(ROWS($1:202)&lt;=Nper,ROWS($1:202),"")</f>
        <v/>
      </c>
      <c r="C214" s="67" t="str">
        <f>IF($B214="","",IF($E$7="Weekly",Start_Date+7*(ROWS($1:202)-1),EDATE(Start_Date,VLOOKUP(IF(ASTemp!$E$7="","Monthly",ASTemp!$E$7),Parameters!$B$3:$D$6,3,0)*(ROWS($1:202)-1))))</f>
        <v/>
      </c>
      <c r="D214" s="68" t="str">
        <f t="shared" si="2"/>
        <v/>
      </c>
      <c r="E214" s="65" t="str">
        <f>IF($B214="","",VLOOKUP(MONTH(C214),Parameters!$F$2:$G$13,2,0))</f>
        <v/>
      </c>
      <c r="F214" s="69" t="str">
        <f>IF($B214="","",PV-N(J213))</f>
        <v/>
      </c>
      <c r="G214" s="69" t="str">
        <f>IF($B214="","",PMT(Rate,Nper,-PV,,Type))</f>
        <v/>
      </c>
      <c r="H214" s="69" t="str">
        <f>IF($B214="","",PPMT(Rate,ROWS($1:202),Nper,-PV,,Type))</f>
        <v/>
      </c>
      <c r="I214" s="69" t="str">
        <f>IF($B214="","",IPMT(Rate,ROWS($1:202),Nper,-PV,,Type))</f>
        <v/>
      </c>
      <c r="J214" s="73" t="str">
        <f t="shared" ref="J214:K214" si="204">IF($B214="","",N(J213)+N(H214))</f>
        <v/>
      </c>
      <c r="K214" s="74" t="str">
        <f t="shared" si="204"/>
        <v/>
      </c>
      <c r="L214" s="69" t="str">
        <f>IF($B214="","",PV-J214)</f>
        <v/>
      </c>
      <c r="M214" s="71" t="str">
        <f>IF($B214="","",J214/PV)</f>
        <v/>
      </c>
      <c r="N214" s="72" t="str">
        <f t="shared" si="4"/>
        <v/>
      </c>
    </row>
    <row r="215" ht="14.25" customHeight="1">
      <c r="B215" s="66" t="str">
        <f>IF(ROWS($1:203)&lt;=Nper,ROWS($1:203),"")</f>
        <v/>
      </c>
      <c r="C215" s="67" t="str">
        <f>IF($B215="","",IF($E$7="Weekly",Start_Date+7*(ROWS($1:203)-1),EDATE(Start_Date,VLOOKUP(IF(ASTemp!$E$7="","Monthly",ASTemp!$E$7),Parameters!$B$3:$D$6,3,0)*(ROWS($1:203)-1))))</f>
        <v/>
      </c>
      <c r="D215" s="68" t="str">
        <f t="shared" si="2"/>
        <v/>
      </c>
      <c r="E215" s="65" t="str">
        <f>IF($B215="","",VLOOKUP(MONTH(C215),Parameters!$F$2:$G$13,2,0))</f>
        <v/>
      </c>
      <c r="F215" s="69" t="str">
        <f>IF($B215="","",PV-N(J214))</f>
        <v/>
      </c>
      <c r="G215" s="69" t="str">
        <f>IF($B215="","",PMT(Rate,Nper,-PV,,Type))</f>
        <v/>
      </c>
      <c r="H215" s="69" t="str">
        <f>IF($B215="","",PPMT(Rate,ROWS($1:203),Nper,-PV,,Type))</f>
        <v/>
      </c>
      <c r="I215" s="69" t="str">
        <f>IF($B215="","",IPMT(Rate,ROWS($1:203),Nper,-PV,,Type))</f>
        <v/>
      </c>
      <c r="J215" s="73" t="str">
        <f t="shared" ref="J215:K215" si="205">IF($B215="","",N(J214)+N(H215))</f>
        <v/>
      </c>
      <c r="K215" s="74" t="str">
        <f t="shared" si="205"/>
        <v/>
      </c>
      <c r="L215" s="69" t="str">
        <f>IF($B215="","",PV-J215)</f>
        <v/>
      </c>
      <c r="M215" s="71" t="str">
        <f>IF($B215="","",J215/PV)</f>
        <v/>
      </c>
      <c r="N215" s="72" t="str">
        <f t="shared" si="4"/>
        <v/>
      </c>
    </row>
    <row r="216" ht="14.25" customHeight="1">
      <c r="B216" s="66" t="str">
        <f>IF(ROWS($1:204)&lt;=Nper,ROWS($1:204),"")</f>
        <v/>
      </c>
      <c r="C216" s="67" t="str">
        <f>IF($B216="","",IF($E$7="Weekly",Start_Date+7*(ROWS($1:204)-1),EDATE(Start_Date,VLOOKUP(IF(ASTemp!$E$7="","Monthly",ASTemp!$E$7),Parameters!$B$3:$D$6,3,0)*(ROWS($1:204)-1))))</f>
        <v/>
      </c>
      <c r="D216" s="68" t="str">
        <f t="shared" si="2"/>
        <v/>
      </c>
      <c r="E216" s="65" t="str">
        <f>IF($B216="","",VLOOKUP(MONTH(C216),Parameters!$F$2:$G$13,2,0))</f>
        <v/>
      </c>
      <c r="F216" s="69" t="str">
        <f>IF($B216="","",PV-N(J215))</f>
        <v/>
      </c>
      <c r="G216" s="69" t="str">
        <f>IF($B216="","",PMT(Rate,Nper,-PV,,Type))</f>
        <v/>
      </c>
      <c r="H216" s="69" t="str">
        <f>IF($B216="","",PPMT(Rate,ROWS($1:204),Nper,-PV,,Type))</f>
        <v/>
      </c>
      <c r="I216" s="69" t="str">
        <f>IF($B216="","",IPMT(Rate,ROWS($1:204),Nper,-PV,,Type))</f>
        <v/>
      </c>
      <c r="J216" s="73" t="str">
        <f t="shared" ref="J216:K216" si="206">IF($B216="","",N(J215)+N(H216))</f>
        <v/>
      </c>
      <c r="K216" s="74" t="str">
        <f t="shared" si="206"/>
        <v/>
      </c>
      <c r="L216" s="69" t="str">
        <f>IF($B216="","",PV-J216)</f>
        <v/>
      </c>
      <c r="M216" s="71" t="str">
        <f>IF($B216="","",J216/PV)</f>
        <v/>
      </c>
      <c r="N216" s="72" t="str">
        <f t="shared" si="4"/>
        <v/>
      </c>
    </row>
    <row r="217" ht="14.25" customHeight="1">
      <c r="B217" s="66" t="str">
        <f>IF(ROWS($1:205)&lt;=Nper,ROWS($1:205),"")</f>
        <v/>
      </c>
      <c r="C217" s="67" t="str">
        <f>IF($B217="","",IF($E$7="Weekly",Start_Date+7*(ROWS($1:205)-1),EDATE(Start_Date,VLOOKUP(IF(ASTemp!$E$7="","Monthly",ASTemp!$E$7),Parameters!$B$3:$D$6,3,0)*(ROWS($1:205)-1))))</f>
        <v/>
      </c>
      <c r="D217" s="68" t="str">
        <f t="shared" si="2"/>
        <v/>
      </c>
      <c r="E217" s="65" t="str">
        <f>IF($B217="","",VLOOKUP(MONTH(C217),Parameters!$F$2:$G$13,2,0))</f>
        <v/>
      </c>
      <c r="F217" s="69" t="str">
        <f>IF($B217="","",PV-N(J216))</f>
        <v/>
      </c>
      <c r="G217" s="69" t="str">
        <f>IF($B217="","",PMT(Rate,Nper,-PV,,Type))</f>
        <v/>
      </c>
      <c r="H217" s="69" t="str">
        <f>IF($B217="","",PPMT(Rate,ROWS($1:205),Nper,-PV,,Type))</f>
        <v/>
      </c>
      <c r="I217" s="69" t="str">
        <f>IF($B217="","",IPMT(Rate,ROWS($1:205),Nper,-PV,,Type))</f>
        <v/>
      </c>
      <c r="J217" s="73" t="str">
        <f t="shared" ref="J217:K217" si="207">IF($B217="","",N(J216)+N(H217))</f>
        <v/>
      </c>
      <c r="K217" s="74" t="str">
        <f t="shared" si="207"/>
        <v/>
      </c>
      <c r="L217" s="69" t="str">
        <f>IF($B217="","",PV-J217)</f>
        <v/>
      </c>
      <c r="M217" s="71" t="str">
        <f>IF($B217="","",J217/PV)</f>
        <v/>
      </c>
      <c r="N217" s="72" t="str">
        <f t="shared" si="4"/>
        <v/>
      </c>
    </row>
    <row r="218" ht="14.25" customHeight="1">
      <c r="B218" s="66" t="str">
        <f>IF(ROWS($1:206)&lt;=Nper,ROWS($1:206),"")</f>
        <v/>
      </c>
      <c r="C218" s="67" t="str">
        <f>IF($B218="","",IF($E$7="Weekly",Start_Date+7*(ROWS($1:206)-1),EDATE(Start_Date,VLOOKUP(IF(ASTemp!$E$7="","Monthly",ASTemp!$E$7),Parameters!$B$3:$D$6,3,0)*(ROWS($1:206)-1))))</f>
        <v/>
      </c>
      <c r="D218" s="68" t="str">
        <f t="shared" si="2"/>
        <v/>
      </c>
      <c r="E218" s="65" t="str">
        <f>IF($B218="","",VLOOKUP(MONTH(C218),Parameters!$F$2:$G$13,2,0))</f>
        <v/>
      </c>
      <c r="F218" s="69" t="str">
        <f>IF($B218="","",PV-N(J217))</f>
        <v/>
      </c>
      <c r="G218" s="69" t="str">
        <f>IF($B218="","",PMT(Rate,Nper,-PV,,Type))</f>
        <v/>
      </c>
      <c r="H218" s="69" t="str">
        <f>IF($B218="","",PPMT(Rate,ROWS($1:206),Nper,-PV,,Type))</f>
        <v/>
      </c>
      <c r="I218" s="69" t="str">
        <f>IF($B218="","",IPMT(Rate,ROWS($1:206),Nper,-PV,,Type))</f>
        <v/>
      </c>
      <c r="J218" s="73" t="str">
        <f t="shared" ref="J218:K218" si="208">IF($B218="","",N(J217)+N(H218))</f>
        <v/>
      </c>
      <c r="K218" s="74" t="str">
        <f t="shared" si="208"/>
        <v/>
      </c>
      <c r="L218" s="69" t="str">
        <f>IF($B218="","",PV-J218)</f>
        <v/>
      </c>
      <c r="M218" s="71" t="str">
        <f>IF($B218="","",J218/PV)</f>
        <v/>
      </c>
      <c r="N218" s="72" t="str">
        <f t="shared" si="4"/>
        <v/>
      </c>
    </row>
    <row r="219" ht="14.25" customHeight="1">
      <c r="B219" s="66" t="str">
        <f>IF(ROWS($1:207)&lt;=Nper,ROWS($1:207),"")</f>
        <v/>
      </c>
      <c r="C219" s="67" t="str">
        <f>IF($B219="","",IF($E$7="Weekly",Start_Date+7*(ROWS($1:207)-1),EDATE(Start_Date,VLOOKUP(IF(ASTemp!$E$7="","Monthly",ASTemp!$E$7),Parameters!$B$3:$D$6,3,0)*(ROWS($1:207)-1))))</f>
        <v/>
      </c>
      <c r="D219" s="68" t="str">
        <f t="shared" si="2"/>
        <v/>
      </c>
      <c r="E219" s="65" t="str">
        <f>IF($B219="","",VLOOKUP(MONTH(C219),Parameters!$F$2:$G$13,2,0))</f>
        <v/>
      </c>
      <c r="F219" s="69" t="str">
        <f>IF($B219="","",PV-N(J218))</f>
        <v/>
      </c>
      <c r="G219" s="69" t="str">
        <f>IF($B219="","",PMT(Rate,Nper,-PV,,Type))</f>
        <v/>
      </c>
      <c r="H219" s="69" t="str">
        <f>IF($B219="","",PPMT(Rate,ROWS($1:207),Nper,-PV,,Type))</f>
        <v/>
      </c>
      <c r="I219" s="69" t="str">
        <f>IF($B219="","",IPMT(Rate,ROWS($1:207),Nper,-PV,,Type))</f>
        <v/>
      </c>
      <c r="J219" s="73" t="str">
        <f t="shared" ref="J219:K219" si="209">IF($B219="","",N(J218)+N(H219))</f>
        <v/>
      </c>
      <c r="K219" s="74" t="str">
        <f t="shared" si="209"/>
        <v/>
      </c>
      <c r="L219" s="69" t="str">
        <f>IF($B219="","",PV-J219)</f>
        <v/>
      </c>
      <c r="M219" s="71" t="str">
        <f>IF($B219="","",J219/PV)</f>
        <v/>
      </c>
      <c r="N219" s="72" t="str">
        <f t="shared" si="4"/>
        <v/>
      </c>
    </row>
    <row r="220" ht="14.25" customHeight="1">
      <c r="B220" s="66" t="str">
        <f>IF(ROWS($1:208)&lt;=Nper,ROWS($1:208),"")</f>
        <v/>
      </c>
      <c r="C220" s="67" t="str">
        <f>IF($B220="","",IF($E$7="Weekly",Start_Date+7*(ROWS($1:208)-1),EDATE(Start_Date,VLOOKUP(IF(ASTemp!$E$7="","Monthly",ASTemp!$E$7),Parameters!$B$3:$D$6,3,0)*(ROWS($1:208)-1))))</f>
        <v/>
      </c>
      <c r="D220" s="68" t="str">
        <f t="shared" si="2"/>
        <v/>
      </c>
      <c r="E220" s="65" t="str">
        <f>IF($B220="","",VLOOKUP(MONTH(C220),Parameters!$F$2:$G$13,2,0))</f>
        <v/>
      </c>
      <c r="F220" s="69" t="str">
        <f>IF($B220="","",PV-N(J219))</f>
        <v/>
      </c>
      <c r="G220" s="69" t="str">
        <f>IF($B220="","",PMT(Rate,Nper,-PV,,Type))</f>
        <v/>
      </c>
      <c r="H220" s="69" t="str">
        <f>IF($B220="","",PPMT(Rate,ROWS($1:208),Nper,-PV,,Type))</f>
        <v/>
      </c>
      <c r="I220" s="69" t="str">
        <f>IF($B220="","",IPMT(Rate,ROWS($1:208),Nper,-PV,,Type))</f>
        <v/>
      </c>
      <c r="J220" s="73" t="str">
        <f t="shared" ref="J220:K220" si="210">IF($B220="","",N(J219)+N(H220))</f>
        <v/>
      </c>
      <c r="K220" s="74" t="str">
        <f t="shared" si="210"/>
        <v/>
      </c>
      <c r="L220" s="69" t="str">
        <f>IF($B220="","",PV-J220)</f>
        <v/>
      </c>
      <c r="M220" s="71" t="str">
        <f>IF($B220="","",J220/PV)</f>
        <v/>
      </c>
      <c r="N220" s="72" t="str">
        <f t="shared" si="4"/>
        <v/>
      </c>
    </row>
    <row r="221" ht="14.25" customHeight="1">
      <c r="B221" s="66" t="str">
        <f>IF(ROWS($1:209)&lt;=Nper,ROWS($1:209),"")</f>
        <v/>
      </c>
      <c r="C221" s="67" t="str">
        <f>IF($B221="","",IF($E$7="Weekly",Start_Date+7*(ROWS($1:209)-1),EDATE(Start_Date,VLOOKUP(IF(ASTemp!$E$7="","Monthly",ASTemp!$E$7),Parameters!$B$3:$D$6,3,0)*(ROWS($1:209)-1))))</f>
        <v/>
      </c>
      <c r="D221" s="68" t="str">
        <f t="shared" si="2"/>
        <v/>
      </c>
      <c r="E221" s="65" t="str">
        <f>IF($B221="","",VLOOKUP(MONTH(C221),Parameters!$F$2:$G$13,2,0))</f>
        <v/>
      </c>
      <c r="F221" s="69" t="str">
        <f>IF($B221="","",PV-N(J220))</f>
        <v/>
      </c>
      <c r="G221" s="69" t="str">
        <f>IF($B221="","",PMT(Rate,Nper,-PV,,Type))</f>
        <v/>
      </c>
      <c r="H221" s="69" t="str">
        <f>IF($B221="","",PPMT(Rate,ROWS($1:209),Nper,-PV,,Type))</f>
        <v/>
      </c>
      <c r="I221" s="69" t="str">
        <f>IF($B221="","",IPMT(Rate,ROWS($1:209),Nper,-PV,,Type))</f>
        <v/>
      </c>
      <c r="J221" s="73" t="str">
        <f t="shared" ref="J221:K221" si="211">IF($B221="","",N(J220)+N(H221))</f>
        <v/>
      </c>
      <c r="K221" s="74" t="str">
        <f t="shared" si="211"/>
        <v/>
      </c>
      <c r="L221" s="69" t="str">
        <f>IF($B221="","",PV-J221)</f>
        <v/>
      </c>
      <c r="M221" s="71" t="str">
        <f>IF($B221="","",J221/PV)</f>
        <v/>
      </c>
      <c r="N221" s="72" t="str">
        <f t="shared" si="4"/>
        <v/>
      </c>
    </row>
    <row r="222" ht="14.25" customHeight="1">
      <c r="B222" s="66" t="str">
        <f>IF(ROWS($1:210)&lt;=Nper,ROWS($1:210),"")</f>
        <v/>
      </c>
      <c r="C222" s="67" t="str">
        <f>IF($B222="","",IF($E$7="Weekly",Start_Date+7*(ROWS($1:210)-1),EDATE(Start_Date,VLOOKUP(IF(ASTemp!$E$7="","Monthly",ASTemp!$E$7),Parameters!$B$3:$D$6,3,0)*(ROWS($1:210)-1))))</f>
        <v/>
      </c>
      <c r="D222" s="68" t="str">
        <f t="shared" si="2"/>
        <v/>
      </c>
      <c r="E222" s="65" t="str">
        <f>IF($B222="","",VLOOKUP(MONTH(C222),Parameters!$F$2:$G$13,2,0))</f>
        <v/>
      </c>
      <c r="F222" s="69" t="str">
        <f>IF($B222="","",PV-N(J221))</f>
        <v/>
      </c>
      <c r="G222" s="69" t="str">
        <f>IF($B222="","",PMT(Rate,Nper,-PV,,Type))</f>
        <v/>
      </c>
      <c r="H222" s="69" t="str">
        <f>IF($B222="","",PPMT(Rate,ROWS($1:210),Nper,-PV,,Type))</f>
        <v/>
      </c>
      <c r="I222" s="69" t="str">
        <f>IF($B222="","",IPMT(Rate,ROWS($1:210),Nper,-PV,,Type))</f>
        <v/>
      </c>
      <c r="J222" s="73" t="str">
        <f t="shared" ref="J222:K222" si="212">IF($B222="","",N(J221)+N(H222))</f>
        <v/>
      </c>
      <c r="K222" s="74" t="str">
        <f t="shared" si="212"/>
        <v/>
      </c>
      <c r="L222" s="69" t="str">
        <f>IF($B222="","",PV-J222)</f>
        <v/>
      </c>
      <c r="M222" s="71" t="str">
        <f>IF($B222="","",J222/PV)</f>
        <v/>
      </c>
      <c r="N222" s="72" t="str">
        <f t="shared" si="4"/>
        <v/>
      </c>
    </row>
    <row r="223" ht="14.25" customHeight="1">
      <c r="B223" s="66" t="str">
        <f>IF(ROWS($1:211)&lt;=Nper,ROWS($1:211),"")</f>
        <v/>
      </c>
      <c r="C223" s="67" t="str">
        <f>IF($B223="","",IF($E$7="Weekly",Start_Date+7*(ROWS($1:211)-1),EDATE(Start_Date,VLOOKUP(IF(ASTemp!$E$7="","Monthly",ASTemp!$E$7),Parameters!$B$3:$D$6,3,0)*(ROWS($1:211)-1))))</f>
        <v/>
      </c>
      <c r="D223" s="68" t="str">
        <f t="shared" si="2"/>
        <v/>
      </c>
      <c r="E223" s="65" t="str">
        <f>IF($B223="","",VLOOKUP(MONTH(C223),Parameters!$F$2:$G$13,2,0))</f>
        <v/>
      </c>
      <c r="F223" s="69" t="str">
        <f>IF($B223="","",PV-N(J222))</f>
        <v/>
      </c>
      <c r="G223" s="69" t="str">
        <f>IF($B223="","",PMT(Rate,Nper,-PV,,Type))</f>
        <v/>
      </c>
      <c r="H223" s="69" t="str">
        <f>IF($B223="","",PPMT(Rate,ROWS($1:211),Nper,-PV,,Type))</f>
        <v/>
      </c>
      <c r="I223" s="69" t="str">
        <f>IF($B223="","",IPMT(Rate,ROWS($1:211),Nper,-PV,,Type))</f>
        <v/>
      </c>
      <c r="J223" s="73" t="str">
        <f t="shared" ref="J223:K223" si="213">IF($B223="","",N(J222)+N(H223))</f>
        <v/>
      </c>
      <c r="K223" s="74" t="str">
        <f t="shared" si="213"/>
        <v/>
      </c>
      <c r="L223" s="69" t="str">
        <f>IF($B223="","",PV-J223)</f>
        <v/>
      </c>
      <c r="M223" s="71" t="str">
        <f>IF($B223="","",J223/PV)</f>
        <v/>
      </c>
      <c r="N223" s="72" t="str">
        <f t="shared" si="4"/>
        <v/>
      </c>
    </row>
    <row r="224" ht="14.25" customHeight="1">
      <c r="B224" s="66" t="str">
        <f>IF(ROWS($1:212)&lt;=Nper,ROWS($1:212),"")</f>
        <v/>
      </c>
      <c r="C224" s="67" t="str">
        <f>IF($B224="","",IF($E$7="Weekly",Start_Date+7*(ROWS($1:212)-1),EDATE(Start_Date,VLOOKUP(IF(ASTemp!$E$7="","Monthly",ASTemp!$E$7),Parameters!$B$3:$D$6,3,0)*(ROWS($1:212)-1))))</f>
        <v/>
      </c>
      <c r="D224" s="68" t="str">
        <f t="shared" si="2"/>
        <v/>
      </c>
      <c r="E224" s="65" t="str">
        <f>IF($B224="","",VLOOKUP(MONTH(C224),Parameters!$F$2:$G$13,2,0))</f>
        <v/>
      </c>
      <c r="F224" s="69" t="str">
        <f>IF($B224="","",PV-N(J223))</f>
        <v/>
      </c>
      <c r="G224" s="69" t="str">
        <f>IF($B224="","",PMT(Rate,Nper,-PV,,Type))</f>
        <v/>
      </c>
      <c r="H224" s="69" t="str">
        <f>IF($B224="","",PPMT(Rate,ROWS($1:212),Nper,-PV,,Type))</f>
        <v/>
      </c>
      <c r="I224" s="69" t="str">
        <f>IF($B224="","",IPMT(Rate,ROWS($1:212),Nper,-PV,,Type))</f>
        <v/>
      </c>
      <c r="J224" s="73" t="str">
        <f t="shared" ref="J224:K224" si="214">IF($B224="","",N(J223)+N(H224))</f>
        <v/>
      </c>
      <c r="K224" s="74" t="str">
        <f t="shared" si="214"/>
        <v/>
      </c>
      <c r="L224" s="69" t="str">
        <f>IF($B224="","",PV-J224)</f>
        <v/>
      </c>
      <c r="M224" s="71" t="str">
        <f>IF($B224="","",J224/PV)</f>
        <v/>
      </c>
      <c r="N224" s="72" t="str">
        <f t="shared" si="4"/>
        <v/>
      </c>
    </row>
    <row r="225" ht="14.25" customHeight="1">
      <c r="B225" s="66" t="str">
        <f>IF(ROWS($1:213)&lt;=Nper,ROWS($1:213),"")</f>
        <v/>
      </c>
      <c r="C225" s="67" t="str">
        <f>IF($B225="","",IF($E$7="Weekly",Start_Date+7*(ROWS($1:213)-1),EDATE(Start_Date,VLOOKUP(IF(ASTemp!$E$7="","Monthly",ASTemp!$E$7),Parameters!$B$3:$D$6,3,0)*(ROWS($1:213)-1))))</f>
        <v/>
      </c>
      <c r="D225" s="68" t="str">
        <f t="shared" si="2"/>
        <v/>
      </c>
      <c r="E225" s="65" t="str">
        <f>IF($B225="","",VLOOKUP(MONTH(C225),Parameters!$F$2:$G$13,2,0))</f>
        <v/>
      </c>
      <c r="F225" s="69" t="str">
        <f>IF($B225="","",PV-N(J224))</f>
        <v/>
      </c>
      <c r="G225" s="69" t="str">
        <f>IF($B225="","",PMT(Rate,Nper,-PV,,Type))</f>
        <v/>
      </c>
      <c r="H225" s="69" t="str">
        <f>IF($B225="","",PPMT(Rate,ROWS($1:213),Nper,-PV,,Type))</f>
        <v/>
      </c>
      <c r="I225" s="69" t="str">
        <f>IF($B225="","",IPMT(Rate,ROWS($1:213),Nper,-PV,,Type))</f>
        <v/>
      </c>
      <c r="J225" s="73" t="str">
        <f t="shared" ref="J225:K225" si="215">IF($B225="","",N(J224)+N(H225))</f>
        <v/>
      </c>
      <c r="K225" s="74" t="str">
        <f t="shared" si="215"/>
        <v/>
      </c>
      <c r="L225" s="69" t="str">
        <f>IF($B225="","",PV-J225)</f>
        <v/>
      </c>
      <c r="M225" s="71" t="str">
        <f>IF($B225="","",J225/PV)</f>
        <v/>
      </c>
      <c r="N225" s="72" t="str">
        <f t="shared" si="4"/>
        <v/>
      </c>
    </row>
    <row r="226" ht="14.25" customHeight="1">
      <c r="B226" s="66" t="str">
        <f>IF(ROWS($1:214)&lt;=Nper,ROWS($1:214),"")</f>
        <v/>
      </c>
      <c r="C226" s="67" t="str">
        <f>IF($B226="","",IF($E$7="Weekly",Start_Date+7*(ROWS($1:214)-1),EDATE(Start_Date,VLOOKUP(IF(ASTemp!$E$7="","Monthly",ASTemp!$E$7),Parameters!$B$3:$D$6,3,0)*(ROWS($1:214)-1))))</f>
        <v/>
      </c>
      <c r="D226" s="68" t="str">
        <f t="shared" si="2"/>
        <v/>
      </c>
      <c r="E226" s="65" t="str">
        <f>IF($B226="","",VLOOKUP(MONTH(C226),Parameters!$F$2:$G$13,2,0))</f>
        <v/>
      </c>
      <c r="F226" s="69" t="str">
        <f>IF($B226="","",PV-N(J225))</f>
        <v/>
      </c>
      <c r="G226" s="69" t="str">
        <f>IF($B226="","",PMT(Rate,Nper,-PV,,Type))</f>
        <v/>
      </c>
      <c r="H226" s="69" t="str">
        <f>IF($B226="","",PPMT(Rate,ROWS($1:214),Nper,-PV,,Type))</f>
        <v/>
      </c>
      <c r="I226" s="69" t="str">
        <f>IF($B226="","",IPMT(Rate,ROWS($1:214),Nper,-PV,,Type))</f>
        <v/>
      </c>
      <c r="J226" s="73" t="str">
        <f t="shared" ref="J226:K226" si="216">IF($B226="","",N(J225)+N(H226))</f>
        <v/>
      </c>
      <c r="K226" s="74" t="str">
        <f t="shared" si="216"/>
        <v/>
      </c>
      <c r="L226" s="69" t="str">
        <f>IF($B226="","",PV-J226)</f>
        <v/>
      </c>
      <c r="M226" s="71" t="str">
        <f>IF($B226="","",J226/PV)</f>
        <v/>
      </c>
      <c r="N226" s="72" t="str">
        <f t="shared" si="4"/>
        <v/>
      </c>
    </row>
    <row r="227" ht="14.25" customHeight="1">
      <c r="B227" s="66" t="str">
        <f>IF(ROWS($1:215)&lt;=Nper,ROWS($1:215),"")</f>
        <v/>
      </c>
      <c r="C227" s="67" t="str">
        <f>IF($B227="","",IF($E$7="Weekly",Start_Date+7*(ROWS($1:215)-1),EDATE(Start_Date,VLOOKUP(IF(ASTemp!$E$7="","Monthly",ASTemp!$E$7),Parameters!$B$3:$D$6,3,0)*(ROWS($1:215)-1))))</f>
        <v/>
      </c>
      <c r="D227" s="68" t="str">
        <f t="shared" si="2"/>
        <v/>
      </c>
      <c r="E227" s="65" t="str">
        <f>IF($B227="","",VLOOKUP(MONTH(C227),Parameters!$F$2:$G$13,2,0))</f>
        <v/>
      </c>
      <c r="F227" s="69" t="str">
        <f>IF($B227="","",PV-N(J226))</f>
        <v/>
      </c>
      <c r="G227" s="69" t="str">
        <f>IF($B227="","",PMT(Rate,Nper,-PV,,Type))</f>
        <v/>
      </c>
      <c r="H227" s="69" t="str">
        <f>IF($B227="","",PPMT(Rate,ROWS($1:215),Nper,-PV,,Type))</f>
        <v/>
      </c>
      <c r="I227" s="69" t="str">
        <f>IF($B227="","",IPMT(Rate,ROWS($1:215),Nper,-PV,,Type))</f>
        <v/>
      </c>
      <c r="J227" s="73" t="str">
        <f t="shared" ref="J227:K227" si="217">IF($B227="","",N(J226)+N(H227))</f>
        <v/>
      </c>
      <c r="K227" s="74" t="str">
        <f t="shared" si="217"/>
        <v/>
      </c>
      <c r="L227" s="69" t="str">
        <f>IF($B227="","",PV-J227)</f>
        <v/>
      </c>
      <c r="M227" s="71" t="str">
        <f>IF($B227="","",J227/PV)</f>
        <v/>
      </c>
      <c r="N227" s="72" t="str">
        <f t="shared" si="4"/>
        <v/>
      </c>
    </row>
    <row r="228" ht="14.25" customHeight="1">
      <c r="B228" s="66" t="str">
        <f>IF(ROWS($1:216)&lt;=Nper,ROWS($1:216),"")</f>
        <v/>
      </c>
      <c r="C228" s="67" t="str">
        <f>IF($B228="","",IF($E$7="Weekly",Start_Date+7*(ROWS($1:216)-1),EDATE(Start_Date,VLOOKUP(IF(ASTemp!$E$7="","Monthly",ASTemp!$E$7),Parameters!$B$3:$D$6,3,0)*(ROWS($1:216)-1))))</f>
        <v/>
      </c>
      <c r="D228" s="68" t="str">
        <f t="shared" si="2"/>
        <v/>
      </c>
      <c r="E228" s="65" t="str">
        <f>IF($B228="","",VLOOKUP(MONTH(C228),Parameters!$F$2:$G$13,2,0))</f>
        <v/>
      </c>
      <c r="F228" s="69" t="str">
        <f>IF($B228="","",PV-N(J227))</f>
        <v/>
      </c>
      <c r="G228" s="69" t="str">
        <f>IF($B228="","",PMT(Rate,Nper,-PV,,Type))</f>
        <v/>
      </c>
      <c r="H228" s="69" t="str">
        <f>IF($B228="","",PPMT(Rate,ROWS($1:216),Nper,-PV,,Type))</f>
        <v/>
      </c>
      <c r="I228" s="69" t="str">
        <f>IF($B228="","",IPMT(Rate,ROWS($1:216),Nper,-PV,,Type))</f>
        <v/>
      </c>
      <c r="J228" s="73" t="str">
        <f t="shared" ref="J228:K228" si="218">IF($B228="","",N(J227)+N(H228))</f>
        <v/>
      </c>
      <c r="K228" s="74" t="str">
        <f t="shared" si="218"/>
        <v/>
      </c>
      <c r="L228" s="69" t="str">
        <f>IF($B228="","",PV-J228)</f>
        <v/>
      </c>
      <c r="M228" s="71" t="str">
        <f>IF($B228="","",J228/PV)</f>
        <v/>
      </c>
      <c r="N228" s="72" t="str">
        <f t="shared" si="4"/>
        <v/>
      </c>
    </row>
    <row r="229" ht="14.25" customHeight="1">
      <c r="B229" s="66" t="str">
        <f>IF(ROWS($1:217)&lt;=Nper,ROWS($1:217),"")</f>
        <v/>
      </c>
      <c r="C229" s="67" t="str">
        <f>IF($B229="","",IF($E$7="Weekly",Start_Date+7*(ROWS($1:217)-1),EDATE(Start_Date,VLOOKUP(IF(ASTemp!$E$7="","Monthly",ASTemp!$E$7),Parameters!$B$3:$D$6,3,0)*(ROWS($1:217)-1))))</f>
        <v/>
      </c>
      <c r="D229" s="68" t="str">
        <f t="shared" si="2"/>
        <v/>
      </c>
      <c r="E229" s="65" t="str">
        <f>IF($B229="","",VLOOKUP(MONTH(C229),Parameters!$F$2:$G$13,2,0))</f>
        <v/>
      </c>
      <c r="F229" s="69" t="str">
        <f>IF($B229="","",PV-N(J228))</f>
        <v/>
      </c>
      <c r="G229" s="69" t="str">
        <f>IF($B229="","",PMT(Rate,Nper,-PV,,Type))</f>
        <v/>
      </c>
      <c r="H229" s="69" t="str">
        <f>IF($B229="","",PPMT(Rate,ROWS($1:217),Nper,-PV,,Type))</f>
        <v/>
      </c>
      <c r="I229" s="69" t="str">
        <f>IF($B229="","",IPMT(Rate,ROWS($1:217),Nper,-PV,,Type))</f>
        <v/>
      </c>
      <c r="J229" s="73" t="str">
        <f t="shared" ref="J229:K229" si="219">IF($B229="","",N(J228)+N(H229))</f>
        <v/>
      </c>
      <c r="K229" s="74" t="str">
        <f t="shared" si="219"/>
        <v/>
      </c>
      <c r="L229" s="69" t="str">
        <f>IF($B229="","",PV-J229)</f>
        <v/>
      </c>
      <c r="M229" s="71" t="str">
        <f>IF($B229="","",J229/PV)</f>
        <v/>
      </c>
      <c r="N229" s="72" t="str">
        <f t="shared" si="4"/>
        <v/>
      </c>
    </row>
    <row r="230" ht="14.25" customHeight="1">
      <c r="B230" s="66" t="str">
        <f>IF(ROWS($1:218)&lt;=Nper,ROWS($1:218),"")</f>
        <v/>
      </c>
      <c r="C230" s="67" t="str">
        <f>IF($B230="","",IF($E$7="Weekly",Start_Date+7*(ROWS($1:218)-1),EDATE(Start_Date,VLOOKUP(IF(ASTemp!$E$7="","Monthly",ASTemp!$E$7),Parameters!$B$3:$D$6,3,0)*(ROWS($1:218)-1))))</f>
        <v/>
      </c>
      <c r="D230" s="68" t="str">
        <f t="shared" si="2"/>
        <v/>
      </c>
      <c r="E230" s="65" t="str">
        <f>IF($B230="","",VLOOKUP(MONTH(C230),Parameters!$F$2:$G$13,2,0))</f>
        <v/>
      </c>
      <c r="F230" s="69" t="str">
        <f>IF($B230="","",PV-N(J229))</f>
        <v/>
      </c>
      <c r="G230" s="69" t="str">
        <f>IF($B230="","",PMT(Rate,Nper,-PV,,Type))</f>
        <v/>
      </c>
      <c r="H230" s="69" t="str">
        <f>IF($B230="","",PPMT(Rate,ROWS($1:218),Nper,-PV,,Type))</f>
        <v/>
      </c>
      <c r="I230" s="69" t="str">
        <f>IF($B230="","",IPMT(Rate,ROWS($1:218),Nper,-PV,,Type))</f>
        <v/>
      </c>
      <c r="J230" s="73" t="str">
        <f t="shared" ref="J230:K230" si="220">IF($B230="","",N(J229)+N(H230))</f>
        <v/>
      </c>
      <c r="K230" s="74" t="str">
        <f t="shared" si="220"/>
        <v/>
      </c>
      <c r="L230" s="69" t="str">
        <f>IF($B230="","",PV-J230)</f>
        <v/>
      </c>
      <c r="M230" s="71" t="str">
        <f>IF($B230="","",J230/PV)</f>
        <v/>
      </c>
      <c r="N230" s="72" t="str">
        <f t="shared" si="4"/>
        <v/>
      </c>
    </row>
    <row r="231" ht="14.25" customHeight="1">
      <c r="B231" s="66" t="str">
        <f>IF(ROWS($1:219)&lt;=Nper,ROWS($1:219),"")</f>
        <v/>
      </c>
      <c r="C231" s="67" t="str">
        <f>IF($B231="","",IF($E$7="Weekly",Start_Date+7*(ROWS($1:219)-1),EDATE(Start_Date,VLOOKUP(IF(ASTemp!$E$7="","Monthly",ASTemp!$E$7),Parameters!$B$3:$D$6,3,0)*(ROWS($1:219)-1))))</f>
        <v/>
      </c>
      <c r="D231" s="68" t="str">
        <f t="shared" si="2"/>
        <v/>
      </c>
      <c r="E231" s="65" t="str">
        <f>IF($B231="","",VLOOKUP(MONTH(C231),Parameters!$F$2:$G$13,2,0))</f>
        <v/>
      </c>
      <c r="F231" s="69" t="str">
        <f>IF($B231="","",PV-N(J230))</f>
        <v/>
      </c>
      <c r="G231" s="69" t="str">
        <f>IF($B231="","",PMT(Rate,Nper,-PV,,Type))</f>
        <v/>
      </c>
      <c r="H231" s="69" t="str">
        <f>IF($B231="","",PPMT(Rate,ROWS($1:219),Nper,-PV,,Type))</f>
        <v/>
      </c>
      <c r="I231" s="69" t="str">
        <f>IF($B231="","",IPMT(Rate,ROWS($1:219),Nper,-PV,,Type))</f>
        <v/>
      </c>
      <c r="J231" s="73" t="str">
        <f t="shared" ref="J231:K231" si="221">IF($B231="","",N(J230)+N(H231))</f>
        <v/>
      </c>
      <c r="K231" s="74" t="str">
        <f t="shared" si="221"/>
        <v/>
      </c>
      <c r="L231" s="69" t="str">
        <f>IF($B231="","",PV-J231)</f>
        <v/>
      </c>
      <c r="M231" s="71" t="str">
        <f>IF($B231="","",J231/PV)</f>
        <v/>
      </c>
      <c r="N231" s="72" t="str">
        <f t="shared" si="4"/>
        <v/>
      </c>
    </row>
    <row r="232" ht="14.25" customHeight="1">
      <c r="B232" s="66" t="str">
        <f>IF(ROWS($1:220)&lt;=Nper,ROWS($1:220),"")</f>
        <v/>
      </c>
      <c r="C232" s="67" t="str">
        <f>IF($B232="","",IF($E$7="Weekly",Start_Date+7*(ROWS($1:220)-1),EDATE(Start_Date,VLOOKUP(IF(ASTemp!$E$7="","Monthly",ASTemp!$E$7),Parameters!$B$3:$D$6,3,0)*(ROWS($1:220)-1))))</f>
        <v/>
      </c>
      <c r="D232" s="68" t="str">
        <f t="shared" si="2"/>
        <v/>
      </c>
      <c r="E232" s="65" t="str">
        <f>IF($B232="","",VLOOKUP(MONTH(C232),Parameters!$F$2:$G$13,2,0))</f>
        <v/>
      </c>
      <c r="F232" s="69" t="str">
        <f>IF($B232="","",PV-N(J231))</f>
        <v/>
      </c>
      <c r="G232" s="69" t="str">
        <f>IF($B232="","",PMT(Rate,Nper,-PV,,Type))</f>
        <v/>
      </c>
      <c r="H232" s="69" t="str">
        <f>IF($B232="","",PPMT(Rate,ROWS($1:220),Nper,-PV,,Type))</f>
        <v/>
      </c>
      <c r="I232" s="69" t="str">
        <f>IF($B232="","",IPMT(Rate,ROWS($1:220),Nper,-PV,,Type))</f>
        <v/>
      </c>
      <c r="J232" s="73" t="str">
        <f t="shared" ref="J232:K232" si="222">IF($B232="","",N(J231)+N(H232))</f>
        <v/>
      </c>
      <c r="K232" s="74" t="str">
        <f t="shared" si="222"/>
        <v/>
      </c>
      <c r="L232" s="69" t="str">
        <f>IF($B232="","",PV-J232)</f>
        <v/>
      </c>
      <c r="M232" s="71" t="str">
        <f>IF($B232="","",J232/PV)</f>
        <v/>
      </c>
      <c r="N232" s="72" t="str">
        <f t="shared" si="4"/>
        <v/>
      </c>
    </row>
    <row r="233" ht="14.25" customHeight="1">
      <c r="B233" s="66" t="str">
        <f>IF(ROWS($1:221)&lt;=Nper,ROWS($1:221),"")</f>
        <v/>
      </c>
      <c r="C233" s="67" t="str">
        <f>IF($B233="","",IF($E$7="Weekly",Start_Date+7*(ROWS($1:221)-1),EDATE(Start_Date,VLOOKUP(IF(ASTemp!$E$7="","Monthly",ASTemp!$E$7),Parameters!$B$3:$D$6,3,0)*(ROWS($1:221)-1))))</f>
        <v/>
      </c>
      <c r="D233" s="68" t="str">
        <f t="shared" si="2"/>
        <v/>
      </c>
      <c r="E233" s="65" t="str">
        <f>IF($B233="","",VLOOKUP(MONTH(C233),Parameters!$F$2:$G$13,2,0))</f>
        <v/>
      </c>
      <c r="F233" s="69" t="str">
        <f>IF($B233="","",PV-N(J232))</f>
        <v/>
      </c>
      <c r="G233" s="69" t="str">
        <f>IF($B233="","",PMT(Rate,Nper,-PV,,Type))</f>
        <v/>
      </c>
      <c r="H233" s="69" t="str">
        <f>IF($B233="","",PPMT(Rate,ROWS($1:221),Nper,-PV,,Type))</f>
        <v/>
      </c>
      <c r="I233" s="69" t="str">
        <f>IF($B233="","",IPMT(Rate,ROWS($1:221),Nper,-PV,,Type))</f>
        <v/>
      </c>
      <c r="J233" s="73" t="str">
        <f t="shared" ref="J233:K233" si="223">IF($B233="","",N(J232)+N(H233))</f>
        <v/>
      </c>
      <c r="K233" s="74" t="str">
        <f t="shared" si="223"/>
        <v/>
      </c>
      <c r="L233" s="69" t="str">
        <f>IF($B233="","",PV-J233)</f>
        <v/>
      </c>
      <c r="M233" s="71" t="str">
        <f>IF($B233="","",J233/PV)</f>
        <v/>
      </c>
      <c r="N233" s="72" t="str">
        <f t="shared" si="4"/>
        <v/>
      </c>
    </row>
    <row r="234" ht="14.25" customHeight="1">
      <c r="B234" s="66" t="str">
        <f>IF(ROWS($1:222)&lt;=Nper,ROWS($1:222),"")</f>
        <v/>
      </c>
      <c r="C234" s="67" t="str">
        <f>IF($B234="","",IF($E$7="Weekly",Start_Date+7*(ROWS($1:222)-1),EDATE(Start_Date,VLOOKUP(IF(ASTemp!$E$7="","Monthly",ASTemp!$E$7),Parameters!$B$3:$D$6,3,0)*(ROWS($1:222)-1))))</f>
        <v/>
      </c>
      <c r="D234" s="68" t="str">
        <f t="shared" si="2"/>
        <v/>
      </c>
      <c r="E234" s="65" t="str">
        <f>IF($B234="","",VLOOKUP(MONTH(C234),Parameters!$F$2:$G$13,2,0))</f>
        <v/>
      </c>
      <c r="F234" s="69" t="str">
        <f>IF($B234="","",PV-N(J233))</f>
        <v/>
      </c>
      <c r="G234" s="69" t="str">
        <f>IF($B234="","",PMT(Rate,Nper,-PV,,Type))</f>
        <v/>
      </c>
      <c r="H234" s="69" t="str">
        <f>IF($B234="","",PPMT(Rate,ROWS($1:222),Nper,-PV,,Type))</f>
        <v/>
      </c>
      <c r="I234" s="69" t="str">
        <f>IF($B234="","",IPMT(Rate,ROWS($1:222),Nper,-PV,,Type))</f>
        <v/>
      </c>
      <c r="J234" s="73" t="str">
        <f t="shared" ref="J234:K234" si="224">IF($B234="","",N(J233)+N(H234))</f>
        <v/>
      </c>
      <c r="K234" s="74" t="str">
        <f t="shared" si="224"/>
        <v/>
      </c>
      <c r="L234" s="69" t="str">
        <f>IF($B234="","",PV-J234)</f>
        <v/>
      </c>
      <c r="M234" s="71" t="str">
        <f>IF($B234="","",J234/PV)</f>
        <v/>
      </c>
      <c r="N234" s="72" t="str">
        <f t="shared" si="4"/>
        <v/>
      </c>
    </row>
    <row r="235" ht="14.25" customHeight="1">
      <c r="B235" s="66" t="str">
        <f>IF(ROWS($1:223)&lt;=Nper,ROWS($1:223),"")</f>
        <v/>
      </c>
      <c r="C235" s="67" t="str">
        <f>IF($B235="","",IF($E$7="Weekly",Start_Date+7*(ROWS($1:223)-1),EDATE(Start_Date,VLOOKUP(IF(ASTemp!$E$7="","Monthly",ASTemp!$E$7),Parameters!$B$3:$D$6,3,0)*(ROWS($1:223)-1))))</f>
        <v/>
      </c>
      <c r="D235" s="68" t="str">
        <f t="shared" si="2"/>
        <v/>
      </c>
      <c r="E235" s="65" t="str">
        <f>IF($B235="","",VLOOKUP(MONTH(C235),Parameters!$F$2:$G$13,2,0))</f>
        <v/>
      </c>
      <c r="F235" s="69" t="str">
        <f>IF($B235="","",PV-N(J234))</f>
        <v/>
      </c>
      <c r="G235" s="69" t="str">
        <f>IF($B235="","",PMT(Rate,Nper,-PV,,Type))</f>
        <v/>
      </c>
      <c r="H235" s="69" t="str">
        <f>IF($B235="","",PPMT(Rate,ROWS($1:223),Nper,-PV,,Type))</f>
        <v/>
      </c>
      <c r="I235" s="69" t="str">
        <f>IF($B235="","",IPMT(Rate,ROWS($1:223),Nper,-PV,,Type))</f>
        <v/>
      </c>
      <c r="J235" s="73" t="str">
        <f t="shared" ref="J235:K235" si="225">IF($B235="","",N(J234)+N(H235))</f>
        <v/>
      </c>
      <c r="K235" s="74" t="str">
        <f t="shared" si="225"/>
        <v/>
      </c>
      <c r="L235" s="69" t="str">
        <f>IF($B235="","",PV-J235)</f>
        <v/>
      </c>
      <c r="M235" s="71" t="str">
        <f>IF($B235="","",J235/PV)</f>
        <v/>
      </c>
      <c r="N235" s="72" t="str">
        <f t="shared" si="4"/>
        <v/>
      </c>
    </row>
    <row r="236" ht="14.25" customHeight="1">
      <c r="B236" s="66" t="str">
        <f>IF(ROWS($1:224)&lt;=Nper,ROWS($1:224),"")</f>
        <v/>
      </c>
      <c r="C236" s="67" t="str">
        <f>IF($B236="","",IF($E$7="Weekly",Start_Date+7*(ROWS($1:224)-1),EDATE(Start_Date,VLOOKUP(IF(ASTemp!$E$7="","Monthly",ASTemp!$E$7),Parameters!$B$3:$D$6,3,0)*(ROWS($1:224)-1))))</f>
        <v/>
      </c>
      <c r="D236" s="68" t="str">
        <f t="shared" si="2"/>
        <v/>
      </c>
      <c r="E236" s="65" t="str">
        <f>IF($B236="","",VLOOKUP(MONTH(C236),Parameters!$F$2:$G$13,2,0))</f>
        <v/>
      </c>
      <c r="F236" s="69" t="str">
        <f>IF($B236="","",PV-N(J235))</f>
        <v/>
      </c>
      <c r="G236" s="69" t="str">
        <f>IF($B236="","",PMT(Rate,Nper,-PV,,Type))</f>
        <v/>
      </c>
      <c r="H236" s="69" t="str">
        <f>IF($B236="","",PPMT(Rate,ROWS($1:224),Nper,-PV,,Type))</f>
        <v/>
      </c>
      <c r="I236" s="69" t="str">
        <f>IF($B236="","",IPMT(Rate,ROWS($1:224),Nper,-PV,,Type))</f>
        <v/>
      </c>
      <c r="J236" s="73" t="str">
        <f t="shared" ref="J236:K236" si="226">IF($B236="","",N(J235)+N(H236))</f>
        <v/>
      </c>
      <c r="K236" s="74" t="str">
        <f t="shared" si="226"/>
        <v/>
      </c>
      <c r="L236" s="69" t="str">
        <f>IF($B236="","",PV-J236)</f>
        <v/>
      </c>
      <c r="M236" s="71" t="str">
        <f>IF($B236="","",J236/PV)</f>
        <v/>
      </c>
      <c r="N236" s="72" t="str">
        <f t="shared" si="4"/>
        <v/>
      </c>
    </row>
    <row r="237" ht="14.25" customHeight="1">
      <c r="B237" s="66" t="str">
        <f>IF(ROWS($1:225)&lt;=Nper,ROWS($1:225),"")</f>
        <v/>
      </c>
      <c r="C237" s="67" t="str">
        <f>IF($B237="","",IF($E$7="Weekly",Start_Date+7*(ROWS($1:225)-1),EDATE(Start_Date,VLOOKUP(IF(ASTemp!$E$7="","Monthly",ASTemp!$E$7),Parameters!$B$3:$D$6,3,0)*(ROWS($1:225)-1))))</f>
        <v/>
      </c>
      <c r="D237" s="68" t="str">
        <f t="shared" si="2"/>
        <v/>
      </c>
      <c r="E237" s="65" t="str">
        <f>IF($B237="","",VLOOKUP(MONTH(C237),Parameters!$F$2:$G$13,2,0))</f>
        <v/>
      </c>
      <c r="F237" s="69" t="str">
        <f>IF($B237="","",PV-N(J236))</f>
        <v/>
      </c>
      <c r="G237" s="69" t="str">
        <f>IF($B237="","",PMT(Rate,Nper,-PV,,Type))</f>
        <v/>
      </c>
      <c r="H237" s="69" t="str">
        <f>IF($B237="","",PPMT(Rate,ROWS($1:225),Nper,-PV,,Type))</f>
        <v/>
      </c>
      <c r="I237" s="69" t="str">
        <f>IF($B237="","",IPMT(Rate,ROWS($1:225),Nper,-PV,,Type))</f>
        <v/>
      </c>
      <c r="J237" s="73" t="str">
        <f t="shared" ref="J237:K237" si="227">IF($B237="","",N(J236)+N(H237))</f>
        <v/>
      </c>
      <c r="K237" s="74" t="str">
        <f t="shared" si="227"/>
        <v/>
      </c>
      <c r="L237" s="69" t="str">
        <f>IF($B237="","",PV-J237)</f>
        <v/>
      </c>
      <c r="M237" s="71" t="str">
        <f>IF($B237="","",J237/PV)</f>
        <v/>
      </c>
      <c r="N237" s="72" t="str">
        <f t="shared" si="4"/>
        <v/>
      </c>
    </row>
    <row r="238" ht="14.25" customHeight="1">
      <c r="B238" s="66" t="str">
        <f>IF(ROWS($1:226)&lt;=Nper,ROWS($1:226),"")</f>
        <v/>
      </c>
      <c r="C238" s="67" t="str">
        <f>IF($B238="","",IF($E$7="Weekly",Start_Date+7*(ROWS($1:226)-1),EDATE(Start_Date,VLOOKUP(IF(ASTemp!$E$7="","Monthly",ASTemp!$E$7),Parameters!$B$3:$D$6,3,0)*(ROWS($1:226)-1))))</f>
        <v/>
      </c>
      <c r="D238" s="68" t="str">
        <f t="shared" si="2"/>
        <v/>
      </c>
      <c r="E238" s="65" t="str">
        <f>IF($B238="","",VLOOKUP(MONTH(C238),Parameters!$F$2:$G$13,2,0))</f>
        <v/>
      </c>
      <c r="F238" s="69" t="str">
        <f>IF($B238="","",PV-N(J237))</f>
        <v/>
      </c>
      <c r="G238" s="69" t="str">
        <f>IF($B238="","",PMT(Rate,Nper,-PV,,Type))</f>
        <v/>
      </c>
      <c r="H238" s="69" t="str">
        <f>IF($B238="","",PPMT(Rate,ROWS($1:226),Nper,-PV,,Type))</f>
        <v/>
      </c>
      <c r="I238" s="69" t="str">
        <f>IF($B238="","",IPMT(Rate,ROWS($1:226),Nper,-PV,,Type))</f>
        <v/>
      </c>
      <c r="J238" s="73" t="str">
        <f t="shared" ref="J238:K238" si="228">IF($B238="","",N(J237)+N(H238))</f>
        <v/>
      </c>
      <c r="K238" s="74" t="str">
        <f t="shared" si="228"/>
        <v/>
      </c>
      <c r="L238" s="69" t="str">
        <f>IF($B238="","",PV-J238)</f>
        <v/>
      </c>
      <c r="M238" s="71" t="str">
        <f>IF($B238="","",J238/PV)</f>
        <v/>
      </c>
      <c r="N238" s="72" t="str">
        <f t="shared" si="4"/>
        <v/>
      </c>
    </row>
    <row r="239" ht="14.25" customHeight="1">
      <c r="B239" s="66" t="str">
        <f>IF(ROWS($1:227)&lt;=Nper,ROWS($1:227),"")</f>
        <v/>
      </c>
      <c r="C239" s="67" t="str">
        <f>IF($B239="","",IF($E$7="Weekly",Start_Date+7*(ROWS($1:227)-1),EDATE(Start_Date,VLOOKUP(IF(ASTemp!$E$7="","Monthly",ASTemp!$E$7),Parameters!$B$3:$D$6,3,0)*(ROWS($1:227)-1))))</f>
        <v/>
      </c>
      <c r="D239" s="68" t="str">
        <f t="shared" si="2"/>
        <v/>
      </c>
      <c r="E239" s="65" t="str">
        <f>IF($B239="","",VLOOKUP(MONTH(C239),Parameters!$F$2:$G$13,2,0))</f>
        <v/>
      </c>
      <c r="F239" s="69" t="str">
        <f>IF($B239="","",PV-N(J238))</f>
        <v/>
      </c>
      <c r="G239" s="69" t="str">
        <f>IF($B239="","",PMT(Rate,Nper,-PV,,Type))</f>
        <v/>
      </c>
      <c r="H239" s="69" t="str">
        <f>IF($B239="","",PPMT(Rate,ROWS($1:227),Nper,-PV,,Type))</f>
        <v/>
      </c>
      <c r="I239" s="69" t="str">
        <f>IF($B239="","",IPMT(Rate,ROWS($1:227),Nper,-PV,,Type))</f>
        <v/>
      </c>
      <c r="J239" s="73" t="str">
        <f t="shared" ref="J239:K239" si="229">IF($B239="","",N(J238)+N(H239))</f>
        <v/>
      </c>
      <c r="K239" s="74" t="str">
        <f t="shared" si="229"/>
        <v/>
      </c>
      <c r="L239" s="69" t="str">
        <f>IF($B239="","",PV-J239)</f>
        <v/>
      </c>
      <c r="M239" s="71" t="str">
        <f>IF($B239="","",J239/PV)</f>
        <v/>
      </c>
      <c r="N239" s="72" t="str">
        <f t="shared" si="4"/>
        <v/>
      </c>
    </row>
    <row r="240" ht="14.25" customHeight="1">
      <c r="B240" s="66" t="str">
        <f>IF(ROWS($1:228)&lt;=Nper,ROWS($1:228),"")</f>
        <v/>
      </c>
      <c r="C240" s="67" t="str">
        <f>IF($B240="","",IF($E$7="Weekly",Start_Date+7*(ROWS($1:228)-1),EDATE(Start_Date,VLOOKUP(IF(ASTemp!$E$7="","Monthly",ASTemp!$E$7),Parameters!$B$3:$D$6,3,0)*(ROWS($1:228)-1))))</f>
        <v/>
      </c>
      <c r="D240" s="68" t="str">
        <f t="shared" si="2"/>
        <v/>
      </c>
      <c r="E240" s="65" t="str">
        <f>IF($B240="","",VLOOKUP(MONTH(C240),Parameters!$F$2:$G$13,2,0))</f>
        <v/>
      </c>
      <c r="F240" s="69" t="str">
        <f>IF($B240="","",PV-N(J239))</f>
        <v/>
      </c>
      <c r="G240" s="69" t="str">
        <f>IF($B240="","",PMT(Rate,Nper,-PV,,Type))</f>
        <v/>
      </c>
      <c r="H240" s="69" t="str">
        <f>IF($B240="","",PPMT(Rate,ROWS($1:228),Nper,-PV,,Type))</f>
        <v/>
      </c>
      <c r="I240" s="69" t="str">
        <f>IF($B240="","",IPMT(Rate,ROWS($1:228),Nper,-PV,,Type))</f>
        <v/>
      </c>
      <c r="J240" s="73" t="str">
        <f t="shared" ref="J240:K240" si="230">IF($B240="","",N(J239)+N(H240))</f>
        <v/>
      </c>
      <c r="K240" s="74" t="str">
        <f t="shared" si="230"/>
        <v/>
      </c>
      <c r="L240" s="69" t="str">
        <f>IF($B240="","",PV-J240)</f>
        <v/>
      </c>
      <c r="M240" s="71" t="str">
        <f>IF($B240="","",J240/PV)</f>
        <v/>
      </c>
      <c r="N240" s="72" t="str">
        <f t="shared" si="4"/>
        <v/>
      </c>
    </row>
    <row r="241" ht="14.25" customHeight="1">
      <c r="B241" s="66" t="str">
        <f>IF(ROWS($1:229)&lt;=Nper,ROWS($1:229),"")</f>
        <v/>
      </c>
      <c r="C241" s="67" t="str">
        <f>IF($B241="","",IF($E$7="Weekly",Start_Date+7*(ROWS($1:229)-1),EDATE(Start_Date,VLOOKUP(IF(ASTemp!$E$7="","Monthly",ASTemp!$E$7),Parameters!$B$3:$D$6,3,0)*(ROWS($1:229)-1))))</f>
        <v/>
      </c>
      <c r="D241" s="68" t="str">
        <f t="shared" si="2"/>
        <v/>
      </c>
      <c r="E241" s="65" t="str">
        <f>IF($B241="","",VLOOKUP(MONTH(C241),Parameters!$F$2:$G$13,2,0))</f>
        <v/>
      </c>
      <c r="F241" s="69" t="str">
        <f>IF($B241="","",PV-N(J240))</f>
        <v/>
      </c>
      <c r="G241" s="69" t="str">
        <f>IF($B241="","",PMT(Rate,Nper,-PV,,Type))</f>
        <v/>
      </c>
      <c r="H241" s="69" t="str">
        <f>IF($B241="","",PPMT(Rate,ROWS($1:229),Nper,-PV,,Type))</f>
        <v/>
      </c>
      <c r="I241" s="69" t="str">
        <f>IF($B241="","",IPMT(Rate,ROWS($1:229),Nper,-PV,,Type))</f>
        <v/>
      </c>
      <c r="J241" s="73" t="str">
        <f t="shared" ref="J241:K241" si="231">IF($B241="","",N(J240)+N(H241))</f>
        <v/>
      </c>
      <c r="K241" s="74" t="str">
        <f t="shared" si="231"/>
        <v/>
      </c>
      <c r="L241" s="69" t="str">
        <f>IF($B241="","",PV-J241)</f>
        <v/>
      </c>
      <c r="M241" s="71" t="str">
        <f>IF($B241="","",J241/PV)</f>
        <v/>
      </c>
      <c r="N241" s="72" t="str">
        <f t="shared" si="4"/>
        <v/>
      </c>
    </row>
    <row r="242" ht="14.25" customHeight="1">
      <c r="B242" s="66" t="str">
        <f>IF(ROWS($1:230)&lt;=Nper,ROWS($1:230),"")</f>
        <v/>
      </c>
      <c r="C242" s="67" t="str">
        <f>IF($B242="","",IF($E$7="Weekly",Start_Date+7*(ROWS($1:230)-1),EDATE(Start_Date,VLOOKUP(IF(ASTemp!$E$7="","Monthly",ASTemp!$E$7),Parameters!$B$3:$D$6,3,0)*(ROWS($1:230)-1))))</f>
        <v/>
      </c>
      <c r="D242" s="68" t="str">
        <f t="shared" si="2"/>
        <v/>
      </c>
      <c r="E242" s="65" t="str">
        <f>IF($B242="","",VLOOKUP(MONTH(C242),Parameters!$F$2:$G$13,2,0))</f>
        <v/>
      </c>
      <c r="F242" s="69" t="str">
        <f>IF($B242="","",PV-N(J241))</f>
        <v/>
      </c>
      <c r="G242" s="69" t="str">
        <f>IF($B242="","",PMT(Rate,Nper,-PV,,Type))</f>
        <v/>
      </c>
      <c r="H242" s="69" t="str">
        <f>IF($B242="","",PPMT(Rate,ROWS($1:230),Nper,-PV,,Type))</f>
        <v/>
      </c>
      <c r="I242" s="69" t="str">
        <f>IF($B242="","",IPMT(Rate,ROWS($1:230),Nper,-PV,,Type))</f>
        <v/>
      </c>
      <c r="J242" s="73" t="str">
        <f t="shared" ref="J242:K242" si="232">IF($B242="","",N(J241)+N(H242))</f>
        <v/>
      </c>
      <c r="K242" s="74" t="str">
        <f t="shared" si="232"/>
        <v/>
      </c>
      <c r="L242" s="69" t="str">
        <f>IF($B242="","",PV-J242)</f>
        <v/>
      </c>
      <c r="M242" s="71" t="str">
        <f>IF($B242="","",J242/PV)</f>
        <v/>
      </c>
      <c r="N242" s="72" t="str">
        <f t="shared" si="4"/>
        <v/>
      </c>
    </row>
    <row r="243" ht="14.25" customHeight="1">
      <c r="B243" s="66" t="str">
        <f>IF(ROWS($1:231)&lt;=Nper,ROWS($1:231),"")</f>
        <v/>
      </c>
      <c r="C243" s="67" t="str">
        <f>IF($B243="","",IF($E$7="Weekly",Start_Date+7*(ROWS($1:231)-1),EDATE(Start_Date,VLOOKUP(IF(ASTemp!$E$7="","Monthly",ASTemp!$E$7),Parameters!$B$3:$D$6,3,0)*(ROWS($1:231)-1))))</f>
        <v/>
      </c>
      <c r="D243" s="68" t="str">
        <f t="shared" si="2"/>
        <v/>
      </c>
      <c r="E243" s="65" t="str">
        <f>IF($B243="","",VLOOKUP(MONTH(C243),Parameters!$F$2:$G$13,2,0))</f>
        <v/>
      </c>
      <c r="F243" s="69" t="str">
        <f>IF($B243="","",PV-N(J242))</f>
        <v/>
      </c>
      <c r="G243" s="69" t="str">
        <f>IF($B243="","",PMT(Rate,Nper,-PV,,Type))</f>
        <v/>
      </c>
      <c r="H243" s="69" t="str">
        <f>IF($B243="","",PPMT(Rate,ROWS($1:231),Nper,-PV,,Type))</f>
        <v/>
      </c>
      <c r="I243" s="69" t="str">
        <f>IF($B243="","",IPMT(Rate,ROWS($1:231),Nper,-PV,,Type))</f>
        <v/>
      </c>
      <c r="J243" s="73" t="str">
        <f t="shared" ref="J243:K243" si="233">IF($B243="","",N(J242)+N(H243))</f>
        <v/>
      </c>
      <c r="K243" s="74" t="str">
        <f t="shared" si="233"/>
        <v/>
      </c>
      <c r="L243" s="69" t="str">
        <f>IF($B243="","",PV-J243)</f>
        <v/>
      </c>
      <c r="M243" s="71" t="str">
        <f>IF($B243="","",J243/PV)</f>
        <v/>
      </c>
      <c r="N243" s="72" t="str">
        <f t="shared" si="4"/>
        <v/>
      </c>
    </row>
    <row r="244" ht="14.25" customHeight="1">
      <c r="B244" s="66" t="str">
        <f>IF(ROWS($1:232)&lt;=Nper,ROWS($1:232),"")</f>
        <v/>
      </c>
      <c r="C244" s="67" t="str">
        <f>IF($B244="","",IF($E$7="Weekly",Start_Date+7*(ROWS($1:232)-1),EDATE(Start_Date,VLOOKUP(IF(ASTemp!$E$7="","Monthly",ASTemp!$E$7),Parameters!$B$3:$D$6,3,0)*(ROWS($1:232)-1))))</f>
        <v/>
      </c>
      <c r="D244" s="68" t="str">
        <f t="shared" si="2"/>
        <v/>
      </c>
      <c r="E244" s="65" t="str">
        <f>IF($B244="","",VLOOKUP(MONTH(C244),Parameters!$F$2:$G$13,2,0))</f>
        <v/>
      </c>
      <c r="F244" s="69" t="str">
        <f>IF($B244="","",PV-N(J243))</f>
        <v/>
      </c>
      <c r="G244" s="69" t="str">
        <f>IF($B244="","",PMT(Rate,Nper,-PV,,Type))</f>
        <v/>
      </c>
      <c r="H244" s="69" t="str">
        <f>IF($B244="","",PPMT(Rate,ROWS($1:232),Nper,-PV,,Type))</f>
        <v/>
      </c>
      <c r="I244" s="69" t="str">
        <f>IF($B244="","",IPMT(Rate,ROWS($1:232),Nper,-PV,,Type))</f>
        <v/>
      </c>
      <c r="J244" s="73" t="str">
        <f t="shared" ref="J244:K244" si="234">IF($B244="","",N(J243)+N(H244))</f>
        <v/>
      </c>
      <c r="K244" s="74" t="str">
        <f t="shared" si="234"/>
        <v/>
      </c>
      <c r="L244" s="69" t="str">
        <f>IF($B244="","",PV-J244)</f>
        <v/>
      </c>
      <c r="M244" s="71" t="str">
        <f>IF($B244="","",J244/PV)</f>
        <v/>
      </c>
      <c r="N244" s="72" t="str">
        <f t="shared" si="4"/>
        <v/>
      </c>
    </row>
    <row r="245" ht="14.25" customHeight="1">
      <c r="B245" s="66" t="str">
        <f>IF(ROWS($1:233)&lt;=Nper,ROWS($1:233),"")</f>
        <v/>
      </c>
      <c r="C245" s="67" t="str">
        <f>IF($B245="","",IF($E$7="Weekly",Start_Date+7*(ROWS($1:233)-1),EDATE(Start_Date,VLOOKUP(IF(ASTemp!$E$7="","Monthly",ASTemp!$E$7),Parameters!$B$3:$D$6,3,0)*(ROWS($1:233)-1))))</f>
        <v/>
      </c>
      <c r="D245" s="68" t="str">
        <f t="shared" si="2"/>
        <v/>
      </c>
      <c r="E245" s="65" t="str">
        <f>IF($B245="","",VLOOKUP(MONTH(C245),Parameters!$F$2:$G$13,2,0))</f>
        <v/>
      </c>
      <c r="F245" s="69" t="str">
        <f>IF($B245="","",PV-N(J244))</f>
        <v/>
      </c>
      <c r="G245" s="69" t="str">
        <f>IF($B245="","",PMT(Rate,Nper,-PV,,Type))</f>
        <v/>
      </c>
      <c r="H245" s="69" t="str">
        <f>IF($B245="","",PPMT(Rate,ROWS($1:233),Nper,-PV,,Type))</f>
        <v/>
      </c>
      <c r="I245" s="69" t="str">
        <f>IF($B245="","",IPMT(Rate,ROWS($1:233),Nper,-PV,,Type))</f>
        <v/>
      </c>
      <c r="J245" s="73" t="str">
        <f t="shared" ref="J245:K245" si="235">IF($B245="","",N(J244)+N(H245))</f>
        <v/>
      </c>
      <c r="K245" s="74" t="str">
        <f t="shared" si="235"/>
        <v/>
      </c>
      <c r="L245" s="69" t="str">
        <f>IF($B245="","",PV-J245)</f>
        <v/>
      </c>
      <c r="M245" s="71" t="str">
        <f>IF($B245="","",J245/PV)</f>
        <v/>
      </c>
      <c r="N245" s="72" t="str">
        <f t="shared" si="4"/>
        <v/>
      </c>
    </row>
    <row r="246" ht="14.25" customHeight="1">
      <c r="B246" s="66" t="str">
        <f>IF(ROWS($1:234)&lt;=Nper,ROWS($1:234),"")</f>
        <v/>
      </c>
      <c r="C246" s="67" t="str">
        <f>IF($B246="","",IF($E$7="Weekly",Start_Date+7*(ROWS($1:234)-1),EDATE(Start_Date,VLOOKUP(IF(ASTemp!$E$7="","Monthly",ASTemp!$E$7),Parameters!$B$3:$D$6,3,0)*(ROWS($1:234)-1))))</f>
        <v/>
      </c>
      <c r="D246" s="68" t="str">
        <f t="shared" si="2"/>
        <v/>
      </c>
      <c r="E246" s="65" t="str">
        <f>IF($B246="","",VLOOKUP(MONTH(C246),Parameters!$F$2:$G$13,2,0))</f>
        <v/>
      </c>
      <c r="F246" s="69" t="str">
        <f>IF($B246="","",PV-N(J245))</f>
        <v/>
      </c>
      <c r="G246" s="69" t="str">
        <f>IF($B246="","",PMT(Rate,Nper,-PV,,Type))</f>
        <v/>
      </c>
      <c r="H246" s="69" t="str">
        <f>IF($B246="","",PPMT(Rate,ROWS($1:234),Nper,-PV,,Type))</f>
        <v/>
      </c>
      <c r="I246" s="69" t="str">
        <f>IF($B246="","",IPMT(Rate,ROWS($1:234),Nper,-PV,,Type))</f>
        <v/>
      </c>
      <c r="J246" s="73" t="str">
        <f t="shared" ref="J246:K246" si="236">IF($B246="","",N(J245)+N(H246))</f>
        <v/>
      </c>
      <c r="K246" s="74" t="str">
        <f t="shared" si="236"/>
        <v/>
      </c>
      <c r="L246" s="69" t="str">
        <f>IF($B246="","",PV-J246)</f>
        <v/>
      </c>
      <c r="M246" s="71" t="str">
        <f>IF($B246="","",J246/PV)</f>
        <v/>
      </c>
      <c r="N246" s="72" t="str">
        <f t="shared" si="4"/>
        <v/>
      </c>
    </row>
    <row r="247" ht="14.25" customHeight="1">
      <c r="B247" s="66" t="str">
        <f>IF(ROWS($1:235)&lt;=Nper,ROWS($1:235),"")</f>
        <v/>
      </c>
      <c r="C247" s="67" t="str">
        <f>IF($B247="","",IF($E$7="Weekly",Start_Date+7*(ROWS($1:235)-1),EDATE(Start_Date,VLOOKUP(IF(ASTemp!$E$7="","Monthly",ASTemp!$E$7),Parameters!$B$3:$D$6,3,0)*(ROWS($1:235)-1))))</f>
        <v/>
      </c>
      <c r="D247" s="68" t="str">
        <f t="shared" si="2"/>
        <v/>
      </c>
      <c r="E247" s="65" t="str">
        <f>IF($B247="","",VLOOKUP(MONTH(C247),Parameters!$F$2:$G$13,2,0))</f>
        <v/>
      </c>
      <c r="F247" s="69" t="str">
        <f>IF($B247="","",PV-N(J246))</f>
        <v/>
      </c>
      <c r="G247" s="69" t="str">
        <f>IF($B247="","",PMT(Rate,Nper,-PV,,Type))</f>
        <v/>
      </c>
      <c r="H247" s="69" t="str">
        <f>IF($B247="","",PPMT(Rate,ROWS($1:235),Nper,-PV,,Type))</f>
        <v/>
      </c>
      <c r="I247" s="69" t="str">
        <f>IF($B247="","",IPMT(Rate,ROWS($1:235),Nper,-PV,,Type))</f>
        <v/>
      </c>
      <c r="J247" s="73" t="str">
        <f t="shared" ref="J247:K247" si="237">IF($B247="","",N(J246)+N(H247))</f>
        <v/>
      </c>
      <c r="K247" s="74" t="str">
        <f t="shared" si="237"/>
        <v/>
      </c>
      <c r="L247" s="69" t="str">
        <f>IF($B247="","",PV-J247)</f>
        <v/>
      </c>
      <c r="M247" s="71" t="str">
        <f>IF($B247="","",J247/PV)</f>
        <v/>
      </c>
      <c r="N247" s="72" t="str">
        <f t="shared" si="4"/>
        <v/>
      </c>
    </row>
    <row r="248" ht="14.25" customHeight="1">
      <c r="B248" s="66" t="str">
        <f>IF(ROWS($1:236)&lt;=Nper,ROWS($1:236),"")</f>
        <v/>
      </c>
      <c r="C248" s="67" t="str">
        <f>IF($B248="","",IF($E$7="Weekly",Start_Date+7*(ROWS($1:236)-1),EDATE(Start_Date,VLOOKUP(IF(ASTemp!$E$7="","Monthly",ASTemp!$E$7),Parameters!$B$3:$D$6,3,0)*(ROWS($1:236)-1))))</f>
        <v/>
      </c>
      <c r="D248" s="68" t="str">
        <f t="shared" si="2"/>
        <v/>
      </c>
      <c r="E248" s="65" t="str">
        <f>IF($B248="","",VLOOKUP(MONTH(C248),Parameters!$F$2:$G$13,2,0))</f>
        <v/>
      </c>
      <c r="F248" s="69" t="str">
        <f>IF($B248="","",PV-N(J247))</f>
        <v/>
      </c>
      <c r="G248" s="69" t="str">
        <f>IF($B248="","",PMT(Rate,Nper,-PV,,Type))</f>
        <v/>
      </c>
      <c r="H248" s="69" t="str">
        <f>IF($B248="","",PPMT(Rate,ROWS($1:236),Nper,-PV,,Type))</f>
        <v/>
      </c>
      <c r="I248" s="69" t="str">
        <f>IF($B248="","",IPMT(Rate,ROWS($1:236),Nper,-PV,,Type))</f>
        <v/>
      </c>
      <c r="J248" s="73" t="str">
        <f t="shared" ref="J248:K248" si="238">IF($B248="","",N(J247)+N(H248))</f>
        <v/>
      </c>
      <c r="K248" s="74" t="str">
        <f t="shared" si="238"/>
        <v/>
      </c>
      <c r="L248" s="69" t="str">
        <f>IF($B248="","",PV-J248)</f>
        <v/>
      </c>
      <c r="M248" s="71" t="str">
        <f>IF($B248="","",J248/PV)</f>
        <v/>
      </c>
      <c r="N248" s="72" t="str">
        <f t="shared" si="4"/>
        <v/>
      </c>
    </row>
    <row r="249" ht="14.25" customHeight="1">
      <c r="B249" s="66" t="str">
        <f>IF(ROWS($1:237)&lt;=Nper,ROWS($1:237),"")</f>
        <v/>
      </c>
      <c r="C249" s="67" t="str">
        <f>IF($B249="","",IF($E$7="Weekly",Start_Date+7*(ROWS($1:237)-1),EDATE(Start_Date,VLOOKUP(IF(ASTemp!$E$7="","Monthly",ASTemp!$E$7),Parameters!$B$3:$D$6,3,0)*(ROWS($1:237)-1))))</f>
        <v/>
      </c>
      <c r="D249" s="68" t="str">
        <f t="shared" si="2"/>
        <v/>
      </c>
      <c r="E249" s="65" t="str">
        <f>IF($B249="","",VLOOKUP(MONTH(C249),Parameters!$F$2:$G$13,2,0))</f>
        <v/>
      </c>
      <c r="F249" s="69" t="str">
        <f>IF($B249="","",PV-N(J248))</f>
        <v/>
      </c>
      <c r="G249" s="69" t="str">
        <f>IF($B249="","",PMT(Rate,Nper,-PV,,Type))</f>
        <v/>
      </c>
      <c r="H249" s="69" t="str">
        <f>IF($B249="","",PPMT(Rate,ROWS($1:237),Nper,-PV,,Type))</f>
        <v/>
      </c>
      <c r="I249" s="69" t="str">
        <f>IF($B249="","",IPMT(Rate,ROWS($1:237),Nper,-PV,,Type))</f>
        <v/>
      </c>
      <c r="J249" s="73" t="str">
        <f t="shared" ref="J249:K249" si="239">IF($B249="","",N(J248)+N(H249))</f>
        <v/>
      </c>
      <c r="K249" s="74" t="str">
        <f t="shared" si="239"/>
        <v/>
      </c>
      <c r="L249" s="69" t="str">
        <f>IF($B249="","",PV-J249)</f>
        <v/>
      </c>
      <c r="M249" s="71" t="str">
        <f>IF($B249="","",J249/PV)</f>
        <v/>
      </c>
      <c r="N249" s="72" t="str">
        <f t="shared" si="4"/>
        <v/>
      </c>
    </row>
    <row r="250" ht="14.25" customHeight="1">
      <c r="B250" s="66" t="str">
        <f>IF(ROWS($1:238)&lt;=Nper,ROWS($1:238),"")</f>
        <v/>
      </c>
      <c r="C250" s="67" t="str">
        <f>IF($B250="","",IF($E$7="Weekly",Start_Date+7*(ROWS($1:238)-1),EDATE(Start_Date,VLOOKUP(IF(ASTemp!$E$7="","Monthly",ASTemp!$E$7),Parameters!$B$3:$D$6,3,0)*(ROWS($1:238)-1))))</f>
        <v/>
      </c>
      <c r="D250" s="68" t="str">
        <f t="shared" si="2"/>
        <v/>
      </c>
      <c r="E250" s="65" t="str">
        <f>IF($B250="","",VLOOKUP(MONTH(C250),Parameters!$F$2:$G$13,2,0))</f>
        <v/>
      </c>
      <c r="F250" s="69" t="str">
        <f>IF($B250="","",PV-N(J249))</f>
        <v/>
      </c>
      <c r="G250" s="69" t="str">
        <f>IF($B250="","",PMT(Rate,Nper,-PV,,Type))</f>
        <v/>
      </c>
      <c r="H250" s="69" t="str">
        <f>IF($B250="","",PPMT(Rate,ROWS($1:238),Nper,-PV,,Type))</f>
        <v/>
      </c>
      <c r="I250" s="69" t="str">
        <f>IF($B250="","",IPMT(Rate,ROWS($1:238),Nper,-PV,,Type))</f>
        <v/>
      </c>
      <c r="J250" s="73" t="str">
        <f t="shared" ref="J250:K250" si="240">IF($B250="","",N(J249)+N(H250))</f>
        <v/>
      </c>
      <c r="K250" s="74" t="str">
        <f t="shared" si="240"/>
        <v/>
      </c>
      <c r="L250" s="69" t="str">
        <f>IF($B250="","",PV-J250)</f>
        <v/>
      </c>
      <c r="M250" s="71" t="str">
        <f>IF($B250="","",J250/PV)</f>
        <v/>
      </c>
      <c r="N250" s="72" t="str">
        <f t="shared" si="4"/>
        <v/>
      </c>
    </row>
    <row r="251" ht="14.25" customHeight="1">
      <c r="B251" s="66" t="str">
        <f>IF(ROWS($1:239)&lt;=Nper,ROWS($1:239),"")</f>
        <v/>
      </c>
      <c r="C251" s="67" t="str">
        <f>IF($B251="","",IF($E$7="Weekly",Start_Date+7*(ROWS($1:239)-1),EDATE(Start_Date,VLOOKUP(IF(ASTemp!$E$7="","Monthly",ASTemp!$E$7),Parameters!$B$3:$D$6,3,0)*(ROWS($1:239)-1))))</f>
        <v/>
      </c>
      <c r="D251" s="68" t="str">
        <f t="shared" si="2"/>
        <v/>
      </c>
      <c r="E251" s="65" t="str">
        <f>IF($B251="","",VLOOKUP(MONTH(C251),Parameters!$F$2:$G$13,2,0))</f>
        <v/>
      </c>
      <c r="F251" s="69" t="str">
        <f>IF($B251="","",PV-N(J250))</f>
        <v/>
      </c>
      <c r="G251" s="69" t="str">
        <f>IF($B251="","",PMT(Rate,Nper,-PV,,Type))</f>
        <v/>
      </c>
      <c r="H251" s="69" t="str">
        <f>IF($B251="","",PPMT(Rate,ROWS($1:239),Nper,-PV,,Type))</f>
        <v/>
      </c>
      <c r="I251" s="69" t="str">
        <f>IF($B251="","",IPMT(Rate,ROWS($1:239),Nper,-PV,,Type))</f>
        <v/>
      </c>
      <c r="J251" s="73" t="str">
        <f t="shared" ref="J251:K251" si="241">IF($B251="","",N(J250)+N(H251))</f>
        <v/>
      </c>
      <c r="K251" s="74" t="str">
        <f t="shared" si="241"/>
        <v/>
      </c>
      <c r="L251" s="69" t="str">
        <f>IF($B251="","",PV-J251)</f>
        <v/>
      </c>
      <c r="M251" s="71" t="str">
        <f>IF($B251="","",J251/PV)</f>
        <v/>
      </c>
      <c r="N251" s="72" t="str">
        <f t="shared" si="4"/>
        <v/>
      </c>
    </row>
    <row r="252" ht="14.25" customHeight="1">
      <c r="B252" s="66" t="str">
        <f>IF(ROWS($1:240)&lt;=Nper,ROWS($1:240),"")</f>
        <v/>
      </c>
      <c r="C252" s="67" t="str">
        <f>IF($B252="","",IF($E$7="Weekly",Start_Date+7*(ROWS($1:240)-1),EDATE(Start_Date,VLOOKUP(IF(ASTemp!$E$7="","Monthly",ASTemp!$E$7),Parameters!$B$3:$D$6,3,0)*(ROWS($1:240)-1))))</f>
        <v/>
      </c>
      <c r="D252" s="68" t="str">
        <f t="shared" si="2"/>
        <v/>
      </c>
      <c r="E252" s="65" t="str">
        <f>IF($B252="","",VLOOKUP(MONTH(C252),Parameters!$F$2:$G$13,2,0))</f>
        <v/>
      </c>
      <c r="F252" s="69" t="str">
        <f>IF($B252="","",PV-N(J251))</f>
        <v/>
      </c>
      <c r="G252" s="69" t="str">
        <f>IF($B252="","",PMT(Rate,Nper,-PV,,Type))</f>
        <v/>
      </c>
      <c r="H252" s="69" t="str">
        <f>IF($B252="","",PPMT(Rate,ROWS($1:240),Nper,-PV,,Type))</f>
        <v/>
      </c>
      <c r="I252" s="69" t="str">
        <f>IF($B252="","",IPMT(Rate,ROWS($1:240),Nper,-PV,,Type))</f>
        <v/>
      </c>
      <c r="J252" s="73" t="str">
        <f t="shared" ref="J252:K252" si="242">IF($B252="","",N(J251)+N(H252))</f>
        <v/>
      </c>
      <c r="K252" s="74" t="str">
        <f t="shared" si="242"/>
        <v/>
      </c>
      <c r="L252" s="69" t="str">
        <f>IF($B252="","",PV-J252)</f>
        <v/>
      </c>
      <c r="M252" s="71" t="str">
        <f>IF($B252="","",J252/PV)</f>
        <v/>
      </c>
      <c r="N252" s="72" t="str">
        <f t="shared" si="4"/>
        <v/>
      </c>
    </row>
    <row r="253" ht="14.25" customHeight="1">
      <c r="B253" s="66" t="str">
        <f>IF(ROWS($1:241)&lt;=Nper,ROWS($1:241),"")</f>
        <v/>
      </c>
      <c r="C253" s="67" t="str">
        <f>IF($B253="","",IF($E$7="Weekly",Start_Date+7*(ROWS($1:241)-1),EDATE(Start_Date,VLOOKUP(IF(ASTemp!$E$7="","Monthly",ASTemp!$E$7),Parameters!$B$3:$D$6,3,0)*(ROWS($1:241)-1))))</f>
        <v/>
      </c>
      <c r="D253" s="68" t="str">
        <f t="shared" si="2"/>
        <v/>
      </c>
      <c r="E253" s="65" t="str">
        <f>IF($B253="","",VLOOKUP(MONTH(C253),Parameters!$F$2:$G$13,2,0))</f>
        <v/>
      </c>
      <c r="F253" s="69" t="str">
        <f>IF($B253="","",PV-N(J252))</f>
        <v/>
      </c>
      <c r="G253" s="69" t="str">
        <f>IF($B253="","",PMT(Rate,Nper,-PV,,Type))</f>
        <v/>
      </c>
      <c r="H253" s="69" t="str">
        <f>IF($B253="","",PPMT(Rate,ROWS($1:241),Nper,-PV,,Type))</f>
        <v/>
      </c>
      <c r="I253" s="69" t="str">
        <f>IF($B253="","",IPMT(Rate,ROWS($1:241),Nper,-PV,,Type))</f>
        <v/>
      </c>
      <c r="J253" s="73" t="str">
        <f t="shared" ref="J253:K253" si="243">IF($B253="","",N(J252)+N(H253))</f>
        <v/>
      </c>
      <c r="K253" s="74" t="str">
        <f t="shared" si="243"/>
        <v/>
      </c>
      <c r="L253" s="69" t="str">
        <f>IF($B253="","",PV-J253)</f>
        <v/>
      </c>
      <c r="M253" s="71" t="str">
        <f>IF($B253="","",J253/PV)</f>
        <v/>
      </c>
      <c r="N253" s="72" t="str">
        <f t="shared" si="4"/>
        <v/>
      </c>
    </row>
    <row r="254" ht="14.25" customHeight="1">
      <c r="B254" s="66" t="str">
        <f>IF(ROWS($1:242)&lt;=Nper,ROWS($1:242),"")</f>
        <v/>
      </c>
      <c r="C254" s="67" t="str">
        <f>IF($B254="","",IF($E$7="Weekly",Start_Date+7*(ROWS($1:242)-1),EDATE(Start_Date,VLOOKUP(IF(ASTemp!$E$7="","Monthly",ASTemp!$E$7),Parameters!$B$3:$D$6,3,0)*(ROWS($1:242)-1))))</f>
        <v/>
      </c>
      <c r="D254" s="68" t="str">
        <f t="shared" si="2"/>
        <v/>
      </c>
      <c r="E254" s="65" t="str">
        <f>IF($B254="","",VLOOKUP(MONTH(C254),Parameters!$F$2:$G$13,2,0))</f>
        <v/>
      </c>
      <c r="F254" s="69" t="str">
        <f>IF($B254="","",PV-N(J253))</f>
        <v/>
      </c>
      <c r="G254" s="69" t="str">
        <f>IF($B254="","",PMT(Rate,Nper,-PV,,Type))</f>
        <v/>
      </c>
      <c r="H254" s="69" t="str">
        <f>IF($B254="","",PPMT(Rate,ROWS($1:242),Nper,-PV,,Type))</f>
        <v/>
      </c>
      <c r="I254" s="69" t="str">
        <f>IF($B254="","",IPMT(Rate,ROWS($1:242),Nper,-PV,,Type))</f>
        <v/>
      </c>
      <c r="J254" s="73" t="str">
        <f t="shared" ref="J254:K254" si="244">IF($B254="","",N(J253)+N(H254))</f>
        <v/>
      </c>
      <c r="K254" s="74" t="str">
        <f t="shared" si="244"/>
        <v/>
      </c>
      <c r="L254" s="69" t="str">
        <f>IF($B254="","",PV-J254)</f>
        <v/>
      </c>
      <c r="M254" s="71" t="str">
        <f>IF($B254="","",J254/PV)</f>
        <v/>
      </c>
      <c r="N254" s="72" t="str">
        <f t="shared" si="4"/>
        <v/>
      </c>
    </row>
    <row r="255" ht="14.25" customHeight="1">
      <c r="B255" s="66" t="str">
        <f>IF(ROWS($1:243)&lt;=Nper,ROWS($1:243),"")</f>
        <v/>
      </c>
      <c r="C255" s="67" t="str">
        <f>IF($B255="","",IF($E$7="Weekly",Start_Date+7*(ROWS($1:243)-1),EDATE(Start_Date,VLOOKUP(IF(ASTemp!$E$7="","Monthly",ASTemp!$E$7),Parameters!$B$3:$D$6,3,0)*(ROWS($1:243)-1))))</f>
        <v/>
      </c>
      <c r="D255" s="68" t="str">
        <f t="shared" si="2"/>
        <v/>
      </c>
      <c r="E255" s="65" t="str">
        <f>IF($B255="","",VLOOKUP(MONTH(C255),Parameters!$F$2:$G$13,2,0))</f>
        <v/>
      </c>
      <c r="F255" s="69" t="str">
        <f>IF($B255="","",PV-N(J254))</f>
        <v/>
      </c>
      <c r="G255" s="69" t="str">
        <f>IF($B255="","",PMT(Rate,Nper,-PV,,Type))</f>
        <v/>
      </c>
      <c r="H255" s="69" t="str">
        <f>IF($B255="","",PPMT(Rate,ROWS($1:243),Nper,-PV,,Type))</f>
        <v/>
      </c>
      <c r="I255" s="69" t="str">
        <f>IF($B255="","",IPMT(Rate,ROWS($1:243),Nper,-PV,,Type))</f>
        <v/>
      </c>
      <c r="J255" s="73" t="str">
        <f t="shared" ref="J255:K255" si="245">IF($B255="","",N(J254)+N(H255))</f>
        <v/>
      </c>
      <c r="K255" s="74" t="str">
        <f t="shared" si="245"/>
        <v/>
      </c>
      <c r="L255" s="69" t="str">
        <f>IF($B255="","",PV-J255)</f>
        <v/>
      </c>
      <c r="M255" s="71" t="str">
        <f>IF($B255="","",J255/PV)</f>
        <v/>
      </c>
      <c r="N255" s="72" t="str">
        <f t="shared" si="4"/>
        <v/>
      </c>
    </row>
    <row r="256" ht="14.25" customHeight="1">
      <c r="B256" s="66" t="str">
        <f>IF(ROWS($1:244)&lt;=Nper,ROWS($1:244),"")</f>
        <v/>
      </c>
      <c r="C256" s="67" t="str">
        <f>IF($B256="","",IF($E$7="Weekly",Start_Date+7*(ROWS($1:244)-1),EDATE(Start_Date,VLOOKUP(IF(ASTemp!$E$7="","Monthly",ASTemp!$E$7),Parameters!$B$3:$D$6,3,0)*(ROWS($1:244)-1))))</f>
        <v/>
      </c>
      <c r="D256" s="68" t="str">
        <f t="shared" si="2"/>
        <v/>
      </c>
      <c r="E256" s="65" t="str">
        <f>IF($B256="","",VLOOKUP(MONTH(C256),Parameters!$F$2:$G$13,2,0))</f>
        <v/>
      </c>
      <c r="F256" s="69" t="str">
        <f>IF($B256="","",PV-N(J255))</f>
        <v/>
      </c>
      <c r="G256" s="69" t="str">
        <f>IF($B256="","",PMT(Rate,Nper,-PV,,Type))</f>
        <v/>
      </c>
      <c r="H256" s="69" t="str">
        <f>IF($B256="","",PPMT(Rate,ROWS($1:244),Nper,-PV,,Type))</f>
        <v/>
      </c>
      <c r="I256" s="69" t="str">
        <f>IF($B256="","",IPMT(Rate,ROWS($1:244),Nper,-PV,,Type))</f>
        <v/>
      </c>
      <c r="J256" s="73" t="str">
        <f t="shared" ref="J256:K256" si="246">IF($B256="","",N(J255)+N(H256))</f>
        <v/>
      </c>
      <c r="K256" s="74" t="str">
        <f t="shared" si="246"/>
        <v/>
      </c>
      <c r="L256" s="69" t="str">
        <f>IF($B256="","",PV-J256)</f>
        <v/>
      </c>
      <c r="M256" s="71" t="str">
        <f>IF($B256="","",J256/PV)</f>
        <v/>
      </c>
      <c r="N256" s="72" t="str">
        <f t="shared" si="4"/>
        <v/>
      </c>
    </row>
    <row r="257" ht="14.25" customHeight="1">
      <c r="B257" s="66" t="str">
        <f>IF(ROWS($1:245)&lt;=Nper,ROWS($1:245),"")</f>
        <v/>
      </c>
      <c r="C257" s="67" t="str">
        <f>IF($B257="","",IF($E$7="Weekly",Start_Date+7*(ROWS($1:245)-1),EDATE(Start_Date,VLOOKUP(IF(ASTemp!$E$7="","Monthly",ASTemp!$E$7),Parameters!$B$3:$D$6,3,0)*(ROWS($1:245)-1))))</f>
        <v/>
      </c>
      <c r="D257" s="68" t="str">
        <f t="shared" si="2"/>
        <v/>
      </c>
      <c r="E257" s="65" t="str">
        <f>IF($B257="","",VLOOKUP(MONTH(C257),Parameters!$F$2:$G$13,2,0))</f>
        <v/>
      </c>
      <c r="F257" s="69" t="str">
        <f>IF($B257="","",PV-N(J256))</f>
        <v/>
      </c>
      <c r="G257" s="69" t="str">
        <f>IF($B257="","",PMT(Rate,Nper,-PV,,Type))</f>
        <v/>
      </c>
      <c r="H257" s="69" t="str">
        <f>IF($B257="","",PPMT(Rate,ROWS($1:245),Nper,-PV,,Type))</f>
        <v/>
      </c>
      <c r="I257" s="69" t="str">
        <f>IF($B257="","",IPMT(Rate,ROWS($1:245),Nper,-PV,,Type))</f>
        <v/>
      </c>
      <c r="J257" s="73" t="str">
        <f t="shared" ref="J257:K257" si="247">IF($B257="","",N(J256)+N(H257))</f>
        <v/>
      </c>
      <c r="K257" s="74" t="str">
        <f t="shared" si="247"/>
        <v/>
      </c>
      <c r="L257" s="69" t="str">
        <f>IF($B257="","",PV-J257)</f>
        <v/>
      </c>
      <c r="M257" s="71" t="str">
        <f>IF($B257="","",J257/PV)</f>
        <v/>
      </c>
      <c r="N257" s="72" t="str">
        <f t="shared" si="4"/>
        <v/>
      </c>
    </row>
    <row r="258" ht="14.25" customHeight="1">
      <c r="B258" s="66" t="str">
        <f>IF(ROWS($1:246)&lt;=Nper,ROWS($1:246),"")</f>
        <v/>
      </c>
      <c r="C258" s="67" t="str">
        <f>IF($B258="","",IF($E$7="Weekly",Start_Date+7*(ROWS($1:246)-1),EDATE(Start_Date,VLOOKUP(IF(ASTemp!$E$7="","Monthly",ASTemp!$E$7),Parameters!$B$3:$D$6,3,0)*(ROWS($1:246)-1))))</f>
        <v/>
      </c>
      <c r="D258" s="68" t="str">
        <f t="shared" si="2"/>
        <v/>
      </c>
      <c r="E258" s="65" t="str">
        <f>IF($B258="","",VLOOKUP(MONTH(C258),Parameters!$F$2:$G$13,2,0))</f>
        <v/>
      </c>
      <c r="F258" s="69" t="str">
        <f>IF($B258="","",PV-N(J257))</f>
        <v/>
      </c>
      <c r="G258" s="69" t="str">
        <f>IF($B258="","",PMT(Rate,Nper,-PV,,Type))</f>
        <v/>
      </c>
      <c r="H258" s="69" t="str">
        <f>IF($B258="","",PPMT(Rate,ROWS($1:246),Nper,-PV,,Type))</f>
        <v/>
      </c>
      <c r="I258" s="69" t="str">
        <f>IF($B258="","",IPMT(Rate,ROWS($1:246),Nper,-PV,,Type))</f>
        <v/>
      </c>
      <c r="J258" s="73" t="str">
        <f t="shared" ref="J258:K258" si="248">IF($B258="","",N(J257)+N(H258))</f>
        <v/>
      </c>
      <c r="K258" s="74" t="str">
        <f t="shared" si="248"/>
        <v/>
      </c>
      <c r="L258" s="69" t="str">
        <f>IF($B258="","",PV-J258)</f>
        <v/>
      </c>
      <c r="M258" s="71" t="str">
        <f>IF($B258="","",J258/PV)</f>
        <v/>
      </c>
      <c r="N258" s="72" t="str">
        <f t="shared" si="4"/>
        <v/>
      </c>
    </row>
    <row r="259" ht="14.25" customHeight="1">
      <c r="B259" s="66" t="str">
        <f>IF(ROWS($1:247)&lt;=Nper,ROWS($1:247),"")</f>
        <v/>
      </c>
      <c r="C259" s="67" t="str">
        <f>IF($B259="","",IF($E$7="Weekly",Start_Date+7*(ROWS($1:247)-1),EDATE(Start_Date,VLOOKUP(IF(ASTemp!$E$7="","Monthly",ASTemp!$E$7),Parameters!$B$3:$D$6,3,0)*(ROWS($1:247)-1))))</f>
        <v/>
      </c>
      <c r="D259" s="68" t="str">
        <f t="shared" si="2"/>
        <v/>
      </c>
      <c r="E259" s="65" t="str">
        <f>IF($B259="","",VLOOKUP(MONTH(C259),Parameters!$F$2:$G$13,2,0))</f>
        <v/>
      </c>
      <c r="F259" s="69" t="str">
        <f>IF($B259="","",PV-N(J258))</f>
        <v/>
      </c>
      <c r="G259" s="69" t="str">
        <f>IF($B259="","",PMT(Rate,Nper,-PV,,Type))</f>
        <v/>
      </c>
      <c r="H259" s="69" t="str">
        <f>IF($B259="","",PPMT(Rate,ROWS($1:247),Nper,-PV,,Type))</f>
        <v/>
      </c>
      <c r="I259" s="69" t="str">
        <f>IF($B259="","",IPMT(Rate,ROWS($1:247),Nper,-PV,,Type))</f>
        <v/>
      </c>
      <c r="J259" s="73" t="str">
        <f t="shared" ref="J259:K259" si="249">IF($B259="","",N(J258)+N(H259))</f>
        <v/>
      </c>
      <c r="K259" s="74" t="str">
        <f t="shared" si="249"/>
        <v/>
      </c>
      <c r="L259" s="69" t="str">
        <f>IF($B259="","",PV-J259)</f>
        <v/>
      </c>
      <c r="M259" s="71" t="str">
        <f>IF($B259="","",J259/PV)</f>
        <v/>
      </c>
      <c r="N259" s="72" t="str">
        <f t="shared" si="4"/>
        <v/>
      </c>
    </row>
    <row r="260" ht="14.25" customHeight="1">
      <c r="B260" s="66" t="str">
        <f>IF(ROWS($1:248)&lt;=Nper,ROWS($1:248),"")</f>
        <v/>
      </c>
      <c r="C260" s="67" t="str">
        <f>IF($B260="","",IF($E$7="Weekly",Start_Date+7*(ROWS($1:248)-1),EDATE(Start_Date,VLOOKUP(IF(ASTemp!$E$7="","Monthly",ASTemp!$E$7),Parameters!$B$3:$D$6,3,0)*(ROWS($1:248)-1))))</f>
        <v/>
      </c>
      <c r="D260" s="68" t="str">
        <f t="shared" si="2"/>
        <v/>
      </c>
      <c r="E260" s="65" t="str">
        <f>IF($B260="","",VLOOKUP(MONTH(C260),Parameters!$F$2:$G$13,2,0))</f>
        <v/>
      </c>
      <c r="F260" s="69" t="str">
        <f>IF($B260="","",PV-N(J259))</f>
        <v/>
      </c>
      <c r="G260" s="69" t="str">
        <f>IF($B260="","",PMT(Rate,Nper,-PV,,Type))</f>
        <v/>
      </c>
      <c r="H260" s="69" t="str">
        <f>IF($B260="","",PPMT(Rate,ROWS($1:248),Nper,-PV,,Type))</f>
        <v/>
      </c>
      <c r="I260" s="69" t="str">
        <f>IF($B260="","",IPMT(Rate,ROWS($1:248),Nper,-PV,,Type))</f>
        <v/>
      </c>
      <c r="J260" s="73" t="str">
        <f t="shared" ref="J260:K260" si="250">IF($B260="","",N(J259)+N(H260))</f>
        <v/>
      </c>
      <c r="K260" s="74" t="str">
        <f t="shared" si="250"/>
        <v/>
      </c>
      <c r="L260" s="69" t="str">
        <f>IF($B260="","",PV-J260)</f>
        <v/>
      </c>
      <c r="M260" s="71" t="str">
        <f>IF($B260="","",J260/PV)</f>
        <v/>
      </c>
      <c r="N260" s="72" t="str">
        <f t="shared" si="4"/>
        <v/>
      </c>
    </row>
    <row r="261" ht="14.25" customHeight="1">
      <c r="B261" s="66" t="str">
        <f>IF(ROWS($1:249)&lt;=Nper,ROWS($1:249),"")</f>
        <v/>
      </c>
      <c r="C261" s="67" t="str">
        <f>IF($B261="","",IF($E$7="Weekly",Start_Date+7*(ROWS($1:249)-1),EDATE(Start_Date,VLOOKUP(IF(ASTemp!$E$7="","Monthly",ASTemp!$E$7),Parameters!$B$3:$D$6,3,0)*(ROWS($1:249)-1))))</f>
        <v/>
      </c>
      <c r="D261" s="68" t="str">
        <f t="shared" si="2"/>
        <v/>
      </c>
      <c r="E261" s="65" t="str">
        <f>IF($B261="","",VLOOKUP(MONTH(C261),Parameters!$F$2:$G$13,2,0))</f>
        <v/>
      </c>
      <c r="F261" s="69" t="str">
        <f>IF($B261="","",PV-N(J260))</f>
        <v/>
      </c>
      <c r="G261" s="69" t="str">
        <f>IF($B261="","",PMT(Rate,Nper,-PV,,Type))</f>
        <v/>
      </c>
      <c r="H261" s="69" t="str">
        <f>IF($B261="","",PPMT(Rate,ROWS($1:249),Nper,-PV,,Type))</f>
        <v/>
      </c>
      <c r="I261" s="69" t="str">
        <f>IF($B261="","",IPMT(Rate,ROWS($1:249),Nper,-PV,,Type))</f>
        <v/>
      </c>
      <c r="J261" s="73" t="str">
        <f t="shared" ref="J261:K261" si="251">IF($B261="","",N(J260)+N(H261))</f>
        <v/>
      </c>
      <c r="K261" s="74" t="str">
        <f t="shared" si="251"/>
        <v/>
      </c>
      <c r="L261" s="69" t="str">
        <f>IF($B261="","",PV-J261)</f>
        <v/>
      </c>
      <c r="M261" s="71" t="str">
        <f>IF($B261="","",J261/PV)</f>
        <v/>
      </c>
      <c r="N261" s="72" t="str">
        <f t="shared" si="4"/>
        <v/>
      </c>
    </row>
    <row r="262" ht="14.25" customHeight="1">
      <c r="B262" s="66" t="str">
        <f>IF(ROWS($1:250)&lt;=Nper,ROWS($1:250),"")</f>
        <v/>
      </c>
      <c r="C262" s="67" t="str">
        <f>IF($B262="","",IF($E$7="Weekly",Start_Date+7*(ROWS($1:250)-1),EDATE(Start_Date,VLOOKUP(IF(ASTemp!$E$7="","Monthly",ASTemp!$E$7),Parameters!$B$3:$D$6,3,0)*(ROWS($1:250)-1))))</f>
        <v/>
      </c>
      <c r="D262" s="68" t="str">
        <f t="shared" si="2"/>
        <v/>
      </c>
      <c r="E262" s="65" t="str">
        <f>IF($B262="","",VLOOKUP(MONTH(C262),Parameters!$F$2:$G$13,2,0))</f>
        <v/>
      </c>
      <c r="F262" s="69" t="str">
        <f>IF($B262="","",PV-N(J261))</f>
        <v/>
      </c>
      <c r="G262" s="69" t="str">
        <f>IF($B262="","",PMT(Rate,Nper,-PV,,Type))</f>
        <v/>
      </c>
      <c r="H262" s="69" t="str">
        <f>IF($B262="","",PPMT(Rate,ROWS($1:250),Nper,-PV,,Type))</f>
        <v/>
      </c>
      <c r="I262" s="69" t="str">
        <f>IF($B262="","",IPMT(Rate,ROWS($1:250),Nper,-PV,,Type))</f>
        <v/>
      </c>
      <c r="J262" s="73" t="str">
        <f t="shared" ref="J262:K262" si="252">IF($B262="","",N(J261)+N(H262))</f>
        <v/>
      </c>
      <c r="K262" s="74" t="str">
        <f t="shared" si="252"/>
        <v/>
      </c>
      <c r="L262" s="69" t="str">
        <f>IF($B262="","",PV-J262)</f>
        <v/>
      </c>
      <c r="M262" s="71" t="str">
        <f>IF($B262="","",J262/PV)</f>
        <v/>
      </c>
      <c r="N262" s="72" t="str">
        <f t="shared" si="4"/>
        <v/>
      </c>
    </row>
    <row r="263" ht="14.25" customHeight="1">
      <c r="B263" s="66" t="str">
        <f>IF(ROWS($1:251)&lt;=Nper,ROWS($1:251),"")</f>
        <v/>
      </c>
      <c r="C263" s="67" t="str">
        <f>IF($B263="","",IF($E$7="Weekly",Start_Date+7*(ROWS($1:251)-1),EDATE(Start_Date,VLOOKUP(IF(ASTemp!$E$7="","Monthly",ASTemp!$E$7),Parameters!$B$3:$D$6,3,0)*(ROWS($1:251)-1))))</f>
        <v/>
      </c>
      <c r="D263" s="68" t="str">
        <f t="shared" si="2"/>
        <v/>
      </c>
      <c r="E263" s="65" t="str">
        <f>IF($B263="","",VLOOKUP(MONTH(C263),Parameters!$F$2:$G$13,2,0))</f>
        <v/>
      </c>
      <c r="F263" s="69" t="str">
        <f>IF($B263="","",PV-N(J262))</f>
        <v/>
      </c>
      <c r="G263" s="69" t="str">
        <f>IF($B263="","",PMT(Rate,Nper,-PV,,Type))</f>
        <v/>
      </c>
      <c r="H263" s="69" t="str">
        <f>IF($B263="","",PPMT(Rate,ROWS($1:251),Nper,-PV,,Type))</f>
        <v/>
      </c>
      <c r="I263" s="69" t="str">
        <f>IF($B263="","",IPMT(Rate,ROWS($1:251),Nper,-PV,,Type))</f>
        <v/>
      </c>
      <c r="J263" s="73" t="str">
        <f t="shared" ref="J263:K263" si="253">IF($B263="","",N(J262)+N(H263))</f>
        <v/>
      </c>
      <c r="K263" s="74" t="str">
        <f t="shared" si="253"/>
        <v/>
      </c>
      <c r="L263" s="69" t="str">
        <f>IF($B263="","",PV-J263)</f>
        <v/>
      </c>
      <c r="M263" s="71" t="str">
        <f>IF($B263="","",J263/PV)</f>
        <v/>
      </c>
      <c r="N263" s="72" t="str">
        <f t="shared" si="4"/>
        <v/>
      </c>
    </row>
    <row r="264" ht="14.25" customHeight="1">
      <c r="B264" s="66" t="str">
        <f>IF(ROWS($1:252)&lt;=Nper,ROWS($1:252),"")</f>
        <v/>
      </c>
      <c r="C264" s="67" t="str">
        <f>IF($B264="","",IF($E$7="Weekly",Start_Date+7*(ROWS($1:252)-1),EDATE(Start_Date,VLOOKUP(IF(ASTemp!$E$7="","Monthly",ASTemp!$E$7),Parameters!$B$3:$D$6,3,0)*(ROWS($1:252)-1))))</f>
        <v/>
      </c>
      <c r="D264" s="68" t="str">
        <f t="shared" si="2"/>
        <v/>
      </c>
      <c r="E264" s="65" t="str">
        <f>IF($B264="","",VLOOKUP(MONTH(C264),Parameters!$F$2:$G$13,2,0))</f>
        <v/>
      </c>
      <c r="F264" s="69" t="str">
        <f>IF($B264="","",PV-N(J263))</f>
        <v/>
      </c>
      <c r="G264" s="69" t="str">
        <f>IF($B264="","",PMT(Rate,Nper,-PV,,Type))</f>
        <v/>
      </c>
      <c r="H264" s="69" t="str">
        <f>IF($B264="","",PPMT(Rate,ROWS($1:252),Nper,-PV,,Type))</f>
        <v/>
      </c>
      <c r="I264" s="69" t="str">
        <f>IF($B264="","",IPMT(Rate,ROWS($1:252),Nper,-PV,,Type))</f>
        <v/>
      </c>
      <c r="J264" s="73" t="str">
        <f t="shared" ref="J264:K264" si="254">IF($B264="","",N(J263)+N(H264))</f>
        <v/>
      </c>
      <c r="K264" s="74" t="str">
        <f t="shared" si="254"/>
        <v/>
      </c>
      <c r="L264" s="69" t="str">
        <f>IF($B264="","",PV-J264)</f>
        <v/>
      </c>
      <c r="M264" s="71" t="str">
        <f>IF($B264="","",J264/PV)</f>
        <v/>
      </c>
      <c r="N264" s="72" t="str">
        <f t="shared" si="4"/>
        <v/>
      </c>
    </row>
    <row r="265" ht="14.25" customHeight="1">
      <c r="B265" s="66" t="str">
        <f>IF(ROWS($1:253)&lt;=Nper,ROWS($1:253),"")</f>
        <v/>
      </c>
      <c r="C265" s="67" t="str">
        <f>IF($B265="","",IF($E$7="Weekly",Start_Date+7*(ROWS($1:253)-1),EDATE(Start_Date,VLOOKUP(IF(ASTemp!$E$7="","Monthly",ASTemp!$E$7),Parameters!$B$3:$D$6,3,0)*(ROWS($1:253)-1))))</f>
        <v/>
      </c>
      <c r="D265" s="68" t="str">
        <f t="shared" si="2"/>
        <v/>
      </c>
      <c r="E265" s="65" t="str">
        <f>IF($B265="","",VLOOKUP(MONTH(C265),Parameters!$F$2:$G$13,2,0))</f>
        <v/>
      </c>
      <c r="F265" s="69" t="str">
        <f>IF($B265="","",PV-N(J264))</f>
        <v/>
      </c>
      <c r="G265" s="69" t="str">
        <f>IF($B265="","",PMT(Rate,Nper,-PV,,Type))</f>
        <v/>
      </c>
      <c r="H265" s="69" t="str">
        <f>IF($B265="","",PPMT(Rate,ROWS($1:253),Nper,-PV,,Type))</f>
        <v/>
      </c>
      <c r="I265" s="69" t="str">
        <f>IF($B265="","",IPMT(Rate,ROWS($1:253),Nper,-PV,,Type))</f>
        <v/>
      </c>
      <c r="J265" s="73" t="str">
        <f t="shared" ref="J265:K265" si="255">IF($B265="","",N(J264)+N(H265))</f>
        <v/>
      </c>
      <c r="K265" s="74" t="str">
        <f t="shared" si="255"/>
        <v/>
      </c>
      <c r="L265" s="69" t="str">
        <f>IF($B265="","",PV-J265)</f>
        <v/>
      </c>
      <c r="M265" s="71" t="str">
        <f>IF($B265="","",J265/PV)</f>
        <v/>
      </c>
      <c r="N265" s="72" t="str">
        <f t="shared" si="4"/>
        <v/>
      </c>
    </row>
    <row r="266" ht="14.25" customHeight="1">
      <c r="B266" s="66" t="str">
        <f>IF(ROWS($1:254)&lt;=Nper,ROWS($1:254),"")</f>
        <v/>
      </c>
      <c r="C266" s="67" t="str">
        <f>IF($B266="","",IF($E$7="Weekly",Start_Date+7*(ROWS($1:254)-1),EDATE(Start_Date,VLOOKUP(IF(ASTemp!$E$7="","Monthly",ASTemp!$E$7),Parameters!$B$3:$D$6,3,0)*(ROWS($1:254)-1))))</f>
        <v/>
      </c>
      <c r="D266" s="68" t="str">
        <f t="shared" si="2"/>
        <v/>
      </c>
      <c r="E266" s="65" t="str">
        <f>IF($B266="","",VLOOKUP(MONTH(C266),Parameters!$F$2:$G$13,2,0))</f>
        <v/>
      </c>
      <c r="F266" s="69" t="str">
        <f>IF($B266="","",PV-N(J265))</f>
        <v/>
      </c>
      <c r="G266" s="69" t="str">
        <f>IF($B266="","",PMT(Rate,Nper,-PV,,Type))</f>
        <v/>
      </c>
      <c r="H266" s="69" t="str">
        <f>IF($B266="","",PPMT(Rate,ROWS($1:254),Nper,-PV,,Type))</f>
        <v/>
      </c>
      <c r="I266" s="69" t="str">
        <f>IF($B266="","",IPMT(Rate,ROWS($1:254),Nper,-PV,,Type))</f>
        <v/>
      </c>
      <c r="J266" s="73" t="str">
        <f t="shared" ref="J266:K266" si="256">IF($B266="","",N(J265)+N(H266))</f>
        <v/>
      </c>
      <c r="K266" s="74" t="str">
        <f t="shared" si="256"/>
        <v/>
      </c>
      <c r="L266" s="69" t="str">
        <f>IF($B266="","",PV-J266)</f>
        <v/>
      </c>
      <c r="M266" s="71" t="str">
        <f>IF($B266="","",J266/PV)</f>
        <v/>
      </c>
      <c r="N266" s="72" t="str">
        <f t="shared" si="4"/>
        <v/>
      </c>
    </row>
    <row r="267" ht="14.25" customHeight="1">
      <c r="B267" s="66" t="str">
        <f>IF(ROWS($1:255)&lt;=Nper,ROWS($1:255),"")</f>
        <v/>
      </c>
      <c r="C267" s="67" t="str">
        <f>IF($B267="","",IF($E$7="Weekly",Start_Date+7*(ROWS($1:255)-1),EDATE(Start_Date,VLOOKUP(IF(ASTemp!$E$7="","Monthly",ASTemp!$E$7),Parameters!$B$3:$D$6,3,0)*(ROWS($1:255)-1))))</f>
        <v/>
      </c>
      <c r="D267" s="68" t="str">
        <f t="shared" si="2"/>
        <v/>
      </c>
      <c r="E267" s="65" t="str">
        <f>IF($B267="","",VLOOKUP(MONTH(C267),Parameters!$F$2:$G$13,2,0))</f>
        <v/>
      </c>
      <c r="F267" s="69" t="str">
        <f>IF($B267="","",PV-N(J266))</f>
        <v/>
      </c>
      <c r="G267" s="69" t="str">
        <f>IF($B267="","",PMT(Rate,Nper,-PV,,Type))</f>
        <v/>
      </c>
      <c r="H267" s="69" t="str">
        <f>IF($B267="","",PPMT(Rate,ROWS($1:255),Nper,-PV,,Type))</f>
        <v/>
      </c>
      <c r="I267" s="69" t="str">
        <f>IF($B267="","",IPMT(Rate,ROWS($1:255),Nper,-PV,,Type))</f>
        <v/>
      </c>
      <c r="J267" s="73" t="str">
        <f t="shared" ref="J267:K267" si="257">IF($B267="","",N(J266)+N(H267))</f>
        <v/>
      </c>
      <c r="K267" s="74" t="str">
        <f t="shared" si="257"/>
        <v/>
      </c>
      <c r="L267" s="69" t="str">
        <f>IF($B267="","",PV-J267)</f>
        <v/>
      </c>
      <c r="M267" s="71" t="str">
        <f>IF($B267="","",J267/PV)</f>
        <v/>
      </c>
      <c r="N267" s="72" t="str">
        <f t="shared" si="4"/>
        <v/>
      </c>
    </row>
    <row r="268" ht="14.25" customHeight="1">
      <c r="B268" s="66" t="str">
        <f>IF(ROWS($1:256)&lt;=Nper,ROWS($1:256),"")</f>
        <v/>
      </c>
      <c r="C268" s="67" t="str">
        <f>IF($B268="","",IF($E$7="Weekly",Start_Date+7*(ROWS($1:256)-1),EDATE(Start_Date,VLOOKUP(IF(ASTemp!$E$7="","Monthly",ASTemp!$E$7),Parameters!$B$3:$D$6,3,0)*(ROWS($1:256)-1))))</f>
        <v/>
      </c>
      <c r="D268" s="68" t="str">
        <f t="shared" si="2"/>
        <v/>
      </c>
      <c r="E268" s="65" t="str">
        <f>IF($B268="","",VLOOKUP(MONTH(C268),Parameters!$F$2:$G$13,2,0))</f>
        <v/>
      </c>
      <c r="F268" s="69" t="str">
        <f>IF($B268="","",PV-N(J267))</f>
        <v/>
      </c>
      <c r="G268" s="69" t="str">
        <f>IF($B268="","",PMT(Rate,Nper,-PV,,Type))</f>
        <v/>
      </c>
      <c r="H268" s="69" t="str">
        <f>IF($B268="","",PPMT(Rate,ROWS($1:256),Nper,-PV,,Type))</f>
        <v/>
      </c>
      <c r="I268" s="69" t="str">
        <f>IF($B268="","",IPMT(Rate,ROWS($1:256),Nper,-PV,,Type))</f>
        <v/>
      </c>
      <c r="J268" s="73" t="str">
        <f t="shared" ref="J268:K268" si="258">IF($B268="","",N(J267)+N(H268))</f>
        <v/>
      </c>
      <c r="K268" s="74" t="str">
        <f t="shared" si="258"/>
        <v/>
      </c>
      <c r="L268" s="69" t="str">
        <f>IF($B268="","",PV-J268)</f>
        <v/>
      </c>
      <c r="M268" s="71" t="str">
        <f>IF($B268="","",J268/PV)</f>
        <v/>
      </c>
      <c r="N268" s="72" t="str">
        <f t="shared" si="4"/>
        <v/>
      </c>
    </row>
    <row r="269" ht="14.25" customHeight="1">
      <c r="B269" s="66" t="str">
        <f>IF(ROWS($1:257)&lt;=Nper,ROWS($1:257),"")</f>
        <v/>
      </c>
      <c r="C269" s="67" t="str">
        <f>IF($B269="","",IF($E$7="Weekly",Start_Date+7*(ROWS($1:257)-1),EDATE(Start_Date,VLOOKUP(IF(ASTemp!$E$7="","Monthly",ASTemp!$E$7),Parameters!$B$3:$D$6,3,0)*(ROWS($1:257)-1))))</f>
        <v/>
      </c>
      <c r="D269" s="68" t="str">
        <f t="shared" si="2"/>
        <v/>
      </c>
      <c r="E269" s="65" t="str">
        <f>IF($B269="","",VLOOKUP(MONTH(C269),Parameters!$F$2:$G$13,2,0))</f>
        <v/>
      </c>
      <c r="F269" s="69" t="str">
        <f>IF($B269="","",PV-N(J268))</f>
        <v/>
      </c>
      <c r="G269" s="69" t="str">
        <f>IF($B269="","",PMT(Rate,Nper,-PV,,Type))</f>
        <v/>
      </c>
      <c r="H269" s="69" t="str">
        <f>IF($B269="","",PPMT(Rate,ROWS($1:257),Nper,-PV,,Type))</f>
        <v/>
      </c>
      <c r="I269" s="69" t="str">
        <f>IF($B269="","",IPMT(Rate,ROWS($1:257),Nper,-PV,,Type))</f>
        <v/>
      </c>
      <c r="J269" s="73" t="str">
        <f t="shared" ref="J269:K269" si="259">IF($B269="","",N(J268)+N(H269))</f>
        <v/>
      </c>
      <c r="K269" s="74" t="str">
        <f t="shared" si="259"/>
        <v/>
      </c>
      <c r="L269" s="69" t="str">
        <f>IF($B269="","",PV-J269)</f>
        <v/>
      </c>
      <c r="M269" s="71" t="str">
        <f>IF($B269="","",J269/PV)</f>
        <v/>
      </c>
      <c r="N269" s="72" t="str">
        <f t="shared" si="4"/>
        <v/>
      </c>
    </row>
    <row r="270" ht="14.25" customHeight="1">
      <c r="B270" s="66" t="str">
        <f>IF(ROWS($1:258)&lt;=Nper,ROWS($1:258),"")</f>
        <v/>
      </c>
      <c r="C270" s="67" t="str">
        <f>IF($B270="","",IF($E$7="Weekly",Start_Date+7*(ROWS($1:258)-1),EDATE(Start_Date,VLOOKUP(IF(ASTemp!$E$7="","Monthly",ASTemp!$E$7),Parameters!$B$3:$D$6,3,0)*(ROWS($1:258)-1))))</f>
        <v/>
      </c>
      <c r="D270" s="68" t="str">
        <f t="shared" si="2"/>
        <v/>
      </c>
      <c r="E270" s="65" t="str">
        <f>IF($B270="","",VLOOKUP(MONTH(C270),Parameters!$F$2:$G$13,2,0))</f>
        <v/>
      </c>
      <c r="F270" s="69" t="str">
        <f>IF($B270="","",PV-N(J269))</f>
        <v/>
      </c>
      <c r="G270" s="69" t="str">
        <f>IF($B270="","",PMT(Rate,Nper,-PV,,Type))</f>
        <v/>
      </c>
      <c r="H270" s="69" t="str">
        <f>IF($B270="","",PPMT(Rate,ROWS($1:258),Nper,-PV,,Type))</f>
        <v/>
      </c>
      <c r="I270" s="69" t="str">
        <f>IF($B270="","",IPMT(Rate,ROWS($1:258),Nper,-PV,,Type))</f>
        <v/>
      </c>
      <c r="J270" s="73" t="str">
        <f t="shared" ref="J270:K270" si="260">IF($B270="","",N(J269)+N(H270))</f>
        <v/>
      </c>
      <c r="K270" s="74" t="str">
        <f t="shared" si="260"/>
        <v/>
      </c>
      <c r="L270" s="69" t="str">
        <f>IF($B270="","",PV-J270)</f>
        <v/>
      </c>
      <c r="M270" s="71" t="str">
        <f>IF($B270="","",J270/PV)</f>
        <v/>
      </c>
      <c r="N270" s="72" t="str">
        <f t="shared" si="4"/>
        <v/>
      </c>
    </row>
    <row r="271" ht="14.25" customHeight="1">
      <c r="B271" s="66" t="str">
        <f>IF(ROWS($1:259)&lt;=Nper,ROWS($1:259),"")</f>
        <v/>
      </c>
      <c r="C271" s="67" t="str">
        <f>IF($B271="","",IF($E$7="Weekly",Start_Date+7*(ROWS($1:259)-1),EDATE(Start_Date,VLOOKUP(IF(ASTemp!$E$7="","Monthly",ASTemp!$E$7),Parameters!$B$3:$D$6,3,0)*(ROWS($1:259)-1))))</f>
        <v/>
      </c>
      <c r="D271" s="68" t="str">
        <f t="shared" si="2"/>
        <v/>
      </c>
      <c r="E271" s="65" t="str">
        <f>IF($B271="","",VLOOKUP(MONTH(C271),Parameters!$F$2:$G$13,2,0))</f>
        <v/>
      </c>
      <c r="F271" s="69" t="str">
        <f>IF($B271="","",PV-N(J270))</f>
        <v/>
      </c>
      <c r="G271" s="69" t="str">
        <f>IF($B271="","",PMT(Rate,Nper,-PV,,Type))</f>
        <v/>
      </c>
      <c r="H271" s="69" t="str">
        <f>IF($B271="","",PPMT(Rate,ROWS($1:259),Nper,-PV,,Type))</f>
        <v/>
      </c>
      <c r="I271" s="69" t="str">
        <f>IF($B271="","",IPMT(Rate,ROWS($1:259),Nper,-PV,,Type))</f>
        <v/>
      </c>
      <c r="J271" s="73" t="str">
        <f t="shared" ref="J271:K271" si="261">IF($B271="","",N(J270)+N(H271))</f>
        <v/>
      </c>
      <c r="K271" s="74" t="str">
        <f t="shared" si="261"/>
        <v/>
      </c>
      <c r="L271" s="69" t="str">
        <f>IF($B271="","",PV-J271)</f>
        <v/>
      </c>
      <c r="M271" s="71" t="str">
        <f>IF($B271="","",J271/PV)</f>
        <v/>
      </c>
      <c r="N271" s="72" t="str">
        <f t="shared" si="4"/>
        <v/>
      </c>
    </row>
    <row r="272" ht="14.25" customHeight="1">
      <c r="B272" s="66" t="str">
        <f>IF(ROWS($1:260)&lt;=Nper,ROWS($1:260),"")</f>
        <v/>
      </c>
      <c r="C272" s="67" t="str">
        <f>IF($B272="","",IF($E$7="Weekly",Start_Date+7*(ROWS($1:260)-1),EDATE(Start_Date,VLOOKUP(IF(ASTemp!$E$7="","Monthly",ASTemp!$E$7),Parameters!$B$3:$D$6,3,0)*(ROWS($1:260)-1))))</f>
        <v/>
      </c>
      <c r="D272" s="68" t="str">
        <f t="shared" si="2"/>
        <v/>
      </c>
      <c r="E272" s="65" t="str">
        <f>IF($B272="","",VLOOKUP(MONTH(C272),Parameters!$F$2:$G$13,2,0))</f>
        <v/>
      </c>
      <c r="F272" s="69" t="str">
        <f>IF($B272="","",PV-N(J271))</f>
        <v/>
      </c>
      <c r="G272" s="69" t="str">
        <f>IF($B272="","",PMT(Rate,Nper,-PV,,Type))</f>
        <v/>
      </c>
      <c r="H272" s="69" t="str">
        <f>IF($B272="","",PPMT(Rate,ROWS($1:260),Nper,-PV,,Type))</f>
        <v/>
      </c>
      <c r="I272" s="69" t="str">
        <f>IF($B272="","",IPMT(Rate,ROWS($1:260),Nper,-PV,,Type))</f>
        <v/>
      </c>
      <c r="J272" s="73" t="str">
        <f t="shared" ref="J272:K272" si="262">IF($B272="","",N(J271)+N(H272))</f>
        <v/>
      </c>
      <c r="K272" s="74" t="str">
        <f t="shared" si="262"/>
        <v/>
      </c>
      <c r="L272" s="69" t="str">
        <f>IF($B272="","",PV-J272)</f>
        <v/>
      </c>
      <c r="M272" s="71" t="str">
        <f>IF($B272="","",J272/PV)</f>
        <v/>
      </c>
      <c r="N272" s="72" t="str">
        <f t="shared" si="4"/>
        <v/>
      </c>
    </row>
    <row r="273" ht="14.25" customHeight="1">
      <c r="B273" s="66" t="str">
        <f>IF(ROWS($1:261)&lt;=Nper,ROWS($1:261),"")</f>
        <v/>
      </c>
      <c r="C273" s="67" t="str">
        <f>IF($B273="","",IF($E$7="Weekly",Start_Date+7*(ROWS($1:261)-1),EDATE(Start_Date,VLOOKUP(IF(ASTemp!$E$7="","Monthly",ASTemp!$E$7),Parameters!$B$3:$D$6,3,0)*(ROWS($1:261)-1))))</f>
        <v/>
      </c>
      <c r="D273" s="68" t="str">
        <f t="shared" si="2"/>
        <v/>
      </c>
      <c r="E273" s="65" t="str">
        <f>IF($B273="","",VLOOKUP(MONTH(C273),Parameters!$F$2:$G$13,2,0))</f>
        <v/>
      </c>
      <c r="F273" s="69" t="str">
        <f>IF($B273="","",PV-N(J272))</f>
        <v/>
      </c>
      <c r="G273" s="69" t="str">
        <f>IF($B273="","",PMT(Rate,Nper,-PV,,Type))</f>
        <v/>
      </c>
      <c r="H273" s="69" t="str">
        <f>IF($B273="","",PPMT(Rate,ROWS($1:261),Nper,-PV,,Type))</f>
        <v/>
      </c>
      <c r="I273" s="69" t="str">
        <f>IF($B273="","",IPMT(Rate,ROWS($1:261),Nper,-PV,,Type))</f>
        <v/>
      </c>
      <c r="J273" s="73" t="str">
        <f t="shared" ref="J273:K273" si="263">IF($B273="","",N(J272)+N(H273))</f>
        <v/>
      </c>
      <c r="K273" s="74" t="str">
        <f t="shared" si="263"/>
        <v/>
      </c>
      <c r="L273" s="69" t="str">
        <f>IF($B273="","",PV-J273)</f>
        <v/>
      </c>
      <c r="M273" s="71" t="str">
        <f>IF($B273="","",J273/PV)</f>
        <v/>
      </c>
      <c r="N273" s="72" t="str">
        <f t="shared" si="4"/>
        <v/>
      </c>
    </row>
    <row r="274" ht="14.25" customHeight="1">
      <c r="B274" s="66" t="str">
        <f>IF(ROWS($1:262)&lt;=Nper,ROWS($1:262),"")</f>
        <v/>
      </c>
      <c r="C274" s="67" t="str">
        <f>IF($B274="","",IF($E$7="Weekly",Start_Date+7*(ROWS($1:262)-1),EDATE(Start_Date,VLOOKUP(IF(ASTemp!$E$7="","Monthly",ASTemp!$E$7),Parameters!$B$3:$D$6,3,0)*(ROWS($1:262)-1))))</f>
        <v/>
      </c>
      <c r="D274" s="68" t="str">
        <f t="shared" si="2"/>
        <v/>
      </c>
      <c r="E274" s="65" t="str">
        <f>IF($B274="","",VLOOKUP(MONTH(C274),Parameters!$F$2:$G$13,2,0))</f>
        <v/>
      </c>
      <c r="F274" s="69" t="str">
        <f>IF($B274="","",PV-N(J273))</f>
        <v/>
      </c>
      <c r="G274" s="69" t="str">
        <f>IF($B274="","",PMT(Rate,Nper,-PV,,Type))</f>
        <v/>
      </c>
      <c r="H274" s="69" t="str">
        <f>IF($B274="","",PPMT(Rate,ROWS($1:262),Nper,-PV,,Type))</f>
        <v/>
      </c>
      <c r="I274" s="69" t="str">
        <f>IF($B274="","",IPMT(Rate,ROWS($1:262),Nper,-PV,,Type))</f>
        <v/>
      </c>
      <c r="J274" s="73" t="str">
        <f t="shared" ref="J274:K274" si="264">IF($B274="","",N(J273)+N(H274))</f>
        <v/>
      </c>
      <c r="K274" s="74" t="str">
        <f t="shared" si="264"/>
        <v/>
      </c>
      <c r="L274" s="69" t="str">
        <f>IF($B274="","",PV-J274)</f>
        <v/>
      </c>
      <c r="M274" s="71" t="str">
        <f>IF($B274="","",J274/PV)</f>
        <v/>
      </c>
      <c r="N274" s="72" t="str">
        <f t="shared" si="4"/>
        <v/>
      </c>
    </row>
    <row r="275" ht="14.25" customHeight="1">
      <c r="B275" s="66" t="str">
        <f>IF(ROWS($1:263)&lt;=Nper,ROWS($1:263),"")</f>
        <v/>
      </c>
      <c r="C275" s="67" t="str">
        <f>IF($B275="","",IF($E$7="Weekly",Start_Date+7*(ROWS($1:263)-1),EDATE(Start_Date,VLOOKUP(IF(ASTemp!$E$7="","Monthly",ASTemp!$E$7),Parameters!$B$3:$D$6,3,0)*(ROWS($1:263)-1))))</f>
        <v/>
      </c>
      <c r="D275" s="68" t="str">
        <f t="shared" si="2"/>
        <v/>
      </c>
      <c r="E275" s="65" t="str">
        <f>IF($B275="","",VLOOKUP(MONTH(C275),Parameters!$F$2:$G$13,2,0))</f>
        <v/>
      </c>
      <c r="F275" s="69" t="str">
        <f>IF($B275="","",PV-N(J274))</f>
        <v/>
      </c>
      <c r="G275" s="69" t="str">
        <f>IF($B275="","",PMT(Rate,Nper,-PV,,Type))</f>
        <v/>
      </c>
      <c r="H275" s="69" t="str">
        <f>IF($B275="","",PPMT(Rate,ROWS($1:263),Nper,-PV,,Type))</f>
        <v/>
      </c>
      <c r="I275" s="69" t="str">
        <f>IF($B275="","",IPMT(Rate,ROWS($1:263),Nper,-PV,,Type))</f>
        <v/>
      </c>
      <c r="J275" s="73" t="str">
        <f t="shared" ref="J275:K275" si="265">IF($B275="","",N(J274)+N(H275))</f>
        <v/>
      </c>
      <c r="K275" s="74" t="str">
        <f t="shared" si="265"/>
        <v/>
      </c>
      <c r="L275" s="69" t="str">
        <f>IF($B275="","",PV-J275)</f>
        <v/>
      </c>
      <c r="M275" s="71" t="str">
        <f>IF($B275="","",J275/PV)</f>
        <v/>
      </c>
      <c r="N275" s="72" t="str">
        <f t="shared" si="4"/>
        <v/>
      </c>
    </row>
    <row r="276" ht="14.25" customHeight="1">
      <c r="B276" s="66" t="str">
        <f>IF(ROWS($1:264)&lt;=Nper,ROWS($1:264),"")</f>
        <v/>
      </c>
      <c r="C276" s="67" t="str">
        <f>IF($B276="","",IF($E$7="Weekly",Start_Date+7*(ROWS($1:264)-1),EDATE(Start_Date,VLOOKUP(IF(ASTemp!$E$7="","Monthly",ASTemp!$E$7),Parameters!$B$3:$D$6,3,0)*(ROWS($1:264)-1))))</f>
        <v/>
      </c>
      <c r="D276" s="68" t="str">
        <f t="shared" si="2"/>
        <v/>
      </c>
      <c r="E276" s="65" t="str">
        <f>IF($B276="","",VLOOKUP(MONTH(C276),Parameters!$F$2:$G$13,2,0))</f>
        <v/>
      </c>
      <c r="F276" s="69" t="str">
        <f>IF($B276="","",PV-N(J275))</f>
        <v/>
      </c>
      <c r="G276" s="69" t="str">
        <f>IF($B276="","",PMT(Rate,Nper,-PV,,Type))</f>
        <v/>
      </c>
      <c r="H276" s="69" t="str">
        <f>IF($B276="","",PPMT(Rate,ROWS($1:264),Nper,-PV,,Type))</f>
        <v/>
      </c>
      <c r="I276" s="69" t="str">
        <f>IF($B276="","",IPMT(Rate,ROWS($1:264),Nper,-PV,,Type))</f>
        <v/>
      </c>
      <c r="J276" s="73" t="str">
        <f t="shared" ref="J276:K276" si="266">IF($B276="","",N(J275)+N(H276))</f>
        <v/>
      </c>
      <c r="K276" s="74" t="str">
        <f t="shared" si="266"/>
        <v/>
      </c>
      <c r="L276" s="69" t="str">
        <f>IF($B276="","",PV-J276)</f>
        <v/>
      </c>
      <c r="M276" s="71" t="str">
        <f>IF($B276="","",J276/PV)</f>
        <v/>
      </c>
      <c r="N276" s="72" t="str">
        <f t="shared" si="4"/>
        <v/>
      </c>
    </row>
    <row r="277" ht="14.25" customHeight="1">
      <c r="B277" s="66" t="str">
        <f>IF(ROWS($1:265)&lt;=Nper,ROWS($1:265),"")</f>
        <v/>
      </c>
      <c r="C277" s="67" t="str">
        <f>IF($B277="","",IF($E$7="Weekly",Start_Date+7*(ROWS($1:265)-1),EDATE(Start_Date,VLOOKUP(IF(ASTemp!$E$7="","Monthly",ASTemp!$E$7),Parameters!$B$3:$D$6,3,0)*(ROWS($1:265)-1))))</f>
        <v/>
      </c>
      <c r="D277" s="68" t="str">
        <f t="shared" si="2"/>
        <v/>
      </c>
      <c r="E277" s="65" t="str">
        <f>IF($B277="","",VLOOKUP(MONTH(C277),Parameters!$F$2:$G$13,2,0))</f>
        <v/>
      </c>
      <c r="F277" s="69" t="str">
        <f>IF($B277="","",PV-N(J276))</f>
        <v/>
      </c>
      <c r="G277" s="69" t="str">
        <f>IF($B277="","",PMT(Rate,Nper,-PV,,Type))</f>
        <v/>
      </c>
      <c r="H277" s="69" t="str">
        <f>IF($B277="","",PPMT(Rate,ROWS($1:265),Nper,-PV,,Type))</f>
        <v/>
      </c>
      <c r="I277" s="69" t="str">
        <f>IF($B277="","",IPMT(Rate,ROWS($1:265),Nper,-PV,,Type))</f>
        <v/>
      </c>
      <c r="J277" s="73" t="str">
        <f t="shared" ref="J277:K277" si="267">IF($B277="","",N(J276)+N(H277))</f>
        <v/>
      </c>
      <c r="K277" s="74" t="str">
        <f t="shared" si="267"/>
        <v/>
      </c>
      <c r="L277" s="69" t="str">
        <f>IF($B277="","",PV-J277)</f>
        <v/>
      </c>
      <c r="M277" s="71" t="str">
        <f>IF($B277="","",J277/PV)</f>
        <v/>
      </c>
      <c r="N277" s="72" t="str">
        <f t="shared" si="4"/>
        <v/>
      </c>
    </row>
    <row r="278" ht="14.25" customHeight="1">
      <c r="B278" s="66" t="str">
        <f>IF(ROWS($1:266)&lt;=Nper,ROWS($1:266),"")</f>
        <v/>
      </c>
      <c r="C278" s="67" t="str">
        <f>IF($B278="","",IF($E$7="Weekly",Start_Date+7*(ROWS($1:266)-1),EDATE(Start_Date,VLOOKUP(IF(ASTemp!$E$7="","Monthly",ASTemp!$E$7),Parameters!$B$3:$D$6,3,0)*(ROWS($1:266)-1))))</f>
        <v/>
      </c>
      <c r="D278" s="68" t="str">
        <f t="shared" si="2"/>
        <v/>
      </c>
      <c r="E278" s="65" t="str">
        <f>IF($B278="","",VLOOKUP(MONTH(C278),Parameters!$F$2:$G$13,2,0))</f>
        <v/>
      </c>
      <c r="F278" s="69" t="str">
        <f>IF($B278="","",PV-N(J277))</f>
        <v/>
      </c>
      <c r="G278" s="69" t="str">
        <f>IF($B278="","",PMT(Rate,Nper,-PV,,Type))</f>
        <v/>
      </c>
      <c r="H278" s="69" t="str">
        <f>IF($B278="","",PPMT(Rate,ROWS($1:266),Nper,-PV,,Type))</f>
        <v/>
      </c>
      <c r="I278" s="69" t="str">
        <f>IF($B278="","",IPMT(Rate,ROWS($1:266),Nper,-PV,,Type))</f>
        <v/>
      </c>
      <c r="J278" s="73" t="str">
        <f t="shared" ref="J278:K278" si="268">IF($B278="","",N(J277)+N(H278))</f>
        <v/>
      </c>
      <c r="K278" s="74" t="str">
        <f t="shared" si="268"/>
        <v/>
      </c>
      <c r="L278" s="69" t="str">
        <f>IF($B278="","",PV-J278)</f>
        <v/>
      </c>
      <c r="M278" s="71" t="str">
        <f>IF($B278="","",J278/PV)</f>
        <v/>
      </c>
      <c r="N278" s="72" t="str">
        <f t="shared" si="4"/>
        <v/>
      </c>
    </row>
    <row r="279" ht="14.25" customHeight="1">
      <c r="B279" s="66" t="str">
        <f>IF(ROWS($1:267)&lt;=Nper,ROWS($1:267),"")</f>
        <v/>
      </c>
      <c r="C279" s="67" t="str">
        <f>IF($B279="","",IF($E$7="Weekly",Start_Date+7*(ROWS($1:267)-1),EDATE(Start_Date,VLOOKUP(IF(ASTemp!$E$7="","Monthly",ASTemp!$E$7),Parameters!$B$3:$D$6,3,0)*(ROWS($1:267)-1))))</f>
        <v/>
      </c>
      <c r="D279" s="68" t="str">
        <f t="shared" si="2"/>
        <v/>
      </c>
      <c r="E279" s="65" t="str">
        <f>IF($B279="","",VLOOKUP(MONTH(C279),Parameters!$F$2:$G$13,2,0))</f>
        <v/>
      </c>
      <c r="F279" s="69" t="str">
        <f>IF($B279="","",PV-N(J278))</f>
        <v/>
      </c>
      <c r="G279" s="69" t="str">
        <f>IF($B279="","",PMT(Rate,Nper,-PV,,Type))</f>
        <v/>
      </c>
      <c r="H279" s="69" t="str">
        <f>IF($B279="","",PPMT(Rate,ROWS($1:267),Nper,-PV,,Type))</f>
        <v/>
      </c>
      <c r="I279" s="69" t="str">
        <f>IF($B279="","",IPMT(Rate,ROWS($1:267),Nper,-PV,,Type))</f>
        <v/>
      </c>
      <c r="J279" s="73" t="str">
        <f t="shared" ref="J279:K279" si="269">IF($B279="","",N(J278)+N(H279))</f>
        <v/>
      </c>
      <c r="K279" s="74" t="str">
        <f t="shared" si="269"/>
        <v/>
      </c>
      <c r="L279" s="69" t="str">
        <f>IF($B279="","",PV-J279)</f>
        <v/>
      </c>
      <c r="M279" s="71" t="str">
        <f>IF($B279="","",J279/PV)</f>
        <v/>
      </c>
      <c r="N279" s="72" t="str">
        <f t="shared" si="4"/>
        <v/>
      </c>
    </row>
    <row r="280" ht="14.25" customHeight="1">
      <c r="B280" s="66" t="str">
        <f>IF(ROWS($1:268)&lt;=Nper,ROWS($1:268),"")</f>
        <v/>
      </c>
      <c r="C280" s="67" t="str">
        <f>IF($B280="","",IF($E$7="Weekly",Start_Date+7*(ROWS($1:268)-1),EDATE(Start_Date,VLOOKUP(IF(ASTemp!$E$7="","Monthly",ASTemp!$E$7),Parameters!$B$3:$D$6,3,0)*(ROWS($1:268)-1))))</f>
        <v/>
      </c>
      <c r="D280" s="68" t="str">
        <f t="shared" si="2"/>
        <v/>
      </c>
      <c r="E280" s="65" t="str">
        <f>IF($B280="","",VLOOKUP(MONTH(C280),Parameters!$F$2:$G$13,2,0))</f>
        <v/>
      </c>
      <c r="F280" s="69" t="str">
        <f>IF($B280="","",PV-N(J279))</f>
        <v/>
      </c>
      <c r="G280" s="69" t="str">
        <f>IF($B280="","",PMT(Rate,Nper,-PV,,Type))</f>
        <v/>
      </c>
      <c r="H280" s="69" t="str">
        <f>IF($B280="","",PPMT(Rate,ROWS($1:268),Nper,-PV,,Type))</f>
        <v/>
      </c>
      <c r="I280" s="69" t="str">
        <f>IF($B280="","",IPMT(Rate,ROWS($1:268),Nper,-PV,,Type))</f>
        <v/>
      </c>
      <c r="J280" s="73" t="str">
        <f t="shared" ref="J280:K280" si="270">IF($B280="","",N(J279)+N(H280))</f>
        <v/>
      </c>
      <c r="K280" s="74" t="str">
        <f t="shared" si="270"/>
        <v/>
      </c>
      <c r="L280" s="69" t="str">
        <f>IF($B280="","",PV-J280)</f>
        <v/>
      </c>
      <c r="M280" s="71" t="str">
        <f>IF($B280="","",J280/PV)</f>
        <v/>
      </c>
      <c r="N280" s="72" t="str">
        <f t="shared" si="4"/>
        <v/>
      </c>
    </row>
    <row r="281" ht="14.25" customHeight="1">
      <c r="B281" s="66" t="str">
        <f>IF(ROWS($1:269)&lt;=Nper,ROWS($1:269),"")</f>
        <v/>
      </c>
      <c r="C281" s="67" t="str">
        <f>IF($B281="","",IF($E$7="Weekly",Start_Date+7*(ROWS($1:269)-1),EDATE(Start_Date,VLOOKUP(IF(ASTemp!$E$7="","Monthly",ASTemp!$E$7),Parameters!$B$3:$D$6,3,0)*(ROWS($1:269)-1))))</f>
        <v/>
      </c>
      <c r="D281" s="68" t="str">
        <f t="shared" si="2"/>
        <v/>
      </c>
      <c r="E281" s="65" t="str">
        <f>IF($B281="","",VLOOKUP(MONTH(C281),Parameters!$F$2:$G$13,2,0))</f>
        <v/>
      </c>
      <c r="F281" s="69" t="str">
        <f>IF($B281="","",PV-N(J280))</f>
        <v/>
      </c>
      <c r="G281" s="69" t="str">
        <f>IF($B281="","",PMT(Rate,Nper,-PV,,Type))</f>
        <v/>
      </c>
      <c r="H281" s="69" t="str">
        <f>IF($B281="","",PPMT(Rate,ROWS($1:269),Nper,-PV,,Type))</f>
        <v/>
      </c>
      <c r="I281" s="69" t="str">
        <f>IF($B281="","",IPMT(Rate,ROWS($1:269),Nper,-PV,,Type))</f>
        <v/>
      </c>
      <c r="J281" s="73" t="str">
        <f t="shared" ref="J281:K281" si="271">IF($B281="","",N(J280)+N(H281))</f>
        <v/>
      </c>
      <c r="K281" s="74" t="str">
        <f t="shared" si="271"/>
        <v/>
      </c>
      <c r="L281" s="69" t="str">
        <f>IF($B281="","",PV-J281)</f>
        <v/>
      </c>
      <c r="M281" s="71" t="str">
        <f>IF($B281="","",J281/PV)</f>
        <v/>
      </c>
      <c r="N281" s="72" t="str">
        <f t="shared" si="4"/>
        <v/>
      </c>
    </row>
    <row r="282" ht="14.25" customHeight="1">
      <c r="B282" s="66" t="str">
        <f>IF(ROWS($1:270)&lt;=Nper,ROWS($1:270),"")</f>
        <v/>
      </c>
      <c r="C282" s="67" t="str">
        <f>IF($B282="","",IF($E$7="Weekly",Start_Date+7*(ROWS($1:270)-1),EDATE(Start_Date,VLOOKUP(IF(ASTemp!$E$7="","Monthly",ASTemp!$E$7),Parameters!$B$3:$D$6,3,0)*(ROWS($1:270)-1))))</f>
        <v/>
      </c>
      <c r="D282" s="68" t="str">
        <f t="shared" si="2"/>
        <v/>
      </c>
      <c r="E282" s="65" t="str">
        <f>IF($B282="","",VLOOKUP(MONTH(C282),Parameters!$F$2:$G$13,2,0))</f>
        <v/>
      </c>
      <c r="F282" s="69" t="str">
        <f>IF($B282="","",PV-N(J281))</f>
        <v/>
      </c>
      <c r="G282" s="69" t="str">
        <f>IF($B282="","",PMT(Rate,Nper,-PV,,Type))</f>
        <v/>
      </c>
      <c r="H282" s="69" t="str">
        <f>IF($B282="","",PPMT(Rate,ROWS($1:270),Nper,-PV,,Type))</f>
        <v/>
      </c>
      <c r="I282" s="69" t="str">
        <f>IF($B282="","",IPMT(Rate,ROWS($1:270),Nper,-PV,,Type))</f>
        <v/>
      </c>
      <c r="J282" s="73" t="str">
        <f t="shared" ref="J282:K282" si="272">IF($B282="","",N(J281)+N(H282))</f>
        <v/>
      </c>
      <c r="K282" s="74" t="str">
        <f t="shared" si="272"/>
        <v/>
      </c>
      <c r="L282" s="69" t="str">
        <f>IF($B282="","",PV-J282)</f>
        <v/>
      </c>
      <c r="M282" s="71" t="str">
        <f>IF($B282="","",J282/PV)</f>
        <v/>
      </c>
      <c r="N282" s="72" t="str">
        <f t="shared" si="4"/>
        <v/>
      </c>
    </row>
    <row r="283" ht="14.25" customHeight="1">
      <c r="B283" s="66" t="str">
        <f>IF(ROWS($1:271)&lt;=Nper,ROWS($1:271),"")</f>
        <v/>
      </c>
      <c r="C283" s="67" t="str">
        <f>IF($B283="","",IF($E$7="Weekly",Start_Date+7*(ROWS($1:271)-1),EDATE(Start_Date,VLOOKUP(IF(ASTemp!$E$7="","Monthly",ASTemp!$E$7),Parameters!$B$3:$D$6,3,0)*(ROWS($1:271)-1))))</f>
        <v/>
      </c>
      <c r="D283" s="68" t="str">
        <f t="shared" si="2"/>
        <v/>
      </c>
      <c r="E283" s="65" t="str">
        <f>IF($B283="","",VLOOKUP(MONTH(C283),Parameters!$F$2:$G$13,2,0))</f>
        <v/>
      </c>
      <c r="F283" s="69" t="str">
        <f>IF($B283="","",PV-N(J282))</f>
        <v/>
      </c>
      <c r="G283" s="69" t="str">
        <f>IF($B283="","",PMT(Rate,Nper,-PV,,Type))</f>
        <v/>
      </c>
      <c r="H283" s="69" t="str">
        <f>IF($B283="","",PPMT(Rate,ROWS($1:271),Nper,-PV,,Type))</f>
        <v/>
      </c>
      <c r="I283" s="69" t="str">
        <f>IF($B283="","",IPMT(Rate,ROWS($1:271),Nper,-PV,,Type))</f>
        <v/>
      </c>
      <c r="J283" s="73" t="str">
        <f t="shared" ref="J283:K283" si="273">IF($B283="","",N(J282)+N(H283))</f>
        <v/>
      </c>
      <c r="K283" s="74" t="str">
        <f t="shared" si="273"/>
        <v/>
      </c>
      <c r="L283" s="69" t="str">
        <f>IF($B283="","",PV-J283)</f>
        <v/>
      </c>
      <c r="M283" s="71" t="str">
        <f>IF($B283="","",J283/PV)</f>
        <v/>
      </c>
      <c r="N283" s="72" t="str">
        <f t="shared" si="4"/>
        <v/>
      </c>
    </row>
    <row r="284" ht="14.25" customHeight="1">
      <c r="B284" s="66" t="str">
        <f>IF(ROWS($1:272)&lt;=Nper,ROWS($1:272),"")</f>
        <v/>
      </c>
      <c r="C284" s="67" t="str">
        <f>IF($B284="","",IF($E$7="Weekly",Start_Date+7*(ROWS($1:272)-1),EDATE(Start_Date,VLOOKUP(IF(ASTemp!$E$7="","Monthly",ASTemp!$E$7),Parameters!$B$3:$D$6,3,0)*(ROWS($1:272)-1))))</f>
        <v/>
      </c>
      <c r="D284" s="68" t="str">
        <f t="shared" si="2"/>
        <v/>
      </c>
      <c r="E284" s="65" t="str">
        <f>IF($B284="","",VLOOKUP(MONTH(C284),Parameters!$F$2:$G$13,2,0))</f>
        <v/>
      </c>
      <c r="F284" s="69" t="str">
        <f>IF($B284="","",PV-N(J283))</f>
        <v/>
      </c>
      <c r="G284" s="69" t="str">
        <f>IF($B284="","",PMT(Rate,Nper,-PV,,Type))</f>
        <v/>
      </c>
      <c r="H284" s="69" t="str">
        <f>IF($B284="","",PPMT(Rate,ROWS($1:272),Nper,-PV,,Type))</f>
        <v/>
      </c>
      <c r="I284" s="69" t="str">
        <f>IF($B284="","",IPMT(Rate,ROWS($1:272),Nper,-PV,,Type))</f>
        <v/>
      </c>
      <c r="J284" s="73" t="str">
        <f t="shared" ref="J284:K284" si="274">IF($B284="","",N(J283)+N(H284))</f>
        <v/>
      </c>
      <c r="K284" s="74" t="str">
        <f t="shared" si="274"/>
        <v/>
      </c>
      <c r="L284" s="69" t="str">
        <f>IF($B284="","",PV-J284)</f>
        <v/>
      </c>
      <c r="M284" s="71" t="str">
        <f>IF($B284="","",J284/PV)</f>
        <v/>
      </c>
      <c r="N284" s="72" t="str">
        <f t="shared" si="4"/>
        <v/>
      </c>
    </row>
    <row r="285" ht="14.25" customHeight="1">
      <c r="B285" s="66" t="str">
        <f>IF(ROWS($1:273)&lt;=Nper,ROWS($1:273),"")</f>
        <v/>
      </c>
      <c r="C285" s="67" t="str">
        <f>IF($B285="","",IF($E$7="Weekly",Start_Date+7*(ROWS($1:273)-1),EDATE(Start_Date,VLOOKUP(IF(ASTemp!$E$7="","Monthly",ASTemp!$E$7),Parameters!$B$3:$D$6,3,0)*(ROWS($1:273)-1))))</f>
        <v/>
      </c>
      <c r="D285" s="68" t="str">
        <f t="shared" si="2"/>
        <v/>
      </c>
      <c r="E285" s="65" t="str">
        <f>IF($B285="","",VLOOKUP(MONTH(C285),Parameters!$F$2:$G$13,2,0))</f>
        <v/>
      </c>
      <c r="F285" s="69" t="str">
        <f>IF($B285="","",PV-N(J284))</f>
        <v/>
      </c>
      <c r="G285" s="69" t="str">
        <f>IF($B285="","",PMT(Rate,Nper,-PV,,Type))</f>
        <v/>
      </c>
      <c r="H285" s="69" t="str">
        <f>IF($B285="","",PPMT(Rate,ROWS($1:273),Nper,-PV,,Type))</f>
        <v/>
      </c>
      <c r="I285" s="69" t="str">
        <f>IF($B285="","",IPMT(Rate,ROWS($1:273),Nper,-PV,,Type))</f>
        <v/>
      </c>
      <c r="J285" s="73" t="str">
        <f t="shared" ref="J285:K285" si="275">IF($B285="","",N(J284)+N(H285))</f>
        <v/>
      </c>
      <c r="K285" s="74" t="str">
        <f t="shared" si="275"/>
        <v/>
      </c>
      <c r="L285" s="69" t="str">
        <f>IF($B285="","",PV-J285)</f>
        <v/>
      </c>
      <c r="M285" s="71" t="str">
        <f>IF($B285="","",J285/PV)</f>
        <v/>
      </c>
      <c r="N285" s="72" t="str">
        <f t="shared" si="4"/>
        <v/>
      </c>
    </row>
    <row r="286" ht="14.25" customHeight="1">
      <c r="B286" s="66" t="str">
        <f>IF(ROWS($1:274)&lt;=Nper,ROWS($1:274),"")</f>
        <v/>
      </c>
      <c r="C286" s="67" t="str">
        <f>IF($B286="","",IF($E$7="Weekly",Start_Date+7*(ROWS($1:274)-1),EDATE(Start_Date,VLOOKUP(IF(ASTemp!$E$7="","Monthly",ASTemp!$E$7),Parameters!$B$3:$D$6,3,0)*(ROWS($1:274)-1))))</f>
        <v/>
      </c>
      <c r="D286" s="68" t="str">
        <f t="shared" si="2"/>
        <v/>
      </c>
      <c r="E286" s="65" t="str">
        <f>IF($B286="","",VLOOKUP(MONTH(C286),Parameters!$F$2:$G$13,2,0))</f>
        <v/>
      </c>
      <c r="F286" s="69" t="str">
        <f>IF($B286="","",PV-N(J285))</f>
        <v/>
      </c>
      <c r="G286" s="69" t="str">
        <f>IF($B286="","",PMT(Rate,Nper,-PV,,Type))</f>
        <v/>
      </c>
      <c r="H286" s="69" t="str">
        <f>IF($B286="","",PPMT(Rate,ROWS($1:274),Nper,-PV,,Type))</f>
        <v/>
      </c>
      <c r="I286" s="69" t="str">
        <f>IF($B286="","",IPMT(Rate,ROWS($1:274),Nper,-PV,,Type))</f>
        <v/>
      </c>
      <c r="J286" s="73" t="str">
        <f t="shared" ref="J286:K286" si="276">IF($B286="","",N(J285)+N(H286))</f>
        <v/>
      </c>
      <c r="K286" s="74" t="str">
        <f t="shared" si="276"/>
        <v/>
      </c>
      <c r="L286" s="69" t="str">
        <f>IF($B286="","",PV-J286)</f>
        <v/>
      </c>
      <c r="M286" s="71" t="str">
        <f>IF($B286="","",J286/PV)</f>
        <v/>
      </c>
      <c r="N286" s="72" t="str">
        <f t="shared" si="4"/>
        <v/>
      </c>
    </row>
    <row r="287" ht="14.25" customHeight="1">
      <c r="B287" s="66" t="str">
        <f>IF(ROWS($1:275)&lt;=Nper,ROWS($1:275),"")</f>
        <v/>
      </c>
      <c r="C287" s="67" t="str">
        <f>IF($B287="","",IF($E$7="Weekly",Start_Date+7*(ROWS($1:275)-1),EDATE(Start_Date,VLOOKUP(IF(ASTemp!$E$7="","Monthly",ASTemp!$E$7),Parameters!$B$3:$D$6,3,0)*(ROWS($1:275)-1))))</f>
        <v/>
      </c>
      <c r="D287" s="68" t="str">
        <f t="shared" si="2"/>
        <v/>
      </c>
      <c r="E287" s="65" t="str">
        <f>IF($B287="","",VLOOKUP(MONTH(C287),Parameters!$F$2:$G$13,2,0))</f>
        <v/>
      </c>
      <c r="F287" s="69" t="str">
        <f>IF($B287="","",PV-N(J286))</f>
        <v/>
      </c>
      <c r="G287" s="69" t="str">
        <f>IF($B287="","",PMT(Rate,Nper,-PV,,Type))</f>
        <v/>
      </c>
      <c r="H287" s="69" t="str">
        <f>IF($B287="","",PPMT(Rate,ROWS($1:275),Nper,-PV,,Type))</f>
        <v/>
      </c>
      <c r="I287" s="69" t="str">
        <f>IF($B287="","",IPMT(Rate,ROWS($1:275),Nper,-PV,,Type))</f>
        <v/>
      </c>
      <c r="J287" s="73" t="str">
        <f t="shared" ref="J287:K287" si="277">IF($B287="","",N(J286)+N(H287))</f>
        <v/>
      </c>
      <c r="K287" s="74" t="str">
        <f t="shared" si="277"/>
        <v/>
      </c>
      <c r="L287" s="69" t="str">
        <f>IF($B287="","",PV-J287)</f>
        <v/>
      </c>
      <c r="M287" s="71" t="str">
        <f>IF($B287="","",J287/PV)</f>
        <v/>
      </c>
      <c r="N287" s="72" t="str">
        <f t="shared" si="4"/>
        <v/>
      </c>
    </row>
    <row r="288" ht="14.25" customHeight="1">
      <c r="B288" s="66" t="str">
        <f>IF(ROWS($1:276)&lt;=Nper,ROWS($1:276),"")</f>
        <v/>
      </c>
      <c r="C288" s="67" t="str">
        <f>IF($B288="","",IF($E$7="Weekly",Start_Date+7*(ROWS($1:276)-1),EDATE(Start_Date,VLOOKUP(IF(ASTemp!$E$7="","Monthly",ASTemp!$E$7),Parameters!$B$3:$D$6,3,0)*(ROWS($1:276)-1))))</f>
        <v/>
      </c>
      <c r="D288" s="68" t="str">
        <f t="shared" si="2"/>
        <v/>
      </c>
      <c r="E288" s="65" t="str">
        <f>IF($B288="","",VLOOKUP(MONTH(C288),Parameters!$F$2:$G$13,2,0))</f>
        <v/>
      </c>
      <c r="F288" s="69" t="str">
        <f>IF($B288="","",PV-N(J287))</f>
        <v/>
      </c>
      <c r="G288" s="69" t="str">
        <f>IF($B288="","",PMT(Rate,Nper,-PV,,Type))</f>
        <v/>
      </c>
      <c r="H288" s="69" t="str">
        <f>IF($B288="","",PPMT(Rate,ROWS($1:276),Nper,-PV,,Type))</f>
        <v/>
      </c>
      <c r="I288" s="69" t="str">
        <f>IF($B288="","",IPMT(Rate,ROWS($1:276),Nper,-PV,,Type))</f>
        <v/>
      </c>
      <c r="J288" s="73" t="str">
        <f t="shared" ref="J288:K288" si="278">IF($B288="","",N(J287)+N(H288))</f>
        <v/>
      </c>
      <c r="K288" s="74" t="str">
        <f t="shared" si="278"/>
        <v/>
      </c>
      <c r="L288" s="69" t="str">
        <f>IF($B288="","",PV-J288)</f>
        <v/>
      </c>
      <c r="M288" s="71" t="str">
        <f>IF($B288="","",J288/PV)</f>
        <v/>
      </c>
      <c r="N288" s="72" t="str">
        <f t="shared" si="4"/>
        <v/>
      </c>
    </row>
    <row r="289" ht="14.25" customHeight="1">
      <c r="B289" s="66" t="str">
        <f>IF(ROWS($1:277)&lt;=Nper,ROWS($1:277),"")</f>
        <v/>
      </c>
      <c r="C289" s="67" t="str">
        <f>IF($B289="","",IF($E$7="Weekly",Start_Date+7*(ROWS($1:277)-1),EDATE(Start_Date,VLOOKUP(IF(ASTemp!$E$7="","Monthly",ASTemp!$E$7),Parameters!$B$3:$D$6,3,0)*(ROWS($1:277)-1))))</f>
        <v/>
      </c>
      <c r="D289" s="68" t="str">
        <f t="shared" si="2"/>
        <v/>
      </c>
      <c r="E289" s="65" t="str">
        <f>IF($B289="","",VLOOKUP(MONTH(C289),Parameters!$F$2:$G$13,2,0))</f>
        <v/>
      </c>
      <c r="F289" s="69" t="str">
        <f>IF($B289="","",PV-N(J288))</f>
        <v/>
      </c>
      <c r="G289" s="69" t="str">
        <f>IF($B289="","",PMT(Rate,Nper,-PV,,Type))</f>
        <v/>
      </c>
      <c r="H289" s="69" t="str">
        <f>IF($B289="","",PPMT(Rate,ROWS($1:277),Nper,-PV,,Type))</f>
        <v/>
      </c>
      <c r="I289" s="69" t="str">
        <f>IF($B289="","",IPMT(Rate,ROWS($1:277),Nper,-PV,,Type))</f>
        <v/>
      </c>
      <c r="J289" s="73" t="str">
        <f t="shared" ref="J289:K289" si="279">IF($B289="","",N(J288)+N(H289))</f>
        <v/>
      </c>
      <c r="K289" s="74" t="str">
        <f t="shared" si="279"/>
        <v/>
      </c>
      <c r="L289" s="69" t="str">
        <f>IF($B289="","",PV-J289)</f>
        <v/>
      </c>
      <c r="M289" s="71" t="str">
        <f>IF($B289="","",J289/PV)</f>
        <v/>
      </c>
      <c r="N289" s="72" t="str">
        <f t="shared" si="4"/>
        <v/>
      </c>
    </row>
    <row r="290" ht="14.25" customHeight="1">
      <c r="B290" s="66" t="str">
        <f>IF(ROWS($1:278)&lt;=Nper,ROWS($1:278),"")</f>
        <v/>
      </c>
      <c r="C290" s="67" t="str">
        <f>IF($B290="","",IF($E$7="Weekly",Start_Date+7*(ROWS($1:278)-1),EDATE(Start_Date,VLOOKUP(IF(ASTemp!$E$7="","Monthly",ASTemp!$E$7),Parameters!$B$3:$D$6,3,0)*(ROWS($1:278)-1))))</f>
        <v/>
      </c>
      <c r="D290" s="68" t="str">
        <f t="shared" si="2"/>
        <v/>
      </c>
      <c r="E290" s="65" t="str">
        <f>IF($B290="","",VLOOKUP(MONTH(C290),Parameters!$F$2:$G$13,2,0))</f>
        <v/>
      </c>
      <c r="F290" s="69" t="str">
        <f>IF($B290="","",PV-N(J289))</f>
        <v/>
      </c>
      <c r="G290" s="69" t="str">
        <f>IF($B290="","",PMT(Rate,Nper,-PV,,Type))</f>
        <v/>
      </c>
      <c r="H290" s="69" t="str">
        <f>IF($B290="","",PPMT(Rate,ROWS($1:278),Nper,-PV,,Type))</f>
        <v/>
      </c>
      <c r="I290" s="69" t="str">
        <f>IF($B290="","",IPMT(Rate,ROWS($1:278),Nper,-PV,,Type))</f>
        <v/>
      </c>
      <c r="J290" s="73" t="str">
        <f t="shared" ref="J290:K290" si="280">IF($B290="","",N(J289)+N(H290))</f>
        <v/>
      </c>
      <c r="K290" s="74" t="str">
        <f t="shared" si="280"/>
        <v/>
      </c>
      <c r="L290" s="69" t="str">
        <f>IF($B290="","",PV-J290)</f>
        <v/>
      </c>
      <c r="M290" s="71" t="str">
        <f>IF($B290="","",J290/PV)</f>
        <v/>
      </c>
      <c r="N290" s="72" t="str">
        <f t="shared" si="4"/>
        <v/>
      </c>
    </row>
    <row r="291" ht="14.25" customHeight="1">
      <c r="B291" s="66" t="str">
        <f>IF(ROWS($1:279)&lt;=Nper,ROWS($1:279),"")</f>
        <v/>
      </c>
      <c r="C291" s="67" t="str">
        <f>IF($B291="","",IF($E$7="Weekly",Start_Date+7*(ROWS($1:279)-1),EDATE(Start_Date,VLOOKUP(IF(ASTemp!$E$7="","Monthly",ASTemp!$E$7),Parameters!$B$3:$D$6,3,0)*(ROWS($1:279)-1))))</f>
        <v/>
      </c>
      <c r="D291" s="68" t="str">
        <f t="shared" si="2"/>
        <v/>
      </c>
      <c r="E291" s="65" t="str">
        <f>IF($B291="","",VLOOKUP(MONTH(C291),Parameters!$F$2:$G$13,2,0))</f>
        <v/>
      </c>
      <c r="F291" s="69" t="str">
        <f>IF($B291="","",PV-N(J290))</f>
        <v/>
      </c>
      <c r="G291" s="69" t="str">
        <f>IF($B291="","",PMT(Rate,Nper,-PV,,Type))</f>
        <v/>
      </c>
      <c r="H291" s="69" t="str">
        <f>IF($B291="","",PPMT(Rate,ROWS($1:279),Nper,-PV,,Type))</f>
        <v/>
      </c>
      <c r="I291" s="69" t="str">
        <f>IF($B291="","",IPMT(Rate,ROWS($1:279),Nper,-PV,,Type))</f>
        <v/>
      </c>
      <c r="J291" s="73" t="str">
        <f t="shared" ref="J291:K291" si="281">IF($B291="","",N(J290)+N(H291))</f>
        <v/>
      </c>
      <c r="K291" s="74" t="str">
        <f t="shared" si="281"/>
        <v/>
      </c>
      <c r="L291" s="69" t="str">
        <f>IF($B291="","",PV-J291)</f>
        <v/>
      </c>
      <c r="M291" s="71" t="str">
        <f>IF($B291="","",J291/PV)</f>
        <v/>
      </c>
      <c r="N291" s="72" t="str">
        <f t="shared" si="4"/>
        <v/>
      </c>
    </row>
    <row r="292" ht="14.25" customHeight="1">
      <c r="B292" s="66" t="str">
        <f>IF(ROWS($1:280)&lt;=Nper,ROWS($1:280),"")</f>
        <v/>
      </c>
      <c r="C292" s="67" t="str">
        <f>IF($B292="","",IF($E$7="Weekly",Start_Date+7*(ROWS($1:280)-1),EDATE(Start_Date,VLOOKUP(IF(ASTemp!$E$7="","Monthly",ASTemp!$E$7),Parameters!$B$3:$D$6,3,0)*(ROWS($1:280)-1))))</f>
        <v/>
      </c>
      <c r="D292" s="68" t="str">
        <f t="shared" si="2"/>
        <v/>
      </c>
      <c r="E292" s="65" t="str">
        <f>IF($B292="","",VLOOKUP(MONTH(C292),Parameters!$F$2:$G$13,2,0))</f>
        <v/>
      </c>
      <c r="F292" s="69" t="str">
        <f>IF($B292="","",PV-N(J291))</f>
        <v/>
      </c>
      <c r="G292" s="69" t="str">
        <f>IF($B292="","",PMT(Rate,Nper,-PV,,Type))</f>
        <v/>
      </c>
      <c r="H292" s="69" t="str">
        <f>IF($B292="","",PPMT(Rate,ROWS($1:280),Nper,-PV,,Type))</f>
        <v/>
      </c>
      <c r="I292" s="69" t="str">
        <f>IF($B292="","",IPMT(Rate,ROWS($1:280),Nper,-PV,,Type))</f>
        <v/>
      </c>
      <c r="J292" s="73" t="str">
        <f t="shared" ref="J292:K292" si="282">IF($B292="","",N(J291)+N(H292))</f>
        <v/>
      </c>
      <c r="K292" s="74" t="str">
        <f t="shared" si="282"/>
        <v/>
      </c>
      <c r="L292" s="69" t="str">
        <f>IF($B292="","",PV-J292)</f>
        <v/>
      </c>
      <c r="M292" s="71" t="str">
        <f>IF($B292="","",J292/PV)</f>
        <v/>
      </c>
      <c r="N292" s="72" t="str">
        <f t="shared" si="4"/>
        <v/>
      </c>
    </row>
    <row r="293" ht="14.25" customHeight="1">
      <c r="B293" s="66" t="str">
        <f>IF(ROWS($1:281)&lt;=Nper,ROWS($1:281),"")</f>
        <v/>
      </c>
      <c r="C293" s="67" t="str">
        <f>IF($B293="","",IF($E$7="Weekly",Start_Date+7*(ROWS($1:281)-1),EDATE(Start_Date,VLOOKUP(IF(ASTemp!$E$7="","Monthly",ASTemp!$E$7),Parameters!$B$3:$D$6,3,0)*(ROWS($1:281)-1))))</f>
        <v/>
      </c>
      <c r="D293" s="68" t="str">
        <f t="shared" si="2"/>
        <v/>
      </c>
      <c r="E293" s="65" t="str">
        <f>IF($B293="","",VLOOKUP(MONTH(C293),Parameters!$F$2:$G$13,2,0))</f>
        <v/>
      </c>
      <c r="F293" s="69" t="str">
        <f>IF($B293="","",PV-N(J292))</f>
        <v/>
      </c>
      <c r="G293" s="69" t="str">
        <f>IF($B293="","",PMT(Rate,Nper,-PV,,Type))</f>
        <v/>
      </c>
      <c r="H293" s="69" t="str">
        <f>IF($B293="","",PPMT(Rate,ROWS($1:281),Nper,-PV,,Type))</f>
        <v/>
      </c>
      <c r="I293" s="69" t="str">
        <f>IF($B293="","",IPMT(Rate,ROWS($1:281),Nper,-PV,,Type))</f>
        <v/>
      </c>
      <c r="J293" s="73" t="str">
        <f t="shared" ref="J293:K293" si="283">IF($B293="","",N(J292)+N(H293))</f>
        <v/>
      </c>
      <c r="K293" s="74" t="str">
        <f t="shared" si="283"/>
        <v/>
      </c>
      <c r="L293" s="69" t="str">
        <f>IF($B293="","",PV-J293)</f>
        <v/>
      </c>
      <c r="M293" s="71" t="str">
        <f>IF($B293="","",J293/PV)</f>
        <v/>
      </c>
      <c r="N293" s="72" t="str">
        <f t="shared" si="4"/>
        <v/>
      </c>
    </row>
    <row r="294" ht="14.25" customHeight="1">
      <c r="B294" s="66" t="str">
        <f>IF(ROWS($1:282)&lt;=Nper,ROWS($1:282),"")</f>
        <v/>
      </c>
      <c r="C294" s="67" t="str">
        <f>IF($B294="","",IF($E$7="Weekly",Start_Date+7*(ROWS($1:282)-1),EDATE(Start_Date,VLOOKUP(IF(ASTemp!$E$7="","Monthly",ASTemp!$E$7),Parameters!$B$3:$D$6,3,0)*(ROWS($1:282)-1))))</f>
        <v/>
      </c>
      <c r="D294" s="68" t="str">
        <f t="shared" si="2"/>
        <v/>
      </c>
      <c r="E294" s="65" t="str">
        <f>IF($B294="","",VLOOKUP(MONTH(C294),Parameters!$F$2:$G$13,2,0))</f>
        <v/>
      </c>
      <c r="F294" s="69" t="str">
        <f>IF($B294="","",PV-N(J293))</f>
        <v/>
      </c>
      <c r="G294" s="69" t="str">
        <f>IF($B294="","",PMT(Rate,Nper,-PV,,Type))</f>
        <v/>
      </c>
      <c r="H294" s="69" t="str">
        <f>IF($B294="","",PPMT(Rate,ROWS($1:282),Nper,-PV,,Type))</f>
        <v/>
      </c>
      <c r="I294" s="69" t="str">
        <f>IF($B294="","",IPMT(Rate,ROWS($1:282),Nper,-PV,,Type))</f>
        <v/>
      </c>
      <c r="J294" s="73" t="str">
        <f t="shared" ref="J294:K294" si="284">IF($B294="","",N(J293)+N(H294))</f>
        <v/>
      </c>
      <c r="K294" s="74" t="str">
        <f t="shared" si="284"/>
        <v/>
      </c>
      <c r="L294" s="69" t="str">
        <f>IF($B294="","",PV-J294)</f>
        <v/>
      </c>
      <c r="M294" s="71" t="str">
        <f>IF($B294="","",J294/PV)</f>
        <v/>
      </c>
      <c r="N294" s="72" t="str">
        <f t="shared" si="4"/>
        <v/>
      </c>
    </row>
    <row r="295" ht="14.25" customHeight="1">
      <c r="B295" s="66" t="str">
        <f>IF(ROWS($1:283)&lt;=Nper,ROWS($1:283),"")</f>
        <v/>
      </c>
      <c r="C295" s="67" t="str">
        <f>IF($B295="","",IF($E$7="Weekly",Start_Date+7*(ROWS($1:283)-1),EDATE(Start_Date,VLOOKUP(IF(ASTemp!$E$7="","Monthly",ASTemp!$E$7),Parameters!$B$3:$D$6,3,0)*(ROWS($1:283)-1))))</f>
        <v/>
      </c>
      <c r="D295" s="68" t="str">
        <f t="shared" si="2"/>
        <v/>
      </c>
      <c r="E295" s="65" t="str">
        <f>IF($B295="","",VLOOKUP(MONTH(C295),Parameters!$F$2:$G$13,2,0))</f>
        <v/>
      </c>
      <c r="F295" s="69" t="str">
        <f>IF($B295="","",PV-N(J294))</f>
        <v/>
      </c>
      <c r="G295" s="69" t="str">
        <f>IF($B295="","",PMT(Rate,Nper,-PV,,Type))</f>
        <v/>
      </c>
      <c r="H295" s="69" t="str">
        <f>IF($B295="","",PPMT(Rate,ROWS($1:283),Nper,-PV,,Type))</f>
        <v/>
      </c>
      <c r="I295" s="69" t="str">
        <f>IF($B295="","",IPMT(Rate,ROWS($1:283),Nper,-PV,,Type))</f>
        <v/>
      </c>
      <c r="J295" s="73" t="str">
        <f t="shared" ref="J295:K295" si="285">IF($B295="","",N(J294)+N(H295))</f>
        <v/>
      </c>
      <c r="K295" s="74" t="str">
        <f t="shared" si="285"/>
        <v/>
      </c>
      <c r="L295" s="69" t="str">
        <f>IF($B295="","",PV-J295)</f>
        <v/>
      </c>
      <c r="M295" s="71" t="str">
        <f>IF($B295="","",J295/PV)</f>
        <v/>
      </c>
      <c r="N295" s="72" t="str">
        <f t="shared" si="4"/>
        <v/>
      </c>
    </row>
    <row r="296" ht="14.25" customHeight="1">
      <c r="B296" s="66" t="str">
        <f>IF(ROWS($1:284)&lt;=Nper,ROWS($1:284),"")</f>
        <v/>
      </c>
      <c r="C296" s="67" t="str">
        <f>IF($B296="","",IF($E$7="Weekly",Start_Date+7*(ROWS($1:284)-1),EDATE(Start_Date,VLOOKUP(IF(ASTemp!$E$7="","Monthly",ASTemp!$E$7),Parameters!$B$3:$D$6,3,0)*(ROWS($1:284)-1))))</f>
        <v/>
      </c>
      <c r="D296" s="68" t="str">
        <f t="shared" si="2"/>
        <v/>
      </c>
      <c r="E296" s="65" t="str">
        <f>IF($B296="","",VLOOKUP(MONTH(C296),Parameters!$F$2:$G$13,2,0))</f>
        <v/>
      </c>
      <c r="F296" s="69" t="str">
        <f>IF($B296="","",PV-N(J295))</f>
        <v/>
      </c>
      <c r="G296" s="69" t="str">
        <f>IF($B296="","",PMT(Rate,Nper,-PV,,Type))</f>
        <v/>
      </c>
      <c r="H296" s="69" t="str">
        <f>IF($B296="","",PPMT(Rate,ROWS($1:284),Nper,-PV,,Type))</f>
        <v/>
      </c>
      <c r="I296" s="69" t="str">
        <f>IF($B296="","",IPMT(Rate,ROWS($1:284),Nper,-PV,,Type))</f>
        <v/>
      </c>
      <c r="J296" s="73" t="str">
        <f t="shared" ref="J296:K296" si="286">IF($B296="","",N(J295)+N(H296))</f>
        <v/>
      </c>
      <c r="K296" s="74" t="str">
        <f t="shared" si="286"/>
        <v/>
      </c>
      <c r="L296" s="69" t="str">
        <f>IF($B296="","",PV-J296)</f>
        <v/>
      </c>
      <c r="M296" s="71" t="str">
        <f>IF($B296="","",J296/PV)</f>
        <v/>
      </c>
      <c r="N296" s="72" t="str">
        <f t="shared" si="4"/>
        <v/>
      </c>
    </row>
    <row r="297" ht="14.25" customHeight="1">
      <c r="B297" s="66" t="str">
        <f>IF(ROWS($1:285)&lt;=Nper,ROWS($1:285),"")</f>
        <v/>
      </c>
      <c r="C297" s="67" t="str">
        <f>IF($B297="","",IF($E$7="Weekly",Start_Date+7*(ROWS($1:285)-1),EDATE(Start_Date,VLOOKUP(IF(ASTemp!$E$7="","Monthly",ASTemp!$E$7),Parameters!$B$3:$D$6,3,0)*(ROWS($1:285)-1))))</f>
        <v/>
      </c>
      <c r="D297" s="68" t="str">
        <f t="shared" si="2"/>
        <v/>
      </c>
      <c r="E297" s="65" t="str">
        <f>IF($B297="","",VLOOKUP(MONTH(C297),Parameters!$F$2:$G$13,2,0))</f>
        <v/>
      </c>
      <c r="F297" s="69" t="str">
        <f>IF($B297="","",PV-N(J296))</f>
        <v/>
      </c>
      <c r="G297" s="69" t="str">
        <f>IF($B297="","",PMT(Rate,Nper,-PV,,Type))</f>
        <v/>
      </c>
      <c r="H297" s="69" t="str">
        <f>IF($B297="","",PPMT(Rate,ROWS($1:285),Nper,-PV,,Type))</f>
        <v/>
      </c>
      <c r="I297" s="69" t="str">
        <f>IF($B297="","",IPMT(Rate,ROWS($1:285),Nper,-PV,,Type))</f>
        <v/>
      </c>
      <c r="J297" s="73" t="str">
        <f t="shared" ref="J297:K297" si="287">IF($B297="","",N(J296)+N(H297))</f>
        <v/>
      </c>
      <c r="K297" s="74" t="str">
        <f t="shared" si="287"/>
        <v/>
      </c>
      <c r="L297" s="69" t="str">
        <f>IF($B297="","",PV-J297)</f>
        <v/>
      </c>
      <c r="M297" s="71" t="str">
        <f>IF($B297="","",J297/PV)</f>
        <v/>
      </c>
      <c r="N297" s="72" t="str">
        <f t="shared" si="4"/>
        <v/>
      </c>
    </row>
    <row r="298" ht="14.25" customHeight="1">
      <c r="B298" s="66" t="str">
        <f>IF(ROWS($1:286)&lt;=Nper,ROWS($1:286),"")</f>
        <v/>
      </c>
      <c r="C298" s="67" t="str">
        <f>IF($B298="","",IF($E$7="Weekly",Start_Date+7*(ROWS($1:286)-1),EDATE(Start_Date,VLOOKUP(IF(ASTemp!$E$7="","Monthly",ASTemp!$E$7),Parameters!$B$3:$D$6,3,0)*(ROWS($1:286)-1))))</f>
        <v/>
      </c>
      <c r="D298" s="68" t="str">
        <f t="shared" si="2"/>
        <v/>
      </c>
      <c r="E298" s="65" t="str">
        <f>IF($B298="","",VLOOKUP(MONTH(C298),Parameters!$F$2:$G$13,2,0))</f>
        <v/>
      </c>
      <c r="F298" s="69" t="str">
        <f>IF($B298="","",PV-N(J297))</f>
        <v/>
      </c>
      <c r="G298" s="69" t="str">
        <f>IF($B298="","",PMT(Rate,Nper,-PV,,Type))</f>
        <v/>
      </c>
      <c r="H298" s="69" t="str">
        <f>IF($B298="","",PPMT(Rate,ROWS($1:286),Nper,-PV,,Type))</f>
        <v/>
      </c>
      <c r="I298" s="69" t="str">
        <f>IF($B298="","",IPMT(Rate,ROWS($1:286),Nper,-PV,,Type))</f>
        <v/>
      </c>
      <c r="J298" s="73" t="str">
        <f t="shared" ref="J298:K298" si="288">IF($B298="","",N(J297)+N(H298))</f>
        <v/>
      </c>
      <c r="K298" s="74" t="str">
        <f t="shared" si="288"/>
        <v/>
      </c>
      <c r="L298" s="69" t="str">
        <f>IF($B298="","",PV-J298)</f>
        <v/>
      </c>
      <c r="M298" s="71" t="str">
        <f>IF($B298="","",J298/PV)</f>
        <v/>
      </c>
      <c r="N298" s="72" t="str">
        <f t="shared" si="4"/>
        <v/>
      </c>
    </row>
    <row r="299" ht="14.25" customHeight="1">
      <c r="B299" s="66" t="str">
        <f>IF(ROWS($1:287)&lt;=Nper,ROWS($1:287),"")</f>
        <v/>
      </c>
      <c r="C299" s="67" t="str">
        <f>IF($B299="","",IF($E$7="Weekly",Start_Date+7*(ROWS($1:287)-1),EDATE(Start_Date,VLOOKUP(IF(ASTemp!$E$7="","Monthly",ASTemp!$E$7),Parameters!$B$3:$D$6,3,0)*(ROWS($1:287)-1))))</f>
        <v/>
      </c>
      <c r="D299" s="68" t="str">
        <f t="shared" si="2"/>
        <v/>
      </c>
      <c r="E299" s="65" t="str">
        <f>IF($B299="","",VLOOKUP(MONTH(C299),Parameters!$F$2:$G$13,2,0))</f>
        <v/>
      </c>
      <c r="F299" s="69" t="str">
        <f>IF($B299="","",PV-N(J298))</f>
        <v/>
      </c>
      <c r="G299" s="69" t="str">
        <f>IF($B299="","",PMT(Rate,Nper,-PV,,Type))</f>
        <v/>
      </c>
      <c r="H299" s="69" t="str">
        <f>IF($B299="","",PPMT(Rate,ROWS($1:287),Nper,-PV,,Type))</f>
        <v/>
      </c>
      <c r="I299" s="69" t="str">
        <f>IF($B299="","",IPMT(Rate,ROWS($1:287),Nper,-PV,,Type))</f>
        <v/>
      </c>
      <c r="J299" s="73" t="str">
        <f t="shared" ref="J299:K299" si="289">IF($B299="","",N(J298)+N(H299))</f>
        <v/>
      </c>
      <c r="K299" s="74" t="str">
        <f t="shared" si="289"/>
        <v/>
      </c>
      <c r="L299" s="69" t="str">
        <f>IF($B299="","",PV-J299)</f>
        <v/>
      </c>
      <c r="M299" s="71" t="str">
        <f>IF($B299="","",J299/PV)</f>
        <v/>
      </c>
      <c r="N299" s="72" t="str">
        <f t="shared" si="4"/>
        <v/>
      </c>
    </row>
    <row r="300" ht="14.25" customHeight="1">
      <c r="B300" s="66" t="str">
        <f>IF(ROWS($1:288)&lt;=Nper,ROWS($1:288),"")</f>
        <v/>
      </c>
      <c r="C300" s="67" t="str">
        <f>IF($B300="","",IF($E$7="Weekly",Start_Date+7*(ROWS($1:288)-1),EDATE(Start_Date,VLOOKUP(IF(ASTemp!$E$7="","Monthly",ASTemp!$E$7),Parameters!$B$3:$D$6,3,0)*(ROWS($1:288)-1))))</f>
        <v/>
      </c>
      <c r="D300" s="68" t="str">
        <f t="shared" si="2"/>
        <v/>
      </c>
      <c r="E300" s="65" t="str">
        <f>IF($B300="","",VLOOKUP(MONTH(C300),Parameters!$F$2:$G$13,2,0))</f>
        <v/>
      </c>
      <c r="F300" s="69" t="str">
        <f>IF($B300="","",PV-N(J299))</f>
        <v/>
      </c>
      <c r="G300" s="69" t="str">
        <f>IF($B300="","",PMT(Rate,Nper,-PV,,Type))</f>
        <v/>
      </c>
      <c r="H300" s="69" t="str">
        <f>IF($B300="","",PPMT(Rate,ROWS($1:288),Nper,-PV,,Type))</f>
        <v/>
      </c>
      <c r="I300" s="69" t="str">
        <f>IF($B300="","",IPMT(Rate,ROWS($1:288),Nper,-PV,,Type))</f>
        <v/>
      </c>
      <c r="J300" s="73" t="str">
        <f t="shared" ref="J300:K300" si="290">IF($B300="","",N(J299)+N(H300))</f>
        <v/>
      </c>
      <c r="K300" s="74" t="str">
        <f t="shared" si="290"/>
        <v/>
      </c>
      <c r="L300" s="69" t="str">
        <f>IF($B300="","",PV-J300)</f>
        <v/>
      </c>
      <c r="M300" s="71" t="str">
        <f>IF($B300="","",J300/PV)</f>
        <v/>
      </c>
      <c r="N300" s="72" t="str">
        <f t="shared" si="4"/>
        <v/>
      </c>
    </row>
    <row r="301" ht="14.25" customHeight="1">
      <c r="B301" s="66" t="str">
        <f>IF(ROWS($1:289)&lt;=Nper,ROWS($1:289),"")</f>
        <v/>
      </c>
      <c r="C301" s="67" t="str">
        <f>IF($B301="","",IF($E$7="Weekly",Start_Date+7*(ROWS($1:289)-1),EDATE(Start_Date,VLOOKUP(IF(ASTemp!$E$7="","Monthly",ASTemp!$E$7),Parameters!$B$3:$D$6,3,0)*(ROWS($1:289)-1))))</f>
        <v/>
      </c>
      <c r="D301" s="68" t="str">
        <f t="shared" si="2"/>
        <v/>
      </c>
      <c r="E301" s="65" t="str">
        <f>IF($B301="","",VLOOKUP(MONTH(C301),Parameters!$F$2:$G$13,2,0))</f>
        <v/>
      </c>
      <c r="F301" s="69" t="str">
        <f>IF($B301="","",PV-N(J300))</f>
        <v/>
      </c>
      <c r="G301" s="69" t="str">
        <f>IF($B301="","",PMT(Rate,Nper,-PV,,Type))</f>
        <v/>
      </c>
      <c r="H301" s="69" t="str">
        <f>IF($B301="","",PPMT(Rate,ROWS($1:289),Nper,-PV,,Type))</f>
        <v/>
      </c>
      <c r="I301" s="69" t="str">
        <f>IF($B301="","",IPMT(Rate,ROWS($1:289),Nper,-PV,,Type))</f>
        <v/>
      </c>
      <c r="J301" s="73" t="str">
        <f t="shared" ref="J301:K301" si="291">IF($B301="","",N(J300)+N(H301))</f>
        <v/>
      </c>
      <c r="K301" s="74" t="str">
        <f t="shared" si="291"/>
        <v/>
      </c>
      <c r="L301" s="69" t="str">
        <f>IF($B301="","",PV-J301)</f>
        <v/>
      </c>
      <c r="M301" s="71" t="str">
        <f>IF($B301="","",J301/PV)</f>
        <v/>
      </c>
      <c r="N301" s="72" t="str">
        <f t="shared" si="4"/>
        <v/>
      </c>
    </row>
    <row r="302" ht="14.25" customHeight="1">
      <c r="B302" s="66" t="str">
        <f>IF(ROWS($1:290)&lt;=Nper,ROWS($1:290),"")</f>
        <v/>
      </c>
      <c r="C302" s="67" t="str">
        <f>IF($B302="","",IF($E$7="Weekly",Start_Date+7*(ROWS($1:290)-1),EDATE(Start_Date,VLOOKUP(IF(ASTemp!$E$7="","Monthly",ASTemp!$E$7),Parameters!$B$3:$D$6,3,0)*(ROWS($1:290)-1))))</f>
        <v/>
      </c>
      <c r="D302" s="68" t="str">
        <f t="shared" si="2"/>
        <v/>
      </c>
      <c r="E302" s="65" t="str">
        <f>IF($B302="","",VLOOKUP(MONTH(C302),Parameters!$F$2:$G$13,2,0))</f>
        <v/>
      </c>
      <c r="F302" s="69" t="str">
        <f>IF($B302="","",PV-N(J301))</f>
        <v/>
      </c>
      <c r="G302" s="69" t="str">
        <f>IF($B302="","",PMT(Rate,Nper,-PV,,Type))</f>
        <v/>
      </c>
      <c r="H302" s="69" t="str">
        <f>IF($B302="","",PPMT(Rate,ROWS($1:290),Nper,-PV,,Type))</f>
        <v/>
      </c>
      <c r="I302" s="69" t="str">
        <f>IF($B302="","",IPMT(Rate,ROWS($1:290),Nper,-PV,,Type))</f>
        <v/>
      </c>
      <c r="J302" s="73" t="str">
        <f t="shared" ref="J302:K302" si="292">IF($B302="","",N(J301)+N(H302))</f>
        <v/>
      </c>
      <c r="K302" s="74" t="str">
        <f t="shared" si="292"/>
        <v/>
      </c>
      <c r="L302" s="69" t="str">
        <f>IF($B302="","",PV-J302)</f>
        <v/>
      </c>
      <c r="M302" s="71" t="str">
        <f>IF($B302="","",J302/PV)</f>
        <v/>
      </c>
      <c r="N302" s="72" t="str">
        <f t="shared" si="4"/>
        <v/>
      </c>
    </row>
    <row r="303" ht="14.25" customHeight="1">
      <c r="B303" s="66" t="str">
        <f>IF(ROWS($1:291)&lt;=Nper,ROWS($1:291),"")</f>
        <v/>
      </c>
      <c r="C303" s="67" t="str">
        <f>IF($B303="","",IF($E$7="Weekly",Start_Date+7*(ROWS($1:291)-1),EDATE(Start_Date,VLOOKUP(IF(ASTemp!$E$7="","Monthly",ASTemp!$E$7),Parameters!$B$3:$D$6,3,0)*(ROWS($1:291)-1))))</f>
        <v/>
      </c>
      <c r="D303" s="68" t="str">
        <f t="shared" si="2"/>
        <v/>
      </c>
      <c r="E303" s="65" t="str">
        <f>IF($B303="","",VLOOKUP(MONTH(C303),Parameters!$F$2:$G$13,2,0))</f>
        <v/>
      </c>
      <c r="F303" s="69" t="str">
        <f>IF($B303="","",PV-N(J302))</f>
        <v/>
      </c>
      <c r="G303" s="69" t="str">
        <f>IF($B303="","",PMT(Rate,Nper,-PV,,Type))</f>
        <v/>
      </c>
      <c r="H303" s="69" t="str">
        <f>IF($B303="","",PPMT(Rate,ROWS($1:291),Nper,-PV,,Type))</f>
        <v/>
      </c>
      <c r="I303" s="69" t="str">
        <f>IF($B303="","",IPMT(Rate,ROWS($1:291),Nper,-PV,,Type))</f>
        <v/>
      </c>
      <c r="J303" s="73" t="str">
        <f t="shared" ref="J303:K303" si="293">IF($B303="","",N(J302)+N(H303))</f>
        <v/>
      </c>
      <c r="K303" s="74" t="str">
        <f t="shared" si="293"/>
        <v/>
      </c>
      <c r="L303" s="69" t="str">
        <f>IF($B303="","",PV-J303)</f>
        <v/>
      </c>
      <c r="M303" s="71" t="str">
        <f>IF($B303="","",J303/PV)</f>
        <v/>
      </c>
      <c r="N303" s="72" t="str">
        <f t="shared" si="4"/>
        <v/>
      </c>
    </row>
    <row r="304" ht="14.25" customHeight="1">
      <c r="B304" s="66" t="str">
        <f>IF(ROWS($1:292)&lt;=Nper,ROWS($1:292),"")</f>
        <v/>
      </c>
      <c r="C304" s="67" t="str">
        <f>IF($B304="","",IF($E$7="Weekly",Start_Date+7*(ROWS($1:292)-1),EDATE(Start_Date,VLOOKUP(IF(ASTemp!$E$7="","Monthly",ASTemp!$E$7),Parameters!$B$3:$D$6,3,0)*(ROWS($1:292)-1))))</f>
        <v/>
      </c>
      <c r="D304" s="68" t="str">
        <f t="shared" si="2"/>
        <v/>
      </c>
      <c r="E304" s="65" t="str">
        <f>IF($B304="","",VLOOKUP(MONTH(C304),Parameters!$F$2:$G$13,2,0))</f>
        <v/>
      </c>
      <c r="F304" s="69" t="str">
        <f>IF($B304="","",PV-N(J303))</f>
        <v/>
      </c>
      <c r="G304" s="69" t="str">
        <f>IF($B304="","",PMT(Rate,Nper,-PV,,Type))</f>
        <v/>
      </c>
      <c r="H304" s="69" t="str">
        <f>IF($B304="","",PPMT(Rate,ROWS($1:292),Nper,-PV,,Type))</f>
        <v/>
      </c>
      <c r="I304" s="69" t="str">
        <f>IF($B304="","",IPMT(Rate,ROWS($1:292),Nper,-PV,,Type))</f>
        <v/>
      </c>
      <c r="J304" s="73" t="str">
        <f t="shared" ref="J304:K304" si="294">IF($B304="","",N(J303)+N(H304))</f>
        <v/>
      </c>
      <c r="K304" s="74" t="str">
        <f t="shared" si="294"/>
        <v/>
      </c>
      <c r="L304" s="69" t="str">
        <f>IF($B304="","",PV-J304)</f>
        <v/>
      </c>
      <c r="M304" s="71" t="str">
        <f>IF($B304="","",J304/PV)</f>
        <v/>
      </c>
      <c r="N304" s="72" t="str">
        <f t="shared" si="4"/>
        <v/>
      </c>
    </row>
    <row r="305" ht="14.25" customHeight="1">
      <c r="B305" s="66" t="str">
        <f>IF(ROWS($1:293)&lt;=Nper,ROWS($1:293),"")</f>
        <v/>
      </c>
      <c r="C305" s="67" t="str">
        <f>IF($B305="","",IF($E$7="Weekly",Start_Date+7*(ROWS($1:293)-1),EDATE(Start_Date,VLOOKUP(IF(ASTemp!$E$7="","Monthly",ASTemp!$E$7),Parameters!$B$3:$D$6,3,0)*(ROWS($1:293)-1))))</f>
        <v/>
      </c>
      <c r="D305" s="68" t="str">
        <f t="shared" si="2"/>
        <v/>
      </c>
      <c r="E305" s="65" t="str">
        <f>IF($B305="","",VLOOKUP(MONTH(C305),Parameters!$F$2:$G$13,2,0))</f>
        <v/>
      </c>
      <c r="F305" s="69" t="str">
        <f>IF($B305="","",PV-N(J304))</f>
        <v/>
      </c>
      <c r="G305" s="69" t="str">
        <f>IF($B305="","",PMT(Rate,Nper,-PV,,Type))</f>
        <v/>
      </c>
      <c r="H305" s="69" t="str">
        <f>IF($B305="","",PPMT(Rate,ROWS($1:293),Nper,-PV,,Type))</f>
        <v/>
      </c>
      <c r="I305" s="69" t="str">
        <f>IF($B305="","",IPMT(Rate,ROWS($1:293),Nper,-PV,,Type))</f>
        <v/>
      </c>
      <c r="J305" s="73" t="str">
        <f t="shared" ref="J305:K305" si="295">IF($B305="","",N(J304)+N(H305))</f>
        <v/>
      </c>
      <c r="K305" s="74" t="str">
        <f t="shared" si="295"/>
        <v/>
      </c>
      <c r="L305" s="69" t="str">
        <f>IF($B305="","",PV-J305)</f>
        <v/>
      </c>
      <c r="M305" s="71" t="str">
        <f>IF($B305="","",J305/PV)</f>
        <v/>
      </c>
      <c r="N305" s="72" t="str">
        <f t="shared" si="4"/>
        <v/>
      </c>
    </row>
    <row r="306" ht="14.25" customHeight="1">
      <c r="B306" s="66" t="str">
        <f>IF(ROWS($1:294)&lt;=Nper,ROWS($1:294),"")</f>
        <v/>
      </c>
      <c r="C306" s="67" t="str">
        <f>IF($B306="","",IF($E$7="Weekly",Start_Date+7*(ROWS($1:294)-1),EDATE(Start_Date,VLOOKUP(IF(ASTemp!$E$7="","Monthly",ASTemp!$E$7),Parameters!$B$3:$D$6,3,0)*(ROWS($1:294)-1))))</f>
        <v/>
      </c>
      <c r="D306" s="68" t="str">
        <f t="shared" si="2"/>
        <v/>
      </c>
      <c r="E306" s="65" t="str">
        <f>IF($B306="","",VLOOKUP(MONTH(C306),Parameters!$F$2:$G$13,2,0))</f>
        <v/>
      </c>
      <c r="F306" s="69" t="str">
        <f>IF($B306="","",PV-N(J305))</f>
        <v/>
      </c>
      <c r="G306" s="69" t="str">
        <f>IF($B306="","",PMT(Rate,Nper,-PV,,Type))</f>
        <v/>
      </c>
      <c r="H306" s="69" t="str">
        <f>IF($B306="","",PPMT(Rate,ROWS($1:294),Nper,-PV,,Type))</f>
        <v/>
      </c>
      <c r="I306" s="69" t="str">
        <f>IF($B306="","",IPMT(Rate,ROWS($1:294),Nper,-PV,,Type))</f>
        <v/>
      </c>
      <c r="J306" s="73" t="str">
        <f t="shared" ref="J306:K306" si="296">IF($B306="","",N(J305)+N(H306))</f>
        <v/>
      </c>
      <c r="K306" s="74" t="str">
        <f t="shared" si="296"/>
        <v/>
      </c>
      <c r="L306" s="69" t="str">
        <f>IF($B306="","",PV-J306)</f>
        <v/>
      </c>
      <c r="M306" s="71" t="str">
        <f>IF($B306="","",J306/PV)</f>
        <v/>
      </c>
      <c r="N306" s="72" t="str">
        <f t="shared" si="4"/>
        <v/>
      </c>
    </row>
    <row r="307" ht="14.25" customHeight="1">
      <c r="B307" s="66" t="str">
        <f>IF(ROWS($1:295)&lt;=Nper,ROWS($1:295),"")</f>
        <v/>
      </c>
      <c r="C307" s="67" t="str">
        <f>IF($B307="","",IF($E$7="Weekly",Start_Date+7*(ROWS($1:295)-1),EDATE(Start_Date,VLOOKUP(IF(ASTemp!$E$7="","Monthly",ASTemp!$E$7),Parameters!$B$3:$D$6,3,0)*(ROWS($1:295)-1))))</f>
        <v/>
      </c>
      <c r="D307" s="68" t="str">
        <f t="shared" si="2"/>
        <v/>
      </c>
      <c r="E307" s="65" t="str">
        <f>IF($B307="","",VLOOKUP(MONTH(C307),Parameters!$F$2:$G$13,2,0))</f>
        <v/>
      </c>
      <c r="F307" s="69" t="str">
        <f>IF($B307="","",PV-N(J306))</f>
        <v/>
      </c>
      <c r="G307" s="69" t="str">
        <f>IF($B307="","",PMT(Rate,Nper,-PV,,Type))</f>
        <v/>
      </c>
      <c r="H307" s="69" t="str">
        <f>IF($B307="","",PPMT(Rate,ROWS($1:295),Nper,-PV,,Type))</f>
        <v/>
      </c>
      <c r="I307" s="69" t="str">
        <f>IF($B307="","",IPMT(Rate,ROWS($1:295),Nper,-PV,,Type))</f>
        <v/>
      </c>
      <c r="J307" s="73" t="str">
        <f t="shared" ref="J307:K307" si="297">IF($B307="","",N(J306)+N(H307))</f>
        <v/>
      </c>
      <c r="K307" s="74" t="str">
        <f t="shared" si="297"/>
        <v/>
      </c>
      <c r="L307" s="69" t="str">
        <f>IF($B307="","",PV-J307)</f>
        <v/>
      </c>
      <c r="M307" s="71" t="str">
        <f>IF($B307="","",J307/PV)</f>
        <v/>
      </c>
      <c r="N307" s="72" t="str">
        <f t="shared" si="4"/>
        <v/>
      </c>
    </row>
    <row r="308" ht="14.25" customHeight="1">
      <c r="B308" s="66" t="str">
        <f>IF(ROWS($1:296)&lt;=Nper,ROWS($1:296),"")</f>
        <v/>
      </c>
      <c r="C308" s="67" t="str">
        <f>IF($B308="","",IF($E$7="Weekly",Start_Date+7*(ROWS($1:296)-1),EDATE(Start_Date,VLOOKUP(IF(ASTemp!$E$7="","Monthly",ASTemp!$E$7),Parameters!$B$3:$D$6,3,0)*(ROWS($1:296)-1))))</f>
        <v/>
      </c>
      <c r="D308" s="68" t="str">
        <f t="shared" si="2"/>
        <v/>
      </c>
      <c r="E308" s="65" t="str">
        <f>IF($B308="","",VLOOKUP(MONTH(C308),Parameters!$F$2:$G$13,2,0))</f>
        <v/>
      </c>
      <c r="F308" s="69" t="str">
        <f>IF($B308="","",PV-N(J307))</f>
        <v/>
      </c>
      <c r="G308" s="69" t="str">
        <f>IF($B308="","",PMT(Rate,Nper,-PV,,Type))</f>
        <v/>
      </c>
      <c r="H308" s="69" t="str">
        <f>IF($B308="","",PPMT(Rate,ROWS($1:296),Nper,-PV,,Type))</f>
        <v/>
      </c>
      <c r="I308" s="69" t="str">
        <f>IF($B308="","",IPMT(Rate,ROWS($1:296),Nper,-PV,,Type))</f>
        <v/>
      </c>
      <c r="J308" s="73" t="str">
        <f t="shared" ref="J308:K308" si="298">IF($B308="","",N(J307)+N(H308))</f>
        <v/>
      </c>
      <c r="K308" s="74" t="str">
        <f t="shared" si="298"/>
        <v/>
      </c>
      <c r="L308" s="69" t="str">
        <f>IF($B308="","",PV-J308)</f>
        <v/>
      </c>
      <c r="M308" s="71" t="str">
        <f>IF($B308="","",J308/PV)</f>
        <v/>
      </c>
      <c r="N308" s="72" t="str">
        <f t="shared" si="4"/>
        <v/>
      </c>
    </row>
    <row r="309" ht="14.25" customHeight="1">
      <c r="B309" s="66" t="str">
        <f>IF(ROWS($1:297)&lt;=Nper,ROWS($1:297),"")</f>
        <v/>
      </c>
      <c r="C309" s="67" t="str">
        <f>IF($B309="","",IF($E$7="Weekly",Start_Date+7*(ROWS($1:297)-1),EDATE(Start_Date,VLOOKUP(IF(ASTemp!$E$7="","Monthly",ASTemp!$E$7),Parameters!$B$3:$D$6,3,0)*(ROWS($1:297)-1))))</f>
        <v/>
      </c>
      <c r="D309" s="68" t="str">
        <f t="shared" si="2"/>
        <v/>
      </c>
      <c r="E309" s="65" t="str">
        <f>IF($B309="","",VLOOKUP(MONTH(C309),Parameters!$F$2:$G$13,2,0))</f>
        <v/>
      </c>
      <c r="F309" s="69" t="str">
        <f>IF($B309="","",PV-N(J308))</f>
        <v/>
      </c>
      <c r="G309" s="69" t="str">
        <f>IF($B309="","",PMT(Rate,Nper,-PV,,Type))</f>
        <v/>
      </c>
      <c r="H309" s="69" t="str">
        <f>IF($B309="","",PPMT(Rate,ROWS($1:297),Nper,-PV,,Type))</f>
        <v/>
      </c>
      <c r="I309" s="69" t="str">
        <f>IF($B309="","",IPMT(Rate,ROWS($1:297),Nper,-PV,,Type))</f>
        <v/>
      </c>
      <c r="J309" s="73" t="str">
        <f t="shared" ref="J309:K309" si="299">IF($B309="","",N(J308)+N(H309))</f>
        <v/>
      </c>
      <c r="K309" s="74" t="str">
        <f t="shared" si="299"/>
        <v/>
      </c>
      <c r="L309" s="69" t="str">
        <f>IF($B309="","",PV-J309)</f>
        <v/>
      </c>
      <c r="M309" s="71" t="str">
        <f>IF($B309="","",J309/PV)</f>
        <v/>
      </c>
      <c r="N309" s="72" t="str">
        <f t="shared" si="4"/>
        <v/>
      </c>
    </row>
    <row r="310" ht="14.25" customHeight="1">
      <c r="B310" s="66" t="str">
        <f>IF(ROWS($1:298)&lt;=Nper,ROWS($1:298),"")</f>
        <v/>
      </c>
      <c r="C310" s="67" t="str">
        <f>IF($B310="","",IF($E$7="Weekly",Start_Date+7*(ROWS($1:298)-1),EDATE(Start_Date,VLOOKUP(IF(ASTemp!$E$7="","Monthly",ASTemp!$E$7),Parameters!$B$3:$D$6,3,0)*(ROWS($1:298)-1))))</f>
        <v/>
      </c>
      <c r="D310" s="68" t="str">
        <f t="shared" si="2"/>
        <v/>
      </c>
      <c r="E310" s="65" t="str">
        <f>IF($B310="","",VLOOKUP(MONTH(C310),Parameters!$F$2:$G$13,2,0))</f>
        <v/>
      </c>
      <c r="F310" s="69" t="str">
        <f>IF($B310="","",PV-N(J309))</f>
        <v/>
      </c>
      <c r="G310" s="69" t="str">
        <f>IF($B310="","",PMT(Rate,Nper,-PV,,Type))</f>
        <v/>
      </c>
      <c r="H310" s="69" t="str">
        <f>IF($B310="","",PPMT(Rate,ROWS($1:298),Nper,-PV,,Type))</f>
        <v/>
      </c>
      <c r="I310" s="69" t="str">
        <f>IF($B310="","",IPMT(Rate,ROWS($1:298),Nper,-PV,,Type))</f>
        <v/>
      </c>
      <c r="J310" s="73" t="str">
        <f t="shared" ref="J310:K310" si="300">IF($B310="","",N(J309)+N(H310))</f>
        <v/>
      </c>
      <c r="K310" s="74" t="str">
        <f t="shared" si="300"/>
        <v/>
      </c>
      <c r="L310" s="69" t="str">
        <f>IF($B310="","",PV-J310)</f>
        <v/>
      </c>
      <c r="M310" s="71" t="str">
        <f>IF($B310="","",J310/PV)</f>
        <v/>
      </c>
      <c r="N310" s="72" t="str">
        <f t="shared" si="4"/>
        <v/>
      </c>
    </row>
    <row r="311" ht="14.25" customHeight="1">
      <c r="B311" s="66" t="str">
        <f>IF(ROWS($1:299)&lt;=Nper,ROWS($1:299),"")</f>
        <v/>
      </c>
      <c r="C311" s="67" t="str">
        <f>IF($B311="","",IF($E$7="Weekly",Start_Date+7*(ROWS($1:299)-1),EDATE(Start_Date,VLOOKUP(IF(ASTemp!$E$7="","Monthly",ASTemp!$E$7),Parameters!$B$3:$D$6,3,0)*(ROWS($1:299)-1))))</f>
        <v/>
      </c>
      <c r="D311" s="68" t="str">
        <f t="shared" si="2"/>
        <v/>
      </c>
      <c r="E311" s="65" t="str">
        <f>IF($B311="","",VLOOKUP(MONTH(C311),Parameters!$F$2:$G$13,2,0))</f>
        <v/>
      </c>
      <c r="F311" s="69" t="str">
        <f>IF($B311="","",PV-N(J310))</f>
        <v/>
      </c>
      <c r="G311" s="69" t="str">
        <f>IF($B311="","",PMT(Rate,Nper,-PV,,Type))</f>
        <v/>
      </c>
      <c r="H311" s="69" t="str">
        <f>IF($B311="","",PPMT(Rate,ROWS($1:299),Nper,-PV,,Type))</f>
        <v/>
      </c>
      <c r="I311" s="69" t="str">
        <f>IF($B311="","",IPMT(Rate,ROWS($1:299),Nper,-PV,,Type))</f>
        <v/>
      </c>
      <c r="J311" s="73" t="str">
        <f t="shared" ref="J311:K311" si="301">IF($B311="","",N(J310)+N(H311))</f>
        <v/>
      </c>
      <c r="K311" s="74" t="str">
        <f t="shared" si="301"/>
        <v/>
      </c>
      <c r="L311" s="69" t="str">
        <f>IF($B311="","",PV-J311)</f>
        <v/>
      </c>
      <c r="M311" s="71" t="str">
        <f>IF($B311="","",J311/PV)</f>
        <v/>
      </c>
      <c r="N311" s="72" t="str">
        <f t="shared" si="4"/>
        <v/>
      </c>
    </row>
    <row r="312" ht="14.25" customHeight="1">
      <c r="B312" s="66" t="str">
        <f>IF(ROWS($1:300)&lt;=Nper,ROWS($1:300),"")</f>
        <v/>
      </c>
      <c r="C312" s="67" t="str">
        <f>IF($B312="","",IF($E$7="Weekly",Start_Date+7*(ROWS($1:300)-1),EDATE(Start_Date,VLOOKUP(IF(ASTemp!$E$7="","Monthly",ASTemp!$E$7),Parameters!$B$3:$D$6,3,0)*(ROWS($1:300)-1))))</f>
        <v/>
      </c>
      <c r="D312" s="68" t="str">
        <f t="shared" si="2"/>
        <v/>
      </c>
      <c r="E312" s="65" t="str">
        <f>IF($B312="","",VLOOKUP(MONTH(C312),Parameters!$F$2:$G$13,2,0))</f>
        <v/>
      </c>
      <c r="F312" s="69" t="str">
        <f>IF($B312="","",PV-N(J311))</f>
        <v/>
      </c>
      <c r="G312" s="69" t="str">
        <f>IF($B312="","",PMT(Rate,Nper,-PV,,Type))</f>
        <v/>
      </c>
      <c r="H312" s="69" t="str">
        <f>IF($B312="","",PPMT(Rate,ROWS($1:300),Nper,-PV,,Type))</f>
        <v/>
      </c>
      <c r="I312" s="69" t="str">
        <f>IF($B312="","",IPMT(Rate,ROWS($1:300),Nper,-PV,,Type))</f>
        <v/>
      </c>
      <c r="J312" s="73" t="str">
        <f t="shared" ref="J312:K312" si="302">IF($B312="","",N(J311)+N(H312))</f>
        <v/>
      </c>
      <c r="K312" s="74" t="str">
        <f t="shared" si="302"/>
        <v/>
      </c>
      <c r="L312" s="69" t="str">
        <f>IF($B312="","",PV-J312)</f>
        <v/>
      </c>
      <c r="M312" s="71" t="str">
        <f>IF($B312="","",J312/PV)</f>
        <v/>
      </c>
      <c r="N312" s="72" t="str">
        <f t="shared" si="4"/>
        <v/>
      </c>
    </row>
    <row r="313" ht="14.25" customHeight="1">
      <c r="B313" s="66" t="str">
        <f>IF(ROWS($1:301)&lt;=Nper,ROWS($1:301),"")</f>
        <v/>
      </c>
      <c r="C313" s="67" t="str">
        <f>IF($B313="","",IF($E$7="Weekly",Start_Date+7*(ROWS($1:301)-1),EDATE(Start_Date,VLOOKUP(IF(ASTemp!$E$7="","Monthly",ASTemp!$E$7),Parameters!$B$3:$D$6,3,0)*(ROWS($1:301)-1))))</f>
        <v/>
      </c>
      <c r="D313" s="68" t="str">
        <f t="shared" si="2"/>
        <v/>
      </c>
      <c r="E313" s="65" t="str">
        <f>IF($B313="","",VLOOKUP(MONTH(C313),Parameters!$F$2:$G$13,2,0))</f>
        <v/>
      </c>
      <c r="F313" s="69" t="str">
        <f>IF($B313="","",PV-N(J312))</f>
        <v/>
      </c>
      <c r="G313" s="69" t="str">
        <f>IF($B313="","",PMT(Rate,Nper,-PV,,Type))</f>
        <v/>
      </c>
      <c r="H313" s="69" t="str">
        <f>IF($B313="","",PPMT(Rate,ROWS($1:301),Nper,-PV,,Type))</f>
        <v/>
      </c>
      <c r="I313" s="69" t="str">
        <f>IF($B313="","",IPMT(Rate,ROWS($1:301),Nper,-PV,,Type))</f>
        <v/>
      </c>
      <c r="J313" s="73" t="str">
        <f t="shared" ref="J313:K313" si="303">IF($B313="","",N(J312)+N(H313))</f>
        <v/>
      </c>
      <c r="K313" s="74" t="str">
        <f t="shared" si="303"/>
        <v/>
      </c>
      <c r="L313" s="69" t="str">
        <f>IF($B313="","",PV-J313)</f>
        <v/>
      </c>
      <c r="M313" s="71" t="str">
        <f>IF($B313="","",J313/PV)</f>
        <v/>
      </c>
      <c r="N313" s="72" t="str">
        <f t="shared" si="4"/>
        <v/>
      </c>
    </row>
    <row r="314" ht="14.25" customHeight="1">
      <c r="B314" s="66" t="str">
        <f>IF(ROWS($1:302)&lt;=Nper,ROWS($1:302),"")</f>
        <v/>
      </c>
      <c r="C314" s="67" t="str">
        <f>IF($B314="","",IF($E$7="Weekly",Start_Date+7*(ROWS($1:302)-1),EDATE(Start_Date,VLOOKUP(IF(ASTemp!$E$7="","Monthly",ASTemp!$E$7),Parameters!$B$3:$D$6,3,0)*(ROWS($1:302)-1))))</f>
        <v/>
      </c>
      <c r="D314" s="68" t="str">
        <f t="shared" si="2"/>
        <v/>
      </c>
      <c r="E314" s="65" t="str">
        <f>IF($B314="","",VLOOKUP(MONTH(C314),Parameters!$F$2:$G$13,2,0))</f>
        <v/>
      </c>
      <c r="F314" s="69" t="str">
        <f>IF($B314="","",PV-N(J313))</f>
        <v/>
      </c>
      <c r="G314" s="69" t="str">
        <f>IF($B314="","",PMT(Rate,Nper,-PV,,Type))</f>
        <v/>
      </c>
      <c r="H314" s="69" t="str">
        <f>IF($B314="","",PPMT(Rate,ROWS($1:302),Nper,-PV,,Type))</f>
        <v/>
      </c>
      <c r="I314" s="69" t="str">
        <f>IF($B314="","",IPMT(Rate,ROWS($1:302),Nper,-PV,,Type))</f>
        <v/>
      </c>
      <c r="J314" s="73" t="str">
        <f t="shared" ref="J314:K314" si="304">IF($B314="","",N(J313)+N(H314))</f>
        <v/>
      </c>
      <c r="K314" s="74" t="str">
        <f t="shared" si="304"/>
        <v/>
      </c>
      <c r="L314" s="69" t="str">
        <f>IF($B314="","",PV-J314)</f>
        <v/>
      </c>
      <c r="M314" s="71" t="str">
        <f>IF($B314="","",J314/PV)</f>
        <v/>
      </c>
      <c r="N314" s="72" t="str">
        <f t="shared" si="4"/>
        <v/>
      </c>
    </row>
    <row r="315" ht="14.25" customHeight="1">
      <c r="B315" s="66" t="str">
        <f>IF(ROWS($1:303)&lt;=Nper,ROWS($1:303),"")</f>
        <v/>
      </c>
      <c r="C315" s="67" t="str">
        <f>IF($B315="","",IF($E$7="Weekly",Start_Date+7*(ROWS($1:303)-1),EDATE(Start_Date,VLOOKUP(IF(ASTemp!$E$7="","Monthly",ASTemp!$E$7),Parameters!$B$3:$D$6,3,0)*(ROWS($1:303)-1))))</f>
        <v/>
      </c>
      <c r="D315" s="68" t="str">
        <f t="shared" si="2"/>
        <v/>
      </c>
      <c r="E315" s="65" t="str">
        <f>IF($B315="","",VLOOKUP(MONTH(C315),Parameters!$F$2:$G$13,2,0))</f>
        <v/>
      </c>
      <c r="F315" s="69" t="str">
        <f>IF($B315="","",PV-N(J314))</f>
        <v/>
      </c>
      <c r="G315" s="69" t="str">
        <f>IF($B315="","",PMT(Rate,Nper,-PV,,Type))</f>
        <v/>
      </c>
      <c r="H315" s="69" t="str">
        <f>IF($B315="","",PPMT(Rate,ROWS($1:303),Nper,-PV,,Type))</f>
        <v/>
      </c>
      <c r="I315" s="69" t="str">
        <f>IF($B315="","",IPMT(Rate,ROWS($1:303),Nper,-PV,,Type))</f>
        <v/>
      </c>
      <c r="J315" s="73" t="str">
        <f t="shared" ref="J315:K315" si="305">IF($B315="","",N(J314)+N(H315))</f>
        <v/>
      </c>
      <c r="K315" s="74" t="str">
        <f t="shared" si="305"/>
        <v/>
      </c>
      <c r="L315" s="69" t="str">
        <f>IF($B315="","",PV-J315)</f>
        <v/>
      </c>
      <c r="M315" s="71" t="str">
        <f>IF($B315="","",J315/PV)</f>
        <v/>
      </c>
      <c r="N315" s="72" t="str">
        <f t="shared" si="4"/>
        <v/>
      </c>
    </row>
    <row r="316" ht="14.25" customHeight="1">
      <c r="B316" s="66" t="str">
        <f>IF(ROWS($1:304)&lt;=Nper,ROWS($1:304),"")</f>
        <v/>
      </c>
      <c r="C316" s="67" t="str">
        <f>IF($B316="","",IF($E$7="Weekly",Start_Date+7*(ROWS($1:304)-1),EDATE(Start_Date,VLOOKUP(IF(ASTemp!$E$7="","Monthly",ASTemp!$E$7),Parameters!$B$3:$D$6,3,0)*(ROWS($1:304)-1))))</f>
        <v/>
      </c>
      <c r="D316" s="68" t="str">
        <f t="shared" si="2"/>
        <v/>
      </c>
      <c r="E316" s="65" t="str">
        <f>IF($B316="","",VLOOKUP(MONTH(C316),Parameters!$F$2:$G$13,2,0))</f>
        <v/>
      </c>
      <c r="F316" s="69" t="str">
        <f>IF($B316="","",PV-N(J315))</f>
        <v/>
      </c>
      <c r="G316" s="69" t="str">
        <f>IF($B316="","",PMT(Rate,Nper,-PV,,Type))</f>
        <v/>
      </c>
      <c r="H316" s="69" t="str">
        <f>IF($B316="","",PPMT(Rate,ROWS($1:304),Nper,-PV,,Type))</f>
        <v/>
      </c>
      <c r="I316" s="69" t="str">
        <f>IF($B316="","",IPMT(Rate,ROWS($1:304),Nper,-PV,,Type))</f>
        <v/>
      </c>
      <c r="J316" s="73" t="str">
        <f t="shared" ref="J316:K316" si="306">IF($B316="","",N(J315)+N(H316))</f>
        <v/>
      </c>
      <c r="K316" s="74" t="str">
        <f t="shared" si="306"/>
        <v/>
      </c>
      <c r="L316" s="69" t="str">
        <f>IF($B316="","",PV-J316)</f>
        <v/>
      </c>
      <c r="M316" s="71" t="str">
        <f>IF($B316="","",J316/PV)</f>
        <v/>
      </c>
      <c r="N316" s="72" t="str">
        <f t="shared" si="4"/>
        <v/>
      </c>
    </row>
    <row r="317" ht="14.25" customHeight="1">
      <c r="B317" s="66" t="str">
        <f>IF(ROWS($1:305)&lt;=Nper,ROWS($1:305),"")</f>
        <v/>
      </c>
      <c r="C317" s="67" t="str">
        <f>IF($B317="","",IF($E$7="Weekly",Start_Date+7*(ROWS($1:305)-1),EDATE(Start_Date,VLOOKUP(IF(ASTemp!$E$7="","Monthly",ASTemp!$E$7),Parameters!$B$3:$D$6,3,0)*(ROWS($1:305)-1))))</f>
        <v/>
      </c>
      <c r="D317" s="68" t="str">
        <f t="shared" si="2"/>
        <v/>
      </c>
      <c r="E317" s="65" t="str">
        <f>IF($B317="","",VLOOKUP(MONTH(C317),Parameters!$F$2:$G$13,2,0))</f>
        <v/>
      </c>
      <c r="F317" s="69" t="str">
        <f>IF($B317="","",PV-N(J316))</f>
        <v/>
      </c>
      <c r="G317" s="69" t="str">
        <f>IF($B317="","",PMT(Rate,Nper,-PV,,Type))</f>
        <v/>
      </c>
      <c r="H317" s="69" t="str">
        <f>IF($B317="","",PPMT(Rate,ROWS($1:305),Nper,-PV,,Type))</f>
        <v/>
      </c>
      <c r="I317" s="69" t="str">
        <f>IF($B317="","",IPMT(Rate,ROWS($1:305),Nper,-PV,,Type))</f>
        <v/>
      </c>
      <c r="J317" s="73" t="str">
        <f t="shared" ref="J317:K317" si="307">IF($B317="","",N(J316)+N(H317))</f>
        <v/>
      </c>
      <c r="K317" s="74" t="str">
        <f t="shared" si="307"/>
        <v/>
      </c>
      <c r="L317" s="69" t="str">
        <f>IF($B317="","",PV-J317)</f>
        <v/>
      </c>
      <c r="M317" s="71" t="str">
        <f>IF($B317="","",J317/PV)</f>
        <v/>
      </c>
      <c r="N317" s="72" t="str">
        <f t="shared" si="4"/>
        <v/>
      </c>
    </row>
    <row r="318" ht="14.25" customHeight="1">
      <c r="B318" s="66" t="str">
        <f>IF(ROWS($1:306)&lt;=Nper,ROWS($1:306),"")</f>
        <v/>
      </c>
      <c r="C318" s="67" t="str">
        <f>IF($B318="","",IF($E$7="Weekly",Start_Date+7*(ROWS($1:306)-1),EDATE(Start_Date,VLOOKUP(IF(ASTemp!$E$7="","Monthly",ASTemp!$E$7),Parameters!$B$3:$D$6,3,0)*(ROWS($1:306)-1))))</f>
        <v/>
      </c>
      <c r="D318" s="68" t="str">
        <f t="shared" si="2"/>
        <v/>
      </c>
      <c r="E318" s="65" t="str">
        <f>IF($B318="","",VLOOKUP(MONTH(C318),Parameters!$F$2:$G$13,2,0))</f>
        <v/>
      </c>
      <c r="F318" s="69" t="str">
        <f>IF($B318="","",PV-N(J317))</f>
        <v/>
      </c>
      <c r="G318" s="69" t="str">
        <f>IF($B318="","",PMT(Rate,Nper,-PV,,Type))</f>
        <v/>
      </c>
      <c r="H318" s="69" t="str">
        <f>IF($B318="","",PPMT(Rate,ROWS($1:306),Nper,-PV,,Type))</f>
        <v/>
      </c>
      <c r="I318" s="69" t="str">
        <f>IF($B318="","",IPMT(Rate,ROWS($1:306),Nper,-PV,,Type))</f>
        <v/>
      </c>
      <c r="J318" s="73" t="str">
        <f t="shared" ref="J318:K318" si="308">IF($B318="","",N(J317)+N(H318))</f>
        <v/>
      </c>
      <c r="K318" s="74" t="str">
        <f t="shared" si="308"/>
        <v/>
      </c>
      <c r="L318" s="69" t="str">
        <f>IF($B318="","",PV-J318)</f>
        <v/>
      </c>
      <c r="M318" s="71" t="str">
        <f>IF($B318="","",J318/PV)</f>
        <v/>
      </c>
      <c r="N318" s="72" t="str">
        <f t="shared" si="4"/>
        <v/>
      </c>
    </row>
    <row r="319" ht="14.25" customHeight="1">
      <c r="B319" s="66" t="str">
        <f>IF(ROWS($1:307)&lt;=Nper,ROWS($1:307),"")</f>
        <v/>
      </c>
      <c r="C319" s="67" t="str">
        <f>IF($B319="","",IF($E$7="Weekly",Start_Date+7*(ROWS($1:307)-1),EDATE(Start_Date,VLOOKUP(IF(ASTemp!$E$7="","Monthly",ASTemp!$E$7),Parameters!$B$3:$D$6,3,0)*(ROWS($1:307)-1))))</f>
        <v/>
      </c>
      <c r="D319" s="68" t="str">
        <f t="shared" si="2"/>
        <v/>
      </c>
      <c r="E319" s="65" t="str">
        <f>IF($B319="","",VLOOKUP(MONTH(C319),Parameters!$F$2:$G$13,2,0))</f>
        <v/>
      </c>
      <c r="F319" s="69" t="str">
        <f>IF($B319="","",PV-N(J318))</f>
        <v/>
      </c>
      <c r="G319" s="69" t="str">
        <f>IF($B319="","",PMT(Rate,Nper,-PV,,Type))</f>
        <v/>
      </c>
      <c r="H319" s="69" t="str">
        <f>IF($B319="","",PPMT(Rate,ROWS($1:307),Nper,-PV,,Type))</f>
        <v/>
      </c>
      <c r="I319" s="69" t="str">
        <f>IF($B319="","",IPMT(Rate,ROWS($1:307),Nper,-PV,,Type))</f>
        <v/>
      </c>
      <c r="J319" s="73" t="str">
        <f t="shared" ref="J319:K319" si="309">IF($B319="","",N(J318)+N(H319))</f>
        <v/>
      </c>
      <c r="K319" s="74" t="str">
        <f t="shared" si="309"/>
        <v/>
      </c>
      <c r="L319" s="69" t="str">
        <f>IF($B319="","",PV-J319)</f>
        <v/>
      </c>
      <c r="M319" s="71" t="str">
        <f>IF($B319="","",J319/PV)</f>
        <v/>
      </c>
      <c r="N319" s="72" t="str">
        <f t="shared" si="4"/>
        <v/>
      </c>
    </row>
    <row r="320" ht="14.25" customHeight="1">
      <c r="B320" s="66" t="str">
        <f>IF(ROWS($1:308)&lt;=Nper,ROWS($1:308),"")</f>
        <v/>
      </c>
      <c r="C320" s="67" t="str">
        <f>IF($B320="","",IF($E$7="Weekly",Start_Date+7*(ROWS($1:308)-1),EDATE(Start_Date,VLOOKUP(IF(ASTemp!$E$7="","Monthly",ASTemp!$E$7),Parameters!$B$3:$D$6,3,0)*(ROWS($1:308)-1))))</f>
        <v/>
      </c>
      <c r="D320" s="68" t="str">
        <f t="shared" si="2"/>
        <v/>
      </c>
      <c r="E320" s="65" t="str">
        <f>IF($B320="","",VLOOKUP(MONTH(C320),Parameters!$F$2:$G$13,2,0))</f>
        <v/>
      </c>
      <c r="F320" s="69" t="str">
        <f>IF($B320="","",PV-N(J319))</f>
        <v/>
      </c>
      <c r="G320" s="69" t="str">
        <f>IF($B320="","",PMT(Rate,Nper,-PV,,Type))</f>
        <v/>
      </c>
      <c r="H320" s="69" t="str">
        <f>IF($B320="","",PPMT(Rate,ROWS($1:308),Nper,-PV,,Type))</f>
        <v/>
      </c>
      <c r="I320" s="69" t="str">
        <f>IF($B320="","",IPMT(Rate,ROWS($1:308),Nper,-PV,,Type))</f>
        <v/>
      </c>
      <c r="J320" s="73" t="str">
        <f t="shared" ref="J320:K320" si="310">IF($B320="","",N(J319)+N(H320))</f>
        <v/>
      </c>
      <c r="K320" s="74" t="str">
        <f t="shared" si="310"/>
        <v/>
      </c>
      <c r="L320" s="69" t="str">
        <f>IF($B320="","",PV-J320)</f>
        <v/>
      </c>
      <c r="M320" s="71" t="str">
        <f>IF($B320="","",J320/PV)</f>
        <v/>
      </c>
      <c r="N320" s="72" t="str">
        <f t="shared" si="4"/>
        <v/>
      </c>
    </row>
    <row r="321" ht="14.25" customHeight="1">
      <c r="B321" s="66" t="str">
        <f>IF(ROWS($1:309)&lt;=Nper,ROWS($1:309),"")</f>
        <v/>
      </c>
      <c r="C321" s="67" t="str">
        <f>IF($B321="","",IF($E$7="Weekly",Start_Date+7*(ROWS($1:309)-1),EDATE(Start_Date,VLOOKUP(IF(ASTemp!$E$7="","Monthly",ASTemp!$E$7),Parameters!$B$3:$D$6,3,0)*(ROWS($1:309)-1))))</f>
        <v/>
      </c>
      <c r="D321" s="68" t="str">
        <f t="shared" si="2"/>
        <v/>
      </c>
      <c r="E321" s="65" t="str">
        <f>IF($B321="","",VLOOKUP(MONTH(C321),Parameters!$F$2:$G$13,2,0))</f>
        <v/>
      </c>
      <c r="F321" s="69" t="str">
        <f>IF($B321="","",PV-N(J320))</f>
        <v/>
      </c>
      <c r="G321" s="69" t="str">
        <f>IF($B321="","",PMT(Rate,Nper,-PV,,Type))</f>
        <v/>
      </c>
      <c r="H321" s="69" t="str">
        <f>IF($B321="","",PPMT(Rate,ROWS($1:309),Nper,-PV,,Type))</f>
        <v/>
      </c>
      <c r="I321" s="69" t="str">
        <f>IF($B321="","",IPMT(Rate,ROWS($1:309),Nper,-PV,,Type))</f>
        <v/>
      </c>
      <c r="J321" s="73" t="str">
        <f t="shared" ref="J321:K321" si="311">IF($B321="","",N(J320)+N(H321))</f>
        <v/>
      </c>
      <c r="K321" s="74" t="str">
        <f t="shared" si="311"/>
        <v/>
      </c>
      <c r="L321" s="69" t="str">
        <f>IF($B321="","",PV-J321)</f>
        <v/>
      </c>
      <c r="M321" s="71" t="str">
        <f>IF($B321="","",J321/PV)</f>
        <v/>
      </c>
      <c r="N321" s="72" t="str">
        <f t="shared" si="4"/>
        <v/>
      </c>
    </row>
    <row r="322" ht="14.25" customHeight="1">
      <c r="B322" s="66" t="str">
        <f>IF(ROWS($1:310)&lt;=Nper,ROWS($1:310),"")</f>
        <v/>
      </c>
      <c r="C322" s="67" t="str">
        <f>IF($B322="","",IF($E$7="Weekly",Start_Date+7*(ROWS($1:310)-1),EDATE(Start_Date,VLOOKUP(IF(ASTemp!$E$7="","Monthly",ASTemp!$E$7),Parameters!$B$3:$D$6,3,0)*(ROWS($1:310)-1))))</f>
        <v/>
      </c>
      <c r="D322" s="68" t="str">
        <f t="shared" si="2"/>
        <v/>
      </c>
      <c r="E322" s="65" t="str">
        <f>IF($B322="","",VLOOKUP(MONTH(C322),Parameters!$F$2:$G$13,2,0))</f>
        <v/>
      </c>
      <c r="F322" s="69" t="str">
        <f>IF($B322="","",PV-N(J321))</f>
        <v/>
      </c>
      <c r="G322" s="69" t="str">
        <f>IF($B322="","",PMT(Rate,Nper,-PV,,Type))</f>
        <v/>
      </c>
      <c r="H322" s="69" t="str">
        <f>IF($B322="","",PPMT(Rate,ROWS($1:310),Nper,-PV,,Type))</f>
        <v/>
      </c>
      <c r="I322" s="69" t="str">
        <f>IF($B322="","",IPMT(Rate,ROWS($1:310),Nper,-PV,,Type))</f>
        <v/>
      </c>
      <c r="J322" s="73" t="str">
        <f t="shared" ref="J322:K322" si="312">IF($B322="","",N(J321)+N(H322))</f>
        <v/>
      </c>
      <c r="K322" s="74" t="str">
        <f t="shared" si="312"/>
        <v/>
      </c>
      <c r="L322" s="69" t="str">
        <f>IF($B322="","",PV-J322)</f>
        <v/>
      </c>
      <c r="M322" s="71" t="str">
        <f>IF($B322="","",J322/PV)</f>
        <v/>
      </c>
      <c r="N322" s="72" t="str">
        <f t="shared" si="4"/>
        <v/>
      </c>
    </row>
    <row r="323" ht="14.25" customHeight="1">
      <c r="B323" s="66" t="str">
        <f>IF(ROWS($1:311)&lt;=Nper,ROWS($1:311),"")</f>
        <v/>
      </c>
      <c r="C323" s="67" t="str">
        <f>IF($B323="","",IF($E$7="Weekly",Start_Date+7*(ROWS($1:311)-1),EDATE(Start_Date,VLOOKUP(IF(ASTemp!$E$7="","Monthly",ASTemp!$E$7),Parameters!$B$3:$D$6,3,0)*(ROWS($1:311)-1))))</f>
        <v/>
      </c>
      <c r="D323" s="68" t="str">
        <f t="shared" si="2"/>
        <v/>
      </c>
      <c r="E323" s="65" t="str">
        <f>IF($B323="","",VLOOKUP(MONTH(C323),Parameters!$F$2:$G$13,2,0))</f>
        <v/>
      </c>
      <c r="F323" s="69" t="str">
        <f>IF($B323="","",PV-N(J322))</f>
        <v/>
      </c>
      <c r="G323" s="69" t="str">
        <f>IF($B323="","",PMT(Rate,Nper,-PV,,Type))</f>
        <v/>
      </c>
      <c r="H323" s="69" t="str">
        <f>IF($B323="","",PPMT(Rate,ROWS($1:311),Nper,-PV,,Type))</f>
        <v/>
      </c>
      <c r="I323" s="69" t="str">
        <f>IF($B323="","",IPMT(Rate,ROWS($1:311),Nper,-PV,,Type))</f>
        <v/>
      </c>
      <c r="J323" s="73" t="str">
        <f t="shared" ref="J323:K323" si="313">IF($B323="","",N(J322)+N(H323))</f>
        <v/>
      </c>
      <c r="K323" s="74" t="str">
        <f t="shared" si="313"/>
        <v/>
      </c>
      <c r="L323" s="69" t="str">
        <f>IF($B323="","",PV-J323)</f>
        <v/>
      </c>
      <c r="M323" s="71" t="str">
        <f>IF($B323="","",J323/PV)</f>
        <v/>
      </c>
      <c r="N323" s="72" t="str">
        <f t="shared" si="4"/>
        <v/>
      </c>
    </row>
    <row r="324" ht="14.25" customHeight="1">
      <c r="B324" s="66" t="str">
        <f>IF(ROWS($1:312)&lt;=Nper,ROWS($1:312),"")</f>
        <v/>
      </c>
      <c r="C324" s="67" t="str">
        <f>IF($B324="","",IF($E$7="Weekly",Start_Date+7*(ROWS($1:312)-1),EDATE(Start_Date,VLOOKUP(IF(ASTemp!$E$7="","Monthly",ASTemp!$E$7),Parameters!$B$3:$D$6,3,0)*(ROWS($1:312)-1))))</f>
        <v/>
      </c>
      <c r="D324" s="68" t="str">
        <f t="shared" si="2"/>
        <v/>
      </c>
      <c r="E324" s="65" t="str">
        <f>IF($B324="","",VLOOKUP(MONTH(C324),Parameters!$F$2:$G$13,2,0))</f>
        <v/>
      </c>
      <c r="F324" s="69" t="str">
        <f>IF($B324="","",PV-N(J323))</f>
        <v/>
      </c>
      <c r="G324" s="69" t="str">
        <f>IF($B324="","",PMT(Rate,Nper,-PV,,Type))</f>
        <v/>
      </c>
      <c r="H324" s="69" t="str">
        <f>IF($B324="","",PPMT(Rate,ROWS($1:312),Nper,-PV,,Type))</f>
        <v/>
      </c>
      <c r="I324" s="69" t="str">
        <f>IF($B324="","",IPMT(Rate,ROWS($1:312),Nper,-PV,,Type))</f>
        <v/>
      </c>
      <c r="J324" s="73" t="str">
        <f t="shared" ref="J324:K324" si="314">IF($B324="","",N(J323)+N(H324))</f>
        <v/>
      </c>
      <c r="K324" s="74" t="str">
        <f t="shared" si="314"/>
        <v/>
      </c>
      <c r="L324" s="69" t="str">
        <f>IF($B324="","",PV-J324)</f>
        <v/>
      </c>
      <c r="M324" s="71" t="str">
        <f>IF($B324="","",J324/PV)</f>
        <v/>
      </c>
      <c r="N324" s="72" t="str">
        <f t="shared" si="4"/>
        <v/>
      </c>
    </row>
    <row r="325" ht="14.25" customHeight="1">
      <c r="B325" s="66" t="str">
        <f>IF(ROWS($1:313)&lt;=Nper,ROWS($1:313),"")</f>
        <v/>
      </c>
      <c r="C325" s="67" t="str">
        <f>IF($B325="","",IF($E$7="Weekly",Start_Date+7*(ROWS($1:313)-1),EDATE(Start_Date,VLOOKUP(IF(ASTemp!$E$7="","Monthly",ASTemp!$E$7),Parameters!$B$3:$D$6,3,0)*(ROWS($1:313)-1))))</f>
        <v/>
      </c>
      <c r="D325" s="68" t="str">
        <f t="shared" si="2"/>
        <v/>
      </c>
      <c r="E325" s="65" t="str">
        <f>IF($B325="","",VLOOKUP(MONTH(C325),Parameters!$F$2:$G$13,2,0))</f>
        <v/>
      </c>
      <c r="F325" s="69" t="str">
        <f>IF($B325="","",PV-N(J324))</f>
        <v/>
      </c>
      <c r="G325" s="69" t="str">
        <f>IF($B325="","",PMT(Rate,Nper,-PV,,Type))</f>
        <v/>
      </c>
      <c r="H325" s="69" t="str">
        <f>IF($B325="","",PPMT(Rate,ROWS($1:313),Nper,-PV,,Type))</f>
        <v/>
      </c>
      <c r="I325" s="69" t="str">
        <f>IF($B325="","",IPMT(Rate,ROWS($1:313),Nper,-PV,,Type))</f>
        <v/>
      </c>
      <c r="J325" s="73" t="str">
        <f t="shared" ref="J325:K325" si="315">IF($B325="","",N(J324)+N(H325))</f>
        <v/>
      </c>
      <c r="K325" s="74" t="str">
        <f t="shared" si="315"/>
        <v/>
      </c>
      <c r="L325" s="69" t="str">
        <f>IF($B325="","",PV-J325)</f>
        <v/>
      </c>
      <c r="M325" s="71" t="str">
        <f>IF($B325="","",J325/PV)</f>
        <v/>
      </c>
      <c r="N325" s="72" t="str">
        <f t="shared" si="4"/>
        <v/>
      </c>
    </row>
    <row r="326" ht="14.25" customHeight="1">
      <c r="B326" s="66" t="str">
        <f>IF(ROWS($1:314)&lt;=Nper,ROWS($1:314),"")</f>
        <v/>
      </c>
      <c r="C326" s="67" t="str">
        <f>IF($B326="","",IF($E$7="Weekly",Start_Date+7*(ROWS($1:314)-1),EDATE(Start_Date,VLOOKUP(IF(ASTemp!$E$7="","Monthly",ASTemp!$E$7),Parameters!$B$3:$D$6,3,0)*(ROWS($1:314)-1))))</f>
        <v/>
      </c>
      <c r="D326" s="68" t="str">
        <f t="shared" si="2"/>
        <v/>
      </c>
      <c r="E326" s="65" t="str">
        <f>IF($B326="","",VLOOKUP(MONTH(C326),Parameters!$F$2:$G$13,2,0))</f>
        <v/>
      </c>
      <c r="F326" s="69" t="str">
        <f>IF($B326="","",PV-N(J325))</f>
        <v/>
      </c>
      <c r="G326" s="69" t="str">
        <f>IF($B326="","",PMT(Rate,Nper,-PV,,Type))</f>
        <v/>
      </c>
      <c r="H326" s="69" t="str">
        <f>IF($B326="","",PPMT(Rate,ROWS($1:314),Nper,-PV,,Type))</f>
        <v/>
      </c>
      <c r="I326" s="69" t="str">
        <f>IF($B326="","",IPMT(Rate,ROWS($1:314),Nper,-PV,,Type))</f>
        <v/>
      </c>
      <c r="J326" s="73" t="str">
        <f t="shared" ref="J326:K326" si="316">IF($B326="","",N(J325)+N(H326))</f>
        <v/>
      </c>
      <c r="K326" s="74" t="str">
        <f t="shared" si="316"/>
        <v/>
      </c>
      <c r="L326" s="69" t="str">
        <f>IF($B326="","",PV-J326)</f>
        <v/>
      </c>
      <c r="M326" s="71" t="str">
        <f>IF($B326="","",J326/PV)</f>
        <v/>
      </c>
      <c r="N326" s="72" t="str">
        <f t="shared" si="4"/>
        <v/>
      </c>
    </row>
    <row r="327" ht="14.25" customHeight="1">
      <c r="B327" s="66" t="str">
        <f>IF(ROWS($1:315)&lt;=Nper,ROWS($1:315),"")</f>
        <v/>
      </c>
      <c r="C327" s="67" t="str">
        <f>IF($B327="","",IF($E$7="Weekly",Start_Date+7*(ROWS($1:315)-1),EDATE(Start_Date,VLOOKUP(IF(ASTemp!$E$7="","Monthly",ASTemp!$E$7),Parameters!$B$3:$D$6,3,0)*(ROWS($1:315)-1))))</f>
        <v/>
      </c>
      <c r="D327" s="68" t="str">
        <f t="shared" si="2"/>
        <v/>
      </c>
      <c r="E327" s="65" t="str">
        <f>IF($B327="","",VLOOKUP(MONTH(C327),Parameters!$F$2:$G$13,2,0))</f>
        <v/>
      </c>
      <c r="F327" s="69" t="str">
        <f>IF($B327="","",PV-N(J326))</f>
        <v/>
      </c>
      <c r="G327" s="69" t="str">
        <f>IF($B327="","",PMT(Rate,Nper,-PV,,Type))</f>
        <v/>
      </c>
      <c r="H327" s="69" t="str">
        <f>IF($B327="","",PPMT(Rate,ROWS($1:315),Nper,-PV,,Type))</f>
        <v/>
      </c>
      <c r="I327" s="69" t="str">
        <f>IF($B327="","",IPMT(Rate,ROWS($1:315),Nper,-PV,,Type))</f>
        <v/>
      </c>
      <c r="J327" s="73" t="str">
        <f t="shared" ref="J327:K327" si="317">IF($B327="","",N(J326)+N(H327))</f>
        <v/>
      </c>
      <c r="K327" s="74" t="str">
        <f t="shared" si="317"/>
        <v/>
      </c>
      <c r="L327" s="69" t="str">
        <f>IF($B327="","",PV-J327)</f>
        <v/>
      </c>
      <c r="M327" s="71" t="str">
        <f>IF($B327="","",J327/PV)</f>
        <v/>
      </c>
      <c r="N327" s="72" t="str">
        <f t="shared" si="4"/>
        <v/>
      </c>
    </row>
    <row r="328" ht="14.25" customHeight="1">
      <c r="B328" s="66" t="str">
        <f>IF(ROWS($1:316)&lt;=Nper,ROWS($1:316),"")</f>
        <v/>
      </c>
      <c r="C328" s="67" t="str">
        <f>IF($B328="","",IF($E$7="Weekly",Start_Date+7*(ROWS($1:316)-1),EDATE(Start_Date,VLOOKUP(IF(ASTemp!$E$7="","Monthly",ASTemp!$E$7),Parameters!$B$3:$D$6,3,0)*(ROWS($1:316)-1))))</f>
        <v/>
      </c>
      <c r="D328" s="68" t="str">
        <f t="shared" si="2"/>
        <v/>
      </c>
      <c r="E328" s="65" t="str">
        <f>IF($B328="","",VLOOKUP(MONTH(C328),Parameters!$F$2:$G$13,2,0))</f>
        <v/>
      </c>
      <c r="F328" s="69" t="str">
        <f>IF($B328="","",PV-N(J327))</f>
        <v/>
      </c>
      <c r="G328" s="69" t="str">
        <f>IF($B328="","",PMT(Rate,Nper,-PV,,Type))</f>
        <v/>
      </c>
      <c r="H328" s="69" t="str">
        <f>IF($B328="","",PPMT(Rate,ROWS($1:316),Nper,-PV,,Type))</f>
        <v/>
      </c>
      <c r="I328" s="69" t="str">
        <f>IF($B328="","",IPMT(Rate,ROWS($1:316),Nper,-PV,,Type))</f>
        <v/>
      </c>
      <c r="J328" s="73" t="str">
        <f t="shared" ref="J328:K328" si="318">IF($B328="","",N(J327)+N(H328))</f>
        <v/>
      </c>
      <c r="K328" s="74" t="str">
        <f t="shared" si="318"/>
        <v/>
      </c>
      <c r="L328" s="69" t="str">
        <f>IF($B328="","",PV-J328)</f>
        <v/>
      </c>
      <c r="M328" s="71" t="str">
        <f>IF($B328="","",J328/PV)</f>
        <v/>
      </c>
      <c r="N328" s="72" t="str">
        <f t="shared" si="4"/>
        <v/>
      </c>
    </row>
    <row r="329" ht="14.25" customHeight="1">
      <c r="B329" s="66" t="str">
        <f>IF(ROWS($1:317)&lt;=Nper,ROWS($1:317),"")</f>
        <v/>
      </c>
      <c r="C329" s="67" t="str">
        <f>IF($B329="","",IF($E$7="Weekly",Start_Date+7*(ROWS($1:317)-1),EDATE(Start_Date,VLOOKUP(IF(ASTemp!$E$7="","Monthly",ASTemp!$E$7),Parameters!$B$3:$D$6,3,0)*(ROWS($1:317)-1))))</f>
        <v/>
      </c>
      <c r="D329" s="68" t="str">
        <f t="shared" si="2"/>
        <v/>
      </c>
      <c r="E329" s="65" t="str">
        <f>IF($B329="","",VLOOKUP(MONTH(C329),Parameters!$F$2:$G$13,2,0))</f>
        <v/>
      </c>
      <c r="F329" s="69" t="str">
        <f>IF($B329="","",PV-N(J328))</f>
        <v/>
      </c>
      <c r="G329" s="69" t="str">
        <f>IF($B329="","",PMT(Rate,Nper,-PV,,Type))</f>
        <v/>
      </c>
      <c r="H329" s="69" t="str">
        <f>IF($B329="","",PPMT(Rate,ROWS($1:317),Nper,-PV,,Type))</f>
        <v/>
      </c>
      <c r="I329" s="69" t="str">
        <f>IF($B329="","",IPMT(Rate,ROWS($1:317),Nper,-PV,,Type))</f>
        <v/>
      </c>
      <c r="J329" s="73" t="str">
        <f t="shared" ref="J329:K329" si="319">IF($B329="","",N(J328)+N(H329))</f>
        <v/>
      </c>
      <c r="K329" s="74" t="str">
        <f t="shared" si="319"/>
        <v/>
      </c>
      <c r="L329" s="69" t="str">
        <f>IF($B329="","",PV-J329)</f>
        <v/>
      </c>
      <c r="M329" s="71" t="str">
        <f>IF($B329="","",J329/PV)</f>
        <v/>
      </c>
      <c r="N329" s="72" t="str">
        <f t="shared" si="4"/>
        <v/>
      </c>
    </row>
    <row r="330" ht="14.25" customHeight="1">
      <c r="B330" s="66" t="str">
        <f>IF(ROWS($1:318)&lt;=Nper,ROWS($1:318),"")</f>
        <v/>
      </c>
      <c r="C330" s="67" t="str">
        <f>IF($B330="","",IF($E$7="Weekly",Start_Date+7*(ROWS($1:318)-1),EDATE(Start_Date,VLOOKUP(IF(ASTemp!$E$7="","Monthly",ASTemp!$E$7),Parameters!$B$3:$D$6,3,0)*(ROWS($1:318)-1))))</f>
        <v/>
      </c>
      <c r="D330" s="68" t="str">
        <f t="shared" si="2"/>
        <v/>
      </c>
      <c r="E330" s="65" t="str">
        <f>IF($B330="","",VLOOKUP(MONTH(C330),Parameters!$F$2:$G$13,2,0))</f>
        <v/>
      </c>
      <c r="F330" s="69" t="str">
        <f>IF($B330="","",PV-N(J329))</f>
        <v/>
      </c>
      <c r="G330" s="69" t="str">
        <f>IF($B330="","",PMT(Rate,Nper,-PV,,Type))</f>
        <v/>
      </c>
      <c r="H330" s="69" t="str">
        <f>IF($B330="","",PPMT(Rate,ROWS($1:318),Nper,-PV,,Type))</f>
        <v/>
      </c>
      <c r="I330" s="69" t="str">
        <f>IF($B330="","",IPMT(Rate,ROWS($1:318),Nper,-PV,,Type))</f>
        <v/>
      </c>
      <c r="J330" s="73" t="str">
        <f t="shared" ref="J330:K330" si="320">IF($B330="","",N(J329)+N(H330))</f>
        <v/>
      </c>
      <c r="K330" s="74" t="str">
        <f t="shared" si="320"/>
        <v/>
      </c>
      <c r="L330" s="69" t="str">
        <f>IF($B330="","",PV-J330)</f>
        <v/>
      </c>
      <c r="M330" s="71" t="str">
        <f>IF($B330="","",J330/PV)</f>
        <v/>
      </c>
      <c r="N330" s="72" t="str">
        <f t="shared" si="4"/>
        <v/>
      </c>
    </row>
    <row r="331" ht="14.25" customHeight="1">
      <c r="B331" s="66" t="str">
        <f>IF(ROWS($1:319)&lt;=Nper,ROWS($1:319),"")</f>
        <v/>
      </c>
      <c r="C331" s="67" t="str">
        <f>IF($B331="","",IF($E$7="Weekly",Start_Date+7*(ROWS($1:319)-1),EDATE(Start_Date,VLOOKUP(IF(ASTemp!$E$7="","Monthly",ASTemp!$E$7),Parameters!$B$3:$D$6,3,0)*(ROWS($1:319)-1))))</f>
        <v/>
      </c>
      <c r="D331" s="68" t="str">
        <f t="shared" si="2"/>
        <v/>
      </c>
      <c r="E331" s="65" t="str">
        <f>IF($B331="","",VLOOKUP(MONTH(C331),Parameters!$F$2:$G$13,2,0))</f>
        <v/>
      </c>
      <c r="F331" s="69" t="str">
        <f>IF($B331="","",PV-N(J330))</f>
        <v/>
      </c>
      <c r="G331" s="69" t="str">
        <f>IF($B331="","",PMT(Rate,Nper,-PV,,Type))</f>
        <v/>
      </c>
      <c r="H331" s="69" t="str">
        <f>IF($B331="","",PPMT(Rate,ROWS($1:319),Nper,-PV,,Type))</f>
        <v/>
      </c>
      <c r="I331" s="69" t="str">
        <f>IF($B331="","",IPMT(Rate,ROWS($1:319),Nper,-PV,,Type))</f>
        <v/>
      </c>
      <c r="J331" s="73" t="str">
        <f t="shared" ref="J331:K331" si="321">IF($B331="","",N(J330)+N(H331))</f>
        <v/>
      </c>
      <c r="K331" s="74" t="str">
        <f t="shared" si="321"/>
        <v/>
      </c>
      <c r="L331" s="69" t="str">
        <f>IF($B331="","",PV-J331)</f>
        <v/>
      </c>
      <c r="M331" s="71" t="str">
        <f>IF($B331="","",J331/PV)</f>
        <v/>
      </c>
      <c r="N331" s="72" t="str">
        <f t="shared" si="4"/>
        <v/>
      </c>
    </row>
    <row r="332" ht="14.25" customHeight="1">
      <c r="B332" s="66" t="str">
        <f>IF(ROWS($1:320)&lt;=Nper,ROWS($1:320),"")</f>
        <v/>
      </c>
      <c r="C332" s="67" t="str">
        <f>IF($B332="","",IF($E$7="Weekly",Start_Date+7*(ROWS($1:320)-1),EDATE(Start_Date,VLOOKUP(IF(ASTemp!$E$7="","Monthly",ASTemp!$E$7),Parameters!$B$3:$D$6,3,0)*(ROWS($1:320)-1))))</f>
        <v/>
      </c>
      <c r="D332" s="68" t="str">
        <f t="shared" si="2"/>
        <v/>
      </c>
      <c r="E332" s="65" t="str">
        <f>IF($B332="","",VLOOKUP(MONTH(C332),Parameters!$F$2:$G$13,2,0))</f>
        <v/>
      </c>
      <c r="F332" s="69" t="str">
        <f>IF($B332="","",PV-N(J331))</f>
        <v/>
      </c>
      <c r="G332" s="69" t="str">
        <f>IF($B332="","",PMT(Rate,Nper,-PV,,Type))</f>
        <v/>
      </c>
      <c r="H332" s="69" t="str">
        <f>IF($B332="","",PPMT(Rate,ROWS($1:320),Nper,-PV,,Type))</f>
        <v/>
      </c>
      <c r="I332" s="69" t="str">
        <f>IF($B332="","",IPMT(Rate,ROWS($1:320),Nper,-PV,,Type))</f>
        <v/>
      </c>
      <c r="J332" s="73" t="str">
        <f t="shared" ref="J332:K332" si="322">IF($B332="","",N(J331)+N(H332))</f>
        <v/>
      </c>
      <c r="K332" s="74" t="str">
        <f t="shared" si="322"/>
        <v/>
      </c>
      <c r="L332" s="69" t="str">
        <f>IF($B332="","",PV-J332)</f>
        <v/>
      </c>
      <c r="M332" s="71" t="str">
        <f>IF($B332="","",J332/PV)</f>
        <v/>
      </c>
      <c r="N332" s="72" t="str">
        <f t="shared" si="4"/>
        <v/>
      </c>
    </row>
    <row r="333" ht="14.25" customHeight="1">
      <c r="B333" s="66" t="str">
        <f>IF(ROWS($1:321)&lt;=Nper,ROWS($1:321),"")</f>
        <v/>
      </c>
      <c r="C333" s="67" t="str">
        <f>IF($B333="","",IF($E$7="Weekly",Start_Date+7*(ROWS($1:321)-1),EDATE(Start_Date,VLOOKUP(IF(ASTemp!$E$7="","Monthly",ASTemp!$E$7),Parameters!$B$3:$D$6,3,0)*(ROWS($1:321)-1))))</f>
        <v/>
      </c>
      <c r="D333" s="68" t="str">
        <f t="shared" si="2"/>
        <v/>
      </c>
      <c r="E333" s="65" t="str">
        <f>IF($B333="","",VLOOKUP(MONTH(C333),Parameters!$F$2:$G$13,2,0))</f>
        <v/>
      </c>
      <c r="F333" s="69" t="str">
        <f>IF($B333="","",PV-N(J332))</f>
        <v/>
      </c>
      <c r="G333" s="69" t="str">
        <f>IF($B333="","",PMT(Rate,Nper,-PV,,Type))</f>
        <v/>
      </c>
      <c r="H333" s="69" t="str">
        <f>IF($B333="","",PPMT(Rate,ROWS($1:321),Nper,-PV,,Type))</f>
        <v/>
      </c>
      <c r="I333" s="69" t="str">
        <f>IF($B333="","",IPMT(Rate,ROWS($1:321),Nper,-PV,,Type))</f>
        <v/>
      </c>
      <c r="J333" s="73" t="str">
        <f t="shared" ref="J333:K333" si="323">IF($B333="","",N(J332)+N(H333))</f>
        <v/>
      </c>
      <c r="K333" s="74" t="str">
        <f t="shared" si="323"/>
        <v/>
      </c>
      <c r="L333" s="69" t="str">
        <f>IF($B333="","",PV-J333)</f>
        <v/>
      </c>
      <c r="M333" s="71" t="str">
        <f>IF($B333="","",J333/PV)</f>
        <v/>
      </c>
      <c r="N333" s="72" t="str">
        <f t="shared" si="4"/>
        <v/>
      </c>
    </row>
    <row r="334" ht="14.25" customHeight="1">
      <c r="B334" s="66" t="str">
        <f>IF(ROWS($1:322)&lt;=Nper,ROWS($1:322),"")</f>
        <v/>
      </c>
      <c r="C334" s="67" t="str">
        <f>IF($B334="","",IF($E$7="Weekly",Start_Date+7*(ROWS($1:322)-1),EDATE(Start_Date,VLOOKUP(IF(ASTemp!$E$7="","Monthly",ASTemp!$E$7),Parameters!$B$3:$D$6,3,0)*(ROWS($1:322)-1))))</f>
        <v/>
      </c>
      <c r="D334" s="68" t="str">
        <f t="shared" si="2"/>
        <v/>
      </c>
      <c r="E334" s="65" t="str">
        <f>IF($B334="","",VLOOKUP(MONTH(C334),Parameters!$F$2:$G$13,2,0))</f>
        <v/>
      </c>
      <c r="F334" s="69" t="str">
        <f>IF($B334="","",PV-N(J333))</f>
        <v/>
      </c>
      <c r="G334" s="69" t="str">
        <f>IF($B334="","",PMT(Rate,Nper,-PV,,Type))</f>
        <v/>
      </c>
      <c r="H334" s="69" t="str">
        <f>IF($B334="","",PPMT(Rate,ROWS($1:322),Nper,-PV,,Type))</f>
        <v/>
      </c>
      <c r="I334" s="69" t="str">
        <f>IF($B334="","",IPMT(Rate,ROWS($1:322),Nper,-PV,,Type))</f>
        <v/>
      </c>
      <c r="J334" s="73" t="str">
        <f t="shared" ref="J334:K334" si="324">IF($B334="","",N(J333)+N(H334))</f>
        <v/>
      </c>
      <c r="K334" s="74" t="str">
        <f t="shared" si="324"/>
        <v/>
      </c>
      <c r="L334" s="69" t="str">
        <f>IF($B334="","",PV-J334)</f>
        <v/>
      </c>
      <c r="M334" s="71" t="str">
        <f>IF($B334="","",J334/PV)</f>
        <v/>
      </c>
      <c r="N334" s="72" t="str">
        <f t="shared" si="4"/>
        <v/>
      </c>
    </row>
    <row r="335" ht="14.25" customHeight="1">
      <c r="B335" s="66" t="str">
        <f>IF(ROWS($1:323)&lt;=Nper,ROWS($1:323),"")</f>
        <v/>
      </c>
      <c r="C335" s="67" t="str">
        <f>IF($B335="","",IF($E$7="Weekly",Start_Date+7*(ROWS($1:323)-1),EDATE(Start_Date,VLOOKUP(IF(ASTemp!$E$7="","Monthly",ASTemp!$E$7),Parameters!$B$3:$D$6,3,0)*(ROWS($1:323)-1))))</f>
        <v/>
      </c>
      <c r="D335" s="68" t="str">
        <f t="shared" si="2"/>
        <v/>
      </c>
      <c r="E335" s="65" t="str">
        <f>IF($B335="","",VLOOKUP(MONTH(C335),Parameters!$F$2:$G$13,2,0))</f>
        <v/>
      </c>
      <c r="F335" s="69" t="str">
        <f>IF($B335="","",PV-N(J334))</f>
        <v/>
      </c>
      <c r="G335" s="69" t="str">
        <f>IF($B335="","",PMT(Rate,Nper,-PV,,Type))</f>
        <v/>
      </c>
      <c r="H335" s="69" t="str">
        <f>IF($B335="","",PPMT(Rate,ROWS($1:323),Nper,-PV,,Type))</f>
        <v/>
      </c>
      <c r="I335" s="69" t="str">
        <f>IF($B335="","",IPMT(Rate,ROWS($1:323),Nper,-PV,,Type))</f>
        <v/>
      </c>
      <c r="J335" s="73" t="str">
        <f t="shared" ref="J335:K335" si="325">IF($B335="","",N(J334)+N(H335))</f>
        <v/>
      </c>
      <c r="K335" s="74" t="str">
        <f t="shared" si="325"/>
        <v/>
      </c>
      <c r="L335" s="69" t="str">
        <f>IF($B335="","",PV-J335)</f>
        <v/>
      </c>
      <c r="M335" s="71" t="str">
        <f>IF($B335="","",J335/PV)</f>
        <v/>
      </c>
      <c r="N335" s="72" t="str">
        <f t="shared" si="4"/>
        <v/>
      </c>
    </row>
    <row r="336" ht="14.25" customHeight="1">
      <c r="B336" s="66" t="str">
        <f>IF(ROWS($1:324)&lt;=Nper,ROWS($1:324),"")</f>
        <v/>
      </c>
      <c r="C336" s="67" t="str">
        <f>IF($B336="","",IF($E$7="Weekly",Start_Date+7*(ROWS($1:324)-1),EDATE(Start_Date,VLOOKUP(IF(ASTemp!$E$7="","Monthly",ASTemp!$E$7),Parameters!$B$3:$D$6,3,0)*(ROWS($1:324)-1))))</f>
        <v/>
      </c>
      <c r="D336" s="68" t="str">
        <f t="shared" si="2"/>
        <v/>
      </c>
      <c r="E336" s="65" t="str">
        <f>IF($B336="","",VLOOKUP(MONTH(C336),Parameters!$F$2:$G$13,2,0))</f>
        <v/>
      </c>
      <c r="F336" s="69" t="str">
        <f>IF($B336="","",PV-N(J335))</f>
        <v/>
      </c>
      <c r="G336" s="69" t="str">
        <f>IF($B336="","",PMT(Rate,Nper,-PV,,Type))</f>
        <v/>
      </c>
      <c r="H336" s="69" t="str">
        <f>IF($B336="","",PPMT(Rate,ROWS($1:324),Nper,-PV,,Type))</f>
        <v/>
      </c>
      <c r="I336" s="69" t="str">
        <f>IF($B336="","",IPMT(Rate,ROWS($1:324),Nper,-PV,,Type))</f>
        <v/>
      </c>
      <c r="J336" s="73" t="str">
        <f t="shared" ref="J336:K336" si="326">IF($B336="","",N(J335)+N(H336))</f>
        <v/>
      </c>
      <c r="K336" s="74" t="str">
        <f t="shared" si="326"/>
        <v/>
      </c>
      <c r="L336" s="69" t="str">
        <f>IF($B336="","",PV-J336)</f>
        <v/>
      </c>
      <c r="M336" s="71" t="str">
        <f>IF($B336="","",J336/PV)</f>
        <v/>
      </c>
      <c r="N336" s="72" t="str">
        <f t="shared" si="4"/>
        <v/>
      </c>
    </row>
    <row r="337" ht="14.25" customHeight="1">
      <c r="B337" s="66" t="str">
        <f>IF(ROWS($1:325)&lt;=Nper,ROWS($1:325),"")</f>
        <v/>
      </c>
      <c r="C337" s="67" t="str">
        <f>IF($B337="","",IF($E$7="Weekly",Start_Date+7*(ROWS($1:325)-1),EDATE(Start_Date,VLOOKUP(IF(ASTemp!$E$7="","Monthly",ASTemp!$E$7),Parameters!$B$3:$D$6,3,0)*(ROWS($1:325)-1))))</f>
        <v/>
      </c>
      <c r="D337" s="68" t="str">
        <f t="shared" si="2"/>
        <v/>
      </c>
      <c r="E337" s="65" t="str">
        <f>IF($B337="","",VLOOKUP(MONTH(C337),Parameters!$F$2:$G$13,2,0))</f>
        <v/>
      </c>
      <c r="F337" s="69" t="str">
        <f>IF($B337="","",PV-N(J336))</f>
        <v/>
      </c>
      <c r="G337" s="69" t="str">
        <f>IF($B337="","",PMT(Rate,Nper,-PV,,Type))</f>
        <v/>
      </c>
      <c r="H337" s="69" t="str">
        <f>IF($B337="","",PPMT(Rate,ROWS($1:325),Nper,-PV,,Type))</f>
        <v/>
      </c>
      <c r="I337" s="69" t="str">
        <f>IF($B337="","",IPMT(Rate,ROWS($1:325),Nper,-PV,,Type))</f>
        <v/>
      </c>
      <c r="J337" s="73" t="str">
        <f t="shared" ref="J337:K337" si="327">IF($B337="","",N(J336)+N(H337))</f>
        <v/>
      </c>
      <c r="K337" s="74" t="str">
        <f t="shared" si="327"/>
        <v/>
      </c>
      <c r="L337" s="69" t="str">
        <f>IF($B337="","",PV-J337)</f>
        <v/>
      </c>
      <c r="M337" s="71" t="str">
        <f>IF($B337="","",J337/PV)</f>
        <v/>
      </c>
      <c r="N337" s="72" t="str">
        <f t="shared" si="4"/>
        <v/>
      </c>
    </row>
    <row r="338" ht="14.25" customHeight="1">
      <c r="B338" s="66" t="str">
        <f>IF(ROWS($1:326)&lt;=Nper,ROWS($1:326),"")</f>
        <v/>
      </c>
      <c r="C338" s="67" t="str">
        <f>IF($B338="","",IF($E$7="Weekly",Start_Date+7*(ROWS($1:326)-1),EDATE(Start_Date,VLOOKUP(IF(ASTemp!$E$7="","Monthly",ASTemp!$E$7),Parameters!$B$3:$D$6,3,0)*(ROWS($1:326)-1))))</f>
        <v/>
      </c>
      <c r="D338" s="68" t="str">
        <f t="shared" si="2"/>
        <v/>
      </c>
      <c r="E338" s="65" t="str">
        <f>IF($B338="","",VLOOKUP(MONTH(C338),Parameters!$F$2:$G$13,2,0))</f>
        <v/>
      </c>
      <c r="F338" s="69" t="str">
        <f>IF($B338="","",PV-N(J337))</f>
        <v/>
      </c>
      <c r="G338" s="69" t="str">
        <f>IF($B338="","",PMT(Rate,Nper,-PV,,Type))</f>
        <v/>
      </c>
      <c r="H338" s="69" t="str">
        <f>IF($B338="","",PPMT(Rate,ROWS($1:326),Nper,-PV,,Type))</f>
        <v/>
      </c>
      <c r="I338" s="69" t="str">
        <f>IF($B338="","",IPMT(Rate,ROWS($1:326),Nper,-PV,,Type))</f>
        <v/>
      </c>
      <c r="J338" s="73" t="str">
        <f t="shared" ref="J338:K338" si="328">IF($B338="","",N(J337)+N(H338))</f>
        <v/>
      </c>
      <c r="K338" s="74" t="str">
        <f t="shared" si="328"/>
        <v/>
      </c>
      <c r="L338" s="69" t="str">
        <f>IF($B338="","",PV-J338)</f>
        <v/>
      </c>
      <c r="M338" s="71" t="str">
        <f>IF($B338="","",J338/PV)</f>
        <v/>
      </c>
      <c r="N338" s="72" t="str">
        <f t="shared" si="4"/>
        <v/>
      </c>
    </row>
    <row r="339" ht="14.25" customHeight="1">
      <c r="B339" s="66" t="str">
        <f>IF(ROWS($1:327)&lt;=Nper,ROWS($1:327),"")</f>
        <v/>
      </c>
      <c r="C339" s="67" t="str">
        <f>IF($B339="","",IF($E$7="Weekly",Start_Date+7*(ROWS($1:327)-1),EDATE(Start_Date,VLOOKUP(IF(ASTemp!$E$7="","Monthly",ASTemp!$E$7),Parameters!$B$3:$D$6,3,0)*(ROWS($1:327)-1))))</f>
        <v/>
      </c>
      <c r="D339" s="68" t="str">
        <f t="shared" si="2"/>
        <v/>
      </c>
      <c r="E339" s="65" t="str">
        <f>IF($B339="","",VLOOKUP(MONTH(C339),Parameters!$F$2:$G$13,2,0))</f>
        <v/>
      </c>
      <c r="F339" s="69" t="str">
        <f>IF($B339="","",PV-N(J338))</f>
        <v/>
      </c>
      <c r="G339" s="69" t="str">
        <f>IF($B339="","",PMT(Rate,Nper,-PV,,Type))</f>
        <v/>
      </c>
      <c r="H339" s="69" t="str">
        <f>IF($B339="","",PPMT(Rate,ROWS($1:327),Nper,-PV,,Type))</f>
        <v/>
      </c>
      <c r="I339" s="69" t="str">
        <f>IF($B339="","",IPMT(Rate,ROWS($1:327),Nper,-PV,,Type))</f>
        <v/>
      </c>
      <c r="J339" s="73" t="str">
        <f t="shared" ref="J339:K339" si="329">IF($B339="","",N(J338)+N(H339))</f>
        <v/>
      </c>
      <c r="K339" s="74" t="str">
        <f t="shared" si="329"/>
        <v/>
      </c>
      <c r="L339" s="69" t="str">
        <f>IF($B339="","",PV-J339)</f>
        <v/>
      </c>
      <c r="M339" s="71" t="str">
        <f>IF($B339="","",J339/PV)</f>
        <v/>
      </c>
      <c r="N339" s="72" t="str">
        <f t="shared" si="4"/>
        <v/>
      </c>
    </row>
    <row r="340" ht="14.25" customHeight="1">
      <c r="B340" s="66" t="str">
        <f>IF(ROWS($1:328)&lt;=Nper,ROWS($1:328),"")</f>
        <v/>
      </c>
      <c r="C340" s="67" t="str">
        <f>IF($B340="","",IF($E$7="Weekly",Start_Date+7*(ROWS($1:328)-1),EDATE(Start_Date,VLOOKUP(IF(ASTemp!$E$7="","Monthly",ASTemp!$E$7),Parameters!$B$3:$D$6,3,0)*(ROWS($1:328)-1))))</f>
        <v/>
      </c>
      <c r="D340" s="68" t="str">
        <f t="shared" si="2"/>
        <v/>
      </c>
      <c r="E340" s="65" t="str">
        <f>IF($B340="","",VLOOKUP(MONTH(C340),Parameters!$F$2:$G$13,2,0))</f>
        <v/>
      </c>
      <c r="F340" s="69" t="str">
        <f>IF($B340="","",PV-N(J339))</f>
        <v/>
      </c>
      <c r="G340" s="69" t="str">
        <f>IF($B340="","",PMT(Rate,Nper,-PV,,Type))</f>
        <v/>
      </c>
      <c r="H340" s="69" t="str">
        <f>IF($B340="","",PPMT(Rate,ROWS($1:328),Nper,-PV,,Type))</f>
        <v/>
      </c>
      <c r="I340" s="69" t="str">
        <f>IF($B340="","",IPMT(Rate,ROWS($1:328),Nper,-PV,,Type))</f>
        <v/>
      </c>
      <c r="J340" s="73" t="str">
        <f t="shared" ref="J340:K340" si="330">IF($B340="","",N(J339)+N(H340))</f>
        <v/>
      </c>
      <c r="K340" s="74" t="str">
        <f t="shared" si="330"/>
        <v/>
      </c>
      <c r="L340" s="69" t="str">
        <f>IF($B340="","",PV-J340)</f>
        <v/>
      </c>
      <c r="M340" s="71" t="str">
        <f>IF($B340="","",J340/PV)</f>
        <v/>
      </c>
      <c r="N340" s="72" t="str">
        <f t="shared" si="4"/>
        <v/>
      </c>
    </row>
    <row r="341" ht="14.25" customHeight="1">
      <c r="B341" s="66" t="str">
        <f>IF(ROWS($1:329)&lt;=Nper,ROWS($1:329),"")</f>
        <v/>
      </c>
      <c r="C341" s="67" t="str">
        <f>IF($B341="","",IF($E$7="Weekly",Start_Date+7*(ROWS($1:329)-1),EDATE(Start_Date,VLOOKUP(IF(ASTemp!$E$7="","Monthly",ASTemp!$E$7),Parameters!$B$3:$D$6,3,0)*(ROWS($1:329)-1))))</f>
        <v/>
      </c>
      <c r="D341" s="68" t="str">
        <f t="shared" si="2"/>
        <v/>
      </c>
      <c r="E341" s="65" t="str">
        <f>IF($B341="","",VLOOKUP(MONTH(C341),Parameters!$F$2:$G$13,2,0))</f>
        <v/>
      </c>
      <c r="F341" s="69" t="str">
        <f>IF($B341="","",PV-N(J340))</f>
        <v/>
      </c>
      <c r="G341" s="69" t="str">
        <f>IF($B341="","",PMT(Rate,Nper,-PV,,Type))</f>
        <v/>
      </c>
      <c r="H341" s="69" t="str">
        <f>IF($B341="","",PPMT(Rate,ROWS($1:329),Nper,-PV,,Type))</f>
        <v/>
      </c>
      <c r="I341" s="69" t="str">
        <f>IF($B341="","",IPMT(Rate,ROWS($1:329),Nper,-PV,,Type))</f>
        <v/>
      </c>
      <c r="J341" s="73" t="str">
        <f t="shared" ref="J341:K341" si="331">IF($B341="","",N(J340)+N(H341))</f>
        <v/>
      </c>
      <c r="K341" s="74" t="str">
        <f t="shared" si="331"/>
        <v/>
      </c>
      <c r="L341" s="69" t="str">
        <f>IF($B341="","",PV-J341)</f>
        <v/>
      </c>
      <c r="M341" s="71" t="str">
        <f>IF($B341="","",J341/PV)</f>
        <v/>
      </c>
      <c r="N341" s="72" t="str">
        <f t="shared" si="4"/>
        <v/>
      </c>
    </row>
    <row r="342" ht="14.25" customHeight="1">
      <c r="B342" s="66" t="str">
        <f>IF(ROWS($1:330)&lt;=Nper,ROWS($1:330),"")</f>
        <v/>
      </c>
      <c r="C342" s="67" t="str">
        <f>IF($B342="","",IF($E$7="Weekly",Start_Date+7*(ROWS($1:330)-1),EDATE(Start_Date,VLOOKUP(IF(ASTemp!$E$7="","Monthly",ASTemp!$E$7),Parameters!$B$3:$D$6,3,0)*(ROWS($1:330)-1))))</f>
        <v/>
      </c>
      <c r="D342" s="68" t="str">
        <f t="shared" si="2"/>
        <v/>
      </c>
      <c r="E342" s="65" t="str">
        <f>IF($B342="","",VLOOKUP(MONTH(C342),Parameters!$F$2:$G$13,2,0))</f>
        <v/>
      </c>
      <c r="F342" s="69" t="str">
        <f>IF($B342="","",PV-N(J341))</f>
        <v/>
      </c>
      <c r="G342" s="69" t="str">
        <f>IF($B342="","",PMT(Rate,Nper,-PV,,Type))</f>
        <v/>
      </c>
      <c r="H342" s="69" t="str">
        <f>IF($B342="","",PPMT(Rate,ROWS($1:330),Nper,-PV,,Type))</f>
        <v/>
      </c>
      <c r="I342" s="69" t="str">
        <f>IF($B342="","",IPMT(Rate,ROWS($1:330),Nper,-PV,,Type))</f>
        <v/>
      </c>
      <c r="J342" s="73" t="str">
        <f t="shared" ref="J342:K342" si="332">IF($B342="","",N(J341)+N(H342))</f>
        <v/>
      </c>
      <c r="K342" s="74" t="str">
        <f t="shared" si="332"/>
        <v/>
      </c>
      <c r="L342" s="69" t="str">
        <f>IF($B342="","",PV-J342)</f>
        <v/>
      </c>
      <c r="M342" s="71" t="str">
        <f>IF($B342="","",J342/PV)</f>
        <v/>
      </c>
      <c r="N342" s="72" t="str">
        <f t="shared" si="4"/>
        <v/>
      </c>
    </row>
    <row r="343" ht="14.25" customHeight="1">
      <c r="B343" s="66" t="str">
        <f>IF(ROWS($1:331)&lt;=Nper,ROWS($1:331),"")</f>
        <v/>
      </c>
      <c r="C343" s="67" t="str">
        <f>IF($B343="","",IF($E$7="Weekly",Start_Date+7*(ROWS($1:331)-1),EDATE(Start_Date,VLOOKUP(IF(ASTemp!$E$7="","Monthly",ASTemp!$E$7),Parameters!$B$3:$D$6,3,0)*(ROWS($1:331)-1))))</f>
        <v/>
      </c>
      <c r="D343" s="68" t="str">
        <f t="shared" si="2"/>
        <v/>
      </c>
      <c r="E343" s="65" t="str">
        <f>IF($B343="","",VLOOKUP(MONTH(C343),Parameters!$F$2:$G$13,2,0))</f>
        <v/>
      </c>
      <c r="F343" s="69" t="str">
        <f>IF($B343="","",PV-N(J342))</f>
        <v/>
      </c>
      <c r="G343" s="69" t="str">
        <f>IF($B343="","",PMT(Rate,Nper,-PV,,Type))</f>
        <v/>
      </c>
      <c r="H343" s="69" t="str">
        <f>IF($B343="","",PPMT(Rate,ROWS($1:331),Nper,-PV,,Type))</f>
        <v/>
      </c>
      <c r="I343" s="69" t="str">
        <f>IF($B343="","",IPMT(Rate,ROWS($1:331),Nper,-PV,,Type))</f>
        <v/>
      </c>
      <c r="J343" s="73" t="str">
        <f t="shared" ref="J343:K343" si="333">IF($B343="","",N(J342)+N(H343))</f>
        <v/>
      </c>
      <c r="K343" s="74" t="str">
        <f t="shared" si="333"/>
        <v/>
      </c>
      <c r="L343" s="69" t="str">
        <f>IF($B343="","",PV-J343)</f>
        <v/>
      </c>
      <c r="M343" s="71" t="str">
        <f>IF($B343="","",J343/PV)</f>
        <v/>
      </c>
      <c r="N343" s="72" t="str">
        <f t="shared" si="4"/>
        <v/>
      </c>
    </row>
    <row r="344" ht="14.25" customHeight="1">
      <c r="B344" s="66" t="str">
        <f>IF(ROWS($1:332)&lt;=Nper,ROWS($1:332),"")</f>
        <v/>
      </c>
      <c r="C344" s="67" t="str">
        <f>IF($B344="","",IF($E$7="Weekly",Start_Date+7*(ROWS($1:332)-1),EDATE(Start_Date,VLOOKUP(IF(ASTemp!$E$7="","Monthly",ASTemp!$E$7),Parameters!$B$3:$D$6,3,0)*(ROWS($1:332)-1))))</f>
        <v/>
      </c>
      <c r="D344" s="68" t="str">
        <f t="shared" si="2"/>
        <v/>
      </c>
      <c r="E344" s="65" t="str">
        <f>IF($B344="","",VLOOKUP(MONTH(C344),Parameters!$F$2:$G$13,2,0))</f>
        <v/>
      </c>
      <c r="F344" s="69" t="str">
        <f>IF($B344="","",PV-N(J343))</f>
        <v/>
      </c>
      <c r="G344" s="69" t="str">
        <f>IF($B344="","",PMT(Rate,Nper,-PV,,Type))</f>
        <v/>
      </c>
      <c r="H344" s="69" t="str">
        <f>IF($B344="","",PPMT(Rate,ROWS($1:332),Nper,-PV,,Type))</f>
        <v/>
      </c>
      <c r="I344" s="69" t="str">
        <f>IF($B344="","",IPMT(Rate,ROWS($1:332),Nper,-PV,,Type))</f>
        <v/>
      </c>
      <c r="J344" s="73" t="str">
        <f t="shared" ref="J344:K344" si="334">IF($B344="","",N(J343)+N(H344))</f>
        <v/>
      </c>
      <c r="K344" s="74" t="str">
        <f t="shared" si="334"/>
        <v/>
      </c>
      <c r="L344" s="69" t="str">
        <f>IF($B344="","",PV-J344)</f>
        <v/>
      </c>
      <c r="M344" s="71" t="str">
        <f>IF($B344="","",J344/PV)</f>
        <v/>
      </c>
      <c r="N344" s="72" t="str">
        <f t="shared" si="4"/>
        <v/>
      </c>
    </row>
    <row r="345" ht="14.25" customHeight="1">
      <c r="B345" s="66" t="str">
        <f>IF(ROWS($1:333)&lt;=Nper,ROWS($1:333),"")</f>
        <v/>
      </c>
      <c r="C345" s="67" t="str">
        <f>IF($B345="","",IF($E$7="Weekly",Start_Date+7*(ROWS($1:333)-1),EDATE(Start_Date,VLOOKUP(IF(ASTemp!$E$7="","Monthly",ASTemp!$E$7),Parameters!$B$3:$D$6,3,0)*(ROWS($1:333)-1))))</f>
        <v/>
      </c>
      <c r="D345" s="68" t="str">
        <f t="shared" si="2"/>
        <v/>
      </c>
      <c r="E345" s="65" t="str">
        <f>IF($B345="","",VLOOKUP(MONTH(C345),Parameters!$F$2:$G$13,2,0))</f>
        <v/>
      </c>
      <c r="F345" s="69" t="str">
        <f>IF($B345="","",PV-N(J344))</f>
        <v/>
      </c>
      <c r="G345" s="69" t="str">
        <f>IF($B345="","",PMT(Rate,Nper,-PV,,Type))</f>
        <v/>
      </c>
      <c r="H345" s="69" t="str">
        <f>IF($B345="","",PPMT(Rate,ROWS($1:333),Nper,-PV,,Type))</f>
        <v/>
      </c>
      <c r="I345" s="69" t="str">
        <f>IF($B345="","",IPMT(Rate,ROWS($1:333),Nper,-PV,,Type))</f>
        <v/>
      </c>
      <c r="J345" s="73" t="str">
        <f t="shared" ref="J345:K345" si="335">IF($B345="","",N(J344)+N(H345))</f>
        <v/>
      </c>
      <c r="K345" s="74" t="str">
        <f t="shared" si="335"/>
        <v/>
      </c>
      <c r="L345" s="69" t="str">
        <f>IF($B345="","",PV-J345)</f>
        <v/>
      </c>
      <c r="M345" s="71" t="str">
        <f>IF($B345="","",J345/PV)</f>
        <v/>
      </c>
      <c r="N345" s="72" t="str">
        <f t="shared" si="4"/>
        <v/>
      </c>
    </row>
    <row r="346" ht="14.25" customHeight="1">
      <c r="B346" s="66" t="str">
        <f>IF(ROWS($1:334)&lt;=Nper,ROWS($1:334),"")</f>
        <v/>
      </c>
      <c r="C346" s="67" t="str">
        <f>IF($B346="","",IF($E$7="Weekly",Start_Date+7*(ROWS($1:334)-1),EDATE(Start_Date,VLOOKUP(IF(ASTemp!$E$7="","Monthly",ASTemp!$E$7),Parameters!$B$3:$D$6,3,0)*(ROWS($1:334)-1))))</f>
        <v/>
      </c>
      <c r="D346" s="68" t="str">
        <f t="shared" si="2"/>
        <v/>
      </c>
      <c r="E346" s="65" t="str">
        <f>IF($B346="","",VLOOKUP(MONTH(C346),Parameters!$F$2:$G$13,2,0))</f>
        <v/>
      </c>
      <c r="F346" s="69" t="str">
        <f>IF($B346="","",PV-N(J345))</f>
        <v/>
      </c>
      <c r="G346" s="69" t="str">
        <f>IF($B346="","",PMT(Rate,Nper,-PV,,Type))</f>
        <v/>
      </c>
      <c r="H346" s="69" t="str">
        <f>IF($B346="","",PPMT(Rate,ROWS($1:334),Nper,-PV,,Type))</f>
        <v/>
      </c>
      <c r="I346" s="69" t="str">
        <f>IF($B346="","",IPMT(Rate,ROWS($1:334),Nper,-PV,,Type))</f>
        <v/>
      </c>
      <c r="J346" s="73" t="str">
        <f t="shared" ref="J346:K346" si="336">IF($B346="","",N(J345)+N(H346))</f>
        <v/>
      </c>
      <c r="K346" s="74" t="str">
        <f t="shared" si="336"/>
        <v/>
      </c>
      <c r="L346" s="69" t="str">
        <f>IF($B346="","",PV-J346)</f>
        <v/>
      </c>
      <c r="M346" s="71" t="str">
        <f>IF($B346="","",J346/PV)</f>
        <v/>
      </c>
      <c r="N346" s="72" t="str">
        <f t="shared" si="4"/>
        <v/>
      </c>
    </row>
    <row r="347" ht="14.25" customHeight="1">
      <c r="B347" s="66" t="str">
        <f>IF(ROWS($1:335)&lt;=Nper,ROWS($1:335),"")</f>
        <v/>
      </c>
      <c r="C347" s="67" t="str">
        <f>IF($B347="","",IF($E$7="Weekly",Start_Date+7*(ROWS($1:335)-1),EDATE(Start_Date,VLOOKUP(IF(ASTemp!$E$7="","Monthly",ASTemp!$E$7),Parameters!$B$3:$D$6,3,0)*(ROWS($1:335)-1))))</f>
        <v/>
      </c>
      <c r="D347" s="68" t="str">
        <f t="shared" si="2"/>
        <v/>
      </c>
      <c r="E347" s="65" t="str">
        <f>IF($B347="","",VLOOKUP(MONTH(C347),Parameters!$F$2:$G$13,2,0))</f>
        <v/>
      </c>
      <c r="F347" s="69" t="str">
        <f>IF($B347="","",PV-N(J346))</f>
        <v/>
      </c>
      <c r="G347" s="69" t="str">
        <f>IF($B347="","",PMT(Rate,Nper,-PV,,Type))</f>
        <v/>
      </c>
      <c r="H347" s="69" t="str">
        <f>IF($B347="","",PPMT(Rate,ROWS($1:335),Nper,-PV,,Type))</f>
        <v/>
      </c>
      <c r="I347" s="69" t="str">
        <f>IF($B347="","",IPMT(Rate,ROWS($1:335),Nper,-PV,,Type))</f>
        <v/>
      </c>
      <c r="J347" s="73" t="str">
        <f t="shared" ref="J347:K347" si="337">IF($B347="","",N(J346)+N(H347))</f>
        <v/>
      </c>
      <c r="K347" s="74" t="str">
        <f t="shared" si="337"/>
        <v/>
      </c>
      <c r="L347" s="69" t="str">
        <f>IF($B347="","",PV-J347)</f>
        <v/>
      </c>
      <c r="M347" s="71" t="str">
        <f>IF($B347="","",J347/PV)</f>
        <v/>
      </c>
      <c r="N347" s="72" t="str">
        <f t="shared" si="4"/>
        <v/>
      </c>
    </row>
    <row r="348" ht="14.25" customHeight="1">
      <c r="B348" s="66" t="str">
        <f>IF(ROWS($1:336)&lt;=Nper,ROWS($1:336),"")</f>
        <v/>
      </c>
      <c r="C348" s="67" t="str">
        <f>IF($B348="","",IF($E$7="Weekly",Start_Date+7*(ROWS($1:336)-1),EDATE(Start_Date,VLOOKUP(IF(ASTemp!$E$7="","Monthly",ASTemp!$E$7),Parameters!$B$3:$D$6,3,0)*(ROWS($1:336)-1))))</f>
        <v/>
      </c>
      <c r="D348" s="68" t="str">
        <f t="shared" si="2"/>
        <v/>
      </c>
      <c r="E348" s="65" t="str">
        <f>IF($B348="","",VLOOKUP(MONTH(C348),Parameters!$F$2:$G$13,2,0))</f>
        <v/>
      </c>
      <c r="F348" s="69" t="str">
        <f>IF($B348="","",PV-N(J347))</f>
        <v/>
      </c>
      <c r="G348" s="69" t="str">
        <f>IF($B348="","",PMT(Rate,Nper,-PV,,Type))</f>
        <v/>
      </c>
      <c r="H348" s="69" t="str">
        <f>IF($B348="","",PPMT(Rate,ROWS($1:336),Nper,-PV,,Type))</f>
        <v/>
      </c>
      <c r="I348" s="69" t="str">
        <f>IF($B348="","",IPMT(Rate,ROWS($1:336),Nper,-PV,,Type))</f>
        <v/>
      </c>
      <c r="J348" s="73" t="str">
        <f t="shared" ref="J348:K348" si="338">IF($B348="","",N(J347)+N(H348))</f>
        <v/>
      </c>
      <c r="K348" s="74" t="str">
        <f t="shared" si="338"/>
        <v/>
      </c>
      <c r="L348" s="69" t="str">
        <f>IF($B348="","",PV-J348)</f>
        <v/>
      </c>
      <c r="M348" s="71" t="str">
        <f>IF($B348="","",J348/PV)</f>
        <v/>
      </c>
      <c r="N348" s="72" t="str">
        <f t="shared" si="4"/>
        <v/>
      </c>
    </row>
    <row r="349" ht="14.25" customHeight="1">
      <c r="B349" s="66" t="str">
        <f>IF(ROWS($1:337)&lt;=Nper,ROWS($1:337),"")</f>
        <v/>
      </c>
      <c r="C349" s="67" t="str">
        <f>IF($B349="","",IF($E$7="Weekly",Start_Date+7*(ROWS($1:337)-1),EDATE(Start_Date,VLOOKUP(IF(ASTemp!$E$7="","Monthly",ASTemp!$E$7),Parameters!$B$3:$D$6,3,0)*(ROWS($1:337)-1))))</f>
        <v/>
      </c>
      <c r="D349" s="68" t="str">
        <f t="shared" si="2"/>
        <v/>
      </c>
      <c r="E349" s="65" t="str">
        <f>IF($B349="","",VLOOKUP(MONTH(C349),Parameters!$F$2:$G$13,2,0))</f>
        <v/>
      </c>
      <c r="F349" s="69" t="str">
        <f>IF($B349="","",PV-N(J348))</f>
        <v/>
      </c>
      <c r="G349" s="69" t="str">
        <f>IF($B349="","",PMT(Rate,Nper,-PV,,Type))</f>
        <v/>
      </c>
      <c r="H349" s="69" t="str">
        <f>IF($B349="","",PPMT(Rate,ROWS($1:337),Nper,-PV,,Type))</f>
        <v/>
      </c>
      <c r="I349" s="69" t="str">
        <f>IF($B349="","",IPMT(Rate,ROWS($1:337),Nper,-PV,,Type))</f>
        <v/>
      </c>
      <c r="J349" s="73" t="str">
        <f t="shared" ref="J349:K349" si="339">IF($B349="","",N(J348)+N(H349))</f>
        <v/>
      </c>
      <c r="K349" s="74" t="str">
        <f t="shared" si="339"/>
        <v/>
      </c>
      <c r="L349" s="69" t="str">
        <f>IF($B349="","",PV-J349)</f>
        <v/>
      </c>
      <c r="M349" s="71" t="str">
        <f>IF($B349="","",J349/PV)</f>
        <v/>
      </c>
      <c r="N349" s="72" t="str">
        <f t="shared" si="4"/>
        <v/>
      </c>
    </row>
    <row r="350" ht="14.25" customHeight="1">
      <c r="B350" s="66" t="str">
        <f>IF(ROWS($1:338)&lt;=Nper,ROWS($1:338),"")</f>
        <v/>
      </c>
      <c r="C350" s="67" t="str">
        <f>IF($B350="","",IF($E$7="Weekly",Start_Date+7*(ROWS($1:338)-1),EDATE(Start_Date,VLOOKUP(IF(ASTemp!$E$7="","Monthly",ASTemp!$E$7),Parameters!$B$3:$D$6,3,0)*(ROWS($1:338)-1))))</f>
        <v/>
      </c>
      <c r="D350" s="68" t="str">
        <f t="shared" si="2"/>
        <v/>
      </c>
      <c r="E350" s="65" t="str">
        <f>IF($B350="","",VLOOKUP(MONTH(C350),Parameters!$F$2:$G$13,2,0))</f>
        <v/>
      </c>
      <c r="F350" s="69" t="str">
        <f>IF($B350="","",PV-N(J349))</f>
        <v/>
      </c>
      <c r="G350" s="69" t="str">
        <f>IF($B350="","",PMT(Rate,Nper,-PV,,Type))</f>
        <v/>
      </c>
      <c r="H350" s="69" t="str">
        <f>IF($B350="","",PPMT(Rate,ROWS($1:338),Nper,-PV,,Type))</f>
        <v/>
      </c>
      <c r="I350" s="69" t="str">
        <f>IF($B350="","",IPMT(Rate,ROWS($1:338),Nper,-PV,,Type))</f>
        <v/>
      </c>
      <c r="J350" s="73" t="str">
        <f t="shared" ref="J350:K350" si="340">IF($B350="","",N(J349)+N(H350))</f>
        <v/>
      </c>
      <c r="K350" s="74" t="str">
        <f t="shared" si="340"/>
        <v/>
      </c>
      <c r="L350" s="69" t="str">
        <f>IF($B350="","",PV-J350)</f>
        <v/>
      </c>
      <c r="M350" s="71" t="str">
        <f>IF($B350="","",J350/PV)</f>
        <v/>
      </c>
      <c r="N350" s="72" t="str">
        <f t="shared" si="4"/>
        <v/>
      </c>
    </row>
    <row r="351" ht="14.25" customHeight="1">
      <c r="B351" s="66" t="str">
        <f>IF(ROWS($1:339)&lt;=Nper,ROWS($1:339),"")</f>
        <v/>
      </c>
      <c r="C351" s="67" t="str">
        <f>IF($B351="","",IF($E$7="Weekly",Start_Date+7*(ROWS($1:339)-1),EDATE(Start_Date,VLOOKUP(IF(ASTemp!$E$7="","Monthly",ASTemp!$E$7),Parameters!$B$3:$D$6,3,0)*(ROWS($1:339)-1))))</f>
        <v/>
      </c>
      <c r="D351" s="68" t="str">
        <f t="shared" si="2"/>
        <v/>
      </c>
      <c r="E351" s="65" t="str">
        <f>IF($B351="","",VLOOKUP(MONTH(C351),Parameters!$F$2:$G$13,2,0))</f>
        <v/>
      </c>
      <c r="F351" s="69" t="str">
        <f>IF($B351="","",PV-N(J350))</f>
        <v/>
      </c>
      <c r="G351" s="69" t="str">
        <f>IF($B351="","",PMT(Rate,Nper,-PV,,Type))</f>
        <v/>
      </c>
      <c r="H351" s="69" t="str">
        <f>IF($B351="","",PPMT(Rate,ROWS($1:339),Nper,-PV,,Type))</f>
        <v/>
      </c>
      <c r="I351" s="69" t="str">
        <f>IF($B351="","",IPMT(Rate,ROWS($1:339),Nper,-PV,,Type))</f>
        <v/>
      </c>
      <c r="J351" s="73" t="str">
        <f t="shared" ref="J351:K351" si="341">IF($B351="","",N(J350)+N(H351))</f>
        <v/>
      </c>
      <c r="K351" s="74" t="str">
        <f t="shared" si="341"/>
        <v/>
      </c>
      <c r="L351" s="69" t="str">
        <f>IF($B351="","",PV-J351)</f>
        <v/>
      </c>
      <c r="M351" s="71" t="str">
        <f>IF($B351="","",J351/PV)</f>
        <v/>
      </c>
      <c r="N351" s="72" t="str">
        <f t="shared" si="4"/>
        <v/>
      </c>
    </row>
    <row r="352" ht="14.25" customHeight="1">
      <c r="B352" s="66" t="str">
        <f>IF(ROWS($1:340)&lt;=Nper,ROWS($1:340),"")</f>
        <v/>
      </c>
      <c r="C352" s="67" t="str">
        <f>IF($B352="","",IF($E$7="Weekly",Start_Date+7*(ROWS($1:340)-1),EDATE(Start_Date,VLOOKUP(IF(ASTemp!$E$7="","Monthly",ASTemp!$E$7),Parameters!$B$3:$D$6,3,0)*(ROWS($1:340)-1))))</f>
        <v/>
      </c>
      <c r="D352" s="68" t="str">
        <f t="shared" si="2"/>
        <v/>
      </c>
      <c r="E352" s="65" t="str">
        <f>IF($B352="","",VLOOKUP(MONTH(C352),Parameters!$F$2:$G$13,2,0))</f>
        <v/>
      </c>
      <c r="F352" s="69" t="str">
        <f>IF($B352="","",PV-N(J351))</f>
        <v/>
      </c>
      <c r="G352" s="69" t="str">
        <f>IF($B352="","",PMT(Rate,Nper,-PV,,Type))</f>
        <v/>
      </c>
      <c r="H352" s="69" t="str">
        <f>IF($B352="","",PPMT(Rate,ROWS($1:340),Nper,-PV,,Type))</f>
        <v/>
      </c>
      <c r="I352" s="69" t="str">
        <f>IF($B352="","",IPMT(Rate,ROWS($1:340),Nper,-PV,,Type))</f>
        <v/>
      </c>
      <c r="J352" s="73" t="str">
        <f t="shared" ref="J352:K352" si="342">IF($B352="","",N(J351)+N(H352))</f>
        <v/>
      </c>
      <c r="K352" s="74" t="str">
        <f t="shared" si="342"/>
        <v/>
      </c>
      <c r="L352" s="69" t="str">
        <f>IF($B352="","",PV-J352)</f>
        <v/>
      </c>
      <c r="M352" s="71" t="str">
        <f>IF($B352="","",J352/PV)</f>
        <v/>
      </c>
      <c r="N352" s="72" t="str">
        <f t="shared" si="4"/>
        <v/>
      </c>
    </row>
    <row r="353" ht="14.25" customHeight="1">
      <c r="B353" s="66" t="str">
        <f>IF(ROWS($1:341)&lt;=Nper,ROWS($1:341),"")</f>
        <v/>
      </c>
      <c r="C353" s="67" t="str">
        <f>IF($B353="","",IF($E$7="Weekly",Start_Date+7*(ROWS($1:341)-1),EDATE(Start_Date,VLOOKUP(IF(ASTemp!$E$7="","Monthly",ASTemp!$E$7),Parameters!$B$3:$D$6,3,0)*(ROWS($1:341)-1))))</f>
        <v/>
      </c>
      <c r="D353" s="68" t="str">
        <f t="shared" si="2"/>
        <v/>
      </c>
      <c r="E353" s="65" t="str">
        <f>IF($B353="","",VLOOKUP(MONTH(C353),Parameters!$F$2:$G$13,2,0))</f>
        <v/>
      </c>
      <c r="F353" s="69" t="str">
        <f>IF($B353="","",PV-N(J352))</f>
        <v/>
      </c>
      <c r="G353" s="69" t="str">
        <f>IF($B353="","",PMT(Rate,Nper,-PV,,Type))</f>
        <v/>
      </c>
      <c r="H353" s="69" t="str">
        <f>IF($B353="","",PPMT(Rate,ROWS($1:341),Nper,-PV,,Type))</f>
        <v/>
      </c>
      <c r="I353" s="69" t="str">
        <f>IF($B353="","",IPMT(Rate,ROWS($1:341),Nper,-PV,,Type))</f>
        <v/>
      </c>
      <c r="J353" s="73" t="str">
        <f t="shared" ref="J353:K353" si="343">IF($B353="","",N(J352)+N(H353))</f>
        <v/>
      </c>
      <c r="K353" s="74" t="str">
        <f t="shared" si="343"/>
        <v/>
      </c>
      <c r="L353" s="69" t="str">
        <f>IF($B353="","",PV-J353)</f>
        <v/>
      </c>
      <c r="M353" s="71" t="str">
        <f>IF($B353="","",J353/PV)</f>
        <v/>
      </c>
      <c r="N353" s="72" t="str">
        <f t="shared" si="4"/>
        <v/>
      </c>
    </row>
    <row r="354" ht="14.25" customHeight="1">
      <c r="B354" s="66" t="str">
        <f>IF(ROWS($1:342)&lt;=Nper,ROWS($1:342),"")</f>
        <v/>
      </c>
      <c r="C354" s="67" t="str">
        <f>IF($B354="","",IF($E$7="Weekly",Start_Date+7*(ROWS($1:342)-1),EDATE(Start_Date,VLOOKUP(IF(ASTemp!$E$7="","Monthly",ASTemp!$E$7),Parameters!$B$3:$D$6,3,0)*(ROWS($1:342)-1))))</f>
        <v/>
      </c>
      <c r="D354" s="68" t="str">
        <f t="shared" si="2"/>
        <v/>
      </c>
      <c r="E354" s="65" t="str">
        <f>IF($B354="","",VLOOKUP(MONTH(C354),Parameters!$F$2:$G$13,2,0))</f>
        <v/>
      </c>
      <c r="F354" s="69" t="str">
        <f>IF($B354="","",PV-N(J353))</f>
        <v/>
      </c>
      <c r="G354" s="69" t="str">
        <f>IF($B354="","",PMT(Rate,Nper,-PV,,Type))</f>
        <v/>
      </c>
      <c r="H354" s="69" t="str">
        <f>IF($B354="","",PPMT(Rate,ROWS($1:342),Nper,-PV,,Type))</f>
        <v/>
      </c>
      <c r="I354" s="69" t="str">
        <f>IF($B354="","",IPMT(Rate,ROWS($1:342),Nper,-PV,,Type))</f>
        <v/>
      </c>
      <c r="J354" s="73" t="str">
        <f t="shared" ref="J354:K354" si="344">IF($B354="","",N(J353)+N(H354))</f>
        <v/>
      </c>
      <c r="K354" s="74" t="str">
        <f t="shared" si="344"/>
        <v/>
      </c>
      <c r="L354" s="69" t="str">
        <f>IF($B354="","",PV-J354)</f>
        <v/>
      </c>
      <c r="M354" s="71" t="str">
        <f>IF($B354="","",J354/PV)</f>
        <v/>
      </c>
      <c r="N354" s="72" t="str">
        <f t="shared" si="4"/>
        <v/>
      </c>
    </row>
    <row r="355" ht="14.25" customHeight="1">
      <c r="B355" s="66" t="str">
        <f>IF(ROWS($1:343)&lt;=Nper,ROWS($1:343),"")</f>
        <v/>
      </c>
      <c r="C355" s="67" t="str">
        <f>IF($B355="","",IF($E$7="Weekly",Start_Date+7*(ROWS($1:343)-1),EDATE(Start_Date,VLOOKUP(IF(ASTemp!$E$7="","Monthly",ASTemp!$E$7),Parameters!$B$3:$D$6,3,0)*(ROWS($1:343)-1))))</f>
        <v/>
      </c>
      <c r="D355" s="68" t="str">
        <f t="shared" si="2"/>
        <v/>
      </c>
      <c r="E355" s="65" t="str">
        <f>IF($B355="","",VLOOKUP(MONTH(C355),Parameters!$F$2:$G$13,2,0))</f>
        <v/>
      </c>
      <c r="F355" s="69" t="str">
        <f>IF($B355="","",PV-N(J354))</f>
        <v/>
      </c>
      <c r="G355" s="69" t="str">
        <f>IF($B355="","",PMT(Rate,Nper,-PV,,Type))</f>
        <v/>
      </c>
      <c r="H355" s="69" t="str">
        <f>IF($B355="","",PPMT(Rate,ROWS($1:343),Nper,-PV,,Type))</f>
        <v/>
      </c>
      <c r="I355" s="69" t="str">
        <f>IF($B355="","",IPMT(Rate,ROWS($1:343),Nper,-PV,,Type))</f>
        <v/>
      </c>
      <c r="J355" s="73" t="str">
        <f t="shared" ref="J355:K355" si="345">IF($B355="","",N(J354)+N(H355))</f>
        <v/>
      </c>
      <c r="K355" s="74" t="str">
        <f t="shared" si="345"/>
        <v/>
      </c>
      <c r="L355" s="69" t="str">
        <f>IF($B355="","",PV-J355)</f>
        <v/>
      </c>
      <c r="M355" s="71" t="str">
        <f>IF($B355="","",J355/PV)</f>
        <v/>
      </c>
      <c r="N355" s="72" t="str">
        <f t="shared" si="4"/>
        <v/>
      </c>
    </row>
    <row r="356" ht="14.25" customHeight="1">
      <c r="B356" s="66" t="str">
        <f>IF(ROWS($1:344)&lt;=Nper,ROWS($1:344),"")</f>
        <v/>
      </c>
      <c r="C356" s="67" t="str">
        <f>IF($B356="","",IF($E$7="Weekly",Start_Date+7*(ROWS($1:344)-1),EDATE(Start_Date,VLOOKUP(IF(ASTemp!$E$7="","Monthly",ASTemp!$E$7),Parameters!$B$3:$D$6,3,0)*(ROWS($1:344)-1))))</f>
        <v/>
      </c>
      <c r="D356" s="68" t="str">
        <f t="shared" si="2"/>
        <v/>
      </c>
      <c r="E356" s="65" t="str">
        <f>IF($B356="","",VLOOKUP(MONTH(C356),Parameters!$F$2:$G$13,2,0))</f>
        <v/>
      </c>
      <c r="F356" s="69" t="str">
        <f>IF($B356="","",PV-N(J355))</f>
        <v/>
      </c>
      <c r="G356" s="69" t="str">
        <f>IF($B356="","",PMT(Rate,Nper,-PV,,Type))</f>
        <v/>
      </c>
      <c r="H356" s="69" t="str">
        <f>IF($B356="","",PPMT(Rate,ROWS($1:344),Nper,-PV,,Type))</f>
        <v/>
      </c>
      <c r="I356" s="69" t="str">
        <f>IF($B356="","",IPMT(Rate,ROWS($1:344),Nper,-PV,,Type))</f>
        <v/>
      </c>
      <c r="J356" s="73" t="str">
        <f t="shared" ref="J356:K356" si="346">IF($B356="","",N(J355)+N(H356))</f>
        <v/>
      </c>
      <c r="K356" s="74" t="str">
        <f t="shared" si="346"/>
        <v/>
      </c>
      <c r="L356" s="69" t="str">
        <f>IF($B356="","",PV-J356)</f>
        <v/>
      </c>
      <c r="M356" s="71" t="str">
        <f>IF($B356="","",J356/PV)</f>
        <v/>
      </c>
      <c r="N356" s="72" t="str">
        <f t="shared" si="4"/>
        <v/>
      </c>
    </row>
    <row r="357" ht="14.25" customHeight="1">
      <c r="B357" s="66" t="str">
        <f>IF(ROWS($1:345)&lt;=Nper,ROWS($1:345),"")</f>
        <v/>
      </c>
      <c r="C357" s="67" t="str">
        <f>IF($B357="","",IF($E$7="Weekly",Start_Date+7*(ROWS($1:345)-1),EDATE(Start_Date,VLOOKUP(IF(ASTemp!$E$7="","Monthly",ASTemp!$E$7),Parameters!$B$3:$D$6,3,0)*(ROWS($1:345)-1))))</f>
        <v/>
      </c>
      <c r="D357" s="68" t="str">
        <f t="shared" si="2"/>
        <v/>
      </c>
      <c r="E357" s="65" t="str">
        <f>IF($B357="","",VLOOKUP(MONTH(C357),Parameters!$F$2:$G$13,2,0))</f>
        <v/>
      </c>
      <c r="F357" s="69" t="str">
        <f>IF($B357="","",PV-N(J356))</f>
        <v/>
      </c>
      <c r="G357" s="69" t="str">
        <f>IF($B357="","",PMT(Rate,Nper,-PV,,Type))</f>
        <v/>
      </c>
      <c r="H357" s="69" t="str">
        <f>IF($B357="","",PPMT(Rate,ROWS($1:345),Nper,-PV,,Type))</f>
        <v/>
      </c>
      <c r="I357" s="69" t="str">
        <f>IF($B357="","",IPMT(Rate,ROWS($1:345),Nper,-PV,,Type))</f>
        <v/>
      </c>
      <c r="J357" s="73" t="str">
        <f t="shared" ref="J357:K357" si="347">IF($B357="","",N(J356)+N(H357))</f>
        <v/>
      </c>
      <c r="K357" s="74" t="str">
        <f t="shared" si="347"/>
        <v/>
      </c>
      <c r="L357" s="69" t="str">
        <f>IF($B357="","",PV-J357)</f>
        <v/>
      </c>
      <c r="M357" s="71" t="str">
        <f>IF($B357="","",J357/PV)</f>
        <v/>
      </c>
      <c r="N357" s="72" t="str">
        <f t="shared" si="4"/>
        <v/>
      </c>
    </row>
    <row r="358" ht="14.25" customHeight="1">
      <c r="B358" s="66" t="str">
        <f>IF(ROWS($1:346)&lt;=Nper,ROWS($1:346),"")</f>
        <v/>
      </c>
      <c r="C358" s="67" t="str">
        <f>IF($B358="","",IF($E$7="Weekly",Start_Date+7*(ROWS($1:346)-1),EDATE(Start_Date,VLOOKUP(IF(ASTemp!$E$7="","Monthly",ASTemp!$E$7),Parameters!$B$3:$D$6,3,0)*(ROWS($1:346)-1))))</f>
        <v/>
      </c>
      <c r="D358" s="68" t="str">
        <f t="shared" si="2"/>
        <v/>
      </c>
      <c r="E358" s="65" t="str">
        <f>IF($B358="","",VLOOKUP(MONTH(C358),Parameters!$F$2:$G$13,2,0))</f>
        <v/>
      </c>
      <c r="F358" s="69" t="str">
        <f>IF($B358="","",PV-N(J357))</f>
        <v/>
      </c>
      <c r="G358" s="69" t="str">
        <f>IF($B358="","",PMT(Rate,Nper,-PV,,Type))</f>
        <v/>
      </c>
      <c r="H358" s="69" t="str">
        <f>IF($B358="","",PPMT(Rate,ROWS($1:346),Nper,-PV,,Type))</f>
        <v/>
      </c>
      <c r="I358" s="69" t="str">
        <f>IF($B358="","",IPMT(Rate,ROWS($1:346),Nper,-PV,,Type))</f>
        <v/>
      </c>
      <c r="J358" s="73" t="str">
        <f t="shared" ref="J358:K358" si="348">IF($B358="","",N(J357)+N(H358))</f>
        <v/>
      </c>
      <c r="K358" s="74" t="str">
        <f t="shared" si="348"/>
        <v/>
      </c>
      <c r="L358" s="69" t="str">
        <f>IF($B358="","",PV-J358)</f>
        <v/>
      </c>
      <c r="M358" s="71" t="str">
        <f>IF($B358="","",J358/PV)</f>
        <v/>
      </c>
      <c r="N358" s="72" t="str">
        <f t="shared" si="4"/>
        <v/>
      </c>
    </row>
    <row r="359" ht="14.25" customHeight="1">
      <c r="B359" s="66" t="str">
        <f>IF(ROWS($1:347)&lt;=Nper,ROWS($1:347),"")</f>
        <v/>
      </c>
      <c r="C359" s="67" t="str">
        <f>IF($B359="","",IF($E$7="Weekly",Start_Date+7*(ROWS($1:347)-1),EDATE(Start_Date,VLOOKUP(IF(ASTemp!$E$7="","Monthly",ASTemp!$E$7),Parameters!$B$3:$D$6,3,0)*(ROWS($1:347)-1))))</f>
        <v/>
      </c>
      <c r="D359" s="68" t="str">
        <f t="shared" si="2"/>
        <v/>
      </c>
      <c r="E359" s="65" t="str">
        <f>IF($B359="","",VLOOKUP(MONTH(C359),Parameters!$F$2:$G$13,2,0))</f>
        <v/>
      </c>
      <c r="F359" s="69" t="str">
        <f>IF($B359="","",PV-N(J358))</f>
        <v/>
      </c>
      <c r="G359" s="69" t="str">
        <f>IF($B359="","",PMT(Rate,Nper,-PV,,Type))</f>
        <v/>
      </c>
      <c r="H359" s="69" t="str">
        <f>IF($B359="","",PPMT(Rate,ROWS($1:347),Nper,-PV,,Type))</f>
        <v/>
      </c>
      <c r="I359" s="69" t="str">
        <f>IF($B359="","",IPMT(Rate,ROWS($1:347),Nper,-PV,,Type))</f>
        <v/>
      </c>
      <c r="J359" s="73" t="str">
        <f t="shared" ref="J359:K359" si="349">IF($B359="","",N(J358)+N(H359))</f>
        <v/>
      </c>
      <c r="K359" s="74" t="str">
        <f t="shared" si="349"/>
        <v/>
      </c>
      <c r="L359" s="69" t="str">
        <f>IF($B359="","",PV-J359)</f>
        <v/>
      </c>
      <c r="M359" s="71" t="str">
        <f>IF($B359="","",J359/PV)</f>
        <v/>
      </c>
      <c r="N359" s="72" t="str">
        <f t="shared" si="4"/>
        <v/>
      </c>
    </row>
    <row r="360" ht="14.25" customHeight="1">
      <c r="B360" s="66" t="str">
        <f>IF(ROWS($1:348)&lt;=Nper,ROWS($1:348),"")</f>
        <v/>
      </c>
      <c r="C360" s="67" t="str">
        <f>IF($B360="","",IF($E$7="Weekly",Start_Date+7*(ROWS($1:348)-1),EDATE(Start_Date,VLOOKUP(IF(ASTemp!$E$7="","Monthly",ASTemp!$E$7),Parameters!$B$3:$D$6,3,0)*(ROWS($1:348)-1))))</f>
        <v/>
      </c>
      <c r="D360" s="68" t="str">
        <f t="shared" si="2"/>
        <v/>
      </c>
      <c r="E360" s="65" t="str">
        <f>IF($B360="","",VLOOKUP(MONTH(C360),Parameters!$F$2:$G$13,2,0))</f>
        <v/>
      </c>
      <c r="F360" s="69" t="str">
        <f>IF($B360="","",PV-N(J359))</f>
        <v/>
      </c>
      <c r="G360" s="69" t="str">
        <f>IF($B360="","",PMT(Rate,Nper,-PV,,Type))</f>
        <v/>
      </c>
      <c r="H360" s="69" t="str">
        <f>IF($B360="","",PPMT(Rate,ROWS($1:348),Nper,-PV,,Type))</f>
        <v/>
      </c>
      <c r="I360" s="69" t="str">
        <f>IF($B360="","",IPMT(Rate,ROWS($1:348),Nper,-PV,,Type))</f>
        <v/>
      </c>
      <c r="J360" s="73" t="str">
        <f t="shared" ref="J360:K360" si="350">IF($B360="","",N(J359)+N(H360))</f>
        <v/>
      </c>
      <c r="K360" s="74" t="str">
        <f t="shared" si="350"/>
        <v/>
      </c>
      <c r="L360" s="69" t="str">
        <f>IF($B360="","",PV-J360)</f>
        <v/>
      </c>
      <c r="M360" s="71" t="str">
        <f>IF($B360="","",J360/PV)</f>
        <v/>
      </c>
      <c r="N360" s="72" t="str">
        <f t="shared" si="4"/>
        <v/>
      </c>
    </row>
    <row r="361" ht="14.25" customHeight="1">
      <c r="B361" s="66" t="str">
        <f>IF(ROWS($1:349)&lt;=Nper,ROWS($1:349),"")</f>
        <v/>
      </c>
      <c r="C361" s="67" t="str">
        <f>IF($B361="","",IF($E$7="Weekly",Start_Date+7*(ROWS($1:349)-1),EDATE(Start_Date,VLOOKUP(IF(ASTemp!$E$7="","Monthly",ASTemp!$E$7),Parameters!$B$3:$D$6,3,0)*(ROWS($1:349)-1))))</f>
        <v/>
      </c>
      <c r="D361" s="68" t="str">
        <f t="shared" si="2"/>
        <v/>
      </c>
      <c r="E361" s="65" t="str">
        <f>IF($B361="","",VLOOKUP(MONTH(C361),Parameters!$F$2:$G$13,2,0))</f>
        <v/>
      </c>
      <c r="F361" s="69" t="str">
        <f>IF($B361="","",PV-N(J360))</f>
        <v/>
      </c>
      <c r="G361" s="69" t="str">
        <f>IF($B361="","",PMT(Rate,Nper,-PV,,Type))</f>
        <v/>
      </c>
      <c r="H361" s="69" t="str">
        <f>IF($B361="","",PPMT(Rate,ROWS($1:349),Nper,-PV,,Type))</f>
        <v/>
      </c>
      <c r="I361" s="69" t="str">
        <f>IF($B361="","",IPMT(Rate,ROWS($1:349),Nper,-PV,,Type))</f>
        <v/>
      </c>
      <c r="J361" s="73" t="str">
        <f t="shared" ref="J361:K361" si="351">IF($B361="","",N(J360)+N(H361))</f>
        <v/>
      </c>
      <c r="K361" s="74" t="str">
        <f t="shared" si="351"/>
        <v/>
      </c>
      <c r="L361" s="69" t="str">
        <f>IF($B361="","",PV-J361)</f>
        <v/>
      </c>
      <c r="M361" s="71" t="str">
        <f>IF($B361="","",J361/PV)</f>
        <v/>
      </c>
      <c r="N361" s="72" t="str">
        <f t="shared" si="4"/>
        <v/>
      </c>
    </row>
    <row r="362" ht="14.25" customHeight="1">
      <c r="B362" s="66" t="str">
        <f>IF(ROWS($1:350)&lt;=Nper,ROWS($1:350),"")</f>
        <v/>
      </c>
      <c r="C362" s="67" t="str">
        <f>IF($B362="","",IF($E$7="Weekly",Start_Date+7*(ROWS($1:350)-1),EDATE(Start_Date,VLOOKUP(IF(ASTemp!$E$7="","Monthly",ASTemp!$E$7),Parameters!$B$3:$D$6,3,0)*(ROWS($1:350)-1))))</f>
        <v/>
      </c>
      <c r="D362" s="68" t="str">
        <f t="shared" si="2"/>
        <v/>
      </c>
      <c r="E362" s="65" t="str">
        <f>IF($B362="","",VLOOKUP(MONTH(C362),Parameters!$F$2:$G$13,2,0))</f>
        <v/>
      </c>
      <c r="F362" s="69" t="str">
        <f>IF($B362="","",PV-N(J361))</f>
        <v/>
      </c>
      <c r="G362" s="69" t="str">
        <f>IF($B362="","",PMT(Rate,Nper,-PV,,Type))</f>
        <v/>
      </c>
      <c r="H362" s="69" t="str">
        <f>IF($B362="","",PPMT(Rate,ROWS($1:350),Nper,-PV,,Type))</f>
        <v/>
      </c>
      <c r="I362" s="69" t="str">
        <f>IF($B362="","",IPMT(Rate,ROWS($1:350),Nper,-PV,,Type))</f>
        <v/>
      </c>
      <c r="J362" s="73" t="str">
        <f t="shared" ref="J362:K362" si="352">IF($B362="","",N(J361)+N(H362))</f>
        <v/>
      </c>
      <c r="K362" s="74" t="str">
        <f t="shared" si="352"/>
        <v/>
      </c>
      <c r="L362" s="69" t="str">
        <f>IF($B362="","",PV-J362)</f>
        <v/>
      </c>
      <c r="M362" s="71" t="str">
        <f>IF($B362="","",J362/PV)</f>
        <v/>
      </c>
      <c r="N362" s="72" t="str">
        <f t="shared" si="4"/>
        <v/>
      </c>
    </row>
    <row r="363" ht="14.25" customHeight="1">
      <c r="B363" s="66" t="str">
        <f>IF(ROWS($1:351)&lt;=Nper,ROWS($1:351),"")</f>
        <v/>
      </c>
      <c r="C363" s="67" t="str">
        <f>IF($B363="","",IF($E$7="Weekly",Start_Date+7*(ROWS($1:351)-1),EDATE(Start_Date,VLOOKUP(IF(ASTemp!$E$7="","Monthly",ASTemp!$E$7),Parameters!$B$3:$D$6,3,0)*(ROWS($1:351)-1))))</f>
        <v/>
      </c>
      <c r="D363" s="68" t="str">
        <f t="shared" si="2"/>
        <v/>
      </c>
      <c r="E363" s="65" t="str">
        <f>IF($B363="","",VLOOKUP(MONTH(C363),Parameters!$F$2:$G$13,2,0))</f>
        <v/>
      </c>
      <c r="F363" s="69" t="str">
        <f>IF($B363="","",PV-N(J362))</f>
        <v/>
      </c>
      <c r="G363" s="69" t="str">
        <f>IF($B363="","",PMT(Rate,Nper,-PV,,Type))</f>
        <v/>
      </c>
      <c r="H363" s="69" t="str">
        <f>IF($B363="","",PPMT(Rate,ROWS($1:351),Nper,-PV,,Type))</f>
        <v/>
      </c>
      <c r="I363" s="69" t="str">
        <f>IF($B363="","",IPMT(Rate,ROWS($1:351),Nper,-PV,,Type))</f>
        <v/>
      </c>
      <c r="J363" s="73" t="str">
        <f t="shared" ref="J363:K363" si="353">IF($B363="","",N(J362)+N(H363))</f>
        <v/>
      </c>
      <c r="K363" s="74" t="str">
        <f t="shared" si="353"/>
        <v/>
      </c>
      <c r="L363" s="69" t="str">
        <f>IF($B363="","",PV-J363)</f>
        <v/>
      </c>
      <c r="M363" s="71" t="str">
        <f>IF($B363="","",J363/PV)</f>
        <v/>
      </c>
      <c r="N363" s="72" t="str">
        <f t="shared" si="4"/>
        <v/>
      </c>
    </row>
    <row r="364" ht="14.25" customHeight="1">
      <c r="B364" s="66" t="str">
        <f>IF(ROWS($1:352)&lt;=Nper,ROWS($1:352),"")</f>
        <v/>
      </c>
      <c r="C364" s="67" t="str">
        <f>IF($B364="","",IF($E$7="Weekly",Start_Date+7*(ROWS($1:352)-1),EDATE(Start_Date,VLOOKUP(IF(ASTemp!$E$7="","Monthly",ASTemp!$E$7),Parameters!$B$3:$D$6,3,0)*(ROWS($1:352)-1))))</f>
        <v/>
      </c>
      <c r="D364" s="68" t="str">
        <f t="shared" si="2"/>
        <v/>
      </c>
      <c r="E364" s="65" t="str">
        <f>IF($B364="","",VLOOKUP(MONTH(C364),Parameters!$F$2:$G$13,2,0))</f>
        <v/>
      </c>
      <c r="F364" s="69" t="str">
        <f>IF($B364="","",PV-N(J363))</f>
        <v/>
      </c>
      <c r="G364" s="69" t="str">
        <f>IF($B364="","",PMT(Rate,Nper,-PV,,Type))</f>
        <v/>
      </c>
      <c r="H364" s="69" t="str">
        <f>IF($B364="","",PPMT(Rate,ROWS($1:352),Nper,-PV,,Type))</f>
        <v/>
      </c>
      <c r="I364" s="69" t="str">
        <f>IF($B364="","",IPMT(Rate,ROWS($1:352),Nper,-PV,,Type))</f>
        <v/>
      </c>
      <c r="J364" s="73" t="str">
        <f t="shared" ref="J364:K364" si="354">IF($B364="","",N(J363)+N(H364))</f>
        <v/>
      </c>
      <c r="K364" s="74" t="str">
        <f t="shared" si="354"/>
        <v/>
      </c>
      <c r="L364" s="69" t="str">
        <f>IF($B364="","",PV-J364)</f>
        <v/>
      </c>
      <c r="M364" s="71" t="str">
        <f>IF($B364="","",J364/PV)</f>
        <v/>
      </c>
      <c r="N364" s="72" t="str">
        <f t="shared" si="4"/>
        <v/>
      </c>
    </row>
    <row r="365" ht="14.25" customHeight="1">
      <c r="B365" s="66" t="str">
        <f>IF(ROWS($1:353)&lt;=Nper,ROWS($1:353),"")</f>
        <v/>
      </c>
      <c r="C365" s="67" t="str">
        <f>IF($B365="","",IF($E$7="Weekly",Start_Date+7*(ROWS($1:353)-1),EDATE(Start_Date,VLOOKUP(IF(ASTemp!$E$7="","Monthly",ASTemp!$E$7),Parameters!$B$3:$D$6,3,0)*(ROWS($1:353)-1))))</f>
        <v/>
      </c>
      <c r="D365" s="68" t="str">
        <f t="shared" si="2"/>
        <v/>
      </c>
      <c r="E365" s="65" t="str">
        <f>IF($B365="","",VLOOKUP(MONTH(C365),Parameters!$F$2:$G$13,2,0))</f>
        <v/>
      </c>
      <c r="F365" s="69" t="str">
        <f>IF($B365="","",PV-N(J364))</f>
        <v/>
      </c>
      <c r="G365" s="69" t="str">
        <f>IF($B365="","",PMT(Rate,Nper,-PV,,Type))</f>
        <v/>
      </c>
      <c r="H365" s="69" t="str">
        <f>IF($B365="","",PPMT(Rate,ROWS($1:353),Nper,-PV,,Type))</f>
        <v/>
      </c>
      <c r="I365" s="69" t="str">
        <f>IF($B365="","",IPMT(Rate,ROWS($1:353),Nper,-PV,,Type))</f>
        <v/>
      </c>
      <c r="J365" s="73" t="str">
        <f t="shared" ref="J365:K365" si="355">IF($B365="","",N(J364)+N(H365))</f>
        <v/>
      </c>
      <c r="K365" s="74" t="str">
        <f t="shared" si="355"/>
        <v/>
      </c>
      <c r="L365" s="69" t="str">
        <f>IF($B365="","",PV-J365)</f>
        <v/>
      </c>
      <c r="M365" s="71" t="str">
        <f>IF($B365="","",J365/PV)</f>
        <v/>
      </c>
      <c r="N365" s="72" t="str">
        <f t="shared" si="4"/>
        <v/>
      </c>
    </row>
    <row r="366" ht="14.25" customHeight="1">
      <c r="B366" s="66" t="str">
        <f>IF(ROWS($1:354)&lt;=Nper,ROWS($1:354),"")</f>
        <v/>
      </c>
      <c r="C366" s="67" t="str">
        <f>IF($B366="","",IF($E$7="Weekly",Start_Date+7*(ROWS($1:354)-1),EDATE(Start_Date,VLOOKUP(IF(ASTemp!$E$7="","Monthly",ASTemp!$E$7),Parameters!$B$3:$D$6,3,0)*(ROWS($1:354)-1))))</f>
        <v/>
      </c>
      <c r="D366" s="68" t="str">
        <f t="shared" si="2"/>
        <v/>
      </c>
      <c r="E366" s="65" t="str">
        <f>IF($B366="","",VLOOKUP(MONTH(C366),Parameters!$F$2:$G$13,2,0))</f>
        <v/>
      </c>
      <c r="F366" s="69" t="str">
        <f>IF($B366="","",PV-N(J365))</f>
        <v/>
      </c>
      <c r="G366" s="69" t="str">
        <f>IF($B366="","",PMT(Rate,Nper,-PV,,Type))</f>
        <v/>
      </c>
      <c r="H366" s="69" t="str">
        <f>IF($B366="","",PPMT(Rate,ROWS($1:354),Nper,-PV,,Type))</f>
        <v/>
      </c>
      <c r="I366" s="69" t="str">
        <f>IF($B366="","",IPMT(Rate,ROWS($1:354),Nper,-PV,,Type))</f>
        <v/>
      </c>
      <c r="J366" s="73" t="str">
        <f t="shared" ref="J366:K366" si="356">IF($B366="","",N(J365)+N(H366))</f>
        <v/>
      </c>
      <c r="K366" s="74" t="str">
        <f t="shared" si="356"/>
        <v/>
      </c>
      <c r="L366" s="69" t="str">
        <f>IF($B366="","",PV-J366)</f>
        <v/>
      </c>
      <c r="M366" s="71" t="str">
        <f>IF($B366="","",J366/PV)</f>
        <v/>
      </c>
      <c r="N366" s="72" t="str">
        <f t="shared" si="4"/>
        <v/>
      </c>
    </row>
    <row r="367" ht="14.25" customHeight="1">
      <c r="B367" s="66" t="str">
        <f>IF(ROWS($1:355)&lt;=Nper,ROWS($1:355),"")</f>
        <v/>
      </c>
      <c r="C367" s="67" t="str">
        <f>IF($B367="","",IF($E$7="Weekly",Start_Date+7*(ROWS($1:355)-1),EDATE(Start_Date,VLOOKUP(IF(ASTemp!$E$7="","Monthly",ASTemp!$E$7),Parameters!$B$3:$D$6,3,0)*(ROWS($1:355)-1))))</f>
        <v/>
      </c>
      <c r="D367" s="68" t="str">
        <f t="shared" si="2"/>
        <v/>
      </c>
      <c r="E367" s="65" t="str">
        <f>IF($B367="","",VLOOKUP(MONTH(C367),Parameters!$F$2:$G$13,2,0))</f>
        <v/>
      </c>
      <c r="F367" s="69" t="str">
        <f>IF($B367="","",PV-N(J366))</f>
        <v/>
      </c>
      <c r="G367" s="69" t="str">
        <f>IF($B367="","",PMT(Rate,Nper,-PV,,Type))</f>
        <v/>
      </c>
      <c r="H367" s="69" t="str">
        <f>IF($B367="","",PPMT(Rate,ROWS($1:355),Nper,-PV,,Type))</f>
        <v/>
      </c>
      <c r="I367" s="69" t="str">
        <f>IF($B367="","",IPMT(Rate,ROWS($1:355),Nper,-PV,,Type))</f>
        <v/>
      </c>
      <c r="J367" s="73" t="str">
        <f t="shared" ref="J367:K367" si="357">IF($B367="","",N(J366)+N(H367))</f>
        <v/>
      </c>
      <c r="K367" s="74" t="str">
        <f t="shared" si="357"/>
        <v/>
      </c>
      <c r="L367" s="69" t="str">
        <f>IF($B367="","",PV-J367)</f>
        <v/>
      </c>
      <c r="M367" s="71" t="str">
        <f>IF($B367="","",J367/PV)</f>
        <v/>
      </c>
      <c r="N367" s="72" t="str">
        <f t="shared" si="4"/>
        <v/>
      </c>
    </row>
    <row r="368" ht="14.25" customHeight="1">
      <c r="B368" s="66" t="str">
        <f>IF(ROWS($1:356)&lt;=Nper,ROWS($1:356),"")</f>
        <v/>
      </c>
      <c r="C368" s="67" t="str">
        <f>IF($B368="","",IF($E$7="Weekly",Start_Date+7*(ROWS($1:356)-1),EDATE(Start_Date,VLOOKUP(IF(ASTemp!$E$7="","Monthly",ASTemp!$E$7),Parameters!$B$3:$D$6,3,0)*(ROWS($1:356)-1))))</f>
        <v/>
      </c>
      <c r="D368" s="68" t="str">
        <f t="shared" si="2"/>
        <v/>
      </c>
      <c r="E368" s="65" t="str">
        <f>IF($B368="","",VLOOKUP(MONTH(C368),Parameters!$F$2:$G$13,2,0))</f>
        <v/>
      </c>
      <c r="F368" s="69" t="str">
        <f>IF($B368="","",PV-N(J367))</f>
        <v/>
      </c>
      <c r="G368" s="69" t="str">
        <f>IF($B368="","",PMT(Rate,Nper,-PV,,Type))</f>
        <v/>
      </c>
      <c r="H368" s="69" t="str">
        <f>IF($B368="","",PPMT(Rate,ROWS($1:356),Nper,-PV,,Type))</f>
        <v/>
      </c>
      <c r="I368" s="69" t="str">
        <f>IF($B368="","",IPMT(Rate,ROWS($1:356),Nper,-PV,,Type))</f>
        <v/>
      </c>
      <c r="J368" s="73" t="str">
        <f t="shared" ref="J368:K368" si="358">IF($B368="","",N(J367)+N(H368))</f>
        <v/>
      </c>
      <c r="K368" s="74" t="str">
        <f t="shared" si="358"/>
        <v/>
      </c>
      <c r="L368" s="69" t="str">
        <f>IF($B368="","",PV-J368)</f>
        <v/>
      </c>
      <c r="M368" s="71" t="str">
        <f>IF($B368="","",J368/PV)</f>
        <v/>
      </c>
      <c r="N368" s="72" t="str">
        <f t="shared" si="4"/>
        <v/>
      </c>
    </row>
    <row r="369" ht="14.25" customHeight="1">
      <c r="B369" s="66" t="str">
        <f>IF(ROWS($1:357)&lt;=Nper,ROWS($1:357),"")</f>
        <v/>
      </c>
      <c r="C369" s="67" t="str">
        <f>IF($B369="","",IF($E$7="Weekly",Start_Date+7*(ROWS($1:357)-1),EDATE(Start_Date,VLOOKUP(IF(ASTemp!$E$7="","Monthly",ASTemp!$E$7),Parameters!$B$3:$D$6,3,0)*(ROWS($1:357)-1))))</f>
        <v/>
      </c>
      <c r="D369" s="68" t="str">
        <f t="shared" si="2"/>
        <v/>
      </c>
      <c r="E369" s="65" t="str">
        <f>IF($B369="","",VLOOKUP(MONTH(C369),Parameters!$F$2:$G$13,2,0))</f>
        <v/>
      </c>
      <c r="F369" s="69" t="str">
        <f>IF($B369="","",PV-N(J368))</f>
        <v/>
      </c>
      <c r="G369" s="69" t="str">
        <f>IF($B369="","",PMT(Rate,Nper,-PV,,Type))</f>
        <v/>
      </c>
      <c r="H369" s="69" t="str">
        <f>IF($B369="","",PPMT(Rate,ROWS($1:357),Nper,-PV,,Type))</f>
        <v/>
      </c>
      <c r="I369" s="69" t="str">
        <f>IF($B369="","",IPMT(Rate,ROWS($1:357),Nper,-PV,,Type))</f>
        <v/>
      </c>
      <c r="J369" s="73" t="str">
        <f t="shared" ref="J369:K369" si="359">IF($B369="","",N(J368)+N(H369))</f>
        <v/>
      </c>
      <c r="K369" s="74" t="str">
        <f t="shared" si="359"/>
        <v/>
      </c>
      <c r="L369" s="69" t="str">
        <f>IF($B369="","",PV-J369)</f>
        <v/>
      </c>
      <c r="M369" s="71" t="str">
        <f>IF($B369="","",J369/PV)</f>
        <v/>
      </c>
      <c r="N369" s="72" t="str">
        <f t="shared" si="4"/>
        <v/>
      </c>
    </row>
    <row r="370" ht="14.25" customHeight="1">
      <c r="B370" s="66" t="str">
        <f>IF(ROWS($1:358)&lt;=Nper,ROWS($1:358),"")</f>
        <v/>
      </c>
      <c r="C370" s="67" t="str">
        <f>IF($B370="","",IF($E$7="Weekly",Start_Date+7*(ROWS($1:358)-1),EDATE(Start_Date,VLOOKUP(IF(ASTemp!$E$7="","Monthly",ASTemp!$E$7),Parameters!$B$3:$D$6,3,0)*(ROWS($1:358)-1))))</f>
        <v/>
      </c>
      <c r="D370" s="68" t="str">
        <f t="shared" si="2"/>
        <v/>
      </c>
      <c r="E370" s="65" t="str">
        <f>IF($B370="","",VLOOKUP(MONTH(C370),Parameters!$F$2:$G$13,2,0))</f>
        <v/>
      </c>
      <c r="F370" s="69" t="str">
        <f>IF($B370="","",PV-N(J369))</f>
        <v/>
      </c>
      <c r="G370" s="69" t="str">
        <f>IF($B370="","",PMT(Rate,Nper,-PV,,Type))</f>
        <v/>
      </c>
      <c r="H370" s="69" t="str">
        <f>IF($B370="","",PPMT(Rate,ROWS($1:358),Nper,-PV,,Type))</f>
        <v/>
      </c>
      <c r="I370" s="69" t="str">
        <f>IF($B370="","",IPMT(Rate,ROWS($1:358),Nper,-PV,,Type))</f>
        <v/>
      </c>
      <c r="J370" s="73" t="str">
        <f t="shared" ref="J370:K370" si="360">IF($B370="","",N(J369)+N(H370))</f>
        <v/>
      </c>
      <c r="K370" s="74" t="str">
        <f t="shared" si="360"/>
        <v/>
      </c>
      <c r="L370" s="69" t="str">
        <f>IF($B370="","",PV-J370)</f>
        <v/>
      </c>
      <c r="M370" s="71" t="str">
        <f>IF($B370="","",J370/PV)</f>
        <v/>
      </c>
      <c r="N370" s="72" t="str">
        <f t="shared" si="4"/>
        <v/>
      </c>
    </row>
    <row r="371" ht="14.25" customHeight="1">
      <c r="B371" s="66" t="str">
        <f>IF(ROWS($1:359)&lt;=Nper,ROWS($1:359),"")</f>
        <v/>
      </c>
      <c r="C371" s="67" t="str">
        <f>IF($B371="","",IF($E$7="Weekly",Start_Date+7*(ROWS($1:359)-1),EDATE(Start_Date,VLOOKUP(IF(ASTemp!$E$7="","Monthly",ASTemp!$E$7),Parameters!$B$3:$D$6,3,0)*(ROWS($1:359)-1))))</f>
        <v/>
      </c>
      <c r="D371" s="68" t="str">
        <f t="shared" si="2"/>
        <v/>
      </c>
      <c r="E371" s="65" t="str">
        <f>IF($B371="","",VLOOKUP(MONTH(C371),Parameters!$F$2:$G$13,2,0))</f>
        <v/>
      </c>
      <c r="F371" s="69" t="str">
        <f>IF($B371="","",PV-N(J370))</f>
        <v/>
      </c>
      <c r="G371" s="69" t="str">
        <f>IF($B371="","",PMT(Rate,Nper,-PV,,Type))</f>
        <v/>
      </c>
      <c r="H371" s="69" t="str">
        <f>IF($B371="","",PPMT(Rate,ROWS($1:359),Nper,-PV,,Type))</f>
        <v/>
      </c>
      <c r="I371" s="69" t="str">
        <f>IF($B371="","",IPMT(Rate,ROWS($1:359),Nper,-PV,,Type))</f>
        <v/>
      </c>
      <c r="J371" s="73" t="str">
        <f t="shared" ref="J371:K371" si="361">IF($B371="","",N(J370)+N(H371))</f>
        <v/>
      </c>
      <c r="K371" s="74" t="str">
        <f t="shared" si="361"/>
        <v/>
      </c>
      <c r="L371" s="69" t="str">
        <f>IF($B371="","",PV-J371)</f>
        <v/>
      </c>
      <c r="M371" s="71" t="str">
        <f>IF($B371="","",J371/PV)</f>
        <v/>
      </c>
      <c r="N371" s="72" t="str">
        <f t="shared" si="4"/>
        <v/>
      </c>
    </row>
    <row r="372" ht="14.25" customHeight="1">
      <c r="B372" s="66" t="str">
        <f>IF(ROWS($1:360)&lt;=Nper,ROWS($1:360),"")</f>
        <v/>
      </c>
      <c r="C372" s="67" t="str">
        <f>IF($B372="","",IF($E$7="Weekly",Start_Date+7*(ROWS($1:360)-1),EDATE(Start_Date,VLOOKUP(IF(ASTemp!$E$7="","Monthly",ASTemp!$E$7),Parameters!$B$3:$D$6,3,0)*(ROWS($1:360)-1))))</f>
        <v/>
      </c>
      <c r="D372" s="68" t="str">
        <f t="shared" si="2"/>
        <v/>
      </c>
      <c r="E372" s="65" t="str">
        <f>IF($B372="","",VLOOKUP(MONTH(C372),Parameters!$F$2:$G$13,2,0))</f>
        <v/>
      </c>
      <c r="F372" s="69" t="str">
        <f>IF($B372="","",PV-N(J371))</f>
        <v/>
      </c>
      <c r="G372" s="69" t="str">
        <f>IF($B372="","",PMT(Rate,Nper,-PV,,Type))</f>
        <v/>
      </c>
      <c r="H372" s="69" t="str">
        <f>IF($B372="","",PPMT(Rate,ROWS($1:360),Nper,-PV,,Type))</f>
        <v/>
      </c>
      <c r="I372" s="69" t="str">
        <f>IF($B372="","",IPMT(Rate,ROWS($1:360),Nper,-PV,,Type))</f>
        <v/>
      </c>
      <c r="J372" s="73" t="str">
        <f t="shared" ref="J372:K372" si="362">IF($B372="","",N(J371)+N(H372))</f>
        <v/>
      </c>
      <c r="K372" s="74" t="str">
        <f t="shared" si="362"/>
        <v/>
      </c>
      <c r="L372" s="69" t="str">
        <f>IF($B372="","",PV-J372)</f>
        <v/>
      </c>
      <c r="M372" s="71" t="str">
        <f>IF($B372="","",J372/PV)</f>
        <v/>
      </c>
      <c r="N372" s="72" t="str">
        <f t="shared" si="4"/>
        <v/>
      </c>
    </row>
    <row r="373" ht="14.25" customHeight="1">
      <c r="B373" s="66" t="str">
        <f>IF(ROWS($1:361)&lt;=Nper,ROWS($1:361),"")</f>
        <v/>
      </c>
      <c r="C373" s="67" t="str">
        <f>IF($B373="","",IF($E$7="Weekly",Start_Date+7*(ROWS($1:361)-1),EDATE(Start_Date,VLOOKUP(IF(ASTemp!$E$7="","Monthly",ASTemp!$E$7),Parameters!$B$3:$D$6,3,0)*(ROWS($1:361)-1))))</f>
        <v/>
      </c>
      <c r="D373" s="68" t="str">
        <f t="shared" si="2"/>
        <v/>
      </c>
      <c r="E373" s="65" t="str">
        <f>IF($B373="","",VLOOKUP(MONTH(C373),Parameters!$F$2:$G$13,2,0))</f>
        <v/>
      </c>
      <c r="F373" s="69" t="str">
        <f>IF($B373="","",PV-N(J372))</f>
        <v/>
      </c>
      <c r="G373" s="69" t="str">
        <f>IF($B373="","",PMT(Rate,Nper,-PV,,Type))</f>
        <v/>
      </c>
      <c r="H373" s="69" t="str">
        <f>IF($B373="","",PPMT(Rate,ROWS($1:361),Nper,-PV,,Type))</f>
        <v/>
      </c>
      <c r="I373" s="69" t="str">
        <f>IF($B373="","",IPMT(Rate,ROWS($1:361),Nper,-PV,,Type))</f>
        <v/>
      </c>
      <c r="J373" s="73" t="str">
        <f t="shared" ref="J373:K373" si="363">IF($B373="","",N(J372)+N(H373))</f>
        <v/>
      </c>
      <c r="K373" s="74" t="str">
        <f t="shared" si="363"/>
        <v/>
      </c>
      <c r="L373" s="69" t="str">
        <f>IF($B373="","",PV-J373)</f>
        <v/>
      </c>
      <c r="M373" s="71" t="str">
        <f>IF($B373="","",J373/PV)</f>
        <v/>
      </c>
      <c r="N373" s="72" t="str">
        <f t="shared" si="4"/>
        <v/>
      </c>
    </row>
    <row r="374" ht="14.25" customHeight="1">
      <c r="B374" s="66" t="str">
        <f>IF(ROWS($1:362)&lt;=Nper,ROWS($1:362),"")</f>
        <v/>
      </c>
      <c r="C374" s="67" t="str">
        <f>IF($B374="","",IF($E$7="Weekly",Start_Date+7*(ROWS($1:362)-1),EDATE(Start_Date,VLOOKUP(IF(ASTemp!$E$7="","Monthly",ASTemp!$E$7),Parameters!$B$3:$D$6,3,0)*(ROWS($1:362)-1))))</f>
        <v/>
      </c>
      <c r="D374" s="68" t="str">
        <f t="shared" si="2"/>
        <v/>
      </c>
      <c r="E374" s="65" t="str">
        <f>IF($B374="","",VLOOKUP(MONTH(C374),Parameters!$F$2:$G$13,2,0))</f>
        <v/>
      </c>
      <c r="F374" s="69" t="str">
        <f>IF($B374="","",PV-N(J373))</f>
        <v/>
      </c>
      <c r="G374" s="69" t="str">
        <f>IF($B374="","",PMT(Rate,Nper,-PV,,Type))</f>
        <v/>
      </c>
      <c r="H374" s="69" t="str">
        <f>IF($B374="","",PPMT(Rate,ROWS($1:362),Nper,-PV,,Type))</f>
        <v/>
      </c>
      <c r="I374" s="69" t="str">
        <f>IF($B374="","",IPMT(Rate,ROWS($1:362),Nper,-PV,,Type))</f>
        <v/>
      </c>
      <c r="J374" s="73" t="str">
        <f t="shared" ref="J374:K374" si="364">IF($B374="","",N(J373)+N(H374))</f>
        <v/>
      </c>
      <c r="K374" s="74" t="str">
        <f t="shared" si="364"/>
        <v/>
      </c>
      <c r="L374" s="69" t="str">
        <f>IF($B374="","",PV-J374)</f>
        <v/>
      </c>
      <c r="M374" s="71" t="str">
        <f>IF($B374="","",J374/PV)</f>
        <v/>
      </c>
      <c r="N374" s="72" t="str">
        <f t="shared" si="4"/>
        <v/>
      </c>
    </row>
    <row r="375" ht="14.25" customHeight="1">
      <c r="B375" s="66" t="str">
        <f>IF(ROWS($1:363)&lt;=Nper,ROWS($1:363),"")</f>
        <v/>
      </c>
      <c r="C375" s="67" t="str">
        <f>IF($B375="","",IF($E$7="Weekly",Start_Date+7*(ROWS($1:363)-1),EDATE(Start_Date,VLOOKUP(IF(ASTemp!$E$7="","Monthly",ASTemp!$E$7),Parameters!$B$3:$D$6,3,0)*(ROWS($1:363)-1))))</f>
        <v/>
      </c>
      <c r="D375" s="68" t="str">
        <f t="shared" si="2"/>
        <v/>
      </c>
      <c r="E375" s="65" t="str">
        <f>IF($B375="","",VLOOKUP(MONTH(C375),Parameters!$F$2:$G$13,2,0))</f>
        <v/>
      </c>
      <c r="F375" s="69" t="str">
        <f>IF($B375="","",PV-N(J374))</f>
        <v/>
      </c>
      <c r="G375" s="69" t="str">
        <f>IF($B375="","",PMT(Rate,Nper,-PV,,Type))</f>
        <v/>
      </c>
      <c r="H375" s="69" t="str">
        <f>IF($B375="","",PPMT(Rate,ROWS($1:363),Nper,-PV,,Type))</f>
        <v/>
      </c>
      <c r="I375" s="69" t="str">
        <f>IF($B375="","",IPMT(Rate,ROWS($1:363),Nper,-PV,,Type))</f>
        <v/>
      </c>
      <c r="J375" s="73" t="str">
        <f t="shared" ref="J375:K375" si="365">IF($B375="","",N(J374)+N(H375))</f>
        <v/>
      </c>
      <c r="K375" s="74" t="str">
        <f t="shared" si="365"/>
        <v/>
      </c>
      <c r="L375" s="69" t="str">
        <f>IF($B375="","",PV-J375)</f>
        <v/>
      </c>
      <c r="M375" s="71" t="str">
        <f>IF($B375="","",J375/PV)</f>
        <v/>
      </c>
      <c r="N375" s="72" t="str">
        <f t="shared" si="4"/>
        <v/>
      </c>
    </row>
    <row r="376" ht="14.25" customHeight="1">
      <c r="B376" s="66" t="str">
        <f>IF(ROWS($1:364)&lt;=Nper,ROWS($1:364),"")</f>
        <v/>
      </c>
      <c r="C376" s="67" t="str">
        <f>IF($B376="","",IF($E$7="Weekly",Start_Date+7*(ROWS($1:364)-1),EDATE(Start_Date,VLOOKUP(IF(ASTemp!$E$7="","Monthly",ASTemp!$E$7),Parameters!$B$3:$D$6,3,0)*(ROWS($1:364)-1))))</f>
        <v/>
      </c>
      <c r="D376" s="68" t="str">
        <f t="shared" si="2"/>
        <v/>
      </c>
      <c r="E376" s="65" t="str">
        <f>IF($B376="","",VLOOKUP(MONTH(C376),Parameters!$F$2:$G$13,2,0))</f>
        <v/>
      </c>
      <c r="F376" s="69" t="str">
        <f>IF($B376="","",PV-N(J375))</f>
        <v/>
      </c>
      <c r="G376" s="69" t="str">
        <f>IF($B376="","",PMT(Rate,Nper,-PV,,Type))</f>
        <v/>
      </c>
      <c r="H376" s="69" t="str">
        <f>IF($B376="","",PPMT(Rate,ROWS($1:364),Nper,-PV,,Type))</f>
        <v/>
      </c>
      <c r="I376" s="69" t="str">
        <f>IF($B376="","",IPMT(Rate,ROWS($1:364),Nper,-PV,,Type))</f>
        <v/>
      </c>
      <c r="J376" s="73" t="str">
        <f t="shared" ref="J376:K376" si="366">IF($B376="","",N(J375)+N(H376))</f>
        <v/>
      </c>
      <c r="K376" s="74" t="str">
        <f t="shared" si="366"/>
        <v/>
      </c>
      <c r="L376" s="69" t="str">
        <f>IF($B376="","",PV-J376)</f>
        <v/>
      </c>
      <c r="M376" s="71" t="str">
        <f>IF($B376="","",J376/PV)</f>
        <v/>
      </c>
      <c r="N376" s="72" t="str">
        <f t="shared" si="4"/>
        <v/>
      </c>
    </row>
    <row r="377" ht="14.25" customHeight="1">
      <c r="B377" s="66" t="str">
        <f>IF(ROWS($1:365)&lt;=Nper,ROWS($1:365),"")</f>
        <v/>
      </c>
      <c r="C377" s="67" t="str">
        <f>IF($B377="","",IF($E$7="Weekly",Start_Date+7*(ROWS($1:365)-1),EDATE(Start_Date,VLOOKUP(IF(ASTemp!$E$7="","Monthly",ASTemp!$E$7),Parameters!$B$3:$D$6,3,0)*(ROWS($1:365)-1))))</f>
        <v/>
      </c>
      <c r="D377" s="68" t="str">
        <f t="shared" si="2"/>
        <v/>
      </c>
      <c r="E377" s="65" t="str">
        <f>IF($B377="","",VLOOKUP(MONTH(C377),Parameters!$F$2:$G$13,2,0))</f>
        <v/>
      </c>
      <c r="F377" s="69" t="str">
        <f>IF($B377="","",PV-N(J376))</f>
        <v/>
      </c>
      <c r="G377" s="69" t="str">
        <f>IF($B377="","",PMT(Rate,Nper,-PV,,Type))</f>
        <v/>
      </c>
      <c r="H377" s="69" t="str">
        <f>IF($B377="","",PPMT(Rate,ROWS($1:365),Nper,-PV,,Type))</f>
        <v/>
      </c>
      <c r="I377" s="69" t="str">
        <f>IF($B377="","",IPMT(Rate,ROWS($1:365),Nper,-PV,,Type))</f>
        <v/>
      </c>
      <c r="J377" s="73" t="str">
        <f t="shared" ref="J377:K377" si="367">IF($B377="","",N(J376)+N(H377))</f>
        <v/>
      </c>
      <c r="K377" s="74" t="str">
        <f t="shared" si="367"/>
        <v/>
      </c>
      <c r="L377" s="69" t="str">
        <f>IF($B377="","",PV-J377)</f>
        <v/>
      </c>
      <c r="M377" s="71" t="str">
        <f>IF($B377="","",J377/PV)</f>
        <v/>
      </c>
      <c r="N377" s="72" t="str">
        <f t="shared" si="4"/>
        <v/>
      </c>
    </row>
    <row r="378" ht="14.25" customHeight="1">
      <c r="B378" s="66" t="str">
        <f>IF(ROWS($1:366)&lt;=Nper,ROWS($1:366),"")</f>
        <v/>
      </c>
      <c r="C378" s="67" t="str">
        <f>IF($B378="","",IF($E$7="Weekly",Start_Date+7*(ROWS($1:366)-1),EDATE(Start_Date,VLOOKUP(IF(ASTemp!$E$7="","Monthly",ASTemp!$E$7),Parameters!$B$3:$D$6,3,0)*(ROWS($1:366)-1))))</f>
        <v/>
      </c>
      <c r="D378" s="68" t="str">
        <f t="shared" si="2"/>
        <v/>
      </c>
      <c r="E378" s="65" t="str">
        <f>IF($B378="","",VLOOKUP(MONTH(C378),Parameters!$F$2:$G$13,2,0))</f>
        <v/>
      </c>
      <c r="F378" s="69" t="str">
        <f>IF($B378="","",PV-N(J377))</f>
        <v/>
      </c>
      <c r="G378" s="69" t="str">
        <f>IF($B378="","",PMT(Rate,Nper,-PV,,Type))</f>
        <v/>
      </c>
      <c r="H378" s="69" t="str">
        <f>IF($B378="","",PPMT(Rate,ROWS($1:366),Nper,-PV,,Type))</f>
        <v/>
      </c>
      <c r="I378" s="69" t="str">
        <f>IF($B378="","",IPMT(Rate,ROWS($1:366),Nper,-PV,,Type))</f>
        <v/>
      </c>
      <c r="J378" s="73" t="str">
        <f t="shared" ref="J378:K378" si="368">IF($B378="","",N(J377)+N(H378))</f>
        <v/>
      </c>
      <c r="K378" s="74" t="str">
        <f t="shared" si="368"/>
        <v/>
      </c>
      <c r="L378" s="69" t="str">
        <f>IF($B378="","",PV-J378)</f>
        <v/>
      </c>
      <c r="M378" s="71" t="str">
        <f>IF($B378="","",J378/PV)</f>
        <v/>
      </c>
      <c r="N378" s="72" t="str">
        <f t="shared" si="4"/>
        <v/>
      </c>
    </row>
    <row r="379" ht="14.25" customHeight="1">
      <c r="B379" s="66" t="str">
        <f>IF(ROWS($1:367)&lt;=Nper,ROWS($1:367),"")</f>
        <v/>
      </c>
      <c r="C379" s="67" t="str">
        <f>IF($B379="","",IF($E$7="Weekly",Start_Date+7*(ROWS($1:367)-1),EDATE(Start_Date,VLOOKUP(IF(ASTemp!$E$7="","Monthly",ASTemp!$E$7),Parameters!$B$3:$D$6,3,0)*(ROWS($1:367)-1))))</f>
        <v/>
      </c>
      <c r="D379" s="68" t="str">
        <f t="shared" si="2"/>
        <v/>
      </c>
      <c r="E379" s="65" t="str">
        <f>IF($B379="","",VLOOKUP(MONTH(C379),Parameters!$F$2:$G$13,2,0))</f>
        <v/>
      </c>
      <c r="F379" s="69" t="str">
        <f>IF($B379="","",PV-N(J378))</f>
        <v/>
      </c>
      <c r="G379" s="69" t="str">
        <f>IF($B379="","",PMT(Rate,Nper,-PV,,Type))</f>
        <v/>
      </c>
      <c r="H379" s="69" t="str">
        <f>IF($B379="","",PPMT(Rate,ROWS($1:367),Nper,-PV,,Type))</f>
        <v/>
      </c>
      <c r="I379" s="69" t="str">
        <f>IF($B379="","",IPMT(Rate,ROWS($1:367),Nper,-PV,,Type))</f>
        <v/>
      </c>
      <c r="J379" s="73" t="str">
        <f t="shared" ref="J379:K379" si="369">IF($B379="","",N(J378)+N(H379))</f>
        <v/>
      </c>
      <c r="K379" s="74" t="str">
        <f t="shared" si="369"/>
        <v/>
      </c>
      <c r="L379" s="69" t="str">
        <f>IF($B379="","",PV-J379)</f>
        <v/>
      </c>
      <c r="M379" s="71" t="str">
        <f>IF($B379="","",J379/PV)</f>
        <v/>
      </c>
      <c r="N379" s="72" t="str">
        <f t="shared" si="4"/>
        <v/>
      </c>
    </row>
    <row r="380" ht="14.25" customHeight="1">
      <c r="B380" s="66" t="str">
        <f>IF(ROWS($1:368)&lt;=Nper,ROWS($1:368),"")</f>
        <v/>
      </c>
      <c r="C380" s="67" t="str">
        <f>IF($B380="","",IF($E$7="Weekly",Start_Date+7*(ROWS($1:368)-1),EDATE(Start_Date,VLOOKUP(IF(ASTemp!$E$7="","Monthly",ASTemp!$E$7),Parameters!$B$3:$D$6,3,0)*(ROWS($1:368)-1))))</f>
        <v/>
      </c>
      <c r="D380" s="68" t="str">
        <f t="shared" si="2"/>
        <v/>
      </c>
      <c r="E380" s="65" t="str">
        <f>IF($B380="","",VLOOKUP(MONTH(C380),Parameters!$F$2:$G$13,2,0))</f>
        <v/>
      </c>
      <c r="F380" s="69" t="str">
        <f>IF($B380="","",PV-N(J379))</f>
        <v/>
      </c>
      <c r="G380" s="69" t="str">
        <f>IF($B380="","",PMT(Rate,Nper,-PV,,Type))</f>
        <v/>
      </c>
      <c r="H380" s="69" t="str">
        <f>IF($B380="","",PPMT(Rate,ROWS($1:368),Nper,-PV,,Type))</f>
        <v/>
      </c>
      <c r="I380" s="69" t="str">
        <f>IF($B380="","",IPMT(Rate,ROWS($1:368),Nper,-PV,,Type))</f>
        <v/>
      </c>
      <c r="J380" s="73" t="str">
        <f t="shared" ref="J380:K380" si="370">IF($B380="","",N(J379)+N(H380))</f>
        <v/>
      </c>
      <c r="K380" s="74" t="str">
        <f t="shared" si="370"/>
        <v/>
      </c>
      <c r="L380" s="69" t="str">
        <f>IF($B380="","",PV-J380)</f>
        <v/>
      </c>
      <c r="M380" s="71" t="str">
        <f>IF($B380="","",J380/PV)</f>
        <v/>
      </c>
      <c r="N380" s="72" t="str">
        <f t="shared" si="4"/>
        <v/>
      </c>
    </row>
    <row r="381" ht="14.25" customHeight="1">
      <c r="B381" s="66" t="str">
        <f>IF(ROWS($1:369)&lt;=Nper,ROWS($1:369),"")</f>
        <v/>
      </c>
      <c r="C381" s="67" t="str">
        <f>IF($B381="","",IF($E$7="Weekly",Start_Date+7*(ROWS($1:369)-1),EDATE(Start_Date,VLOOKUP(IF(ASTemp!$E$7="","Monthly",ASTemp!$E$7),Parameters!$B$3:$D$6,3,0)*(ROWS($1:369)-1))))</f>
        <v/>
      </c>
      <c r="D381" s="68" t="str">
        <f t="shared" si="2"/>
        <v/>
      </c>
      <c r="E381" s="65" t="str">
        <f>IF($B381="","",VLOOKUP(MONTH(C381),Parameters!$F$2:$G$13,2,0))</f>
        <v/>
      </c>
      <c r="F381" s="69" t="str">
        <f>IF($B381="","",PV-N(J380))</f>
        <v/>
      </c>
      <c r="G381" s="69" t="str">
        <f>IF($B381="","",PMT(Rate,Nper,-PV,,Type))</f>
        <v/>
      </c>
      <c r="H381" s="69" t="str">
        <f>IF($B381="","",PPMT(Rate,ROWS($1:369),Nper,-PV,,Type))</f>
        <v/>
      </c>
      <c r="I381" s="69" t="str">
        <f>IF($B381="","",IPMT(Rate,ROWS($1:369),Nper,-PV,,Type))</f>
        <v/>
      </c>
      <c r="J381" s="73" t="str">
        <f t="shared" ref="J381:K381" si="371">IF($B381="","",N(J380)+N(H381))</f>
        <v/>
      </c>
      <c r="K381" s="74" t="str">
        <f t="shared" si="371"/>
        <v/>
      </c>
      <c r="L381" s="69" t="str">
        <f>IF($B381="","",PV-J381)</f>
        <v/>
      </c>
      <c r="M381" s="71" t="str">
        <f>IF($B381="","",J381/PV)</f>
        <v/>
      </c>
      <c r="N381" s="72" t="str">
        <f t="shared" si="4"/>
        <v/>
      </c>
    </row>
    <row r="382" ht="14.25" customHeight="1">
      <c r="B382" s="66" t="str">
        <f>IF(ROWS($1:370)&lt;=Nper,ROWS($1:370),"")</f>
        <v/>
      </c>
      <c r="C382" s="67" t="str">
        <f>IF($B382="","",IF($E$7="Weekly",Start_Date+7*(ROWS($1:370)-1),EDATE(Start_Date,VLOOKUP(IF(ASTemp!$E$7="","Monthly",ASTemp!$E$7),Parameters!$B$3:$D$6,3,0)*(ROWS($1:370)-1))))</f>
        <v/>
      </c>
      <c r="D382" s="68" t="str">
        <f t="shared" si="2"/>
        <v/>
      </c>
      <c r="E382" s="65" t="str">
        <f>IF($B382="","",VLOOKUP(MONTH(C382),Parameters!$F$2:$G$13,2,0))</f>
        <v/>
      </c>
      <c r="F382" s="69" t="str">
        <f>IF($B382="","",PV-N(J381))</f>
        <v/>
      </c>
      <c r="G382" s="69" t="str">
        <f>IF($B382="","",PMT(Rate,Nper,-PV,,Type))</f>
        <v/>
      </c>
      <c r="H382" s="69" t="str">
        <f>IF($B382="","",PPMT(Rate,ROWS($1:370),Nper,-PV,,Type))</f>
        <v/>
      </c>
      <c r="I382" s="69" t="str">
        <f>IF($B382="","",IPMT(Rate,ROWS($1:370),Nper,-PV,,Type))</f>
        <v/>
      </c>
      <c r="J382" s="73" t="str">
        <f t="shared" ref="J382:K382" si="372">IF($B382="","",N(J381)+N(H382))</f>
        <v/>
      </c>
      <c r="K382" s="74" t="str">
        <f t="shared" si="372"/>
        <v/>
      </c>
      <c r="L382" s="69" t="str">
        <f>IF($B382="","",PV-J382)</f>
        <v/>
      </c>
      <c r="M382" s="71" t="str">
        <f>IF($B382="","",J382/PV)</f>
        <v/>
      </c>
      <c r="N382" s="72" t="str">
        <f t="shared" si="4"/>
        <v/>
      </c>
    </row>
    <row r="383" ht="14.25" customHeight="1">
      <c r="B383" s="66" t="str">
        <f>IF(ROWS($1:371)&lt;=Nper,ROWS($1:371),"")</f>
        <v/>
      </c>
      <c r="C383" s="67" t="str">
        <f>IF($B383="","",IF($E$7="Weekly",Start_Date+7*(ROWS($1:371)-1),EDATE(Start_Date,VLOOKUP(IF(ASTemp!$E$7="","Monthly",ASTemp!$E$7),Parameters!$B$3:$D$6,3,0)*(ROWS($1:371)-1))))</f>
        <v/>
      </c>
      <c r="D383" s="68" t="str">
        <f t="shared" si="2"/>
        <v/>
      </c>
      <c r="E383" s="65" t="str">
        <f>IF($B383="","",VLOOKUP(MONTH(C383),Parameters!$F$2:$G$13,2,0))</f>
        <v/>
      </c>
      <c r="F383" s="69" t="str">
        <f>IF($B383="","",PV-N(J382))</f>
        <v/>
      </c>
      <c r="G383" s="69" t="str">
        <f>IF($B383="","",PMT(Rate,Nper,-PV,,Type))</f>
        <v/>
      </c>
      <c r="H383" s="69" t="str">
        <f>IF($B383="","",PPMT(Rate,ROWS($1:371),Nper,-PV,,Type))</f>
        <v/>
      </c>
      <c r="I383" s="69" t="str">
        <f>IF($B383="","",IPMT(Rate,ROWS($1:371),Nper,-PV,,Type))</f>
        <v/>
      </c>
      <c r="J383" s="73" t="str">
        <f t="shared" ref="J383:K383" si="373">IF($B383="","",N(J382)+N(H383))</f>
        <v/>
      </c>
      <c r="K383" s="74" t="str">
        <f t="shared" si="373"/>
        <v/>
      </c>
      <c r="L383" s="69" t="str">
        <f>IF($B383="","",PV-J383)</f>
        <v/>
      </c>
      <c r="M383" s="71" t="str">
        <f>IF($B383="","",J383/PV)</f>
        <v/>
      </c>
      <c r="N383" s="72" t="str">
        <f t="shared" si="4"/>
        <v/>
      </c>
    </row>
    <row r="384" ht="14.25" customHeight="1">
      <c r="B384" s="66" t="str">
        <f>IF(ROWS($1:372)&lt;=Nper,ROWS($1:372),"")</f>
        <v/>
      </c>
      <c r="C384" s="67" t="str">
        <f>IF($B384="","",IF($E$7="Weekly",Start_Date+7*(ROWS($1:372)-1),EDATE(Start_Date,VLOOKUP(IF(ASTemp!$E$7="","Monthly",ASTemp!$E$7),Parameters!$B$3:$D$6,3,0)*(ROWS($1:372)-1))))</f>
        <v/>
      </c>
      <c r="D384" s="68" t="str">
        <f t="shared" si="2"/>
        <v/>
      </c>
      <c r="E384" s="65" t="str">
        <f>IF($B384="","",VLOOKUP(MONTH(C384),Parameters!$F$2:$G$13,2,0))</f>
        <v/>
      </c>
      <c r="F384" s="69" t="str">
        <f>IF($B384="","",PV-N(J383))</f>
        <v/>
      </c>
      <c r="G384" s="69" t="str">
        <f>IF($B384="","",PMT(Rate,Nper,-PV,,Type))</f>
        <v/>
      </c>
      <c r="H384" s="69" t="str">
        <f>IF($B384="","",PPMT(Rate,ROWS($1:372),Nper,-PV,,Type))</f>
        <v/>
      </c>
      <c r="I384" s="69" t="str">
        <f>IF($B384="","",IPMT(Rate,ROWS($1:372),Nper,-PV,,Type))</f>
        <v/>
      </c>
      <c r="J384" s="73" t="str">
        <f t="shared" ref="J384:K384" si="374">IF($B384="","",N(J383)+N(H384))</f>
        <v/>
      </c>
      <c r="K384" s="74" t="str">
        <f t="shared" si="374"/>
        <v/>
      </c>
      <c r="L384" s="69" t="str">
        <f>IF($B384="","",PV-J384)</f>
        <v/>
      </c>
      <c r="M384" s="71" t="str">
        <f>IF($B384="","",J384/PV)</f>
        <v/>
      </c>
      <c r="N384" s="72" t="str">
        <f t="shared" si="4"/>
        <v/>
      </c>
    </row>
    <row r="385" ht="14.25" customHeight="1">
      <c r="B385" s="66" t="str">
        <f>IF(ROWS($1:373)&lt;=Nper,ROWS($1:373),"")</f>
        <v/>
      </c>
      <c r="C385" s="67" t="str">
        <f>IF($B385="","",IF($E$7="Weekly",Start_Date+7*(ROWS($1:373)-1),EDATE(Start_Date,VLOOKUP(IF(ASTemp!$E$7="","Monthly",ASTemp!$E$7),Parameters!$B$3:$D$6,3,0)*(ROWS($1:373)-1))))</f>
        <v/>
      </c>
      <c r="D385" s="68" t="str">
        <f t="shared" si="2"/>
        <v/>
      </c>
      <c r="E385" s="65" t="str">
        <f>IF($B385="","",VLOOKUP(MONTH(C385),Parameters!$F$2:$G$13,2,0))</f>
        <v/>
      </c>
      <c r="F385" s="69" t="str">
        <f>IF($B385="","",PV-N(J384))</f>
        <v/>
      </c>
      <c r="G385" s="69" t="str">
        <f>IF($B385="","",PMT(Rate,Nper,-PV,,Type))</f>
        <v/>
      </c>
      <c r="H385" s="69" t="str">
        <f>IF($B385="","",PPMT(Rate,ROWS($1:373),Nper,-PV,,Type))</f>
        <v/>
      </c>
      <c r="I385" s="69" t="str">
        <f>IF($B385="","",IPMT(Rate,ROWS($1:373),Nper,-PV,,Type))</f>
        <v/>
      </c>
      <c r="J385" s="73" t="str">
        <f t="shared" ref="J385:K385" si="375">IF($B385="","",N(J384)+N(H385))</f>
        <v/>
      </c>
      <c r="K385" s="74" t="str">
        <f t="shared" si="375"/>
        <v/>
      </c>
      <c r="L385" s="69" t="str">
        <f>IF($B385="","",PV-J385)</f>
        <v/>
      </c>
      <c r="M385" s="71" t="str">
        <f>IF($B385="","",J385/PV)</f>
        <v/>
      </c>
      <c r="N385" s="72" t="str">
        <f t="shared" si="4"/>
        <v/>
      </c>
    </row>
    <row r="386" ht="14.25" customHeight="1">
      <c r="B386" s="66" t="str">
        <f>IF(ROWS($1:374)&lt;=Nper,ROWS($1:374),"")</f>
        <v/>
      </c>
      <c r="C386" s="67" t="str">
        <f>IF($B386="","",IF($E$7="Weekly",Start_Date+7*(ROWS($1:374)-1),EDATE(Start_Date,VLOOKUP(IF(ASTemp!$E$7="","Monthly",ASTemp!$E$7),Parameters!$B$3:$D$6,3,0)*(ROWS($1:374)-1))))</f>
        <v/>
      </c>
      <c r="D386" s="68" t="str">
        <f t="shared" si="2"/>
        <v/>
      </c>
      <c r="E386" s="65" t="str">
        <f>IF($B386="","",VLOOKUP(MONTH(C386),Parameters!$F$2:$G$13,2,0))</f>
        <v/>
      </c>
      <c r="F386" s="69" t="str">
        <f>IF($B386="","",PV-N(J385))</f>
        <v/>
      </c>
      <c r="G386" s="69" t="str">
        <f>IF($B386="","",PMT(Rate,Nper,-PV,,Type))</f>
        <v/>
      </c>
      <c r="H386" s="69" t="str">
        <f>IF($B386="","",PPMT(Rate,ROWS($1:374),Nper,-PV,,Type))</f>
        <v/>
      </c>
      <c r="I386" s="69" t="str">
        <f>IF($B386="","",IPMT(Rate,ROWS($1:374),Nper,-PV,,Type))</f>
        <v/>
      </c>
      <c r="J386" s="73" t="str">
        <f t="shared" ref="J386:K386" si="376">IF($B386="","",N(J385)+N(H386))</f>
        <v/>
      </c>
      <c r="K386" s="74" t="str">
        <f t="shared" si="376"/>
        <v/>
      </c>
      <c r="L386" s="69" t="str">
        <f>IF($B386="","",PV-J386)</f>
        <v/>
      </c>
      <c r="M386" s="71" t="str">
        <f>IF($B386="","",J386/PV)</f>
        <v/>
      </c>
      <c r="N386" s="72" t="str">
        <f t="shared" si="4"/>
        <v/>
      </c>
    </row>
    <row r="387" ht="14.25" customHeight="1">
      <c r="B387" s="66" t="str">
        <f>IF(ROWS($1:375)&lt;=Nper,ROWS($1:375),"")</f>
        <v/>
      </c>
      <c r="C387" s="67" t="str">
        <f>IF($B387="","",IF($E$7="Weekly",Start_Date+7*(ROWS($1:375)-1),EDATE(Start_Date,VLOOKUP(IF(ASTemp!$E$7="","Monthly",ASTemp!$E$7),Parameters!$B$3:$D$6,3,0)*(ROWS($1:375)-1))))</f>
        <v/>
      </c>
      <c r="D387" s="68" t="str">
        <f t="shared" si="2"/>
        <v/>
      </c>
      <c r="E387" s="65" t="str">
        <f>IF($B387="","",VLOOKUP(MONTH(C387),Parameters!$F$2:$G$13,2,0))</f>
        <v/>
      </c>
      <c r="F387" s="69" t="str">
        <f>IF($B387="","",PV-N(J386))</f>
        <v/>
      </c>
      <c r="G387" s="69" t="str">
        <f>IF($B387="","",PMT(Rate,Nper,-PV,,Type))</f>
        <v/>
      </c>
      <c r="H387" s="69" t="str">
        <f>IF($B387="","",PPMT(Rate,ROWS($1:375),Nper,-PV,,Type))</f>
        <v/>
      </c>
      <c r="I387" s="69" t="str">
        <f>IF($B387="","",IPMT(Rate,ROWS($1:375),Nper,-PV,,Type))</f>
        <v/>
      </c>
      <c r="J387" s="73" t="str">
        <f t="shared" ref="J387:K387" si="377">IF($B387="","",N(J386)+N(H387))</f>
        <v/>
      </c>
      <c r="K387" s="74" t="str">
        <f t="shared" si="377"/>
        <v/>
      </c>
      <c r="L387" s="69" t="str">
        <f>IF($B387="","",PV-J387)</f>
        <v/>
      </c>
      <c r="M387" s="71" t="str">
        <f>IF($B387="","",J387/PV)</f>
        <v/>
      </c>
      <c r="N387" s="72" t="str">
        <f t="shared" si="4"/>
        <v/>
      </c>
    </row>
    <row r="388" ht="14.25" customHeight="1">
      <c r="B388" s="66" t="str">
        <f>IF(ROWS($1:376)&lt;=Nper,ROWS($1:376),"")</f>
        <v/>
      </c>
      <c r="C388" s="67" t="str">
        <f>IF($B388="","",IF($E$7="Weekly",Start_Date+7*(ROWS($1:376)-1),EDATE(Start_Date,VLOOKUP(IF(ASTemp!$E$7="","Monthly",ASTemp!$E$7),Parameters!$B$3:$D$6,3,0)*(ROWS($1:376)-1))))</f>
        <v/>
      </c>
      <c r="D388" s="68" t="str">
        <f t="shared" si="2"/>
        <v/>
      </c>
      <c r="E388" s="65" t="str">
        <f>IF($B388="","",VLOOKUP(MONTH(C388),Parameters!$F$2:$G$13,2,0))</f>
        <v/>
      </c>
      <c r="F388" s="69" t="str">
        <f>IF($B388="","",PV-N(J387))</f>
        <v/>
      </c>
      <c r="G388" s="69" t="str">
        <f>IF($B388="","",PMT(Rate,Nper,-PV,,Type))</f>
        <v/>
      </c>
      <c r="H388" s="69" t="str">
        <f>IF($B388="","",PPMT(Rate,ROWS($1:376),Nper,-PV,,Type))</f>
        <v/>
      </c>
      <c r="I388" s="69" t="str">
        <f>IF($B388="","",IPMT(Rate,ROWS($1:376),Nper,-PV,,Type))</f>
        <v/>
      </c>
      <c r="J388" s="73" t="str">
        <f t="shared" ref="J388:K388" si="378">IF($B388="","",N(J387)+N(H388))</f>
        <v/>
      </c>
      <c r="K388" s="74" t="str">
        <f t="shared" si="378"/>
        <v/>
      </c>
      <c r="L388" s="69" t="str">
        <f>IF($B388="","",PV-J388)</f>
        <v/>
      </c>
      <c r="M388" s="71" t="str">
        <f>IF($B388="","",J388/PV)</f>
        <v/>
      </c>
      <c r="N388" s="72" t="str">
        <f t="shared" si="4"/>
        <v/>
      </c>
    </row>
    <row r="389" ht="14.25" customHeight="1">
      <c r="B389" s="66" t="str">
        <f>IF(ROWS($1:377)&lt;=Nper,ROWS($1:377),"")</f>
        <v/>
      </c>
      <c r="C389" s="67" t="str">
        <f>IF($B389="","",IF($E$7="Weekly",Start_Date+7*(ROWS($1:377)-1),EDATE(Start_Date,VLOOKUP(IF(ASTemp!$E$7="","Monthly",ASTemp!$E$7),Parameters!$B$3:$D$6,3,0)*(ROWS($1:377)-1))))</f>
        <v/>
      </c>
      <c r="D389" s="68" t="str">
        <f t="shared" si="2"/>
        <v/>
      </c>
      <c r="E389" s="65" t="str">
        <f>IF($B389="","",VLOOKUP(MONTH(C389),Parameters!$F$2:$G$13,2,0))</f>
        <v/>
      </c>
      <c r="F389" s="69" t="str">
        <f>IF($B389="","",PV-N(J388))</f>
        <v/>
      </c>
      <c r="G389" s="69" t="str">
        <f>IF($B389="","",PMT(Rate,Nper,-PV,,Type))</f>
        <v/>
      </c>
      <c r="H389" s="69" t="str">
        <f>IF($B389="","",PPMT(Rate,ROWS($1:377),Nper,-PV,,Type))</f>
        <v/>
      </c>
      <c r="I389" s="69" t="str">
        <f>IF($B389="","",IPMT(Rate,ROWS($1:377),Nper,-PV,,Type))</f>
        <v/>
      </c>
      <c r="J389" s="73" t="str">
        <f t="shared" ref="J389:K389" si="379">IF($B389="","",N(J388)+N(H389))</f>
        <v/>
      </c>
      <c r="K389" s="74" t="str">
        <f t="shared" si="379"/>
        <v/>
      </c>
      <c r="L389" s="69" t="str">
        <f>IF($B389="","",PV-J389)</f>
        <v/>
      </c>
      <c r="M389" s="71" t="str">
        <f>IF($B389="","",J389/PV)</f>
        <v/>
      </c>
      <c r="N389" s="72" t="str">
        <f t="shared" si="4"/>
        <v/>
      </c>
    </row>
    <row r="390" ht="14.25" customHeight="1">
      <c r="B390" s="66" t="str">
        <f>IF(ROWS($1:378)&lt;=Nper,ROWS($1:378),"")</f>
        <v/>
      </c>
      <c r="C390" s="67" t="str">
        <f>IF($B390="","",IF($E$7="Weekly",Start_Date+7*(ROWS($1:378)-1),EDATE(Start_Date,VLOOKUP(IF(ASTemp!$E$7="","Monthly",ASTemp!$E$7),Parameters!$B$3:$D$6,3,0)*(ROWS($1:378)-1))))</f>
        <v/>
      </c>
      <c r="D390" s="68" t="str">
        <f t="shared" si="2"/>
        <v/>
      </c>
      <c r="E390" s="65" t="str">
        <f>IF($B390="","",VLOOKUP(MONTH(C390),Parameters!$F$2:$G$13,2,0))</f>
        <v/>
      </c>
      <c r="F390" s="69" t="str">
        <f>IF($B390="","",PV-N(J389))</f>
        <v/>
      </c>
      <c r="G390" s="69" t="str">
        <f>IF($B390="","",PMT(Rate,Nper,-PV,,Type))</f>
        <v/>
      </c>
      <c r="H390" s="69" t="str">
        <f>IF($B390="","",PPMT(Rate,ROWS($1:378),Nper,-PV,,Type))</f>
        <v/>
      </c>
      <c r="I390" s="69" t="str">
        <f>IF($B390="","",IPMT(Rate,ROWS($1:378),Nper,-PV,,Type))</f>
        <v/>
      </c>
      <c r="J390" s="73" t="str">
        <f t="shared" ref="J390:K390" si="380">IF($B390="","",N(J389)+N(H390))</f>
        <v/>
      </c>
      <c r="K390" s="74" t="str">
        <f t="shared" si="380"/>
        <v/>
      </c>
      <c r="L390" s="69" t="str">
        <f>IF($B390="","",PV-J390)</f>
        <v/>
      </c>
      <c r="M390" s="71" t="str">
        <f>IF($B390="","",J390/PV)</f>
        <v/>
      </c>
      <c r="N390" s="72" t="str">
        <f t="shared" si="4"/>
        <v/>
      </c>
    </row>
    <row r="391" ht="14.25" customHeight="1">
      <c r="B391" s="66" t="str">
        <f>IF(ROWS($1:379)&lt;=Nper,ROWS($1:379),"")</f>
        <v/>
      </c>
      <c r="C391" s="67" t="str">
        <f>IF($B391="","",IF($E$7="Weekly",Start_Date+7*(ROWS($1:379)-1),EDATE(Start_Date,VLOOKUP(IF(ASTemp!$E$7="","Monthly",ASTemp!$E$7),Parameters!$B$3:$D$6,3,0)*(ROWS($1:379)-1))))</f>
        <v/>
      </c>
      <c r="D391" s="68" t="str">
        <f t="shared" si="2"/>
        <v/>
      </c>
      <c r="E391" s="65" t="str">
        <f>IF($B391="","",VLOOKUP(MONTH(C391),Parameters!$F$2:$G$13,2,0))</f>
        <v/>
      </c>
      <c r="F391" s="69" t="str">
        <f>IF($B391="","",PV-N(J390))</f>
        <v/>
      </c>
      <c r="G391" s="69" t="str">
        <f>IF($B391="","",PMT(Rate,Nper,-PV,,Type))</f>
        <v/>
      </c>
      <c r="H391" s="69" t="str">
        <f>IF($B391="","",PPMT(Rate,ROWS($1:379),Nper,-PV,,Type))</f>
        <v/>
      </c>
      <c r="I391" s="69" t="str">
        <f>IF($B391="","",IPMT(Rate,ROWS($1:379),Nper,-PV,,Type))</f>
        <v/>
      </c>
      <c r="J391" s="73" t="str">
        <f t="shared" ref="J391:K391" si="381">IF($B391="","",N(J390)+N(H391))</f>
        <v/>
      </c>
      <c r="K391" s="74" t="str">
        <f t="shared" si="381"/>
        <v/>
      </c>
      <c r="L391" s="69" t="str">
        <f>IF($B391="","",PV-J391)</f>
        <v/>
      </c>
      <c r="M391" s="71" t="str">
        <f>IF($B391="","",J391/PV)</f>
        <v/>
      </c>
      <c r="N391" s="72" t="str">
        <f t="shared" si="4"/>
        <v/>
      </c>
    </row>
    <row r="392" ht="14.25" customHeight="1">
      <c r="B392" s="66" t="str">
        <f>IF(ROWS($1:380)&lt;=Nper,ROWS($1:380),"")</f>
        <v/>
      </c>
      <c r="C392" s="67" t="str">
        <f>IF($B392="","",IF($E$7="Weekly",Start_Date+7*(ROWS($1:380)-1),EDATE(Start_Date,VLOOKUP(IF(ASTemp!$E$7="","Monthly",ASTemp!$E$7),Parameters!$B$3:$D$6,3,0)*(ROWS($1:380)-1))))</f>
        <v/>
      </c>
      <c r="D392" s="68" t="str">
        <f t="shared" si="2"/>
        <v/>
      </c>
      <c r="E392" s="65" t="str">
        <f>IF($B392="","",VLOOKUP(MONTH(C392),Parameters!$F$2:$G$13,2,0))</f>
        <v/>
      </c>
      <c r="F392" s="69" t="str">
        <f>IF($B392="","",PV-N(J391))</f>
        <v/>
      </c>
      <c r="G392" s="69" t="str">
        <f>IF($B392="","",PMT(Rate,Nper,-PV,,Type))</f>
        <v/>
      </c>
      <c r="H392" s="69" t="str">
        <f>IF($B392="","",PPMT(Rate,ROWS($1:380),Nper,-PV,,Type))</f>
        <v/>
      </c>
      <c r="I392" s="69" t="str">
        <f>IF($B392="","",IPMT(Rate,ROWS($1:380),Nper,-PV,,Type))</f>
        <v/>
      </c>
      <c r="J392" s="73" t="str">
        <f t="shared" ref="J392:K392" si="382">IF($B392="","",N(J391)+N(H392))</f>
        <v/>
      </c>
      <c r="K392" s="74" t="str">
        <f t="shared" si="382"/>
        <v/>
      </c>
      <c r="L392" s="69" t="str">
        <f>IF($B392="","",PV-J392)</f>
        <v/>
      </c>
      <c r="M392" s="71" t="str">
        <f>IF($B392="","",J392/PV)</f>
        <v/>
      </c>
      <c r="N392" s="72" t="str">
        <f t="shared" si="4"/>
        <v/>
      </c>
    </row>
    <row r="393" ht="14.25" customHeight="1">
      <c r="B393" s="66" t="str">
        <f>IF(ROWS($1:381)&lt;=Nper,ROWS($1:381),"")</f>
        <v/>
      </c>
      <c r="C393" s="67" t="str">
        <f>IF($B393="","",IF($E$7="Weekly",Start_Date+7*(ROWS($1:381)-1),EDATE(Start_Date,VLOOKUP(IF(ASTemp!$E$7="","Monthly",ASTemp!$E$7),Parameters!$B$3:$D$6,3,0)*(ROWS($1:381)-1))))</f>
        <v/>
      </c>
      <c r="D393" s="68" t="str">
        <f t="shared" si="2"/>
        <v/>
      </c>
      <c r="E393" s="65" t="str">
        <f>IF($B393="","",VLOOKUP(MONTH(C393),Parameters!$F$2:$G$13,2,0))</f>
        <v/>
      </c>
      <c r="F393" s="69" t="str">
        <f>IF($B393="","",PV-N(J392))</f>
        <v/>
      </c>
      <c r="G393" s="69" t="str">
        <f>IF($B393="","",PMT(Rate,Nper,-PV,,Type))</f>
        <v/>
      </c>
      <c r="H393" s="69" t="str">
        <f>IF($B393="","",PPMT(Rate,ROWS($1:381),Nper,-PV,,Type))</f>
        <v/>
      </c>
      <c r="I393" s="69" t="str">
        <f>IF($B393="","",IPMT(Rate,ROWS($1:381),Nper,-PV,,Type))</f>
        <v/>
      </c>
      <c r="J393" s="73" t="str">
        <f t="shared" ref="J393:K393" si="383">IF($B393="","",N(J392)+N(H393))</f>
        <v/>
      </c>
      <c r="K393" s="74" t="str">
        <f t="shared" si="383"/>
        <v/>
      </c>
      <c r="L393" s="69" t="str">
        <f>IF($B393="","",PV-J393)</f>
        <v/>
      </c>
      <c r="M393" s="71" t="str">
        <f>IF($B393="","",J393/PV)</f>
        <v/>
      </c>
      <c r="N393" s="72" t="str">
        <f t="shared" si="4"/>
        <v/>
      </c>
    </row>
    <row r="394" ht="14.25" customHeight="1">
      <c r="B394" s="66" t="str">
        <f>IF(ROWS($1:382)&lt;=Nper,ROWS($1:382),"")</f>
        <v/>
      </c>
      <c r="C394" s="67" t="str">
        <f>IF($B394="","",IF($E$7="Weekly",Start_Date+7*(ROWS($1:382)-1),EDATE(Start_Date,VLOOKUP(IF(ASTemp!$E$7="","Monthly",ASTemp!$E$7),Parameters!$B$3:$D$6,3,0)*(ROWS($1:382)-1))))</f>
        <v/>
      </c>
      <c r="D394" s="68" t="str">
        <f t="shared" si="2"/>
        <v/>
      </c>
      <c r="E394" s="65" t="str">
        <f>IF($B394="","",VLOOKUP(MONTH(C394),Parameters!$F$2:$G$13,2,0))</f>
        <v/>
      </c>
      <c r="F394" s="69" t="str">
        <f>IF($B394="","",PV-N(J393))</f>
        <v/>
      </c>
      <c r="G394" s="69" t="str">
        <f>IF($B394="","",PMT(Rate,Nper,-PV,,Type))</f>
        <v/>
      </c>
      <c r="H394" s="69" t="str">
        <f>IF($B394="","",PPMT(Rate,ROWS($1:382),Nper,-PV,,Type))</f>
        <v/>
      </c>
      <c r="I394" s="69" t="str">
        <f>IF($B394="","",IPMT(Rate,ROWS($1:382),Nper,-PV,,Type))</f>
        <v/>
      </c>
      <c r="J394" s="73" t="str">
        <f t="shared" ref="J394:K394" si="384">IF($B394="","",N(J393)+N(H394))</f>
        <v/>
      </c>
      <c r="K394" s="74" t="str">
        <f t="shared" si="384"/>
        <v/>
      </c>
      <c r="L394" s="69" t="str">
        <f>IF($B394="","",PV-J394)</f>
        <v/>
      </c>
      <c r="M394" s="71" t="str">
        <f>IF($B394="","",J394/PV)</f>
        <v/>
      </c>
      <c r="N394" s="72" t="str">
        <f t="shared" si="4"/>
        <v/>
      </c>
    </row>
    <row r="395" ht="14.25" customHeight="1">
      <c r="B395" s="66" t="str">
        <f>IF(ROWS($1:383)&lt;=Nper,ROWS($1:383),"")</f>
        <v/>
      </c>
      <c r="C395" s="67" t="str">
        <f>IF($B395="","",IF($E$7="Weekly",Start_Date+7*(ROWS($1:383)-1),EDATE(Start_Date,VLOOKUP(IF(ASTemp!$E$7="","Monthly",ASTemp!$E$7),Parameters!$B$3:$D$6,3,0)*(ROWS($1:383)-1))))</f>
        <v/>
      </c>
      <c r="D395" s="68" t="str">
        <f t="shared" si="2"/>
        <v/>
      </c>
      <c r="E395" s="65" t="str">
        <f>IF($B395="","",VLOOKUP(MONTH(C395),Parameters!$F$2:$G$13,2,0))</f>
        <v/>
      </c>
      <c r="F395" s="69" t="str">
        <f>IF($B395="","",PV-N(J394))</f>
        <v/>
      </c>
      <c r="G395" s="69" t="str">
        <f>IF($B395="","",PMT(Rate,Nper,-PV,,Type))</f>
        <v/>
      </c>
      <c r="H395" s="69" t="str">
        <f>IF($B395="","",PPMT(Rate,ROWS($1:383),Nper,-PV,,Type))</f>
        <v/>
      </c>
      <c r="I395" s="69" t="str">
        <f>IF($B395="","",IPMT(Rate,ROWS($1:383),Nper,-PV,,Type))</f>
        <v/>
      </c>
      <c r="J395" s="73" t="str">
        <f t="shared" ref="J395:K395" si="385">IF($B395="","",N(J394)+N(H395))</f>
        <v/>
      </c>
      <c r="K395" s="74" t="str">
        <f t="shared" si="385"/>
        <v/>
      </c>
      <c r="L395" s="69" t="str">
        <f>IF($B395="","",PV-J395)</f>
        <v/>
      </c>
      <c r="M395" s="71" t="str">
        <f>IF($B395="","",J395/PV)</f>
        <v/>
      </c>
      <c r="N395" s="72" t="str">
        <f t="shared" si="4"/>
        <v/>
      </c>
    </row>
    <row r="396" ht="14.25" customHeight="1">
      <c r="B396" s="66" t="str">
        <f>IF(ROWS($1:384)&lt;=Nper,ROWS($1:384),"")</f>
        <v/>
      </c>
      <c r="C396" s="67" t="str">
        <f>IF($B396="","",IF($E$7="Weekly",Start_Date+7*(ROWS($1:384)-1),EDATE(Start_Date,VLOOKUP(IF(ASTemp!$E$7="","Monthly",ASTemp!$E$7),Parameters!$B$3:$D$6,3,0)*(ROWS($1:384)-1))))</f>
        <v/>
      </c>
      <c r="D396" s="68" t="str">
        <f t="shared" si="2"/>
        <v/>
      </c>
      <c r="E396" s="65" t="str">
        <f>IF($B396="","",VLOOKUP(MONTH(C396),Parameters!$F$2:$G$13,2,0))</f>
        <v/>
      </c>
      <c r="F396" s="69" t="str">
        <f>IF($B396="","",PV-N(J395))</f>
        <v/>
      </c>
      <c r="G396" s="69" t="str">
        <f>IF($B396="","",PMT(Rate,Nper,-PV,,Type))</f>
        <v/>
      </c>
      <c r="H396" s="69" t="str">
        <f>IF($B396="","",PPMT(Rate,ROWS($1:384),Nper,-PV,,Type))</f>
        <v/>
      </c>
      <c r="I396" s="69" t="str">
        <f>IF($B396="","",IPMT(Rate,ROWS($1:384),Nper,-PV,,Type))</f>
        <v/>
      </c>
      <c r="J396" s="73" t="str">
        <f t="shared" ref="J396:K396" si="386">IF($B396="","",N(J395)+N(H396))</f>
        <v/>
      </c>
      <c r="K396" s="74" t="str">
        <f t="shared" si="386"/>
        <v/>
      </c>
      <c r="L396" s="69" t="str">
        <f>IF($B396="","",PV-J396)</f>
        <v/>
      </c>
      <c r="M396" s="71" t="str">
        <f>IF($B396="","",J396/PV)</f>
        <v/>
      </c>
      <c r="N396" s="72" t="str">
        <f t="shared" si="4"/>
        <v/>
      </c>
    </row>
    <row r="397" ht="14.25" customHeight="1">
      <c r="B397" s="66" t="str">
        <f>IF(ROWS($1:385)&lt;=Nper,ROWS($1:385),"")</f>
        <v/>
      </c>
      <c r="C397" s="67" t="str">
        <f>IF($B397="","",IF($E$7="Weekly",Start_Date+7*(ROWS($1:385)-1),EDATE(Start_Date,VLOOKUP(IF(ASTemp!$E$7="","Monthly",ASTemp!$E$7),Parameters!$B$3:$D$6,3,0)*(ROWS($1:385)-1))))</f>
        <v/>
      </c>
      <c r="D397" s="68" t="str">
        <f t="shared" si="2"/>
        <v/>
      </c>
      <c r="E397" s="65" t="str">
        <f>IF($B397="","",VLOOKUP(MONTH(C397),Parameters!$F$2:$G$13,2,0))</f>
        <v/>
      </c>
      <c r="F397" s="69" t="str">
        <f>IF($B397="","",PV-N(J396))</f>
        <v/>
      </c>
      <c r="G397" s="69" t="str">
        <f>IF($B397="","",PMT(Rate,Nper,-PV,,Type))</f>
        <v/>
      </c>
      <c r="H397" s="69" t="str">
        <f>IF($B397="","",PPMT(Rate,ROWS($1:385),Nper,-PV,,Type))</f>
        <v/>
      </c>
      <c r="I397" s="69" t="str">
        <f>IF($B397="","",IPMT(Rate,ROWS($1:385),Nper,-PV,,Type))</f>
        <v/>
      </c>
      <c r="J397" s="73" t="str">
        <f t="shared" ref="J397:K397" si="387">IF($B397="","",N(J396)+N(H397))</f>
        <v/>
      </c>
      <c r="K397" s="74" t="str">
        <f t="shared" si="387"/>
        <v/>
      </c>
      <c r="L397" s="69" t="str">
        <f>IF($B397="","",PV-J397)</f>
        <v/>
      </c>
      <c r="M397" s="71" t="str">
        <f>IF($B397="","",J397/PV)</f>
        <v/>
      </c>
      <c r="N397" s="72" t="str">
        <f t="shared" si="4"/>
        <v/>
      </c>
    </row>
    <row r="398" ht="14.25" customHeight="1">
      <c r="B398" s="66" t="str">
        <f>IF(ROWS($1:386)&lt;=Nper,ROWS($1:386),"")</f>
        <v/>
      </c>
      <c r="C398" s="67" t="str">
        <f>IF($B398="","",IF($E$7="Weekly",Start_Date+7*(ROWS($1:386)-1),EDATE(Start_Date,VLOOKUP(IF(ASTemp!$E$7="","Monthly",ASTemp!$E$7),Parameters!$B$3:$D$6,3,0)*(ROWS($1:386)-1))))</f>
        <v/>
      </c>
      <c r="D398" s="68" t="str">
        <f t="shared" si="2"/>
        <v/>
      </c>
      <c r="E398" s="65" t="str">
        <f>IF($B398="","",VLOOKUP(MONTH(C398),Parameters!$F$2:$G$13,2,0))</f>
        <v/>
      </c>
      <c r="F398" s="69" t="str">
        <f>IF($B398="","",PV-N(J397))</f>
        <v/>
      </c>
      <c r="G398" s="69" t="str">
        <f>IF($B398="","",PMT(Rate,Nper,-PV,,Type))</f>
        <v/>
      </c>
      <c r="H398" s="69" t="str">
        <f>IF($B398="","",PPMT(Rate,ROWS($1:386),Nper,-PV,,Type))</f>
        <v/>
      </c>
      <c r="I398" s="69" t="str">
        <f>IF($B398="","",IPMT(Rate,ROWS($1:386),Nper,-PV,,Type))</f>
        <v/>
      </c>
      <c r="J398" s="73" t="str">
        <f t="shared" ref="J398:K398" si="388">IF($B398="","",N(J397)+N(H398))</f>
        <v/>
      </c>
      <c r="K398" s="74" t="str">
        <f t="shared" si="388"/>
        <v/>
      </c>
      <c r="L398" s="69" t="str">
        <f>IF($B398="","",PV-J398)</f>
        <v/>
      </c>
      <c r="M398" s="71" t="str">
        <f>IF($B398="","",J398/PV)</f>
        <v/>
      </c>
      <c r="N398" s="72" t="str">
        <f t="shared" si="4"/>
        <v/>
      </c>
    </row>
    <row r="399" ht="14.25" customHeight="1">
      <c r="B399" s="66" t="str">
        <f>IF(ROWS($1:387)&lt;=Nper,ROWS($1:387),"")</f>
        <v/>
      </c>
      <c r="C399" s="67" t="str">
        <f>IF($B399="","",IF($E$7="Weekly",Start_Date+7*(ROWS($1:387)-1),EDATE(Start_Date,VLOOKUP(IF(ASTemp!$E$7="","Monthly",ASTemp!$E$7),Parameters!$B$3:$D$6,3,0)*(ROWS($1:387)-1))))</f>
        <v/>
      </c>
      <c r="D399" s="68" t="str">
        <f t="shared" si="2"/>
        <v/>
      </c>
      <c r="E399" s="65" t="str">
        <f>IF($B399="","",VLOOKUP(MONTH(C399),Parameters!$F$2:$G$13,2,0))</f>
        <v/>
      </c>
      <c r="F399" s="69" t="str">
        <f>IF($B399="","",PV-N(J398))</f>
        <v/>
      </c>
      <c r="G399" s="69" t="str">
        <f>IF($B399="","",PMT(Rate,Nper,-PV,,Type))</f>
        <v/>
      </c>
      <c r="H399" s="69" t="str">
        <f>IF($B399="","",PPMT(Rate,ROWS($1:387),Nper,-PV,,Type))</f>
        <v/>
      </c>
      <c r="I399" s="69" t="str">
        <f>IF($B399="","",IPMT(Rate,ROWS($1:387),Nper,-PV,,Type))</f>
        <v/>
      </c>
      <c r="J399" s="73" t="str">
        <f t="shared" ref="J399:K399" si="389">IF($B399="","",N(J398)+N(H399))</f>
        <v/>
      </c>
      <c r="K399" s="74" t="str">
        <f t="shared" si="389"/>
        <v/>
      </c>
      <c r="L399" s="69" t="str">
        <f>IF($B399="","",PV-J399)</f>
        <v/>
      </c>
      <c r="M399" s="71" t="str">
        <f>IF($B399="","",J399/PV)</f>
        <v/>
      </c>
      <c r="N399" s="72" t="str">
        <f t="shared" si="4"/>
        <v/>
      </c>
    </row>
    <row r="400" ht="14.25" customHeight="1">
      <c r="B400" s="66" t="str">
        <f>IF(ROWS($1:388)&lt;=Nper,ROWS($1:388),"")</f>
        <v/>
      </c>
      <c r="C400" s="67" t="str">
        <f>IF($B400="","",IF($E$7="Weekly",Start_Date+7*(ROWS($1:388)-1),EDATE(Start_Date,VLOOKUP(IF(ASTemp!$E$7="","Monthly",ASTemp!$E$7),Parameters!$B$3:$D$6,3,0)*(ROWS($1:388)-1))))</f>
        <v/>
      </c>
      <c r="D400" s="68" t="str">
        <f t="shared" si="2"/>
        <v/>
      </c>
      <c r="E400" s="65" t="str">
        <f>IF($B400="","",VLOOKUP(MONTH(C400),Parameters!$F$2:$G$13,2,0))</f>
        <v/>
      </c>
      <c r="F400" s="69" t="str">
        <f>IF($B400="","",PV-N(J399))</f>
        <v/>
      </c>
      <c r="G400" s="69" t="str">
        <f>IF($B400="","",PMT(Rate,Nper,-PV,,Type))</f>
        <v/>
      </c>
      <c r="H400" s="69" t="str">
        <f>IF($B400="","",PPMT(Rate,ROWS($1:388),Nper,-PV,,Type))</f>
        <v/>
      </c>
      <c r="I400" s="69" t="str">
        <f>IF($B400="","",IPMT(Rate,ROWS($1:388),Nper,-PV,,Type))</f>
        <v/>
      </c>
      <c r="J400" s="73" t="str">
        <f t="shared" ref="J400:K400" si="390">IF($B400="","",N(J399)+N(H400))</f>
        <v/>
      </c>
      <c r="K400" s="74" t="str">
        <f t="shared" si="390"/>
        <v/>
      </c>
      <c r="L400" s="69" t="str">
        <f>IF($B400="","",PV-J400)</f>
        <v/>
      </c>
      <c r="M400" s="71" t="str">
        <f>IF($B400="","",J400/PV)</f>
        <v/>
      </c>
      <c r="N400" s="72" t="str">
        <f t="shared" si="4"/>
        <v/>
      </c>
    </row>
    <row r="401" ht="14.25" customHeight="1">
      <c r="B401" s="66" t="str">
        <f>IF(ROWS($1:389)&lt;=Nper,ROWS($1:389),"")</f>
        <v/>
      </c>
      <c r="C401" s="67" t="str">
        <f>IF($B401="","",IF($E$7="Weekly",Start_Date+7*(ROWS($1:389)-1),EDATE(Start_Date,VLOOKUP(IF(ASTemp!$E$7="","Monthly",ASTemp!$E$7),Parameters!$B$3:$D$6,3,0)*(ROWS($1:389)-1))))</f>
        <v/>
      </c>
      <c r="D401" s="68" t="str">
        <f t="shared" si="2"/>
        <v/>
      </c>
      <c r="E401" s="65" t="str">
        <f>IF($B401="","",VLOOKUP(MONTH(C401),Parameters!$F$2:$G$13,2,0))</f>
        <v/>
      </c>
      <c r="F401" s="69" t="str">
        <f>IF($B401="","",PV-N(J400))</f>
        <v/>
      </c>
      <c r="G401" s="69" t="str">
        <f>IF($B401="","",PMT(Rate,Nper,-PV,,Type))</f>
        <v/>
      </c>
      <c r="H401" s="69" t="str">
        <f>IF($B401="","",PPMT(Rate,ROWS($1:389),Nper,-PV,,Type))</f>
        <v/>
      </c>
      <c r="I401" s="69" t="str">
        <f>IF($B401="","",IPMT(Rate,ROWS($1:389),Nper,-PV,,Type))</f>
        <v/>
      </c>
      <c r="J401" s="73" t="str">
        <f t="shared" ref="J401:K401" si="391">IF($B401="","",N(J400)+N(H401))</f>
        <v/>
      </c>
      <c r="K401" s="74" t="str">
        <f t="shared" si="391"/>
        <v/>
      </c>
      <c r="L401" s="69" t="str">
        <f>IF($B401="","",PV-J401)</f>
        <v/>
      </c>
      <c r="M401" s="71" t="str">
        <f>IF($B401="","",J401/PV)</f>
        <v/>
      </c>
      <c r="N401" s="72" t="str">
        <f t="shared" si="4"/>
        <v/>
      </c>
    </row>
    <row r="402" ht="14.25" customHeight="1">
      <c r="B402" s="66" t="str">
        <f>IF(ROWS($1:390)&lt;=Nper,ROWS($1:390),"")</f>
        <v/>
      </c>
      <c r="C402" s="67" t="str">
        <f>IF($B402="","",IF($E$7="Weekly",Start_Date+7*(ROWS($1:390)-1),EDATE(Start_Date,VLOOKUP(IF(ASTemp!$E$7="","Monthly",ASTemp!$E$7),Parameters!$B$3:$D$6,3,0)*(ROWS($1:390)-1))))</f>
        <v/>
      </c>
      <c r="D402" s="68" t="str">
        <f t="shared" si="2"/>
        <v/>
      </c>
      <c r="E402" s="65" t="str">
        <f>IF($B402="","",VLOOKUP(MONTH(C402),Parameters!$F$2:$G$13,2,0))</f>
        <v/>
      </c>
      <c r="F402" s="69" t="str">
        <f>IF($B402="","",PV-N(J401))</f>
        <v/>
      </c>
      <c r="G402" s="69" t="str">
        <f>IF($B402="","",PMT(Rate,Nper,-PV,,Type))</f>
        <v/>
      </c>
      <c r="H402" s="69" t="str">
        <f>IF($B402="","",PPMT(Rate,ROWS($1:390),Nper,-PV,,Type))</f>
        <v/>
      </c>
      <c r="I402" s="69" t="str">
        <f>IF($B402="","",IPMT(Rate,ROWS($1:390),Nper,-PV,,Type))</f>
        <v/>
      </c>
      <c r="J402" s="73" t="str">
        <f t="shared" ref="J402:K402" si="392">IF($B402="","",N(J401)+N(H402))</f>
        <v/>
      </c>
      <c r="K402" s="74" t="str">
        <f t="shared" si="392"/>
        <v/>
      </c>
      <c r="L402" s="69" t="str">
        <f>IF($B402="","",PV-J402)</f>
        <v/>
      </c>
      <c r="M402" s="71" t="str">
        <f>IF($B402="","",J402/PV)</f>
        <v/>
      </c>
      <c r="N402" s="72" t="str">
        <f t="shared" si="4"/>
        <v/>
      </c>
    </row>
    <row r="403" ht="14.25" customHeight="1">
      <c r="B403" s="66" t="str">
        <f>IF(ROWS($1:391)&lt;=Nper,ROWS($1:391),"")</f>
        <v/>
      </c>
      <c r="C403" s="67" t="str">
        <f>IF($B403="","",IF($E$7="Weekly",Start_Date+7*(ROWS($1:391)-1),EDATE(Start_Date,VLOOKUP(IF(ASTemp!$E$7="","Monthly",ASTemp!$E$7),Parameters!$B$3:$D$6,3,0)*(ROWS($1:391)-1))))</f>
        <v/>
      </c>
      <c r="D403" s="68" t="str">
        <f t="shared" si="2"/>
        <v/>
      </c>
      <c r="E403" s="65" t="str">
        <f>IF($B403="","",VLOOKUP(MONTH(C403),Parameters!$F$2:$G$13,2,0))</f>
        <v/>
      </c>
      <c r="F403" s="69" t="str">
        <f>IF($B403="","",PV-N(J402))</f>
        <v/>
      </c>
      <c r="G403" s="69" t="str">
        <f>IF($B403="","",PMT(Rate,Nper,-PV,,Type))</f>
        <v/>
      </c>
      <c r="H403" s="69" t="str">
        <f>IF($B403="","",PPMT(Rate,ROWS($1:391),Nper,-PV,,Type))</f>
        <v/>
      </c>
      <c r="I403" s="69" t="str">
        <f>IF($B403="","",IPMT(Rate,ROWS($1:391),Nper,-PV,,Type))</f>
        <v/>
      </c>
      <c r="J403" s="73" t="str">
        <f t="shared" ref="J403:K403" si="393">IF($B403="","",N(J402)+N(H403))</f>
        <v/>
      </c>
      <c r="K403" s="74" t="str">
        <f t="shared" si="393"/>
        <v/>
      </c>
      <c r="L403" s="69" t="str">
        <f>IF($B403="","",PV-J403)</f>
        <v/>
      </c>
      <c r="M403" s="71" t="str">
        <f>IF($B403="","",J403/PV)</f>
        <v/>
      </c>
      <c r="N403" s="72" t="str">
        <f t="shared" si="4"/>
        <v/>
      </c>
    </row>
    <row r="404" ht="14.25" customHeight="1">
      <c r="B404" s="66" t="str">
        <f>IF(ROWS($1:392)&lt;=Nper,ROWS($1:392),"")</f>
        <v/>
      </c>
      <c r="C404" s="67" t="str">
        <f>IF($B404="","",IF($E$7="Weekly",Start_Date+7*(ROWS($1:392)-1),EDATE(Start_Date,VLOOKUP(IF(ASTemp!$E$7="","Monthly",ASTemp!$E$7),Parameters!$B$3:$D$6,3,0)*(ROWS($1:392)-1))))</f>
        <v/>
      </c>
      <c r="D404" s="68" t="str">
        <f t="shared" si="2"/>
        <v/>
      </c>
      <c r="E404" s="65" t="str">
        <f>IF($B404="","",VLOOKUP(MONTH(C404),Parameters!$F$2:$G$13,2,0))</f>
        <v/>
      </c>
      <c r="F404" s="69" t="str">
        <f>IF($B404="","",PV-N(J403))</f>
        <v/>
      </c>
      <c r="G404" s="69" t="str">
        <f>IF($B404="","",PMT(Rate,Nper,-PV,,Type))</f>
        <v/>
      </c>
      <c r="H404" s="69" t="str">
        <f>IF($B404="","",PPMT(Rate,ROWS($1:392),Nper,-PV,,Type))</f>
        <v/>
      </c>
      <c r="I404" s="69" t="str">
        <f>IF($B404="","",IPMT(Rate,ROWS($1:392),Nper,-PV,,Type))</f>
        <v/>
      </c>
      <c r="J404" s="73" t="str">
        <f t="shared" ref="J404:K404" si="394">IF($B404="","",N(J403)+N(H404))</f>
        <v/>
      </c>
      <c r="K404" s="74" t="str">
        <f t="shared" si="394"/>
        <v/>
      </c>
      <c r="L404" s="69" t="str">
        <f>IF($B404="","",PV-J404)</f>
        <v/>
      </c>
      <c r="M404" s="71" t="str">
        <f>IF($B404="","",J404/PV)</f>
        <v/>
      </c>
      <c r="N404" s="72" t="str">
        <f t="shared" si="4"/>
        <v/>
      </c>
    </row>
    <row r="405" ht="14.25" customHeight="1">
      <c r="B405" s="66" t="str">
        <f>IF(ROWS($1:393)&lt;=Nper,ROWS($1:393),"")</f>
        <v/>
      </c>
      <c r="C405" s="67" t="str">
        <f>IF($B405="","",IF($E$7="Weekly",Start_Date+7*(ROWS($1:393)-1),EDATE(Start_Date,VLOOKUP(IF(ASTemp!$E$7="","Monthly",ASTemp!$E$7),Parameters!$B$3:$D$6,3,0)*(ROWS($1:393)-1))))</f>
        <v/>
      </c>
      <c r="D405" s="68" t="str">
        <f t="shared" si="2"/>
        <v/>
      </c>
      <c r="E405" s="65" t="str">
        <f>IF($B405="","",VLOOKUP(MONTH(C405),Parameters!$F$2:$G$13,2,0))</f>
        <v/>
      </c>
      <c r="F405" s="69" t="str">
        <f>IF($B405="","",PV-N(J404))</f>
        <v/>
      </c>
      <c r="G405" s="69" t="str">
        <f>IF($B405="","",PMT(Rate,Nper,-PV,,Type))</f>
        <v/>
      </c>
      <c r="H405" s="69" t="str">
        <f>IF($B405="","",PPMT(Rate,ROWS($1:393),Nper,-PV,,Type))</f>
        <v/>
      </c>
      <c r="I405" s="69" t="str">
        <f>IF($B405="","",IPMT(Rate,ROWS($1:393),Nper,-PV,,Type))</f>
        <v/>
      </c>
      <c r="J405" s="73" t="str">
        <f t="shared" ref="J405:K405" si="395">IF($B405="","",N(J404)+N(H405))</f>
        <v/>
      </c>
      <c r="K405" s="74" t="str">
        <f t="shared" si="395"/>
        <v/>
      </c>
      <c r="L405" s="69" t="str">
        <f>IF($B405="","",PV-J405)</f>
        <v/>
      </c>
      <c r="M405" s="71" t="str">
        <f>IF($B405="","",J405/PV)</f>
        <v/>
      </c>
      <c r="N405" s="72" t="str">
        <f t="shared" si="4"/>
        <v/>
      </c>
    </row>
    <row r="406" ht="14.25" customHeight="1">
      <c r="B406" s="66" t="str">
        <f>IF(ROWS($1:394)&lt;=Nper,ROWS($1:394),"")</f>
        <v/>
      </c>
      <c r="C406" s="67" t="str">
        <f>IF($B406="","",IF($E$7="Weekly",Start_Date+7*(ROWS($1:394)-1),EDATE(Start_Date,VLOOKUP(IF(ASTemp!$E$7="","Monthly",ASTemp!$E$7),Parameters!$B$3:$D$6,3,0)*(ROWS($1:394)-1))))</f>
        <v/>
      </c>
      <c r="D406" s="68" t="str">
        <f t="shared" si="2"/>
        <v/>
      </c>
      <c r="E406" s="65" t="str">
        <f>IF($B406="","",VLOOKUP(MONTH(C406),Parameters!$F$2:$G$13,2,0))</f>
        <v/>
      </c>
      <c r="F406" s="69" t="str">
        <f>IF($B406="","",PV-N(J405))</f>
        <v/>
      </c>
      <c r="G406" s="69" t="str">
        <f>IF($B406="","",PMT(Rate,Nper,-PV,,Type))</f>
        <v/>
      </c>
      <c r="H406" s="69" t="str">
        <f>IF($B406="","",PPMT(Rate,ROWS($1:394),Nper,-PV,,Type))</f>
        <v/>
      </c>
      <c r="I406" s="69" t="str">
        <f>IF($B406="","",IPMT(Rate,ROWS($1:394),Nper,-PV,,Type))</f>
        <v/>
      </c>
      <c r="J406" s="73" t="str">
        <f t="shared" ref="J406:K406" si="396">IF($B406="","",N(J405)+N(H406))</f>
        <v/>
      </c>
      <c r="K406" s="74" t="str">
        <f t="shared" si="396"/>
        <v/>
      </c>
      <c r="L406" s="69" t="str">
        <f>IF($B406="","",PV-J406)</f>
        <v/>
      </c>
      <c r="M406" s="71" t="str">
        <f>IF($B406="","",J406/PV)</f>
        <v/>
      </c>
      <c r="N406" s="72" t="str">
        <f t="shared" si="4"/>
        <v/>
      </c>
    </row>
    <row r="407" ht="14.25" customHeight="1">
      <c r="B407" s="66" t="str">
        <f>IF(ROWS($1:395)&lt;=Nper,ROWS($1:395),"")</f>
        <v/>
      </c>
      <c r="C407" s="67" t="str">
        <f>IF($B407="","",IF($E$7="Weekly",Start_Date+7*(ROWS($1:395)-1),EDATE(Start_Date,VLOOKUP(IF(ASTemp!$E$7="","Monthly",ASTemp!$E$7),Parameters!$B$3:$D$6,3,0)*(ROWS($1:395)-1))))</f>
        <v/>
      </c>
      <c r="D407" s="68" t="str">
        <f t="shared" si="2"/>
        <v/>
      </c>
      <c r="E407" s="65" t="str">
        <f>IF($B407="","",VLOOKUP(MONTH(C407),Parameters!$F$2:$G$13,2,0))</f>
        <v/>
      </c>
      <c r="F407" s="69" t="str">
        <f>IF($B407="","",PV-N(J406))</f>
        <v/>
      </c>
      <c r="G407" s="69" t="str">
        <f>IF($B407="","",PMT(Rate,Nper,-PV,,Type))</f>
        <v/>
      </c>
      <c r="H407" s="69" t="str">
        <f>IF($B407="","",PPMT(Rate,ROWS($1:395),Nper,-PV,,Type))</f>
        <v/>
      </c>
      <c r="I407" s="69" t="str">
        <f>IF($B407="","",IPMT(Rate,ROWS($1:395),Nper,-PV,,Type))</f>
        <v/>
      </c>
      <c r="J407" s="73" t="str">
        <f t="shared" ref="J407:K407" si="397">IF($B407="","",N(J406)+N(H407))</f>
        <v/>
      </c>
      <c r="K407" s="74" t="str">
        <f t="shared" si="397"/>
        <v/>
      </c>
      <c r="L407" s="69" t="str">
        <f>IF($B407="","",PV-J407)</f>
        <v/>
      </c>
      <c r="M407" s="71" t="str">
        <f>IF($B407="","",J407/PV)</f>
        <v/>
      </c>
      <c r="N407" s="72" t="str">
        <f t="shared" si="4"/>
        <v/>
      </c>
    </row>
    <row r="408" ht="14.25" customHeight="1">
      <c r="B408" s="66" t="str">
        <f>IF(ROWS($1:396)&lt;=Nper,ROWS($1:396),"")</f>
        <v/>
      </c>
      <c r="C408" s="67" t="str">
        <f>IF($B408="","",IF($E$7="Weekly",Start_Date+7*(ROWS($1:396)-1),EDATE(Start_Date,VLOOKUP(IF(ASTemp!$E$7="","Monthly",ASTemp!$E$7),Parameters!$B$3:$D$6,3,0)*(ROWS($1:396)-1))))</f>
        <v/>
      </c>
      <c r="D408" s="68" t="str">
        <f t="shared" si="2"/>
        <v/>
      </c>
      <c r="E408" s="65" t="str">
        <f>IF($B408="","",VLOOKUP(MONTH(C408),Parameters!$F$2:$G$13,2,0))</f>
        <v/>
      </c>
      <c r="F408" s="69" t="str">
        <f>IF($B408="","",PV-N(J407))</f>
        <v/>
      </c>
      <c r="G408" s="69" t="str">
        <f>IF($B408="","",PMT(Rate,Nper,-PV,,Type))</f>
        <v/>
      </c>
      <c r="H408" s="69" t="str">
        <f>IF($B408="","",PPMT(Rate,ROWS($1:396),Nper,-PV,,Type))</f>
        <v/>
      </c>
      <c r="I408" s="69" t="str">
        <f>IF($B408="","",IPMT(Rate,ROWS($1:396),Nper,-PV,,Type))</f>
        <v/>
      </c>
      <c r="J408" s="73" t="str">
        <f t="shared" ref="J408:K408" si="398">IF($B408="","",N(J407)+N(H408))</f>
        <v/>
      </c>
      <c r="K408" s="74" t="str">
        <f t="shared" si="398"/>
        <v/>
      </c>
      <c r="L408" s="69" t="str">
        <f>IF($B408="","",PV-J408)</f>
        <v/>
      </c>
      <c r="M408" s="71" t="str">
        <f>IF($B408="","",J408/PV)</f>
        <v/>
      </c>
      <c r="N408" s="72" t="str">
        <f t="shared" si="4"/>
        <v/>
      </c>
    </row>
    <row r="409" ht="14.25" customHeight="1">
      <c r="B409" s="66" t="str">
        <f>IF(ROWS($1:397)&lt;=Nper,ROWS($1:397),"")</f>
        <v/>
      </c>
      <c r="C409" s="67" t="str">
        <f>IF($B409="","",IF($E$7="Weekly",Start_Date+7*(ROWS($1:397)-1),EDATE(Start_Date,VLOOKUP(IF(ASTemp!$E$7="","Monthly",ASTemp!$E$7),Parameters!$B$3:$D$6,3,0)*(ROWS($1:397)-1))))</f>
        <v/>
      </c>
      <c r="D409" s="68" t="str">
        <f t="shared" si="2"/>
        <v/>
      </c>
      <c r="E409" s="65" t="str">
        <f>IF($B409="","",VLOOKUP(MONTH(C409),Parameters!$F$2:$G$13,2,0))</f>
        <v/>
      </c>
      <c r="F409" s="69" t="str">
        <f>IF($B409="","",PV-N(J408))</f>
        <v/>
      </c>
      <c r="G409" s="69" t="str">
        <f>IF($B409="","",PMT(Rate,Nper,-PV,,Type))</f>
        <v/>
      </c>
      <c r="H409" s="69" t="str">
        <f>IF($B409="","",PPMT(Rate,ROWS($1:397),Nper,-PV,,Type))</f>
        <v/>
      </c>
      <c r="I409" s="69" t="str">
        <f>IF($B409="","",IPMT(Rate,ROWS($1:397),Nper,-PV,,Type))</f>
        <v/>
      </c>
      <c r="J409" s="73" t="str">
        <f t="shared" ref="J409:K409" si="399">IF($B409="","",N(J408)+N(H409))</f>
        <v/>
      </c>
      <c r="K409" s="74" t="str">
        <f t="shared" si="399"/>
        <v/>
      </c>
      <c r="L409" s="69" t="str">
        <f>IF($B409="","",PV-J409)</f>
        <v/>
      </c>
      <c r="M409" s="71" t="str">
        <f>IF($B409="","",J409/PV)</f>
        <v/>
      </c>
      <c r="N409" s="72" t="str">
        <f t="shared" si="4"/>
        <v/>
      </c>
    </row>
    <row r="410" ht="14.25" customHeight="1">
      <c r="B410" s="66" t="str">
        <f>IF(ROWS($1:398)&lt;=Nper,ROWS($1:398),"")</f>
        <v/>
      </c>
      <c r="C410" s="67" t="str">
        <f>IF($B410="","",IF($E$7="Weekly",Start_Date+7*(ROWS($1:398)-1),EDATE(Start_Date,VLOOKUP(IF(ASTemp!$E$7="","Monthly",ASTemp!$E$7),Parameters!$B$3:$D$6,3,0)*(ROWS($1:398)-1))))</f>
        <v/>
      </c>
      <c r="D410" s="68" t="str">
        <f t="shared" si="2"/>
        <v/>
      </c>
      <c r="E410" s="65" t="str">
        <f>IF($B410="","",VLOOKUP(MONTH(C410),Parameters!$F$2:$G$13,2,0))</f>
        <v/>
      </c>
      <c r="F410" s="69" t="str">
        <f>IF($B410="","",PV-N(J409))</f>
        <v/>
      </c>
      <c r="G410" s="69" t="str">
        <f>IF($B410="","",PMT(Rate,Nper,-PV,,Type))</f>
        <v/>
      </c>
      <c r="H410" s="69" t="str">
        <f>IF($B410="","",PPMT(Rate,ROWS($1:398),Nper,-PV,,Type))</f>
        <v/>
      </c>
      <c r="I410" s="69" t="str">
        <f>IF($B410="","",IPMT(Rate,ROWS($1:398),Nper,-PV,,Type))</f>
        <v/>
      </c>
      <c r="J410" s="73" t="str">
        <f t="shared" ref="J410:K410" si="400">IF($B410="","",N(J409)+N(H410))</f>
        <v/>
      </c>
      <c r="K410" s="74" t="str">
        <f t="shared" si="400"/>
        <v/>
      </c>
      <c r="L410" s="69" t="str">
        <f>IF($B410="","",PV-J410)</f>
        <v/>
      </c>
      <c r="M410" s="71" t="str">
        <f>IF($B410="","",J410/PV)</f>
        <v/>
      </c>
      <c r="N410" s="72" t="str">
        <f t="shared" si="4"/>
        <v/>
      </c>
    </row>
    <row r="411" ht="14.25" customHeight="1">
      <c r="B411" s="66" t="str">
        <f>IF(ROWS($1:399)&lt;=Nper,ROWS($1:399),"")</f>
        <v/>
      </c>
      <c r="C411" s="67" t="str">
        <f>IF($B411="","",IF($E$7="Weekly",Start_Date+7*(ROWS($1:399)-1),EDATE(Start_Date,VLOOKUP(IF(ASTemp!$E$7="","Monthly",ASTemp!$E$7),Parameters!$B$3:$D$6,3,0)*(ROWS($1:399)-1))))</f>
        <v/>
      </c>
      <c r="D411" s="68" t="str">
        <f t="shared" si="2"/>
        <v/>
      </c>
      <c r="E411" s="65" t="str">
        <f>IF($B411="","",VLOOKUP(MONTH(C411),Parameters!$F$2:$G$13,2,0))</f>
        <v/>
      </c>
      <c r="F411" s="69" t="str">
        <f>IF($B411="","",PV-N(J410))</f>
        <v/>
      </c>
      <c r="G411" s="69" t="str">
        <f>IF($B411="","",PMT(Rate,Nper,-PV,,Type))</f>
        <v/>
      </c>
      <c r="H411" s="69" t="str">
        <f>IF($B411="","",PPMT(Rate,ROWS($1:399),Nper,-PV,,Type))</f>
        <v/>
      </c>
      <c r="I411" s="69" t="str">
        <f>IF($B411="","",IPMT(Rate,ROWS($1:399),Nper,-PV,,Type))</f>
        <v/>
      </c>
      <c r="J411" s="73" t="str">
        <f t="shared" ref="J411:K411" si="401">IF($B411="","",N(J410)+N(H411))</f>
        <v/>
      </c>
      <c r="K411" s="74" t="str">
        <f t="shared" si="401"/>
        <v/>
      </c>
      <c r="L411" s="69" t="str">
        <f>IF($B411="","",PV-J411)</f>
        <v/>
      </c>
      <c r="M411" s="71" t="str">
        <f>IF($B411="","",J411/PV)</f>
        <v/>
      </c>
      <c r="N411" s="72" t="str">
        <f t="shared" si="4"/>
        <v/>
      </c>
    </row>
    <row r="412" ht="14.25" customHeight="1">
      <c r="B412" s="66" t="str">
        <f>IF(ROWS($1:400)&lt;=Nper,ROWS($1:400),"")</f>
        <v/>
      </c>
      <c r="C412" s="67" t="str">
        <f>IF($B412="","",IF($E$7="Weekly",Start_Date+7*(ROWS($1:400)-1),EDATE(Start_Date,VLOOKUP(IF(ASTemp!$E$7="","Monthly",ASTemp!$E$7),Parameters!$B$3:$D$6,3,0)*(ROWS($1:400)-1))))</f>
        <v/>
      </c>
      <c r="D412" s="68" t="str">
        <f t="shared" si="2"/>
        <v/>
      </c>
      <c r="E412" s="65" t="str">
        <f>IF($B412="","",VLOOKUP(MONTH(C412),Parameters!$F$2:$G$13,2,0))</f>
        <v/>
      </c>
      <c r="F412" s="69" t="str">
        <f>IF($B412="","",PV-N(J411))</f>
        <v/>
      </c>
      <c r="G412" s="69" t="str">
        <f>IF($B412="","",PMT(Rate,Nper,-PV,,Type))</f>
        <v/>
      </c>
      <c r="H412" s="69" t="str">
        <f>IF($B412="","",PPMT(Rate,ROWS($1:400),Nper,-PV,,Type))</f>
        <v/>
      </c>
      <c r="I412" s="69" t="str">
        <f>IF($B412="","",IPMT(Rate,ROWS($1:400),Nper,-PV,,Type))</f>
        <v/>
      </c>
      <c r="J412" s="73" t="str">
        <f t="shared" ref="J412:K412" si="402">IF($B412="","",N(J411)+N(H412))</f>
        <v/>
      </c>
      <c r="K412" s="74" t="str">
        <f t="shared" si="402"/>
        <v/>
      </c>
      <c r="L412" s="69" t="str">
        <f>IF($B412="","",PV-J412)</f>
        <v/>
      </c>
      <c r="M412" s="71" t="str">
        <f>IF($B412="","",J412/PV)</f>
        <v/>
      </c>
      <c r="N412" s="72" t="str">
        <f t="shared" si="4"/>
        <v/>
      </c>
    </row>
    <row r="413" ht="14.25" customHeight="1">
      <c r="B413" s="66" t="str">
        <f>IF(ROWS($1:401)&lt;=Nper,ROWS($1:401),"")</f>
        <v/>
      </c>
      <c r="C413" s="67" t="str">
        <f>IF($B413="","",IF($E$7="Weekly",Start_Date+7*(ROWS($1:401)-1),EDATE(Start_Date,VLOOKUP(IF(ASTemp!$E$7="","Monthly",ASTemp!$E$7),Parameters!$B$3:$D$6,3,0)*(ROWS($1:401)-1))))</f>
        <v/>
      </c>
      <c r="D413" s="68" t="str">
        <f t="shared" si="2"/>
        <v/>
      </c>
      <c r="E413" s="65" t="str">
        <f>IF($B413="","",VLOOKUP(MONTH(C413),Parameters!$F$2:$G$13,2,0))</f>
        <v/>
      </c>
      <c r="F413" s="69" t="str">
        <f>IF($B413="","",PV-N(J412))</f>
        <v/>
      </c>
      <c r="G413" s="69" t="str">
        <f>IF($B413="","",PMT(Rate,Nper,-PV,,Type))</f>
        <v/>
      </c>
      <c r="H413" s="69" t="str">
        <f>IF($B413="","",PPMT(Rate,ROWS($1:401),Nper,-PV,,Type))</f>
        <v/>
      </c>
      <c r="I413" s="69" t="str">
        <f>IF($B413="","",IPMT(Rate,ROWS($1:401),Nper,-PV,,Type))</f>
        <v/>
      </c>
      <c r="J413" s="73" t="str">
        <f t="shared" ref="J413:K413" si="403">IF($B413="","",N(J412)+N(H413))</f>
        <v/>
      </c>
      <c r="K413" s="74" t="str">
        <f t="shared" si="403"/>
        <v/>
      </c>
      <c r="L413" s="69" t="str">
        <f>IF($B413="","",PV-J413)</f>
        <v/>
      </c>
      <c r="M413" s="71" t="str">
        <f>IF($B413="","",J413/PV)</f>
        <v/>
      </c>
      <c r="N413" s="72" t="str">
        <f t="shared" si="4"/>
        <v/>
      </c>
    </row>
    <row r="414" ht="14.25" customHeight="1">
      <c r="B414" s="66" t="str">
        <f>IF(ROWS($1:402)&lt;=Nper,ROWS($1:402),"")</f>
        <v/>
      </c>
      <c r="C414" s="67" t="str">
        <f>IF($B414="","",IF($E$7="Weekly",Start_Date+7*(ROWS($1:402)-1),EDATE(Start_Date,VLOOKUP(IF(ASTemp!$E$7="","Monthly",ASTemp!$E$7),Parameters!$B$3:$D$6,3,0)*(ROWS($1:402)-1))))</f>
        <v/>
      </c>
      <c r="D414" s="68" t="str">
        <f t="shared" si="2"/>
        <v/>
      </c>
      <c r="E414" s="65" t="str">
        <f>IF($B414="","",VLOOKUP(MONTH(C414),Parameters!$F$2:$G$13,2,0))</f>
        <v/>
      </c>
      <c r="F414" s="69" t="str">
        <f>IF($B414="","",PV-N(J413))</f>
        <v/>
      </c>
      <c r="G414" s="69" t="str">
        <f>IF($B414="","",PMT(Rate,Nper,-PV,,Type))</f>
        <v/>
      </c>
      <c r="H414" s="69" t="str">
        <f>IF($B414="","",PPMT(Rate,ROWS($1:402),Nper,-PV,,Type))</f>
        <v/>
      </c>
      <c r="I414" s="69" t="str">
        <f>IF($B414="","",IPMT(Rate,ROWS($1:402),Nper,-PV,,Type))</f>
        <v/>
      </c>
      <c r="J414" s="73" t="str">
        <f t="shared" ref="J414:K414" si="404">IF($B414="","",N(J413)+N(H414))</f>
        <v/>
      </c>
      <c r="K414" s="74" t="str">
        <f t="shared" si="404"/>
        <v/>
      </c>
      <c r="L414" s="69" t="str">
        <f>IF($B414="","",PV-J414)</f>
        <v/>
      </c>
      <c r="M414" s="71" t="str">
        <f>IF($B414="","",J414/PV)</f>
        <v/>
      </c>
      <c r="N414" s="72" t="str">
        <f t="shared" si="4"/>
        <v/>
      </c>
    </row>
    <row r="415" ht="14.25" customHeight="1">
      <c r="B415" s="66" t="str">
        <f>IF(ROWS($1:403)&lt;=Nper,ROWS($1:403),"")</f>
        <v/>
      </c>
      <c r="C415" s="67" t="str">
        <f>IF($B415="","",IF($E$7="Weekly",Start_Date+7*(ROWS($1:403)-1),EDATE(Start_Date,VLOOKUP(IF(ASTemp!$E$7="","Monthly",ASTemp!$E$7),Parameters!$B$3:$D$6,3,0)*(ROWS($1:403)-1))))</f>
        <v/>
      </c>
      <c r="D415" s="68" t="str">
        <f t="shared" si="2"/>
        <v/>
      </c>
      <c r="E415" s="65" t="str">
        <f>IF($B415="","",VLOOKUP(MONTH(C415),Parameters!$F$2:$G$13,2,0))</f>
        <v/>
      </c>
      <c r="F415" s="69" t="str">
        <f>IF($B415="","",PV-N(J414))</f>
        <v/>
      </c>
      <c r="G415" s="69" t="str">
        <f>IF($B415="","",PMT(Rate,Nper,-PV,,Type))</f>
        <v/>
      </c>
      <c r="H415" s="69" t="str">
        <f>IF($B415="","",PPMT(Rate,ROWS($1:403),Nper,-PV,,Type))</f>
        <v/>
      </c>
      <c r="I415" s="69" t="str">
        <f>IF($B415="","",IPMT(Rate,ROWS($1:403),Nper,-PV,,Type))</f>
        <v/>
      </c>
      <c r="J415" s="73" t="str">
        <f t="shared" ref="J415:K415" si="405">IF($B415="","",N(J414)+N(H415))</f>
        <v/>
      </c>
      <c r="K415" s="74" t="str">
        <f t="shared" si="405"/>
        <v/>
      </c>
      <c r="L415" s="69" t="str">
        <f>IF($B415="","",PV-J415)</f>
        <v/>
      </c>
      <c r="M415" s="71" t="str">
        <f>IF($B415="","",J415/PV)</f>
        <v/>
      </c>
      <c r="N415" s="72" t="str">
        <f t="shared" si="4"/>
        <v/>
      </c>
    </row>
    <row r="416" ht="14.25" customHeight="1">
      <c r="B416" s="66" t="str">
        <f>IF(ROWS($1:404)&lt;=Nper,ROWS($1:404),"")</f>
        <v/>
      </c>
      <c r="C416" s="67" t="str">
        <f>IF($B416="","",IF($E$7="Weekly",Start_Date+7*(ROWS($1:404)-1),EDATE(Start_Date,VLOOKUP(IF(ASTemp!$E$7="","Monthly",ASTemp!$E$7),Parameters!$B$3:$D$6,3,0)*(ROWS($1:404)-1))))</f>
        <v/>
      </c>
      <c r="D416" s="68" t="str">
        <f t="shared" si="2"/>
        <v/>
      </c>
      <c r="E416" s="65" t="str">
        <f>IF($B416="","",VLOOKUP(MONTH(C416),Parameters!$F$2:$G$13,2,0))</f>
        <v/>
      </c>
      <c r="F416" s="69" t="str">
        <f>IF($B416="","",PV-N(J415))</f>
        <v/>
      </c>
      <c r="G416" s="69" t="str">
        <f>IF($B416="","",PMT(Rate,Nper,-PV,,Type))</f>
        <v/>
      </c>
      <c r="H416" s="69" t="str">
        <f>IF($B416="","",PPMT(Rate,ROWS($1:404),Nper,-PV,,Type))</f>
        <v/>
      </c>
      <c r="I416" s="69" t="str">
        <f>IF($B416="","",IPMT(Rate,ROWS($1:404),Nper,-PV,,Type))</f>
        <v/>
      </c>
      <c r="J416" s="73" t="str">
        <f t="shared" ref="J416:K416" si="406">IF($B416="","",N(J415)+N(H416))</f>
        <v/>
      </c>
      <c r="K416" s="74" t="str">
        <f t="shared" si="406"/>
        <v/>
      </c>
      <c r="L416" s="69" t="str">
        <f>IF($B416="","",PV-J416)</f>
        <v/>
      </c>
      <c r="M416" s="71" t="str">
        <f>IF($B416="","",J416/PV)</f>
        <v/>
      </c>
      <c r="N416" s="72" t="str">
        <f t="shared" si="4"/>
        <v/>
      </c>
    </row>
    <row r="417" ht="14.25" customHeight="1">
      <c r="B417" s="66" t="str">
        <f>IF(ROWS($1:405)&lt;=Nper,ROWS($1:405),"")</f>
        <v/>
      </c>
      <c r="C417" s="67" t="str">
        <f>IF($B417="","",IF($E$7="Weekly",Start_Date+7*(ROWS($1:405)-1),EDATE(Start_Date,VLOOKUP(IF(ASTemp!$E$7="","Monthly",ASTemp!$E$7),Parameters!$B$3:$D$6,3,0)*(ROWS($1:405)-1))))</f>
        <v/>
      </c>
      <c r="D417" s="68" t="str">
        <f t="shared" si="2"/>
        <v/>
      </c>
      <c r="E417" s="65" t="str">
        <f>IF($B417="","",VLOOKUP(MONTH(C417),Parameters!$F$2:$G$13,2,0))</f>
        <v/>
      </c>
      <c r="F417" s="69" t="str">
        <f>IF($B417="","",PV-N(J416))</f>
        <v/>
      </c>
      <c r="G417" s="69" t="str">
        <f>IF($B417="","",PMT(Rate,Nper,-PV,,Type))</f>
        <v/>
      </c>
      <c r="H417" s="69" t="str">
        <f>IF($B417="","",PPMT(Rate,ROWS($1:405),Nper,-PV,,Type))</f>
        <v/>
      </c>
      <c r="I417" s="69" t="str">
        <f>IF($B417="","",IPMT(Rate,ROWS($1:405),Nper,-PV,,Type))</f>
        <v/>
      </c>
      <c r="J417" s="73" t="str">
        <f t="shared" ref="J417:K417" si="407">IF($B417="","",N(J416)+N(H417))</f>
        <v/>
      </c>
      <c r="K417" s="74" t="str">
        <f t="shared" si="407"/>
        <v/>
      </c>
      <c r="L417" s="69" t="str">
        <f>IF($B417="","",PV-J417)</f>
        <v/>
      </c>
      <c r="M417" s="71" t="str">
        <f>IF($B417="","",J417/PV)</f>
        <v/>
      </c>
      <c r="N417" s="72" t="str">
        <f t="shared" si="4"/>
        <v/>
      </c>
    </row>
    <row r="418" ht="14.25" customHeight="1">
      <c r="B418" s="66" t="str">
        <f>IF(ROWS($1:406)&lt;=Nper,ROWS($1:406),"")</f>
        <v/>
      </c>
      <c r="C418" s="67" t="str">
        <f>IF($B418="","",IF($E$7="Weekly",Start_Date+7*(ROWS($1:406)-1),EDATE(Start_Date,VLOOKUP(IF(ASTemp!$E$7="","Monthly",ASTemp!$E$7),Parameters!$B$3:$D$6,3,0)*(ROWS($1:406)-1))))</f>
        <v/>
      </c>
      <c r="D418" s="68" t="str">
        <f t="shared" si="2"/>
        <v/>
      </c>
      <c r="E418" s="65" t="str">
        <f>IF($B418="","",VLOOKUP(MONTH(C418),Parameters!$F$2:$G$13,2,0))</f>
        <v/>
      </c>
      <c r="F418" s="69" t="str">
        <f>IF($B418="","",PV-N(J417))</f>
        <v/>
      </c>
      <c r="G418" s="69" t="str">
        <f>IF($B418="","",PMT(Rate,Nper,-PV,,Type))</f>
        <v/>
      </c>
      <c r="H418" s="69" t="str">
        <f>IF($B418="","",PPMT(Rate,ROWS($1:406),Nper,-PV,,Type))</f>
        <v/>
      </c>
      <c r="I418" s="69" t="str">
        <f>IF($B418="","",IPMT(Rate,ROWS($1:406),Nper,-PV,,Type))</f>
        <v/>
      </c>
      <c r="J418" s="73" t="str">
        <f t="shared" ref="J418:K418" si="408">IF($B418="","",N(J417)+N(H418))</f>
        <v/>
      </c>
      <c r="K418" s="74" t="str">
        <f t="shared" si="408"/>
        <v/>
      </c>
      <c r="L418" s="69" t="str">
        <f>IF($B418="","",PV-J418)</f>
        <v/>
      </c>
      <c r="M418" s="71" t="str">
        <f>IF($B418="","",J418/PV)</f>
        <v/>
      </c>
      <c r="N418" s="72" t="str">
        <f t="shared" si="4"/>
        <v/>
      </c>
    </row>
    <row r="419" ht="14.25" customHeight="1">
      <c r="B419" s="66" t="str">
        <f>IF(ROWS($1:407)&lt;=Nper,ROWS($1:407),"")</f>
        <v/>
      </c>
      <c r="C419" s="67" t="str">
        <f>IF($B419="","",IF($E$7="Weekly",Start_Date+7*(ROWS($1:407)-1),EDATE(Start_Date,VLOOKUP(IF(ASTemp!$E$7="","Monthly",ASTemp!$E$7),Parameters!$B$3:$D$6,3,0)*(ROWS($1:407)-1))))</f>
        <v/>
      </c>
      <c r="D419" s="68" t="str">
        <f t="shared" si="2"/>
        <v/>
      </c>
      <c r="E419" s="65" t="str">
        <f>IF($B419="","",VLOOKUP(MONTH(C419),Parameters!$F$2:$G$13,2,0))</f>
        <v/>
      </c>
      <c r="F419" s="69" t="str">
        <f>IF($B419="","",PV-N(J418))</f>
        <v/>
      </c>
      <c r="G419" s="69" t="str">
        <f>IF($B419="","",PMT(Rate,Nper,-PV,,Type))</f>
        <v/>
      </c>
      <c r="H419" s="69" t="str">
        <f>IF($B419="","",PPMT(Rate,ROWS($1:407),Nper,-PV,,Type))</f>
        <v/>
      </c>
      <c r="I419" s="69" t="str">
        <f>IF($B419="","",IPMT(Rate,ROWS($1:407),Nper,-PV,,Type))</f>
        <v/>
      </c>
      <c r="J419" s="73" t="str">
        <f t="shared" ref="J419:K419" si="409">IF($B419="","",N(J418)+N(H419))</f>
        <v/>
      </c>
      <c r="K419" s="74" t="str">
        <f t="shared" si="409"/>
        <v/>
      </c>
      <c r="L419" s="69" t="str">
        <f>IF($B419="","",PV-J419)</f>
        <v/>
      </c>
      <c r="M419" s="71" t="str">
        <f>IF($B419="","",J419/PV)</f>
        <v/>
      </c>
      <c r="N419" s="72" t="str">
        <f t="shared" si="4"/>
        <v/>
      </c>
    </row>
    <row r="420" ht="14.25" customHeight="1">
      <c r="B420" s="66" t="str">
        <f>IF(ROWS($1:408)&lt;=Nper,ROWS($1:408),"")</f>
        <v/>
      </c>
      <c r="C420" s="67" t="str">
        <f>IF($B420="","",IF($E$7="Weekly",Start_Date+7*(ROWS($1:408)-1),EDATE(Start_Date,VLOOKUP(IF(ASTemp!$E$7="","Monthly",ASTemp!$E$7),Parameters!$B$3:$D$6,3,0)*(ROWS($1:408)-1))))</f>
        <v/>
      </c>
      <c r="D420" s="68" t="str">
        <f t="shared" si="2"/>
        <v/>
      </c>
      <c r="E420" s="65" t="str">
        <f>IF($B420="","",VLOOKUP(MONTH(C420),Parameters!$F$2:$G$13,2,0))</f>
        <v/>
      </c>
      <c r="F420" s="69" t="str">
        <f>IF($B420="","",PV-N(J419))</f>
        <v/>
      </c>
      <c r="G420" s="69" t="str">
        <f>IF($B420="","",PMT(Rate,Nper,-PV,,Type))</f>
        <v/>
      </c>
      <c r="H420" s="69" t="str">
        <f>IF($B420="","",PPMT(Rate,ROWS($1:408),Nper,-PV,,Type))</f>
        <v/>
      </c>
      <c r="I420" s="69" t="str">
        <f>IF($B420="","",IPMT(Rate,ROWS($1:408),Nper,-PV,,Type))</f>
        <v/>
      </c>
      <c r="J420" s="73" t="str">
        <f t="shared" ref="J420:K420" si="410">IF($B420="","",N(J419)+N(H420))</f>
        <v/>
      </c>
      <c r="K420" s="74" t="str">
        <f t="shared" si="410"/>
        <v/>
      </c>
      <c r="L420" s="69" t="str">
        <f>IF($B420="","",PV-J420)</f>
        <v/>
      </c>
      <c r="M420" s="71" t="str">
        <f>IF($B420="","",J420/PV)</f>
        <v/>
      </c>
      <c r="N420" s="72" t="str">
        <f t="shared" si="4"/>
        <v/>
      </c>
    </row>
    <row r="421" ht="14.25" customHeight="1">
      <c r="B421" s="66" t="str">
        <f>IF(ROWS($1:409)&lt;=Nper,ROWS($1:409),"")</f>
        <v/>
      </c>
      <c r="C421" s="67" t="str">
        <f>IF($B421="","",IF($E$7="Weekly",Start_Date+7*(ROWS($1:409)-1),EDATE(Start_Date,VLOOKUP(IF(ASTemp!$E$7="","Monthly",ASTemp!$E$7),Parameters!$B$3:$D$6,3,0)*(ROWS($1:409)-1))))</f>
        <v/>
      </c>
      <c r="D421" s="68" t="str">
        <f t="shared" si="2"/>
        <v/>
      </c>
      <c r="E421" s="65" t="str">
        <f>IF($B421="","",VLOOKUP(MONTH(C421),Parameters!$F$2:$G$13,2,0))</f>
        <v/>
      </c>
      <c r="F421" s="69" t="str">
        <f>IF($B421="","",PV-N(J420))</f>
        <v/>
      </c>
      <c r="G421" s="69" t="str">
        <f>IF($B421="","",PMT(Rate,Nper,-PV,,Type))</f>
        <v/>
      </c>
      <c r="H421" s="69" t="str">
        <f>IF($B421="","",PPMT(Rate,ROWS($1:409),Nper,-PV,,Type))</f>
        <v/>
      </c>
      <c r="I421" s="69" t="str">
        <f>IF($B421="","",IPMT(Rate,ROWS($1:409),Nper,-PV,,Type))</f>
        <v/>
      </c>
      <c r="J421" s="73" t="str">
        <f t="shared" ref="J421:K421" si="411">IF($B421="","",N(J420)+N(H421))</f>
        <v/>
      </c>
      <c r="K421" s="74" t="str">
        <f t="shared" si="411"/>
        <v/>
      </c>
      <c r="L421" s="69" t="str">
        <f>IF($B421="","",PV-J421)</f>
        <v/>
      </c>
      <c r="M421" s="71" t="str">
        <f>IF($B421="","",J421/PV)</f>
        <v/>
      </c>
      <c r="N421" s="72" t="str">
        <f t="shared" si="4"/>
        <v/>
      </c>
    </row>
    <row r="422" ht="14.25" customHeight="1">
      <c r="B422" s="66" t="str">
        <f>IF(ROWS($1:410)&lt;=Nper,ROWS($1:410),"")</f>
        <v/>
      </c>
      <c r="C422" s="67" t="str">
        <f>IF($B422="","",IF($E$7="Weekly",Start_Date+7*(ROWS($1:410)-1),EDATE(Start_Date,VLOOKUP(IF(ASTemp!$E$7="","Monthly",ASTemp!$E$7),Parameters!$B$3:$D$6,3,0)*(ROWS($1:410)-1))))</f>
        <v/>
      </c>
      <c r="D422" s="68" t="str">
        <f t="shared" si="2"/>
        <v/>
      </c>
      <c r="E422" s="65" t="str">
        <f>IF($B422="","",VLOOKUP(MONTH(C422),Parameters!$F$2:$G$13,2,0))</f>
        <v/>
      </c>
      <c r="F422" s="69" t="str">
        <f>IF($B422="","",PV-N(J421))</f>
        <v/>
      </c>
      <c r="G422" s="69" t="str">
        <f>IF($B422="","",PMT(Rate,Nper,-PV,,Type))</f>
        <v/>
      </c>
      <c r="H422" s="69" t="str">
        <f>IF($B422="","",PPMT(Rate,ROWS($1:410),Nper,-PV,,Type))</f>
        <v/>
      </c>
      <c r="I422" s="69" t="str">
        <f>IF($B422="","",IPMT(Rate,ROWS($1:410),Nper,-PV,,Type))</f>
        <v/>
      </c>
      <c r="J422" s="73" t="str">
        <f t="shared" ref="J422:K422" si="412">IF($B422="","",N(J421)+N(H422))</f>
        <v/>
      </c>
      <c r="K422" s="74" t="str">
        <f t="shared" si="412"/>
        <v/>
      </c>
      <c r="L422" s="69" t="str">
        <f>IF($B422="","",PV-J422)</f>
        <v/>
      </c>
      <c r="M422" s="71" t="str">
        <f>IF($B422="","",J422/PV)</f>
        <v/>
      </c>
      <c r="N422" s="72" t="str">
        <f t="shared" si="4"/>
        <v/>
      </c>
    </row>
    <row r="423" ht="14.25" customHeight="1">
      <c r="B423" s="66" t="str">
        <f>IF(ROWS($1:411)&lt;=Nper,ROWS($1:411),"")</f>
        <v/>
      </c>
      <c r="C423" s="67" t="str">
        <f>IF($B423="","",IF($E$7="Weekly",Start_Date+7*(ROWS($1:411)-1),EDATE(Start_Date,VLOOKUP(IF(ASTemp!$E$7="","Monthly",ASTemp!$E$7),Parameters!$B$3:$D$6,3,0)*(ROWS($1:411)-1))))</f>
        <v/>
      </c>
      <c r="D423" s="68" t="str">
        <f t="shared" si="2"/>
        <v/>
      </c>
      <c r="E423" s="65" t="str">
        <f>IF($B423="","",VLOOKUP(MONTH(C423),Parameters!$F$2:$G$13,2,0))</f>
        <v/>
      </c>
      <c r="F423" s="69" t="str">
        <f>IF($B423="","",PV-N(J422))</f>
        <v/>
      </c>
      <c r="G423" s="69" t="str">
        <f>IF($B423="","",PMT(Rate,Nper,-PV,,Type))</f>
        <v/>
      </c>
      <c r="H423" s="69" t="str">
        <f>IF($B423="","",PPMT(Rate,ROWS($1:411),Nper,-PV,,Type))</f>
        <v/>
      </c>
      <c r="I423" s="69" t="str">
        <f>IF($B423="","",IPMT(Rate,ROWS($1:411),Nper,-PV,,Type))</f>
        <v/>
      </c>
      <c r="J423" s="73" t="str">
        <f t="shared" ref="J423:K423" si="413">IF($B423="","",N(J422)+N(H423))</f>
        <v/>
      </c>
      <c r="K423" s="74" t="str">
        <f t="shared" si="413"/>
        <v/>
      </c>
      <c r="L423" s="69" t="str">
        <f>IF($B423="","",PV-J423)</f>
        <v/>
      </c>
      <c r="M423" s="71" t="str">
        <f>IF($B423="","",J423/PV)</f>
        <v/>
      </c>
      <c r="N423" s="72" t="str">
        <f t="shared" si="4"/>
        <v/>
      </c>
    </row>
    <row r="424" ht="14.25" customHeight="1">
      <c r="B424" s="66" t="str">
        <f>IF(ROWS($1:412)&lt;=Nper,ROWS($1:412),"")</f>
        <v/>
      </c>
      <c r="C424" s="67" t="str">
        <f>IF($B424="","",IF($E$7="Weekly",Start_Date+7*(ROWS($1:412)-1),EDATE(Start_Date,VLOOKUP(IF(ASTemp!$E$7="","Monthly",ASTemp!$E$7),Parameters!$B$3:$D$6,3,0)*(ROWS($1:412)-1))))</f>
        <v/>
      </c>
      <c r="D424" s="68" t="str">
        <f t="shared" si="2"/>
        <v/>
      </c>
      <c r="E424" s="65" t="str">
        <f>IF($B424="","",VLOOKUP(MONTH(C424),Parameters!$F$2:$G$13,2,0))</f>
        <v/>
      </c>
      <c r="F424" s="69" t="str">
        <f>IF($B424="","",PV-N(J423))</f>
        <v/>
      </c>
      <c r="G424" s="69" t="str">
        <f>IF($B424="","",PMT(Rate,Nper,-PV,,Type))</f>
        <v/>
      </c>
      <c r="H424" s="69" t="str">
        <f>IF($B424="","",PPMT(Rate,ROWS($1:412),Nper,-PV,,Type))</f>
        <v/>
      </c>
      <c r="I424" s="69" t="str">
        <f>IF($B424="","",IPMT(Rate,ROWS($1:412),Nper,-PV,,Type))</f>
        <v/>
      </c>
      <c r="J424" s="73" t="str">
        <f t="shared" ref="J424:K424" si="414">IF($B424="","",N(J423)+N(H424))</f>
        <v/>
      </c>
      <c r="K424" s="74" t="str">
        <f t="shared" si="414"/>
        <v/>
      </c>
      <c r="L424" s="69" t="str">
        <f>IF($B424="","",PV-J424)</f>
        <v/>
      </c>
      <c r="M424" s="71" t="str">
        <f>IF($B424="","",J424/PV)</f>
        <v/>
      </c>
      <c r="N424" s="72" t="str">
        <f t="shared" si="4"/>
        <v/>
      </c>
    </row>
    <row r="425" ht="14.25" customHeight="1">
      <c r="B425" s="66" t="str">
        <f>IF(ROWS($1:413)&lt;=Nper,ROWS($1:413),"")</f>
        <v/>
      </c>
      <c r="C425" s="67" t="str">
        <f>IF($B425="","",IF($E$7="Weekly",Start_Date+7*(ROWS($1:413)-1),EDATE(Start_Date,VLOOKUP(IF(ASTemp!$E$7="","Monthly",ASTemp!$E$7),Parameters!$B$3:$D$6,3,0)*(ROWS($1:413)-1))))</f>
        <v/>
      </c>
      <c r="D425" s="68" t="str">
        <f t="shared" si="2"/>
        <v/>
      </c>
      <c r="E425" s="65" t="str">
        <f>IF($B425="","",VLOOKUP(MONTH(C425),Parameters!$F$2:$G$13,2,0))</f>
        <v/>
      </c>
      <c r="F425" s="69" t="str">
        <f>IF($B425="","",PV-N(J424))</f>
        <v/>
      </c>
      <c r="G425" s="69" t="str">
        <f>IF($B425="","",PMT(Rate,Nper,-PV,,Type))</f>
        <v/>
      </c>
      <c r="H425" s="69" t="str">
        <f>IF($B425="","",PPMT(Rate,ROWS($1:413),Nper,-PV,,Type))</f>
        <v/>
      </c>
      <c r="I425" s="69" t="str">
        <f>IF($B425="","",IPMT(Rate,ROWS($1:413),Nper,-PV,,Type))</f>
        <v/>
      </c>
      <c r="J425" s="73" t="str">
        <f t="shared" ref="J425:K425" si="415">IF($B425="","",N(J424)+N(H425))</f>
        <v/>
      </c>
      <c r="K425" s="74" t="str">
        <f t="shared" si="415"/>
        <v/>
      </c>
      <c r="L425" s="69" t="str">
        <f>IF($B425="","",PV-J425)</f>
        <v/>
      </c>
      <c r="M425" s="71" t="str">
        <f>IF($B425="","",J425/PV)</f>
        <v/>
      </c>
      <c r="N425" s="72" t="str">
        <f t="shared" si="4"/>
        <v/>
      </c>
    </row>
    <row r="426" ht="14.25" customHeight="1">
      <c r="B426" s="66" t="str">
        <f>IF(ROWS($1:414)&lt;=Nper,ROWS($1:414),"")</f>
        <v/>
      </c>
      <c r="C426" s="67" t="str">
        <f>IF($B426="","",IF($E$7="Weekly",Start_Date+7*(ROWS($1:414)-1),EDATE(Start_Date,VLOOKUP(IF(ASTemp!$E$7="","Monthly",ASTemp!$E$7),Parameters!$B$3:$D$6,3,0)*(ROWS($1:414)-1))))</f>
        <v/>
      </c>
      <c r="D426" s="68" t="str">
        <f t="shared" si="2"/>
        <v/>
      </c>
      <c r="E426" s="65" t="str">
        <f>IF($B426="","",VLOOKUP(MONTH(C426),Parameters!$F$2:$G$13,2,0))</f>
        <v/>
      </c>
      <c r="F426" s="69" t="str">
        <f>IF($B426="","",PV-N(J425))</f>
        <v/>
      </c>
      <c r="G426" s="69" t="str">
        <f>IF($B426="","",PMT(Rate,Nper,-PV,,Type))</f>
        <v/>
      </c>
      <c r="H426" s="69" t="str">
        <f>IF($B426="","",PPMT(Rate,ROWS($1:414),Nper,-PV,,Type))</f>
        <v/>
      </c>
      <c r="I426" s="69" t="str">
        <f>IF($B426="","",IPMT(Rate,ROWS($1:414),Nper,-PV,,Type))</f>
        <v/>
      </c>
      <c r="J426" s="73" t="str">
        <f t="shared" ref="J426:K426" si="416">IF($B426="","",N(J425)+N(H426))</f>
        <v/>
      </c>
      <c r="K426" s="74" t="str">
        <f t="shared" si="416"/>
        <v/>
      </c>
      <c r="L426" s="69" t="str">
        <f>IF($B426="","",PV-J426)</f>
        <v/>
      </c>
      <c r="M426" s="71" t="str">
        <f>IF($B426="","",J426/PV)</f>
        <v/>
      </c>
      <c r="N426" s="72" t="str">
        <f t="shared" si="4"/>
        <v/>
      </c>
    </row>
    <row r="427" ht="14.25" customHeight="1">
      <c r="B427" s="66" t="str">
        <f>IF(ROWS($1:415)&lt;=Nper,ROWS($1:415),"")</f>
        <v/>
      </c>
      <c r="C427" s="67" t="str">
        <f>IF($B427="","",IF($E$7="Weekly",Start_Date+7*(ROWS($1:415)-1),EDATE(Start_Date,VLOOKUP(IF(ASTemp!$E$7="","Monthly",ASTemp!$E$7),Parameters!$B$3:$D$6,3,0)*(ROWS($1:415)-1))))</f>
        <v/>
      </c>
      <c r="D427" s="68" t="str">
        <f t="shared" si="2"/>
        <v/>
      </c>
      <c r="E427" s="65" t="str">
        <f>IF($B427="","",VLOOKUP(MONTH(C427),Parameters!$F$2:$G$13,2,0))</f>
        <v/>
      </c>
      <c r="F427" s="69" t="str">
        <f>IF($B427="","",PV-N(J426))</f>
        <v/>
      </c>
      <c r="G427" s="69" t="str">
        <f>IF($B427="","",PMT(Rate,Nper,-PV,,Type))</f>
        <v/>
      </c>
      <c r="H427" s="69" t="str">
        <f>IF($B427="","",PPMT(Rate,ROWS($1:415),Nper,-PV,,Type))</f>
        <v/>
      </c>
      <c r="I427" s="69" t="str">
        <f>IF($B427="","",IPMT(Rate,ROWS($1:415),Nper,-PV,,Type))</f>
        <v/>
      </c>
      <c r="J427" s="73" t="str">
        <f t="shared" ref="J427:K427" si="417">IF($B427="","",N(J426)+N(H427))</f>
        <v/>
      </c>
      <c r="K427" s="74" t="str">
        <f t="shared" si="417"/>
        <v/>
      </c>
      <c r="L427" s="69" t="str">
        <f>IF($B427="","",PV-J427)</f>
        <v/>
      </c>
      <c r="M427" s="71" t="str">
        <f>IF($B427="","",J427/PV)</f>
        <v/>
      </c>
      <c r="N427" s="72" t="str">
        <f t="shared" si="4"/>
        <v/>
      </c>
    </row>
    <row r="428" ht="14.25" customHeight="1">
      <c r="B428" s="66" t="str">
        <f>IF(ROWS($1:416)&lt;=Nper,ROWS($1:416),"")</f>
        <v/>
      </c>
      <c r="C428" s="67" t="str">
        <f>IF($B428="","",IF($E$7="Weekly",Start_Date+7*(ROWS($1:416)-1),EDATE(Start_Date,VLOOKUP(IF(ASTemp!$E$7="","Monthly",ASTemp!$E$7),Parameters!$B$3:$D$6,3,0)*(ROWS($1:416)-1))))</f>
        <v/>
      </c>
      <c r="D428" s="68" t="str">
        <f t="shared" si="2"/>
        <v/>
      </c>
      <c r="E428" s="65" t="str">
        <f>IF($B428="","",VLOOKUP(MONTH(C428),Parameters!$F$2:$G$13,2,0))</f>
        <v/>
      </c>
      <c r="F428" s="69" t="str">
        <f>IF($B428="","",PV-N(J427))</f>
        <v/>
      </c>
      <c r="G428" s="69" t="str">
        <f>IF($B428="","",PMT(Rate,Nper,-PV,,Type))</f>
        <v/>
      </c>
      <c r="H428" s="69" t="str">
        <f>IF($B428="","",PPMT(Rate,ROWS($1:416),Nper,-PV,,Type))</f>
        <v/>
      </c>
      <c r="I428" s="69" t="str">
        <f>IF($B428="","",IPMT(Rate,ROWS($1:416),Nper,-PV,,Type))</f>
        <v/>
      </c>
      <c r="J428" s="73" t="str">
        <f t="shared" ref="J428:K428" si="418">IF($B428="","",N(J427)+N(H428))</f>
        <v/>
      </c>
      <c r="K428" s="74" t="str">
        <f t="shared" si="418"/>
        <v/>
      </c>
      <c r="L428" s="69" t="str">
        <f>IF($B428="","",PV-J428)</f>
        <v/>
      </c>
      <c r="M428" s="71" t="str">
        <f>IF($B428="","",J428/PV)</f>
        <v/>
      </c>
      <c r="N428" s="72" t="str">
        <f t="shared" si="4"/>
        <v/>
      </c>
    </row>
    <row r="429" ht="14.25" customHeight="1">
      <c r="B429" s="66" t="str">
        <f>IF(ROWS($1:417)&lt;=Nper,ROWS($1:417),"")</f>
        <v/>
      </c>
      <c r="C429" s="67" t="str">
        <f>IF($B429="","",IF($E$7="Weekly",Start_Date+7*(ROWS($1:417)-1),EDATE(Start_Date,VLOOKUP(IF(ASTemp!$E$7="","Monthly",ASTemp!$E$7),Parameters!$B$3:$D$6,3,0)*(ROWS($1:417)-1))))</f>
        <v/>
      </c>
      <c r="D429" s="68" t="str">
        <f t="shared" si="2"/>
        <v/>
      </c>
      <c r="E429" s="65" t="str">
        <f>IF($B429="","",VLOOKUP(MONTH(C429),Parameters!$F$2:$G$13,2,0))</f>
        <v/>
      </c>
      <c r="F429" s="69" t="str">
        <f>IF($B429="","",PV-N(J428))</f>
        <v/>
      </c>
      <c r="G429" s="69" t="str">
        <f>IF($B429="","",PMT(Rate,Nper,-PV,,Type))</f>
        <v/>
      </c>
      <c r="H429" s="69" t="str">
        <f>IF($B429="","",PPMT(Rate,ROWS($1:417),Nper,-PV,,Type))</f>
        <v/>
      </c>
      <c r="I429" s="69" t="str">
        <f>IF($B429="","",IPMT(Rate,ROWS($1:417),Nper,-PV,,Type))</f>
        <v/>
      </c>
      <c r="J429" s="73" t="str">
        <f t="shared" ref="J429:K429" si="419">IF($B429="","",N(J428)+N(H429))</f>
        <v/>
      </c>
      <c r="K429" s="74" t="str">
        <f t="shared" si="419"/>
        <v/>
      </c>
      <c r="L429" s="69" t="str">
        <f>IF($B429="","",PV-J429)</f>
        <v/>
      </c>
      <c r="M429" s="71" t="str">
        <f>IF($B429="","",J429/PV)</f>
        <v/>
      </c>
      <c r="N429" s="72" t="str">
        <f t="shared" si="4"/>
        <v/>
      </c>
    </row>
    <row r="430" ht="14.25" customHeight="1">
      <c r="B430" s="66" t="str">
        <f>IF(ROWS($1:418)&lt;=Nper,ROWS($1:418),"")</f>
        <v/>
      </c>
      <c r="C430" s="67" t="str">
        <f>IF($B430="","",IF($E$7="Weekly",Start_Date+7*(ROWS($1:418)-1),EDATE(Start_Date,VLOOKUP(IF(ASTemp!$E$7="","Monthly",ASTemp!$E$7),Parameters!$B$3:$D$6,3,0)*(ROWS($1:418)-1))))</f>
        <v/>
      </c>
      <c r="D430" s="68" t="str">
        <f t="shared" si="2"/>
        <v/>
      </c>
      <c r="E430" s="65" t="str">
        <f>IF($B430="","",VLOOKUP(MONTH(C430),Parameters!$F$2:$G$13,2,0))</f>
        <v/>
      </c>
      <c r="F430" s="69" t="str">
        <f>IF($B430="","",PV-N(J429))</f>
        <v/>
      </c>
      <c r="G430" s="69" t="str">
        <f>IF($B430="","",PMT(Rate,Nper,-PV,,Type))</f>
        <v/>
      </c>
      <c r="H430" s="69" t="str">
        <f>IF($B430="","",PPMT(Rate,ROWS($1:418),Nper,-PV,,Type))</f>
        <v/>
      </c>
      <c r="I430" s="69" t="str">
        <f>IF($B430="","",IPMT(Rate,ROWS($1:418),Nper,-PV,,Type))</f>
        <v/>
      </c>
      <c r="J430" s="73" t="str">
        <f t="shared" ref="J430:K430" si="420">IF($B430="","",N(J429)+N(H430))</f>
        <v/>
      </c>
      <c r="K430" s="74" t="str">
        <f t="shared" si="420"/>
        <v/>
      </c>
      <c r="L430" s="69" t="str">
        <f>IF($B430="","",PV-J430)</f>
        <v/>
      </c>
      <c r="M430" s="71" t="str">
        <f>IF($B430="","",J430/PV)</f>
        <v/>
      </c>
      <c r="N430" s="72" t="str">
        <f t="shared" si="4"/>
        <v/>
      </c>
    </row>
    <row r="431" ht="14.25" customHeight="1">
      <c r="B431" s="66" t="str">
        <f>IF(ROWS($1:419)&lt;=Nper,ROWS($1:419),"")</f>
        <v/>
      </c>
      <c r="C431" s="67" t="str">
        <f>IF($B431="","",IF($E$7="Weekly",Start_Date+7*(ROWS($1:419)-1),EDATE(Start_Date,VLOOKUP(IF(ASTemp!$E$7="","Monthly",ASTemp!$E$7),Parameters!$B$3:$D$6,3,0)*(ROWS($1:419)-1))))</f>
        <v/>
      </c>
      <c r="D431" s="68" t="str">
        <f t="shared" si="2"/>
        <v/>
      </c>
      <c r="E431" s="65" t="str">
        <f>IF($B431="","",VLOOKUP(MONTH(C431),Parameters!$F$2:$G$13,2,0))</f>
        <v/>
      </c>
      <c r="F431" s="69" t="str">
        <f>IF($B431="","",PV-N(J430))</f>
        <v/>
      </c>
      <c r="G431" s="69" t="str">
        <f>IF($B431="","",PMT(Rate,Nper,-PV,,Type))</f>
        <v/>
      </c>
      <c r="H431" s="69" t="str">
        <f>IF($B431="","",PPMT(Rate,ROWS($1:419),Nper,-PV,,Type))</f>
        <v/>
      </c>
      <c r="I431" s="69" t="str">
        <f>IF($B431="","",IPMT(Rate,ROWS($1:419),Nper,-PV,,Type))</f>
        <v/>
      </c>
      <c r="J431" s="73" t="str">
        <f t="shared" ref="J431:K431" si="421">IF($B431="","",N(J430)+N(H431))</f>
        <v/>
      </c>
      <c r="K431" s="74" t="str">
        <f t="shared" si="421"/>
        <v/>
      </c>
      <c r="L431" s="69" t="str">
        <f>IF($B431="","",PV-J431)</f>
        <v/>
      </c>
      <c r="M431" s="71" t="str">
        <f>IF($B431="","",J431/PV)</f>
        <v/>
      </c>
      <c r="N431" s="72" t="str">
        <f t="shared" si="4"/>
        <v/>
      </c>
    </row>
    <row r="432" ht="14.25" customHeight="1">
      <c r="B432" s="66" t="str">
        <f>IF(ROWS($1:420)&lt;=Nper,ROWS($1:420),"")</f>
        <v/>
      </c>
      <c r="C432" s="67" t="str">
        <f>IF($B432="","",IF($E$7="Weekly",Start_Date+7*(ROWS($1:420)-1),EDATE(Start_Date,VLOOKUP(IF(ASTemp!$E$7="","Monthly",ASTemp!$E$7),Parameters!$B$3:$D$6,3,0)*(ROWS($1:420)-1))))</f>
        <v/>
      </c>
      <c r="D432" s="68" t="str">
        <f t="shared" si="2"/>
        <v/>
      </c>
      <c r="E432" s="65" t="str">
        <f>IF($B432="","",VLOOKUP(MONTH(C432),Parameters!$F$2:$G$13,2,0))</f>
        <v/>
      </c>
      <c r="F432" s="69" t="str">
        <f>IF($B432="","",PV-N(J431))</f>
        <v/>
      </c>
      <c r="G432" s="69" t="str">
        <f>IF($B432="","",PMT(Rate,Nper,-PV,,Type))</f>
        <v/>
      </c>
      <c r="H432" s="69" t="str">
        <f>IF($B432="","",PPMT(Rate,ROWS($1:420),Nper,-PV,,Type))</f>
        <v/>
      </c>
      <c r="I432" s="69" t="str">
        <f>IF($B432="","",IPMT(Rate,ROWS($1:420),Nper,-PV,,Type))</f>
        <v/>
      </c>
      <c r="J432" s="73" t="str">
        <f t="shared" ref="J432:K432" si="422">IF($B432="","",N(J431)+N(H432))</f>
        <v/>
      </c>
      <c r="K432" s="74" t="str">
        <f t="shared" si="422"/>
        <v/>
      </c>
      <c r="L432" s="69" t="str">
        <f>IF($B432="","",PV-J432)</f>
        <v/>
      </c>
      <c r="M432" s="71" t="str">
        <f>IF($B432="","",J432/PV)</f>
        <v/>
      </c>
      <c r="N432" s="72" t="str">
        <f t="shared" si="4"/>
        <v/>
      </c>
    </row>
    <row r="433" ht="14.25" customHeight="1">
      <c r="B433" s="66" t="str">
        <f>IF(ROWS($1:421)&lt;=Nper,ROWS($1:421),"")</f>
        <v/>
      </c>
      <c r="C433" s="67" t="str">
        <f>IF($B433="","",IF($E$7="Weekly",Start_Date+7*(ROWS($1:421)-1),EDATE(Start_Date,VLOOKUP(IF(ASTemp!$E$7="","Monthly",ASTemp!$E$7),Parameters!$B$3:$D$6,3,0)*(ROWS($1:421)-1))))</f>
        <v/>
      </c>
      <c r="D433" s="68" t="str">
        <f t="shared" si="2"/>
        <v/>
      </c>
      <c r="E433" s="65" t="str">
        <f>IF($B433="","",VLOOKUP(MONTH(C433),Parameters!$F$2:$G$13,2,0))</f>
        <v/>
      </c>
      <c r="F433" s="69" t="str">
        <f>IF($B433="","",PV-N(J432))</f>
        <v/>
      </c>
      <c r="G433" s="69" t="str">
        <f>IF($B433="","",PMT(Rate,Nper,-PV,,Type))</f>
        <v/>
      </c>
      <c r="H433" s="69" t="str">
        <f>IF($B433="","",PPMT(Rate,ROWS($1:421),Nper,-PV,,Type))</f>
        <v/>
      </c>
      <c r="I433" s="69" t="str">
        <f>IF($B433="","",IPMT(Rate,ROWS($1:421),Nper,-PV,,Type))</f>
        <v/>
      </c>
      <c r="J433" s="73" t="str">
        <f t="shared" ref="J433:K433" si="423">IF($B433="","",N(J432)+N(H433))</f>
        <v/>
      </c>
      <c r="K433" s="74" t="str">
        <f t="shared" si="423"/>
        <v/>
      </c>
      <c r="L433" s="69" t="str">
        <f>IF($B433="","",PV-J433)</f>
        <v/>
      </c>
      <c r="M433" s="71" t="str">
        <f>IF($B433="","",J433/PV)</f>
        <v/>
      </c>
      <c r="N433" s="72" t="str">
        <f t="shared" si="4"/>
        <v/>
      </c>
    </row>
    <row r="434" ht="14.25" customHeight="1">
      <c r="B434" s="66" t="str">
        <f>IF(ROWS($1:422)&lt;=Nper,ROWS($1:422),"")</f>
        <v/>
      </c>
      <c r="C434" s="67" t="str">
        <f>IF($B434="","",IF($E$7="Weekly",Start_Date+7*(ROWS($1:422)-1),EDATE(Start_Date,VLOOKUP(IF(ASTemp!$E$7="","Monthly",ASTemp!$E$7),Parameters!$B$3:$D$6,3,0)*(ROWS($1:422)-1))))</f>
        <v/>
      </c>
      <c r="D434" s="68" t="str">
        <f t="shared" si="2"/>
        <v/>
      </c>
      <c r="E434" s="65" t="str">
        <f>IF($B434="","",VLOOKUP(MONTH(C434),Parameters!$F$2:$G$13,2,0))</f>
        <v/>
      </c>
      <c r="F434" s="69" t="str">
        <f>IF($B434="","",PV-N(J433))</f>
        <v/>
      </c>
      <c r="G434" s="69" t="str">
        <f>IF($B434="","",PMT(Rate,Nper,-PV,,Type))</f>
        <v/>
      </c>
      <c r="H434" s="69" t="str">
        <f>IF($B434="","",PPMT(Rate,ROWS($1:422),Nper,-PV,,Type))</f>
        <v/>
      </c>
      <c r="I434" s="69" t="str">
        <f>IF($B434="","",IPMT(Rate,ROWS($1:422),Nper,-PV,,Type))</f>
        <v/>
      </c>
      <c r="J434" s="73" t="str">
        <f t="shared" ref="J434:K434" si="424">IF($B434="","",N(J433)+N(H434))</f>
        <v/>
      </c>
      <c r="K434" s="74" t="str">
        <f t="shared" si="424"/>
        <v/>
      </c>
      <c r="L434" s="69" t="str">
        <f>IF($B434="","",PV-J434)</f>
        <v/>
      </c>
      <c r="M434" s="71" t="str">
        <f>IF($B434="","",J434/PV)</f>
        <v/>
      </c>
      <c r="N434" s="72" t="str">
        <f t="shared" si="4"/>
        <v/>
      </c>
    </row>
    <row r="435" ht="14.25" customHeight="1">
      <c r="B435" s="66" t="str">
        <f>IF(ROWS($1:423)&lt;=Nper,ROWS($1:423),"")</f>
        <v/>
      </c>
      <c r="C435" s="67" t="str">
        <f>IF($B435="","",IF($E$7="Weekly",Start_Date+7*(ROWS($1:423)-1),EDATE(Start_Date,VLOOKUP(IF(ASTemp!$E$7="","Monthly",ASTemp!$E$7),Parameters!$B$3:$D$6,3,0)*(ROWS($1:423)-1))))</f>
        <v/>
      </c>
      <c r="D435" s="68" t="str">
        <f t="shared" si="2"/>
        <v/>
      </c>
      <c r="E435" s="65" t="str">
        <f>IF($B435="","",VLOOKUP(MONTH(C435),Parameters!$F$2:$G$13,2,0))</f>
        <v/>
      </c>
      <c r="F435" s="69" t="str">
        <f>IF($B435="","",PV-N(J434))</f>
        <v/>
      </c>
      <c r="G435" s="69" t="str">
        <f>IF($B435="","",PMT(Rate,Nper,-PV,,Type))</f>
        <v/>
      </c>
      <c r="H435" s="69" t="str">
        <f>IF($B435="","",PPMT(Rate,ROWS($1:423),Nper,-PV,,Type))</f>
        <v/>
      </c>
      <c r="I435" s="69" t="str">
        <f>IF($B435="","",IPMT(Rate,ROWS($1:423),Nper,-PV,,Type))</f>
        <v/>
      </c>
      <c r="J435" s="73" t="str">
        <f t="shared" ref="J435:K435" si="425">IF($B435="","",N(J434)+N(H435))</f>
        <v/>
      </c>
      <c r="K435" s="74" t="str">
        <f t="shared" si="425"/>
        <v/>
      </c>
      <c r="L435" s="69" t="str">
        <f>IF($B435="","",PV-J435)</f>
        <v/>
      </c>
      <c r="M435" s="71" t="str">
        <f>IF($B435="","",J435/PV)</f>
        <v/>
      </c>
      <c r="N435" s="72" t="str">
        <f t="shared" si="4"/>
        <v/>
      </c>
    </row>
    <row r="436" ht="14.25" customHeight="1">
      <c r="B436" s="66" t="str">
        <f>IF(ROWS($1:424)&lt;=Nper,ROWS($1:424),"")</f>
        <v/>
      </c>
      <c r="C436" s="67" t="str">
        <f>IF($B436="","",IF($E$7="Weekly",Start_Date+7*(ROWS($1:424)-1),EDATE(Start_Date,VLOOKUP(IF(ASTemp!$E$7="","Monthly",ASTemp!$E$7),Parameters!$B$3:$D$6,3,0)*(ROWS($1:424)-1))))</f>
        <v/>
      </c>
      <c r="D436" s="68" t="str">
        <f t="shared" si="2"/>
        <v/>
      </c>
      <c r="E436" s="65" t="str">
        <f>IF($B436="","",VLOOKUP(MONTH(C436),Parameters!$F$2:$G$13,2,0))</f>
        <v/>
      </c>
      <c r="F436" s="69" t="str">
        <f>IF($B436="","",PV-N(J435))</f>
        <v/>
      </c>
      <c r="G436" s="69" t="str">
        <f>IF($B436="","",PMT(Rate,Nper,-PV,,Type))</f>
        <v/>
      </c>
      <c r="H436" s="69" t="str">
        <f>IF($B436="","",PPMT(Rate,ROWS($1:424),Nper,-PV,,Type))</f>
        <v/>
      </c>
      <c r="I436" s="69" t="str">
        <f>IF($B436="","",IPMT(Rate,ROWS($1:424),Nper,-PV,,Type))</f>
        <v/>
      </c>
      <c r="J436" s="73" t="str">
        <f t="shared" ref="J436:K436" si="426">IF($B436="","",N(J435)+N(H436))</f>
        <v/>
      </c>
      <c r="K436" s="74" t="str">
        <f t="shared" si="426"/>
        <v/>
      </c>
      <c r="L436" s="69" t="str">
        <f>IF($B436="","",PV-J436)</f>
        <v/>
      </c>
      <c r="M436" s="71" t="str">
        <f>IF($B436="","",J436/PV)</f>
        <v/>
      </c>
      <c r="N436" s="72" t="str">
        <f t="shared" si="4"/>
        <v/>
      </c>
    </row>
    <row r="437" ht="14.25" customHeight="1">
      <c r="B437" s="66" t="str">
        <f>IF(ROWS($1:425)&lt;=Nper,ROWS($1:425),"")</f>
        <v/>
      </c>
      <c r="C437" s="67" t="str">
        <f>IF($B437="","",IF($E$7="Weekly",Start_Date+7*(ROWS($1:425)-1),EDATE(Start_Date,VLOOKUP(IF(ASTemp!$E$7="","Monthly",ASTemp!$E$7),Parameters!$B$3:$D$6,3,0)*(ROWS($1:425)-1))))</f>
        <v/>
      </c>
      <c r="D437" s="68" t="str">
        <f t="shared" si="2"/>
        <v/>
      </c>
      <c r="E437" s="65" t="str">
        <f>IF($B437="","",VLOOKUP(MONTH(C437),Parameters!$F$2:$G$13,2,0))</f>
        <v/>
      </c>
      <c r="F437" s="69" t="str">
        <f>IF($B437="","",PV-N(J436))</f>
        <v/>
      </c>
      <c r="G437" s="69" t="str">
        <f>IF($B437="","",PMT(Rate,Nper,-PV,,Type))</f>
        <v/>
      </c>
      <c r="H437" s="69" t="str">
        <f>IF($B437="","",PPMT(Rate,ROWS($1:425),Nper,-PV,,Type))</f>
        <v/>
      </c>
      <c r="I437" s="69" t="str">
        <f>IF($B437="","",IPMT(Rate,ROWS($1:425),Nper,-PV,,Type))</f>
        <v/>
      </c>
      <c r="J437" s="73" t="str">
        <f t="shared" ref="J437:K437" si="427">IF($B437="","",N(J436)+N(H437))</f>
        <v/>
      </c>
      <c r="K437" s="74" t="str">
        <f t="shared" si="427"/>
        <v/>
      </c>
      <c r="L437" s="69" t="str">
        <f>IF($B437="","",PV-J437)</f>
        <v/>
      </c>
      <c r="M437" s="71" t="str">
        <f>IF($B437="","",J437/PV)</f>
        <v/>
      </c>
      <c r="N437" s="72" t="str">
        <f t="shared" si="4"/>
        <v/>
      </c>
    </row>
    <row r="438" ht="14.25" customHeight="1">
      <c r="B438" s="66" t="str">
        <f>IF(ROWS($1:426)&lt;=Nper,ROWS($1:426),"")</f>
        <v/>
      </c>
      <c r="C438" s="67" t="str">
        <f>IF($B438="","",IF($E$7="Weekly",Start_Date+7*(ROWS($1:426)-1),EDATE(Start_Date,VLOOKUP(IF(ASTemp!$E$7="","Monthly",ASTemp!$E$7),Parameters!$B$3:$D$6,3,0)*(ROWS($1:426)-1))))</f>
        <v/>
      </c>
      <c r="D438" s="68" t="str">
        <f t="shared" si="2"/>
        <v/>
      </c>
      <c r="E438" s="65" t="str">
        <f>IF($B438="","",VLOOKUP(MONTH(C438),Parameters!$F$2:$G$13,2,0))</f>
        <v/>
      </c>
      <c r="F438" s="69" t="str">
        <f>IF($B438="","",PV-N(J437))</f>
        <v/>
      </c>
      <c r="G438" s="69" t="str">
        <f>IF($B438="","",PMT(Rate,Nper,-PV,,Type))</f>
        <v/>
      </c>
      <c r="H438" s="69" t="str">
        <f>IF($B438="","",PPMT(Rate,ROWS($1:426),Nper,-PV,,Type))</f>
        <v/>
      </c>
      <c r="I438" s="69" t="str">
        <f>IF($B438="","",IPMT(Rate,ROWS($1:426),Nper,-PV,,Type))</f>
        <v/>
      </c>
      <c r="J438" s="73" t="str">
        <f t="shared" ref="J438:K438" si="428">IF($B438="","",N(J437)+N(H438))</f>
        <v/>
      </c>
      <c r="K438" s="74" t="str">
        <f t="shared" si="428"/>
        <v/>
      </c>
      <c r="L438" s="69" t="str">
        <f>IF($B438="","",PV-J438)</f>
        <v/>
      </c>
      <c r="M438" s="71" t="str">
        <f>IF($B438="","",J438/PV)</f>
        <v/>
      </c>
      <c r="N438" s="72" t="str">
        <f t="shared" si="4"/>
        <v/>
      </c>
    </row>
    <row r="439" ht="14.25" customHeight="1">
      <c r="B439" s="66" t="str">
        <f>IF(ROWS($1:427)&lt;=Nper,ROWS($1:427),"")</f>
        <v/>
      </c>
      <c r="C439" s="67" t="str">
        <f>IF($B439="","",IF($E$7="Weekly",Start_Date+7*(ROWS($1:427)-1),EDATE(Start_Date,VLOOKUP(IF(ASTemp!$E$7="","Monthly",ASTemp!$E$7),Parameters!$B$3:$D$6,3,0)*(ROWS($1:427)-1))))</f>
        <v/>
      </c>
      <c r="D439" s="68" t="str">
        <f t="shared" si="2"/>
        <v/>
      </c>
      <c r="E439" s="65" t="str">
        <f>IF($B439="","",VLOOKUP(MONTH(C439),Parameters!$F$2:$G$13,2,0))</f>
        <v/>
      </c>
      <c r="F439" s="69" t="str">
        <f>IF($B439="","",PV-N(J438))</f>
        <v/>
      </c>
      <c r="G439" s="69" t="str">
        <f>IF($B439="","",PMT(Rate,Nper,-PV,,Type))</f>
        <v/>
      </c>
      <c r="H439" s="69" t="str">
        <f>IF($B439="","",PPMT(Rate,ROWS($1:427),Nper,-PV,,Type))</f>
        <v/>
      </c>
      <c r="I439" s="69" t="str">
        <f>IF($B439="","",IPMT(Rate,ROWS($1:427),Nper,-PV,,Type))</f>
        <v/>
      </c>
      <c r="J439" s="73" t="str">
        <f t="shared" ref="J439:K439" si="429">IF($B439="","",N(J438)+N(H439))</f>
        <v/>
      </c>
      <c r="K439" s="74" t="str">
        <f t="shared" si="429"/>
        <v/>
      </c>
      <c r="L439" s="69" t="str">
        <f>IF($B439="","",PV-J439)</f>
        <v/>
      </c>
      <c r="M439" s="71" t="str">
        <f>IF($B439="","",J439/PV)</f>
        <v/>
      </c>
      <c r="N439" s="72" t="str">
        <f t="shared" si="4"/>
        <v/>
      </c>
    </row>
    <row r="440" ht="14.25" customHeight="1">
      <c r="B440" s="66" t="str">
        <f>IF(ROWS($1:428)&lt;=Nper,ROWS($1:428),"")</f>
        <v/>
      </c>
      <c r="C440" s="67" t="str">
        <f>IF($B440="","",IF($E$7="Weekly",Start_Date+7*(ROWS($1:428)-1),EDATE(Start_Date,VLOOKUP(IF(ASTemp!$E$7="","Monthly",ASTemp!$E$7),Parameters!$B$3:$D$6,3,0)*(ROWS($1:428)-1))))</f>
        <v/>
      </c>
      <c r="D440" s="68" t="str">
        <f t="shared" si="2"/>
        <v/>
      </c>
      <c r="E440" s="65" t="str">
        <f>IF($B440="","",VLOOKUP(MONTH(C440),Parameters!$F$2:$G$13,2,0))</f>
        <v/>
      </c>
      <c r="F440" s="69" t="str">
        <f>IF($B440="","",PV-N(J439))</f>
        <v/>
      </c>
      <c r="G440" s="69" t="str">
        <f>IF($B440="","",PMT(Rate,Nper,-PV,,Type))</f>
        <v/>
      </c>
      <c r="H440" s="69" t="str">
        <f>IF($B440="","",PPMT(Rate,ROWS($1:428),Nper,-PV,,Type))</f>
        <v/>
      </c>
      <c r="I440" s="69" t="str">
        <f>IF($B440="","",IPMT(Rate,ROWS($1:428),Nper,-PV,,Type))</f>
        <v/>
      </c>
      <c r="J440" s="73" t="str">
        <f t="shared" ref="J440:K440" si="430">IF($B440="","",N(J439)+N(H440))</f>
        <v/>
      </c>
      <c r="K440" s="74" t="str">
        <f t="shared" si="430"/>
        <v/>
      </c>
      <c r="L440" s="69" t="str">
        <f>IF($B440="","",PV-J440)</f>
        <v/>
      </c>
      <c r="M440" s="71" t="str">
        <f>IF($B440="","",J440/PV)</f>
        <v/>
      </c>
      <c r="N440" s="72" t="str">
        <f t="shared" si="4"/>
        <v/>
      </c>
    </row>
    <row r="441" ht="14.25" customHeight="1">
      <c r="B441" s="66" t="str">
        <f>IF(ROWS($1:429)&lt;=Nper,ROWS($1:429),"")</f>
        <v/>
      </c>
      <c r="C441" s="67" t="str">
        <f>IF($B441="","",IF($E$7="Weekly",Start_Date+7*(ROWS($1:429)-1),EDATE(Start_Date,VLOOKUP(IF(ASTemp!$E$7="","Monthly",ASTemp!$E$7),Parameters!$B$3:$D$6,3,0)*(ROWS($1:429)-1))))</f>
        <v/>
      </c>
      <c r="D441" s="68" t="str">
        <f t="shared" si="2"/>
        <v/>
      </c>
      <c r="E441" s="65" t="str">
        <f>IF($B441="","",VLOOKUP(MONTH(C441),Parameters!$F$2:$G$13,2,0))</f>
        <v/>
      </c>
      <c r="F441" s="69" t="str">
        <f>IF($B441="","",PV-N(J440))</f>
        <v/>
      </c>
      <c r="G441" s="69" t="str">
        <f>IF($B441="","",PMT(Rate,Nper,-PV,,Type))</f>
        <v/>
      </c>
      <c r="H441" s="69" t="str">
        <f>IF($B441="","",PPMT(Rate,ROWS($1:429),Nper,-PV,,Type))</f>
        <v/>
      </c>
      <c r="I441" s="69" t="str">
        <f>IF($B441="","",IPMT(Rate,ROWS($1:429),Nper,-PV,,Type))</f>
        <v/>
      </c>
      <c r="J441" s="73" t="str">
        <f t="shared" ref="J441:K441" si="431">IF($B441="","",N(J440)+N(H441))</f>
        <v/>
      </c>
      <c r="K441" s="74" t="str">
        <f t="shared" si="431"/>
        <v/>
      </c>
      <c r="L441" s="69" t="str">
        <f>IF($B441="","",PV-J441)</f>
        <v/>
      </c>
      <c r="M441" s="71" t="str">
        <f>IF($B441="","",J441/PV)</f>
        <v/>
      </c>
      <c r="N441" s="72" t="str">
        <f t="shared" si="4"/>
        <v/>
      </c>
    </row>
    <row r="442" ht="14.25" customHeight="1">
      <c r="B442" s="66" t="str">
        <f>IF(ROWS($1:430)&lt;=Nper,ROWS($1:430),"")</f>
        <v/>
      </c>
      <c r="C442" s="67" t="str">
        <f>IF($B442="","",IF($E$7="Weekly",Start_Date+7*(ROWS($1:430)-1),EDATE(Start_Date,VLOOKUP(IF(ASTemp!$E$7="","Monthly",ASTemp!$E$7),Parameters!$B$3:$D$6,3,0)*(ROWS($1:430)-1))))</f>
        <v/>
      </c>
      <c r="D442" s="68" t="str">
        <f t="shared" si="2"/>
        <v/>
      </c>
      <c r="E442" s="65" t="str">
        <f>IF($B442="","",VLOOKUP(MONTH(C442),Parameters!$F$2:$G$13,2,0))</f>
        <v/>
      </c>
      <c r="F442" s="69" t="str">
        <f>IF($B442="","",PV-N(J441))</f>
        <v/>
      </c>
      <c r="G442" s="69" t="str">
        <f>IF($B442="","",PMT(Rate,Nper,-PV,,Type))</f>
        <v/>
      </c>
      <c r="H442" s="69" t="str">
        <f>IF($B442="","",PPMT(Rate,ROWS($1:430),Nper,-PV,,Type))</f>
        <v/>
      </c>
      <c r="I442" s="69" t="str">
        <f>IF($B442="","",IPMT(Rate,ROWS($1:430),Nper,-PV,,Type))</f>
        <v/>
      </c>
      <c r="J442" s="73" t="str">
        <f t="shared" ref="J442:K442" si="432">IF($B442="","",N(J441)+N(H442))</f>
        <v/>
      </c>
      <c r="K442" s="74" t="str">
        <f t="shared" si="432"/>
        <v/>
      </c>
      <c r="L442" s="69" t="str">
        <f>IF($B442="","",PV-J442)</f>
        <v/>
      </c>
      <c r="M442" s="71" t="str">
        <f>IF($B442="","",J442/PV)</f>
        <v/>
      </c>
      <c r="N442" s="72" t="str">
        <f t="shared" si="4"/>
        <v/>
      </c>
    </row>
    <row r="443" ht="14.25" customHeight="1">
      <c r="B443" s="66" t="str">
        <f>IF(ROWS($1:431)&lt;=Nper,ROWS($1:431),"")</f>
        <v/>
      </c>
      <c r="C443" s="67" t="str">
        <f>IF($B443="","",IF($E$7="Weekly",Start_Date+7*(ROWS($1:431)-1),EDATE(Start_Date,VLOOKUP(IF(ASTemp!$E$7="","Monthly",ASTemp!$E$7),Parameters!$B$3:$D$6,3,0)*(ROWS($1:431)-1))))</f>
        <v/>
      </c>
      <c r="D443" s="68" t="str">
        <f t="shared" si="2"/>
        <v/>
      </c>
      <c r="E443" s="65" t="str">
        <f>IF($B443="","",VLOOKUP(MONTH(C443),Parameters!$F$2:$G$13,2,0))</f>
        <v/>
      </c>
      <c r="F443" s="69" t="str">
        <f>IF($B443="","",PV-N(J442))</f>
        <v/>
      </c>
      <c r="G443" s="69" t="str">
        <f>IF($B443="","",PMT(Rate,Nper,-PV,,Type))</f>
        <v/>
      </c>
      <c r="H443" s="69" t="str">
        <f>IF($B443="","",PPMT(Rate,ROWS($1:431),Nper,-PV,,Type))</f>
        <v/>
      </c>
      <c r="I443" s="69" t="str">
        <f>IF($B443="","",IPMT(Rate,ROWS($1:431),Nper,-PV,,Type))</f>
        <v/>
      </c>
      <c r="J443" s="73" t="str">
        <f t="shared" ref="J443:K443" si="433">IF($B443="","",N(J442)+N(H443))</f>
        <v/>
      </c>
      <c r="K443" s="74" t="str">
        <f t="shared" si="433"/>
        <v/>
      </c>
      <c r="L443" s="69" t="str">
        <f>IF($B443="","",PV-J443)</f>
        <v/>
      </c>
      <c r="M443" s="71" t="str">
        <f>IF($B443="","",J443/PV)</f>
        <v/>
      </c>
      <c r="N443" s="72" t="str">
        <f t="shared" si="4"/>
        <v/>
      </c>
    </row>
    <row r="444" ht="14.25" customHeight="1">
      <c r="B444" s="66" t="str">
        <f>IF(ROWS($1:432)&lt;=Nper,ROWS($1:432),"")</f>
        <v/>
      </c>
      <c r="C444" s="67" t="str">
        <f>IF($B444="","",IF($E$7="Weekly",Start_Date+7*(ROWS($1:432)-1),EDATE(Start_Date,VLOOKUP(IF(ASTemp!$E$7="","Monthly",ASTemp!$E$7),Parameters!$B$3:$D$6,3,0)*(ROWS($1:432)-1))))</f>
        <v/>
      </c>
      <c r="D444" s="68" t="str">
        <f t="shared" si="2"/>
        <v/>
      </c>
      <c r="E444" s="65" t="str">
        <f>IF($B444="","",VLOOKUP(MONTH(C444),Parameters!$F$2:$G$13,2,0))</f>
        <v/>
      </c>
      <c r="F444" s="69" t="str">
        <f>IF($B444="","",PV-N(J443))</f>
        <v/>
      </c>
      <c r="G444" s="69" t="str">
        <f>IF($B444="","",PMT(Rate,Nper,-PV,,Type))</f>
        <v/>
      </c>
      <c r="H444" s="69" t="str">
        <f>IF($B444="","",PPMT(Rate,ROWS($1:432),Nper,-PV,,Type))</f>
        <v/>
      </c>
      <c r="I444" s="69" t="str">
        <f>IF($B444="","",IPMT(Rate,ROWS($1:432),Nper,-PV,,Type))</f>
        <v/>
      </c>
      <c r="J444" s="73" t="str">
        <f t="shared" ref="J444:K444" si="434">IF($B444="","",N(J443)+N(H444))</f>
        <v/>
      </c>
      <c r="K444" s="74" t="str">
        <f t="shared" si="434"/>
        <v/>
      </c>
      <c r="L444" s="69" t="str">
        <f>IF($B444="","",PV-J444)</f>
        <v/>
      </c>
      <c r="M444" s="71" t="str">
        <f>IF($B444="","",J444/PV)</f>
        <v/>
      </c>
      <c r="N444" s="72" t="str">
        <f t="shared" si="4"/>
        <v/>
      </c>
    </row>
    <row r="445" ht="14.25" customHeight="1">
      <c r="B445" s="66" t="str">
        <f>IF(ROWS($1:433)&lt;=Nper,ROWS($1:433),"")</f>
        <v/>
      </c>
      <c r="C445" s="67" t="str">
        <f>IF($B445="","",IF($E$7="Weekly",Start_Date+7*(ROWS($1:433)-1),EDATE(Start_Date,VLOOKUP(IF(ASTemp!$E$7="","Monthly",ASTemp!$E$7),Parameters!$B$3:$D$6,3,0)*(ROWS($1:433)-1))))</f>
        <v/>
      </c>
      <c r="D445" s="68" t="str">
        <f t="shared" si="2"/>
        <v/>
      </c>
      <c r="E445" s="65" t="str">
        <f>IF($B445="","",VLOOKUP(MONTH(C445),Parameters!$F$2:$G$13,2,0))</f>
        <v/>
      </c>
      <c r="F445" s="69" t="str">
        <f>IF($B445="","",PV-N(J444))</f>
        <v/>
      </c>
      <c r="G445" s="69" t="str">
        <f>IF($B445="","",PMT(Rate,Nper,-PV,,Type))</f>
        <v/>
      </c>
      <c r="H445" s="69" t="str">
        <f>IF($B445="","",PPMT(Rate,ROWS($1:433),Nper,-PV,,Type))</f>
        <v/>
      </c>
      <c r="I445" s="69" t="str">
        <f>IF($B445="","",IPMT(Rate,ROWS($1:433),Nper,-PV,,Type))</f>
        <v/>
      </c>
      <c r="J445" s="73" t="str">
        <f t="shared" ref="J445:K445" si="435">IF($B445="","",N(J444)+N(H445))</f>
        <v/>
      </c>
      <c r="K445" s="74" t="str">
        <f t="shared" si="435"/>
        <v/>
      </c>
      <c r="L445" s="69" t="str">
        <f>IF($B445="","",PV-J445)</f>
        <v/>
      </c>
      <c r="M445" s="71" t="str">
        <f>IF($B445="","",J445/PV)</f>
        <v/>
      </c>
      <c r="N445" s="72" t="str">
        <f t="shared" si="4"/>
        <v/>
      </c>
    </row>
    <row r="446" ht="14.25" customHeight="1">
      <c r="B446" s="66" t="str">
        <f>IF(ROWS($1:434)&lt;=Nper,ROWS($1:434),"")</f>
        <v/>
      </c>
      <c r="C446" s="67" t="str">
        <f>IF($B446="","",IF($E$7="Weekly",Start_Date+7*(ROWS($1:434)-1),EDATE(Start_Date,VLOOKUP(IF(ASTemp!$E$7="","Monthly",ASTemp!$E$7),Parameters!$B$3:$D$6,3,0)*(ROWS($1:434)-1))))</f>
        <v/>
      </c>
      <c r="D446" s="68" t="str">
        <f t="shared" si="2"/>
        <v/>
      </c>
      <c r="E446" s="65" t="str">
        <f>IF($B446="","",VLOOKUP(MONTH(C446),Parameters!$F$2:$G$13,2,0))</f>
        <v/>
      </c>
      <c r="F446" s="69" t="str">
        <f>IF($B446="","",PV-N(J445))</f>
        <v/>
      </c>
      <c r="G446" s="69" t="str">
        <f>IF($B446="","",PMT(Rate,Nper,-PV,,Type))</f>
        <v/>
      </c>
      <c r="H446" s="69" t="str">
        <f>IF($B446="","",PPMT(Rate,ROWS($1:434),Nper,-PV,,Type))</f>
        <v/>
      </c>
      <c r="I446" s="69" t="str">
        <f>IF($B446="","",IPMT(Rate,ROWS($1:434),Nper,-PV,,Type))</f>
        <v/>
      </c>
      <c r="J446" s="73" t="str">
        <f t="shared" ref="J446:K446" si="436">IF($B446="","",N(J445)+N(H446))</f>
        <v/>
      </c>
      <c r="K446" s="74" t="str">
        <f t="shared" si="436"/>
        <v/>
      </c>
      <c r="L446" s="69" t="str">
        <f>IF($B446="","",PV-J446)</f>
        <v/>
      </c>
      <c r="M446" s="71" t="str">
        <f>IF($B446="","",J446/PV)</f>
        <v/>
      </c>
      <c r="N446" s="72" t="str">
        <f t="shared" si="4"/>
        <v/>
      </c>
    </row>
    <row r="447" ht="14.25" customHeight="1">
      <c r="B447" s="66" t="str">
        <f>IF(ROWS($1:435)&lt;=Nper,ROWS($1:435),"")</f>
        <v/>
      </c>
      <c r="C447" s="67" t="str">
        <f>IF($B447="","",IF($E$7="Weekly",Start_Date+7*(ROWS($1:435)-1),EDATE(Start_Date,VLOOKUP(IF(ASTemp!$E$7="","Monthly",ASTemp!$E$7),Parameters!$B$3:$D$6,3,0)*(ROWS($1:435)-1))))</f>
        <v/>
      </c>
      <c r="D447" s="68" t="str">
        <f t="shared" si="2"/>
        <v/>
      </c>
      <c r="E447" s="65" t="str">
        <f>IF($B447="","",VLOOKUP(MONTH(C447),Parameters!$F$2:$G$13,2,0))</f>
        <v/>
      </c>
      <c r="F447" s="69" t="str">
        <f>IF($B447="","",PV-N(J446))</f>
        <v/>
      </c>
      <c r="G447" s="69" t="str">
        <f>IF($B447="","",PMT(Rate,Nper,-PV,,Type))</f>
        <v/>
      </c>
      <c r="H447" s="69" t="str">
        <f>IF($B447="","",PPMT(Rate,ROWS($1:435),Nper,-PV,,Type))</f>
        <v/>
      </c>
      <c r="I447" s="69" t="str">
        <f>IF($B447="","",IPMT(Rate,ROWS($1:435),Nper,-PV,,Type))</f>
        <v/>
      </c>
      <c r="J447" s="73" t="str">
        <f t="shared" ref="J447:K447" si="437">IF($B447="","",N(J446)+N(H447))</f>
        <v/>
      </c>
      <c r="K447" s="74" t="str">
        <f t="shared" si="437"/>
        <v/>
      </c>
      <c r="L447" s="69" t="str">
        <f>IF($B447="","",PV-J447)</f>
        <v/>
      </c>
      <c r="M447" s="71" t="str">
        <f>IF($B447="","",J447/PV)</f>
        <v/>
      </c>
      <c r="N447" s="72" t="str">
        <f t="shared" si="4"/>
        <v/>
      </c>
    </row>
    <row r="448" ht="14.25" customHeight="1">
      <c r="B448" s="66" t="str">
        <f>IF(ROWS($1:436)&lt;=Nper,ROWS($1:436),"")</f>
        <v/>
      </c>
      <c r="C448" s="67" t="str">
        <f>IF($B448="","",IF($E$7="Weekly",Start_Date+7*(ROWS($1:436)-1),EDATE(Start_Date,VLOOKUP(IF(ASTemp!$E$7="","Monthly",ASTemp!$E$7),Parameters!$B$3:$D$6,3,0)*(ROWS($1:436)-1))))</f>
        <v/>
      </c>
      <c r="D448" s="68" t="str">
        <f t="shared" si="2"/>
        <v/>
      </c>
      <c r="E448" s="65" t="str">
        <f>IF($B448="","",VLOOKUP(MONTH(C448),Parameters!$F$2:$G$13,2,0))</f>
        <v/>
      </c>
      <c r="F448" s="69" t="str">
        <f>IF($B448="","",PV-N(J447))</f>
        <v/>
      </c>
      <c r="G448" s="69" t="str">
        <f>IF($B448="","",PMT(Rate,Nper,-PV,,Type))</f>
        <v/>
      </c>
      <c r="H448" s="69" t="str">
        <f>IF($B448="","",PPMT(Rate,ROWS($1:436),Nper,-PV,,Type))</f>
        <v/>
      </c>
      <c r="I448" s="69" t="str">
        <f>IF($B448="","",IPMT(Rate,ROWS($1:436),Nper,-PV,,Type))</f>
        <v/>
      </c>
      <c r="J448" s="73" t="str">
        <f t="shared" ref="J448:K448" si="438">IF($B448="","",N(J447)+N(H448))</f>
        <v/>
      </c>
      <c r="K448" s="74" t="str">
        <f t="shared" si="438"/>
        <v/>
      </c>
      <c r="L448" s="69" t="str">
        <f>IF($B448="","",PV-J448)</f>
        <v/>
      </c>
      <c r="M448" s="71" t="str">
        <f>IF($B448="","",J448/PV)</f>
        <v/>
      </c>
      <c r="N448" s="72" t="str">
        <f t="shared" si="4"/>
        <v/>
      </c>
    </row>
    <row r="449" ht="14.25" customHeight="1">
      <c r="B449" s="66" t="str">
        <f>IF(ROWS($1:437)&lt;=Nper,ROWS($1:437),"")</f>
        <v/>
      </c>
      <c r="C449" s="67" t="str">
        <f>IF($B449="","",IF($E$7="Weekly",Start_Date+7*(ROWS($1:437)-1),EDATE(Start_Date,VLOOKUP(IF(ASTemp!$E$7="","Monthly",ASTemp!$E$7),Parameters!$B$3:$D$6,3,0)*(ROWS($1:437)-1))))</f>
        <v/>
      </c>
      <c r="D449" s="68" t="str">
        <f t="shared" si="2"/>
        <v/>
      </c>
      <c r="E449" s="65" t="str">
        <f>IF($B449="","",VLOOKUP(MONTH(C449),Parameters!$F$2:$G$13,2,0))</f>
        <v/>
      </c>
      <c r="F449" s="69" t="str">
        <f>IF($B449="","",PV-N(J448))</f>
        <v/>
      </c>
      <c r="G449" s="69" t="str">
        <f>IF($B449="","",PMT(Rate,Nper,-PV,,Type))</f>
        <v/>
      </c>
      <c r="H449" s="69" t="str">
        <f>IF($B449="","",PPMT(Rate,ROWS($1:437),Nper,-PV,,Type))</f>
        <v/>
      </c>
      <c r="I449" s="69" t="str">
        <f>IF($B449="","",IPMT(Rate,ROWS($1:437),Nper,-PV,,Type))</f>
        <v/>
      </c>
      <c r="J449" s="73" t="str">
        <f t="shared" ref="J449:K449" si="439">IF($B449="","",N(J448)+N(H449))</f>
        <v/>
      </c>
      <c r="K449" s="74" t="str">
        <f t="shared" si="439"/>
        <v/>
      </c>
      <c r="L449" s="69" t="str">
        <f>IF($B449="","",PV-J449)</f>
        <v/>
      </c>
      <c r="M449" s="71" t="str">
        <f>IF($B449="","",J449/PV)</f>
        <v/>
      </c>
      <c r="N449" s="72" t="str">
        <f t="shared" si="4"/>
        <v/>
      </c>
    </row>
    <row r="450" ht="14.25" customHeight="1">
      <c r="B450" s="66" t="str">
        <f>IF(ROWS($1:438)&lt;=Nper,ROWS($1:438),"")</f>
        <v/>
      </c>
      <c r="C450" s="67" t="str">
        <f>IF($B450="","",IF($E$7="Weekly",Start_Date+7*(ROWS($1:438)-1),EDATE(Start_Date,VLOOKUP(IF(ASTemp!$E$7="","Monthly",ASTemp!$E$7),Parameters!$B$3:$D$6,3,0)*(ROWS($1:438)-1))))</f>
        <v/>
      </c>
      <c r="D450" s="68" t="str">
        <f t="shared" si="2"/>
        <v/>
      </c>
      <c r="E450" s="65" t="str">
        <f>IF($B450="","",VLOOKUP(MONTH(C450),Parameters!$F$2:$G$13,2,0))</f>
        <v/>
      </c>
      <c r="F450" s="69" t="str">
        <f>IF($B450="","",PV-N(J449))</f>
        <v/>
      </c>
      <c r="G450" s="69" t="str">
        <f>IF($B450="","",PMT(Rate,Nper,-PV,,Type))</f>
        <v/>
      </c>
      <c r="H450" s="69" t="str">
        <f>IF($B450="","",PPMT(Rate,ROWS($1:438),Nper,-PV,,Type))</f>
        <v/>
      </c>
      <c r="I450" s="69" t="str">
        <f>IF($B450="","",IPMT(Rate,ROWS($1:438),Nper,-PV,,Type))</f>
        <v/>
      </c>
      <c r="J450" s="73" t="str">
        <f t="shared" ref="J450:K450" si="440">IF($B450="","",N(J449)+N(H450))</f>
        <v/>
      </c>
      <c r="K450" s="74" t="str">
        <f t="shared" si="440"/>
        <v/>
      </c>
      <c r="L450" s="69" t="str">
        <f>IF($B450="","",PV-J450)</f>
        <v/>
      </c>
      <c r="M450" s="71" t="str">
        <f>IF($B450="","",J450/PV)</f>
        <v/>
      </c>
      <c r="N450" s="72" t="str">
        <f t="shared" si="4"/>
        <v/>
      </c>
    </row>
    <row r="451" ht="14.25" customHeight="1">
      <c r="B451" s="66" t="str">
        <f>IF(ROWS($1:439)&lt;=Nper,ROWS($1:439),"")</f>
        <v/>
      </c>
      <c r="C451" s="67" t="str">
        <f>IF($B451="","",IF($E$7="Weekly",Start_Date+7*(ROWS($1:439)-1),EDATE(Start_Date,VLOOKUP(IF(ASTemp!$E$7="","Monthly",ASTemp!$E$7),Parameters!$B$3:$D$6,3,0)*(ROWS($1:439)-1))))</f>
        <v/>
      </c>
      <c r="D451" s="68" t="str">
        <f t="shared" si="2"/>
        <v/>
      </c>
      <c r="E451" s="65" t="str">
        <f>IF($B451="","",VLOOKUP(MONTH(C451),Parameters!$F$2:$G$13,2,0))</f>
        <v/>
      </c>
      <c r="F451" s="69" t="str">
        <f>IF($B451="","",PV-N(J450))</f>
        <v/>
      </c>
      <c r="G451" s="69" t="str">
        <f>IF($B451="","",PMT(Rate,Nper,-PV,,Type))</f>
        <v/>
      </c>
      <c r="H451" s="69" t="str">
        <f>IF($B451="","",PPMT(Rate,ROWS($1:439),Nper,-PV,,Type))</f>
        <v/>
      </c>
      <c r="I451" s="69" t="str">
        <f>IF($B451="","",IPMT(Rate,ROWS($1:439),Nper,-PV,,Type))</f>
        <v/>
      </c>
      <c r="J451" s="73" t="str">
        <f t="shared" ref="J451:K451" si="441">IF($B451="","",N(J450)+N(H451))</f>
        <v/>
      </c>
      <c r="K451" s="74" t="str">
        <f t="shared" si="441"/>
        <v/>
      </c>
      <c r="L451" s="69" t="str">
        <f>IF($B451="","",PV-J451)</f>
        <v/>
      </c>
      <c r="M451" s="71" t="str">
        <f>IF($B451="","",J451/PV)</f>
        <v/>
      </c>
      <c r="N451" s="72" t="str">
        <f t="shared" si="4"/>
        <v/>
      </c>
    </row>
    <row r="452" ht="14.25" customHeight="1">
      <c r="B452" s="66" t="str">
        <f>IF(ROWS($1:440)&lt;=Nper,ROWS($1:440),"")</f>
        <v/>
      </c>
      <c r="C452" s="67" t="str">
        <f>IF($B452="","",IF($E$7="Weekly",Start_Date+7*(ROWS($1:440)-1),EDATE(Start_Date,VLOOKUP(IF(ASTemp!$E$7="","Monthly",ASTemp!$E$7),Parameters!$B$3:$D$6,3,0)*(ROWS($1:440)-1))))</f>
        <v/>
      </c>
      <c r="D452" s="68" t="str">
        <f t="shared" si="2"/>
        <v/>
      </c>
      <c r="E452" s="65" t="str">
        <f>IF($B452="","",VLOOKUP(MONTH(C452),Parameters!$F$2:$G$13,2,0))</f>
        <v/>
      </c>
      <c r="F452" s="69" t="str">
        <f>IF($B452="","",PV-N(J451))</f>
        <v/>
      </c>
      <c r="G452" s="69" t="str">
        <f>IF($B452="","",PMT(Rate,Nper,-PV,,Type))</f>
        <v/>
      </c>
      <c r="H452" s="69" t="str">
        <f>IF($B452="","",PPMT(Rate,ROWS($1:440),Nper,-PV,,Type))</f>
        <v/>
      </c>
      <c r="I452" s="69" t="str">
        <f>IF($B452="","",IPMT(Rate,ROWS($1:440),Nper,-PV,,Type))</f>
        <v/>
      </c>
      <c r="J452" s="73" t="str">
        <f t="shared" ref="J452:K452" si="442">IF($B452="","",N(J451)+N(H452))</f>
        <v/>
      </c>
      <c r="K452" s="74" t="str">
        <f t="shared" si="442"/>
        <v/>
      </c>
      <c r="L452" s="69" t="str">
        <f>IF($B452="","",PV-J452)</f>
        <v/>
      </c>
      <c r="M452" s="71" t="str">
        <f>IF($B452="","",J452/PV)</f>
        <v/>
      </c>
      <c r="N452" s="72" t="str">
        <f t="shared" si="4"/>
        <v/>
      </c>
    </row>
    <row r="453" ht="14.25" customHeight="1">
      <c r="B453" s="66" t="str">
        <f>IF(ROWS($1:441)&lt;=Nper,ROWS($1:441),"")</f>
        <v/>
      </c>
      <c r="C453" s="67" t="str">
        <f>IF($B453="","",IF($E$7="Weekly",Start_Date+7*(ROWS($1:441)-1),EDATE(Start_Date,VLOOKUP(IF(ASTemp!$E$7="","Monthly",ASTemp!$E$7),Parameters!$B$3:$D$6,3,0)*(ROWS($1:441)-1))))</f>
        <v/>
      </c>
      <c r="D453" s="68" t="str">
        <f t="shared" si="2"/>
        <v/>
      </c>
      <c r="E453" s="65" t="str">
        <f>IF($B453="","",VLOOKUP(MONTH(C453),Parameters!$F$2:$G$13,2,0))</f>
        <v/>
      </c>
      <c r="F453" s="69" t="str">
        <f>IF($B453="","",PV-N(J452))</f>
        <v/>
      </c>
      <c r="G453" s="69" t="str">
        <f>IF($B453="","",PMT(Rate,Nper,-PV,,Type))</f>
        <v/>
      </c>
      <c r="H453" s="69" t="str">
        <f>IF($B453="","",PPMT(Rate,ROWS($1:441),Nper,-PV,,Type))</f>
        <v/>
      </c>
      <c r="I453" s="69" t="str">
        <f>IF($B453="","",IPMT(Rate,ROWS($1:441),Nper,-PV,,Type))</f>
        <v/>
      </c>
      <c r="J453" s="73" t="str">
        <f t="shared" ref="J453:K453" si="443">IF($B453="","",N(J452)+N(H453))</f>
        <v/>
      </c>
      <c r="K453" s="74" t="str">
        <f t="shared" si="443"/>
        <v/>
      </c>
      <c r="L453" s="69" t="str">
        <f>IF($B453="","",PV-J453)</f>
        <v/>
      </c>
      <c r="M453" s="71" t="str">
        <f>IF($B453="","",J453/PV)</f>
        <v/>
      </c>
      <c r="N453" s="72" t="str">
        <f t="shared" si="4"/>
        <v/>
      </c>
    </row>
    <row r="454" ht="14.25" customHeight="1">
      <c r="B454" s="66" t="str">
        <f>IF(ROWS($1:442)&lt;=Nper,ROWS($1:442),"")</f>
        <v/>
      </c>
      <c r="C454" s="67" t="str">
        <f>IF($B454="","",IF($E$7="Weekly",Start_Date+7*(ROWS($1:442)-1),EDATE(Start_Date,VLOOKUP(IF(ASTemp!$E$7="","Monthly",ASTemp!$E$7),Parameters!$B$3:$D$6,3,0)*(ROWS($1:442)-1))))</f>
        <v/>
      </c>
      <c r="D454" s="68" t="str">
        <f t="shared" si="2"/>
        <v/>
      </c>
      <c r="E454" s="65" t="str">
        <f>IF($B454="","",VLOOKUP(MONTH(C454),Parameters!$F$2:$G$13,2,0))</f>
        <v/>
      </c>
      <c r="F454" s="69" t="str">
        <f>IF($B454="","",PV-N(J453))</f>
        <v/>
      </c>
      <c r="G454" s="69" t="str">
        <f>IF($B454="","",PMT(Rate,Nper,-PV,,Type))</f>
        <v/>
      </c>
      <c r="H454" s="69" t="str">
        <f>IF($B454="","",PPMT(Rate,ROWS($1:442),Nper,-PV,,Type))</f>
        <v/>
      </c>
      <c r="I454" s="69" t="str">
        <f>IF($B454="","",IPMT(Rate,ROWS($1:442),Nper,-PV,,Type))</f>
        <v/>
      </c>
      <c r="J454" s="73" t="str">
        <f t="shared" ref="J454:K454" si="444">IF($B454="","",N(J453)+N(H454))</f>
        <v/>
      </c>
      <c r="K454" s="74" t="str">
        <f t="shared" si="444"/>
        <v/>
      </c>
      <c r="L454" s="69" t="str">
        <f>IF($B454="","",PV-J454)</f>
        <v/>
      </c>
      <c r="M454" s="71" t="str">
        <f>IF($B454="","",J454/PV)</f>
        <v/>
      </c>
      <c r="N454" s="72" t="str">
        <f t="shared" si="4"/>
        <v/>
      </c>
    </row>
    <row r="455" ht="14.25" customHeight="1">
      <c r="B455" s="66" t="str">
        <f>IF(ROWS($1:443)&lt;=Nper,ROWS($1:443),"")</f>
        <v/>
      </c>
      <c r="C455" s="67" t="str">
        <f>IF($B455="","",IF($E$7="Weekly",Start_Date+7*(ROWS($1:443)-1),EDATE(Start_Date,VLOOKUP(IF(ASTemp!$E$7="","Monthly",ASTemp!$E$7),Parameters!$B$3:$D$6,3,0)*(ROWS($1:443)-1))))</f>
        <v/>
      </c>
      <c r="D455" s="68" t="str">
        <f t="shared" si="2"/>
        <v/>
      </c>
      <c r="E455" s="65" t="str">
        <f>IF($B455="","",VLOOKUP(MONTH(C455),Parameters!$F$2:$G$13,2,0))</f>
        <v/>
      </c>
      <c r="F455" s="69" t="str">
        <f>IF($B455="","",PV-N(J454))</f>
        <v/>
      </c>
      <c r="G455" s="69" t="str">
        <f>IF($B455="","",PMT(Rate,Nper,-PV,,Type))</f>
        <v/>
      </c>
      <c r="H455" s="69" t="str">
        <f>IF($B455="","",PPMT(Rate,ROWS($1:443),Nper,-PV,,Type))</f>
        <v/>
      </c>
      <c r="I455" s="69" t="str">
        <f>IF($B455="","",IPMT(Rate,ROWS($1:443),Nper,-PV,,Type))</f>
        <v/>
      </c>
      <c r="J455" s="73" t="str">
        <f t="shared" ref="J455:K455" si="445">IF($B455="","",N(J454)+N(H455))</f>
        <v/>
      </c>
      <c r="K455" s="74" t="str">
        <f t="shared" si="445"/>
        <v/>
      </c>
      <c r="L455" s="69" t="str">
        <f>IF($B455="","",PV-J455)</f>
        <v/>
      </c>
      <c r="M455" s="71" t="str">
        <f>IF($B455="","",J455/PV)</f>
        <v/>
      </c>
      <c r="N455" s="72" t="str">
        <f t="shared" si="4"/>
        <v/>
      </c>
    </row>
    <row r="456" ht="14.25" customHeight="1">
      <c r="B456" s="66" t="str">
        <f>IF(ROWS($1:444)&lt;=Nper,ROWS($1:444),"")</f>
        <v/>
      </c>
      <c r="C456" s="67" t="str">
        <f>IF($B456="","",IF($E$7="Weekly",Start_Date+7*(ROWS($1:444)-1),EDATE(Start_Date,VLOOKUP(IF(ASTemp!$E$7="","Monthly",ASTemp!$E$7),Parameters!$B$3:$D$6,3,0)*(ROWS($1:444)-1))))</f>
        <v/>
      </c>
      <c r="D456" s="68" t="str">
        <f t="shared" si="2"/>
        <v/>
      </c>
      <c r="E456" s="65" t="str">
        <f>IF($B456="","",VLOOKUP(MONTH(C456),Parameters!$F$2:$G$13,2,0))</f>
        <v/>
      </c>
      <c r="F456" s="69" t="str">
        <f>IF($B456="","",PV-N(J455))</f>
        <v/>
      </c>
      <c r="G456" s="69" t="str">
        <f>IF($B456="","",PMT(Rate,Nper,-PV,,Type))</f>
        <v/>
      </c>
      <c r="H456" s="69" t="str">
        <f>IF($B456="","",PPMT(Rate,ROWS($1:444),Nper,-PV,,Type))</f>
        <v/>
      </c>
      <c r="I456" s="69" t="str">
        <f>IF($B456="","",IPMT(Rate,ROWS($1:444),Nper,-PV,,Type))</f>
        <v/>
      </c>
      <c r="J456" s="73" t="str">
        <f t="shared" ref="J456:K456" si="446">IF($B456="","",N(J455)+N(H456))</f>
        <v/>
      </c>
      <c r="K456" s="74" t="str">
        <f t="shared" si="446"/>
        <v/>
      </c>
      <c r="L456" s="69" t="str">
        <f>IF($B456="","",PV-J456)</f>
        <v/>
      </c>
      <c r="M456" s="71" t="str">
        <f>IF($B456="","",J456/PV)</f>
        <v/>
      </c>
      <c r="N456" s="72" t="str">
        <f t="shared" si="4"/>
        <v/>
      </c>
    </row>
    <row r="457" ht="14.25" customHeight="1">
      <c r="B457" s="66" t="str">
        <f>IF(ROWS($1:445)&lt;=Nper,ROWS($1:445),"")</f>
        <v/>
      </c>
      <c r="C457" s="67" t="str">
        <f>IF($B457="","",IF($E$7="Weekly",Start_Date+7*(ROWS($1:445)-1),EDATE(Start_Date,VLOOKUP(IF(ASTemp!$E$7="","Monthly",ASTemp!$E$7),Parameters!$B$3:$D$6,3,0)*(ROWS($1:445)-1))))</f>
        <v/>
      </c>
      <c r="D457" s="68" t="str">
        <f t="shared" si="2"/>
        <v/>
      </c>
      <c r="E457" s="65" t="str">
        <f>IF($B457="","",VLOOKUP(MONTH(C457),Parameters!$F$2:$G$13,2,0))</f>
        <v/>
      </c>
      <c r="F457" s="69" t="str">
        <f>IF($B457="","",PV-N(J456))</f>
        <v/>
      </c>
      <c r="G457" s="69" t="str">
        <f>IF($B457="","",PMT(Rate,Nper,-PV,,Type))</f>
        <v/>
      </c>
      <c r="H457" s="69" t="str">
        <f>IF($B457="","",PPMT(Rate,ROWS($1:445),Nper,-PV,,Type))</f>
        <v/>
      </c>
      <c r="I457" s="69" t="str">
        <f>IF($B457="","",IPMT(Rate,ROWS($1:445),Nper,-PV,,Type))</f>
        <v/>
      </c>
      <c r="J457" s="73" t="str">
        <f t="shared" ref="J457:K457" si="447">IF($B457="","",N(J456)+N(H457))</f>
        <v/>
      </c>
      <c r="K457" s="74" t="str">
        <f t="shared" si="447"/>
        <v/>
      </c>
      <c r="L457" s="69" t="str">
        <f>IF($B457="","",PV-J457)</f>
        <v/>
      </c>
      <c r="M457" s="71" t="str">
        <f>IF($B457="","",J457/PV)</f>
        <v/>
      </c>
      <c r="N457" s="72" t="str">
        <f t="shared" si="4"/>
        <v/>
      </c>
    </row>
    <row r="458" ht="14.25" customHeight="1">
      <c r="B458" s="66" t="str">
        <f>IF(ROWS($1:446)&lt;=Nper,ROWS($1:446),"")</f>
        <v/>
      </c>
      <c r="C458" s="67" t="str">
        <f>IF($B458="","",IF($E$7="Weekly",Start_Date+7*(ROWS($1:446)-1),EDATE(Start_Date,VLOOKUP(IF(ASTemp!$E$7="","Monthly",ASTemp!$E$7),Parameters!$B$3:$D$6,3,0)*(ROWS($1:446)-1))))</f>
        <v/>
      </c>
      <c r="D458" s="68" t="str">
        <f t="shared" si="2"/>
        <v/>
      </c>
      <c r="E458" s="65" t="str">
        <f>IF($B458="","",VLOOKUP(MONTH(C458),Parameters!$F$2:$G$13,2,0))</f>
        <v/>
      </c>
      <c r="F458" s="69" t="str">
        <f>IF($B458="","",PV-N(J457))</f>
        <v/>
      </c>
      <c r="G458" s="69" t="str">
        <f>IF($B458="","",PMT(Rate,Nper,-PV,,Type))</f>
        <v/>
      </c>
      <c r="H458" s="69" t="str">
        <f>IF($B458="","",PPMT(Rate,ROWS($1:446),Nper,-PV,,Type))</f>
        <v/>
      </c>
      <c r="I458" s="69" t="str">
        <f>IF($B458="","",IPMT(Rate,ROWS($1:446),Nper,-PV,,Type))</f>
        <v/>
      </c>
      <c r="J458" s="73" t="str">
        <f t="shared" ref="J458:K458" si="448">IF($B458="","",N(J457)+N(H458))</f>
        <v/>
      </c>
      <c r="K458" s="74" t="str">
        <f t="shared" si="448"/>
        <v/>
      </c>
      <c r="L458" s="69" t="str">
        <f>IF($B458="","",PV-J458)</f>
        <v/>
      </c>
      <c r="M458" s="71" t="str">
        <f>IF($B458="","",J458/PV)</f>
        <v/>
      </c>
      <c r="N458" s="72" t="str">
        <f t="shared" si="4"/>
        <v/>
      </c>
    </row>
    <row r="459" ht="14.25" customHeight="1">
      <c r="B459" s="66" t="str">
        <f>IF(ROWS($1:447)&lt;=Nper,ROWS($1:447),"")</f>
        <v/>
      </c>
      <c r="C459" s="67" t="str">
        <f>IF($B459="","",IF($E$7="Weekly",Start_Date+7*(ROWS($1:447)-1),EDATE(Start_Date,VLOOKUP(IF(ASTemp!$E$7="","Monthly",ASTemp!$E$7),Parameters!$B$3:$D$6,3,0)*(ROWS($1:447)-1))))</f>
        <v/>
      </c>
      <c r="D459" s="68" t="str">
        <f t="shared" si="2"/>
        <v/>
      </c>
      <c r="E459" s="65" t="str">
        <f>IF($B459="","",VLOOKUP(MONTH(C459),Parameters!$F$2:$G$13,2,0))</f>
        <v/>
      </c>
      <c r="F459" s="69" t="str">
        <f>IF($B459="","",PV-N(J458))</f>
        <v/>
      </c>
      <c r="G459" s="69" t="str">
        <f>IF($B459="","",PMT(Rate,Nper,-PV,,Type))</f>
        <v/>
      </c>
      <c r="H459" s="69" t="str">
        <f>IF($B459="","",PPMT(Rate,ROWS($1:447),Nper,-PV,,Type))</f>
        <v/>
      </c>
      <c r="I459" s="69" t="str">
        <f>IF($B459="","",IPMT(Rate,ROWS($1:447),Nper,-PV,,Type))</f>
        <v/>
      </c>
      <c r="J459" s="73" t="str">
        <f t="shared" ref="J459:K459" si="449">IF($B459="","",N(J458)+N(H459))</f>
        <v/>
      </c>
      <c r="K459" s="74" t="str">
        <f t="shared" si="449"/>
        <v/>
      </c>
      <c r="L459" s="69" t="str">
        <f>IF($B459="","",PV-J459)</f>
        <v/>
      </c>
      <c r="M459" s="71" t="str">
        <f>IF($B459="","",J459/PV)</f>
        <v/>
      </c>
      <c r="N459" s="72" t="str">
        <f t="shared" si="4"/>
        <v/>
      </c>
    </row>
    <row r="460" ht="14.25" customHeight="1">
      <c r="B460" s="66" t="str">
        <f>IF(ROWS($1:448)&lt;=Nper,ROWS($1:448),"")</f>
        <v/>
      </c>
      <c r="C460" s="67" t="str">
        <f>IF($B460="","",IF($E$7="Weekly",Start_Date+7*(ROWS($1:448)-1),EDATE(Start_Date,VLOOKUP(IF(ASTemp!$E$7="","Monthly",ASTemp!$E$7),Parameters!$B$3:$D$6,3,0)*(ROWS($1:448)-1))))</f>
        <v/>
      </c>
      <c r="D460" s="68" t="str">
        <f t="shared" si="2"/>
        <v/>
      </c>
      <c r="E460" s="65" t="str">
        <f>IF($B460="","",VLOOKUP(MONTH(C460),Parameters!$F$2:$G$13,2,0))</f>
        <v/>
      </c>
      <c r="F460" s="69" t="str">
        <f>IF($B460="","",PV-N(J459))</f>
        <v/>
      </c>
      <c r="G460" s="69" t="str">
        <f>IF($B460="","",PMT(Rate,Nper,-PV,,Type))</f>
        <v/>
      </c>
      <c r="H460" s="69" t="str">
        <f>IF($B460="","",PPMT(Rate,ROWS($1:448),Nper,-PV,,Type))</f>
        <v/>
      </c>
      <c r="I460" s="69" t="str">
        <f>IF($B460="","",IPMT(Rate,ROWS($1:448),Nper,-PV,,Type))</f>
        <v/>
      </c>
      <c r="J460" s="73" t="str">
        <f t="shared" ref="J460:K460" si="450">IF($B460="","",N(J459)+N(H460))</f>
        <v/>
      </c>
      <c r="K460" s="74" t="str">
        <f t="shared" si="450"/>
        <v/>
      </c>
      <c r="L460" s="69" t="str">
        <f>IF($B460="","",PV-J460)</f>
        <v/>
      </c>
      <c r="M460" s="71" t="str">
        <f>IF($B460="","",J460/PV)</f>
        <v/>
      </c>
      <c r="N460" s="72" t="str">
        <f t="shared" si="4"/>
        <v/>
      </c>
    </row>
    <row r="461" ht="14.25" customHeight="1">
      <c r="B461" s="66" t="str">
        <f>IF(ROWS($1:449)&lt;=Nper,ROWS($1:449),"")</f>
        <v/>
      </c>
      <c r="C461" s="67" t="str">
        <f>IF($B461="","",IF($E$7="Weekly",Start_Date+7*(ROWS($1:449)-1),EDATE(Start_Date,VLOOKUP(IF(ASTemp!$E$7="","Monthly",ASTemp!$E$7),Parameters!$B$3:$D$6,3,0)*(ROWS($1:449)-1))))</f>
        <v/>
      </c>
      <c r="D461" s="68" t="str">
        <f t="shared" si="2"/>
        <v/>
      </c>
      <c r="E461" s="65" t="str">
        <f>IF($B461="","",VLOOKUP(MONTH(C461),Parameters!$F$2:$G$13,2,0))</f>
        <v/>
      </c>
      <c r="F461" s="69" t="str">
        <f>IF($B461="","",PV-N(J460))</f>
        <v/>
      </c>
      <c r="G461" s="69" t="str">
        <f>IF($B461="","",PMT(Rate,Nper,-PV,,Type))</f>
        <v/>
      </c>
      <c r="H461" s="69" t="str">
        <f>IF($B461="","",PPMT(Rate,ROWS($1:449),Nper,-PV,,Type))</f>
        <v/>
      </c>
      <c r="I461" s="69" t="str">
        <f>IF($B461="","",IPMT(Rate,ROWS($1:449),Nper,-PV,,Type))</f>
        <v/>
      </c>
      <c r="J461" s="73" t="str">
        <f t="shared" ref="J461:K461" si="451">IF($B461="","",N(J460)+N(H461))</f>
        <v/>
      </c>
      <c r="K461" s="74" t="str">
        <f t="shared" si="451"/>
        <v/>
      </c>
      <c r="L461" s="69" t="str">
        <f>IF($B461="","",PV-J461)</f>
        <v/>
      </c>
      <c r="M461" s="71" t="str">
        <f>IF($B461="","",J461/PV)</f>
        <v/>
      </c>
      <c r="N461" s="72" t="str">
        <f t="shared" si="4"/>
        <v/>
      </c>
    </row>
    <row r="462" ht="14.25" customHeight="1">
      <c r="B462" s="66" t="str">
        <f>IF(ROWS($1:450)&lt;=Nper,ROWS($1:450),"")</f>
        <v/>
      </c>
      <c r="C462" s="67" t="str">
        <f>IF($B462="","",IF($E$7="Weekly",Start_Date+7*(ROWS($1:450)-1),EDATE(Start_Date,VLOOKUP(IF(ASTemp!$E$7="","Monthly",ASTemp!$E$7),Parameters!$B$3:$D$6,3,0)*(ROWS($1:450)-1))))</f>
        <v/>
      </c>
      <c r="D462" s="68" t="str">
        <f t="shared" si="2"/>
        <v/>
      </c>
      <c r="E462" s="65" t="str">
        <f>IF($B462="","",VLOOKUP(MONTH(C462),Parameters!$F$2:$G$13,2,0))</f>
        <v/>
      </c>
      <c r="F462" s="69" t="str">
        <f>IF($B462="","",PV-N(J461))</f>
        <v/>
      </c>
      <c r="G462" s="69" t="str">
        <f>IF($B462="","",PMT(Rate,Nper,-PV,,Type))</f>
        <v/>
      </c>
      <c r="H462" s="69" t="str">
        <f>IF($B462="","",PPMT(Rate,ROWS($1:450),Nper,-PV,,Type))</f>
        <v/>
      </c>
      <c r="I462" s="69" t="str">
        <f>IF($B462="","",IPMT(Rate,ROWS($1:450),Nper,-PV,,Type))</f>
        <v/>
      </c>
      <c r="J462" s="73" t="str">
        <f t="shared" ref="J462:K462" si="452">IF($B462="","",N(J461)+N(H462))</f>
        <v/>
      </c>
      <c r="K462" s="74" t="str">
        <f t="shared" si="452"/>
        <v/>
      </c>
      <c r="L462" s="69" t="str">
        <f>IF($B462="","",PV-J462)</f>
        <v/>
      </c>
      <c r="M462" s="71" t="str">
        <f>IF($B462="","",J462/PV)</f>
        <v/>
      </c>
      <c r="N462" s="72" t="str">
        <f t="shared" si="4"/>
        <v/>
      </c>
    </row>
    <row r="463" ht="14.25" customHeight="1">
      <c r="B463" s="66" t="str">
        <f>IF(ROWS($1:451)&lt;=Nper,ROWS($1:451),"")</f>
        <v/>
      </c>
      <c r="C463" s="67" t="str">
        <f>IF($B463="","",IF($E$7="Weekly",Start_Date+7*(ROWS($1:451)-1),EDATE(Start_Date,VLOOKUP(IF(ASTemp!$E$7="","Monthly",ASTemp!$E$7),Parameters!$B$3:$D$6,3,0)*(ROWS($1:451)-1))))</f>
        <v/>
      </c>
      <c r="D463" s="68" t="str">
        <f t="shared" si="2"/>
        <v/>
      </c>
      <c r="E463" s="65" t="str">
        <f>IF($B463="","",VLOOKUP(MONTH(C463),Parameters!$F$2:$G$13,2,0))</f>
        <v/>
      </c>
      <c r="F463" s="69" t="str">
        <f>IF($B463="","",PV-N(J462))</f>
        <v/>
      </c>
      <c r="G463" s="69" t="str">
        <f>IF($B463="","",PMT(Rate,Nper,-PV,,Type))</f>
        <v/>
      </c>
      <c r="H463" s="69" t="str">
        <f>IF($B463="","",PPMT(Rate,ROWS($1:451),Nper,-PV,,Type))</f>
        <v/>
      </c>
      <c r="I463" s="69" t="str">
        <f>IF($B463="","",IPMT(Rate,ROWS($1:451),Nper,-PV,,Type))</f>
        <v/>
      </c>
      <c r="J463" s="73" t="str">
        <f t="shared" ref="J463:K463" si="453">IF($B463="","",N(J462)+N(H463))</f>
        <v/>
      </c>
      <c r="K463" s="74" t="str">
        <f t="shared" si="453"/>
        <v/>
      </c>
      <c r="L463" s="69" t="str">
        <f>IF($B463="","",PV-J463)</f>
        <v/>
      </c>
      <c r="M463" s="71" t="str">
        <f>IF($B463="","",J463/PV)</f>
        <v/>
      </c>
      <c r="N463" s="72" t="str">
        <f t="shared" si="4"/>
        <v/>
      </c>
    </row>
    <row r="464" ht="14.25" customHeight="1">
      <c r="B464" s="66" t="str">
        <f>IF(ROWS($1:452)&lt;=Nper,ROWS($1:452),"")</f>
        <v/>
      </c>
      <c r="C464" s="67" t="str">
        <f>IF($B464="","",IF($E$7="Weekly",Start_Date+7*(ROWS($1:452)-1),EDATE(Start_Date,VLOOKUP(IF(ASTemp!$E$7="","Monthly",ASTemp!$E$7),Parameters!$B$3:$D$6,3,0)*(ROWS($1:452)-1))))</f>
        <v/>
      </c>
      <c r="D464" s="68" t="str">
        <f t="shared" si="2"/>
        <v/>
      </c>
      <c r="E464" s="65" t="str">
        <f>IF($B464="","",VLOOKUP(MONTH(C464),Parameters!$F$2:$G$13,2,0))</f>
        <v/>
      </c>
      <c r="F464" s="69" t="str">
        <f>IF($B464="","",PV-N(J463))</f>
        <v/>
      </c>
      <c r="G464" s="69" t="str">
        <f>IF($B464="","",PMT(Rate,Nper,-PV,,Type))</f>
        <v/>
      </c>
      <c r="H464" s="69" t="str">
        <f>IF($B464="","",PPMT(Rate,ROWS($1:452),Nper,-PV,,Type))</f>
        <v/>
      </c>
      <c r="I464" s="69" t="str">
        <f>IF($B464="","",IPMT(Rate,ROWS($1:452),Nper,-PV,,Type))</f>
        <v/>
      </c>
      <c r="J464" s="73" t="str">
        <f t="shared" ref="J464:K464" si="454">IF($B464="","",N(J463)+N(H464))</f>
        <v/>
      </c>
      <c r="K464" s="74" t="str">
        <f t="shared" si="454"/>
        <v/>
      </c>
      <c r="L464" s="69" t="str">
        <f>IF($B464="","",PV-J464)</f>
        <v/>
      </c>
      <c r="M464" s="71" t="str">
        <f>IF($B464="","",J464/PV)</f>
        <v/>
      </c>
      <c r="N464" s="72" t="str">
        <f t="shared" si="4"/>
        <v/>
      </c>
    </row>
    <row r="465" ht="14.25" customHeight="1">
      <c r="B465" s="66" t="str">
        <f>IF(ROWS($1:453)&lt;=Nper,ROWS($1:453),"")</f>
        <v/>
      </c>
      <c r="C465" s="67" t="str">
        <f>IF($B465="","",IF($E$7="Weekly",Start_Date+7*(ROWS($1:453)-1),EDATE(Start_Date,VLOOKUP(IF(ASTemp!$E$7="","Monthly",ASTemp!$E$7),Parameters!$B$3:$D$6,3,0)*(ROWS($1:453)-1))))</f>
        <v/>
      </c>
      <c r="D465" s="68" t="str">
        <f t="shared" si="2"/>
        <v/>
      </c>
      <c r="E465" s="65" t="str">
        <f>IF($B465="","",VLOOKUP(MONTH(C465),Parameters!$F$2:$G$13,2,0))</f>
        <v/>
      </c>
      <c r="F465" s="69" t="str">
        <f>IF($B465="","",PV-N(J464))</f>
        <v/>
      </c>
      <c r="G465" s="69" t="str">
        <f>IF($B465="","",PMT(Rate,Nper,-PV,,Type))</f>
        <v/>
      </c>
      <c r="H465" s="69" t="str">
        <f>IF($B465="","",PPMT(Rate,ROWS($1:453),Nper,-PV,,Type))</f>
        <v/>
      </c>
      <c r="I465" s="69" t="str">
        <f>IF($B465="","",IPMT(Rate,ROWS($1:453),Nper,-PV,,Type))</f>
        <v/>
      </c>
      <c r="J465" s="73" t="str">
        <f t="shared" ref="J465:K465" si="455">IF($B465="","",N(J464)+N(H465))</f>
        <v/>
      </c>
      <c r="K465" s="74" t="str">
        <f t="shared" si="455"/>
        <v/>
      </c>
      <c r="L465" s="69" t="str">
        <f>IF($B465="","",PV-J465)</f>
        <v/>
      </c>
      <c r="M465" s="71" t="str">
        <f>IF($B465="","",J465/PV)</f>
        <v/>
      </c>
      <c r="N465" s="72" t="str">
        <f t="shared" si="4"/>
        <v/>
      </c>
    </row>
    <row r="466" ht="14.25" customHeight="1">
      <c r="B466" s="66" t="str">
        <f>IF(ROWS($1:454)&lt;=Nper,ROWS($1:454),"")</f>
        <v/>
      </c>
      <c r="C466" s="67" t="str">
        <f>IF($B466="","",IF($E$7="Weekly",Start_Date+7*(ROWS($1:454)-1),EDATE(Start_Date,VLOOKUP(IF(ASTemp!$E$7="","Monthly",ASTemp!$E$7),Parameters!$B$3:$D$6,3,0)*(ROWS($1:454)-1))))</f>
        <v/>
      </c>
      <c r="D466" s="68" t="str">
        <f t="shared" si="2"/>
        <v/>
      </c>
      <c r="E466" s="65" t="str">
        <f>IF($B466="","",VLOOKUP(MONTH(C466),Parameters!$F$2:$G$13,2,0))</f>
        <v/>
      </c>
      <c r="F466" s="69" t="str">
        <f>IF($B466="","",PV-N(J465))</f>
        <v/>
      </c>
      <c r="G466" s="69" t="str">
        <f>IF($B466="","",PMT(Rate,Nper,-PV,,Type))</f>
        <v/>
      </c>
      <c r="H466" s="69" t="str">
        <f>IF($B466="","",PPMT(Rate,ROWS($1:454),Nper,-PV,,Type))</f>
        <v/>
      </c>
      <c r="I466" s="69" t="str">
        <f>IF($B466="","",IPMT(Rate,ROWS($1:454),Nper,-PV,,Type))</f>
        <v/>
      </c>
      <c r="J466" s="73" t="str">
        <f t="shared" ref="J466:K466" si="456">IF($B466="","",N(J465)+N(H466))</f>
        <v/>
      </c>
      <c r="K466" s="74" t="str">
        <f t="shared" si="456"/>
        <v/>
      </c>
      <c r="L466" s="69" t="str">
        <f>IF($B466="","",PV-J466)</f>
        <v/>
      </c>
      <c r="M466" s="71" t="str">
        <f>IF($B466="","",J466/PV)</f>
        <v/>
      </c>
      <c r="N466" s="72" t="str">
        <f t="shared" si="4"/>
        <v/>
      </c>
    </row>
    <row r="467" ht="14.25" customHeight="1">
      <c r="B467" s="66" t="str">
        <f>IF(ROWS($1:455)&lt;=Nper,ROWS($1:455),"")</f>
        <v/>
      </c>
      <c r="C467" s="67" t="str">
        <f>IF($B467="","",IF($E$7="Weekly",Start_Date+7*(ROWS($1:455)-1),EDATE(Start_Date,VLOOKUP(IF(ASTemp!$E$7="","Monthly",ASTemp!$E$7),Parameters!$B$3:$D$6,3,0)*(ROWS($1:455)-1))))</f>
        <v/>
      </c>
      <c r="D467" s="68" t="str">
        <f t="shared" si="2"/>
        <v/>
      </c>
      <c r="E467" s="65" t="str">
        <f>IF($B467="","",VLOOKUP(MONTH(C467),Parameters!$F$2:$G$13,2,0))</f>
        <v/>
      </c>
      <c r="F467" s="69" t="str">
        <f>IF($B467="","",PV-N(J466))</f>
        <v/>
      </c>
      <c r="G467" s="69" t="str">
        <f>IF($B467="","",PMT(Rate,Nper,-PV,,Type))</f>
        <v/>
      </c>
      <c r="H467" s="69" t="str">
        <f>IF($B467="","",PPMT(Rate,ROWS($1:455),Nper,-PV,,Type))</f>
        <v/>
      </c>
      <c r="I467" s="69" t="str">
        <f>IF($B467="","",IPMT(Rate,ROWS($1:455),Nper,-PV,,Type))</f>
        <v/>
      </c>
      <c r="J467" s="73" t="str">
        <f t="shared" ref="J467:K467" si="457">IF($B467="","",N(J466)+N(H467))</f>
        <v/>
      </c>
      <c r="K467" s="74" t="str">
        <f t="shared" si="457"/>
        <v/>
      </c>
      <c r="L467" s="69" t="str">
        <f>IF($B467="","",PV-J467)</f>
        <v/>
      </c>
      <c r="M467" s="71" t="str">
        <f>IF($B467="","",J467/PV)</f>
        <v/>
      </c>
      <c r="N467" s="72" t="str">
        <f t="shared" si="4"/>
        <v/>
      </c>
    </row>
    <row r="468" ht="14.25" customHeight="1">
      <c r="B468" s="66" t="str">
        <f>IF(ROWS($1:456)&lt;=Nper,ROWS($1:456),"")</f>
        <v/>
      </c>
      <c r="C468" s="67" t="str">
        <f>IF($B468="","",IF($E$7="Weekly",Start_Date+7*(ROWS($1:456)-1),EDATE(Start_Date,VLOOKUP(IF(ASTemp!$E$7="","Monthly",ASTemp!$E$7),Parameters!$B$3:$D$6,3,0)*(ROWS($1:456)-1))))</f>
        <v/>
      </c>
      <c r="D468" s="68" t="str">
        <f t="shared" si="2"/>
        <v/>
      </c>
      <c r="E468" s="65" t="str">
        <f>IF($B468="","",VLOOKUP(MONTH(C468),Parameters!$F$2:$G$13,2,0))</f>
        <v/>
      </c>
      <c r="F468" s="69" t="str">
        <f>IF($B468="","",PV-N(J467))</f>
        <v/>
      </c>
      <c r="G468" s="69" t="str">
        <f>IF($B468="","",PMT(Rate,Nper,-PV,,Type))</f>
        <v/>
      </c>
      <c r="H468" s="69" t="str">
        <f>IF($B468="","",PPMT(Rate,ROWS($1:456),Nper,-PV,,Type))</f>
        <v/>
      </c>
      <c r="I468" s="69" t="str">
        <f>IF($B468="","",IPMT(Rate,ROWS($1:456),Nper,-PV,,Type))</f>
        <v/>
      </c>
      <c r="J468" s="73" t="str">
        <f t="shared" ref="J468:K468" si="458">IF($B468="","",N(J467)+N(H468))</f>
        <v/>
      </c>
      <c r="K468" s="74" t="str">
        <f t="shared" si="458"/>
        <v/>
      </c>
      <c r="L468" s="69" t="str">
        <f>IF($B468="","",PV-J468)</f>
        <v/>
      </c>
      <c r="M468" s="71" t="str">
        <f>IF($B468="","",J468/PV)</f>
        <v/>
      </c>
      <c r="N468" s="72" t="str">
        <f t="shared" si="4"/>
        <v/>
      </c>
    </row>
    <row r="469" ht="14.25" customHeight="1">
      <c r="B469" s="66" t="str">
        <f>IF(ROWS($1:457)&lt;=Nper,ROWS($1:457),"")</f>
        <v/>
      </c>
      <c r="C469" s="67" t="str">
        <f>IF($B469="","",IF($E$7="Weekly",Start_Date+7*(ROWS($1:457)-1),EDATE(Start_Date,VLOOKUP(IF(ASTemp!$E$7="","Monthly",ASTemp!$E$7),Parameters!$B$3:$D$6,3,0)*(ROWS($1:457)-1))))</f>
        <v/>
      </c>
      <c r="D469" s="68" t="str">
        <f t="shared" si="2"/>
        <v/>
      </c>
      <c r="E469" s="65" t="str">
        <f>IF($B469="","",VLOOKUP(MONTH(C469),Parameters!$F$2:$G$13,2,0))</f>
        <v/>
      </c>
      <c r="F469" s="69" t="str">
        <f>IF($B469="","",PV-N(J468))</f>
        <v/>
      </c>
      <c r="G469" s="69" t="str">
        <f>IF($B469="","",PMT(Rate,Nper,-PV,,Type))</f>
        <v/>
      </c>
      <c r="H469" s="69" t="str">
        <f>IF($B469="","",PPMT(Rate,ROWS($1:457),Nper,-PV,,Type))</f>
        <v/>
      </c>
      <c r="I469" s="69" t="str">
        <f>IF($B469="","",IPMT(Rate,ROWS($1:457),Nper,-PV,,Type))</f>
        <v/>
      </c>
      <c r="J469" s="73" t="str">
        <f t="shared" ref="J469:K469" si="459">IF($B469="","",N(J468)+N(H469))</f>
        <v/>
      </c>
      <c r="K469" s="74" t="str">
        <f t="shared" si="459"/>
        <v/>
      </c>
      <c r="L469" s="69" t="str">
        <f>IF($B469="","",PV-J469)</f>
        <v/>
      </c>
      <c r="M469" s="71" t="str">
        <f>IF($B469="","",J469/PV)</f>
        <v/>
      </c>
      <c r="N469" s="72" t="str">
        <f t="shared" si="4"/>
        <v/>
      </c>
    </row>
    <row r="470" ht="14.25" customHeight="1">
      <c r="B470" s="66" t="str">
        <f>IF(ROWS($1:458)&lt;=Nper,ROWS($1:458),"")</f>
        <v/>
      </c>
      <c r="C470" s="67" t="str">
        <f>IF($B470="","",IF($E$7="Weekly",Start_Date+7*(ROWS($1:458)-1),EDATE(Start_Date,VLOOKUP(IF(ASTemp!$E$7="","Monthly",ASTemp!$E$7),Parameters!$B$3:$D$6,3,0)*(ROWS($1:458)-1))))</f>
        <v/>
      </c>
      <c r="D470" s="68" t="str">
        <f t="shared" si="2"/>
        <v/>
      </c>
      <c r="E470" s="65" t="str">
        <f>IF($B470="","",VLOOKUP(MONTH(C470),Parameters!$F$2:$G$13,2,0))</f>
        <v/>
      </c>
      <c r="F470" s="69" t="str">
        <f>IF($B470="","",PV-N(J469))</f>
        <v/>
      </c>
      <c r="G470" s="69" t="str">
        <f>IF($B470="","",PMT(Rate,Nper,-PV,,Type))</f>
        <v/>
      </c>
      <c r="H470" s="69" t="str">
        <f>IF($B470="","",PPMT(Rate,ROWS($1:458),Nper,-PV,,Type))</f>
        <v/>
      </c>
      <c r="I470" s="69" t="str">
        <f>IF($B470="","",IPMT(Rate,ROWS($1:458),Nper,-PV,,Type))</f>
        <v/>
      </c>
      <c r="J470" s="73" t="str">
        <f t="shared" ref="J470:K470" si="460">IF($B470="","",N(J469)+N(H470))</f>
        <v/>
      </c>
      <c r="K470" s="74" t="str">
        <f t="shared" si="460"/>
        <v/>
      </c>
      <c r="L470" s="69" t="str">
        <f>IF($B470="","",PV-J470)</f>
        <v/>
      </c>
      <c r="M470" s="71" t="str">
        <f>IF($B470="","",J470/PV)</f>
        <v/>
      </c>
      <c r="N470" s="72" t="str">
        <f t="shared" si="4"/>
        <v/>
      </c>
    </row>
    <row r="471" ht="14.25" customHeight="1">
      <c r="B471" s="66" t="str">
        <f>IF(ROWS($1:459)&lt;=Nper,ROWS($1:459),"")</f>
        <v/>
      </c>
      <c r="C471" s="67" t="str">
        <f>IF($B471="","",IF($E$7="Weekly",Start_Date+7*(ROWS($1:459)-1),EDATE(Start_Date,VLOOKUP(IF(ASTemp!$E$7="","Monthly",ASTemp!$E$7),Parameters!$B$3:$D$6,3,0)*(ROWS($1:459)-1))))</f>
        <v/>
      </c>
      <c r="D471" s="68" t="str">
        <f t="shared" si="2"/>
        <v/>
      </c>
      <c r="E471" s="65" t="str">
        <f>IF($B471="","",VLOOKUP(MONTH(C471),Parameters!$F$2:$G$13,2,0))</f>
        <v/>
      </c>
      <c r="F471" s="69" t="str">
        <f>IF($B471="","",PV-N(J470))</f>
        <v/>
      </c>
      <c r="G471" s="69" t="str">
        <f>IF($B471="","",PMT(Rate,Nper,-PV,,Type))</f>
        <v/>
      </c>
      <c r="H471" s="69" t="str">
        <f>IF($B471="","",PPMT(Rate,ROWS($1:459),Nper,-PV,,Type))</f>
        <v/>
      </c>
      <c r="I471" s="69" t="str">
        <f>IF($B471="","",IPMT(Rate,ROWS($1:459),Nper,-PV,,Type))</f>
        <v/>
      </c>
      <c r="J471" s="73" t="str">
        <f t="shared" ref="J471:K471" si="461">IF($B471="","",N(J470)+N(H471))</f>
        <v/>
      </c>
      <c r="K471" s="74" t="str">
        <f t="shared" si="461"/>
        <v/>
      </c>
      <c r="L471" s="69" t="str">
        <f>IF($B471="","",PV-J471)</f>
        <v/>
      </c>
      <c r="M471" s="71" t="str">
        <f>IF($B471="","",J471/PV)</f>
        <v/>
      </c>
      <c r="N471" s="72" t="str">
        <f t="shared" si="4"/>
        <v/>
      </c>
    </row>
    <row r="472" ht="14.25" customHeight="1">
      <c r="B472" s="66" t="str">
        <f>IF(ROWS($1:460)&lt;=Nper,ROWS($1:460),"")</f>
        <v/>
      </c>
      <c r="C472" s="67" t="str">
        <f>IF($B472="","",IF($E$7="Weekly",Start_Date+7*(ROWS($1:460)-1),EDATE(Start_Date,VLOOKUP(IF(ASTemp!$E$7="","Monthly",ASTemp!$E$7),Parameters!$B$3:$D$6,3,0)*(ROWS($1:460)-1))))</f>
        <v/>
      </c>
      <c r="D472" s="68" t="str">
        <f t="shared" si="2"/>
        <v/>
      </c>
      <c r="E472" s="65" t="str">
        <f>IF($B472="","",VLOOKUP(MONTH(C472),Parameters!$F$2:$G$13,2,0))</f>
        <v/>
      </c>
      <c r="F472" s="69" t="str">
        <f>IF($B472="","",PV-N(J471))</f>
        <v/>
      </c>
      <c r="G472" s="69" t="str">
        <f>IF($B472="","",PMT(Rate,Nper,-PV,,Type))</f>
        <v/>
      </c>
      <c r="H472" s="69" t="str">
        <f>IF($B472="","",PPMT(Rate,ROWS($1:460),Nper,-PV,,Type))</f>
        <v/>
      </c>
      <c r="I472" s="69" t="str">
        <f>IF($B472="","",IPMT(Rate,ROWS($1:460),Nper,-PV,,Type))</f>
        <v/>
      </c>
      <c r="J472" s="73" t="str">
        <f t="shared" ref="J472:K472" si="462">IF($B472="","",N(J471)+N(H472))</f>
        <v/>
      </c>
      <c r="K472" s="74" t="str">
        <f t="shared" si="462"/>
        <v/>
      </c>
      <c r="L472" s="69" t="str">
        <f>IF($B472="","",PV-J472)</f>
        <v/>
      </c>
      <c r="M472" s="71" t="str">
        <f>IF($B472="","",J472/PV)</f>
        <v/>
      </c>
      <c r="N472" s="72" t="str">
        <f t="shared" si="4"/>
        <v/>
      </c>
    </row>
    <row r="473" ht="14.25" customHeight="1">
      <c r="B473" s="66" t="str">
        <f>IF(ROWS($1:461)&lt;=Nper,ROWS($1:461),"")</f>
        <v/>
      </c>
      <c r="C473" s="67" t="str">
        <f>IF($B473="","",IF($E$7="Weekly",Start_Date+7*(ROWS($1:461)-1),EDATE(Start_Date,VLOOKUP(IF(ASTemp!$E$7="","Monthly",ASTemp!$E$7),Parameters!$B$3:$D$6,3,0)*(ROWS($1:461)-1))))</f>
        <v/>
      </c>
      <c r="D473" s="68" t="str">
        <f t="shared" si="2"/>
        <v/>
      </c>
      <c r="E473" s="65" t="str">
        <f>IF($B473="","",VLOOKUP(MONTH(C473),Parameters!$F$2:$G$13,2,0))</f>
        <v/>
      </c>
      <c r="F473" s="69" t="str">
        <f>IF($B473="","",PV-N(J472))</f>
        <v/>
      </c>
      <c r="G473" s="69" t="str">
        <f>IF($B473="","",PMT(Rate,Nper,-PV,,Type))</f>
        <v/>
      </c>
      <c r="H473" s="69" t="str">
        <f>IF($B473="","",PPMT(Rate,ROWS($1:461),Nper,-PV,,Type))</f>
        <v/>
      </c>
      <c r="I473" s="69" t="str">
        <f>IF($B473="","",IPMT(Rate,ROWS($1:461),Nper,-PV,,Type))</f>
        <v/>
      </c>
      <c r="J473" s="73" t="str">
        <f t="shared" ref="J473:K473" si="463">IF($B473="","",N(J472)+N(H473))</f>
        <v/>
      </c>
      <c r="K473" s="74" t="str">
        <f t="shared" si="463"/>
        <v/>
      </c>
      <c r="L473" s="69" t="str">
        <f>IF($B473="","",PV-J473)</f>
        <v/>
      </c>
      <c r="M473" s="71" t="str">
        <f>IF($B473="","",J473/PV)</f>
        <v/>
      </c>
      <c r="N473" s="72" t="str">
        <f t="shared" si="4"/>
        <v/>
      </c>
    </row>
    <row r="474" ht="14.25" customHeight="1">
      <c r="B474" s="66" t="str">
        <f>IF(ROWS($1:462)&lt;=Nper,ROWS($1:462),"")</f>
        <v/>
      </c>
      <c r="C474" s="67" t="str">
        <f>IF($B474="","",IF($E$7="Weekly",Start_Date+7*(ROWS($1:462)-1),EDATE(Start_Date,VLOOKUP(IF(ASTemp!$E$7="","Monthly",ASTemp!$E$7),Parameters!$B$3:$D$6,3,0)*(ROWS($1:462)-1))))</f>
        <v/>
      </c>
      <c r="D474" s="68" t="str">
        <f t="shared" si="2"/>
        <v/>
      </c>
      <c r="E474" s="65" t="str">
        <f>IF($B474="","",VLOOKUP(MONTH(C474),Parameters!$F$2:$G$13,2,0))</f>
        <v/>
      </c>
      <c r="F474" s="69" t="str">
        <f>IF($B474="","",PV-N(J473))</f>
        <v/>
      </c>
      <c r="G474" s="69" t="str">
        <f>IF($B474="","",PMT(Rate,Nper,-PV,,Type))</f>
        <v/>
      </c>
      <c r="H474" s="69" t="str">
        <f>IF($B474="","",PPMT(Rate,ROWS($1:462),Nper,-PV,,Type))</f>
        <v/>
      </c>
      <c r="I474" s="69" t="str">
        <f>IF($B474="","",IPMT(Rate,ROWS($1:462),Nper,-PV,,Type))</f>
        <v/>
      </c>
      <c r="J474" s="73" t="str">
        <f t="shared" ref="J474:K474" si="464">IF($B474="","",N(J473)+N(H474))</f>
        <v/>
      </c>
      <c r="K474" s="74" t="str">
        <f t="shared" si="464"/>
        <v/>
      </c>
      <c r="L474" s="69" t="str">
        <f>IF($B474="","",PV-J474)</f>
        <v/>
      </c>
      <c r="M474" s="71" t="str">
        <f>IF($B474="","",J474/PV)</f>
        <v/>
      </c>
      <c r="N474" s="72" t="str">
        <f t="shared" si="4"/>
        <v/>
      </c>
    </row>
    <row r="475" ht="14.25" customHeight="1">
      <c r="B475" s="66" t="str">
        <f>IF(ROWS($1:463)&lt;=Nper,ROWS($1:463),"")</f>
        <v/>
      </c>
      <c r="C475" s="67" t="str">
        <f>IF($B475="","",IF($E$7="Weekly",Start_Date+7*(ROWS($1:463)-1),EDATE(Start_Date,VLOOKUP(IF(ASTemp!$E$7="","Monthly",ASTemp!$E$7),Parameters!$B$3:$D$6,3,0)*(ROWS($1:463)-1))))</f>
        <v/>
      </c>
      <c r="D475" s="68" t="str">
        <f t="shared" si="2"/>
        <v/>
      </c>
      <c r="E475" s="65" t="str">
        <f>IF($B475="","",VLOOKUP(MONTH(C475),Parameters!$F$2:$G$13,2,0))</f>
        <v/>
      </c>
      <c r="F475" s="69" t="str">
        <f>IF($B475="","",PV-N(J474))</f>
        <v/>
      </c>
      <c r="G475" s="69" t="str">
        <f>IF($B475="","",PMT(Rate,Nper,-PV,,Type))</f>
        <v/>
      </c>
      <c r="H475" s="69" t="str">
        <f>IF($B475="","",PPMT(Rate,ROWS($1:463),Nper,-PV,,Type))</f>
        <v/>
      </c>
      <c r="I475" s="69" t="str">
        <f>IF($B475="","",IPMT(Rate,ROWS($1:463),Nper,-PV,,Type))</f>
        <v/>
      </c>
      <c r="J475" s="73" t="str">
        <f t="shared" ref="J475:K475" si="465">IF($B475="","",N(J474)+N(H475))</f>
        <v/>
      </c>
      <c r="K475" s="74" t="str">
        <f t="shared" si="465"/>
        <v/>
      </c>
      <c r="L475" s="69" t="str">
        <f>IF($B475="","",PV-J475)</f>
        <v/>
      </c>
      <c r="M475" s="71" t="str">
        <f>IF($B475="","",J475/PV)</f>
        <v/>
      </c>
      <c r="N475" s="72" t="str">
        <f t="shared" si="4"/>
        <v/>
      </c>
    </row>
    <row r="476" ht="14.25" customHeight="1">
      <c r="B476" s="66" t="str">
        <f>IF(ROWS($1:464)&lt;=Nper,ROWS($1:464),"")</f>
        <v/>
      </c>
      <c r="C476" s="67" t="str">
        <f>IF($B476="","",IF($E$7="Weekly",Start_Date+7*(ROWS($1:464)-1),EDATE(Start_Date,VLOOKUP(IF(ASTemp!$E$7="","Monthly",ASTemp!$E$7),Parameters!$B$3:$D$6,3,0)*(ROWS($1:464)-1))))</f>
        <v/>
      </c>
      <c r="D476" s="68" t="str">
        <f t="shared" si="2"/>
        <v/>
      </c>
      <c r="E476" s="65" t="str">
        <f>IF($B476="","",VLOOKUP(MONTH(C476),Parameters!$F$2:$G$13,2,0))</f>
        <v/>
      </c>
      <c r="F476" s="69" t="str">
        <f>IF($B476="","",PV-N(J475))</f>
        <v/>
      </c>
      <c r="G476" s="69" t="str">
        <f>IF($B476="","",PMT(Rate,Nper,-PV,,Type))</f>
        <v/>
      </c>
      <c r="H476" s="69" t="str">
        <f>IF($B476="","",PPMT(Rate,ROWS($1:464),Nper,-PV,,Type))</f>
        <v/>
      </c>
      <c r="I476" s="69" t="str">
        <f>IF($B476="","",IPMT(Rate,ROWS($1:464),Nper,-PV,,Type))</f>
        <v/>
      </c>
      <c r="J476" s="73" t="str">
        <f t="shared" ref="J476:K476" si="466">IF($B476="","",N(J475)+N(H476))</f>
        <v/>
      </c>
      <c r="K476" s="74" t="str">
        <f t="shared" si="466"/>
        <v/>
      </c>
      <c r="L476" s="69" t="str">
        <f>IF($B476="","",PV-J476)</f>
        <v/>
      </c>
      <c r="M476" s="71" t="str">
        <f>IF($B476="","",J476/PV)</f>
        <v/>
      </c>
      <c r="N476" s="72" t="str">
        <f t="shared" si="4"/>
        <v/>
      </c>
    </row>
    <row r="477" ht="14.25" customHeight="1">
      <c r="B477" s="66" t="str">
        <f>IF(ROWS($1:465)&lt;=Nper,ROWS($1:465),"")</f>
        <v/>
      </c>
      <c r="C477" s="67" t="str">
        <f>IF($B477="","",IF($E$7="Weekly",Start_Date+7*(ROWS($1:465)-1),EDATE(Start_Date,VLOOKUP(IF(ASTemp!$E$7="","Monthly",ASTemp!$E$7),Parameters!$B$3:$D$6,3,0)*(ROWS($1:465)-1))))</f>
        <v/>
      </c>
      <c r="D477" s="68" t="str">
        <f t="shared" si="2"/>
        <v/>
      </c>
      <c r="E477" s="65" t="str">
        <f>IF($B477="","",VLOOKUP(MONTH(C477),Parameters!$F$2:$G$13,2,0))</f>
        <v/>
      </c>
      <c r="F477" s="69" t="str">
        <f>IF($B477="","",PV-N(J476))</f>
        <v/>
      </c>
      <c r="G477" s="69" t="str">
        <f>IF($B477="","",PMT(Rate,Nper,-PV,,Type))</f>
        <v/>
      </c>
      <c r="H477" s="69" t="str">
        <f>IF($B477="","",PPMT(Rate,ROWS($1:465),Nper,-PV,,Type))</f>
        <v/>
      </c>
      <c r="I477" s="69" t="str">
        <f>IF($B477="","",IPMT(Rate,ROWS($1:465),Nper,-PV,,Type))</f>
        <v/>
      </c>
      <c r="J477" s="73" t="str">
        <f t="shared" ref="J477:K477" si="467">IF($B477="","",N(J476)+N(H477))</f>
        <v/>
      </c>
      <c r="K477" s="74" t="str">
        <f t="shared" si="467"/>
        <v/>
      </c>
      <c r="L477" s="69" t="str">
        <f>IF($B477="","",PV-J477)</f>
        <v/>
      </c>
      <c r="M477" s="71" t="str">
        <f>IF($B477="","",J477/PV)</f>
        <v/>
      </c>
      <c r="N477" s="72" t="str">
        <f t="shared" si="4"/>
        <v/>
      </c>
    </row>
    <row r="478" ht="14.25" customHeight="1">
      <c r="B478" s="66" t="str">
        <f>IF(ROWS($1:466)&lt;=Nper,ROWS($1:466),"")</f>
        <v/>
      </c>
      <c r="C478" s="67" t="str">
        <f>IF($B478="","",IF($E$7="Weekly",Start_Date+7*(ROWS($1:466)-1),EDATE(Start_Date,VLOOKUP(IF(ASTemp!$E$7="","Monthly",ASTemp!$E$7),Parameters!$B$3:$D$6,3,0)*(ROWS($1:466)-1))))</f>
        <v/>
      </c>
      <c r="D478" s="68" t="str">
        <f t="shared" si="2"/>
        <v/>
      </c>
      <c r="E478" s="65" t="str">
        <f>IF($B478="","",VLOOKUP(MONTH(C478),Parameters!$F$2:$G$13,2,0))</f>
        <v/>
      </c>
      <c r="F478" s="69" t="str">
        <f>IF($B478="","",PV-N(J477))</f>
        <v/>
      </c>
      <c r="G478" s="69" t="str">
        <f>IF($B478="","",PMT(Rate,Nper,-PV,,Type))</f>
        <v/>
      </c>
      <c r="H478" s="69" t="str">
        <f>IF($B478="","",PPMT(Rate,ROWS($1:466),Nper,-PV,,Type))</f>
        <v/>
      </c>
      <c r="I478" s="69" t="str">
        <f>IF($B478="","",IPMT(Rate,ROWS($1:466),Nper,-PV,,Type))</f>
        <v/>
      </c>
      <c r="J478" s="73" t="str">
        <f t="shared" ref="J478:K478" si="468">IF($B478="","",N(J477)+N(H478))</f>
        <v/>
      </c>
      <c r="K478" s="74" t="str">
        <f t="shared" si="468"/>
        <v/>
      </c>
      <c r="L478" s="69" t="str">
        <f>IF($B478="","",PV-J478)</f>
        <v/>
      </c>
      <c r="M478" s="71" t="str">
        <f>IF($B478="","",J478/PV)</f>
        <v/>
      </c>
      <c r="N478" s="72" t="str">
        <f t="shared" si="4"/>
        <v/>
      </c>
    </row>
    <row r="479" ht="14.25" customHeight="1">
      <c r="B479" s="66" t="str">
        <f>IF(ROWS($1:467)&lt;=Nper,ROWS($1:467),"")</f>
        <v/>
      </c>
      <c r="C479" s="67" t="str">
        <f>IF($B479="","",IF($E$7="Weekly",Start_Date+7*(ROWS($1:467)-1),EDATE(Start_Date,VLOOKUP(IF(ASTemp!$E$7="","Monthly",ASTemp!$E$7),Parameters!$B$3:$D$6,3,0)*(ROWS($1:467)-1))))</f>
        <v/>
      </c>
      <c r="D479" s="68" t="str">
        <f t="shared" si="2"/>
        <v/>
      </c>
      <c r="E479" s="65" t="str">
        <f>IF($B479="","",VLOOKUP(MONTH(C479),Parameters!$F$2:$G$13,2,0))</f>
        <v/>
      </c>
      <c r="F479" s="69" t="str">
        <f>IF($B479="","",PV-N(J478))</f>
        <v/>
      </c>
      <c r="G479" s="69" t="str">
        <f>IF($B479="","",PMT(Rate,Nper,-PV,,Type))</f>
        <v/>
      </c>
      <c r="H479" s="69" t="str">
        <f>IF($B479="","",PPMT(Rate,ROWS($1:467),Nper,-PV,,Type))</f>
        <v/>
      </c>
      <c r="I479" s="69" t="str">
        <f>IF($B479="","",IPMT(Rate,ROWS($1:467),Nper,-PV,,Type))</f>
        <v/>
      </c>
      <c r="J479" s="73" t="str">
        <f t="shared" ref="J479:K479" si="469">IF($B479="","",N(J478)+N(H479))</f>
        <v/>
      </c>
      <c r="K479" s="74" t="str">
        <f t="shared" si="469"/>
        <v/>
      </c>
      <c r="L479" s="69" t="str">
        <f>IF($B479="","",PV-J479)</f>
        <v/>
      </c>
      <c r="M479" s="71" t="str">
        <f>IF($B479="","",J479/PV)</f>
        <v/>
      </c>
      <c r="N479" s="72" t="str">
        <f t="shared" si="4"/>
        <v/>
      </c>
    </row>
    <row r="480" ht="14.25" customHeight="1">
      <c r="B480" s="66" t="str">
        <f>IF(ROWS($1:468)&lt;=Nper,ROWS($1:468),"")</f>
        <v/>
      </c>
      <c r="C480" s="67" t="str">
        <f>IF($B480="","",IF($E$7="Weekly",Start_Date+7*(ROWS($1:468)-1),EDATE(Start_Date,VLOOKUP(IF(ASTemp!$E$7="","Monthly",ASTemp!$E$7),Parameters!$B$3:$D$6,3,0)*(ROWS($1:468)-1))))</f>
        <v/>
      </c>
      <c r="D480" s="68" t="str">
        <f t="shared" si="2"/>
        <v/>
      </c>
      <c r="E480" s="65" t="str">
        <f>IF($B480="","",VLOOKUP(MONTH(C480),Parameters!$F$2:$G$13,2,0))</f>
        <v/>
      </c>
      <c r="F480" s="69" t="str">
        <f>IF($B480="","",PV-N(J479))</f>
        <v/>
      </c>
      <c r="G480" s="69" t="str">
        <f>IF($B480="","",PMT(Rate,Nper,-PV,,Type))</f>
        <v/>
      </c>
      <c r="H480" s="69" t="str">
        <f>IF($B480="","",PPMT(Rate,ROWS($1:468),Nper,-PV,,Type))</f>
        <v/>
      </c>
      <c r="I480" s="69" t="str">
        <f>IF($B480="","",IPMT(Rate,ROWS($1:468),Nper,-PV,,Type))</f>
        <v/>
      </c>
      <c r="J480" s="73" t="str">
        <f t="shared" ref="J480:K480" si="470">IF($B480="","",N(J479)+N(H480))</f>
        <v/>
      </c>
      <c r="K480" s="74" t="str">
        <f t="shared" si="470"/>
        <v/>
      </c>
      <c r="L480" s="69" t="str">
        <f>IF($B480="","",PV-J480)</f>
        <v/>
      </c>
      <c r="M480" s="71" t="str">
        <f>IF($B480="","",J480/PV)</f>
        <v/>
      </c>
      <c r="N480" s="72" t="str">
        <f t="shared" si="4"/>
        <v/>
      </c>
    </row>
    <row r="481" ht="14.25" customHeight="1">
      <c r="B481" s="66" t="str">
        <f>IF(ROWS($1:469)&lt;=Nper,ROWS($1:469),"")</f>
        <v/>
      </c>
      <c r="C481" s="67" t="str">
        <f>IF($B481="","",IF($E$7="Weekly",Start_Date+7*(ROWS($1:469)-1),EDATE(Start_Date,VLOOKUP(IF(ASTemp!$E$7="","Monthly",ASTemp!$E$7),Parameters!$B$3:$D$6,3,0)*(ROWS($1:469)-1))))</f>
        <v/>
      </c>
      <c r="D481" s="68" t="str">
        <f t="shared" si="2"/>
        <v/>
      </c>
      <c r="E481" s="65" t="str">
        <f>IF($B481="","",VLOOKUP(MONTH(C481),Parameters!$F$2:$G$13,2,0))</f>
        <v/>
      </c>
      <c r="F481" s="69" t="str">
        <f>IF($B481="","",PV-N(J480))</f>
        <v/>
      </c>
      <c r="G481" s="69" t="str">
        <f>IF($B481="","",PMT(Rate,Nper,-PV,,Type))</f>
        <v/>
      </c>
      <c r="H481" s="69" t="str">
        <f>IF($B481="","",PPMT(Rate,ROWS($1:469),Nper,-PV,,Type))</f>
        <v/>
      </c>
      <c r="I481" s="69" t="str">
        <f>IF($B481="","",IPMT(Rate,ROWS($1:469),Nper,-PV,,Type))</f>
        <v/>
      </c>
      <c r="J481" s="73" t="str">
        <f t="shared" ref="J481:K481" si="471">IF($B481="","",N(J480)+N(H481))</f>
        <v/>
      </c>
      <c r="K481" s="74" t="str">
        <f t="shared" si="471"/>
        <v/>
      </c>
      <c r="L481" s="69" t="str">
        <f>IF($B481="","",PV-J481)</f>
        <v/>
      </c>
      <c r="M481" s="71" t="str">
        <f>IF($B481="","",J481/PV)</f>
        <v/>
      </c>
      <c r="N481" s="72" t="str">
        <f t="shared" si="4"/>
        <v/>
      </c>
    </row>
    <row r="482" ht="14.25" customHeight="1">
      <c r="B482" s="66" t="str">
        <f>IF(ROWS($1:470)&lt;=Nper,ROWS($1:470),"")</f>
        <v/>
      </c>
      <c r="C482" s="67" t="str">
        <f>IF($B482="","",IF($E$7="Weekly",Start_Date+7*(ROWS($1:470)-1),EDATE(Start_Date,VLOOKUP(IF(ASTemp!$E$7="","Monthly",ASTemp!$E$7),Parameters!$B$3:$D$6,3,0)*(ROWS($1:470)-1))))</f>
        <v/>
      </c>
      <c r="D482" s="68" t="str">
        <f t="shared" si="2"/>
        <v/>
      </c>
      <c r="E482" s="65" t="str">
        <f>IF($B482="","",VLOOKUP(MONTH(C482),Parameters!$F$2:$G$13,2,0))</f>
        <v/>
      </c>
      <c r="F482" s="69" t="str">
        <f>IF($B482="","",PV-N(J481))</f>
        <v/>
      </c>
      <c r="G482" s="69" t="str">
        <f>IF($B482="","",PMT(Rate,Nper,-PV,,Type))</f>
        <v/>
      </c>
      <c r="H482" s="69" t="str">
        <f>IF($B482="","",PPMT(Rate,ROWS($1:470),Nper,-PV,,Type))</f>
        <v/>
      </c>
      <c r="I482" s="69" t="str">
        <f>IF($B482="","",IPMT(Rate,ROWS($1:470),Nper,-PV,,Type))</f>
        <v/>
      </c>
      <c r="J482" s="73" t="str">
        <f t="shared" ref="J482:K482" si="472">IF($B482="","",N(J481)+N(H482))</f>
        <v/>
      </c>
      <c r="K482" s="74" t="str">
        <f t="shared" si="472"/>
        <v/>
      </c>
      <c r="L482" s="69" t="str">
        <f>IF($B482="","",PV-J482)</f>
        <v/>
      </c>
      <c r="M482" s="71" t="str">
        <f>IF($B482="","",J482/PV)</f>
        <v/>
      </c>
      <c r="N482" s="72" t="str">
        <f t="shared" si="4"/>
        <v/>
      </c>
    </row>
    <row r="483" ht="14.25" customHeight="1">
      <c r="B483" s="66" t="str">
        <f>IF(ROWS($1:471)&lt;=Nper,ROWS($1:471),"")</f>
        <v/>
      </c>
      <c r="C483" s="67" t="str">
        <f>IF($B483="","",IF($E$7="Weekly",Start_Date+7*(ROWS($1:471)-1),EDATE(Start_Date,VLOOKUP(IF(ASTemp!$E$7="","Monthly",ASTemp!$E$7),Parameters!$B$3:$D$6,3,0)*(ROWS($1:471)-1))))</f>
        <v/>
      </c>
      <c r="D483" s="68" t="str">
        <f t="shared" si="2"/>
        <v/>
      </c>
      <c r="E483" s="65" t="str">
        <f>IF($B483="","",VLOOKUP(MONTH(C483),Parameters!$F$2:$G$13,2,0))</f>
        <v/>
      </c>
      <c r="F483" s="69" t="str">
        <f>IF($B483="","",PV-N(J482))</f>
        <v/>
      </c>
      <c r="G483" s="69" t="str">
        <f>IF($B483="","",PMT(Rate,Nper,-PV,,Type))</f>
        <v/>
      </c>
      <c r="H483" s="69" t="str">
        <f>IF($B483="","",PPMT(Rate,ROWS($1:471),Nper,-PV,,Type))</f>
        <v/>
      </c>
      <c r="I483" s="69" t="str">
        <f>IF($B483="","",IPMT(Rate,ROWS($1:471),Nper,-PV,,Type))</f>
        <v/>
      </c>
      <c r="J483" s="73" t="str">
        <f t="shared" ref="J483:K483" si="473">IF($B483="","",N(J482)+N(H483))</f>
        <v/>
      </c>
      <c r="K483" s="74" t="str">
        <f t="shared" si="473"/>
        <v/>
      </c>
      <c r="L483" s="69" t="str">
        <f>IF($B483="","",PV-J483)</f>
        <v/>
      </c>
      <c r="M483" s="71" t="str">
        <f>IF($B483="","",J483/PV)</f>
        <v/>
      </c>
      <c r="N483" s="72" t="str">
        <f t="shared" si="4"/>
        <v/>
      </c>
    </row>
    <row r="484" ht="14.25" customHeight="1">
      <c r="B484" s="66" t="str">
        <f>IF(ROWS($1:472)&lt;=Nper,ROWS($1:472),"")</f>
        <v/>
      </c>
      <c r="C484" s="67" t="str">
        <f>IF($B484="","",IF($E$7="Weekly",Start_Date+7*(ROWS($1:472)-1),EDATE(Start_Date,VLOOKUP(IF(ASTemp!$E$7="","Monthly",ASTemp!$E$7),Parameters!$B$3:$D$6,3,0)*(ROWS($1:472)-1))))</f>
        <v/>
      </c>
      <c r="D484" s="68" t="str">
        <f t="shared" si="2"/>
        <v/>
      </c>
      <c r="E484" s="65" t="str">
        <f>IF($B484="","",VLOOKUP(MONTH(C484),Parameters!$F$2:$G$13,2,0))</f>
        <v/>
      </c>
      <c r="F484" s="69" t="str">
        <f>IF($B484="","",PV-N(J483))</f>
        <v/>
      </c>
      <c r="G484" s="69" t="str">
        <f>IF($B484="","",PMT(Rate,Nper,-PV,,Type))</f>
        <v/>
      </c>
      <c r="H484" s="69" t="str">
        <f>IF($B484="","",PPMT(Rate,ROWS($1:472),Nper,-PV,,Type))</f>
        <v/>
      </c>
      <c r="I484" s="69" t="str">
        <f>IF($B484="","",IPMT(Rate,ROWS($1:472),Nper,-PV,,Type))</f>
        <v/>
      </c>
      <c r="J484" s="73" t="str">
        <f t="shared" ref="J484:K484" si="474">IF($B484="","",N(J483)+N(H484))</f>
        <v/>
      </c>
      <c r="K484" s="74" t="str">
        <f t="shared" si="474"/>
        <v/>
      </c>
      <c r="L484" s="69" t="str">
        <f>IF($B484="","",PV-J484)</f>
        <v/>
      </c>
      <c r="M484" s="71" t="str">
        <f>IF($B484="","",J484/PV)</f>
        <v/>
      </c>
      <c r="N484" s="72" t="str">
        <f t="shared" si="4"/>
        <v/>
      </c>
    </row>
    <row r="485" ht="14.25" customHeight="1">
      <c r="B485" s="66" t="str">
        <f>IF(ROWS($1:473)&lt;=Nper,ROWS($1:473),"")</f>
        <v/>
      </c>
      <c r="C485" s="67" t="str">
        <f>IF($B485="","",IF($E$7="Weekly",Start_Date+7*(ROWS($1:473)-1),EDATE(Start_Date,VLOOKUP(IF(ASTemp!$E$7="","Monthly",ASTemp!$E$7),Parameters!$B$3:$D$6,3,0)*(ROWS($1:473)-1))))</f>
        <v/>
      </c>
      <c r="D485" s="68" t="str">
        <f t="shared" si="2"/>
        <v/>
      </c>
      <c r="E485" s="65" t="str">
        <f>IF($B485="","",VLOOKUP(MONTH(C485),Parameters!$F$2:$G$13,2,0))</f>
        <v/>
      </c>
      <c r="F485" s="69" t="str">
        <f>IF($B485="","",PV-N(J484))</f>
        <v/>
      </c>
      <c r="G485" s="69" t="str">
        <f>IF($B485="","",PMT(Rate,Nper,-PV,,Type))</f>
        <v/>
      </c>
      <c r="H485" s="69" t="str">
        <f>IF($B485="","",PPMT(Rate,ROWS($1:473),Nper,-PV,,Type))</f>
        <v/>
      </c>
      <c r="I485" s="69" t="str">
        <f>IF($B485="","",IPMT(Rate,ROWS($1:473),Nper,-PV,,Type))</f>
        <v/>
      </c>
      <c r="J485" s="73" t="str">
        <f t="shared" ref="J485:K485" si="475">IF($B485="","",N(J484)+N(H485))</f>
        <v/>
      </c>
      <c r="K485" s="74" t="str">
        <f t="shared" si="475"/>
        <v/>
      </c>
      <c r="L485" s="69" t="str">
        <f>IF($B485="","",PV-J485)</f>
        <v/>
      </c>
      <c r="M485" s="71" t="str">
        <f>IF($B485="","",J485/PV)</f>
        <v/>
      </c>
      <c r="N485" s="72" t="str">
        <f t="shared" si="4"/>
        <v/>
      </c>
    </row>
    <row r="486" ht="14.25" customHeight="1">
      <c r="B486" s="66" t="str">
        <f>IF(ROWS($1:474)&lt;=Nper,ROWS($1:474),"")</f>
        <v/>
      </c>
      <c r="C486" s="67" t="str">
        <f>IF($B486="","",IF($E$7="Weekly",Start_Date+7*(ROWS($1:474)-1),EDATE(Start_Date,VLOOKUP(IF(ASTemp!$E$7="","Monthly",ASTemp!$E$7),Parameters!$B$3:$D$6,3,0)*(ROWS($1:474)-1))))</f>
        <v/>
      </c>
      <c r="D486" s="68" t="str">
        <f t="shared" si="2"/>
        <v/>
      </c>
      <c r="E486" s="65" t="str">
        <f>IF($B486="","",VLOOKUP(MONTH(C486),Parameters!$F$2:$G$13,2,0))</f>
        <v/>
      </c>
      <c r="F486" s="69" t="str">
        <f>IF($B486="","",PV-N(J485))</f>
        <v/>
      </c>
      <c r="G486" s="69" t="str">
        <f>IF($B486="","",PMT(Rate,Nper,-PV,,Type))</f>
        <v/>
      </c>
      <c r="H486" s="69" t="str">
        <f>IF($B486="","",PPMT(Rate,ROWS($1:474),Nper,-PV,,Type))</f>
        <v/>
      </c>
      <c r="I486" s="69" t="str">
        <f>IF($B486="","",IPMT(Rate,ROWS($1:474),Nper,-PV,,Type))</f>
        <v/>
      </c>
      <c r="J486" s="73" t="str">
        <f t="shared" ref="J486:K486" si="476">IF($B486="","",N(J485)+N(H486))</f>
        <v/>
      </c>
      <c r="K486" s="74" t="str">
        <f t="shared" si="476"/>
        <v/>
      </c>
      <c r="L486" s="69" t="str">
        <f>IF($B486="","",PV-J486)</f>
        <v/>
      </c>
      <c r="M486" s="71" t="str">
        <f>IF($B486="","",J486/PV)</f>
        <v/>
      </c>
      <c r="N486" s="72" t="str">
        <f t="shared" si="4"/>
        <v/>
      </c>
    </row>
    <row r="487" ht="14.25" customHeight="1">
      <c r="B487" s="66" t="str">
        <f>IF(ROWS($1:475)&lt;=Nper,ROWS($1:475),"")</f>
        <v/>
      </c>
      <c r="C487" s="67" t="str">
        <f>IF($B487="","",IF($E$7="Weekly",Start_Date+7*(ROWS($1:475)-1),EDATE(Start_Date,VLOOKUP(IF(ASTemp!$E$7="","Monthly",ASTemp!$E$7),Parameters!$B$3:$D$6,3,0)*(ROWS($1:475)-1))))</f>
        <v/>
      </c>
      <c r="D487" s="68" t="str">
        <f t="shared" si="2"/>
        <v/>
      </c>
      <c r="E487" s="65" t="str">
        <f>IF($B487="","",VLOOKUP(MONTH(C487),Parameters!$F$2:$G$13,2,0))</f>
        <v/>
      </c>
      <c r="F487" s="69" t="str">
        <f>IF($B487="","",PV-N(J486))</f>
        <v/>
      </c>
      <c r="G487" s="69" t="str">
        <f>IF($B487="","",PMT(Rate,Nper,-PV,,Type))</f>
        <v/>
      </c>
      <c r="H487" s="69" t="str">
        <f>IF($B487="","",PPMT(Rate,ROWS($1:475),Nper,-PV,,Type))</f>
        <v/>
      </c>
      <c r="I487" s="69" t="str">
        <f>IF($B487="","",IPMT(Rate,ROWS($1:475),Nper,-PV,,Type))</f>
        <v/>
      </c>
      <c r="J487" s="73" t="str">
        <f t="shared" ref="J487:K487" si="477">IF($B487="","",N(J486)+N(H487))</f>
        <v/>
      </c>
      <c r="K487" s="74" t="str">
        <f t="shared" si="477"/>
        <v/>
      </c>
      <c r="L487" s="69" t="str">
        <f>IF($B487="","",PV-J487)</f>
        <v/>
      </c>
      <c r="M487" s="71" t="str">
        <f>IF($B487="","",J487/PV)</f>
        <v/>
      </c>
      <c r="N487" s="72" t="str">
        <f t="shared" si="4"/>
        <v/>
      </c>
    </row>
    <row r="488" ht="14.25" customHeight="1">
      <c r="B488" s="66" t="str">
        <f>IF(ROWS($1:476)&lt;=Nper,ROWS($1:476),"")</f>
        <v/>
      </c>
      <c r="C488" s="67" t="str">
        <f>IF($B488="","",IF($E$7="Weekly",Start_Date+7*(ROWS($1:476)-1),EDATE(Start_Date,VLOOKUP(IF(ASTemp!$E$7="","Monthly",ASTemp!$E$7),Parameters!$B$3:$D$6,3,0)*(ROWS($1:476)-1))))</f>
        <v/>
      </c>
      <c r="D488" s="68" t="str">
        <f t="shared" si="2"/>
        <v/>
      </c>
      <c r="E488" s="65" t="str">
        <f>IF($B488="","",VLOOKUP(MONTH(C488),Parameters!$F$2:$G$13,2,0))</f>
        <v/>
      </c>
      <c r="F488" s="69" t="str">
        <f>IF($B488="","",PV-N(J487))</f>
        <v/>
      </c>
      <c r="G488" s="69" t="str">
        <f>IF($B488="","",PMT(Rate,Nper,-PV,,Type))</f>
        <v/>
      </c>
      <c r="H488" s="69" t="str">
        <f>IF($B488="","",PPMT(Rate,ROWS($1:476),Nper,-PV,,Type))</f>
        <v/>
      </c>
      <c r="I488" s="69" t="str">
        <f>IF($B488="","",IPMT(Rate,ROWS($1:476),Nper,-PV,,Type))</f>
        <v/>
      </c>
      <c r="J488" s="73" t="str">
        <f t="shared" ref="J488:K488" si="478">IF($B488="","",N(J487)+N(H488))</f>
        <v/>
      </c>
      <c r="K488" s="74" t="str">
        <f t="shared" si="478"/>
        <v/>
      </c>
      <c r="L488" s="69" t="str">
        <f>IF($B488="","",PV-J488)</f>
        <v/>
      </c>
      <c r="M488" s="71" t="str">
        <f>IF($B488="","",J488/PV)</f>
        <v/>
      </c>
      <c r="N488" s="72" t="str">
        <f t="shared" si="4"/>
        <v/>
      </c>
    </row>
    <row r="489" ht="14.25" customHeight="1">
      <c r="B489" s="66" t="str">
        <f>IF(ROWS($1:477)&lt;=Nper,ROWS($1:477),"")</f>
        <v/>
      </c>
      <c r="C489" s="67" t="str">
        <f>IF($B489="","",IF($E$7="Weekly",Start_Date+7*(ROWS($1:477)-1),EDATE(Start_Date,VLOOKUP(IF(ASTemp!$E$7="","Monthly",ASTemp!$E$7),Parameters!$B$3:$D$6,3,0)*(ROWS($1:477)-1))))</f>
        <v/>
      </c>
      <c r="D489" s="68" t="str">
        <f t="shared" si="2"/>
        <v/>
      </c>
      <c r="E489" s="65" t="str">
        <f>IF($B489="","",VLOOKUP(MONTH(C489),Parameters!$F$2:$G$13,2,0))</f>
        <v/>
      </c>
      <c r="F489" s="69" t="str">
        <f>IF($B489="","",PV-N(J488))</f>
        <v/>
      </c>
      <c r="G489" s="69" t="str">
        <f>IF($B489="","",PMT(Rate,Nper,-PV,,Type))</f>
        <v/>
      </c>
      <c r="H489" s="69" t="str">
        <f>IF($B489="","",PPMT(Rate,ROWS($1:477),Nper,-PV,,Type))</f>
        <v/>
      </c>
      <c r="I489" s="69" t="str">
        <f>IF($B489="","",IPMT(Rate,ROWS($1:477),Nper,-PV,,Type))</f>
        <v/>
      </c>
      <c r="J489" s="73" t="str">
        <f t="shared" ref="J489:K489" si="479">IF($B489="","",N(J488)+N(H489))</f>
        <v/>
      </c>
      <c r="K489" s="74" t="str">
        <f t="shared" si="479"/>
        <v/>
      </c>
      <c r="L489" s="69" t="str">
        <f>IF($B489="","",PV-J489)</f>
        <v/>
      </c>
      <c r="M489" s="71" t="str">
        <f>IF($B489="","",J489/PV)</f>
        <v/>
      </c>
      <c r="N489" s="72" t="str">
        <f t="shared" si="4"/>
        <v/>
      </c>
    </row>
    <row r="490" ht="14.25" customHeight="1">
      <c r="B490" s="66" t="str">
        <f>IF(ROWS($1:478)&lt;=Nper,ROWS($1:478),"")</f>
        <v/>
      </c>
      <c r="C490" s="67" t="str">
        <f>IF($B490="","",IF($E$7="Weekly",Start_Date+7*(ROWS($1:478)-1),EDATE(Start_Date,VLOOKUP(IF(ASTemp!$E$7="","Monthly",ASTemp!$E$7),Parameters!$B$3:$D$6,3,0)*(ROWS($1:478)-1))))</f>
        <v/>
      </c>
      <c r="D490" s="68" t="str">
        <f t="shared" si="2"/>
        <v/>
      </c>
      <c r="E490" s="65" t="str">
        <f>IF($B490="","",VLOOKUP(MONTH(C490),Parameters!$F$2:$G$13,2,0))</f>
        <v/>
      </c>
      <c r="F490" s="69" t="str">
        <f>IF($B490="","",PV-N(J489))</f>
        <v/>
      </c>
      <c r="G490" s="69" t="str">
        <f>IF($B490="","",PMT(Rate,Nper,-PV,,Type))</f>
        <v/>
      </c>
      <c r="H490" s="69" t="str">
        <f>IF($B490="","",PPMT(Rate,ROWS($1:478),Nper,-PV,,Type))</f>
        <v/>
      </c>
      <c r="I490" s="69" t="str">
        <f>IF($B490="","",IPMT(Rate,ROWS($1:478),Nper,-PV,,Type))</f>
        <v/>
      </c>
      <c r="J490" s="73" t="str">
        <f t="shared" ref="J490:K490" si="480">IF($B490="","",N(J489)+N(H490))</f>
        <v/>
      </c>
      <c r="K490" s="74" t="str">
        <f t="shared" si="480"/>
        <v/>
      </c>
      <c r="L490" s="69" t="str">
        <f>IF($B490="","",PV-J490)</f>
        <v/>
      </c>
      <c r="M490" s="71" t="str">
        <f>IF($B490="","",J490/PV)</f>
        <v/>
      </c>
      <c r="N490" s="72" t="str">
        <f t="shared" si="4"/>
        <v/>
      </c>
    </row>
    <row r="491" ht="14.25" customHeight="1">
      <c r="B491" s="66" t="str">
        <f>IF(ROWS($1:479)&lt;=Nper,ROWS($1:479),"")</f>
        <v/>
      </c>
      <c r="C491" s="67" t="str">
        <f>IF($B491="","",IF($E$7="Weekly",Start_Date+7*(ROWS($1:479)-1),EDATE(Start_Date,VLOOKUP(IF(ASTemp!$E$7="","Monthly",ASTemp!$E$7),Parameters!$B$3:$D$6,3,0)*(ROWS($1:479)-1))))</f>
        <v/>
      </c>
      <c r="D491" s="68" t="str">
        <f t="shared" si="2"/>
        <v/>
      </c>
      <c r="E491" s="65" t="str">
        <f>IF($B491="","",VLOOKUP(MONTH(C491),Parameters!$F$2:$G$13,2,0))</f>
        <v/>
      </c>
      <c r="F491" s="69" t="str">
        <f>IF($B491="","",PV-N(J490))</f>
        <v/>
      </c>
      <c r="G491" s="69" t="str">
        <f>IF($B491="","",PMT(Rate,Nper,-PV,,Type))</f>
        <v/>
      </c>
      <c r="H491" s="69" t="str">
        <f>IF($B491="","",PPMT(Rate,ROWS($1:479),Nper,-PV,,Type))</f>
        <v/>
      </c>
      <c r="I491" s="69" t="str">
        <f>IF($B491="","",IPMT(Rate,ROWS($1:479),Nper,-PV,,Type))</f>
        <v/>
      </c>
      <c r="J491" s="73" t="str">
        <f t="shared" ref="J491:K491" si="481">IF($B491="","",N(J490)+N(H491))</f>
        <v/>
      </c>
      <c r="K491" s="74" t="str">
        <f t="shared" si="481"/>
        <v/>
      </c>
      <c r="L491" s="69" t="str">
        <f>IF($B491="","",PV-J491)</f>
        <v/>
      </c>
      <c r="M491" s="71" t="str">
        <f>IF($B491="","",J491/PV)</f>
        <v/>
      </c>
      <c r="N491" s="72" t="str">
        <f t="shared" si="4"/>
        <v/>
      </c>
    </row>
    <row r="492" ht="14.25" customHeight="1">
      <c r="B492" s="66" t="str">
        <f>IF(ROWS($1:480)&lt;=Nper,ROWS($1:480),"")</f>
        <v/>
      </c>
      <c r="C492" s="67" t="str">
        <f>IF($B492="","",IF($E$7="Weekly",Start_Date+7*(ROWS($1:480)-1),EDATE(Start_Date,VLOOKUP(IF(ASTemp!$E$7="","Monthly",ASTemp!$E$7),Parameters!$B$3:$D$6,3,0)*(ROWS($1:480)-1))))</f>
        <v/>
      </c>
      <c r="D492" s="68" t="str">
        <f t="shared" si="2"/>
        <v/>
      </c>
      <c r="E492" s="65" t="str">
        <f>IF($B492="","",VLOOKUP(MONTH(C492),Parameters!$F$2:$G$13,2,0))</f>
        <v/>
      </c>
      <c r="F492" s="69" t="str">
        <f>IF($B492="","",PV-N(J491))</f>
        <v/>
      </c>
      <c r="G492" s="69" t="str">
        <f>IF($B492="","",PMT(Rate,Nper,-PV,,Type))</f>
        <v/>
      </c>
      <c r="H492" s="69" t="str">
        <f>IF($B492="","",PPMT(Rate,ROWS($1:480),Nper,-PV,,Type))</f>
        <v/>
      </c>
      <c r="I492" s="69" t="str">
        <f>IF($B492="","",IPMT(Rate,ROWS($1:480),Nper,-PV,,Type))</f>
        <v/>
      </c>
      <c r="J492" s="73" t="str">
        <f t="shared" ref="J492:K492" si="482">IF($B492="","",N(J491)+N(H492))</f>
        <v/>
      </c>
      <c r="K492" s="74" t="str">
        <f t="shared" si="482"/>
        <v/>
      </c>
      <c r="L492" s="69" t="str">
        <f>IF($B492="","",PV-J492)</f>
        <v/>
      </c>
      <c r="M492" s="71" t="str">
        <f>IF($B492="","",J492/PV)</f>
        <v/>
      </c>
      <c r="N492" s="72" t="str">
        <f t="shared" si="4"/>
        <v/>
      </c>
    </row>
    <row r="493" ht="14.25" customHeight="1">
      <c r="B493" s="66" t="str">
        <f>IF(ROWS($1:481)&lt;=Nper,ROWS($1:481),"")</f>
        <v/>
      </c>
      <c r="C493" s="67" t="str">
        <f>IF($B493="","",IF($E$7="Weekly",Start_Date+7*(ROWS($1:481)-1),EDATE(Start_Date,VLOOKUP(IF(ASTemp!$E$7="","Monthly",ASTemp!$E$7),Parameters!$B$3:$D$6,3,0)*(ROWS($1:481)-1))))</f>
        <v/>
      </c>
      <c r="D493" s="68" t="str">
        <f t="shared" si="2"/>
        <v/>
      </c>
      <c r="E493" s="65" t="str">
        <f>IF($B493="","",VLOOKUP(MONTH(C493),Parameters!$F$2:$G$13,2,0))</f>
        <v/>
      </c>
      <c r="F493" s="69" t="str">
        <f>IF($B493="","",PV-N(J492))</f>
        <v/>
      </c>
      <c r="G493" s="69" t="str">
        <f>IF($B493="","",PMT(Rate,Nper,-PV,,Type))</f>
        <v/>
      </c>
      <c r="H493" s="69" t="str">
        <f>IF($B493="","",PPMT(Rate,ROWS($1:481),Nper,-PV,,Type))</f>
        <v/>
      </c>
      <c r="I493" s="69" t="str">
        <f>IF($B493="","",IPMT(Rate,ROWS($1:481),Nper,-PV,,Type))</f>
        <v/>
      </c>
      <c r="J493" s="73" t="str">
        <f t="shared" ref="J493:K493" si="483">IF($B493="","",N(J492)+N(H493))</f>
        <v/>
      </c>
      <c r="K493" s="74" t="str">
        <f t="shared" si="483"/>
        <v/>
      </c>
      <c r="L493" s="69" t="str">
        <f>IF($B493="","",PV-J493)</f>
        <v/>
      </c>
      <c r="M493" s="71" t="str">
        <f>IF($B493="","",J493/PV)</f>
        <v/>
      </c>
      <c r="N493" s="72" t="str">
        <f t="shared" si="4"/>
        <v/>
      </c>
    </row>
    <row r="494" ht="14.25" customHeight="1">
      <c r="B494" s="66" t="str">
        <f>IF(ROWS($1:482)&lt;=Nper,ROWS($1:482),"")</f>
        <v/>
      </c>
      <c r="C494" s="67" t="str">
        <f>IF($B494="","",IF($E$7="Weekly",Start_Date+7*(ROWS($1:482)-1),EDATE(Start_Date,VLOOKUP(IF(ASTemp!$E$7="","Monthly",ASTemp!$E$7),Parameters!$B$3:$D$6,3,0)*(ROWS($1:482)-1))))</f>
        <v/>
      </c>
      <c r="D494" s="68" t="str">
        <f t="shared" si="2"/>
        <v/>
      </c>
      <c r="E494" s="65" t="str">
        <f>IF($B494="","",VLOOKUP(MONTH(C494),Parameters!$F$2:$G$13,2,0))</f>
        <v/>
      </c>
      <c r="F494" s="69" t="str">
        <f>IF($B494="","",PV-N(J493))</f>
        <v/>
      </c>
      <c r="G494" s="69" t="str">
        <f>IF($B494="","",PMT(Rate,Nper,-PV,,Type))</f>
        <v/>
      </c>
      <c r="H494" s="69" t="str">
        <f>IF($B494="","",PPMT(Rate,ROWS($1:482),Nper,-PV,,Type))</f>
        <v/>
      </c>
      <c r="I494" s="69" t="str">
        <f>IF($B494="","",IPMT(Rate,ROWS($1:482),Nper,-PV,,Type))</f>
        <v/>
      </c>
      <c r="J494" s="73" t="str">
        <f t="shared" ref="J494:K494" si="484">IF($B494="","",N(J493)+N(H494))</f>
        <v/>
      </c>
      <c r="K494" s="74" t="str">
        <f t="shared" si="484"/>
        <v/>
      </c>
      <c r="L494" s="69" t="str">
        <f>IF($B494="","",PV-J494)</f>
        <v/>
      </c>
      <c r="M494" s="71" t="str">
        <f>IF($B494="","",J494/PV)</f>
        <v/>
      </c>
      <c r="N494" s="72" t="str">
        <f t="shared" si="4"/>
        <v/>
      </c>
    </row>
    <row r="495" ht="14.25" customHeight="1">
      <c r="B495" s="66" t="str">
        <f>IF(ROWS($1:483)&lt;=Nper,ROWS($1:483),"")</f>
        <v/>
      </c>
      <c r="C495" s="67" t="str">
        <f>IF($B495="","",IF($E$7="Weekly",Start_Date+7*(ROWS($1:483)-1),EDATE(Start_Date,VLOOKUP(IF(ASTemp!$E$7="","Monthly",ASTemp!$E$7),Parameters!$B$3:$D$6,3,0)*(ROWS($1:483)-1))))</f>
        <v/>
      </c>
      <c r="D495" s="68" t="str">
        <f t="shared" si="2"/>
        <v/>
      </c>
      <c r="E495" s="65" t="str">
        <f>IF($B495="","",VLOOKUP(MONTH(C495),Parameters!$F$2:$G$13,2,0))</f>
        <v/>
      </c>
      <c r="F495" s="69" t="str">
        <f>IF($B495="","",PV-N(J494))</f>
        <v/>
      </c>
      <c r="G495" s="69" t="str">
        <f>IF($B495="","",PMT(Rate,Nper,-PV,,Type))</f>
        <v/>
      </c>
      <c r="H495" s="69" t="str">
        <f>IF($B495="","",PPMT(Rate,ROWS($1:483),Nper,-PV,,Type))</f>
        <v/>
      </c>
      <c r="I495" s="69" t="str">
        <f>IF($B495="","",IPMT(Rate,ROWS($1:483),Nper,-PV,,Type))</f>
        <v/>
      </c>
      <c r="J495" s="73" t="str">
        <f t="shared" ref="J495:K495" si="485">IF($B495="","",N(J494)+N(H495))</f>
        <v/>
      </c>
      <c r="K495" s="74" t="str">
        <f t="shared" si="485"/>
        <v/>
      </c>
      <c r="L495" s="69" t="str">
        <f>IF($B495="","",PV-J495)</f>
        <v/>
      </c>
      <c r="M495" s="71" t="str">
        <f>IF($B495="","",J495/PV)</f>
        <v/>
      </c>
      <c r="N495" s="72" t="str">
        <f t="shared" si="4"/>
        <v/>
      </c>
    </row>
    <row r="496" ht="14.25" customHeight="1">
      <c r="B496" s="66" t="str">
        <f>IF(ROWS($1:484)&lt;=Nper,ROWS($1:484),"")</f>
        <v/>
      </c>
      <c r="C496" s="67" t="str">
        <f>IF($B496="","",IF($E$7="Weekly",Start_Date+7*(ROWS($1:484)-1),EDATE(Start_Date,VLOOKUP(IF(ASTemp!$E$7="","Monthly",ASTemp!$E$7),Parameters!$B$3:$D$6,3,0)*(ROWS($1:484)-1))))</f>
        <v/>
      </c>
      <c r="D496" s="68" t="str">
        <f t="shared" si="2"/>
        <v/>
      </c>
      <c r="E496" s="65" t="str">
        <f>IF($B496="","",VLOOKUP(MONTH(C496),Parameters!$F$2:$G$13,2,0))</f>
        <v/>
      </c>
      <c r="F496" s="69" t="str">
        <f>IF($B496="","",PV-N(J495))</f>
        <v/>
      </c>
      <c r="G496" s="69" t="str">
        <f>IF($B496="","",PMT(Rate,Nper,-PV,,Type))</f>
        <v/>
      </c>
      <c r="H496" s="69" t="str">
        <f>IF($B496="","",PPMT(Rate,ROWS($1:484),Nper,-PV,,Type))</f>
        <v/>
      </c>
      <c r="I496" s="69" t="str">
        <f>IF($B496="","",IPMT(Rate,ROWS($1:484),Nper,-PV,,Type))</f>
        <v/>
      </c>
      <c r="J496" s="73" t="str">
        <f t="shared" ref="J496:K496" si="486">IF($B496="","",N(J495)+N(H496))</f>
        <v/>
      </c>
      <c r="K496" s="74" t="str">
        <f t="shared" si="486"/>
        <v/>
      </c>
      <c r="L496" s="69" t="str">
        <f>IF($B496="","",PV-J496)</f>
        <v/>
      </c>
      <c r="M496" s="71" t="str">
        <f>IF($B496="","",J496/PV)</f>
        <v/>
      </c>
      <c r="N496" s="72" t="str">
        <f t="shared" si="4"/>
        <v/>
      </c>
    </row>
    <row r="497" ht="14.25" customHeight="1">
      <c r="B497" s="66" t="str">
        <f>IF(ROWS($1:485)&lt;=Nper,ROWS($1:485),"")</f>
        <v/>
      </c>
      <c r="C497" s="67" t="str">
        <f>IF($B497="","",IF($E$7="Weekly",Start_Date+7*(ROWS($1:485)-1),EDATE(Start_Date,VLOOKUP(IF(ASTemp!$E$7="","Monthly",ASTemp!$E$7),Parameters!$B$3:$D$6,3,0)*(ROWS($1:485)-1))))</f>
        <v/>
      </c>
      <c r="D497" s="68" t="str">
        <f t="shared" si="2"/>
        <v/>
      </c>
      <c r="E497" s="65" t="str">
        <f>IF($B497="","",VLOOKUP(MONTH(C497),Parameters!$F$2:$G$13,2,0))</f>
        <v/>
      </c>
      <c r="F497" s="69" t="str">
        <f>IF($B497="","",PV-N(J496))</f>
        <v/>
      </c>
      <c r="G497" s="69" t="str">
        <f>IF($B497="","",PMT(Rate,Nper,-PV,,Type))</f>
        <v/>
      </c>
      <c r="H497" s="69" t="str">
        <f>IF($B497="","",PPMT(Rate,ROWS($1:485),Nper,-PV,,Type))</f>
        <v/>
      </c>
      <c r="I497" s="69" t="str">
        <f>IF($B497="","",IPMT(Rate,ROWS($1:485),Nper,-PV,,Type))</f>
        <v/>
      </c>
      <c r="J497" s="73" t="str">
        <f t="shared" ref="J497:K497" si="487">IF($B497="","",N(J496)+N(H497))</f>
        <v/>
      </c>
      <c r="K497" s="74" t="str">
        <f t="shared" si="487"/>
        <v/>
      </c>
      <c r="L497" s="69" t="str">
        <f>IF($B497="","",PV-J497)</f>
        <v/>
      </c>
      <c r="M497" s="71" t="str">
        <f>IF($B497="","",J497/PV)</f>
        <v/>
      </c>
      <c r="N497" s="72" t="str">
        <f t="shared" si="4"/>
        <v/>
      </c>
    </row>
    <row r="498" ht="14.25" customHeight="1">
      <c r="B498" s="66" t="str">
        <f>IF(ROWS($1:486)&lt;=Nper,ROWS($1:486),"")</f>
        <v/>
      </c>
      <c r="C498" s="67" t="str">
        <f>IF($B498="","",IF($E$7="Weekly",Start_Date+7*(ROWS($1:486)-1),EDATE(Start_Date,VLOOKUP(IF(ASTemp!$E$7="","Monthly",ASTemp!$E$7),Parameters!$B$3:$D$6,3,0)*(ROWS($1:486)-1))))</f>
        <v/>
      </c>
      <c r="D498" s="68" t="str">
        <f t="shared" si="2"/>
        <v/>
      </c>
      <c r="E498" s="65" t="str">
        <f>IF($B498="","",VLOOKUP(MONTH(C498),Parameters!$F$2:$G$13,2,0))</f>
        <v/>
      </c>
      <c r="F498" s="69" t="str">
        <f>IF($B498="","",PV-N(J497))</f>
        <v/>
      </c>
      <c r="G498" s="69" t="str">
        <f>IF($B498="","",PMT(Rate,Nper,-PV,,Type))</f>
        <v/>
      </c>
      <c r="H498" s="69" t="str">
        <f>IF($B498="","",PPMT(Rate,ROWS($1:486),Nper,-PV,,Type))</f>
        <v/>
      </c>
      <c r="I498" s="69" t="str">
        <f>IF($B498="","",IPMT(Rate,ROWS($1:486),Nper,-PV,,Type))</f>
        <v/>
      </c>
      <c r="J498" s="73" t="str">
        <f t="shared" ref="J498:K498" si="488">IF($B498="","",N(J497)+N(H498))</f>
        <v/>
      </c>
      <c r="K498" s="74" t="str">
        <f t="shared" si="488"/>
        <v/>
      </c>
      <c r="L498" s="69" t="str">
        <f>IF($B498="","",PV-J498)</f>
        <v/>
      </c>
      <c r="M498" s="71" t="str">
        <f>IF($B498="","",J498/PV)</f>
        <v/>
      </c>
      <c r="N498" s="72" t="str">
        <f t="shared" si="4"/>
        <v/>
      </c>
    </row>
    <row r="499" ht="14.25" customHeight="1">
      <c r="B499" s="66" t="str">
        <f>IF(ROWS($1:487)&lt;=Nper,ROWS($1:487),"")</f>
        <v/>
      </c>
      <c r="C499" s="67" t="str">
        <f>IF($B499="","",IF($E$7="Weekly",Start_Date+7*(ROWS($1:487)-1),EDATE(Start_Date,VLOOKUP(IF(ASTemp!$E$7="","Monthly",ASTemp!$E$7),Parameters!$B$3:$D$6,3,0)*(ROWS($1:487)-1))))</f>
        <v/>
      </c>
      <c r="D499" s="68" t="str">
        <f t="shared" si="2"/>
        <v/>
      </c>
      <c r="E499" s="65" t="str">
        <f>IF($B499="","",VLOOKUP(MONTH(C499),Parameters!$F$2:$G$13,2,0))</f>
        <v/>
      </c>
      <c r="F499" s="69" t="str">
        <f>IF($B499="","",PV-N(J498))</f>
        <v/>
      </c>
      <c r="G499" s="69" t="str">
        <f>IF($B499="","",PMT(Rate,Nper,-PV,,Type))</f>
        <v/>
      </c>
      <c r="H499" s="69" t="str">
        <f>IF($B499="","",PPMT(Rate,ROWS($1:487),Nper,-PV,,Type))</f>
        <v/>
      </c>
      <c r="I499" s="69" t="str">
        <f>IF($B499="","",IPMT(Rate,ROWS($1:487),Nper,-PV,,Type))</f>
        <v/>
      </c>
      <c r="J499" s="73" t="str">
        <f t="shared" ref="J499:K499" si="489">IF($B499="","",N(J498)+N(H499))</f>
        <v/>
      </c>
      <c r="K499" s="74" t="str">
        <f t="shared" si="489"/>
        <v/>
      </c>
      <c r="L499" s="69" t="str">
        <f>IF($B499="","",PV-J499)</f>
        <v/>
      </c>
      <c r="M499" s="71" t="str">
        <f>IF($B499="","",J499/PV)</f>
        <v/>
      </c>
      <c r="N499" s="72" t="str">
        <f t="shared" si="4"/>
        <v/>
      </c>
    </row>
    <row r="500" ht="14.25" customHeight="1">
      <c r="B500" s="66" t="str">
        <f>IF(ROWS($1:488)&lt;=Nper,ROWS($1:488),"")</f>
        <v/>
      </c>
      <c r="C500" s="67" t="str">
        <f>IF($B500="","",IF($E$7="Weekly",Start_Date+7*(ROWS($1:488)-1),EDATE(Start_Date,VLOOKUP(IF(ASTemp!$E$7="","Monthly",ASTemp!$E$7),Parameters!$B$3:$D$6,3,0)*(ROWS($1:488)-1))))</f>
        <v/>
      </c>
      <c r="D500" s="68" t="str">
        <f t="shared" si="2"/>
        <v/>
      </c>
      <c r="E500" s="65" t="str">
        <f>IF($B500="","",VLOOKUP(MONTH(C500),Parameters!$F$2:$G$13,2,0))</f>
        <v/>
      </c>
      <c r="F500" s="69" t="str">
        <f>IF($B500="","",PV-N(J499))</f>
        <v/>
      </c>
      <c r="G500" s="69" t="str">
        <f>IF($B500="","",PMT(Rate,Nper,-PV,,Type))</f>
        <v/>
      </c>
      <c r="H500" s="69" t="str">
        <f>IF($B500="","",PPMT(Rate,ROWS($1:488),Nper,-PV,,Type))</f>
        <v/>
      </c>
      <c r="I500" s="69" t="str">
        <f>IF($B500="","",IPMT(Rate,ROWS($1:488),Nper,-PV,,Type))</f>
        <v/>
      </c>
      <c r="J500" s="73" t="str">
        <f t="shared" ref="J500:K500" si="490">IF($B500="","",N(J499)+N(H500))</f>
        <v/>
      </c>
      <c r="K500" s="74" t="str">
        <f t="shared" si="490"/>
        <v/>
      </c>
      <c r="L500" s="69" t="str">
        <f>IF($B500="","",PV-J500)</f>
        <v/>
      </c>
      <c r="M500" s="71" t="str">
        <f>IF($B500="","",J500/PV)</f>
        <v/>
      </c>
      <c r="N500" s="72" t="str">
        <f t="shared" si="4"/>
        <v/>
      </c>
    </row>
    <row r="501" ht="14.25" customHeight="1">
      <c r="B501" s="66" t="str">
        <f>IF(ROWS($1:489)&lt;=Nper,ROWS($1:489),"")</f>
        <v/>
      </c>
      <c r="C501" s="67" t="str">
        <f>IF($B501="","",IF($E$7="Weekly",Start_Date+7*(ROWS($1:489)-1),EDATE(Start_Date,VLOOKUP(IF(ASTemp!$E$7="","Monthly",ASTemp!$E$7),Parameters!$B$3:$D$6,3,0)*(ROWS($1:489)-1))))</f>
        <v/>
      </c>
      <c r="D501" s="68" t="str">
        <f t="shared" si="2"/>
        <v/>
      </c>
      <c r="E501" s="65" t="str">
        <f>IF($B501="","",VLOOKUP(MONTH(C501),Parameters!$F$2:$G$13,2,0))</f>
        <v/>
      </c>
      <c r="F501" s="69" t="str">
        <f>IF($B501="","",PV-N(J500))</f>
        <v/>
      </c>
      <c r="G501" s="69" t="str">
        <f>IF($B501="","",PMT(Rate,Nper,-PV,,Type))</f>
        <v/>
      </c>
      <c r="H501" s="69" t="str">
        <f>IF($B501="","",PPMT(Rate,ROWS($1:489),Nper,-PV,,Type))</f>
        <v/>
      </c>
      <c r="I501" s="69" t="str">
        <f>IF($B501="","",IPMT(Rate,ROWS($1:489),Nper,-PV,,Type))</f>
        <v/>
      </c>
      <c r="J501" s="73" t="str">
        <f t="shared" ref="J501:K501" si="491">IF($B501="","",N(J500)+N(H501))</f>
        <v/>
      </c>
      <c r="K501" s="74" t="str">
        <f t="shared" si="491"/>
        <v/>
      </c>
      <c r="L501" s="69" t="str">
        <f>IF($B501="","",PV-J501)</f>
        <v/>
      </c>
      <c r="M501" s="71" t="str">
        <f>IF($B501="","",J501/PV)</f>
        <v/>
      </c>
      <c r="N501" s="72" t="str">
        <f t="shared" si="4"/>
        <v/>
      </c>
    </row>
    <row r="502" ht="14.25" customHeight="1">
      <c r="B502" s="66" t="str">
        <f>IF(ROWS($1:490)&lt;=Nper,ROWS($1:490),"")</f>
        <v/>
      </c>
      <c r="C502" s="67" t="str">
        <f>IF($B502="","",IF($E$7="Weekly",Start_Date+7*(ROWS($1:490)-1),EDATE(Start_Date,VLOOKUP(IF(ASTemp!$E$7="","Monthly",ASTemp!$E$7),Parameters!$B$3:$D$6,3,0)*(ROWS($1:490)-1))))</f>
        <v/>
      </c>
      <c r="D502" s="68" t="str">
        <f t="shared" si="2"/>
        <v/>
      </c>
      <c r="E502" s="65" t="str">
        <f>IF($B502="","",VLOOKUP(MONTH(C502),Parameters!$F$2:$G$13,2,0))</f>
        <v/>
      </c>
      <c r="F502" s="69" t="str">
        <f>IF($B502="","",PV-N(J501))</f>
        <v/>
      </c>
      <c r="G502" s="69" t="str">
        <f>IF($B502="","",PMT(Rate,Nper,-PV,,Type))</f>
        <v/>
      </c>
      <c r="H502" s="69" t="str">
        <f>IF($B502="","",PPMT(Rate,ROWS($1:490),Nper,-PV,,Type))</f>
        <v/>
      </c>
      <c r="I502" s="69" t="str">
        <f>IF($B502="","",IPMT(Rate,ROWS($1:490),Nper,-PV,,Type))</f>
        <v/>
      </c>
      <c r="J502" s="73" t="str">
        <f t="shared" ref="J502:K502" si="492">IF($B502="","",N(J501)+N(H502))</f>
        <v/>
      </c>
      <c r="K502" s="74" t="str">
        <f t="shared" si="492"/>
        <v/>
      </c>
      <c r="L502" s="69" t="str">
        <f>IF($B502="","",PV-J502)</f>
        <v/>
      </c>
      <c r="M502" s="71" t="str">
        <f>IF($B502="","",J502/PV)</f>
        <v/>
      </c>
      <c r="N502" s="72" t="str">
        <f t="shared" si="4"/>
        <v/>
      </c>
    </row>
    <row r="503" ht="14.25" customHeight="1">
      <c r="B503" s="66" t="str">
        <f>IF(ROWS($1:491)&lt;=Nper,ROWS($1:491),"")</f>
        <v/>
      </c>
      <c r="C503" s="67" t="str">
        <f>IF($B503="","",IF($E$7="Weekly",Start_Date+7*(ROWS($1:491)-1),EDATE(Start_Date,VLOOKUP(IF(ASTemp!$E$7="","Monthly",ASTemp!$E$7),Parameters!$B$3:$D$6,3,0)*(ROWS($1:491)-1))))</f>
        <v/>
      </c>
      <c r="D503" s="68" t="str">
        <f t="shared" si="2"/>
        <v/>
      </c>
      <c r="E503" s="65" t="str">
        <f>IF($B503="","",VLOOKUP(MONTH(C503),Parameters!$F$2:$G$13,2,0))</f>
        <v/>
      </c>
      <c r="F503" s="69" t="str">
        <f>IF($B503="","",PV-N(J502))</f>
        <v/>
      </c>
      <c r="G503" s="69" t="str">
        <f>IF($B503="","",PMT(Rate,Nper,-PV,,Type))</f>
        <v/>
      </c>
      <c r="H503" s="69" t="str">
        <f>IF($B503="","",PPMT(Rate,ROWS($1:491),Nper,-PV,,Type))</f>
        <v/>
      </c>
      <c r="I503" s="69" t="str">
        <f>IF($B503="","",IPMT(Rate,ROWS($1:491),Nper,-PV,,Type))</f>
        <v/>
      </c>
      <c r="J503" s="73" t="str">
        <f t="shared" ref="J503:K503" si="493">IF($B503="","",N(J502)+N(H503))</f>
        <v/>
      </c>
      <c r="K503" s="74" t="str">
        <f t="shared" si="493"/>
        <v/>
      </c>
      <c r="L503" s="69" t="str">
        <f>IF($B503="","",PV-J503)</f>
        <v/>
      </c>
      <c r="M503" s="71" t="str">
        <f>IF($B503="","",J503/PV)</f>
        <v/>
      </c>
      <c r="N503" s="72" t="str">
        <f t="shared" si="4"/>
        <v/>
      </c>
    </row>
    <row r="504" ht="14.25" customHeight="1">
      <c r="B504" s="66" t="str">
        <f>IF(ROWS($1:492)&lt;=Nper,ROWS($1:492),"")</f>
        <v/>
      </c>
      <c r="C504" s="67" t="str">
        <f>IF($B504="","",IF($E$7="Weekly",Start_Date+7*(ROWS($1:492)-1),EDATE(Start_Date,VLOOKUP(IF(ASTemp!$E$7="","Monthly",ASTemp!$E$7),Parameters!$B$3:$D$6,3,0)*(ROWS($1:492)-1))))</f>
        <v/>
      </c>
      <c r="D504" s="68" t="str">
        <f t="shared" si="2"/>
        <v/>
      </c>
      <c r="E504" s="65" t="str">
        <f>IF($B504="","",VLOOKUP(MONTH(C504),Parameters!$F$2:$G$13,2,0))</f>
        <v/>
      </c>
      <c r="F504" s="69" t="str">
        <f>IF($B504="","",PV-N(J503))</f>
        <v/>
      </c>
      <c r="G504" s="69" t="str">
        <f>IF($B504="","",PMT(Rate,Nper,-PV,,Type))</f>
        <v/>
      </c>
      <c r="H504" s="69" t="str">
        <f>IF($B504="","",PPMT(Rate,ROWS($1:492),Nper,-PV,,Type))</f>
        <v/>
      </c>
      <c r="I504" s="69" t="str">
        <f>IF($B504="","",IPMT(Rate,ROWS($1:492),Nper,-PV,,Type))</f>
        <v/>
      </c>
      <c r="J504" s="73" t="str">
        <f t="shared" ref="J504:K504" si="494">IF($B504="","",N(J503)+N(H504))</f>
        <v/>
      </c>
      <c r="K504" s="74" t="str">
        <f t="shared" si="494"/>
        <v/>
      </c>
      <c r="L504" s="69" t="str">
        <f>IF($B504="","",PV-J504)</f>
        <v/>
      </c>
      <c r="M504" s="71" t="str">
        <f>IF($B504="","",J504/PV)</f>
        <v/>
      </c>
      <c r="N504" s="72" t="str">
        <f t="shared" si="4"/>
        <v/>
      </c>
    </row>
    <row r="505" ht="14.25" customHeight="1">
      <c r="B505" s="66" t="str">
        <f>IF(ROWS($1:493)&lt;=Nper,ROWS($1:493),"")</f>
        <v/>
      </c>
      <c r="C505" s="67" t="str">
        <f>IF($B505="","",IF($E$7="Weekly",Start_Date+7*(ROWS($1:493)-1),EDATE(Start_Date,VLOOKUP(IF(ASTemp!$E$7="","Monthly",ASTemp!$E$7),Parameters!$B$3:$D$6,3,0)*(ROWS($1:493)-1))))</f>
        <v/>
      </c>
      <c r="D505" s="68" t="str">
        <f t="shared" si="2"/>
        <v/>
      </c>
      <c r="E505" s="65" t="str">
        <f>IF($B505="","",VLOOKUP(MONTH(C505),Parameters!$F$2:$G$13,2,0))</f>
        <v/>
      </c>
      <c r="F505" s="69" t="str">
        <f>IF($B505="","",PV-N(J504))</f>
        <v/>
      </c>
      <c r="G505" s="69" t="str">
        <f>IF($B505="","",PMT(Rate,Nper,-PV,,Type))</f>
        <v/>
      </c>
      <c r="H505" s="69" t="str">
        <f>IF($B505="","",PPMT(Rate,ROWS($1:493),Nper,-PV,,Type))</f>
        <v/>
      </c>
      <c r="I505" s="69" t="str">
        <f>IF($B505="","",IPMT(Rate,ROWS($1:493),Nper,-PV,,Type))</f>
        <v/>
      </c>
      <c r="J505" s="73" t="str">
        <f t="shared" ref="J505:K505" si="495">IF($B505="","",N(J504)+N(H505))</f>
        <v/>
      </c>
      <c r="K505" s="74" t="str">
        <f t="shared" si="495"/>
        <v/>
      </c>
      <c r="L505" s="69" t="str">
        <f>IF($B505="","",PV-J505)</f>
        <v/>
      </c>
      <c r="M505" s="71" t="str">
        <f>IF($B505="","",J505/PV)</f>
        <v/>
      </c>
      <c r="N505" s="72" t="str">
        <f t="shared" si="4"/>
        <v/>
      </c>
    </row>
    <row r="506" ht="14.25" customHeight="1">
      <c r="B506" s="66" t="str">
        <f>IF(ROWS($1:494)&lt;=Nper,ROWS($1:494),"")</f>
        <v/>
      </c>
      <c r="C506" s="67" t="str">
        <f>IF($B506="","",IF($E$7="Weekly",Start_Date+7*(ROWS($1:494)-1),EDATE(Start_Date,VLOOKUP(IF(ASTemp!$E$7="","Monthly",ASTemp!$E$7),Parameters!$B$3:$D$6,3,0)*(ROWS($1:494)-1))))</f>
        <v/>
      </c>
      <c r="D506" s="68" t="str">
        <f t="shared" si="2"/>
        <v/>
      </c>
      <c r="E506" s="65" t="str">
        <f>IF($B506="","",VLOOKUP(MONTH(C506),Parameters!$F$2:$G$13,2,0))</f>
        <v/>
      </c>
      <c r="F506" s="69" t="str">
        <f>IF($B506="","",PV-N(J505))</f>
        <v/>
      </c>
      <c r="G506" s="69" t="str">
        <f>IF($B506="","",PMT(Rate,Nper,-PV,,Type))</f>
        <v/>
      </c>
      <c r="H506" s="69" t="str">
        <f>IF($B506="","",PPMT(Rate,ROWS($1:494),Nper,-PV,,Type))</f>
        <v/>
      </c>
      <c r="I506" s="69" t="str">
        <f>IF($B506="","",IPMT(Rate,ROWS($1:494),Nper,-PV,,Type))</f>
        <v/>
      </c>
      <c r="J506" s="73" t="str">
        <f t="shared" ref="J506:K506" si="496">IF($B506="","",N(J505)+N(H506))</f>
        <v/>
      </c>
      <c r="K506" s="74" t="str">
        <f t="shared" si="496"/>
        <v/>
      </c>
      <c r="L506" s="69" t="str">
        <f>IF($B506="","",PV-J506)</f>
        <v/>
      </c>
      <c r="M506" s="71" t="str">
        <f>IF($B506="","",J506/PV)</f>
        <v/>
      </c>
      <c r="N506" s="72" t="str">
        <f t="shared" si="4"/>
        <v/>
      </c>
    </row>
    <row r="507" ht="14.25" customHeight="1">
      <c r="B507" s="66" t="str">
        <f>IF(ROWS($1:495)&lt;=Nper,ROWS($1:495),"")</f>
        <v/>
      </c>
      <c r="C507" s="67" t="str">
        <f>IF($B507="","",IF($E$7="Weekly",Start_Date+7*(ROWS($1:495)-1),EDATE(Start_Date,VLOOKUP(IF(ASTemp!$E$7="","Monthly",ASTemp!$E$7),Parameters!$B$3:$D$6,3,0)*(ROWS($1:495)-1))))</f>
        <v/>
      </c>
      <c r="D507" s="68" t="str">
        <f t="shared" si="2"/>
        <v/>
      </c>
      <c r="E507" s="65" t="str">
        <f>IF($B507="","",VLOOKUP(MONTH(C507),Parameters!$F$2:$G$13,2,0))</f>
        <v/>
      </c>
      <c r="F507" s="69" t="str">
        <f>IF($B507="","",PV-N(J506))</f>
        <v/>
      </c>
      <c r="G507" s="69" t="str">
        <f>IF($B507="","",PMT(Rate,Nper,-PV,,Type))</f>
        <v/>
      </c>
      <c r="H507" s="69" t="str">
        <f>IF($B507="","",PPMT(Rate,ROWS($1:495),Nper,-PV,,Type))</f>
        <v/>
      </c>
      <c r="I507" s="69" t="str">
        <f>IF($B507="","",IPMT(Rate,ROWS($1:495),Nper,-PV,,Type))</f>
        <v/>
      </c>
      <c r="J507" s="73" t="str">
        <f t="shared" ref="J507:K507" si="497">IF($B507="","",N(J506)+N(H507))</f>
        <v/>
      </c>
      <c r="K507" s="74" t="str">
        <f t="shared" si="497"/>
        <v/>
      </c>
      <c r="L507" s="69" t="str">
        <f>IF($B507="","",PV-J507)</f>
        <v/>
      </c>
      <c r="M507" s="71" t="str">
        <f>IF($B507="","",J507/PV)</f>
        <v/>
      </c>
      <c r="N507" s="72" t="str">
        <f t="shared" si="4"/>
        <v/>
      </c>
    </row>
    <row r="508" ht="14.25" customHeight="1">
      <c r="B508" s="66" t="str">
        <f>IF(ROWS($1:496)&lt;=Nper,ROWS($1:496),"")</f>
        <v/>
      </c>
      <c r="C508" s="67" t="str">
        <f>IF($B508="","",IF($E$7="Weekly",Start_Date+7*(ROWS($1:496)-1),EDATE(Start_Date,VLOOKUP(IF(ASTemp!$E$7="","Monthly",ASTemp!$E$7),Parameters!$B$3:$D$6,3,0)*(ROWS($1:496)-1))))</f>
        <v/>
      </c>
      <c r="D508" s="68" t="str">
        <f t="shared" si="2"/>
        <v/>
      </c>
      <c r="E508" s="65" t="str">
        <f>IF($B508="","",VLOOKUP(MONTH(C508),Parameters!$F$2:$G$13,2,0))</f>
        <v/>
      </c>
      <c r="F508" s="69" t="str">
        <f>IF($B508="","",PV-N(J507))</f>
        <v/>
      </c>
      <c r="G508" s="69" t="str">
        <f>IF($B508="","",PMT(Rate,Nper,-PV,,Type))</f>
        <v/>
      </c>
      <c r="H508" s="69" t="str">
        <f>IF($B508="","",PPMT(Rate,ROWS($1:496),Nper,-PV,,Type))</f>
        <v/>
      </c>
      <c r="I508" s="69" t="str">
        <f>IF($B508="","",IPMT(Rate,ROWS($1:496),Nper,-PV,,Type))</f>
        <v/>
      </c>
      <c r="J508" s="73" t="str">
        <f t="shared" ref="J508:K508" si="498">IF($B508="","",N(J507)+N(H508))</f>
        <v/>
      </c>
      <c r="K508" s="74" t="str">
        <f t="shared" si="498"/>
        <v/>
      </c>
      <c r="L508" s="69" t="str">
        <f>IF($B508="","",PV-J508)</f>
        <v/>
      </c>
      <c r="M508" s="71" t="str">
        <f>IF($B508="","",J508/PV)</f>
        <v/>
      </c>
      <c r="N508" s="72" t="str">
        <f t="shared" si="4"/>
        <v/>
      </c>
    </row>
    <row r="509" ht="14.25" customHeight="1">
      <c r="B509" s="66" t="str">
        <f>IF(ROWS($1:497)&lt;=Nper,ROWS($1:497),"")</f>
        <v/>
      </c>
      <c r="C509" s="67" t="str">
        <f>IF($B509="","",IF($E$7="Weekly",Start_Date+7*(ROWS($1:497)-1),EDATE(Start_Date,VLOOKUP(IF(ASTemp!$E$7="","Monthly",ASTemp!$E$7),Parameters!$B$3:$D$6,3,0)*(ROWS($1:497)-1))))</f>
        <v/>
      </c>
      <c r="D509" s="68" t="str">
        <f t="shared" si="2"/>
        <v/>
      </c>
      <c r="E509" s="65" t="str">
        <f>IF($B509="","",VLOOKUP(MONTH(C509),Parameters!$F$2:$G$13,2,0))</f>
        <v/>
      </c>
      <c r="F509" s="69" t="str">
        <f>IF($B509="","",PV-N(J508))</f>
        <v/>
      </c>
      <c r="G509" s="69" t="str">
        <f>IF($B509="","",PMT(Rate,Nper,-PV,,Type))</f>
        <v/>
      </c>
      <c r="H509" s="69" t="str">
        <f>IF($B509="","",PPMT(Rate,ROWS($1:497),Nper,-PV,,Type))</f>
        <v/>
      </c>
      <c r="I509" s="69" t="str">
        <f>IF($B509="","",IPMT(Rate,ROWS($1:497),Nper,-PV,,Type))</f>
        <v/>
      </c>
      <c r="J509" s="73" t="str">
        <f t="shared" ref="J509:K509" si="499">IF($B509="","",N(J508)+N(H509))</f>
        <v/>
      </c>
      <c r="K509" s="74" t="str">
        <f t="shared" si="499"/>
        <v/>
      </c>
      <c r="L509" s="69" t="str">
        <f>IF($B509="","",PV-J509)</f>
        <v/>
      </c>
      <c r="M509" s="71" t="str">
        <f>IF($B509="","",J509/PV)</f>
        <v/>
      </c>
      <c r="N509" s="72" t="str">
        <f t="shared" si="4"/>
        <v/>
      </c>
    </row>
    <row r="510" ht="14.25" customHeight="1">
      <c r="B510" s="66" t="str">
        <f>IF(ROWS($1:498)&lt;=Nper,ROWS($1:498),"")</f>
        <v/>
      </c>
      <c r="C510" s="67" t="str">
        <f>IF($B510="","",IF($E$7="Weekly",Start_Date+7*(ROWS($1:498)-1),EDATE(Start_Date,VLOOKUP(IF(ASTemp!$E$7="","Monthly",ASTemp!$E$7),Parameters!$B$3:$D$6,3,0)*(ROWS($1:498)-1))))</f>
        <v/>
      </c>
      <c r="D510" s="68" t="str">
        <f t="shared" si="2"/>
        <v/>
      </c>
      <c r="E510" s="65" t="str">
        <f>IF($B510="","",VLOOKUP(MONTH(C510),Parameters!$F$2:$G$13,2,0))</f>
        <v/>
      </c>
      <c r="F510" s="69" t="str">
        <f>IF($B510="","",PV-N(J509))</f>
        <v/>
      </c>
      <c r="G510" s="69" t="str">
        <f>IF($B510="","",PMT(Rate,Nper,-PV,,Type))</f>
        <v/>
      </c>
      <c r="H510" s="69" t="str">
        <f>IF($B510="","",PPMT(Rate,ROWS($1:498),Nper,-PV,,Type))</f>
        <v/>
      </c>
      <c r="I510" s="69" t="str">
        <f>IF($B510="","",IPMT(Rate,ROWS($1:498),Nper,-PV,,Type))</f>
        <v/>
      </c>
      <c r="J510" s="73" t="str">
        <f t="shared" ref="J510:K510" si="500">IF($B510="","",N(J509)+N(H510))</f>
        <v/>
      </c>
      <c r="K510" s="74" t="str">
        <f t="shared" si="500"/>
        <v/>
      </c>
      <c r="L510" s="69" t="str">
        <f>IF($B510="","",PV-J510)</f>
        <v/>
      </c>
      <c r="M510" s="71" t="str">
        <f>IF($B510="","",J510/PV)</f>
        <v/>
      </c>
      <c r="N510" s="72" t="str">
        <f t="shared" si="4"/>
        <v/>
      </c>
    </row>
    <row r="511" ht="14.25" customHeight="1">
      <c r="B511" s="66" t="str">
        <f>IF(ROWS($1:499)&lt;=Nper,ROWS($1:499),"")</f>
        <v/>
      </c>
      <c r="C511" s="67" t="str">
        <f>IF($B511="","",IF($E$7="Weekly",Start_Date+7*(ROWS($1:499)-1),EDATE(Start_Date,VLOOKUP(IF(ASTemp!$E$7="","Monthly",ASTemp!$E$7),Parameters!$B$3:$D$6,3,0)*(ROWS($1:499)-1))))</f>
        <v/>
      </c>
      <c r="D511" s="68" t="str">
        <f t="shared" si="2"/>
        <v/>
      </c>
      <c r="E511" s="65" t="str">
        <f>IF($B511="","",VLOOKUP(MONTH(C511),Parameters!$F$2:$G$13,2,0))</f>
        <v/>
      </c>
      <c r="F511" s="69" t="str">
        <f>IF($B511="","",PV-N(J510))</f>
        <v/>
      </c>
      <c r="G511" s="69" t="str">
        <f>IF($B511="","",PMT(Rate,Nper,-PV,,Type))</f>
        <v/>
      </c>
      <c r="H511" s="69" t="str">
        <f>IF($B511="","",PPMT(Rate,ROWS($1:499),Nper,-PV,,Type))</f>
        <v/>
      </c>
      <c r="I511" s="69" t="str">
        <f>IF($B511="","",IPMT(Rate,ROWS($1:499),Nper,-PV,,Type))</f>
        <v/>
      </c>
      <c r="J511" s="73" t="str">
        <f t="shared" ref="J511:K511" si="501">IF($B511="","",N(J510)+N(H511))</f>
        <v/>
      </c>
      <c r="K511" s="74" t="str">
        <f t="shared" si="501"/>
        <v/>
      </c>
      <c r="L511" s="69" t="str">
        <f>IF($B511="","",PV-J511)</f>
        <v/>
      </c>
      <c r="M511" s="71" t="str">
        <f>IF($B511="","",J511/PV)</f>
        <v/>
      </c>
      <c r="N511" s="72" t="str">
        <f t="shared" si="4"/>
        <v/>
      </c>
    </row>
    <row r="512" ht="14.25" customHeight="1">
      <c r="B512" s="66" t="str">
        <f>IF(ROWS($1:500)&lt;=Nper,ROWS($1:500),"")</f>
        <v/>
      </c>
      <c r="C512" s="67" t="str">
        <f>IF($B512="","",IF($E$7="Weekly",Start_Date+7*(ROWS($1:500)-1),EDATE(Start_Date,VLOOKUP(IF(ASTemp!$E$7="","Monthly",ASTemp!$E$7),Parameters!$B$3:$D$6,3,0)*(ROWS($1:500)-1))))</f>
        <v/>
      </c>
      <c r="D512" s="68" t="str">
        <f t="shared" si="2"/>
        <v/>
      </c>
      <c r="E512" s="65" t="str">
        <f>IF($B512="","",VLOOKUP(MONTH(C512),Parameters!$F$2:$G$13,2,0))</f>
        <v/>
      </c>
      <c r="F512" s="69" t="str">
        <f>IF($B512="","",PV-N(J511))</f>
        <v/>
      </c>
      <c r="G512" s="69" t="str">
        <f>IF($B512="","",PMT(Rate,Nper,-PV,,Type))</f>
        <v/>
      </c>
      <c r="H512" s="69" t="str">
        <f>IF($B512="","",PPMT(Rate,ROWS($1:500),Nper,-PV,,Type))</f>
        <v/>
      </c>
      <c r="I512" s="69" t="str">
        <f>IF($B512="","",IPMT(Rate,ROWS($1:500),Nper,-PV,,Type))</f>
        <v/>
      </c>
      <c r="J512" s="73" t="str">
        <f t="shared" ref="J512:K512" si="502">IF($B512="","",N(J511)+N(H512))</f>
        <v/>
      </c>
      <c r="K512" s="74" t="str">
        <f t="shared" si="502"/>
        <v/>
      </c>
      <c r="L512" s="69" t="str">
        <f>IF($B512="","",PV-J512)</f>
        <v/>
      </c>
      <c r="M512" s="71" t="str">
        <f>IF($B512="","",J512/PV)</f>
        <v/>
      </c>
      <c r="N512" s="72" t="str">
        <f t="shared" si="4"/>
        <v/>
      </c>
    </row>
    <row r="513" ht="14.25" customHeight="1">
      <c r="B513" s="66" t="str">
        <f>IF(ROWS($1:501)&lt;=Nper,ROWS($1:501),"")</f>
        <v/>
      </c>
      <c r="C513" s="67" t="str">
        <f>IF($B513="","",IF($E$7="Weekly",Start_Date+7*(ROWS($1:501)-1),EDATE(Start_Date,VLOOKUP(IF(ASTemp!$E$7="","Monthly",ASTemp!$E$7),Parameters!$B$3:$D$6,3,0)*(ROWS($1:501)-1))))</f>
        <v/>
      </c>
      <c r="D513" s="68" t="str">
        <f t="shared" si="2"/>
        <v/>
      </c>
      <c r="E513" s="65" t="str">
        <f>IF($B513="","",VLOOKUP(MONTH(C513),Parameters!$F$2:$G$13,2,0))</f>
        <v/>
      </c>
      <c r="F513" s="69" t="str">
        <f>IF($B513="","",PV-N(J512))</f>
        <v/>
      </c>
      <c r="G513" s="69" t="str">
        <f>IF($B513="","",PMT(Rate,Nper,-PV,,Type))</f>
        <v/>
      </c>
      <c r="H513" s="69" t="str">
        <f>IF($B513="","",PPMT(Rate,ROWS($1:501),Nper,-PV,,Type))</f>
        <v/>
      </c>
      <c r="I513" s="69" t="str">
        <f>IF($B513="","",IPMT(Rate,ROWS($1:501),Nper,-PV,,Type))</f>
        <v/>
      </c>
      <c r="J513" s="73" t="str">
        <f t="shared" ref="J513:K513" si="503">IF($B513="","",N(J512)+N(H513))</f>
        <v/>
      </c>
      <c r="K513" s="74" t="str">
        <f t="shared" si="503"/>
        <v/>
      </c>
      <c r="L513" s="69" t="str">
        <f>IF($B513="","",PV-J513)</f>
        <v/>
      </c>
      <c r="M513" s="71" t="str">
        <f>IF($B513="","",J513/PV)</f>
        <v/>
      </c>
      <c r="N513" s="72" t="str">
        <f t="shared" si="4"/>
        <v/>
      </c>
    </row>
    <row r="514" ht="14.25" customHeight="1">
      <c r="B514" s="66" t="str">
        <f>IF(ROWS($1:502)&lt;=Nper,ROWS($1:502),"")</f>
        <v/>
      </c>
      <c r="C514" s="67" t="str">
        <f>IF($B514="","",IF($E$7="Weekly",Start_Date+7*(ROWS($1:502)-1),EDATE(Start_Date,VLOOKUP(IF(ASTemp!$E$7="","Monthly",ASTemp!$E$7),Parameters!$B$3:$D$6,3,0)*(ROWS($1:502)-1))))</f>
        <v/>
      </c>
      <c r="D514" s="68" t="str">
        <f t="shared" si="2"/>
        <v/>
      </c>
      <c r="E514" s="65" t="str">
        <f>IF($B514="","",VLOOKUP(MONTH(C514),Parameters!$F$2:$G$13,2,0))</f>
        <v/>
      </c>
      <c r="F514" s="69" t="str">
        <f>IF($B514="","",PV-N(J513))</f>
        <v/>
      </c>
      <c r="G514" s="69" t="str">
        <f>IF($B514="","",PMT(Rate,Nper,-PV,,Type))</f>
        <v/>
      </c>
      <c r="H514" s="69" t="str">
        <f>IF($B514="","",PPMT(Rate,ROWS($1:502),Nper,-PV,,Type))</f>
        <v/>
      </c>
      <c r="I514" s="69" t="str">
        <f>IF($B514="","",IPMT(Rate,ROWS($1:502),Nper,-PV,,Type))</f>
        <v/>
      </c>
      <c r="J514" s="73" t="str">
        <f t="shared" ref="J514:K514" si="504">IF($B514="","",N(J513)+N(H514))</f>
        <v/>
      </c>
      <c r="K514" s="74" t="str">
        <f t="shared" si="504"/>
        <v/>
      </c>
      <c r="L514" s="69" t="str">
        <f>IF($B514="","",PV-J514)</f>
        <v/>
      </c>
      <c r="M514" s="71" t="str">
        <f>IF($B514="","",J514/PV)</f>
        <v/>
      </c>
      <c r="N514" s="72" t="str">
        <f t="shared" si="4"/>
        <v/>
      </c>
    </row>
    <row r="515" ht="14.25" customHeight="1">
      <c r="B515" s="66" t="str">
        <f>IF(ROWS($1:503)&lt;=Nper,ROWS($1:503),"")</f>
        <v/>
      </c>
      <c r="C515" s="67" t="str">
        <f>IF($B515="","",IF($E$7="Weekly",Start_Date+7*(ROWS($1:503)-1),EDATE(Start_Date,VLOOKUP(IF(ASTemp!$E$7="","Monthly",ASTemp!$E$7),Parameters!$B$3:$D$6,3,0)*(ROWS($1:503)-1))))</f>
        <v/>
      </c>
      <c r="D515" s="68" t="str">
        <f t="shared" si="2"/>
        <v/>
      </c>
      <c r="E515" s="65" t="str">
        <f>IF($B515="","",VLOOKUP(MONTH(C515),Parameters!$F$2:$G$13,2,0))</f>
        <v/>
      </c>
      <c r="F515" s="69" t="str">
        <f>IF($B515="","",PV-N(J514))</f>
        <v/>
      </c>
      <c r="G515" s="69" t="str">
        <f>IF($B515="","",PMT(Rate,Nper,-PV,,Type))</f>
        <v/>
      </c>
      <c r="H515" s="69" t="str">
        <f>IF($B515="","",PPMT(Rate,ROWS($1:503),Nper,-PV,,Type))</f>
        <v/>
      </c>
      <c r="I515" s="69" t="str">
        <f>IF($B515="","",IPMT(Rate,ROWS($1:503),Nper,-PV,,Type))</f>
        <v/>
      </c>
      <c r="J515" s="73" t="str">
        <f t="shared" ref="J515:K515" si="505">IF($B515="","",N(J514)+N(H515))</f>
        <v/>
      </c>
      <c r="K515" s="74" t="str">
        <f t="shared" si="505"/>
        <v/>
      </c>
      <c r="L515" s="69" t="str">
        <f>IF($B515="","",PV-J515)</f>
        <v/>
      </c>
      <c r="M515" s="71" t="str">
        <f>IF($B515="","",J515/PV)</f>
        <v/>
      </c>
      <c r="N515" s="72" t="str">
        <f t="shared" si="4"/>
        <v/>
      </c>
    </row>
    <row r="516" ht="14.25" customHeight="1">
      <c r="B516" s="66" t="str">
        <f>IF(ROWS($1:504)&lt;=Nper,ROWS($1:504),"")</f>
        <v/>
      </c>
      <c r="C516" s="67" t="str">
        <f>IF($B516="","",IF($E$7="Weekly",Start_Date+7*(ROWS($1:504)-1),EDATE(Start_Date,VLOOKUP(IF(ASTemp!$E$7="","Monthly",ASTemp!$E$7),Parameters!$B$3:$D$6,3,0)*(ROWS($1:504)-1))))</f>
        <v/>
      </c>
      <c r="D516" s="68" t="str">
        <f t="shared" si="2"/>
        <v/>
      </c>
      <c r="E516" s="65" t="str">
        <f>IF($B516="","",VLOOKUP(MONTH(C516),Parameters!$F$2:$G$13,2,0))</f>
        <v/>
      </c>
      <c r="F516" s="69" t="str">
        <f>IF($B516="","",PV-N(J515))</f>
        <v/>
      </c>
      <c r="G516" s="69" t="str">
        <f>IF($B516="","",PMT(Rate,Nper,-PV,,Type))</f>
        <v/>
      </c>
      <c r="H516" s="69" t="str">
        <f>IF($B516="","",PPMT(Rate,ROWS($1:504),Nper,-PV,,Type))</f>
        <v/>
      </c>
      <c r="I516" s="69" t="str">
        <f>IF($B516="","",IPMT(Rate,ROWS($1:504),Nper,-PV,,Type))</f>
        <v/>
      </c>
      <c r="J516" s="73" t="str">
        <f t="shared" ref="J516:K516" si="506">IF($B516="","",N(J515)+N(H516))</f>
        <v/>
      </c>
      <c r="K516" s="74" t="str">
        <f t="shared" si="506"/>
        <v/>
      </c>
      <c r="L516" s="69" t="str">
        <f>IF($B516="","",PV-J516)</f>
        <v/>
      </c>
      <c r="M516" s="71" t="str">
        <f>IF($B516="","",J516/PV)</f>
        <v/>
      </c>
      <c r="N516" s="72" t="str">
        <f t="shared" si="4"/>
        <v/>
      </c>
    </row>
    <row r="517" ht="14.25" customHeight="1">
      <c r="B517" s="66" t="str">
        <f>IF(ROWS($1:505)&lt;=Nper,ROWS($1:505),"")</f>
        <v/>
      </c>
      <c r="C517" s="67" t="str">
        <f>IF($B517="","",IF($E$7="Weekly",Start_Date+7*(ROWS($1:505)-1),EDATE(Start_Date,VLOOKUP(IF(ASTemp!$E$7="","Monthly",ASTemp!$E$7),Parameters!$B$3:$D$6,3,0)*(ROWS($1:505)-1))))</f>
        <v/>
      </c>
      <c r="D517" s="68" t="str">
        <f t="shared" si="2"/>
        <v/>
      </c>
      <c r="E517" s="65" t="str">
        <f>IF($B517="","",VLOOKUP(MONTH(C517),Parameters!$F$2:$G$13,2,0))</f>
        <v/>
      </c>
      <c r="F517" s="69" t="str">
        <f>IF($B517="","",PV-N(J516))</f>
        <v/>
      </c>
      <c r="G517" s="69" t="str">
        <f>IF($B517="","",PMT(Rate,Nper,-PV,,Type))</f>
        <v/>
      </c>
      <c r="H517" s="69" t="str">
        <f>IF($B517="","",PPMT(Rate,ROWS($1:505),Nper,-PV,,Type))</f>
        <v/>
      </c>
      <c r="I517" s="69" t="str">
        <f>IF($B517="","",IPMT(Rate,ROWS($1:505),Nper,-PV,,Type))</f>
        <v/>
      </c>
      <c r="J517" s="73" t="str">
        <f t="shared" ref="J517:K517" si="507">IF($B517="","",N(J516)+N(H517))</f>
        <v/>
      </c>
      <c r="K517" s="74" t="str">
        <f t="shared" si="507"/>
        <v/>
      </c>
      <c r="L517" s="69" t="str">
        <f>IF($B517="","",PV-J517)</f>
        <v/>
      </c>
      <c r="M517" s="71" t="str">
        <f>IF($B517="","",J517/PV)</f>
        <v/>
      </c>
      <c r="N517" s="72" t="str">
        <f t="shared" si="4"/>
        <v/>
      </c>
    </row>
    <row r="518" ht="14.25" customHeight="1">
      <c r="B518" s="66" t="str">
        <f>IF(ROWS($1:506)&lt;=Nper,ROWS($1:506),"")</f>
        <v/>
      </c>
      <c r="C518" s="67" t="str">
        <f>IF($B518="","",IF($E$7="Weekly",Start_Date+7*(ROWS($1:506)-1),EDATE(Start_Date,VLOOKUP(IF(ASTemp!$E$7="","Monthly",ASTemp!$E$7),Parameters!$B$3:$D$6,3,0)*(ROWS($1:506)-1))))</f>
        <v/>
      </c>
      <c r="D518" s="68" t="str">
        <f t="shared" si="2"/>
        <v/>
      </c>
      <c r="E518" s="65" t="str">
        <f>IF($B518="","",VLOOKUP(MONTH(C518),Parameters!$F$2:$G$13,2,0))</f>
        <v/>
      </c>
      <c r="F518" s="69" t="str">
        <f>IF($B518="","",PV-N(J517))</f>
        <v/>
      </c>
      <c r="G518" s="69" t="str">
        <f>IF($B518="","",PMT(Rate,Nper,-PV,,Type))</f>
        <v/>
      </c>
      <c r="H518" s="69" t="str">
        <f>IF($B518="","",PPMT(Rate,ROWS($1:506),Nper,-PV,,Type))</f>
        <v/>
      </c>
      <c r="I518" s="69" t="str">
        <f>IF($B518="","",IPMT(Rate,ROWS($1:506),Nper,-PV,,Type))</f>
        <v/>
      </c>
      <c r="J518" s="73" t="str">
        <f t="shared" ref="J518:K518" si="508">IF($B518="","",N(J517)+N(H518))</f>
        <v/>
      </c>
      <c r="K518" s="74" t="str">
        <f t="shared" si="508"/>
        <v/>
      </c>
      <c r="L518" s="69" t="str">
        <f>IF($B518="","",PV-J518)</f>
        <v/>
      </c>
      <c r="M518" s="71" t="str">
        <f>IF($B518="","",J518/PV)</f>
        <v/>
      </c>
      <c r="N518" s="72" t="str">
        <f t="shared" si="4"/>
        <v/>
      </c>
    </row>
    <row r="519" ht="14.25" customHeight="1">
      <c r="B519" s="66" t="str">
        <f>IF(ROWS($1:507)&lt;=Nper,ROWS($1:507),"")</f>
        <v/>
      </c>
      <c r="C519" s="67" t="str">
        <f>IF($B519="","",IF($E$7="Weekly",Start_Date+7*(ROWS($1:507)-1),EDATE(Start_Date,VLOOKUP(IF(ASTemp!$E$7="","Monthly",ASTemp!$E$7),Parameters!$B$3:$D$6,3,0)*(ROWS($1:507)-1))))</f>
        <v/>
      </c>
      <c r="D519" s="68" t="str">
        <f t="shared" si="2"/>
        <v/>
      </c>
      <c r="E519" s="65" t="str">
        <f>IF($B519="","",VLOOKUP(MONTH(C519),Parameters!$F$2:$G$13,2,0))</f>
        <v/>
      </c>
      <c r="F519" s="69" t="str">
        <f>IF($B519="","",PV-N(J518))</f>
        <v/>
      </c>
      <c r="G519" s="69" t="str">
        <f>IF($B519="","",PMT(Rate,Nper,-PV,,Type))</f>
        <v/>
      </c>
      <c r="H519" s="69" t="str">
        <f>IF($B519="","",PPMT(Rate,ROWS($1:507),Nper,-PV,,Type))</f>
        <v/>
      </c>
      <c r="I519" s="69" t="str">
        <f>IF($B519="","",IPMT(Rate,ROWS($1:507),Nper,-PV,,Type))</f>
        <v/>
      </c>
      <c r="J519" s="73" t="str">
        <f t="shared" ref="J519:K519" si="509">IF($B519="","",N(J518)+N(H519))</f>
        <v/>
      </c>
      <c r="K519" s="74" t="str">
        <f t="shared" si="509"/>
        <v/>
      </c>
      <c r="L519" s="69" t="str">
        <f>IF($B519="","",PV-J519)</f>
        <v/>
      </c>
      <c r="M519" s="71" t="str">
        <f>IF($B519="","",J519/PV)</f>
        <v/>
      </c>
      <c r="N519" s="72" t="str">
        <f t="shared" si="4"/>
        <v/>
      </c>
    </row>
    <row r="520" ht="14.25" customHeight="1">
      <c r="B520" s="66" t="str">
        <f>IF(ROWS($1:508)&lt;=Nper,ROWS($1:508),"")</f>
        <v/>
      </c>
      <c r="C520" s="67" t="str">
        <f>IF($B520="","",IF($E$7="Weekly",Start_Date+7*(ROWS($1:508)-1),EDATE(Start_Date,VLOOKUP(IF(ASTemp!$E$7="","Monthly",ASTemp!$E$7),Parameters!$B$3:$D$6,3,0)*(ROWS($1:508)-1))))</f>
        <v/>
      </c>
      <c r="D520" s="68" t="str">
        <f t="shared" si="2"/>
        <v/>
      </c>
      <c r="E520" s="65" t="str">
        <f>IF($B520="","",VLOOKUP(MONTH(C520),Parameters!$F$2:$G$13,2,0))</f>
        <v/>
      </c>
      <c r="F520" s="69" t="str">
        <f>IF($B520="","",PV-N(J519))</f>
        <v/>
      </c>
      <c r="G520" s="69" t="str">
        <f>IF($B520="","",PMT(Rate,Nper,-PV,,Type))</f>
        <v/>
      </c>
      <c r="H520" s="69" t="str">
        <f>IF($B520="","",PPMT(Rate,ROWS($1:508),Nper,-PV,,Type))</f>
        <v/>
      </c>
      <c r="I520" s="69" t="str">
        <f>IF($B520="","",IPMT(Rate,ROWS($1:508),Nper,-PV,,Type))</f>
        <v/>
      </c>
      <c r="J520" s="73" t="str">
        <f t="shared" ref="J520:K520" si="510">IF($B520="","",N(J519)+N(H520))</f>
        <v/>
      </c>
      <c r="K520" s="74" t="str">
        <f t="shared" si="510"/>
        <v/>
      </c>
      <c r="L520" s="69" t="str">
        <f>IF($B520="","",PV-J520)</f>
        <v/>
      </c>
      <c r="M520" s="71" t="str">
        <f>IF($B520="","",J520/PV)</f>
        <v/>
      </c>
      <c r="N520" s="72" t="str">
        <f t="shared" si="4"/>
        <v/>
      </c>
    </row>
    <row r="521" ht="14.25" customHeight="1">
      <c r="B521" s="66" t="str">
        <f>IF(ROWS($1:509)&lt;=Nper,ROWS($1:509),"")</f>
        <v/>
      </c>
      <c r="C521" s="67" t="str">
        <f>IF($B521="","",IF($E$7="Weekly",Start_Date+7*(ROWS($1:509)-1),EDATE(Start_Date,VLOOKUP(IF(ASTemp!$E$7="","Monthly",ASTemp!$E$7),Parameters!$B$3:$D$6,3,0)*(ROWS($1:509)-1))))</f>
        <v/>
      </c>
      <c r="D521" s="68" t="str">
        <f t="shared" si="2"/>
        <v/>
      </c>
      <c r="E521" s="65" t="str">
        <f>IF($B521="","",VLOOKUP(MONTH(C521),Parameters!$F$2:$G$13,2,0))</f>
        <v/>
      </c>
      <c r="F521" s="69" t="str">
        <f>IF($B521="","",PV-N(J520))</f>
        <v/>
      </c>
      <c r="G521" s="69" t="str">
        <f>IF($B521="","",PMT(Rate,Nper,-PV,,Type))</f>
        <v/>
      </c>
      <c r="H521" s="69" t="str">
        <f>IF($B521="","",PPMT(Rate,ROWS($1:509),Nper,-PV,,Type))</f>
        <v/>
      </c>
      <c r="I521" s="69" t="str">
        <f>IF($B521="","",IPMT(Rate,ROWS($1:509),Nper,-PV,,Type))</f>
        <v/>
      </c>
      <c r="J521" s="73" t="str">
        <f t="shared" ref="J521:K521" si="511">IF($B521="","",N(J520)+N(H521))</f>
        <v/>
      </c>
      <c r="K521" s="74" t="str">
        <f t="shared" si="511"/>
        <v/>
      </c>
      <c r="L521" s="69" t="str">
        <f>IF($B521="","",PV-J521)</f>
        <v/>
      </c>
      <c r="M521" s="71" t="str">
        <f>IF($B521="","",J521/PV)</f>
        <v/>
      </c>
      <c r="N521" s="72" t="str">
        <f t="shared" si="4"/>
        <v/>
      </c>
    </row>
    <row r="522" ht="14.25" customHeight="1">
      <c r="B522" s="66" t="str">
        <f>IF(ROWS($1:510)&lt;=Nper,ROWS($1:510),"")</f>
        <v/>
      </c>
      <c r="C522" s="67" t="str">
        <f>IF($B522="","",IF($E$7="Weekly",Start_Date+7*(ROWS($1:510)-1),EDATE(Start_Date,VLOOKUP(IF(ASTemp!$E$7="","Monthly",ASTemp!$E$7),Parameters!$B$3:$D$6,3,0)*(ROWS($1:510)-1))))</f>
        <v/>
      </c>
      <c r="D522" s="68" t="str">
        <f t="shared" si="2"/>
        <v/>
      </c>
      <c r="E522" s="65" t="str">
        <f>IF($B522="","",VLOOKUP(MONTH(C522),Parameters!$F$2:$G$13,2,0))</f>
        <v/>
      </c>
      <c r="F522" s="69" t="str">
        <f>IF($B522="","",PV-N(J521))</f>
        <v/>
      </c>
      <c r="G522" s="69" t="str">
        <f>IF($B522="","",PMT(Rate,Nper,-PV,,Type))</f>
        <v/>
      </c>
      <c r="H522" s="69" t="str">
        <f>IF($B522="","",PPMT(Rate,ROWS($1:510),Nper,-PV,,Type))</f>
        <v/>
      </c>
      <c r="I522" s="69" t="str">
        <f>IF($B522="","",IPMT(Rate,ROWS($1:510),Nper,-PV,,Type))</f>
        <v/>
      </c>
      <c r="J522" s="73" t="str">
        <f t="shared" ref="J522:K522" si="512">IF($B522="","",N(J521)+N(H522))</f>
        <v/>
      </c>
      <c r="K522" s="74" t="str">
        <f t="shared" si="512"/>
        <v/>
      </c>
      <c r="L522" s="69" t="str">
        <f>IF($B522="","",PV-J522)</f>
        <v/>
      </c>
      <c r="M522" s="71" t="str">
        <f>IF($B522="","",J522/PV)</f>
        <v/>
      </c>
      <c r="N522" s="72" t="str">
        <f t="shared" si="4"/>
        <v/>
      </c>
    </row>
    <row r="523" ht="14.25" customHeight="1">
      <c r="B523" s="66" t="str">
        <f>IF(ROWS($1:511)&lt;=Nper,ROWS($1:511),"")</f>
        <v/>
      </c>
      <c r="C523" s="67" t="str">
        <f>IF($B523="","",IF($E$7="Weekly",Start_Date+7*(ROWS($1:511)-1),EDATE(Start_Date,VLOOKUP(IF(ASTemp!$E$7="","Monthly",ASTemp!$E$7),Parameters!$B$3:$D$6,3,0)*(ROWS($1:511)-1))))</f>
        <v/>
      </c>
      <c r="D523" s="68" t="str">
        <f t="shared" si="2"/>
        <v/>
      </c>
      <c r="E523" s="65" t="str">
        <f>IF($B523="","",VLOOKUP(MONTH(C523),Parameters!$F$2:$G$13,2,0))</f>
        <v/>
      </c>
      <c r="F523" s="69" t="str">
        <f>IF($B523="","",PV-N(J522))</f>
        <v/>
      </c>
      <c r="G523" s="69" t="str">
        <f>IF($B523="","",PMT(Rate,Nper,-PV,,Type))</f>
        <v/>
      </c>
      <c r="H523" s="69" t="str">
        <f>IF($B523="","",PPMT(Rate,ROWS($1:511),Nper,-PV,,Type))</f>
        <v/>
      </c>
      <c r="I523" s="69" t="str">
        <f>IF($B523="","",IPMT(Rate,ROWS($1:511),Nper,-PV,,Type))</f>
        <v/>
      </c>
      <c r="J523" s="73" t="str">
        <f t="shared" ref="J523:K523" si="513">IF($B523="","",N(J522)+N(H523))</f>
        <v/>
      </c>
      <c r="K523" s="74" t="str">
        <f t="shared" si="513"/>
        <v/>
      </c>
      <c r="L523" s="69" t="str">
        <f>IF($B523="","",PV-J523)</f>
        <v/>
      </c>
      <c r="M523" s="71" t="str">
        <f>IF($B523="","",J523/PV)</f>
        <v/>
      </c>
      <c r="N523" s="72" t="str">
        <f t="shared" si="4"/>
        <v/>
      </c>
    </row>
    <row r="524" ht="14.25" customHeight="1">
      <c r="B524" s="66" t="str">
        <f>IF(ROWS($1:512)&lt;=Nper,ROWS($1:512),"")</f>
        <v/>
      </c>
      <c r="C524" s="67" t="str">
        <f>IF($B524="","",IF($E$7="Weekly",Start_Date+7*(ROWS($1:512)-1),EDATE(Start_Date,VLOOKUP(IF(ASTemp!$E$7="","Monthly",ASTemp!$E$7),Parameters!$B$3:$D$6,3,0)*(ROWS($1:512)-1))))</f>
        <v/>
      </c>
      <c r="D524" s="68" t="str">
        <f t="shared" si="2"/>
        <v/>
      </c>
      <c r="E524" s="65" t="str">
        <f>IF($B524="","",VLOOKUP(MONTH(C524),Parameters!$F$2:$G$13,2,0))</f>
        <v/>
      </c>
      <c r="F524" s="69" t="str">
        <f>IF($B524="","",PV-N(J523))</f>
        <v/>
      </c>
      <c r="G524" s="69" t="str">
        <f>IF($B524="","",PMT(Rate,Nper,-PV,,Type))</f>
        <v/>
      </c>
      <c r="H524" s="69" t="str">
        <f>IF($B524="","",PPMT(Rate,ROWS($1:512),Nper,-PV,,Type))</f>
        <v/>
      </c>
      <c r="I524" s="69" t="str">
        <f>IF($B524="","",IPMT(Rate,ROWS($1:512),Nper,-PV,,Type))</f>
        <v/>
      </c>
      <c r="J524" s="73" t="str">
        <f t="shared" ref="J524:K524" si="514">IF($B524="","",N(J523)+N(H524))</f>
        <v/>
      </c>
      <c r="K524" s="74" t="str">
        <f t="shared" si="514"/>
        <v/>
      </c>
      <c r="L524" s="69" t="str">
        <f>IF($B524="","",PV-J524)</f>
        <v/>
      </c>
      <c r="M524" s="71" t="str">
        <f>IF($B524="","",J524/PV)</f>
        <v/>
      </c>
      <c r="N524" s="72" t="str">
        <f t="shared" si="4"/>
        <v/>
      </c>
    </row>
    <row r="525" ht="14.25" customHeight="1">
      <c r="B525" s="66" t="str">
        <f>IF(ROWS($1:513)&lt;=Nper,ROWS($1:513),"")</f>
        <v/>
      </c>
      <c r="C525" s="67" t="str">
        <f>IF($B525="","",IF($E$7="Weekly",Start_Date+7*(ROWS($1:513)-1),EDATE(Start_Date,VLOOKUP(IF(ASTemp!$E$7="","Monthly",ASTemp!$E$7),Parameters!$B$3:$D$6,3,0)*(ROWS($1:513)-1))))</f>
        <v/>
      </c>
      <c r="D525" s="68" t="str">
        <f t="shared" si="2"/>
        <v/>
      </c>
      <c r="E525" s="65" t="str">
        <f>IF($B525="","",VLOOKUP(MONTH(C525),Parameters!$F$2:$G$13,2,0))</f>
        <v/>
      </c>
      <c r="F525" s="69" t="str">
        <f>IF($B525="","",PV-N(J524))</f>
        <v/>
      </c>
      <c r="G525" s="69" t="str">
        <f>IF($B525="","",PMT(Rate,Nper,-PV,,Type))</f>
        <v/>
      </c>
      <c r="H525" s="69" t="str">
        <f>IF($B525="","",PPMT(Rate,ROWS($1:513),Nper,-PV,,Type))</f>
        <v/>
      </c>
      <c r="I525" s="69" t="str">
        <f>IF($B525="","",IPMT(Rate,ROWS($1:513),Nper,-PV,,Type))</f>
        <v/>
      </c>
      <c r="J525" s="73" t="str">
        <f t="shared" ref="J525:K525" si="515">IF($B525="","",N(J524)+N(H525))</f>
        <v/>
      </c>
      <c r="K525" s="74" t="str">
        <f t="shared" si="515"/>
        <v/>
      </c>
      <c r="L525" s="69" t="str">
        <f>IF($B525="","",PV-J525)</f>
        <v/>
      </c>
      <c r="M525" s="71" t="str">
        <f>IF($B525="","",J525/PV)</f>
        <v/>
      </c>
      <c r="N525" s="72" t="str">
        <f t="shared" si="4"/>
        <v/>
      </c>
    </row>
    <row r="526" ht="14.25" customHeight="1">
      <c r="B526" s="66" t="str">
        <f>IF(ROWS($1:514)&lt;=Nper,ROWS($1:514),"")</f>
        <v/>
      </c>
      <c r="C526" s="67" t="str">
        <f>IF($B526="","",IF($E$7="Weekly",Start_Date+7*(ROWS($1:514)-1),EDATE(Start_Date,VLOOKUP(IF(ASTemp!$E$7="","Monthly",ASTemp!$E$7),Parameters!$B$3:$D$6,3,0)*(ROWS($1:514)-1))))</f>
        <v/>
      </c>
      <c r="D526" s="68" t="str">
        <f t="shared" si="2"/>
        <v/>
      </c>
      <c r="E526" s="65" t="str">
        <f>IF($B526="","",VLOOKUP(MONTH(C526),Parameters!$F$2:$G$13,2,0))</f>
        <v/>
      </c>
      <c r="F526" s="69" t="str">
        <f>IF($B526="","",PV-N(J525))</f>
        <v/>
      </c>
      <c r="G526" s="69" t="str">
        <f>IF($B526="","",PMT(Rate,Nper,-PV,,Type))</f>
        <v/>
      </c>
      <c r="H526" s="69" t="str">
        <f>IF($B526="","",PPMT(Rate,ROWS($1:514),Nper,-PV,,Type))</f>
        <v/>
      </c>
      <c r="I526" s="69" t="str">
        <f>IF($B526="","",IPMT(Rate,ROWS($1:514),Nper,-PV,,Type))</f>
        <v/>
      </c>
      <c r="J526" s="73" t="str">
        <f t="shared" ref="J526:K526" si="516">IF($B526="","",N(J525)+N(H526))</f>
        <v/>
      </c>
      <c r="K526" s="74" t="str">
        <f t="shared" si="516"/>
        <v/>
      </c>
      <c r="L526" s="69" t="str">
        <f>IF($B526="","",PV-J526)</f>
        <v/>
      </c>
      <c r="M526" s="71" t="str">
        <f>IF($B526="","",J526/PV)</f>
        <v/>
      </c>
      <c r="N526" s="72" t="str">
        <f t="shared" si="4"/>
        <v/>
      </c>
    </row>
    <row r="527" ht="14.25" customHeight="1">
      <c r="B527" s="66" t="str">
        <f>IF(ROWS($1:515)&lt;=Nper,ROWS($1:515),"")</f>
        <v/>
      </c>
      <c r="C527" s="67" t="str">
        <f>IF($B527="","",IF($E$7="Weekly",Start_Date+7*(ROWS($1:515)-1),EDATE(Start_Date,VLOOKUP(IF(ASTemp!$E$7="","Monthly",ASTemp!$E$7),Parameters!$B$3:$D$6,3,0)*(ROWS($1:515)-1))))</f>
        <v/>
      </c>
      <c r="D527" s="68" t="str">
        <f t="shared" si="2"/>
        <v/>
      </c>
      <c r="E527" s="65" t="str">
        <f>IF($B527="","",VLOOKUP(MONTH(C527),Parameters!$F$2:$G$13,2,0))</f>
        <v/>
      </c>
      <c r="F527" s="69" t="str">
        <f>IF($B527="","",PV-N(J526))</f>
        <v/>
      </c>
      <c r="G527" s="69" t="str">
        <f>IF($B527="","",PMT(Rate,Nper,-PV,,Type))</f>
        <v/>
      </c>
      <c r="H527" s="69" t="str">
        <f>IF($B527="","",PPMT(Rate,ROWS($1:515),Nper,-PV,,Type))</f>
        <v/>
      </c>
      <c r="I527" s="69" t="str">
        <f>IF($B527="","",IPMT(Rate,ROWS($1:515),Nper,-PV,,Type))</f>
        <v/>
      </c>
      <c r="J527" s="73" t="str">
        <f t="shared" ref="J527:K527" si="517">IF($B527="","",N(J526)+N(H527))</f>
        <v/>
      </c>
      <c r="K527" s="74" t="str">
        <f t="shared" si="517"/>
        <v/>
      </c>
      <c r="L527" s="69" t="str">
        <f>IF($B527="","",PV-J527)</f>
        <v/>
      </c>
      <c r="M527" s="71" t="str">
        <f>IF($B527="","",J527/PV)</f>
        <v/>
      </c>
      <c r="N527" s="72" t="str">
        <f t="shared" si="4"/>
        <v/>
      </c>
    </row>
    <row r="528" ht="14.25" customHeight="1">
      <c r="B528" s="66" t="str">
        <f>IF(ROWS($1:516)&lt;=Nper,ROWS($1:516),"")</f>
        <v/>
      </c>
      <c r="C528" s="67" t="str">
        <f>IF($B528="","",IF($E$7="Weekly",Start_Date+7*(ROWS($1:516)-1),EDATE(Start_Date,VLOOKUP(IF(ASTemp!$E$7="","Monthly",ASTemp!$E$7),Parameters!$B$3:$D$6,3,0)*(ROWS($1:516)-1))))</f>
        <v/>
      </c>
      <c r="D528" s="68" t="str">
        <f t="shared" si="2"/>
        <v/>
      </c>
      <c r="E528" s="65" t="str">
        <f>IF($B528="","",VLOOKUP(MONTH(C528),Parameters!$F$2:$G$13,2,0))</f>
        <v/>
      </c>
      <c r="F528" s="69" t="str">
        <f>IF($B528="","",PV-N(J527))</f>
        <v/>
      </c>
      <c r="G528" s="69" t="str">
        <f>IF($B528="","",PMT(Rate,Nper,-PV,,Type))</f>
        <v/>
      </c>
      <c r="H528" s="69" t="str">
        <f>IF($B528="","",PPMT(Rate,ROWS($1:516),Nper,-PV,,Type))</f>
        <v/>
      </c>
      <c r="I528" s="69" t="str">
        <f>IF($B528="","",IPMT(Rate,ROWS($1:516),Nper,-PV,,Type))</f>
        <v/>
      </c>
      <c r="J528" s="73" t="str">
        <f t="shared" ref="J528:K528" si="518">IF($B528="","",N(J527)+N(H528))</f>
        <v/>
      </c>
      <c r="K528" s="74" t="str">
        <f t="shared" si="518"/>
        <v/>
      </c>
      <c r="L528" s="69" t="str">
        <f>IF($B528="","",PV-J528)</f>
        <v/>
      </c>
      <c r="M528" s="71" t="str">
        <f>IF($B528="","",J528/PV)</f>
        <v/>
      </c>
      <c r="N528" s="72" t="str">
        <f t="shared" si="4"/>
        <v/>
      </c>
    </row>
    <row r="529" ht="14.25" customHeight="1">
      <c r="B529" s="66" t="str">
        <f>IF(ROWS($1:517)&lt;=Nper,ROWS($1:517),"")</f>
        <v/>
      </c>
      <c r="C529" s="67" t="str">
        <f>IF($B529="","",IF($E$7="Weekly",Start_Date+7*(ROWS($1:517)-1),EDATE(Start_Date,VLOOKUP(IF(ASTemp!$E$7="","Monthly",ASTemp!$E$7),Parameters!$B$3:$D$6,3,0)*(ROWS($1:517)-1))))</f>
        <v/>
      </c>
      <c r="D529" s="68" t="str">
        <f t="shared" si="2"/>
        <v/>
      </c>
      <c r="E529" s="65" t="str">
        <f>IF($B529="","",VLOOKUP(MONTH(C529),Parameters!$F$2:$G$13,2,0))</f>
        <v/>
      </c>
      <c r="F529" s="69" t="str">
        <f>IF($B529="","",PV-N(J528))</f>
        <v/>
      </c>
      <c r="G529" s="69" t="str">
        <f>IF($B529="","",PMT(Rate,Nper,-PV,,Type))</f>
        <v/>
      </c>
      <c r="H529" s="69" t="str">
        <f>IF($B529="","",PPMT(Rate,ROWS($1:517),Nper,-PV,,Type))</f>
        <v/>
      </c>
      <c r="I529" s="69" t="str">
        <f>IF($B529="","",IPMT(Rate,ROWS($1:517),Nper,-PV,,Type))</f>
        <v/>
      </c>
      <c r="J529" s="73" t="str">
        <f t="shared" ref="J529:K529" si="519">IF($B529="","",N(J528)+N(H529))</f>
        <v/>
      </c>
      <c r="K529" s="74" t="str">
        <f t="shared" si="519"/>
        <v/>
      </c>
      <c r="L529" s="69" t="str">
        <f>IF($B529="","",PV-J529)</f>
        <v/>
      </c>
      <c r="M529" s="71" t="str">
        <f>IF($B529="","",J529/PV)</f>
        <v/>
      </c>
      <c r="N529" s="72" t="str">
        <f t="shared" si="4"/>
        <v/>
      </c>
    </row>
    <row r="530" ht="14.25" customHeight="1">
      <c r="B530" s="66" t="str">
        <f>IF(ROWS($1:518)&lt;=Nper,ROWS($1:518),"")</f>
        <v/>
      </c>
      <c r="C530" s="67" t="str">
        <f>IF($B530="","",IF($E$7="Weekly",Start_Date+7*(ROWS($1:518)-1),EDATE(Start_Date,VLOOKUP(IF(ASTemp!$E$7="","Monthly",ASTemp!$E$7),Parameters!$B$3:$D$6,3,0)*(ROWS($1:518)-1))))</f>
        <v/>
      </c>
      <c r="D530" s="68" t="str">
        <f t="shared" si="2"/>
        <v/>
      </c>
      <c r="E530" s="65" t="str">
        <f>IF($B530="","",VLOOKUP(MONTH(C530),Parameters!$F$2:$G$13,2,0))</f>
        <v/>
      </c>
      <c r="F530" s="69" t="str">
        <f>IF($B530="","",PV-N(J529))</f>
        <v/>
      </c>
      <c r="G530" s="69" t="str">
        <f>IF($B530="","",PMT(Rate,Nper,-PV,,Type))</f>
        <v/>
      </c>
      <c r="H530" s="69" t="str">
        <f>IF($B530="","",PPMT(Rate,ROWS($1:518),Nper,-PV,,Type))</f>
        <v/>
      </c>
      <c r="I530" s="69" t="str">
        <f>IF($B530="","",IPMT(Rate,ROWS($1:518),Nper,-PV,,Type))</f>
        <v/>
      </c>
      <c r="J530" s="73" t="str">
        <f t="shared" ref="J530:K530" si="520">IF($B530="","",N(J529)+N(H530))</f>
        <v/>
      </c>
      <c r="K530" s="74" t="str">
        <f t="shared" si="520"/>
        <v/>
      </c>
      <c r="L530" s="69" t="str">
        <f>IF($B530="","",PV-J530)</f>
        <v/>
      </c>
      <c r="M530" s="71" t="str">
        <f>IF($B530="","",J530/PV)</f>
        <v/>
      </c>
      <c r="N530" s="72" t="str">
        <f t="shared" si="4"/>
        <v/>
      </c>
    </row>
    <row r="531" ht="14.25" customHeight="1">
      <c r="B531" s="66" t="str">
        <f>IF(ROWS($1:519)&lt;=Nper,ROWS($1:519),"")</f>
        <v/>
      </c>
      <c r="C531" s="67" t="str">
        <f>IF($B531="","",IF($E$7="Weekly",Start_Date+7*(ROWS($1:519)-1),EDATE(Start_Date,VLOOKUP(IF(ASTemp!$E$7="","Monthly",ASTemp!$E$7),Parameters!$B$3:$D$6,3,0)*(ROWS($1:519)-1))))</f>
        <v/>
      </c>
      <c r="D531" s="68" t="str">
        <f t="shared" si="2"/>
        <v/>
      </c>
      <c r="E531" s="65" t="str">
        <f>IF($B531="","",VLOOKUP(MONTH(C531),Parameters!$F$2:$G$13,2,0))</f>
        <v/>
      </c>
      <c r="F531" s="69" t="str">
        <f>IF($B531="","",PV-N(J530))</f>
        <v/>
      </c>
      <c r="G531" s="69" t="str">
        <f>IF($B531="","",PMT(Rate,Nper,-PV,,Type))</f>
        <v/>
      </c>
      <c r="H531" s="69" t="str">
        <f>IF($B531="","",PPMT(Rate,ROWS($1:519),Nper,-PV,,Type))</f>
        <v/>
      </c>
      <c r="I531" s="69" t="str">
        <f>IF($B531="","",IPMT(Rate,ROWS($1:519),Nper,-PV,,Type))</f>
        <v/>
      </c>
      <c r="J531" s="73" t="str">
        <f t="shared" ref="J531:K531" si="521">IF($B531="","",N(J530)+N(H531))</f>
        <v/>
      </c>
      <c r="K531" s="74" t="str">
        <f t="shared" si="521"/>
        <v/>
      </c>
      <c r="L531" s="69" t="str">
        <f>IF($B531="","",PV-J531)</f>
        <v/>
      </c>
      <c r="M531" s="71" t="str">
        <f>IF($B531="","",J531/PV)</f>
        <v/>
      </c>
      <c r="N531" s="72" t="str">
        <f t="shared" si="4"/>
        <v/>
      </c>
    </row>
    <row r="532" ht="14.25" customHeight="1">
      <c r="B532" s="66" t="str">
        <f>IF(ROWS($1:520)&lt;=Nper,ROWS($1:520),"")</f>
        <v/>
      </c>
      <c r="C532" s="67" t="str">
        <f>IF($B532="","",IF($E$7="Weekly",Start_Date+7*(ROWS($1:520)-1),EDATE(Start_Date,VLOOKUP(IF(ASTemp!$E$7="","Monthly",ASTemp!$E$7),Parameters!$B$3:$D$6,3,0)*(ROWS($1:520)-1))))</f>
        <v/>
      </c>
      <c r="D532" s="68" t="str">
        <f t="shared" si="2"/>
        <v/>
      </c>
      <c r="E532" s="65" t="str">
        <f>IF($B532="","",VLOOKUP(MONTH(C532),Parameters!$F$2:$G$13,2,0))</f>
        <v/>
      </c>
      <c r="F532" s="69" t="str">
        <f>IF($B532="","",PV-N(J531))</f>
        <v/>
      </c>
      <c r="G532" s="69" t="str">
        <f>IF($B532="","",PMT(Rate,Nper,-PV,,Type))</f>
        <v/>
      </c>
      <c r="H532" s="69" t="str">
        <f>IF($B532="","",PPMT(Rate,ROWS($1:520),Nper,-PV,,Type))</f>
        <v/>
      </c>
      <c r="I532" s="69" t="str">
        <f>IF($B532="","",IPMT(Rate,ROWS($1:520),Nper,-PV,,Type))</f>
        <v/>
      </c>
      <c r="J532" s="73" t="str">
        <f t="shared" ref="J532:K532" si="522">IF($B532="","",N(J531)+N(H532))</f>
        <v/>
      </c>
      <c r="K532" s="74" t="str">
        <f t="shared" si="522"/>
        <v/>
      </c>
      <c r="L532" s="69" t="str">
        <f>IF($B532="","",PV-J532)</f>
        <v/>
      </c>
      <c r="M532" s="71" t="str">
        <f>IF($B532="","",J532/PV)</f>
        <v/>
      </c>
      <c r="N532" s="72" t="str">
        <f t="shared" si="4"/>
        <v/>
      </c>
    </row>
    <row r="533" ht="14.25" customHeight="1">
      <c r="B533" s="66" t="str">
        <f>IF(ROWS($1:521)&lt;=Nper,ROWS($1:521),"")</f>
        <v/>
      </c>
      <c r="C533" s="67" t="str">
        <f>IF($B533="","",IF($E$7="Weekly",Start_Date+7*(ROWS($1:521)-1),EDATE(Start_Date,VLOOKUP(IF(ASTemp!$E$7="","Monthly",ASTemp!$E$7),Parameters!$B$3:$D$6,3,0)*(ROWS($1:521)-1))))</f>
        <v/>
      </c>
      <c r="D533" s="68" t="str">
        <f t="shared" si="2"/>
        <v/>
      </c>
      <c r="E533" s="65" t="str">
        <f>IF($B533="","",VLOOKUP(MONTH(C533),Parameters!$F$2:$G$13,2,0))</f>
        <v/>
      </c>
      <c r="F533" s="69" t="str">
        <f>IF($B533="","",PV-N(J532))</f>
        <v/>
      </c>
      <c r="G533" s="69" t="str">
        <f>IF($B533="","",PMT(Rate,Nper,-PV,,Type))</f>
        <v/>
      </c>
      <c r="H533" s="69" t="str">
        <f>IF($B533="","",PPMT(Rate,ROWS($1:521),Nper,-PV,,Type))</f>
        <v/>
      </c>
      <c r="I533" s="69" t="str">
        <f>IF($B533="","",IPMT(Rate,ROWS($1:521),Nper,-PV,,Type))</f>
        <v/>
      </c>
      <c r="J533" s="73" t="str">
        <f t="shared" ref="J533:K533" si="523">IF($B533="","",N(J532)+N(H533))</f>
        <v/>
      </c>
      <c r="K533" s="74" t="str">
        <f t="shared" si="523"/>
        <v/>
      </c>
      <c r="L533" s="69" t="str">
        <f>IF($B533="","",PV-J533)</f>
        <v/>
      </c>
      <c r="M533" s="71" t="str">
        <f>IF($B533="","",J533/PV)</f>
        <v/>
      </c>
      <c r="N533" s="72" t="str">
        <f t="shared" si="4"/>
        <v/>
      </c>
    </row>
    <row r="534" ht="14.25" customHeight="1">
      <c r="B534" s="66" t="str">
        <f>IF(ROWS($1:522)&lt;=Nper,ROWS($1:522),"")</f>
        <v/>
      </c>
      <c r="C534" s="67" t="str">
        <f>IF($B534="","",IF($E$7="Weekly",Start_Date+7*(ROWS($1:522)-1),EDATE(Start_Date,VLOOKUP(IF(ASTemp!$E$7="","Monthly",ASTemp!$E$7),Parameters!$B$3:$D$6,3,0)*(ROWS($1:522)-1))))</f>
        <v/>
      </c>
      <c r="D534" s="68" t="str">
        <f t="shared" si="2"/>
        <v/>
      </c>
      <c r="E534" s="65" t="str">
        <f>IF($B534="","",VLOOKUP(MONTH(C534),Parameters!$F$2:$G$13,2,0))</f>
        <v/>
      </c>
      <c r="F534" s="69" t="str">
        <f>IF($B534="","",PV-N(J533))</f>
        <v/>
      </c>
      <c r="G534" s="69" t="str">
        <f>IF($B534="","",PMT(Rate,Nper,-PV,,Type))</f>
        <v/>
      </c>
      <c r="H534" s="69" t="str">
        <f>IF($B534="","",PPMT(Rate,ROWS($1:522),Nper,-PV,,Type))</f>
        <v/>
      </c>
      <c r="I534" s="69" t="str">
        <f>IF($B534="","",IPMT(Rate,ROWS($1:522),Nper,-PV,,Type))</f>
        <v/>
      </c>
      <c r="J534" s="73" t="str">
        <f t="shared" ref="J534:K534" si="524">IF($B534="","",N(J533)+N(H534))</f>
        <v/>
      </c>
      <c r="K534" s="74" t="str">
        <f t="shared" si="524"/>
        <v/>
      </c>
      <c r="L534" s="69" t="str">
        <f>IF($B534="","",PV-J534)</f>
        <v/>
      </c>
      <c r="M534" s="71" t="str">
        <f>IF($B534="","",J534/PV)</f>
        <v/>
      </c>
      <c r="N534" s="72" t="str">
        <f t="shared" si="4"/>
        <v/>
      </c>
    </row>
    <row r="535" ht="14.25" customHeight="1">
      <c r="B535" s="66" t="str">
        <f>IF(ROWS($1:523)&lt;=Nper,ROWS($1:523),"")</f>
        <v/>
      </c>
      <c r="C535" s="67" t="str">
        <f>IF($B535="","",IF($E$7="Weekly",Start_Date+7*(ROWS($1:523)-1),EDATE(Start_Date,VLOOKUP(IF(ASTemp!$E$7="","Monthly",ASTemp!$E$7),Parameters!$B$3:$D$6,3,0)*(ROWS($1:523)-1))))</f>
        <v/>
      </c>
      <c r="D535" s="68" t="str">
        <f t="shared" si="2"/>
        <v/>
      </c>
      <c r="E535" s="65" t="str">
        <f>IF($B535="","",VLOOKUP(MONTH(C535),Parameters!$F$2:$G$13,2,0))</f>
        <v/>
      </c>
      <c r="F535" s="69" t="str">
        <f>IF($B535="","",PV-N(J534))</f>
        <v/>
      </c>
      <c r="G535" s="69" t="str">
        <f>IF($B535="","",PMT(Rate,Nper,-PV,,Type))</f>
        <v/>
      </c>
      <c r="H535" s="69" t="str">
        <f>IF($B535="","",PPMT(Rate,ROWS($1:523),Nper,-PV,,Type))</f>
        <v/>
      </c>
      <c r="I535" s="69" t="str">
        <f>IF($B535="","",IPMT(Rate,ROWS($1:523),Nper,-PV,,Type))</f>
        <v/>
      </c>
      <c r="J535" s="73" t="str">
        <f t="shared" ref="J535:K535" si="525">IF($B535="","",N(J534)+N(H535))</f>
        <v/>
      </c>
      <c r="K535" s="74" t="str">
        <f t="shared" si="525"/>
        <v/>
      </c>
      <c r="L535" s="69" t="str">
        <f>IF($B535="","",PV-J535)</f>
        <v/>
      </c>
      <c r="M535" s="71" t="str">
        <f>IF($B535="","",J535/PV)</f>
        <v/>
      </c>
      <c r="N535" s="72" t="str">
        <f t="shared" si="4"/>
        <v/>
      </c>
    </row>
    <row r="536" ht="14.25" customHeight="1">
      <c r="B536" s="66" t="str">
        <f>IF(ROWS($1:524)&lt;=Nper,ROWS($1:524),"")</f>
        <v/>
      </c>
      <c r="C536" s="67" t="str">
        <f>IF($B536="","",IF($E$7="Weekly",Start_Date+7*(ROWS($1:524)-1),EDATE(Start_Date,VLOOKUP(IF(ASTemp!$E$7="","Monthly",ASTemp!$E$7),Parameters!$B$3:$D$6,3,0)*(ROWS($1:524)-1))))</f>
        <v/>
      </c>
      <c r="D536" s="68" t="str">
        <f t="shared" si="2"/>
        <v/>
      </c>
      <c r="E536" s="65" t="str">
        <f>IF($B536="","",VLOOKUP(MONTH(C536),Parameters!$F$2:$G$13,2,0))</f>
        <v/>
      </c>
      <c r="F536" s="69" t="str">
        <f>IF($B536="","",PV-N(J535))</f>
        <v/>
      </c>
      <c r="G536" s="69" t="str">
        <f>IF($B536="","",PMT(Rate,Nper,-PV,,Type))</f>
        <v/>
      </c>
      <c r="H536" s="69" t="str">
        <f>IF($B536="","",PPMT(Rate,ROWS($1:524),Nper,-PV,,Type))</f>
        <v/>
      </c>
      <c r="I536" s="69" t="str">
        <f>IF($B536="","",IPMT(Rate,ROWS($1:524),Nper,-PV,,Type))</f>
        <v/>
      </c>
      <c r="J536" s="73" t="str">
        <f t="shared" ref="J536:K536" si="526">IF($B536="","",N(J535)+N(H536))</f>
        <v/>
      </c>
      <c r="K536" s="74" t="str">
        <f t="shared" si="526"/>
        <v/>
      </c>
      <c r="L536" s="69" t="str">
        <f>IF($B536="","",PV-J536)</f>
        <v/>
      </c>
      <c r="M536" s="71" t="str">
        <f>IF($B536="","",J536/PV)</f>
        <v/>
      </c>
      <c r="N536" s="72" t="str">
        <f t="shared" si="4"/>
        <v/>
      </c>
    </row>
    <row r="537" ht="14.25" customHeight="1">
      <c r="B537" s="66" t="str">
        <f>IF(ROWS($1:525)&lt;=Nper,ROWS($1:525),"")</f>
        <v/>
      </c>
      <c r="C537" s="67" t="str">
        <f>IF($B537="","",IF($E$7="Weekly",Start_Date+7*(ROWS($1:525)-1),EDATE(Start_Date,VLOOKUP(IF(ASTemp!$E$7="","Monthly",ASTemp!$E$7),Parameters!$B$3:$D$6,3,0)*(ROWS($1:525)-1))))</f>
        <v/>
      </c>
      <c r="D537" s="68" t="str">
        <f t="shared" si="2"/>
        <v/>
      </c>
      <c r="E537" s="65" t="str">
        <f>IF($B537="","",VLOOKUP(MONTH(C537),Parameters!$F$2:$G$13,2,0))</f>
        <v/>
      </c>
      <c r="F537" s="69" t="str">
        <f>IF($B537="","",PV-N(J536))</f>
        <v/>
      </c>
      <c r="G537" s="69" t="str">
        <f>IF($B537="","",PMT(Rate,Nper,-PV,,Type))</f>
        <v/>
      </c>
      <c r="H537" s="69" t="str">
        <f>IF($B537="","",PPMT(Rate,ROWS($1:525),Nper,-PV,,Type))</f>
        <v/>
      </c>
      <c r="I537" s="69" t="str">
        <f>IF($B537="","",IPMT(Rate,ROWS($1:525),Nper,-PV,,Type))</f>
        <v/>
      </c>
      <c r="J537" s="73" t="str">
        <f t="shared" ref="J537:K537" si="527">IF($B537="","",N(J536)+N(H537))</f>
        <v/>
      </c>
      <c r="K537" s="74" t="str">
        <f t="shared" si="527"/>
        <v/>
      </c>
      <c r="L537" s="69" t="str">
        <f>IF($B537="","",PV-J537)</f>
        <v/>
      </c>
      <c r="M537" s="71" t="str">
        <f>IF($B537="","",J537/PV)</f>
        <v/>
      </c>
      <c r="N537" s="72" t="str">
        <f t="shared" si="4"/>
        <v/>
      </c>
    </row>
    <row r="538" ht="14.25" customHeight="1">
      <c r="B538" s="66" t="str">
        <f>IF(ROWS($1:526)&lt;=Nper,ROWS($1:526),"")</f>
        <v/>
      </c>
      <c r="C538" s="67" t="str">
        <f>IF($B538="","",IF($E$7="Weekly",Start_Date+7*(ROWS($1:526)-1),EDATE(Start_Date,VLOOKUP(IF(ASTemp!$E$7="","Monthly",ASTemp!$E$7),Parameters!$B$3:$D$6,3,0)*(ROWS($1:526)-1))))</f>
        <v/>
      </c>
      <c r="D538" s="68" t="str">
        <f t="shared" si="2"/>
        <v/>
      </c>
      <c r="E538" s="65" t="str">
        <f>IF($B538="","",VLOOKUP(MONTH(C538),Parameters!$F$2:$G$13,2,0))</f>
        <v/>
      </c>
      <c r="F538" s="69" t="str">
        <f>IF($B538="","",PV-N(J537))</f>
        <v/>
      </c>
      <c r="G538" s="69" t="str">
        <f>IF($B538="","",PMT(Rate,Nper,-PV,,Type))</f>
        <v/>
      </c>
      <c r="H538" s="69" t="str">
        <f>IF($B538="","",PPMT(Rate,ROWS($1:526),Nper,-PV,,Type))</f>
        <v/>
      </c>
      <c r="I538" s="69" t="str">
        <f>IF($B538="","",IPMT(Rate,ROWS($1:526),Nper,-PV,,Type))</f>
        <v/>
      </c>
      <c r="J538" s="73" t="str">
        <f t="shared" ref="J538:K538" si="528">IF($B538="","",N(J537)+N(H538))</f>
        <v/>
      </c>
      <c r="K538" s="74" t="str">
        <f t="shared" si="528"/>
        <v/>
      </c>
      <c r="L538" s="69" t="str">
        <f>IF($B538="","",PV-J538)</f>
        <v/>
      </c>
      <c r="M538" s="71" t="str">
        <f>IF($B538="","",J538/PV)</f>
        <v/>
      </c>
      <c r="N538" s="72" t="str">
        <f t="shared" si="4"/>
        <v/>
      </c>
    </row>
    <row r="539" ht="14.25" customHeight="1">
      <c r="B539" s="66" t="str">
        <f>IF(ROWS($1:527)&lt;=Nper,ROWS($1:527),"")</f>
        <v/>
      </c>
      <c r="C539" s="67" t="str">
        <f>IF($B539="","",IF($E$7="Weekly",Start_Date+7*(ROWS($1:527)-1),EDATE(Start_Date,VLOOKUP(IF(ASTemp!$E$7="","Monthly",ASTemp!$E$7),Parameters!$B$3:$D$6,3,0)*(ROWS($1:527)-1))))</f>
        <v/>
      </c>
      <c r="D539" s="68" t="str">
        <f t="shared" si="2"/>
        <v/>
      </c>
      <c r="E539" s="65" t="str">
        <f>IF($B539="","",VLOOKUP(MONTH(C539),Parameters!$F$2:$G$13,2,0))</f>
        <v/>
      </c>
      <c r="F539" s="69" t="str">
        <f>IF($B539="","",PV-N(J538))</f>
        <v/>
      </c>
      <c r="G539" s="69" t="str">
        <f>IF($B539="","",PMT(Rate,Nper,-PV,,Type))</f>
        <v/>
      </c>
      <c r="H539" s="69" t="str">
        <f>IF($B539="","",PPMT(Rate,ROWS($1:527),Nper,-PV,,Type))</f>
        <v/>
      </c>
      <c r="I539" s="69" t="str">
        <f>IF($B539="","",IPMT(Rate,ROWS($1:527),Nper,-PV,,Type))</f>
        <v/>
      </c>
      <c r="J539" s="73" t="str">
        <f t="shared" ref="J539:K539" si="529">IF($B539="","",N(J538)+N(H539))</f>
        <v/>
      </c>
      <c r="K539" s="74" t="str">
        <f t="shared" si="529"/>
        <v/>
      </c>
      <c r="L539" s="69" t="str">
        <f>IF($B539="","",PV-J539)</f>
        <v/>
      </c>
      <c r="M539" s="71" t="str">
        <f>IF($B539="","",J539/PV)</f>
        <v/>
      </c>
      <c r="N539" s="72" t="str">
        <f t="shared" si="4"/>
        <v/>
      </c>
    </row>
    <row r="540" ht="14.25" customHeight="1">
      <c r="B540" s="66" t="str">
        <f>IF(ROWS($1:528)&lt;=Nper,ROWS($1:528),"")</f>
        <v/>
      </c>
      <c r="C540" s="67" t="str">
        <f>IF($B540="","",IF($E$7="Weekly",Start_Date+7*(ROWS($1:528)-1),EDATE(Start_Date,VLOOKUP(IF(ASTemp!$E$7="","Monthly",ASTemp!$E$7),Parameters!$B$3:$D$6,3,0)*(ROWS($1:528)-1))))</f>
        <v/>
      </c>
      <c r="D540" s="68" t="str">
        <f t="shared" si="2"/>
        <v/>
      </c>
      <c r="E540" s="65" t="str">
        <f>IF($B540="","",VLOOKUP(MONTH(C540),Parameters!$F$2:$G$13,2,0))</f>
        <v/>
      </c>
      <c r="F540" s="69" t="str">
        <f>IF($B540="","",PV-N(J539))</f>
        <v/>
      </c>
      <c r="G540" s="69" t="str">
        <f>IF($B540="","",PMT(Rate,Nper,-PV,,Type))</f>
        <v/>
      </c>
      <c r="H540" s="69" t="str">
        <f>IF($B540="","",PPMT(Rate,ROWS($1:528),Nper,-PV,,Type))</f>
        <v/>
      </c>
      <c r="I540" s="69" t="str">
        <f>IF($B540="","",IPMT(Rate,ROWS($1:528),Nper,-PV,,Type))</f>
        <v/>
      </c>
      <c r="J540" s="73" t="str">
        <f t="shared" ref="J540:K540" si="530">IF($B540="","",N(J539)+N(H540))</f>
        <v/>
      </c>
      <c r="K540" s="74" t="str">
        <f t="shared" si="530"/>
        <v/>
      </c>
      <c r="L540" s="69" t="str">
        <f>IF($B540="","",PV-J540)</f>
        <v/>
      </c>
      <c r="M540" s="71" t="str">
        <f>IF($B540="","",J540/PV)</f>
        <v/>
      </c>
      <c r="N540" s="72" t="str">
        <f t="shared" si="4"/>
        <v/>
      </c>
    </row>
    <row r="541" ht="14.25" customHeight="1">
      <c r="B541" s="66" t="str">
        <f>IF(ROWS($1:529)&lt;=Nper,ROWS($1:529),"")</f>
        <v/>
      </c>
      <c r="C541" s="67" t="str">
        <f>IF($B541="","",IF($E$7="Weekly",Start_Date+7*(ROWS($1:529)-1),EDATE(Start_Date,VLOOKUP(IF(ASTemp!$E$7="","Monthly",ASTemp!$E$7),Parameters!$B$3:$D$6,3,0)*(ROWS($1:529)-1))))</f>
        <v/>
      </c>
      <c r="D541" s="68" t="str">
        <f t="shared" si="2"/>
        <v/>
      </c>
      <c r="E541" s="65" t="str">
        <f>IF($B541="","",VLOOKUP(MONTH(C541),Parameters!$F$2:$G$13,2,0))</f>
        <v/>
      </c>
      <c r="F541" s="69" t="str">
        <f>IF($B541="","",PV-N(J540))</f>
        <v/>
      </c>
      <c r="G541" s="69" t="str">
        <f>IF($B541="","",PMT(Rate,Nper,-PV,,Type))</f>
        <v/>
      </c>
      <c r="H541" s="69" t="str">
        <f>IF($B541="","",PPMT(Rate,ROWS($1:529),Nper,-PV,,Type))</f>
        <v/>
      </c>
      <c r="I541" s="69" t="str">
        <f>IF($B541="","",IPMT(Rate,ROWS($1:529),Nper,-PV,,Type))</f>
        <v/>
      </c>
      <c r="J541" s="73" t="str">
        <f t="shared" ref="J541:K541" si="531">IF($B541="","",N(J540)+N(H541))</f>
        <v/>
      </c>
      <c r="K541" s="74" t="str">
        <f t="shared" si="531"/>
        <v/>
      </c>
      <c r="L541" s="69" t="str">
        <f>IF($B541="","",PV-J541)</f>
        <v/>
      </c>
      <c r="M541" s="71" t="str">
        <f>IF($B541="","",J541/PV)</f>
        <v/>
      </c>
      <c r="N541" s="72" t="str">
        <f t="shared" si="4"/>
        <v/>
      </c>
    </row>
    <row r="542" ht="14.25" customHeight="1">
      <c r="B542" s="66" t="str">
        <f>IF(ROWS($1:530)&lt;=Nper,ROWS($1:530),"")</f>
        <v/>
      </c>
      <c r="C542" s="67" t="str">
        <f>IF($B542="","",IF($E$7="Weekly",Start_Date+7*(ROWS($1:530)-1),EDATE(Start_Date,VLOOKUP(IF(ASTemp!$E$7="","Monthly",ASTemp!$E$7),Parameters!$B$3:$D$6,3,0)*(ROWS($1:530)-1))))</f>
        <v/>
      </c>
      <c r="D542" s="68" t="str">
        <f t="shared" si="2"/>
        <v/>
      </c>
      <c r="E542" s="65" t="str">
        <f>IF($B542="","",VLOOKUP(MONTH(C542),Parameters!$F$2:$G$13,2,0))</f>
        <v/>
      </c>
      <c r="F542" s="69" t="str">
        <f>IF($B542="","",PV-N(J541))</f>
        <v/>
      </c>
      <c r="G542" s="69" t="str">
        <f>IF($B542="","",PMT(Rate,Nper,-PV,,Type))</f>
        <v/>
      </c>
      <c r="H542" s="69" t="str">
        <f>IF($B542="","",PPMT(Rate,ROWS($1:530),Nper,-PV,,Type))</f>
        <v/>
      </c>
      <c r="I542" s="69" t="str">
        <f>IF($B542="","",IPMT(Rate,ROWS($1:530),Nper,-PV,,Type))</f>
        <v/>
      </c>
      <c r="J542" s="73" t="str">
        <f t="shared" ref="J542:K542" si="532">IF($B542="","",N(J541)+N(H542))</f>
        <v/>
      </c>
      <c r="K542" s="74" t="str">
        <f t="shared" si="532"/>
        <v/>
      </c>
      <c r="L542" s="69" t="str">
        <f>IF($B542="","",PV-J542)</f>
        <v/>
      </c>
      <c r="M542" s="71" t="str">
        <f>IF($B542="","",J542/PV)</f>
        <v/>
      </c>
      <c r="N542" s="72" t="str">
        <f t="shared" si="4"/>
        <v/>
      </c>
    </row>
    <row r="543" ht="14.25" customHeight="1">
      <c r="B543" s="66" t="str">
        <f>IF(ROWS($1:531)&lt;=Nper,ROWS($1:531),"")</f>
        <v/>
      </c>
      <c r="C543" s="67" t="str">
        <f>IF($B543="","",IF($E$7="Weekly",Start_Date+7*(ROWS($1:531)-1),EDATE(Start_Date,VLOOKUP(IF(ASTemp!$E$7="","Monthly",ASTemp!$E$7),Parameters!$B$3:$D$6,3,0)*(ROWS($1:531)-1))))</f>
        <v/>
      </c>
      <c r="D543" s="68" t="str">
        <f t="shared" si="2"/>
        <v/>
      </c>
      <c r="E543" s="65" t="str">
        <f>IF($B543="","",VLOOKUP(MONTH(C543),Parameters!$F$2:$G$13,2,0))</f>
        <v/>
      </c>
      <c r="F543" s="69" t="str">
        <f>IF($B543="","",PV-N(J542))</f>
        <v/>
      </c>
      <c r="G543" s="69" t="str">
        <f>IF($B543="","",PMT(Rate,Nper,-PV,,Type))</f>
        <v/>
      </c>
      <c r="H543" s="69" t="str">
        <f>IF($B543="","",PPMT(Rate,ROWS($1:531),Nper,-PV,,Type))</f>
        <v/>
      </c>
      <c r="I543" s="69" t="str">
        <f>IF($B543="","",IPMT(Rate,ROWS($1:531),Nper,-PV,,Type))</f>
        <v/>
      </c>
      <c r="J543" s="73" t="str">
        <f t="shared" ref="J543:K543" si="533">IF($B543="","",N(J542)+N(H543))</f>
        <v/>
      </c>
      <c r="K543" s="74" t="str">
        <f t="shared" si="533"/>
        <v/>
      </c>
      <c r="L543" s="69" t="str">
        <f>IF($B543="","",PV-J543)</f>
        <v/>
      </c>
      <c r="M543" s="71" t="str">
        <f>IF($B543="","",J543/PV)</f>
        <v/>
      </c>
      <c r="N543" s="72" t="str">
        <f t="shared" si="4"/>
        <v/>
      </c>
    </row>
    <row r="544" ht="14.25" customHeight="1">
      <c r="B544" s="66" t="str">
        <f>IF(ROWS($1:532)&lt;=Nper,ROWS($1:532),"")</f>
        <v/>
      </c>
      <c r="C544" s="67" t="str">
        <f>IF($B544="","",IF($E$7="Weekly",Start_Date+7*(ROWS($1:532)-1),EDATE(Start_Date,VLOOKUP(IF(ASTemp!$E$7="","Monthly",ASTemp!$E$7),Parameters!$B$3:$D$6,3,0)*(ROWS($1:532)-1))))</f>
        <v/>
      </c>
      <c r="D544" s="68" t="str">
        <f t="shared" si="2"/>
        <v/>
      </c>
      <c r="E544" s="65" t="str">
        <f>IF($B544="","",VLOOKUP(MONTH(C544),Parameters!$F$2:$G$13,2,0))</f>
        <v/>
      </c>
      <c r="F544" s="69" t="str">
        <f>IF($B544="","",PV-N(J543))</f>
        <v/>
      </c>
      <c r="G544" s="69" t="str">
        <f>IF($B544="","",PMT(Rate,Nper,-PV,,Type))</f>
        <v/>
      </c>
      <c r="H544" s="69" t="str">
        <f>IF($B544="","",PPMT(Rate,ROWS($1:532),Nper,-PV,,Type))</f>
        <v/>
      </c>
      <c r="I544" s="69" t="str">
        <f>IF($B544="","",IPMT(Rate,ROWS($1:532),Nper,-PV,,Type))</f>
        <v/>
      </c>
      <c r="J544" s="73" t="str">
        <f t="shared" ref="J544:K544" si="534">IF($B544="","",N(J543)+N(H544))</f>
        <v/>
      </c>
      <c r="K544" s="74" t="str">
        <f t="shared" si="534"/>
        <v/>
      </c>
      <c r="L544" s="69" t="str">
        <f>IF($B544="","",PV-J544)</f>
        <v/>
      </c>
      <c r="M544" s="71" t="str">
        <f>IF($B544="","",J544/PV)</f>
        <v/>
      </c>
      <c r="N544" s="72" t="str">
        <f t="shared" si="4"/>
        <v/>
      </c>
    </row>
    <row r="545" ht="14.25" customHeight="1">
      <c r="B545" s="66" t="str">
        <f>IF(ROWS($1:533)&lt;=Nper,ROWS($1:533),"")</f>
        <v/>
      </c>
      <c r="C545" s="67" t="str">
        <f>IF($B545="","",IF($E$7="Weekly",Start_Date+7*(ROWS($1:533)-1),EDATE(Start_Date,VLOOKUP(IF(ASTemp!$E$7="","Monthly",ASTemp!$E$7),Parameters!$B$3:$D$6,3,0)*(ROWS($1:533)-1))))</f>
        <v/>
      </c>
      <c r="D545" s="68" t="str">
        <f t="shared" si="2"/>
        <v/>
      </c>
      <c r="E545" s="65" t="str">
        <f>IF($B545="","",VLOOKUP(MONTH(C545),Parameters!$F$2:$G$13,2,0))</f>
        <v/>
      </c>
      <c r="F545" s="69" t="str">
        <f>IF($B545="","",PV-N(J544))</f>
        <v/>
      </c>
      <c r="G545" s="69" t="str">
        <f>IF($B545="","",PMT(Rate,Nper,-PV,,Type))</f>
        <v/>
      </c>
      <c r="H545" s="69" t="str">
        <f>IF($B545="","",PPMT(Rate,ROWS($1:533),Nper,-PV,,Type))</f>
        <v/>
      </c>
      <c r="I545" s="69" t="str">
        <f>IF($B545="","",IPMT(Rate,ROWS($1:533),Nper,-PV,,Type))</f>
        <v/>
      </c>
      <c r="J545" s="73" t="str">
        <f t="shared" ref="J545:K545" si="535">IF($B545="","",N(J544)+N(H545))</f>
        <v/>
      </c>
      <c r="K545" s="74" t="str">
        <f t="shared" si="535"/>
        <v/>
      </c>
      <c r="L545" s="69" t="str">
        <f>IF($B545="","",PV-J545)</f>
        <v/>
      </c>
      <c r="M545" s="71" t="str">
        <f>IF($B545="","",J545/PV)</f>
        <v/>
      </c>
      <c r="N545" s="72" t="str">
        <f t="shared" si="4"/>
        <v/>
      </c>
    </row>
    <row r="546" ht="14.25" customHeight="1">
      <c r="B546" s="66" t="str">
        <f>IF(ROWS($1:534)&lt;=Nper,ROWS($1:534),"")</f>
        <v/>
      </c>
      <c r="C546" s="67" t="str">
        <f>IF($B546="","",IF($E$7="Weekly",Start_Date+7*(ROWS($1:534)-1),EDATE(Start_Date,VLOOKUP(IF(ASTemp!$E$7="","Monthly",ASTemp!$E$7),Parameters!$B$3:$D$6,3,0)*(ROWS($1:534)-1))))</f>
        <v/>
      </c>
      <c r="D546" s="68" t="str">
        <f t="shared" si="2"/>
        <v/>
      </c>
      <c r="E546" s="65" t="str">
        <f>IF($B546="","",VLOOKUP(MONTH(C546),Parameters!$F$2:$G$13,2,0))</f>
        <v/>
      </c>
      <c r="F546" s="69" t="str">
        <f>IF($B546="","",PV-N(J545))</f>
        <v/>
      </c>
      <c r="G546" s="69" t="str">
        <f>IF($B546="","",PMT(Rate,Nper,-PV,,Type))</f>
        <v/>
      </c>
      <c r="H546" s="69" t="str">
        <f>IF($B546="","",PPMT(Rate,ROWS($1:534),Nper,-PV,,Type))</f>
        <v/>
      </c>
      <c r="I546" s="69" t="str">
        <f>IF($B546="","",IPMT(Rate,ROWS($1:534),Nper,-PV,,Type))</f>
        <v/>
      </c>
      <c r="J546" s="73" t="str">
        <f t="shared" ref="J546:K546" si="536">IF($B546="","",N(J545)+N(H546))</f>
        <v/>
      </c>
      <c r="K546" s="74" t="str">
        <f t="shared" si="536"/>
        <v/>
      </c>
      <c r="L546" s="69" t="str">
        <f>IF($B546="","",PV-J546)</f>
        <v/>
      </c>
      <c r="M546" s="71" t="str">
        <f>IF($B546="","",J546/PV)</f>
        <v/>
      </c>
      <c r="N546" s="72" t="str">
        <f t="shared" si="4"/>
        <v/>
      </c>
    </row>
    <row r="547" ht="14.25" customHeight="1">
      <c r="B547" s="66" t="str">
        <f>IF(ROWS($1:535)&lt;=Nper,ROWS($1:535),"")</f>
        <v/>
      </c>
      <c r="C547" s="67" t="str">
        <f>IF($B547="","",IF($E$7="Weekly",Start_Date+7*(ROWS($1:535)-1),EDATE(Start_Date,VLOOKUP(IF(ASTemp!$E$7="","Monthly",ASTemp!$E$7),Parameters!$B$3:$D$6,3,0)*(ROWS($1:535)-1))))</f>
        <v/>
      </c>
      <c r="D547" s="68" t="str">
        <f t="shared" si="2"/>
        <v/>
      </c>
      <c r="E547" s="65" t="str">
        <f>IF($B547="","",VLOOKUP(MONTH(C547),Parameters!$F$2:$G$13,2,0))</f>
        <v/>
      </c>
      <c r="F547" s="69" t="str">
        <f>IF($B547="","",PV-N(J546))</f>
        <v/>
      </c>
      <c r="G547" s="69" t="str">
        <f>IF($B547="","",PMT(Rate,Nper,-PV,,Type))</f>
        <v/>
      </c>
      <c r="H547" s="69" t="str">
        <f>IF($B547="","",PPMT(Rate,ROWS($1:535),Nper,-PV,,Type))</f>
        <v/>
      </c>
      <c r="I547" s="69" t="str">
        <f>IF($B547="","",IPMT(Rate,ROWS($1:535),Nper,-PV,,Type))</f>
        <v/>
      </c>
      <c r="J547" s="73" t="str">
        <f t="shared" ref="J547:K547" si="537">IF($B547="","",N(J546)+N(H547))</f>
        <v/>
      </c>
      <c r="K547" s="74" t="str">
        <f t="shared" si="537"/>
        <v/>
      </c>
      <c r="L547" s="69" t="str">
        <f>IF($B547="","",PV-J547)</f>
        <v/>
      </c>
      <c r="M547" s="71" t="str">
        <f>IF($B547="","",J547/PV)</f>
        <v/>
      </c>
      <c r="N547" s="72" t="str">
        <f t="shared" si="4"/>
        <v/>
      </c>
    </row>
    <row r="548" ht="14.25" customHeight="1">
      <c r="B548" s="66" t="str">
        <f>IF(ROWS($1:536)&lt;=Nper,ROWS($1:536),"")</f>
        <v/>
      </c>
      <c r="C548" s="67" t="str">
        <f>IF($B548="","",IF($E$7="Weekly",Start_Date+7*(ROWS($1:536)-1),EDATE(Start_Date,VLOOKUP(IF(ASTemp!$E$7="","Monthly",ASTemp!$E$7),Parameters!$B$3:$D$6,3,0)*(ROWS($1:536)-1))))</f>
        <v/>
      </c>
      <c r="D548" s="68" t="str">
        <f t="shared" si="2"/>
        <v/>
      </c>
      <c r="E548" s="65" t="str">
        <f>IF($B548="","",VLOOKUP(MONTH(C548),Parameters!$F$2:$G$13,2,0))</f>
        <v/>
      </c>
      <c r="F548" s="69" t="str">
        <f>IF($B548="","",PV-N(J547))</f>
        <v/>
      </c>
      <c r="G548" s="69" t="str">
        <f>IF($B548="","",PMT(Rate,Nper,-PV,,Type))</f>
        <v/>
      </c>
      <c r="H548" s="69" t="str">
        <f>IF($B548="","",PPMT(Rate,ROWS($1:536),Nper,-PV,,Type))</f>
        <v/>
      </c>
      <c r="I548" s="69" t="str">
        <f>IF($B548="","",IPMT(Rate,ROWS($1:536),Nper,-PV,,Type))</f>
        <v/>
      </c>
      <c r="J548" s="73" t="str">
        <f t="shared" ref="J548:K548" si="538">IF($B548="","",N(J547)+N(H548))</f>
        <v/>
      </c>
      <c r="K548" s="74" t="str">
        <f t="shared" si="538"/>
        <v/>
      </c>
      <c r="L548" s="69" t="str">
        <f>IF($B548="","",PV-J548)</f>
        <v/>
      </c>
      <c r="M548" s="71" t="str">
        <f>IF($B548="","",J548/PV)</f>
        <v/>
      </c>
      <c r="N548" s="72" t="str">
        <f t="shared" si="4"/>
        <v/>
      </c>
    </row>
    <row r="549" ht="14.25" customHeight="1">
      <c r="B549" s="66" t="str">
        <f>IF(ROWS($1:537)&lt;=Nper,ROWS($1:537),"")</f>
        <v/>
      </c>
      <c r="C549" s="67" t="str">
        <f>IF($B549="","",IF($E$7="Weekly",Start_Date+7*(ROWS($1:537)-1),EDATE(Start_Date,VLOOKUP(IF(ASTemp!$E$7="","Monthly",ASTemp!$E$7),Parameters!$B$3:$D$6,3,0)*(ROWS($1:537)-1))))</f>
        <v/>
      </c>
      <c r="D549" s="68" t="str">
        <f t="shared" si="2"/>
        <v/>
      </c>
      <c r="E549" s="65" t="str">
        <f>IF($B549="","",VLOOKUP(MONTH(C549),Parameters!$F$2:$G$13,2,0))</f>
        <v/>
      </c>
      <c r="F549" s="69" t="str">
        <f>IF($B549="","",PV-N(J548))</f>
        <v/>
      </c>
      <c r="G549" s="69" t="str">
        <f>IF($B549="","",PMT(Rate,Nper,-PV,,Type))</f>
        <v/>
      </c>
      <c r="H549" s="69" t="str">
        <f>IF($B549="","",PPMT(Rate,ROWS($1:537),Nper,-PV,,Type))</f>
        <v/>
      </c>
      <c r="I549" s="69" t="str">
        <f>IF($B549="","",IPMT(Rate,ROWS($1:537),Nper,-PV,,Type))</f>
        <v/>
      </c>
      <c r="J549" s="73" t="str">
        <f t="shared" ref="J549:K549" si="539">IF($B549="","",N(J548)+N(H549))</f>
        <v/>
      </c>
      <c r="K549" s="74" t="str">
        <f t="shared" si="539"/>
        <v/>
      </c>
      <c r="L549" s="69" t="str">
        <f>IF($B549="","",PV-J549)</f>
        <v/>
      </c>
      <c r="M549" s="71" t="str">
        <f>IF($B549="","",J549/PV)</f>
        <v/>
      </c>
      <c r="N549" s="72" t="str">
        <f t="shared" si="4"/>
        <v/>
      </c>
    </row>
    <row r="550" ht="14.25" customHeight="1">
      <c r="B550" s="66" t="str">
        <f>IF(ROWS($1:538)&lt;=Nper,ROWS($1:538),"")</f>
        <v/>
      </c>
      <c r="C550" s="67" t="str">
        <f>IF($B550="","",IF($E$7="Weekly",Start_Date+7*(ROWS($1:538)-1),EDATE(Start_Date,VLOOKUP(IF(ASTemp!$E$7="","Monthly",ASTemp!$E$7),Parameters!$B$3:$D$6,3,0)*(ROWS($1:538)-1))))</f>
        <v/>
      </c>
      <c r="D550" s="68" t="str">
        <f t="shared" si="2"/>
        <v/>
      </c>
      <c r="E550" s="65" t="str">
        <f>IF($B550="","",VLOOKUP(MONTH(C550),Parameters!$F$2:$G$13,2,0))</f>
        <v/>
      </c>
      <c r="F550" s="69" t="str">
        <f>IF($B550="","",PV-N(J549))</f>
        <v/>
      </c>
      <c r="G550" s="69" t="str">
        <f>IF($B550="","",PMT(Rate,Nper,-PV,,Type))</f>
        <v/>
      </c>
      <c r="H550" s="69" t="str">
        <f>IF($B550="","",PPMT(Rate,ROWS($1:538),Nper,-PV,,Type))</f>
        <v/>
      </c>
      <c r="I550" s="69" t="str">
        <f>IF($B550="","",IPMT(Rate,ROWS($1:538),Nper,-PV,,Type))</f>
        <v/>
      </c>
      <c r="J550" s="73" t="str">
        <f t="shared" ref="J550:K550" si="540">IF($B550="","",N(J549)+N(H550))</f>
        <v/>
      </c>
      <c r="K550" s="74" t="str">
        <f t="shared" si="540"/>
        <v/>
      </c>
      <c r="L550" s="69" t="str">
        <f>IF($B550="","",PV-J550)</f>
        <v/>
      </c>
      <c r="M550" s="71" t="str">
        <f>IF($B550="","",J550/PV)</f>
        <v/>
      </c>
      <c r="N550" s="72" t="str">
        <f t="shared" si="4"/>
        <v/>
      </c>
    </row>
    <row r="551" ht="14.25" customHeight="1">
      <c r="B551" s="66" t="str">
        <f>IF(ROWS($1:539)&lt;=Nper,ROWS($1:539),"")</f>
        <v/>
      </c>
      <c r="C551" s="67" t="str">
        <f>IF($B551="","",IF($E$7="Weekly",Start_Date+7*(ROWS($1:539)-1),EDATE(Start_Date,VLOOKUP(IF(ASTemp!$E$7="","Monthly",ASTemp!$E$7),Parameters!$B$3:$D$6,3,0)*(ROWS($1:539)-1))))</f>
        <v/>
      </c>
      <c r="D551" s="68" t="str">
        <f t="shared" si="2"/>
        <v/>
      </c>
      <c r="E551" s="65" t="str">
        <f>IF($B551="","",VLOOKUP(MONTH(C551),Parameters!$F$2:$G$13,2,0))</f>
        <v/>
      </c>
      <c r="F551" s="69" t="str">
        <f>IF($B551="","",PV-N(J550))</f>
        <v/>
      </c>
      <c r="G551" s="69" t="str">
        <f>IF($B551="","",PMT(Rate,Nper,-PV,,Type))</f>
        <v/>
      </c>
      <c r="H551" s="69" t="str">
        <f>IF($B551="","",PPMT(Rate,ROWS($1:539),Nper,-PV,,Type))</f>
        <v/>
      </c>
      <c r="I551" s="69" t="str">
        <f>IF($B551="","",IPMT(Rate,ROWS($1:539),Nper,-PV,,Type))</f>
        <v/>
      </c>
      <c r="J551" s="73" t="str">
        <f t="shared" ref="J551:K551" si="541">IF($B551="","",N(J550)+N(H551))</f>
        <v/>
      </c>
      <c r="K551" s="74" t="str">
        <f t="shared" si="541"/>
        <v/>
      </c>
      <c r="L551" s="69" t="str">
        <f>IF($B551="","",PV-J551)</f>
        <v/>
      </c>
      <c r="M551" s="71" t="str">
        <f>IF($B551="","",J551/PV)</f>
        <v/>
      </c>
      <c r="N551" s="72" t="str">
        <f t="shared" si="4"/>
        <v/>
      </c>
    </row>
    <row r="552" ht="14.25" customHeight="1">
      <c r="B552" s="66" t="str">
        <f>IF(ROWS($1:540)&lt;=Nper,ROWS($1:540),"")</f>
        <v/>
      </c>
      <c r="C552" s="67" t="str">
        <f>IF($B552="","",IF($E$7="Weekly",Start_Date+7*(ROWS($1:540)-1),EDATE(Start_Date,VLOOKUP(IF(ASTemp!$E$7="","Monthly",ASTemp!$E$7),Parameters!$B$3:$D$6,3,0)*(ROWS($1:540)-1))))</f>
        <v/>
      </c>
      <c r="D552" s="68" t="str">
        <f t="shared" si="2"/>
        <v/>
      </c>
      <c r="E552" s="65" t="str">
        <f>IF($B552="","",VLOOKUP(MONTH(C552),Parameters!$F$2:$G$13,2,0))</f>
        <v/>
      </c>
      <c r="F552" s="69" t="str">
        <f>IF($B552="","",PV-N(J551))</f>
        <v/>
      </c>
      <c r="G552" s="69" t="str">
        <f>IF($B552="","",PMT(Rate,Nper,-PV,,Type))</f>
        <v/>
      </c>
      <c r="H552" s="69" t="str">
        <f>IF($B552="","",PPMT(Rate,ROWS($1:540),Nper,-PV,,Type))</f>
        <v/>
      </c>
      <c r="I552" s="69" t="str">
        <f>IF($B552="","",IPMT(Rate,ROWS($1:540),Nper,-PV,,Type))</f>
        <v/>
      </c>
      <c r="J552" s="73" t="str">
        <f t="shared" ref="J552:K552" si="542">IF($B552="","",N(J551)+N(H552))</f>
        <v/>
      </c>
      <c r="K552" s="74" t="str">
        <f t="shared" si="542"/>
        <v/>
      </c>
      <c r="L552" s="69" t="str">
        <f>IF($B552="","",PV-J552)</f>
        <v/>
      </c>
      <c r="M552" s="71" t="str">
        <f>IF($B552="","",J552/PV)</f>
        <v/>
      </c>
      <c r="N552" s="72" t="str">
        <f t="shared" si="4"/>
        <v/>
      </c>
    </row>
    <row r="553" ht="14.25" customHeight="1">
      <c r="B553" s="66" t="str">
        <f>IF(ROWS($1:541)&lt;=Nper,ROWS($1:541),"")</f>
        <v/>
      </c>
      <c r="C553" s="67" t="str">
        <f>IF($B553="","",IF($E$7="Weekly",Start_Date+7*(ROWS($1:541)-1),EDATE(Start_Date,VLOOKUP(IF(ASTemp!$E$7="","Monthly",ASTemp!$E$7),Parameters!$B$3:$D$6,3,0)*(ROWS($1:541)-1))))</f>
        <v/>
      </c>
      <c r="D553" s="68" t="str">
        <f t="shared" si="2"/>
        <v/>
      </c>
      <c r="E553" s="65" t="str">
        <f>IF($B553="","",VLOOKUP(MONTH(C553),Parameters!$F$2:$G$13,2,0))</f>
        <v/>
      </c>
      <c r="F553" s="69" t="str">
        <f>IF($B553="","",PV-N(J552))</f>
        <v/>
      </c>
      <c r="G553" s="69" t="str">
        <f>IF($B553="","",PMT(Rate,Nper,-PV,,Type))</f>
        <v/>
      </c>
      <c r="H553" s="69" t="str">
        <f>IF($B553="","",PPMT(Rate,ROWS($1:541),Nper,-PV,,Type))</f>
        <v/>
      </c>
      <c r="I553" s="69" t="str">
        <f>IF($B553="","",IPMT(Rate,ROWS($1:541),Nper,-PV,,Type))</f>
        <v/>
      </c>
      <c r="J553" s="73" t="str">
        <f t="shared" ref="J553:K553" si="543">IF($B553="","",N(J552)+N(H553))</f>
        <v/>
      </c>
      <c r="K553" s="74" t="str">
        <f t="shared" si="543"/>
        <v/>
      </c>
      <c r="L553" s="69" t="str">
        <f>IF($B553="","",PV-J553)</f>
        <v/>
      </c>
      <c r="M553" s="71" t="str">
        <f>IF($B553="","",J553/PV)</f>
        <v/>
      </c>
      <c r="N553" s="72" t="str">
        <f t="shared" si="4"/>
        <v/>
      </c>
    </row>
    <row r="554" ht="14.25" customHeight="1">
      <c r="B554" s="66" t="str">
        <f>IF(ROWS($1:542)&lt;=Nper,ROWS($1:542),"")</f>
        <v/>
      </c>
      <c r="C554" s="67" t="str">
        <f>IF($B554="","",IF($E$7="Weekly",Start_Date+7*(ROWS($1:542)-1),EDATE(Start_Date,VLOOKUP(IF(ASTemp!$E$7="","Monthly",ASTemp!$E$7),Parameters!$B$3:$D$6,3,0)*(ROWS($1:542)-1))))</f>
        <v/>
      </c>
      <c r="D554" s="68" t="str">
        <f t="shared" si="2"/>
        <v/>
      </c>
      <c r="E554" s="65" t="str">
        <f>IF($B554="","",VLOOKUP(MONTH(C554),Parameters!$F$2:$G$13,2,0))</f>
        <v/>
      </c>
      <c r="F554" s="69" t="str">
        <f>IF($B554="","",PV-N(J553))</f>
        <v/>
      </c>
      <c r="G554" s="69" t="str">
        <f>IF($B554="","",PMT(Rate,Nper,-PV,,Type))</f>
        <v/>
      </c>
      <c r="H554" s="69" t="str">
        <f>IF($B554="","",PPMT(Rate,ROWS($1:542),Nper,-PV,,Type))</f>
        <v/>
      </c>
      <c r="I554" s="69" t="str">
        <f>IF($B554="","",IPMT(Rate,ROWS($1:542),Nper,-PV,,Type))</f>
        <v/>
      </c>
      <c r="J554" s="73" t="str">
        <f t="shared" ref="J554:K554" si="544">IF($B554="","",N(J553)+N(H554))</f>
        <v/>
      </c>
      <c r="K554" s="74" t="str">
        <f t="shared" si="544"/>
        <v/>
      </c>
      <c r="L554" s="69" t="str">
        <f>IF($B554="","",PV-J554)</f>
        <v/>
      </c>
      <c r="M554" s="71" t="str">
        <f>IF($B554="","",J554/PV)</f>
        <v/>
      </c>
      <c r="N554" s="72" t="str">
        <f t="shared" si="4"/>
        <v/>
      </c>
    </row>
    <row r="555" ht="14.25" customHeight="1">
      <c r="B555" s="66" t="str">
        <f>IF(ROWS($1:543)&lt;=Nper,ROWS($1:543),"")</f>
        <v/>
      </c>
      <c r="C555" s="67" t="str">
        <f>IF($B555="","",IF($E$7="Weekly",Start_Date+7*(ROWS($1:543)-1),EDATE(Start_Date,VLOOKUP(IF(ASTemp!$E$7="","Monthly",ASTemp!$E$7),Parameters!$B$3:$D$6,3,0)*(ROWS($1:543)-1))))</f>
        <v/>
      </c>
      <c r="D555" s="68" t="str">
        <f t="shared" si="2"/>
        <v/>
      </c>
      <c r="E555" s="65" t="str">
        <f>IF($B555="","",VLOOKUP(MONTH(C555),Parameters!$F$2:$G$13,2,0))</f>
        <v/>
      </c>
      <c r="F555" s="69" t="str">
        <f>IF($B555="","",PV-N(J554))</f>
        <v/>
      </c>
      <c r="G555" s="69" t="str">
        <f>IF($B555="","",PMT(Rate,Nper,-PV,,Type))</f>
        <v/>
      </c>
      <c r="H555" s="69" t="str">
        <f>IF($B555="","",PPMT(Rate,ROWS($1:543),Nper,-PV,,Type))</f>
        <v/>
      </c>
      <c r="I555" s="69" t="str">
        <f>IF($B555="","",IPMT(Rate,ROWS($1:543),Nper,-PV,,Type))</f>
        <v/>
      </c>
      <c r="J555" s="73" t="str">
        <f t="shared" ref="J555:K555" si="545">IF($B555="","",N(J554)+N(H555))</f>
        <v/>
      </c>
      <c r="K555" s="74" t="str">
        <f t="shared" si="545"/>
        <v/>
      </c>
      <c r="L555" s="69" t="str">
        <f>IF($B555="","",PV-J555)</f>
        <v/>
      </c>
      <c r="M555" s="71" t="str">
        <f>IF($B555="","",J555/PV)</f>
        <v/>
      </c>
      <c r="N555" s="72" t="str">
        <f t="shared" si="4"/>
        <v/>
      </c>
    </row>
    <row r="556" ht="14.25" customHeight="1">
      <c r="B556" s="66" t="str">
        <f>IF(ROWS($1:544)&lt;=Nper,ROWS($1:544),"")</f>
        <v/>
      </c>
      <c r="C556" s="67" t="str">
        <f>IF($B556="","",IF($E$7="Weekly",Start_Date+7*(ROWS($1:544)-1),EDATE(Start_Date,VLOOKUP(IF(ASTemp!$E$7="","Monthly",ASTemp!$E$7),Parameters!$B$3:$D$6,3,0)*(ROWS($1:544)-1))))</f>
        <v/>
      </c>
      <c r="D556" s="68" t="str">
        <f t="shared" si="2"/>
        <v/>
      </c>
      <c r="E556" s="65" t="str">
        <f>IF($B556="","",VLOOKUP(MONTH(C556),Parameters!$F$2:$G$13,2,0))</f>
        <v/>
      </c>
      <c r="F556" s="69" t="str">
        <f>IF($B556="","",PV-N(J555))</f>
        <v/>
      </c>
      <c r="G556" s="69" t="str">
        <f>IF($B556="","",PMT(Rate,Nper,-PV,,Type))</f>
        <v/>
      </c>
      <c r="H556" s="69" t="str">
        <f>IF($B556="","",PPMT(Rate,ROWS($1:544),Nper,-PV,,Type))</f>
        <v/>
      </c>
      <c r="I556" s="69" t="str">
        <f>IF($B556="","",IPMT(Rate,ROWS($1:544),Nper,-PV,,Type))</f>
        <v/>
      </c>
      <c r="J556" s="73" t="str">
        <f t="shared" ref="J556:K556" si="546">IF($B556="","",N(J555)+N(H556))</f>
        <v/>
      </c>
      <c r="K556" s="74" t="str">
        <f t="shared" si="546"/>
        <v/>
      </c>
      <c r="L556" s="69" t="str">
        <f>IF($B556="","",PV-J556)</f>
        <v/>
      </c>
      <c r="M556" s="71" t="str">
        <f>IF($B556="","",J556/PV)</f>
        <v/>
      </c>
      <c r="N556" s="72" t="str">
        <f t="shared" si="4"/>
        <v/>
      </c>
    </row>
    <row r="557" ht="14.25" customHeight="1">
      <c r="B557" s="66" t="str">
        <f>IF(ROWS($1:545)&lt;=Nper,ROWS($1:545),"")</f>
        <v/>
      </c>
      <c r="C557" s="67" t="str">
        <f>IF($B557="","",IF($E$7="Weekly",Start_Date+7*(ROWS($1:545)-1),EDATE(Start_Date,VLOOKUP(IF(ASTemp!$E$7="","Monthly",ASTemp!$E$7),Parameters!$B$3:$D$6,3,0)*(ROWS($1:545)-1))))</f>
        <v/>
      </c>
      <c r="D557" s="68" t="str">
        <f t="shared" si="2"/>
        <v/>
      </c>
      <c r="E557" s="65" t="str">
        <f>IF($B557="","",VLOOKUP(MONTH(C557),Parameters!$F$2:$G$13,2,0))</f>
        <v/>
      </c>
      <c r="F557" s="69" t="str">
        <f>IF($B557="","",PV-N(J556))</f>
        <v/>
      </c>
      <c r="G557" s="69" t="str">
        <f>IF($B557="","",PMT(Rate,Nper,-PV,,Type))</f>
        <v/>
      </c>
      <c r="H557" s="69" t="str">
        <f>IF($B557="","",PPMT(Rate,ROWS($1:545),Nper,-PV,,Type))</f>
        <v/>
      </c>
      <c r="I557" s="69" t="str">
        <f>IF($B557="","",IPMT(Rate,ROWS($1:545),Nper,-PV,,Type))</f>
        <v/>
      </c>
      <c r="J557" s="73" t="str">
        <f t="shared" ref="J557:K557" si="547">IF($B557="","",N(J556)+N(H557))</f>
        <v/>
      </c>
      <c r="K557" s="74" t="str">
        <f t="shared" si="547"/>
        <v/>
      </c>
      <c r="L557" s="69" t="str">
        <f>IF($B557="","",PV-J557)</f>
        <v/>
      </c>
      <c r="M557" s="71" t="str">
        <f>IF($B557="","",J557/PV)</f>
        <v/>
      </c>
      <c r="N557" s="72" t="str">
        <f t="shared" si="4"/>
        <v/>
      </c>
    </row>
    <row r="558" ht="14.25" customHeight="1">
      <c r="B558" s="66" t="str">
        <f>IF(ROWS($1:546)&lt;=Nper,ROWS($1:546),"")</f>
        <v/>
      </c>
      <c r="C558" s="67" t="str">
        <f>IF($B558="","",IF($E$7="Weekly",Start_Date+7*(ROWS($1:546)-1),EDATE(Start_Date,VLOOKUP(IF(ASTemp!$E$7="","Monthly",ASTemp!$E$7),Parameters!$B$3:$D$6,3,0)*(ROWS($1:546)-1))))</f>
        <v/>
      </c>
      <c r="D558" s="68" t="str">
        <f t="shared" si="2"/>
        <v/>
      </c>
      <c r="E558" s="65" t="str">
        <f>IF($B558="","",VLOOKUP(MONTH(C558),Parameters!$F$2:$G$13,2,0))</f>
        <v/>
      </c>
      <c r="F558" s="69" t="str">
        <f>IF($B558="","",PV-N(J557))</f>
        <v/>
      </c>
      <c r="G558" s="69" t="str">
        <f>IF($B558="","",PMT(Rate,Nper,-PV,,Type))</f>
        <v/>
      </c>
      <c r="H558" s="69" t="str">
        <f>IF($B558="","",PPMT(Rate,ROWS($1:546),Nper,-PV,,Type))</f>
        <v/>
      </c>
      <c r="I558" s="69" t="str">
        <f>IF($B558="","",IPMT(Rate,ROWS($1:546),Nper,-PV,,Type))</f>
        <v/>
      </c>
      <c r="J558" s="73" t="str">
        <f t="shared" ref="J558:K558" si="548">IF($B558="","",N(J557)+N(H558))</f>
        <v/>
      </c>
      <c r="K558" s="74" t="str">
        <f t="shared" si="548"/>
        <v/>
      </c>
      <c r="L558" s="69" t="str">
        <f>IF($B558="","",PV-J558)</f>
        <v/>
      </c>
      <c r="M558" s="71" t="str">
        <f>IF($B558="","",J558/PV)</f>
        <v/>
      </c>
      <c r="N558" s="72" t="str">
        <f t="shared" si="4"/>
        <v/>
      </c>
    </row>
    <row r="559" ht="14.25" customHeight="1">
      <c r="B559" s="66" t="str">
        <f>IF(ROWS($1:547)&lt;=Nper,ROWS($1:547),"")</f>
        <v/>
      </c>
      <c r="C559" s="67" t="str">
        <f>IF($B559="","",IF($E$7="Weekly",Start_Date+7*(ROWS($1:547)-1),EDATE(Start_Date,VLOOKUP(IF(ASTemp!$E$7="","Monthly",ASTemp!$E$7),Parameters!$B$3:$D$6,3,0)*(ROWS($1:547)-1))))</f>
        <v/>
      </c>
      <c r="D559" s="68" t="str">
        <f t="shared" si="2"/>
        <v/>
      </c>
      <c r="E559" s="65" t="str">
        <f>IF($B559="","",VLOOKUP(MONTH(C559),Parameters!$F$2:$G$13,2,0))</f>
        <v/>
      </c>
      <c r="F559" s="69" t="str">
        <f>IF($B559="","",PV-N(J558))</f>
        <v/>
      </c>
      <c r="G559" s="69" t="str">
        <f>IF($B559="","",PMT(Rate,Nper,-PV,,Type))</f>
        <v/>
      </c>
      <c r="H559" s="69" t="str">
        <f>IF($B559="","",PPMT(Rate,ROWS($1:547),Nper,-PV,,Type))</f>
        <v/>
      </c>
      <c r="I559" s="69" t="str">
        <f>IF($B559="","",IPMT(Rate,ROWS($1:547),Nper,-PV,,Type))</f>
        <v/>
      </c>
      <c r="J559" s="73" t="str">
        <f t="shared" ref="J559:K559" si="549">IF($B559="","",N(J558)+N(H559))</f>
        <v/>
      </c>
      <c r="K559" s="74" t="str">
        <f t="shared" si="549"/>
        <v/>
      </c>
      <c r="L559" s="69" t="str">
        <f>IF($B559="","",PV-J559)</f>
        <v/>
      </c>
      <c r="M559" s="71" t="str">
        <f>IF($B559="","",J559/PV)</f>
        <v/>
      </c>
      <c r="N559" s="72" t="str">
        <f t="shared" si="4"/>
        <v/>
      </c>
    </row>
    <row r="560" ht="14.25" customHeight="1">
      <c r="B560" s="66" t="str">
        <f>IF(ROWS($1:548)&lt;=Nper,ROWS($1:548),"")</f>
        <v/>
      </c>
      <c r="C560" s="67" t="str">
        <f>IF($B560="","",IF($E$7="Weekly",Start_Date+7*(ROWS($1:548)-1),EDATE(Start_Date,VLOOKUP(IF(ASTemp!$E$7="","Monthly",ASTemp!$E$7),Parameters!$B$3:$D$6,3,0)*(ROWS($1:548)-1))))</f>
        <v/>
      </c>
      <c r="D560" s="68" t="str">
        <f t="shared" si="2"/>
        <v/>
      </c>
      <c r="E560" s="65" t="str">
        <f>IF($B560="","",VLOOKUP(MONTH(C560),Parameters!$F$2:$G$13,2,0))</f>
        <v/>
      </c>
      <c r="F560" s="69" t="str">
        <f>IF($B560="","",PV-N(J559))</f>
        <v/>
      </c>
      <c r="G560" s="69" t="str">
        <f>IF($B560="","",PMT(Rate,Nper,-PV,,Type))</f>
        <v/>
      </c>
      <c r="H560" s="69" t="str">
        <f>IF($B560="","",PPMT(Rate,ROWS($1:548),Nper,-PV,,Type))</f>
        <v/>
      </c>
      <c r="I560" s="69" t="str">
        <f>IF($B560="","",IPMT(Rate,ROWS($1:548),Nper,-PV,,Type))</f>
        <v/>
      </c>
      <c r="J560" s="73" t="str">
        <f t="shared" ref="J560:K560" si="550">IF($B560="","",N(J559)+N(H560))</f>
        <v/>
      </c>
      <c r="K560" s="74" t="str">
        <f t="shared" si="550"/>
        <v/>
      </c>
      <c r="L560" s="69" t="str">
        <f>IF($B560="","",PV-J560)</f>
        <v/>
      </c>
      <c r="M560" s="71" t="str">
        <f>IF($B560="","",J560/PV)</f>
        <v/>
      </c>
      <c r="N560" s="72" t="str">
        <f t="shared" si="4"/>
        <v/>
      </c>
    </row>
    <row r="561" ht="14.25" customHeight="1">
      <c r="B561" s="66" t="str">
        <f>IF(ROWS($1:549)&lt;=Nper,ROWS($1:549),"")</f>
        <v/>
      </c>
      <c r="C561" s="67" t="str">
        <f>IF($B561="","",IF($E$7="Weekly",Start_Date+7*(ROWS($1:549)-1),EDATE(Start_Date,VLOOKUP(IF(ASTemp!$E$7="","Monthly",ASTemp!$E$7),Parameters!$B$3:$D$6,3,0)*(ROWS($1:549)-1))))</f>
        <v/>
      </c>
      <c r="D561" s="68" t="str">
        <f t="shared" si="2"/>
        <v/>
      </c>
      <c r="E561" s="65" t="str">
        <f>IF($B561="","",VLOOKUP(MONTH(C561),Parameters!$F$2:$G$13,2,0))</f>
        <v/>
      </c>
      <c r="F561" s="69" t="str">
        <f>IF($B561="","",PV-N(J560))</f>
        <v/>
      </c>
      <c r="G561" s="69" t="str">
        <f>IF($B561="","",PMT(Rate,Nper,-PV,,Type))</f>
        <v/>
      </c>
      <c r="H561" s="69" t="str">
        <f>IF($B561="","",PPMT(Rate,ROWS($1:549),Nper,-PV,,Type))</f>
        <v/>
      </c>
      <c r="I561" s="69" t="str">
        <f>IF($B561="","",IPMT(Rate,ROWS($1:549),Nper,-PV,,Type))</f>
        <v/>
      </c>
      <c r="J561" s="73" t="str">
        <f t="shared" ref="J561:K561" si="551">IF($B561="","",N(J560)+N(H561))</f>
        <v/>
      </c>
      <c r="K561" s="74" t="str">
        <f t="shared" si="551"/>
        <v/>
      </c>
      <c r="L561" s="69" t="str">
        <f>IF($B561="","",PV-J561)</f>
        <v/>
      </c>
      <c r="M561" s="71" t="str">
        <f>IF($B561="","",J561/PV)</f>
        <v/>
      </c>
      <c r="N561" s="72" t="str">
        <f t="shared" si="4"/>
        <v/>
      </c>
    </row>
    <row r="562" ht="14.25" customHeight="1">
      <c r="B562" s="66" t="str">
        <f>IF(ROWS($1:550)&lt;=Nper,ROWS($1:550),"")</f>
        <v/>
      </c>
      <c r="C562" s="67" t="str">
        <f>IF($B562="","",IF($E$7="Weekly",Start_Date+7*(ROWS($1:550)-1),EDATE(Start_Date,VLOOKUP(IF(ASTemp!$E$7="","Monthly",ASTemp!$E$7),Parameters!$B$3:$D$6,3,0)*(ROWS($1:550)-1))))</f>
        <v/>
      </c>
      <c r="D562" s="68" t="str">
        <f t="shared" si="2"/>
        <v/>
      </c>
      <c r="E562" s="65" t="str">
        <f>IF($B562="","",VLOOKUP(MONTH(C562),Parameters!$F$2:$G$13,2,0))</f>
        <v/>
      </c>
      <c r="F562" s="69" t="str">
        <f>IF($B562="","",PV-N(J561))</f>
        <v/>
      </c>
      <c r="G562" s="69" t="str">
        <f>IF($B562="","",PMT(Rate,Nper,-PV,,Type))</f>
        <v/>
      </c>
      <c r="H562" s="69" t="str">
        <f>IF($B562="","",PPMT(Rate,ROWS($1:550),Nper,-PV,,Type))</f>
        <v/>
      </c>
      <c r="I562" s="69" t="str">
        <f>IF($B562="","",IPMT(Rate,ROWS($1:550),Nper,-PV,,Type))</f>
        <v/>
      </c>
      <c r="J562" s="73" t="str">
        <f t="shared" ref="J562:K562" si="552">IF($B562="","",N(J561)+N(H562))</f>
        <v/>
      </c>
      <c r="K562" s="74" t="str">
        <f t="shared" si="552"/>
        <v/>
      </c>
      <c r="L562" s="69" t="str">
        <f>IF($B562="","",PV-J562)</f>
        <v/>
      </c>
      <c r="M562" s="71" t="str">
        <f>IF($B562="","",J562/PV)</f>
        <v/>
      </c>
      <c r="N562" s="72" t="str">
        <f t="shared" si="4"/>
        <v/>
      </c>
    </row>
    <row r="563" ht="14.25" customHeight="1">
      <c r="B563" s="66" t="str">
        <f>IF(ROWS($1:551)&lt;=Nper,ROWS($1:551),"")</f>
        <v/>
      </c>
      <c r="C563" s="67" t="str">
        <f>IF($B563="","",IF($E$7="Weekly",Start_Date+7*(ROWS($1:551)-1),EDATE(Start_Date,VLOOKUP(IF(ASTemp!$E$7="","Monthly",ASTemp!$E$7),Parameters!$B$3:$D$6,3,0)*(ROWS($1:551)-1))))</f>
        <v/>
      </c>
      <c r="D563" s="68" t="str">
        <f t="shared" si="2"/>
        <v/>
      </c>
      <c r="E563" s="65" t="str">
        <f>IF($B563="","",VLOOKUP(MONTH(C563),Parameters!$F$2:$G$13,2,0))</f>
        <v/>
      </c>
      <c r="F563" s="69" t="str">
        <f>IF($B563="","",PV-N(J562))</f>
        <v/>
      </c>
      <c r="G563" s="69" t="str">
        <f>IF($B563="","",PMT(Rate,Nper,-PV,,Type))</f>
        <v/>
      </c>
      <c r="H563" s="69" t="str">
        <f>IF($B563="","",PPMT(Rate,ROWS($1:551),Nper,-PV,,Type))</f>
        <v/>
      </c>
      <c r="I563" s="69" t="str">
        <f>IF($B563="","",IPMT(Rate,ROWS($1:551),Nper,-PV,,Type))</f>
        <v/>
      </c>
      <c r="J563" s="73" t="str">
        <f t="shared" ref="J563:K563" si="553">IF($B563="","",N(J562)+N(H563))</f>
        <v/>
      </c>
      <c r="K563" s="74" t="str">
        <f t="shared" si="553"/>
        <v/>
      </c>
      <c r="L563" s="69" t="str">
        <f>IF($B563="","",PV-J563)</f>
        <v/>
      </c>
      <c r="M563" s="71" t="str">
        <f>IF($B563="","",J563/PV)</f>
        <v/>
      </c>
      <c r="N563" s="72" t="str">
        <f t="shared" si="4"/>
        <v/>
      </c>
    </row>
    <row r="564" ht="14.25" customHeight="1">
      <c r="B564" s="66" t="str">
        <f>IF(ROWS($1:552)&lt;=Nper,ROWS($1:552),"")</f>
        <v/>
      </c>
      <c r="C564" s="67" t="str">
        <f>IF($B564="","",IF($E$7="Weekly",Start_Date+7*(ROWS($1:552)-1),EDATE(Start_Date,VLOOKUP(IF(ASTemp!$E$7="","Monthly",ASTemp!$E$7),Parameters!$B$3:$D$6,3,0)*(ROWS($1:552)-1))))</f>
        <v/>
      </c>
      <c r="D564" s="68" t="str">
        <f t="shared" si="2"/>
        <v/>
      </c>
      <c r="E564" s="65" t="str">
        <f>IF($B564="","",VLOOKUP(MONTH(C564),Parameters!$F$2:$G$13,2,0))</f>
        <v/>
      </c>
      <c r="F564" s="69" t="str">
        <f>IF($B564="","",PV-N(J563))</f>
        <v/>
      </c>
      <c r="G564" s="69" t="str">
        <f>IF($B564="","",PMT(Rate,Nper,-PV,,Type))</f>
        <v/>
      </c>
      <c r="H564" s="69" t="str">
        <f>IF($B564="","",PPMT(Rate,ROWS($1:552),Nper,-PV,,Type))</f>
        <v/>
      </c>
      <c r="I564" s="69" t="str">
        <f>IF($B564="","",IPMT(Rate,ROWS($1:552),Nper,-PV,,Type))</f>
        <v/>
      </c>
      <c r="J564" s="73" t="str">
        <f t="shared" ref="J564:K564" si="554">IF($B564="","",N(J563)+N(H564))</f>
        <v/>
      </c>
      <c r="K564" s="74" t="str">
        <f t="shared" si="554"/>
        <v/>
      </c>
      <c r="L564" s="69" t="str">
        <f>IF($B564="","",PV-J564)</f>
        <v/>
      </c>
      <c r="M564" s="71" t="str">
        <f>IF($B564="","",J564/PV)</f>
        <v/>
      </c>
      <c r="N564" s="72" t="str">
        <f t="shared" si="4"/>
        <v/>
      </c>
    </row>
    <row r="565" ht="14.25" customHeight="1">
      <c r="B565" s="66" t="str">
        <f>IF(ROWS($1:553)&lt;=Nper,ROWS($1:553),"")</f>
        <v/>
      </c>
      <c r="C565" s="67" t="str">
        <f>IF($B565="","",IF($E$7="Weekly",Start_Date+7*(ROWS($1:553)-1),EDATE(Start_Date,VLOOKUP(IF(ASTemp!$E$7="","Monthly",ASTemp!$E$7),Parameters!$B$3:$D$6,3,0)*(ROWS($1:553)-1))))</f>
        <v/>
      </c>
      <c r="D565" s="68" t="str">
        <f t="shared" si="2"/>
        <v/>
      </c>
      <c r="E565" s="65" t="str">
        <f>IF($B565="","",VLOOKUP(MONTH(C565),Parameters!$F$2:$G$13,2,0))</f>
        <v/>
      </c>
      <c r="F565" s="69" t="str">
        <f>IF($B565="","",PV-N(J564))</f>
        <v/>
      </c>
      <c r="G565" s="69" t="str">
        <f>IF($B565="","",PMT(Rate,Nper,-PV,,Type))</f>
        <v/>
      </c>
      <c r="H565" s="69" t="str">
        <f>IF($B565="","",PPMT(Rate,ROWS($1:553),Nper,-PV,,Type))</f>
        <v/>
      </c>
      <c r="I565" s="69" t="str">
        <f>IF($B565="","",IPMT(Rate,ROWS($1:553),Nper,-PV,,Type))</f>
        <v/>
      </c>
      <c r="J565" s="73" t="str">
        <f t="shared" ref="J565:K565" si="555">IF($B565="","",N(J564)+N(H565))</f>
        <v/>
      </c>
      <c r="K565" s="74" t="str">
        <f t="shared" si="555"/>
        <v/>
      </c>
      <c r="L565" s="69" t="str">
        <f>IF($B565="","",PV-J565)</f>
        <v/>
      </c>
      <c r="M565" s="71" t="str">
        <f>IF($B565="","",J565/PV)</f>
        <v/>
      </c>
      <c r="N565" s="72" t="str">
        <f t="shared" si="4"/>
        <v/>
      </c>
    </row>
    <row r="566" ht="14.25" customHeight="1">
      <c r="B566" s="66" t="str">
        <f>IF(ROWS($1:554)&lt;=Nper,ROWS($1:554),"")</f>
        <v/>
      </c>
      <c r="C566" s="67" t="str">
        <f>IF($B566="","",IF($E$7="Weekly",Start_Date+7*(ROWS($1:554)-1),EDATE(Start_Date,VLOOKUP(IF(ASTemp!$E$7="","Monthly",ASTemp!$E$7),Parameters!$B$3:$D$6,3,0)*(ROWS($1:554)-1))))</f>
        <v/>
      </c>
      <c r="D566" s="68" t="str">
        <f t="shared" si="2"/>
        <v/>
      </c>
      <c r="E566" s="65" t="str">
        <f>IF($B566="","",VLOOKUP(MONTH(C566),Parameters!$F$2:$G$13,2,0))</f>
        <v/>
      </c>
      <c r="F566" s="69" t="str">
        <f>IF($B566="","",PV-N(J565))</f>
        <v/>
      </c>
      <c r="G566" s="69" t="str">
        <f>IF($B566="","",PMT(Rate,Nper,-PV,,Type))</f>
        <v/>
      </c>
      <c r="H566" s="69" t="str">
        <f>IF($B566="","",PPMT(Rate,ROWS($1:554),Nper,-PV,,Type))</f>
        <v/>
      </c>
      <c r="I566" s="69" t="str">
        <f>IF($B566="","",IPMT(Rate,ROWS($1:554),Nper,-PV,,Type))</f>
        <v/>
      </c>
      <c r="J566" s="73" t="str">
        <f t="shared" ref="J566:K566" si="556">IF($B566="","",N(J565)+N(H566))</f>
        <v/>
      </c>
      <c r="K566" s="74" t="str">
        <f t="shared" si="556"/>
        <v/>
      </c>
      <c r="L566" s="69" t="str">
        <f>IF($B566="","",PV-J566)</f>
        <v/>
      </c>
      <c r="M566" s="71" t="str">
        <f>IF($B566="","",J566/PV)</f>
        <v/>
      </c>
      <c r="N566" s="72" t="str">
        <f t="shared" si="4"/>
        <v/>
      </c>
    </row>
    <row r="567" ht="14.25" customHeight="1">
      <c r="B567" s="66" t="str">
        <f>IF(ROWS($1:555)&lt;=Nper,ROWS($1:555),"")</f>
        <v/>
      </c>
      <c r="C567" s="67" t="str">
        <f>IF($B567="","",IF($E$7="Weekly",Start_Date+7*(ROWS($1:555)-1),EDATE(Start_Date,VLOOKUP(IF(ASTemp!$E$7="","Monthly",ASTemp!$E$7),Parameters!$B$3:$D$6,3,0)*(ROWS($1:555)-1))))</f>
        <v/>
      </c>
      <c r="D567" s="68" t="str">
        <f t="shared" si="2"/>
        <v/>
      </c>
      <c r="E567" s="65" t="str">
        <f>IF($B567="","",VLOOKUP(MONTH(C567),Parameters!$F$2:$G$13,2,0))</f>
        <v/>
      </c>
      <c r="F567" s="69" t="str">
        <f>IF($B567="","",PV-N(J566))</f>
        <v/>
      </c>
      <c r="G567" s="69" t="str">
        <f>IF($B567="","",PMT(Rate,Nper,-PV,,Type))</f>
        <v/>
      </c>
      <c r="H567" s="69" t="str">
        <f>IF($B567="","",PPMT(Rate,ROWS($1:555),Nper,-PV,,Type))</f>
        <v/>
      </c>
      <c r="I567" s="69" t="str">
        <f>IF($B567="","",IPMT(Rate,ROWS($1:555),Nper,-PV,,Type))</f>
        <v/>
      </c>
      <c r="J567" s="73" t="str">
        <f t="shared" ref="J567:K567" si="557">IF($B567="","",N(J566)+N(H567))</f>
        <v/>
      </c>
      <c r="K567" s="74" t="str">
        <f t="shared" si="557"/>
        <v/>
      </c>
      <c r="L567" s="69" t="str">
        <f>IF($B567="","",PV-J567)</f>
        <v/>
      </c>
      <c r="M567" s="71" t="str">
        <f>IF($B567="","",J567/PV)</f>
        <v/>
      </c>
      <c r="N567" s="72" t="str">
        <f t="shared" si="4"/>
        <v/>
      </c>
    </row>
    <row r="568" ht="14.25" customHeight="1">
      <c r="B568" s="66" t="str">
        <f>IF(ROWS($1:556)&lt;=Nper,ROWS($1:556),"")</f>
        <v/>
      </c>
      <c r="C568" s="67" t="str">
        <f>IF($B568="","",IF($E$7="Weekly",Start_Date+7*(ROWS($1:556)-1),EDATE(Start_Date,VLOOKUP(IF(ASTemp!$E$7="","Monthly",ASTemp!$E$7),Parameters!$B$3:$D$6,3,0)*(ROWS($1:556)-1))))</f>
        <v/>
      </c>
      <c r="D568" s="68" t="str">
        <f t="shared" si="2"/>
        <v/>
      </c>
      <c r="E568" s="65" t="str">
        <f>IF($B568="","",VLOOKUP(MONTH(C568),Parameters!$F$2:$G$13,2,0))</f>
        <v/>
      </c>
      <c r="F568" s="69" t="str">
        <f>IF($B568="","",PV-N(J567))</f>
        <v/>
      </c>
      <c r="G568" s="69" t="str">
        <f>IF($B568="","",PMT(Rate,Nper,-PV,,Type))</f>
        <v/>
      </c>
      <c r="H568" s="69" t="str">
        <f>IF($B568="","",PPMT(Rate,ROWS($1:556),Nper,-PV,,Type))</f>
        <v/>
      </c>
      <c r="I568" s="69" t="str">
        <f>IF($B568="","",IPMT(Rate,ROWS($1:556),Nper,-PV,,Type))</f>
        <v/>
      </c>
      <c r="J568" s="73" t="str">
        <f t="shared" ref="J568:K568" si="558">IF($B568="","",N(J567)+N(H568))</f>
        <v/>
      </c>
      <c r="K568" s="74" t="str">
        <f t="shared" si="558"/>
        <v/>
      </c>
      <c r="L568" s="69" t="str">
        <f>IF($B568="","",PV-J568)</f>
        <v/>
      </c>
      <c r="M568" s="71" t="str">
        <f>IF($B568="","",J568/PV)</f>
        <v/>
      </c>
      <c r="N568" s="72" t="str">
        <f t="shared" si="4"/>
        <v/>
      </c>
    </row>
    <row r="569" ht="14.25" customHeight="1">
      <c r="B569" s="66" t="str">
        <f>IF(ROWS($1:557)&lt;=Nper,ROWS($1:557),"")</f>
        <v/>
      </c>
      <c r="C569" s="67" t="str">
        <f>IF($B569="","",IF($E$7="Weekly",Start_Date+7*(ROWS($1:557)-1),EDATE(Start_Date,VLOOKUP(IF(ASTemp!$E$7="","Monthly",ASTemp!$E$7),Parameters!$B$3:$D$6,3,0)*(ROWS($1:557)-1))))</f>
        <v/>
      </c>
      <c r="D569" s="68" t="str">
        <f t="shared" si="2"/>
        <v/>
      </c>
      <c r="E569" s="65" t="str">
        <f>IF($B569="","",VLOOKUP(MONTH(C569),Parameters!$F$2:$G$13,2,0))</f>
        <v/>
      </c>
      <c r="F569" s="69" t="str">
        <f>IF($B569="","",PV-N(J568))</f>
        <v/>
      </c>
      <c r="G569" s="69" t="str">
        <f>IF($B569="","",PMT(Rate,Nper,-PV,,Type))</f>
        <v/>
      </c>
      <c r="H569" s="69" t="str">
        <f>IF($B569="","",PPMT(Rate,ROWS($1:557),Nper,-PV,,Type))</f>
        <v/>
      </c>
      <c r="I569" s="69" t="str">
        <f>IF($B569="","",IPMT(Rate,ROWS($1:557),Nper,-PV,,Type))</f>
        <v/>
      </c>
      <c r="J569" s="73" t="str">
        <f t="shared" ref="J569:K569" si="559">IF($B569="","",N(J568)+N(H569))</f>
        <v/>
      </c>
      <c r="K569" s="74" t="str">
        <f t="shared" si="559"/>
        <v/>
      </c>
      <c r="L569" s="69" t="str">
        <f>IF($B569="","",PV-J569)</f>
        <v/>
      </c>
      <c r="M569" s="71" t="str">
        <f>IF($B569="","",J569/PV)</f>
        <v/>
      </c>
      <c r="N569" s="72" t="str">
        <f t="shared" si="4"/>
        <v/>
      </c>
    </row>
    <row r="570" ht="14.25" customHeight="1">
      <c r="B570" s="66" t="str">
        <f>IF(ROWS($1:558)&lt;=Nper,ROWS($1:558),"")</f>
        <v/>
      </c>
      <c r="C570" s="67" t="str">
        <f>IF($B570="","",IF($E$7="Weekly",Start_Date+7*(ROWS($1:558)-1),EDATE(Start_Date,VLOOKUP(IF(ASTemp!$E$7="","Monthly",ASTemp!$E$7),Parameters!$B$3:$D$6,3,0)*(ROWS($1:558)-1))))</f>
        <v/>
      </c>
      <c r="D570" s="68" t="str">
        <f t="shared" si="2"/>
        <v/>
      </c>
      <c r="E570" s="65" t="str">
        <f>IF($B570="","",VLOOKUP(MONTH(C570),Parameters!$F$2:$G$13,2,0))</f>
        <v/>
      </c>
      <c r="F570" s="69" t="str">
        <f>IF($B570="","",PV-N(J569))</f>
        <v/>
      </c>
      <c r="G570" s="69" t="str">
        <f>IF($B570="","",PMT(Rate,Nper,-PV,,Type))</f>
        <v/>
      </c>
      <c r="H570" s="69" t="str">
        <f>IF($B570="","",PPMT(Rate,ROWS($1:558),Nper,-PV,,Type))</f>
        <v/>
      </c>
      <c r="I570" s="69" t="str">
        <f>IF($B570="","",IPMT(Rate,ROWS($1:558),Nper,-PV,,Type))</f>
        <v/>
      </c>
      <c r="J570" s="73" t="str">
        <f t="shared" ref="J570:K570" si="560">IF($B570="","",N(J569)+N(H570))</f>
        <v/>
      </c>
      <c r="K570" s="74" t="str">
        <f t="shared" si="560"/>
        <v/>
      </c>
      <c r="L570" s="69" t="str">
        <f>IF($B570="","",PV-J570)</f>
        <v/>
      </c>
      <c r="M570" s="71" t="str">
        <f>IF($B570="","",J570/PV)</f>
        <v/>
      </c>
      <c r="N570" s="72" t="str">
        <f t="shared" si="4"/>
        <v/>
      </c>
    </row>
    <row r="571" ht="14.25" customHeight="1">
      <c r="B571" s="66" t="str">
        <f>IF(ROWS($1:559)&lt;=Nper,ROWS($1:559),"")</f>
        <v/>
      </c>
      <c r="C571" s="67" t="str">
        <f>IF($B571="","",IF($E$7="Weekly",Start_Date+7*(ROWS($1:559)-1),EDATE(Start_Date,VLOOKUP(IF(ASTemp!$E$7="","Monthly",ASTemp!$E$7),Parameters!$B$3:$D$6,3,0)*(ROWS($1:559)-1))))</f>
        <v/>
      </c>
      <c r="D571" s="68" t="str">
        <f t="shared" si="2"/>
        <v/>
      </c>
      <c r="E571" s="65" t="str">
        <f>IF($B571="","",VLOOKUP(MONTH(C571),Parameters!$F$2:$G$13,2,0))</f>
        <v/>
      </c>
      <c r="F571" s="69" t="str">
        <f>IF($B571="","",PV-N(J570))</f>
        <v/>
      </c>
      <c r="G571" s="69" t="str">
        <f>IF($B571="","",PMT(Rate,Nper,-PV,,Type))</f>
        <v/>
      </c>
      <c r="H571" s="69" t="str">
        <f>IF($B571="","",PPMT(Rate,ROWS($1:559),Nper,-PV,,Type))</f>
        <v/>
      </c>
      <c r="I571" s="69" t="str">
        <f>IF($B571="","",IPMT(Rate,ROWS($1:559),Nper,-PV,,Type))</f>
        <v/>
      </c>
      <c r="J571" s="73" t="str">
        <f t="shared" ref="J571:K571" si="561">IF($B571="","",N(J570)+N(H571))</f>
        <v/>
      </c>
      <c r="K571" s="74" t="str">
        <f t="shared" si="561"/>
        <v/>
      </c>
      <c r="L571" s="69" t="str">
        <f>IF($B571="","",PV-J571)</f>
        <v/>
      </c>
      <c r="M571" s="71" t="str">
        <f>IF($B571="","",J571/PV)</f>
        <v/>
      </c>
      <c r="N571" s="72" t="str">
        <f t="shared" si="4"/>
        <v/>
      </c>
    </row>
    <row r="572" ht="14.25" customHeight="1">
      <c r="B572" s="66" t="str">
        <f>IF(ROWS($1:560)&lt;=Nper,ROWS($1:560),"")</f>
        <v/>
      </c>
      <c r="C572" s="67" t="str">
        <f>IF($B572="","",IF($E$7="Weekly",Start_Date+7*(ROWS($1:560)-1),EDATE(Start_Date,VLOOKUP(IF(ASTemp!$E$7="","Monthly",ASTemp!$E$7),Parameters!$B$3:$D$6,3,0)*(ROWS($1:560)-1))))</f>
        <v/>
      </c>
      <c r="D572" s="68" t="str">
        <f t="shared" si="2"/>
        <v/>
      </c>
      <c r="E572" s="65" t="str">
        <f>IF($B572="","",VLOOKUP(MONTH(C572),Parameters!$F$2:$G$13,2,0))</f>
        <v/>
      </c>
      <c r="F572" s="69" t="str">
        <f>IF($B572="","",PV-N(J571))</f>
        <v/>
      </c>
      <c r="G572" s="69" t="str">
        <f>IF($B572="","",PMT(Rate,Nper,-PV,,Type))</f>
        <v/>
      </c>
      <c r="H572" s="69" t="str">
        <f>IF($B572="","",PPMT(Rate,ROWS($1:560),Nper,-PV,,Type))</f>
        <v/>
      </c>
      <c r="I572" s="69" t="str">
        <f>IF($B572="","",IPMT(Rate,ROWS($1:560),Nper,-PV,,Type))</f>
        <v/>
      </c>
      <c r="J572" s="73" t="str">
        <f t="shared" ref="J572:K572" si="562">IF($B572="","",N(J571)+N(H572))</f>
        <v/>
      </c>
      <c r="K572" s="74" t="str">
        <f t="shared" si="562"/>
        <v/>
      </c>
      <c r="L572" s="69" t="str">
        <f>IF($B572="","",PV-J572)</f>
        <v/>
      </c>
      <c r="M572" s="71" t="str">
        <f>IF($B572="","",J572/PV)</f>
        <v/>
      </c>
      <c r="N572" s="72" t="str">
        <f t="shared" si="4"/>
        <v/>
      </c>
    </row>
    <row r="573" ht="14.25" customHeight="1">
      <c r="B573" s="66" t="str">
        <f>IF(ROWS($1:561)&lt;=Nper,ROWS($1:561),"")</f>
        <v/>
      </c>
      <c r="C573" s="67" t="str">
        <f>IF($B573="","",IF($E$7="Weekly",Start_Date+7*(ROWS($1:561)-1),EDATE(Start_Date,VLOOKUP(IF(ASTemp!$E$7="","Monthly",ASTemp!$E$7),Parameters!$B$3:$D$6,3,0)*(ROWS($1:561)-1))))</f>
        <v/>
      </c>
      <c r="D573" s="68" t="str">
        <f t="shared" si="2"/>
        <v/>
      </c>
      <c r="E573" s="65" t="str">
        <f>IF($B573="","",VLOOKUP(MONTH(C573),Parameters!$F$2:$G$13,2,0))</f>
        <v/>
      </c>
      <c r="F573" s="69" t="str">
        <f>IF($B573="","",PV-N(J572))</f>
        <v/>
      </c>
      <c r="G573" s="69" t="str">
        <f>IF($B573="","",PMT(Rate,Nper,-PV,,Type))</f>
        <v/>
      </c>
      <c r="H573" s="69" t="str">
        <f>IF($B573="","",PPMT(Rate,ROWS($1:561),Nper,-PV,,Type))</f>
        <v/>
      </c>
      <c r="I573" s="69" t="str">
        <f>IF($B573="","",IPMT(Rate,ROWS($1:561),Nper,-PV,,Type))</f>
        <v/>
      </c>
      <c r="J573" s="73" t="str">
        <f t="shared" ref="J573:K573" si="563">IF($B573="","",N(J572)+N(H573))</f>
        <v/>
      </c>
      <c r="K573" s="74" t="str">
        <f t="shared" si="563"/>
        <v/>
      </c>
      <c r="L573" s="69" t="str">
        <f>IF($B573="","",PV-J573)</f>
        <v/>
      </c>
      <c r="M573" s="71" t="str">
        <f>IF($B573="","",J573/PV)</f>
        <v/>
      </c>
      <c r="N573" s="72" t="str">
        <f t="shared" si="4"/>
        <v/>
      </c>
    </row>
    <row r="574" ht="14.25" customHeight="1">
      <c r="B574" s="66" t="str">
        <f>IF(ROWS($1:562)&lt;=Nper,ROWS($1:562),"")</f>
        <v/>
      </c>
      <c r="C574" s="67" t="str">
        <f>IF($B574="","",IF($E$7="Weekly",Start_Date+7*(ROWS($1:562)-1),EDATE(Start_Date,VLOOKUP(IF(ASTemp!$E$7="","Monthly",ASTemp!$E$7),Parameters!$B$3:$D$6,3,0)*(ROWS($1:562)-1))))</f>
        <v/>
      </c>
      <c r="D574" s="68" t="str">
        <f t="shared" si="2"/>
        <v/>
      </c>
      <c r="E574" s="65" t="str">
        <f>IF($B574="","",VLOOKUP(MONTH(C574),Parameters!$F$2:$G$13,2,0))</f>
        <v/>
      </c>
      <c r="F574" s="69" t="str">
        <f>IF($B574="","",PV-N(J573))</f>
        <v/>
      </c>
      <c r="G574" s="69" t="str">
        <f>IF($B574="","",PMT(Rate,Nper,-PV,,Type))</f>
        <v/>
      </c>
      <c r="H574" s="69" t="str">
        <f>IF($B574="","",PPMT(Rate,ROWS($1:562),Nper,-PV,,Type))</f>
        <v/>
      </c>
      <c r="I574" s="69" t="str">
        <f>IF($B574="","",IPMT(Rate,ROWS($1:562),Nper,-PV,,Type))</f>
        <v/>
      </c>
      <c r="J574" s="73" t="str">
        <f t="shared" ref="J574:K574" si="564">IF($B574="","",N(J573)+N(H574))</f>
        <v/>
      </c>
      <c r="K574" s="74" t="str">
        <f t="shared" si="564"/>
        <v/>
      </c>
      <c r="L574" s="69" t="str">
        <f>IF($B574="","",PV-J574)</f>
        <v/>
      </c>
      <c r="M574" s="71" t="str">
        <f>IF($B574="","",J574/PV)</f>
        <v/>
      </c>
      <c r="N574" s="72" t="str">
        <f t="shared" si="4"/>
        <v/>
      </c>
    </row>
    <row r="575" ht="14.25" customHeight="1">
      <c r="B575" s="66" t="str">
        <f>IF(ROWS($1:563)&lt;=Nper,ROWS($1:563),"")</f>
        <v/>
      </c>
      <c r="C575" s="67" t="str">
        <f>IF($B575="","",IF($E$7="Weekly",Start_Date+7*(ROWS($1:563)-1),EDATE(Start_Date,VLOOKUP(IF(ASTemp!$E$7="","Monthly",ASTemp!$E$7),Parameters!$B$3:$D$6,3,0)*(ROWS($1:563)-1))))</f>
        <v/>
      </c>
      <c r="D575" s="68" t="str">
        <f t="shared" si="2"/>
        <v/>
      </c>
      <c r="E575" s="65" t="str">
        <f>IF($B575="","",VLOOKUP(MONTH(C575),Parameters!$F$2:$G$13,2,0))</f>
        <v/>
      </c>
      <c r="F575" s="69" t="str">
        <f>IF($B575="","",PV-N(J574))</f>
        <v/>
      </c>
      <c r="G575" s="69" t="str">
        <f>IF($B575="","",PMT(Rate,Nper,-PV,,Type))</f>
        <v/>
      </c>
      <c r="H575" s="69" t="str">
        <f>IF($B575="","",PPMT(Rate,ROWS($1:563),Nper,-PV,,Type))</f>
        <v/>
      </c>
      <c r="I575" s="69" t="str">
        <f>IF($B575="","",IPMT(Rate,ROWS($1:563),Nper,-PV,,Type))</f>
        <v/>
      </c>
      <c r="J575" s="73" t="str">
        <f t="shared" ref="J575:K575" si="565">IF($B575="","",N(J574)+N(H575))</f>
        <v/>
      </c>
      <c r="K575" s="74" t="str">
        <f t="shared" si="565"/>
        <v/>
      </c>
      <c r="L575" s="69" t="str">
        <f>IF($B575="","",PV-J575)</f>
        <v/>
      </c>
      <c r="M575" s="71" t="str">
        <f>IF($B575="","",J575/PV)</f>
        <v/>
      </c>
      <c r="N575" s="72" t="str">
        <f t="shared" si="4"/>
        <v/>
      </c>
    </row>
    <row r="576" ht="14.25" customHeight="1">
      <c r="B576" s="66" t="str">
        <f>IF(ROWS($1:564)&lt;=Nper,ROWS($1:564),"")</f>
        <v/>
      </c>
      <c r="C576" s="67" t="str">
        <f>IF($B576="","",IF($E$7="Weekly",Start_Date+7*(ROWS($1:564)-1),EDATE(Start_Date,VLOOKUP(IF(ASTemp!$E$7="","Monthly",ASTemp!$E$7),Parameters!$B$3:$D$6,3,0)*(ROWS($1:564)-1))))</f>
        <v/>
      </c>
      <c r="D576" s="68" t="str">
        <f t="shared" si="2"/>
        <v/>
      </c>
      <c r="E576" s="65" t="str">
        <f>IF($B576="","",VLOOKUP(MONTH(C576),Parameters!$F$2:$G$13,2,0))</f>
        <v/>
      </c>
      <c r="F576" s="69" t="str">
        <f>IF($B576="","",PV-N(J575))</f>
        <v/>
      </c>
      <c r="G576" s="69" t="str">
        <f>IF($B576="","",PMT(Rate,Nper,-PV,,Type))</f>
        <v/>
      </c>
      <c r="H576" s="69" t="str">
        <f>IF($B576="","",PPMT(Rate,ROWS($1:564),Nper,-PV,,Type))</f>
        <v/>
      </c>
      <c r="I576" s="69" t="str">
        <f>IF($B576="","",IPMT(Rate,ROWS($1:564),Nper,-PV,,Type))</f>
        <v/>
      </c>
      <c r="J576" s="73" t="str">
        <f t="shared" ref="J576:K576" si="566">IF($B576="","",N(J575)+N(H576))</f>
        <v/>
      </c>
      <c r="K576" s="74" t="str">
        <f t="shared" si="566"/>
        <v/>
      </c>
      <c r="L576" s="69" t="str">
        <f>IF($B576="","",PV-J576)</f>
        <v/>
      </c>
      <c r="M576" s="71" t="str">
        <f>IF($B576="","",J576/PV)</f>
        <v/>
      </c>
      <c r="N576" s="72" t="str">
        <f t="shared" si="4"/>
        <v/>
      </c>
    </row>
    <row r="577" ht="14.25" customHeight="1">
      <c r="B577" s="66" t="str">
        <f>IF(ROWS($1:565)&lt;=Nper,ROWS($1:565),"")</f>
        <v/>
      </c>
      <c r="C577" s="67" t="str">
        <f>IF($B577="","",IF($E$7="Weekly",Start_Date+7*(ROWS($1:565)-1),EDATE(Start_Date,VLOOKUP(IF(ASTemp!$E$7="","Monthly",ASTemp!$E$7),Parameters!$B$3:$D$6,3,0)*(ROWS($1:565)-1))))</f>
        <v/>
      </c>
      <c r="D577" s="68" t="str">
        <f t="shared" si="2"/>
        <v/>
      </c>
      <c r="E577" s="65" t="str">
        <f>IF($B577="","",VLOOKUP(MONTH(C577),Parameters!$F$2:$G$13,2,0))</f>
        <v/>
      </c>
      <c r="F577" s="69" t="str">
        <f>IF($B577="","",PV-N(J576))</f>
        <v/>
      </c>
      <c r="G577" s="69" t="str">
        <f>IF($B577="","",PMT(Rate,Nper,-PV,,Type))</f>
        <v/>
      </c>
      <c r="H577" s="69" t="str">
        <f>IF($B577="","",PPMT(Rate,ROWS($1:565),Nper,-PV,,Type))</f>
        <v/>
      </c>
      <c r="I577" s="69" t="str">
        <f>IF($B577="","",IPMT(Rate,ROWS($1:565),Nper,-PV,,Type))</f>
        <v/>
      </c>
      <c r="J577" s="73" t="str">
        <f t="shared" ref="J577:K577" si="567">IF($B577="","",N(J576)+N(H577))</f>
        <v/>
      </c>
      <c r="K577" s="74" t="str">
        <f t="shared" si="567"/>
        <v/>
      </c>
      <c r="L577" s="69" t="str">
        <f>IF($B577="","",PV-J577)</f>
        <v/>
      </c>
      <c r="M577" s="71" t="str">
        <f>IF($B577="","",J577/PV)</f>
        <v/>
      </c>
      <c r="N577" s="72" t="str">
        <f t="shared" si="4"/>
        <v/>
      </c>
    </row>
    <row r="578" ht="14.25" customHeight="1">
      <c r="B578" s="66" t="str">
        <f>IF(ROWS($1:566)&lt;=Nper,ROWS($1:566),"")</f>
        <v/>
      </c>
      <c r="C578" s="67" t="str">
        <f>IF($B578="","",IF($E$7="Weekly",Start_Date+7*(ROWS($1:566)-1),EDATE(Start_Date,VLOOKUP(IF(ASTemp!$E$7="","Monthly",ASTemp!$E$7),Parameters!$B$3:$D$6,3,0)*(ROWS($1:566)-1))))</f>
        <v/>
      </c>
      <c r="D578" s="68" t="str">
        <f t="shared" si="2"/>
        <v/>
      </c>
      <c r="E578" s="65" t="str">
        <f>IF($B578="","",VLOOKUP(MONTH(C578),Parameters!$F$2:$G$13,2,0))</f>
        <v/>
      </c>
      <c r="F578" s="69" t="str">
        <f>IF($B578="","",PV-N(J577))</f>
        <v/>
      </c>
      <c r="G578" s="69" t="str">
        <f>IF($B578="","",PMT(Rate,Nper,-PV,,Type))</f>
        <v/>
      </c>
      <c r="H578" s="69" t="str">
        <f>IF($B578="","",PPMT(Rate,ROWS($1:566),Nper,-PV,,Type))</f>
        <v/>
      </c>
      <c r="I578" s="69" t="str">
        <f>IF($B578="","",IPMT(Rate,ROWS($1:566),Nper,-PV,,Type))</f>
        <v/>
      </c>
      <c r="J578" s="73" t="str">
        <f t="shared" ref="J578:K578" si="568">IF($B578="","",N(J577)+N(H578))</f>
        <v/>
      </c>
      <c r="K578" s="74" t="str">
        <f t="shared" si="568"/>
        <v/>
      </c>
      <c r="L578" s="69" t="str">
        <f>IF($B578="","",PV-J578)</f>
        <v/>
      </c>
      <c r="M578" s="71" t="str">
        <f>IF($B578="","",J578/PV)</f>
        <v/>
      </c>
      <c r="N578" s="72" t="str">
        <f t="shared" si="4"/>
        <v/>
      </c>
    </row>
    <row r="579" ht="14.25" customHeight="1">
      <c r="B579" s="66" t="str">
        <f>IF(ROWS($1:567)&lt;=Nper,ROWS($1:567),"")</f>
        <v/>
      </c>
      <c r="C579" s="67" t="str">
        <f>IF($B579="","",IF($E$7="Weekly",Start_Date+7*(ROWS($1:567)-1),EDATE(Start_Date,VLOOKUP(IF(ASTemp!$E$7="","Monthly",ASTemp!$E$7),Parameters!$B$3:$D$6,3,0)*(ROWS($1:567)-1))))</f>
        <v/>
      </c>
      <c r="D579" s="68" t="str">
        <f t="shared" si="2"/>
        <v/>
      </c>
      <c r="E579" s="65" t="str">
        <f>IF($B579="","",VLOOKUP(MONTH(C579),Parameters!$F$2:$G$13,2,0))</f>
        <v/>
      </c>
      <c r="F579" s="69" t="str">
        <f>IF($B579="","",PV-N(J578))</f>
        <v/>
      </c>
      <c r="G579" s="69" t="str">
        <f>IF($B579="","",PMT(Rate,Nper,-PV,,Type))</f>
        <v/>
      </c>
      <c r="H579" s="69" t="str">
        <f>IF($B579="","",PPMT(Rate,ROWS($1:567),Nper,-PV,,Type))</f>
        <v/>
      </c>
      <c r="I579" s="69" t="str">
        <f>IF($B579="","",IPMT(Rate,ROWS($1:567),Nper,-PV,,Type))</f>
        <v/>
      </c>
      <c r="J579" s="73" t="str">
        <f t="shared" ref="J579:K579" si="569">IF($B579="","",N(J578)+N(H579))</f>
        <v/>
      </c>
      <c r="K579" s="74" t="str">
        <f t="shared" si="569"/>
        <v/>
      </c>
      <c r="L579" s="69" t="str">
        <f>IF($B579="","",PV-J579)</f>
        <v/>
      </c>
      <c r="M579" s="71" t="str">
        <f>IF($B579="","",J579/PV)</f>
        <v/>
      </c>
      <c r="N579" s="72" t="str">
        <f t="shared" si="4"/>
        <v/>
      </c>
    </row>
    <row r="580" ht="14.25" customHeight="1">
      <c r="B580" s="66" t="str">
        <f>IF(ROWS($1:568)&lt;=Nper,ROWS($1:568),"")</f>
        <v/>
      </c>
      <c r="C580" s="67" t="str">
        <f>IF($B580="","",IF($E$7="Weekly",Start_Date+7*(ROWS($1:568)-1),EDATE(Start_Date,VLOOKUP(IF(ASTemp!$E$7="","Monthly",ASTemp!$E$7),Parameters!$B$3:$D$6,3,0)*(ROWS($1:568)-1))))</f>
        <v/>
      </c>
      <c r="D580" s="68" t="str">
        <f t="shared" si="2"/>
        <v/>
      </c>
      <c r="E580" s="65" t="str">
        <f>IF($B580="","",VLOOKUP(MONTH(C580),Parameters!$F$2:$G$13,2,0))</f>
        <v/>
      </c>
      <c r="F580" s="69" t="str">
        <f>IF($B580="","",PV-N(J579))</f>
        <v/>
      </c>
      <c r="G580" s="69" t="str">
        <f>IF($B580="","",PMT(Rate,Nper,-PV,,Type))</f>
        <v/>
      </c>
      <c r="H580" s="69" t="str">
        <f>IF($B580="","",PPMT(Rate,ROWS($1:568),Nper,-PV,,Type))</f>
        <v/>
      </c>
      <c r="I580" s="69" t="str">
        <f>IF($B580="","",IPMT(Rate,ROWS($1:568),Nper,-PV,,Type))</f>
        <v/>
      </c>
      <c r="J580" s="73" t="str">
        <f t="shared" ref="J580:K580" si="570">IF($B580="","",N(J579)+N(H580))</f>
        <v/>
      </c>
      <c r="K580" s="74" t="str">
        <f t="shared" si="570"/>
        <v/>
      </c>
      <c r="L580" s="69" t="str">
        <f>IF($B580="","",PV-J580)</f>
        <v/>
      </c>
      <c r="M580" s="71" t="str">
        <f>IF($B580="","",J580/PV)</f>
        <v/>
      </c>
      <c r="N580" s="72" t="str">
        <f t="shared" si="4"/>
        <v/>
      </c>
    </row>
    <row r="581" ht="14.25" customHeight="1">
      <c r="B581" s="66" t="str">
        <f>IF(ROWS($1:569)&lt;=Nper,ROWS($1:569),"")</f>
        <v/>
      </c>
      <c r="C581" s="67" t="str">
        <f>IF($B581="","",IF($E$7="Weekly",Start_Date+7*(ROWS($1:569)-1),EDATE(Start_Date,VLOOKUP(IF(ASTemp!$E$7="","Monthly",ASTemp!$E$7),Parameters!$B$3:$D$6,3,0)*(ROWS($1:569)-1))))</f>
        <v/>
      </c>
      <c r="D581" s="68" t="str">
        <f t="shared" si="2"/>
        <v/>
      </c>
      <c r="E581" s="65" t="str">
        <f>IF($B581="","",VLOOKUP(MONTH(C581),Parameters!$F$2:$G$13,2,0))</f>
        <v/>
      </c>
      <c r="F581" s="69" t="str">
        <f>IF($B581="","",PV-N(J580))</f>
        <v/>
      </c>
      <c r="G581" s="69" t="str">
        <f>IF($B581="","",PMT(Rate,Nper,-PV,,Type))</f>
        <v/>
      </c>
      <c r="H581" s="69" t="str">
        <f>IF($B581="","",PPMT(Rate,ROWS($1:569),Nper,-PV,,Type))</f>
        <v/>
      </c>
      <c r="I581" s="69" t="str">
        <f>IF($B581="","",IPMT(Rate,ROWS($1:569),Nper,-PV,,Type))</f>
        <v/>
      </c>
      <c r="J581" s="73" t="str">
        <f t="shared" ref="J581:K581" si="571">IF($B581="","",N(J580)+N(H581))</f>
        <v/>
      </c>
      <c r="K581" s="74" t="str">
        <f t="shared" si="571"/>
        <v/>
      </c>
      <c r="L581" s="69" t="str">
        <f>IF($B581="","",PV-J581)</f>
        <v/>
      </c>
      <c r="M581" s="71" t="str">
        <f>IF($B581="","",J581/PV)</f>
        <v/>
      </c>
      <c r="N581" s="72" t="str">
        <f t="shared" si="4"/>
        <v/>
      </c>
    </row>
    <row r="582" ht="14.25" customHeight="1">
      <c r="B582" s="66" t="str">
        <f>IF(ROWS($1:570)&lt;=Nper,ROWS($1:570),"")</f>
        <v/>
      </c>
      <c r="C582" s="67" t="str">
        <f>IF($B582="","",IF($E$7="Weekly",Start_Date+7*(ROWS($1:570)-1),EDATE(Start_Date,VLOOKUP(IF(ASTemp!$E$7="","Monthly",ASTemp!$E$7),Parameters!$B$3:$D$6,3,0)*(ROWS($1:570)-1))))</f>
        <v/>
      </c>
      <c r="D582" s="68" t="str">
        <f t="shared" si="2"/>
        <v/>
      </c>
      <c r="E582" s="65" t="str">
        <f>IF($B582="","",VLOOKUP(MONTH(C582),Parameters!$F$2:$G$13,2,0))</f>
        <v/>
      </c>
      <c r="F582" s="69" t="str">
        <f>IF($B582="","",PV-N(J581))</f>
        <v/>
      </c>
      <c r="G582" s="69" t="str">
        <f>IF($B582="","",PMT(Rate,Nper,-PV,,Type))</f>
        <v/>
      </c>
      <c r="H582" s="69" t="str">
        <f>IF($B582="","",PPMT(Rate,ROWS($1:570),Nper,-PV,,Type))</f>
        <v/>
      </c>
      <c r="I582" s="69" t="str">
        <f>IF($B582="","",IPMT(Rate,ROWS($1:570),Nper,-PV,,Type))</f>
        <v/>
      </c>
      <c r="J582" s="73" t="str">
        <f t="shared" ref="J582:K582" si="572">IF($B582="","",N(J581)+N(H582))</f>
        <v/>
      </c>
      <c r="K582" s="74" t="str">
        <f t="shared" si="572"/>
        <v/>
      </c>
      <c r="L582" s="69" t="str">
        <f>IF($B582="","",PV-J582)</f>
        <v/>
      </c>
      <c r="M582" s="71" t="str">
        <f>IF($B582="","",J582/PV)</f>
        <v/>
      </c>
      <c r="N582" s="72" t="str">
        <f t="shared" si="4"/>
        <v/>
      </c>
    </row>
    <row r="583" ht="14.25" customHeight="1">
      <c r="B583" s="66" t="str">
        <f>IF(ROWS($1:571)&lt;=Nper,ROWS($1:571),"")</f>
        <v/>
      </c>
      <c r="C583" s="67" t="str">
        <f>IF($B583="","",IF($E$7="Weekly",Start_Date+7*(ROWS($1:571)-1),EDATE(Start_Date,VLOOKUP(IF(ASTemp!$E$7="","Monthly",ASTemp!$E$7),Parameters!$B$3:$D$6,3,0)*(ROWS($1:571)-1))))</f>
        <v/>
      </c>
      <c r="D583" s="68" t="str">
        <f t="shared" si="2"/>
        <v/>
      </c>
      <c r="E583" s="65" t="str">
        <f>IF($B583="","",VLOOKUP(MONTH(C583),Parameters!$F$2:$G$13,2,0))</f>
        <v/>
      </c>
      <c r="F583" s="69" t="str">
        <f>IF($B583="","",PV-N(J582))</f>
        <v/>
      </c>
      <c r="G583" s="69" t="str">
        <f>IF($B583="","",PMT(Rate,Nper,-PV,,Type))</f>
        <v/>
      </c>
      <c r="H583" s="69" t="str">
        <f>IF($B583="","",PPMT(Rate,ROWS($1:571),Nper,-PV,,Type))</f>
        <v/>
      </c>
      <c r="I583" s="69" t="str">
        <f>IF($B583="","",IPMT(Rate,ROWS($1:571),Nper,-PV,,Type))</f>
        <v/>
      </c>
      <c r="J583" s="73" t="str">
        <f t="shared" ref="J583:K583" si="573">IF($B583="","",N(J582)+N(H583))</f>
        <v/>
      </c>
      <c r="K583" s="74" t="str">
        <f t="shared" si="573"/>
        <v/>
      </c>
      <c r="L583" s="69" t="str">
        <f>IF($B583="","",PV-J583)</f>
        <v/>
      </c>
      <c r="M583" s="71" t="str">
        <f>IF($B583="","",J583/PV)</f>
        <v/>
      </c>
      <c r="N583" s="72" t="str">
        <f t="shared" si="4"/>
        <v/>
      </c>
    </row>
    <row r="584" ht="14.25" customHeight="1">
      <c r="B584" s="66" t="str">
        <f>IF(ROWS($1:572)&lt;=Nper,ROWS($1:572),"")</f>
        <v/>
      </c>
      <c r="C584" s="67" t="str">
        <f>IF($B584="","",IF($E$7="Weekly",Start_Date+7*(ROWS($1:572)-1),EDATE(Start_Date,VLOOKUP(IF(ASTemp!$E$7="","Monthly",ASTemp!$E$7),Parameters!$B$3:$D$6,3,0)*(ROWS($1:572)-1))))</f>
        <v/>
      </c>
      <c r="D584" s="68" t="str">
        <f t="shared" si="2"/>
        <v/>
      </c>
      <c r="E584" s="65" t="str">
        <f>IF($B584="","",VLOOKUP(MONTH(C584),Parameters!$F$2:$G$13,2,0))</f>
        <v/>
      </c>
      <c r="F584" s="69" t="str">
        <f>IF($B584="","",PV-N(J583))</f>
        <v/>
      </c>
      <c r="G584" s="69" t="str">
        <f>IF($B584="","",PMT(Rate,Nper,-PV,,Type))</f>
        <v/>
      </c>
      <c r="H584" s="69" t="str">
        <f>IF($B584="","",PPMT(Rate,ROWS($1:572),Nper,-PV,,Type))</f>
        <v/>
      </c>
      <c r="I584" s="69" t="str">
        <f>IF($B584="","",IPMT(Rate,ROWS($1:572),Nper,-PV,,Type))</f>
        <v/>
      </c>
      <c r="J584" s="73" t="str">
        <f t="shared" ref="J584:K584" si="574">IF($B584="","",N(J583)+N(H584))</f>
        <v/>
      </c>
      <c r="K584" s="74" t="str">
        <f t="shared" si="574"/>
        <v/>
      </c>
      <c r="L584" s="69" t="str">
        <f>IF($B584="","",PV-J584)</f>
        <v/>
      </c>
      <c r="M584" s="71" t="str">
        <f>IF($B584="","",J584/PV)</f>
        <v/>
      </c>
      <c r="N584" s="72" t="str">
        <f t="shared" si="4"/>
        <v/>
      </c>
    </row>
    <row r="585" ht="14.25" customHeight="1">
      <c r="B585" s="66" t="str">
        <f>IF(ROWS($1:573)&lt;=Nper,ROWS($1:573),"")</f>
        <v/>
      </c>
      <c r="C585" s="67" t="str">
        <f>IF($B585="","",IF($E$7="Weekly",Start_Date+7*(ROWS($1:573)-1),EDATE(Start_Date,VLOOKUP(IF(ASTemp!$E$7="","Monthly",ASTemp!$E$7),Parameters!$B$3:$D$6,3,0)*(ROWS($1:573)-1))))</f>
        <v/>
      </c>
      <c r="D585" s="68" t="str">
        <f t="shared" si="2"/>
        <v/>
      </c>
      <c r="E585" s="65" t="str">
        <f>IF($B585="","",VLOOKUP(MONTH(C585),Parameters!$F$2:$G$13,2,0))</f>
        <v/>
      </c>
      <c r="F585" s="69" t="str">
        <f>IF($B585="","",PV-N(J584))</f>
        <v/>
      </c>
      <c r="G585" s="69" t="str">
        <f>IF($B585="","",PMT(Rate,Nper,-PV,,Type))</f>
        <v/>
      </c>
      <c r="H585" s="69" t="str">
        <f>IF($B585="","",PPMT(Rate,ROWS($1:573),Nper,-PV,,Type))</f>
        <v/>
      </c>
      <c r="I585" s="69" t="str">
        <f>IF($B585="","",IPMT(Rate,ROWS($1:573),Nper,-PV,,Type))</f>
        <v/>
      </c>
      <c r="J585" s="73" t="str">
        <f t="shared" ref="J585:K585" si="575">IF($B585="","",N(J584)+N(H585))</f>
        <v/>
      </c>
      <c r="K585" s="74" t="str">
        <f t="shared" si="575"/>
        <v/>
      </c>
      <c r="L585" s="69" t="str">
        <f>IF($B585="","",PV-J585)</f>
        <v/>
      </c>
      <c r="M585" s="71" t="str">
        <f>IF($B585="","",J585/PV)</f>
        <v/>
      </c>
      <c r="N585" s="72" t="str">
        <f t="shared" si="4"/>
        <v/>
      </c>
    </row>
    <row r="586" ht="14.25" customHeight="1">
      <c r="B586" s="66" t="str">
        <f>IF(ROWS($1:574)&lt;=Nper,ROWS($1:574),"")</f>
        <v/>
      </c>
      <c r="C586" s="67" t="str">
        <f>IF($B586="","",IF($E$7="Weekly",Start_Date+7*(ROWS($1:574)-1),EDATE(Start_Date,VLOOKUP(IF(ASTemp!$E$7="","Monthly",ASTemp!$E$7),Parameters!$B$3:$D$6,3,0)*(ROWS($1:574)-1))))</f>
        <v/>
      </c>
      <c r="D586" s="68" t="str">
        <f t="shared" si="2"/>
        <v/>
      </c>
      <c r="E586" s="65" t="str">
        <f>IF($B586="","",VLOOKUP(MONTH(C586),Parameters!$F$2:$G$13,2,0))</f>
        <v/>
      </c>
      <c r="F586" s="69" t="str">
        <f>IF($B586="","",PV-N(J585))</f>
        <v/>
      </c>
      <c r="G586" s="69" t="str">
        <f>IF($B586="","",PMT(Rate,Nper,-PV,,Type))</f>
        <v/>
      </c>
      <c r="H586" s="69" t="str">
        <f>IF($B586="","",PPMT(Rate,ROWS($1:574),Nper,-PV,,Type))</f>
        <v/>
      </c>
      <c r="I586" s="69" t="str">
        <f>IF($B586="","",IPMT(Rate,ROWS($1:574),Nper,-PV,,Type))</f>
        <v/>
      </c>
      <c r="J586" s="73" t="str">
        <f t="shared" ref="J586:K586" si="576">IF($B586="","",N(J585)+N(H586))</f>
        <v/>
      </c>
      <c r="K586" s="74" t="str">
        <f t="shared" si="576"/>
        <v/>
      </c>
      <c r="L586" s="69" t="str">
        <f>IF($B586="","",PV-J586)</f>
        <v/>
      </c>
      <c r="M586" s="71" t="str">
        <f>IF($B586="","",J586/PV)</f>
        <v/>
      </c>
      <c r="N586" s="72" t="str">
        <f t="shared" si="4"/>
        <v/>
      </c>
    </row>
    <row r="587" ht="14.25" customHeight="1">
      <c r="B587" s="66" t="str">
        <f>IF(ROWS($1:575)&lt;=Nper,ROWS($1:575),"")</f>
        <v/>
      </c>
      <c r="C587" s="67" t="str">
        <f>IF($B587="","",IF($E$7="Weekly",Start_Date+7*(ROWS($1:575)-1),EDATE(Start_Date,VLOOKUP(IF(ASTemp!$E$7="","Monthly",ASTemp!$E$7),Parameters!$B$3:$D$6,3,0)*(ROWS($1:575)-1))))</f>
        <v/>
      </c>
      <c r="D587" s="68" t="str">
        <f t="shared" si="2"/>
        <v/>
      </c>
      <c r="E587" s="65" t="str">
        <f>IF($B587="","",VLOOKUP(MONTH(C587),Parameters!$F$2:$G$13,2,0))</f>
        <v/>
      </c>
      <c r="F587" s="69" t="str">
        <f>IF($B587="","",PV-N(J586))</f>
        <v/>
      </c>
      <c r="G587" s="69" t="str">
        <f>IF($B587="","",PMT(Rate,Nper,-PV,,Type))</f>
        <v/>
      </c>
      <c r="H587" s="69" t="str">
        <f>IF($B587="","",PPMT(Rate,ROWS($1:575),Nper,-PV,,Type))</f>
        <v/>
      </c>
      <c r="I587" s="69" t="str">
        <f>IF($B587="","",IPMT(Rate,ROWS($1:575),Nper,-PV,,Type))</f>
        <v/>
      </c>
      <c r="J587" s="73" t="str">
        <f t="shared" ref="J587:K587" si="577">IF($B587="","",N(J586)+N(H587))</f>
        <v/>
      </c>
      <c r="K587" s="74" t="str">
        <f t="shared" si="577"/>
        <v/>
      </c>
      <c r="L587" s="69" t="str">
        <f>IF($B587="","",PV-J587)</f>
        <v/>
      </c>
      <c r="M587" s="71" t="str">
        <f>IF($B587="","",J587/PV)</f>
        <v/>
      </c>
      <c r="N587" s="72" t="str">
        <f t="shared" si="4"/>
        <v/>
      </c>
    </row>
    <row r="588" ht="14.25" customHeight="1">
      <c r="B588" s="66" t="str">
        <f>IF(ROWS($1:576)&lt;=Nper,ROWS($1:576),"")</f>
        <v/>
      </c>
      <c r="C588" s="67" t="str">
        <f>IF($B588="","",IF($E$7="Weekly",Start_Date+7*(ROWS($1:576)-1),EDATE(Start_Date,VLOOKUP(IF(ASTemp!$E$7="","Monthly",ASTemp!$E$7),Parameters!$B$3:$D$6,3,0)*(ROWS($1:576)-1))))</f>
        <v/>
      </c>
      <c r="D588" s="68" t="str">
        <f t="shared" si="2"/>
        <v/>
      </c>
      <c r="E588" s="65" t="str">
        <f>IF($B588="","",VLOOKUP(MONTH(C588),Parameters!$F$2:$G$13,2,0))</f>
        <v/>
      </c>
      <c r="F588" s="69" t="str">
        <f>IF($B588="","",PV-N(J587))</f>
        <v/>
      </c>
      <c r="G588" s="69" t="str">
        <f>IF($B588="","",PMT(Rate,Nper,-PV,,Type))</f>
        <v/>
      </c>
      <c r="H588" s="69" t="str">
        <f>IF($B588="","",PPMT(Rate,ROWS($1:576),Nper,-PV,,Type))</f>
        <v/>
      </c>
      <c r="I588" s="69" t="str">
        <f>IF($B588="","",IPMT(Rate,ROWS($1:576),Nper,-PV,,Type))</f>
        <v/>
      </c>
      <c r="J588" s="73" t="str">
        <f t="shared" ref="J588:K588" si="578">IF($B588="","",N(J587)+N(H588))</f>
        <v/>
      </c>
      <c r="K588" s="74" t="str">
        <f t="shared" si="578"/>
        <v/>
      </c>
      <c r="L588" s="69" t="str">
        <f>IF($B588="","",PV-J588)</f>
        <v/>
      </c>
      <c r="M588" s="71" t="str">
        <f>IF($B588="","",J588/PV)</f>
        <v/>
      </c>
      <c r="N588" s="72" t="str">
        <f t="shared" si="4"/>
        <v/>
      </c>
    </row>
    <row r="589" ht="14.25" customHeight="1">
      <c r="B589" s="66" t="str">
        <f>IF(ROWS($1:577)&lt;=Nper,ROWS($1:577),"")</f>
        <v/>
      </c>
      <c r="C589" s="67" t="str">
        <f>IF($B589="","",IF($E$7="Weekly",Start_Date+7*(ROWS($1:577)-1),EDATE(Start_Date,VLOOKUP(IF(ASTemp!$E$7="","Monthly",ASTemp!$E$7),Parameters!$B$3:$D$6,3,0)*(ROWS($1:577)-1))))</f>
        <v/>
      </c>
      <c r="D589" s="68" t="str">
        <f t="shared" si="2"/>
        <v/>
      </c>
      <c r="E589" s="65" t="str">
        <f>IF($B589="","",VLOOKUP(MONTH(C589),Parameters!$F$2:$G$13,2,0))</f>
        <v/>
      </c>
      <c r="F589" s="69" t="str">
        <f>IF($B589="","",PV-N(J588))</f>
        <v/>
      </c>
      <c r="G589" s="69" t="str">
        <f>IF($B589="","",PMT(Rate,Nper,-PV,,Type))</f>
        <v/>
      </c>
      <c r="H589" s="69" t="str">
        <f>IF($B589="","",PPMT(Rate,ROWS($1:577),Nper,-PV,,Type))</f>
        <v/>
      </c>
      <c r="I589" s="69" t="str">
        <f>IF($B589="","",IPMT(Rate,ROWS($1:577),Nper,-PV,,Type))</f>
        <v/>
      </c>
      <c r="J589" s="73" t="str">
        <f t="shared" ref="J589:K589" si="579">IF($B589="","",N(J588)+N(H589))</f>
        <v/>
      </c>
      <c r="K589" s="74" t="str">
        <f t="shared" si="579"/>
        <v/>
      </c>
      <c r="L589" s="69" t="str">
        <f>IF($B589="","",PV-J589)</f>
        <v/>
      </c>
      <c r="M589" s="71" t="str">
        <f>IF($B589="","",J589/PV)</f>
        <v/>
      </c>
      <c r="N589" s="72" t="str">
        <f t="shared" si="4"/>
        <v/>
      </c>
    </row>
    <row r="590" ht="14.25" customHeight="1">
      <c r="B590" s="66" t="str">
        <f>IF(ROWS($1:578)&lt;=Nper,ROWS($1:578),"")</f>
        <v/>
      </c>
      <c r="C590" s="67" t="str">
        <f>IF($B590="","",IF($E$7="Weekly",Start_Date+7*(ROWS($1:578)-1),EDATE(Start_Date,VLOOKUP(IF(ASTemp!$E$7="","Monthly",ASTemp!$E$7),Parameters!$B$3:$D$6,3,0)*(ROWS($1:578)-1))))</f>
        <v/>
      </c>
      <c r="D590" s="68" t="str">
        <f t="shared" si="2"/>
        <v/>
      </c>
      <c r="E590" s="65" t="str">
        <f>IF($B590="","",VLOOKUP(MONTH(C590),Parameters!$F$2:$G$13,2,0))</f>
        <v/>
      </c>
      <c r="F590" s="69" t="str">
        <f>IF($B590="","",PV-N(J589))</f>
        <v/>
      </c>
      <c r="G590" s="69" t="str">
        <f>IF($B590="","",PMT(Rate,Nper,-PV,,Type))</f>
        <v/>
      </c>
      <c r="H590" s="69" t="str">
        <f>IF($B590="","",PPMT(Rate,ROWS($1:578),Nper,-PV,,Type))</f>
        <v/>
      </c>
      <c r="I590" s="69" t="str">
        <f>IF($B590="","",IPMT(Rate,ROWS($1:578),Nper,-PV,,Type))</f>
        <v/>
      </c>
      <c r="J590" s="73" t="str">
        <f t="shared" ref="J590:K590" si="580">IF($B590="","",N(J589)+N(H590))</f>
        <v/>
      </c>
      <c r="K590" s="74" t="str">
        <f t="shared" si="580"/>
        <v/>
      </c>
      <c r="L590" s="69" t="str">
        <f>IF($B590="","",PV-J590)</f>
        <v/>
      </c>
      <c r="M590" s="71" t="str">
        <f>IF($B590="","",J590/PV)</f>
        <v/>
      </c>
      <c r="N590" s="72" t="str">
        <f t="shared" si="4"/>
        <v/>
      </c>
    </row>
    <row r="591" ht="14.25" customHeight="1">
      <c r="B591" s="66" t="str">
        <f>IF(ROWS($1:579)&lt;=Nper,ROWS($1:579),"")</f>
        <v/>
      </c>
      <c r="C591" s="67" t="str">
        <f>IF($B591="","",IF($E$7="Weekly",Start_Date+7*(ROWS($1:579)-1),EDATE(Start_Date,VLOOKUP(IF(ASTemp!$E$7="","Monthly",ASTemp!$E$7),Parameters!$B$3:$D$6,3,0)*(ROWS($1:579)-1))))</f>
        <v/>
      </c>
      <c r="D591" s="68" t="str">
        <f t="shared" si="2"/>
        <v/>
      </c>
      <c r="E591" s="65" t="str">
        <f>IF($B591="","",VLOOKUP(MONTH(C591),Parameters!$F$2:$G$13,2,0))</f>
        <v/>
      </c>
      <c r="F591" s="69" t="str">
        <f>IF($B591="","",PV-N(J590))</f>
        <v/>
      </c>
      <c r="G591" s="69" t="str">
        <f>IF($B591="","",PMT(Rate,Nper,-PV,,Type))</f>
        <v/>
      </c>
      <c r="H591" s="69" t="str">
        <f>IF($B591="","",PPMT(Rate,ROWS($1:579),Nper,-PV,,Type))</f>
        <v/>
      </c>
      <c r="I591" s="69" t="str">
        <f>IF($B591="","",IPMT(Rate,ROWS($1:579),Nper,-PV,,Type))</f>
        <v/>
      </c>
      <c r="J591" s="73" t="str">
        <f t="shared" ref="J591:K591" si="581">IF($B591="","",N(J590)+N(H591))</f>
        <v/>
      </c>
      <c r="K591" s="74" t="str">
        <f t="shared" si="581"/>
        <v/>
      </c>
      <c r="L591" s="69" t="str">
        <f>IF($B591="","",PV-J591)</f>
        <v/>
      </c>
      <c r="M591" s="71" t="str">
        <f>IF($B591="","",J591/PV)</f>
        <v/>
      </c>
      <c r="N591" s="72" t="str">
        <f t="shared" si="4"/>
        <v/>
      </c>
    </row>
    <row r="592" ht="14.25" customHeight="1">
      <c r="B592" s="66" t="str">
        <f>IF(ROWS($1:580)&lt;=Nper,ROWS($1:580),"")</f>
        <v/>
      </c>
      <c r="C592" s="67" t="str">
        <f>IF($B592="","",IF($E$7="Weekly",Start_Date+7*(ROWS($1:580)-1),EDATE(Start_Date,VLOOKUP(IF(ASTemp!$E$7="","Monthly",ASTemp!$E$7),Parameters!$B$3:$D$6,3,0)*(ROWS($1:580)-1))))</f>
        <v/>
      </c>
      <c r="D592" s="68" t="str">
        <f t="shared" si="2"/>
        <v/>
      </c>
      <c r="E592" s="65" t="str">
        <f>IF($B592="","",VLOOKUP(MONTH(C592),Parameters!$F$2:$G$13,2,0))</f>
        <v/>
      </c>
      <c r="F592" s="69" t="str">
        <f>IF($B592="","",PV-N(J591))</f>
        <v/>
      </c>
      <c r="G592" s="69" t="str">
        <f>IF($B592="","",PMT(Rate,Nper,-PV,,Type))</f>
        <v/>
      </c>
      <c r="H592" s="69" t="str">
        <f>IF($B592="","",PPMT(Rate,ROWS($1:580),Nper,-PV,,Type))</f>
        <v/>
      </c>
      <c r="I592" s="69" t="str">
        <f>IF($B592="","",IPMT(Rate,ROWS($1:580),Nper,-PV,,Type))</f>
        <v/>
      </c>
      <c r="J592" s="73" t="str">
        <f t="shared" ref="J592:K592" si="582">IF($B592="","",N(J591)+N(H592))</f>
        <v/>
      </c>
      <c r="K592" s="74" t="str">
        <f t="shared" si="582"/>
        <v/>
      </c>
      <c r="L592" s="69" t="str">
        <f>IF($B592="","",PV-J592)</f>
        <v/>
      </c>
      <c r="M592" s="71" t="str">
        <f>IF($B592="","",J592/PV)</f>
        <v/>
      </c>
      <c r="N592" s="72" t="str">
        <f t="shared" si="4"/>
        <v/>
      </c>
    </row>
    <row r="593" ht="14.25" customHeight="1">
      <c r="B593" s="66" t="str">
        <f>IF(ROWS($1:581)&lt;=Nper,ROWS($1:581),"")</f>
        <v/>
      </c>
      <c r="C593" s="67" t="str">
        <f>IF($B593="","",IF($E$7="Weekly",Start_Date+7*(ROWS($1:581)-1),EDATE(Start_Date,VLOOKUP(IF(ASTemp!$E$7="","Monthly",ASTemp!$E$7),Parameters!$B$3:$D$6,3,0)*(ROWS($1:581)-1))))</f>
        <v/>
      </c>
      <c r="D593" s="68" t="str">
        <f t="shared" si="2"/>
        <v/>
      </c>
      <c r="E593" s="65" t="str">
        <f>IF($B593="","",VLOOKUP(MONTH(C593),Parameters!$F$2:$G$13,2,0))</f>
        <v/>
      </c>
      <c r="F593" s="69" t="str">
        <f>IF($B593="","",PV-N(J592))</f>
        <v/>
      </c>
      <c r="G593" s="69" t="str">
        <f>IF($B593="","",PMT(Rate,Nper,-PV,,Type))</f>
        <v/>
      </c>
      <c r="H593" s="69" t="str">
        <f>IF($B593="","",PPMT(Rate,ROWS($1:581),Nper,-PV,,Type))</f>
        <v/>
      </c>
      <c r="I593" s="69" t="str">
        <f>IF($B593="","",IPMT(Rate,ROWS($1:581),Nper,-PV,,Type))</f>
        <v/>
      </c>
      <c r="J593" s="73" t="str">
        <f t="shared" ref="J593:K593" si="583">IF($B593="","",N(J592)+N(H593))</f>
        <v/>
      </c>
      <c r="K593" s="74" t="str">
        <f t="shared" si="583"/>
        <v/>
      </c>
      <c r="L593" s="69" t="str">
        <f>IF($B593="","",PV-J593)</f>
        <v/>
      </c>
      <c r="M593" s="71" t="str">
        <f>IF($B593="","",J593/PV)</f>
        <v/>
      </c>
      <c r="N593" s="72" t="str">
        <f t="shared" si="4"/>
        <v/>
      </c>
    </row>
    <row r="594" ht="14.25" customHeight="1">
      <c r="B594" s="66" t="str">
        <f>IF(ROWS($1:582)&lt;=Nper,ROWS($1:582),"")</f>
        <v/>
      </c>
      <c r="C594" s="67" t="str">
        <f>IF($B594="","",IF($E$7="Weekly",Start_Date+7*(ROWS($1:582)-1),EDATE(Start_Date,VLOOKUP(IF(ASTemp!$E$7="","Monthly",ASTemp!$E$7),Parameters!$B$3:$D$6,3,0)*(ROWS($1:582)-1))))</f>
        <v/>
      </c>
      <c r="D594" s="68" t="str">
        <f t="shared" si="2"/>
        <v/>
      </c>
      <c r="E594" s="65" t="str">
        <f>IF($B594="","",VLOOKUP(MONTH(C594),Parameters!$F$2:$G$13,2,0))</f>
        <v/>
      </c>
      <c r="F594" s="69" t="str">
        <f>IF($B594="","",PV-N(J593))</f>
        <v/>
      </c>
      <c r="G594" s="69" t="str">
        <f>IF($B594="","",PMT(Rate,Nper,-PV,,Type))</f>
        <v/>
      </c>
      <c r="H594" s="69" t="str">
        <f>IF($B594="","",PPMT(Rate,ROWS($1:582),Nper,-PV,,Type))</f>
        <v/>
      </c>
      <c r="I594" s="69" t="str">
        <f>IF($B594="","",IPMT(Rate,ROWS($1:582),Nper,-PV,,Type))</f>
        <v/>
      </c>
      <c r="J594" s="73" t="str">
        <f t="shared" ref="J594:K594" si="584">IF($B594="","",N(J593)+N(H594))</f>
        <v/>
      </c>
      <c r="K594" s="74" t="str">
        <f t="shared" si="584"/>
        <v/>
      </c>
      <c r="L594" s="69" t="str">
        <f>IF($B594="","",PV-J594)</f>
        <v/>
      </c>
      <c r="M594" s="71" t="str">
        <f>IF($B594="","",J594/PV)</f>
        <v/>
      </c>
      <c r="N594" s="72" t="str">
        <f t="shared" si="4"/>
        <v/>
      </c>
    </row>
    <row r="595" ht="14.25" customHeight="1">
      <c r="B595" s="66" t="str">
        <f>IF(ROWS($1:583)&lt;=Nper,ROWS($1:583),"")</f>
        <v/>
      </c>
      <c r="C595" s="67" t="str">
        <f>IF($B595="","",IF($E$7="Weekly",Start_Date+7*(ROWS($1:583)-1),EDATE(Start_Date,VLOOKUP(IF(ASTemp!$E$7="","Monthly",ASTemp!$E$7),Parameters!$B$3:$D$6,3,0)*(ROWS($1:583)-1))))</f>
        <v/>
      </c>
      <c r="D595" s="68" t="str">
        <f t="shared" si="2"/>
        <v/>
      </c>
      <c r="E595" s="65" t="str">
        <f>IF($B595="","",VLOOKUP(MONTH(C595),Parameters!$F$2:$G$13,2,0))</f>
        <v/>
      </c>
      <c r="F595" s="69" t="str">
        <f>IF($B595="","",PV-N(J594))</f>
        <v/>
      </c>
      <c r="G595" s="69" t="str">
        <f>IF($B595="","",PMT(Rate,Nper,-PV,,Type))</f>
        <v/>
      </c>
      <c r="H595" s="69" t="str">
        <f>IF($B595="","",PPMT(Rate,ROWS($1:583),Nper,-PV,,Type))</f>
        <v/>
      </c>
      <c r="I595" s="69" t="str">
        <f>IF($B595="","",IPMT(Rate,ROWS($1:583),Nper,-PV,,Type))</f>
        <v/>
      </c>
      <c r="J595" s="73" t="str">
        <f t="shared" ref="J595:K595" si="585">IF($B595="","",N(J594)+N(H595))</f>
        <v/>
      </c>
      <c r="K595" s="74" t="str">
        <f t="shared" si="585"/>
        <v/>
      </c>
      <c r="L595" s="69" t="str">
        <f>IF($B595="","",PV-J595)</f>
        <v/>
      </c>
      <c r="M595" s="71" t="str">
        <f>IF($B595="","",J595/PV)</f>
        <v/>
      </c>
      <c r="N595" s="72" t="str">
        <f t="shared" si="4"/>
        <v/>
      </c>
    </row>
    <row r="596" ht="14.25" customHeight="1">
      <c r="B596" s="66" t="str">
        <f>IF(ROWS($1:584)&lt;=Nper,ROWS($1:584),"")</f>
        <v/>
      </c>
      <c r="C596" s="67" t="str">
        <f>IF($B596="","",IF($E$7="Weekly",Start_Date+7*(ROWS($1:584)-1),EDATE(Start_Date,VLOOKUP(IF(ASTemp!$E$7="","Monthly",ASTemp!$E$7),Parameters!$B$3:$D$6,3,0)*(ROWS($1:584)-1))))</f>
        <v/>
      </c>
      <c r="D596" s="68" t="str">
        <f t="shared" si="2"/>
        <v/>
      </c>
      <c r="E596" s="65" t="str">
        <f>IF($B596="","",VLOOKUP(MONTH(C596),Parameters!$F$2:$G$13,2,0))</f>
        <v/>
      </c>
      <c r="F596" s="69" t="str">
        <f>IF($B596="","",PV-N(J595))</f>
        <v/>
      </c>
      <c r="G596" s="69" t="str">
        <f>IF($B596="","",PMT(Rate,Nper,-PV,,Type))</f>
        <v/>
      </c>
      <c r="H596" s="69" t="str">
        <f>IF($B596="","",PPMT(Rate,ROWS($1:584),Nper,-PV,,Type))</f>
        <v/>
      </c>
      <c r="I596" s="69" t="str">
        <f>IF($B596="","",IPMT(Rate,ROWS($1:584),Nper,-PV,,Type))</f>
        <v/>
      </c>
      <c r="J596" s="73" t="str">
        <f t="shared" ref="J596:K596" si="586">IF($B596="","",N(J595)+N(H596))</f>
        <v/>
      </c>
      <c r="K596" s="74" t="str">
        <f t="shared" si="586"/>
        <v/>
      </c>
      <c r="L596" s="69" t="str">
        <f>IF($B596="","",PV-J596)</f>
        <v/>
      </c>
      <c r="M596" s="71" t="str">
        <f>IF($B596="","",J596/PV)</f>
        <v/>
      </c>
      <c r="N596" s="72" t="str">
        <f t="shared" si="4"/>
        <v/>
      </c>
    </row>
    <row r="597" ht="14.25" customHeight="1">
      <c r="B597" s="66" t="str">
        <f>IF(ROWS($1:585)&lt;=Nper,ROWS($1:585),"")</f>
        <v/>
      </c>
      <c r="C597" s="67" t="str">
        <f>IF($B597="","",IF($E$7="Weekly",Start_Date+7*(ROWS($1:585)-1),EDATE(Start_Date,VLOOKUP(IF(ASTemp!$E$7="","Monthly",ASTemp!$E$7),Parameters!$B$3:$D$6,3,0)*(ROWS($1:585)-1))))</f>
        <v/>
      </c>
      <c r="D597" s="68" t="str">
        <f t="shared" si="2"/>
        <v/>
      </c>
      <c r="E597" s="65" t="str">
        <f>IF($B597="","",VLOOKUP(MONTH(C597),Parameters!$F$2:$G$13,2,0))</f>
        <v/>
      </c>
      <c r="F597" s="69" t="str">
        <f>IF($B597="","",PV-N(J596))</f>
        <v/>
      </c>
      <c r="G597" s="69" t="str">
        <f>IF($B597="","",PMT(Rate,Nper,-PV,,Type))</f>
        <v/>
      </c>
      <c r="H597" s="69" t="str">
        <f>IF($B597="","",PPMT(Rate,ROWS($1:585),Nper,-PV,,Type))</f>
        <v/>
      </c>
      <c r="I597" s="69" t="str">
        <f>IF($B597="","",IPMT(Rate,ROWS($1:585),Nper,-PV,,Type))</f>
        <v/>
      </c>
      <c r="J597" s="73" t="str">
        <f t="shared" ref="J597:K597" si="587">IF($B597="","",N(J596)+N(H597))</f>
        <v/>
      </c>
      <c r="K597" s="74" t="str">
        <f t="shared" si="587"/>
        <v/>
      </c>
      <c r="L597" s="69" t="str">
        <f>IF($B597="","",PV-J597)</f>
        <v/>
      </c>
      <c r="M597" s="71" t="str">
        <f>IF($B597="","",J597/PV)</f>
        <v/>
      </c>
      <c r="N597" s="72" t="str">
        <f t="shared" si="4"/>
        <v/>
      </c>
    </row>
    <row r="598" ht="14.25" customHeight="1">
      <c r="B598" s="66" t="str">
        <f>IF(ROWS($1:586)&lt;=Nper,ROWS($1:586),"")</f>
        <v/>
      </c>
      <c r="C598" s="67" t="str">
        <f>IF($B598="","",IF($E$7="Weekly",Start_Date+7*(ROWS($1:586)-1),EDATE(Start_Date,VLOOKUP(IF(ASTemp!$E$7="","Monthly",ASTemp!$E$7),Parameters!$B$3:$D$6,3,0)*(ROWS($1:586)-1))))</f>
        <v/>
      </c>
      <c r="D598" s="68" t="str">
        <f t="shared" si="2"/>
        <v/>
      </c>
      <c r="E598" s="65" t="str">
        <f>IF($B598="","",VLOOKUP(MONTH(C598),Parameters!$F$2:$G$13,2,0))</f>
        <v/>
      </c>
      <c r="F598" s="69" t="str">
        <f>IF($B598="","",PV-N(J597))</f>
        <v/>
      </c>
      <c r="G598" s="69" t="str">
        <f>IF($B598="","",PMT(Rate,Nper,-PV,,Type))</f>
        <v/>
      </c>
      <c r="H598" s="69" t="str">
        <f>IF($B598="","",PPMT(Rate,ROWS($1:586),Nper,-PV,,Type))</f>
        <v/>
      </c>
      <c r="I598" s="69" t="str">
        <f>IF($B598="","",IPMT(Rate,ROWS($1:586),Nper,-PV,,Type))</f>
        <v/>
      </c>
      <c r="J598" s="73" t="str">
        <f t="shared" ref="J598:K598" si="588">IF($B598="","",N(J597)+N(H598))</f>
        <v/>
      </c>
      <c r="K598" s="74" t="str">
        <f t="shared" si="588"/>
        <v/>
      </c>
      <c r="L598" s="69" t="str">
        <f>IF($B598="","",PV-J598)</f>
        <v/>
      </c>
      <c r="M598" s="71" t="str">
        <f>IF($B598="","",J598/PV)</f>
        <v/>
      </c>
      <c r="N598" s="72" t="str">
        <f t="shared" si="4"/>
        <v/>
      </c>
    </row>
    <row r="599" ht="14.25" customHeight="1">
      <c r="B599" s="66" t="str">
        <f>IF(ROWS($1:587)&lt;=Nper,ROWS($1:587),"")</f>
        <v/>
      </c>
      <c r="C599" s="67" t="str">
        <f>IF($B599="","",IF($E$7="Weekly",Start_Date+7*(ROWS($1:587)-1),EDATE(Start_Date,VLOOKUP(IF(ASTemp!$E$7="","Monthly",ASTemp!$E$7),Parameters!$B$3:$D$6,3,0)*(ROWS($1:587)-1))))</f>
        <v/>
      </c>
      <c r="D599" s="68" t="str">
        <f t="shared" si="2"/>
        <v/>
      </c>
      <c r="E599" s="65" t="str">
        <f>IF($B599="","",VLOOKUP(MONTH(C599),Parameters!$F$2:$G$13,2,0))</f>
        <v/>
      </c>
      <c r="F599" s="69" t="str">
        <f>IF($B599="","",PV-N(J598))</f>
        <v/>
      </c>
      <c r="G599" s="69" t="str">
        <f>IF($B599="","",PMT(Rate,Nper,-PV,,Type))</f>
        <v/>
      </c>
      <c r="H599" s="69" t="str">
        <f>IF($B599="","",PPMT(Rate,ROWS($1:587),Nper,-PV,,Type))</f>
        <v/>
      </c>
      <c r="I599" s="69" t="str">
        <f>IF($B599="","",IPMT(Rate,ROWS($1:587),Nper,-PV,,Type))</f>
        <v/>
      </c>
      <c r="J599" s="73" t="str">
        <f t="shared" ref="J599:K599" si="589">IF($B599="","",N(J598)+N(H599))</f>
        <v/>
      </c>
      <c r="K599" s="74" t="str">
        <f t="shared" si="589"/>
        <v/>
      </c>
      <c r="L599" s="69" t="str">
        <f>IF($B599="","",PV-J599)</f>
        <v/>
      </c>
      <c r="M599" s="71" t="str">
        <f>IF($B599="","",J599/PV)</f>
        <v/>
      </c>
      <c r="N599" s="72" t="str">
        <f t="shared" si="4"/>
        <v/>
      </c>
    </row>
    <row r="600" ht="14.25" customHeight="1">
      <c r="B600" s="66" t="str">
        <f>IF(ROWS($1:588)&lt;=Nper,ROWS($1:588),"")</f>
        <v/>
      </c>
      <c r="C600" s="67" t="str">
        <f>IF($B600="","",IF($E$7="Weekly",Start_Date+7*(ROWS($1:588)-1),EDATE(Start_Date,VLOOKUP(IF(ASTemp!$E$7="","Monthly",ASTemp!$E$7),Parameters!$B$3:$D$6,3,0)*(ROWS($1:588)-1))))</f>
        <v/>
      </c>
      <c r="D600" s="68" t="str">
        <f t="shared" si="2"/>
        <v/>
      </c>
      <c r="E600" s="65" t="str">
        <f>IF($B600="","",VLOOKUP(MONTH(C600),Parameters!$F$2:$G$13,2,0))</f>
        <v/>
      </c>
      <c r="F600" s="69" t="str">
        <f>IF($B600="","",PV-N(J599))</f>
        <v/>
      </c>
      <c r="G600" s="69" t="str">
        <f>IF($B600="","",PMT(Rate,Nper,-PV,,Type))</f>
        <v/>
      </c>
      <c r="H600" s="69" t="str">
        <f>IF($B600="","",PPMT(Rate,ROWS($1:588),Nper,-PV,,Type))</f>
        <v/>
      </c>
      <c r="I600" s="69" t="str">
        <f>IF($B600="","",IPMT(Rate,ROWS($1:588),Nper,-PV,,Type))</f>
        <v/>
      </c>
      <c r="J600" s="73" t="str">
        <f t="shared" ref="J600:K600" si="590">IF($B600="","",N(J599)+N(H600))</f>
        <v/>
      </c>
      <c r="K600" s="74" t="str">
        <f t="shared" si="590"/>
        <v/>
      </c>
      <c r="L600" s="69" t="str">
        <f>IF($B600="","",PV-J600)</f>
        <v/>
      </c>
      <c r="M600" s="71" t="str">
        <f>IF($B600="","",J600/PV)</f>
        <v/>
      </c>
      <c r="N600" s="72" t="str">
        <f t="shared" si="4"/>
        <v/>
      </c>
    </row>
    <row r="601" ht="14.25" customHeight="1">
      <c r="B601" s="66" t="str">
        <f>IF(ROWS($1:589)&lt;=Nper,ROWS($1:589),"")</f>
        <v/>
      </c>
      <c r="C601" s="67" t="str">
        <f>IF($B601="","",IF($E$7="Weekly",Start_Date+7*(ROWS($1:589)-1),EDATE(Start_Date,VLOOKUP(IF(ASTemp!$E$7="","Monthly",ASTemp!$E$7),Parameters!$B$3:$D$6,3,0)*(ROWS($1:589)-1))))</f>
        <v/>
      </c>
      <c r="D601" s="68" t="str">
        <f t="shared" si="2"/>
        <v/>
      </c>
      <c r="E601" s="65" t="str">
        <f>IF($B601="","",VLOOKUP(MONTH(C601),Parameters!$F$2:$G$13,2,0))</f>
        <v/>
      </c>
      <c r="F601" s="69" t="str">
        <f>IF($B601="","",PV-N(J600))</f>
        <v/>
      </c>
      <c r="G601" s="69" t="str">
        <f>IF($B601="","",PMT(Rate,Nper,-PV,,Type))</f>
        <v/>
      </c>
      <c r="H601" s="69" t="str">
        <f>IF($B601="","",PPMT(Rate,ROWS($1:589),Nper,-PV,,Type))</f>
        <v/>
      </c>
      <c r="I601" s="69" t="str">
        <f>IF($B601="","",IPMT(Rate,ROWS($1:589),Nper,-PV,,Type))</f>
        <v/>
      </c>
      <c r="J601" s="73" t="str">
        <f t="shared" ref="J601:K601" si="591">IF($B601="","",N(J600)+N(H601))</f>
        <v/>
      </c>
      <c r="K601" s="74" t="str">
        <f t="shared" si="591"/>
        <v/>
      </c>
      <c r="L601" s="69" t="str">
        <f>IF($B601="","",PV-J601)</f>
        <v/>
      </c>
      <c r="M601" s="71" t="str">
        <f>IF($B601="","",J601/PV)</f>
        <v/>
      </c>
      <c r="N601" s="72" t="str">
        <f t="shared" si="4"/>
        <v/>
      </c>
    </row>
    <row r="602" ht="14.25" customHeight="1">
      <c r="B602" s="66" t="str">
        <f>IF(ROWS($1:590)&lt;=Nper,ROWS($1:590),"")</f>
        <v/>
      </c>
      <c r="C602" s="67" t="str">
        <f>IF($B602="","",IF($E$7="Weekly",Start_Date+7*(ROWS($1:590)-1),EDATE(Start_Date,VLOOKUP(IF(ASTemp!$E$7="","Monthly",ASTemp!$E$7),Parameters!$B$3:$D$6,3,0)*(ROWS($1:590)-1))))</f>
        <v/>
      </c>
      <c r="D602" s="68" t="str">
        <f t="shared" si="2"/>
        <v/>
      </c>
      <c r="E602" s="65" t="str">
        <f>IF($B602="","",VLOOKUP(MONTH(C602),Parameters!$F$2:$G$13,2,0))</f>
        <v/>
      </c>
      <c r="F602" s="69" t="str">
        <f>IF($B602="","",PV-N(J601))</f>
        <v/>
      </c>
      <c r="G602" s="69" t="str">
        <f>IF($B602="","",PMT(Rate,Nper,-PV,,Type))</f>
        <v/>
      </c>
      <c r="H602" s="69" t="str">
        <f>IF($B602="","",PPMT(Rate,ROWS($1:590),Nper,-PV,,Type))</f>
        <v/>
      </c>
      <c r="I602" s="69" t="str">
        <f>IF($B602="","",IPMT(Rate,ROWS($1:590),Nper,-PV,,Type))</f>
        <v/>
      </c>
      <c r="J602" s="73" t="str">
        <f t="shared" ref="J602:K602" si="592">IF($B602="","",N(J601)+N(H602))</f>
        <v/>
      </c>
      <c r="K602" s="74" t="str">
        <f t="shared" si="592"/>
        <v/>
      </c>
      <c r="L602" s="69" t="str">
        <f>IF($B602="","",PV-J602)</f>
        <v/>
      </c>
      <c r="M602" s="71" t="str">
        <f>IF($B602="","",J602/PV)</f>
        <v/>
      </c>
      <c r="N602" s="72" t="str">
        <f t="shared" si="4"/>
        <v/>
      </c>
    </row>
    <row r="603" ht="14.25" customHeight="1">
      <c r="B603" s="66" t="str">
        <f>IF(ROWS($1:591)&lt;=Nper,ROWS($1:591),"")</f>
        <v/>
      </c>
      <c r="C603" s="67" t="str">
        <f>IF($B603="","",IF($E$7="Weekly",Start_Date+7*(ROWS($1:591)-1),EDATE(Start_Date,VLOOKUP(IF(ASTemp!$E$7="","Monthly",ASTemp!$E$7),Parameters!$B$3:$D$6,3,0)*(ROWS($1:591)-1))))</f>
        <v/>
      </c>
      <c r="D603" s="68" t="str">
        <f t="shared" si="2"/>
        <v/>
      </c>
      <c r="E603" s="65" t="str">
        <f>IF($B603="","",VLOOKUP(MONTH(C603),Parameters!$F$2:$G$13,2,0))</f>
        <v/>
      </c>
      <c r="F603" s="69" t="str">
        <f>IF($B603="","",PV-N(J602))</f>
        <v/>
      </c>
      <c r="G603" s="69" t="str">
        <f>IF($B603="","",PMT(Rate,Nper,-PV,,Type))</f>
        <v/>
      </c>
      <c r="H603" s="69" t="str">
        <f>IF($B603="","",PPMT(Rate,ROWS($1:591),Nper,-PV,,Type))</f>
        <v/>
      </c>
      <c r="I603" s="69" t="str">
        <f>IF($B603="","",IPMT(Rate,ROWS($1:591),Nper,-PV,,Type))</f>
        <v/>
      </c>
      <c r="J603" s="73" t="str">
        <f t="shared" ref="J603:K603" si="593">IF($B603="","",N(J602)+N(H603))</f>
        <v/>
      </c>
      <c r="K603" s="74" t="str">
        <f t="shared" si="593"/>
        <v/>
      </c>
      <c r="L603" s="69" t="str">
        <f>IF($B603="","",PV-J603)</f>
        <v/>
      </c>
      <c r="M603" s="71" t="str">
        <f>IF($B603="","",J603/PV)</f>
        <v/>
      </c>
      <c r="N603" s="72" t="str">
        <f t="shared" si="4"/>
        <v/>
      </c>
    </row>
    <row r="604" ht="14.25" customHeight="1">
      <c r="B604" s="66" t="str">
        <f>IF(ROWS($1:592)&lt;=Nper,ROWS($1:592),"")</f>
        <v/>
      </c>
      <c r="C604" s="67" t="str">
        <f>IF($B604="","",IF($E$7="Weekly",Start_Date+7*(ROWS($1:592)-1),EDATE(Start_Date,VLOOKUP(IF(ASTemp!$E$7="","Monthly",ASTemp!$E$7),Parameters!$B$3:$D$6,3,0)*(ROWS($1:592)-1))))</f>
        <v/>
      </c>
      <c r="D604" s="68" t="str">
        <f t="shared" si="2"/>
        <v/>
      </c>
      <c r="E604" s="65" t="str">
        <f>IF($B604="","",VLOOKUP(MONTH(C604),Parameters!$F$2:$G$13,2,0))</f>
        <v/>
      </c>
      <c r="F604" s="69" t="str">
        <f>IF($B604="","",PV-N(J603))</f>
        <v/>
      </c>
      <c r="G604" s="69" t="str">
        <f>IF($B604="","",PMT(Rate,Nper,-PV,,Type))</f>
        <v/>
      </c>
      <c r="H604" s="69" t="str">
        <f>IF($B604="","",PPMT(Rate,ROWS($1:592),Nper,-PV,,Type))</f>
        <v/>
      </c>
      <c r="I604" s="69" t="str">
        <f>IF($B604="","",IPMT(Rate,ROWS($1:592),Nper,-PV,,Type))</f>
        <v/>
      </c>
      <c r="J604" s="73" t="str">
        <f t="shared" ref="J604:K604" si="594">IF($B604="","",N(J603)+N(H604))</f>
        <v/>
      </c>
      <c r="K604" s="74" t="str">
        <f t="shared" si="594"/>
        <v/>
      </c>
      <c r="L604" s="69" t="str">
        <f>IF($B604="","",PV-J604)</f>
        <v/>
      </c>
      <c r="M604" s="71" t="str">
        <f>IF($B604="","",J604/PV)</f>
        <v/>
      </c>
      <c r="N604" s="72" t="str">
        <f t="shared" si="4"/>
        <v/>
      </c>
    </row>
    <row r="605" ht="14.25" customHeight="1">
      <c r="B605" s="66" t="str">
        <f>IF(ROWS($1:593)&lt;=Nper,ROWS($1:593),"")</f>
        <v/>
      </c>
      <c r="C605" s="67" t="str">
        <f>IF($B605="","",IF($E$7="Weekly",Start_Date+7*(ROWS($1:593)-1),EDATE(Start_Date,VLOOKUP(IF(ASTemp!$E$7="","Monthly",ASTemp!$E$7),Parameters!$B$3:$D$6,3,0)*(ROWS($1:593)-1))))</f>
        <v/>
      </c>
      <c r="D605" s="68" t="str">
        <f t="shared" si="2"/>
        <v/>
      </c>
      <c r="E605" s="65" t="str">
        <f>IF($B605="","",VLOOKUP(MONTH(C605),Parameters!$F$2:$G$13,2,0))</f>
        <v/>
      </c>
      <c r="F605" s="69" t="str">
        <f>IF($B605="","",PV-N(J604))</f>
        <v/>
      </c>
      <c r="G605" s="69" t="str">
        <f>IF($B605="","",PMT(Rate,Nper,-PV,,Type))</f>
        <v/>
      </c>
      <c r="H605" s="69" t="str">
        <f>IF($B605="","",PPMT(Rate,ROWS($1:593),Nper,-PV,,Type))</f>
        <v/>
      </c>
      <c r="I605" s="69" t="str">
        <f>IF($B605="","",IPMT(Rate,ROWS($1:593),Nper,-PV,,Type))</f>
        <v/>
      </c>
      <c r="J605" s="73" t="str">
        <f t="shared" ref="J605:K605" si="595">IF($B605="","",N(J604)+N(H605))</f>
        <v/>
      </c>
      <c r="K605" s="74" t="str">
        <f t="shared" si="595"/>
        <v/>
      </c>
      <c r="L605" s="69" t="str">
        <f>IF($B605="","",PV-J605)</f>
        <v/>
      </c>
      <c r="M605" s="71" t="str">
        <f>IF($B605="","",J605/PV)</f>
        <v/>
      </c>
      <c r="N605" s="72" t="str">
        <f t="shared" si="4"/>
        <v/>
      </c>
    </row>
    <row r="606" ht="14.25" customHeight="1">
      <c r="B606" s="66" t="str">
        <f>IF(ROWS($1:594)&lt;=Nper,ROWS($1:594),"")</f>
        <v/>
      </c>
      <c r="C606" s="67" t="str">
        <f>IF($B606="","",IF($E$7="Weekly",Start_Date+7*(ROWS($1:594)-1),EDATE(Start_Date,VLOOKUP(IF(ASTemp!$E$7="","Monthly",ASTemp!$E$7),Parameters!$B$3:$D$6,3,0)*(ROWS($1:594)-1))))</f>
        <v/>
      </c>
      <c r="D606" s="68" t="str">
        <f t="shared" si="2"/>
        <v/>
      </c>
      <c r="E606" s="65" t="str">
        <f>IF($B606="","",VLOOKUP(MONTH(C606),Parameters!$F$2:$G$13,2,0))</f>
        <v/>
      </c>
      <c r="F606" s="69" t="str">
        <f>IF($B606="","",PV-N(J605))</f>
        <v/>
      </c>
      <c r="G606" s="69" t="str">
        <f>IF($B606="","",PMT(Rate,Nper,-PV,,Type))</f>
        <v/>
      </c>
      <c r="H606" s="69" t="str">
        <f>IF($B606="","",PPMT(Rate,ROWS($1:594),Nper,-PV,,Type))</f>
        <v/>
      </c>
      <c r="I606" s="69" t="str">
        <f>IF($B606="","",IPMT(Rate,ROWS($1:594),Nper,-PV,,Type))</f>
        <v/>
      </c>
      <c r="J606" s="73" t="str">
        <f t="shared" ref="J606:K606" si="596">IF($B606="","",N(J605)+N(H606))</f>
        <v/>
      </c>
      <c r="K606" s="74" t="str">
        <f t="shared" si="596"/>
        <v/>
      </c>
      <c r="L606" s="69" t="str">
        <f>IF($B606="","",PV-J606)</f>
        <v/>
      </c>
      <c r="M606" s="71" t="str">
        <f>IF($B606="","",J606/PV)</f>
        <v/>
      </c>
      <c r="N606" s="72" t="str">
        <f t="shared" si="4"/>
        <v/>
      </c>
    </row>
    <row r="607" ht="14.25" customHeight="1">
      <c r="B607" s="66" t="str">
        <f>IF(ROWS($1:595)&lt;=Nper,ROWS($1:595),"")</f>
        <v/>
      </c>
      <c r="C607" s="67" t="str">
        <f>IF($B607="","",IF($E$7="Weekly",Start_Date+7*(ROWS($1:595)-1),EDATE(Start_Date,VLOOKUP(IF(ASTemp!$E$7="","Monthly",ASTemp!$E$7),Parameters!$B$3:$D$6,3,0)*(ROWS($1:595)-1))))</f>
        <v/>
      </c>
      <c r="D607" s="68" t="str">
        <f t="shared" si="2"/>
        <v/>
      </c>
      <c r="E607" s="65" t="str">
        <f>IF($B607="","",VLOOKUP(MONTH(C607),Parameters!$F$2:$G$13,2,0))</f>
        <v/>
      </c>
      <c r="F607" s="69" t="str">
        <f>IF($B607="","",PV-N(J606))</f>
        <v/>
      </c>
      <c r="G607" s="69" t="str">
        <f>IF($B607="","",PMT(Rate,Nper,-PV,,Type))</f>
        <v/>
      </c>
      <c r="H607" s="69" t="str">
        <f>IF($B607="","",PPMT(Rate,ROWS($1:595),Nper,-PV,,Type))</f>
        <v/>
      </c>
      <c r="I607" s="69" t="str">
        <f>IF($B607="","",IPMT(Rate,ROWS($1:595),Nper,-PV,,Type))</f>
        <v/>
      </c>
      <c r="J607" s="73" t="str">
        <f t="shared" ref="J607:K607" si="597">IF($B607="","",N(J606)+N(H607))</f>
        <v/>
      </c>
      <c r="K607" s="74" t="str">
        <f t="shared" si="597"/>
        <v/>
      </c>
      <c r="L607" s="69" t="str">
        <f>IF($B607="","",PV-J607)</f>
        <v/>
      </c>
      <c r="M607" s="71" t="str">
        <f>IF($B607="","",J607/PV)</f>
        <v/>
      </c>
      <c r="N607" s="72" t="str">
        <f t="shared" si="4"/>
        <v/>
      </c>
    </row>
    <row r="608" ht="14.25" customHeight="1">
      <c r="B608" s="66" t="str">
        <f>IF(ROWS($1:596)&lt;=Nper,ROWS($1:596),"")</f>
        <v/>
      </c>
      <c r="C608" s="67" t="str">
        <f>IF($B608="","",IF($E$7="Weekly",Start_Date+7*(ROWS($1:596)-1),EDATE(Start_Date,VLOOKUP(IF(ASTemp!$E$7="","Monthly",ASTemp!$E$7),Parameters!$B$3:$D$6,3,0)*(ROWS($1:596)-1))))</f>
        <v/>
      </c>
      <c r="D608" s="68" t="str">
        <f t="shared" si="2"/>
        <v/>
      </c>
      <c r="E608" s="65" t="str">
        <f>IF($B608="","",VLOOKUP(MONTH(C608),Parameters!$F$2:$G$13,2,0))</f>
        <v/>
      </c>
      <c r="F608" s="69" t="str">
        <f>IF($B608="","",PV-N(J607))</f>
        <v/>
      </c>
      <c r="G608" s="69" t="str">
        <f>IF($B608="","",PMT(Rate,Nper,-PV,,Type))</f>
        <v/>
      </c>
      <c r="H608" s="69" t="str">
        <f>IF($B608="","",PPMT(Rate,ROWS($1:596),Nper,-PV,,Type))</f>
        <v/>
      </c>
      <c r="I608" s="69" t="str">
        <f>IF($B608="","",IPMT(Rate,ROWS($1:596),Nper,-PV,,Type))</f>
        <v/>
      </c>
      <c r="J608" s="73" t="str">
        <f t="shared" ref="J608:K608" si="598">IF($B608="","",N(J607)+N(H608))</f>
        <v/>
      </c>
      <c r="K608" s="74" t="str">
        <f t="shared" si="598"/>
        <v/>
      </c>
      <c r="L608" s="69" t="str">
        <f>IF($B608="","",PV-J608)</f>
        <v/>
      </c>
      <c r="M608" s="71" t="str">
        <f>IF($B608="","",J608/PV)</f>
        <v/>
      </c>
      <c r="N608" s="72" t="str">
        <f t="shared" si="4"/>
        <v/>
      </c>
    </row>
    <row r="609" ht="14.25" customHeight="1">
      <c r="B609" s="66" t="str">
        <f>IF(ROWS($1:597)&lt;=Nper,ROWS($1:597),"")</f>
        <v/>
      </c>
      <c r="C609" s="67" t="str">
        <f>IF($B609="","",IF($E$7="Weekly",Start_Date+7*(ROWS($1:597)-1),EDATE(Start_Date,VLOOKUP(IF(ASTemp!$E$7="","Monthly",ASTemp!$E$7),Parameters!$B$3:$D$6,3,0)*(ROWS($1:597)-1))))</f>
        <v/>
      </c>
      <c r="D609" s="68" t="str">
        <f t="shared" si="2"/>
        <v/>
      </c>
      <c r="E609" s="65" t="str">
        <f>IF($B609="","",VLOOKUP(MONTH(C609),Parameters!$F$2:$G$13,2,0))</f>
        <v/>
      </c>
      <c r="F609" s="69" t="str">
        <f>IF($B609="","",PV-N(J608))</f>
        <v/>
      </c>
      <c r="G609" s="69" t="str">
        <f>IF($B609="","",PMT(Rate,Nper,-PV,,Type))</f>
        <v/>
      </c>
      <c r="H609" s="69" t="str">
        <f>IF($B609="","",PPMT(Rate,ROWS($1:597),Nper,-PV,,Type))</f>
        <v/>
      </c>
      <c r="I609" s="69" t="str">
        <f>IF($B609="","",IPMT(Rate,ROWS($1:597),Nper,-PV,,Type))</f>
        <v/>
      </c>
      <c r="J609" s="73" t="str">
        <f t="shared" ref="J609:K609" si="599">IF($B609="","",N(J608)+N(H609))</f>
        <v/>
      </c>
      <c r="K609" s="74" t="str">
        <f t="shared" si="599"/>
        <v/>
      </c>
      <c r="L609" s="69" t="str">
        <f>IF($B609="","",PV-J609)</f>
        <v/>
      </c>
      <c r="M609" s="71" t="str">
        <f>IF($B609="","",J609/PV)</f>
        <v/>
      </c>
      <c r="N609" s="72" t="str">
        <f t="shared" si="4"/>
        <v/>
      </c>
    </row>
    <row r="610" ht="14.25" customHeight="1">
      <c r="B610" s="66" t="str">
        <f>IF(ROWS($1:598)&lt;=Nper,ROWS($1:598),"")</f>
        <v/>
      </c>
      <c r="C610" s="67" t="str">
        <f>IF($B610="","",IF($E$7="Weekly",Start_Date+7*(ROWS($1:598)-1),EDATE(Start_Date,VLOOKUP(IF(ASTemp!$E$7="","Monthly",ASTemp!$E$7),Parameters!$B$3:$D$6,3,0)*(ROWS($1:598)-1))))</f>
        <v/>
      </c>
      <c r="D610" s="68" t="str">
        <f t="shared" si="2"/>
        <v/>
      </c>
      <c r="E610" s="65" t="str">
        <f>IF($B610="","",VLOOKUP(MONTH(C610),Parameters!$F$2:$G$13,2,0))</f>
        <v/>
      </c>
      <c r="F610" s="69" t="str">
        <f>IF($B610="","",PV-N(J609))</f>
        <v/>
      </c>
      <c r="G610" s="69" t="str">
        <f>IF($B610="","",PMT(Rate,Nper,-PV,,Type))</f>
        <v/>
      </c>
      <c r="H610" s="69" t="str">
        <f>IF($B610="","",PPMT(Rate,ROWS($1:598),Nper,-PV,,Type))</f>
        <v/>
      </c>
      <c r="I610" s="69" t="str">
        <f>IF($B610="","",IPMT(Rate,ROWS($1:598),Nper,-PV,,Type))</f>
        <v/>
      </c>
      <c r="J610" s="73" t="str">
        <f t="shared" ref="J610:K610" si="600">IF($B610="","",N(J609)+N(H610))</f>
        <v/>
      </c>
      <c r="K610" s="74" t="str">
        <f t="shared" si="600"/>
        <v/>
      </c>
      <c r="L610" s="69" t="str">
        <f>IF($B610="","",PV-J610)</f>
        <v/>
      </c>
      <c r="M610" s="71" t="str">
        <f>IF($B610="","",J610/PV)</f>
        <v/>
      </c>
      <c r="N610" s="72" t="str">
        <f t="shared" si="4"/>
        <v/>
      </c>
    </row>
    <row r="611" ht="14.25" customHeight="1">
      <c r="B611" s="66" t="str">
        <f>IF(ROWS($1:599)&lt;=Nper,ROWS($1:599),"")</f>
        <v/>
      </c>
      <c r="C611" s="67" t="str">
        <f>IF($B611="","",IF($E$7="Weekly",Start_Date+7*(ROWS($1:599)-1),EDATE(Start_Date,VLOOKUP(IF(ASTemp!$E$7="","Monthly",ASTemp!$E$7),Parameters!$B$3:$D$6,3,0)*(ROWS($1:599)-1))))</f>
        <v/>
      </c>
      <c r="D611" s="68" t="str">
        <f t="shared" si="2"/>
        <v/>
      </c>
      <c r="E611" s="65" t="str">
        <f>IF($B611="","",VLOOKUP(MONTH(C611),Parameters!$F$2:$G$13,2,0))</f>
        <v/>
      </c>
      <c r="F611" s="69" t="str">
        <f>IF($B611="","",PV-N(J610))</f>
        <v/>
      </c>
      <c r="G611" s="69" t="str">
        <f>IF($B611="","",PMT(Rate,Nper,-PV,,Type))</f>
        <v/>
      </c>
      <c r="H611" s="69" t="str">
        <f>IF($B611="","",PPMT(Rate,ROWS($1:599),Nper,-PV,,Type))</f>
        <v/>
      </c>
      <c r="I611" s="69" t="str">
        <f>IF($B611="","",IPMT(Rate,ROWS($1:599),Nper,-PV,,Type))</f>
        <v/>
      </c>
      <c r="J611" s="73" t="str">
        <f t="shared" ref="J611:K611" si="601">IF($B611="","",N(J610)+N(H611))</f>
        <v/>
      </c>
      <c r="K611" s="74" t="str">
        <f t="shared" si="601"/>
        <v/>
      </c>
      <c r="L611" s="69" t="str">
        <f>IF($B611="","",PV-J611)</f>
        <v/>
      </c>
      <c r="M611" s="71" t="str">
        <f>IF($B611="","",J611/PV)</f>
        <v/>
      </c>
      <c r="N611" s="72" t="str">
        <f t="shared" si="4"/>
        <v/>
      </c>
    </row>
    <row r="612" ht="14.25" customHeight="1">
      <c r="B612" s="66" t="str">
        <f>IF(ROWS($1:600)&lt;=Nper,ROWS($1:600),"")</f>
        <v/>
      </c>
      <c r="C612" s="67" t="str">
        <f>IF($B612="","",IF($E$7="Weekly",Start_Date+7*(ROWS($1:600)-1),EDATE(Start_Date,VLOOKUP(IF(ASTemp!$E$7="","Monthly",ASTemp!$E$7),Parameters!$B$3:$D$6,3,0)*(ROWS($1:600)-1))))</f>
        <v/>
      </c>
      <c r="D612" s="68" t="str">
        <f t="shared" si="2"/>
        <v/>
      </c>
      <c r="E612" s="65" t="str">
        <f>IF($B612="","",VLOOKUP(MONTH(C612),Parameters!$F$2:$G$13,2,0))</f>
        <v/>
      </c>
      <c r="F612" s="69" t="str">
        <f>IF($B612="","",PV-N(J611))</f>
        <v/>
      </c>
      <c r="G612" s="69" t="str">
        <f>IF($B612="","",PMT(Rate,Nper,-PV,,Type))</f>
        <v/>
      </c>
      <c r="H612" s="69" t="str">
        <f>IF($B612="","",PPMT(Rate,ROWS($1:600),Nper,-PV,,Type))</f>
        <v/>
      </c>
      <c r="I612" s="69" t="str">
        <f>IF($B612="","",IPMT(Rate,ROWS($1:600),Nper,-PV,,Type))</f>
        <v/>
      </c>
      <c r="J612" s="73" t="str">
        <f t="shared" ref="J612:K612" si="602">IF($B612="","",N(J611)+N(H612))</f>
        <v/>
      </c>
      <c r="K612" s="74" t="str">
        <f t="shared" si="602"/>
        <v/>
      </c>
      <c r="L612" s="69" t="str">
        <f>IF($B612="","",PV-J612)</f>
        <v/>
      </c>
      <c r="M612" s="71" t="str">
        <f>IF($B612="","",J612/PV)</f>
        <v/>
      </c>
      <c r="N612" s="72" t="str">
        <f t="shared" si="4"/>
        <v/>
      </c>
    </row>
    <row r="613" ht="14.25" customHeight="1">
      <c r="B613" s="66" t="str">
        <f>IF(ROWS($1:601)&lt;=Nper,ROWS($1:601),"")</f>
        <v/>
      </c>
      <c r="C613" s="67" t="str">
        <f>IF($B613="","",IF($E$7="Weekly",Start_Date+7*(ROWS($1:601)-1),EDATE(Start_Date,VLOOKUP(IF(ASTemp!$E$7="","Monthly",ASTemp!$E$7),Parameters!$B$3:$D$6,3,0)*(ROWS($1:601)-1))))</f>
        <v/>
      </c>
      <c r="D613" s="68" t="str">
        <f t="shared" si="2"/>
        <v/>
      </c>
      <c r="E613" s="65" t="str">
        <f>IF($B613="","",VLOOKUP(MONTH(C613),Parameters!$F$2:$G$13,2,0))</f>
        <v/>
      </c>
      <c r="F613" s="69" t="str">
        <f>IF($B613="","",PV-N(J612))</f>
        <v/>
      </c>
      <c r="G613" s="69" t="str">
        <f>IF($B613="","",PMT(Rate,Nper,-PV,,Type))</f>
        <v/>
      </c>
      <c r="H613" s="69" t="str">
        <f>IF($B613="","",PPMT(Rate,ROWS($1:601),Nper,-PV,,Type))</f>
        <v/>
      </c>
      <c r="I613" s="69" t="str">
        <f>IF($B613="","",IPMT(Rate,ROWS($1:601),Nper,-PV,,Type))</f>
        <v/>
      </c>
      <c r="J613" s="73" t="str">
        <f t="shared" ref="J613:K613" si="603">IF($B613="","",N(J612)+N(H613))</f>
        <v/>
      </c>
      <c r="K613" s="74" t="str">
        <f t="shared" si="603"/>
        <v/>
      </c>
      <c r="L613" s="69" t="str">
        <f>IF($B613="","",PV-J613)</f>
        <v/>
      </c>
      <c r="M613" s="71" t="str">
        <f>IF($B613="","",J613/PV)</f>
        <v/>
      </c>
      <c r="N613" s="72" t="str">
        <f t="shared" si="4"/>
        <v/>
      </c>
    </row>
    <row r="614" ht="14.25" customHeight="1">
      <c r="B614" s="66" t="str">
        <f>IF(ROWS($1:602)&lt;=Nper,ROWS($1:602),"")</f>
        <v/>
      </c>
      <c r="C614" s="67" t="str">
        <f>IF($B614="","",IF($E$7="Weekly",Start_Date+7*(ROWS($1:602)-1),EDATE(Start_Date,VLOOKUP(IF(ASTemp!$E$7="","Monthly",ASTemp!$E$7),Parameters!$B$3:$D$6,3,0)*(ROWS($1:602)-1))))</f>
        <v/>
      </c>
      <c r="D614" s="68" t="str">
        <f t="shared" si="2"/>
        <v/>
      </c>
      <c r="E614" s="65" t="str">
        <f>IF($B614="","",VLOOKUP(MONTH(C614),Parameters!$F$2:$G$13,2,0))</f>
        <v/>
      </c>
      <c r="F614" s="69" t="str">
        <f>IF($B614="","",PV-N(J613))</f>
        <v/>
      </c>
      <c r="G614" s="69" t="str">
        <f>IF($B614="","",PMT(Rate,Nper,-PV,,Type))</f>
        <v/>
      </c>
      <c r="H614" s="69" t="str">
        <f>IF($B614="","",PPMT(Rate,ROWS($1:602),Nper,-PV,,Type))</f>
        <v/>
      </c>
      <c r="I614" s="69" t="str">
        <f>IF($B614="","",IPMT(Rate,ROWS($1:602),Nper,-PV,,Type))</f>
        <v/>
      </c>
      <c r="J614" s="73" t="str">
        <f t="shared" ref="J614:K614" si="604">IF($B614="","",N(J613)+N(H614))</f>
        <v/>
      </c>
      <c r="K614" s="74" t="str">
        <f t="shared" si="604"/>
        <v/>
      </c>
      <c r="L614" s="69" t="str">
        <f>IF($B614="","",PV-J614)</f>
        <v/>
      </c>
      <c r="M614" s="71" t="str">
        <f>IF($B614="","",J614/PV)</f>
        <v/>
      </c>
      <c r="N614" s="72" t="str">
        <f t="shared" si="4"/>
        <v/>
      </c>
    </row>
    <row r="615" ht="14.25" customHeight="1">
      <c r="B615" s="66" t="str">
        <f>IF(ROWS($1:603)&lt;=Nper,ROWS($1:603),"")</f>
        <v/>
      </c>
      <c r="C615" s="67" t="str">
        <f>IF($B615="","",IF($E$7="Weekly",Start_Date+7*(ROWS($1:603)-1),EDATE(Start_Date,VLOOKUP(IF(ASTemp!$E$7="","Monthly",ASTemp!$E$7),Parameters!$B$3:$D$6,3,0)*(ROWS($1:603)-1))))</f>
        <v/>
      </c>
      <c r="D615" s="68" t="str">
        <f t="shared" si="2"/>
        <v/>
      </c>
      <c r="E615" s="65" t="str">
        <f>IF($B615="","",VLOOKUP(MONTH(C615),Parameters!$F$2:$G$13,2,0))</f>
        <v/>
      </c>
      <c r="F615" s="69" t="str">
        <f>IF($B615="","",PV-N(J614))</f>
        <v/>
      </c>
      <c r="G615" s="69" t="str">
        <f>IF($B615="","",PMT(Rate,Nper,-PV,,Type))</f>
        <v/>
      </c>
      <c r="H615" s="69" t="str">
        <f>IF($B615="","",PPMT(Rate,ROWS($1:603),Nper,-PV,,Type))</f>
        <v/>
      </c>
      <c r="I615" s="69" t="str">
        <f>IF($B615="","",IPMT(Rate,ROWS($1:603),Nper,-PV,,Type))</f>
        <v/>
      </c>
      <c r="J615" s="73" t="str">
        <f t="shared" ref="J615:K615" si="605">IF($B615="","",N(J614)+N(H615))</f>
        <v/>
      </c>
      <c r="K615" s="74" t="str">
        <f t="shared" si="605"/>
        <v/>
      </c>
      <c r="L615" s="69" t="str">
        <f>IF($B615="","",PV-J615)</f>
        <v/>
      </c>
      <c r="M615" s="71" t="str">
        <f>IF($B615="","",J615/PV)</f>
        <v/>
      </c>
      <c r="N615" s="72" t="str">
        <f t="shared" si="4"/>
        <v/>
      </c>
    </row>
    <row r="616" ht="14.25" customHeight="1">
      <c r="B616" s="66" t="str">
        <f>IF(ROWS($1:604)&lt;=Nper,ROWS($1:604),"")</f>
        <v/>
      </c>
      <c r="C616" s="67" t="str">
        <f>IF($B616="","",IF($E$7="Weekly",Start_Date+7*(ROWS($1:604)-1),EDATE(Start_Date,VLOOKUP(IF(ASTemp!$E$7="","Monthly",ASTemp!$E$7),Parameters!$B$3:$D$6,3,0)*(ROWS($1:604)-1))))</f>
        <v/>
      </c>
      <c r="D616" s="68" t="str">
        <f t="shared" si="2"/>
        <v/>
      </c>
      <c r="E616" s="65" t="str">
        <f>IF($B616="","",VLOOKUP(MONTH(C616),Parameters!$F$2:$G$13,2,0))</f>
        <v/>
      </c>
      <c r="F616" s="69" t="str">
        <f>IF($B616="","",PV-N(J615))</f>
        <v/>
      </c>
      <c r="G616" s="69" t="str">
        <f>IF($B616="","",PMT(Rate,Nper,-PV,,Type))</f>
        <v/>
      </c>
      <c r="H616" s="69" t="str">
        <f>IF($B616="","",PPMT(Rate,ROWS($1:604),Nper,-PV,,Type))</f>
        <v/>
      </c>
      <c r="I616" s="69" t="str">
        <f>IF($B616="","",IPMT(Rate,ROWS($1:604),Nper,-PV,,Type))</f>
        <v/>
      </c>
      <c r="J616" s="73" t="str">
        <f t="shared" ref="J616:K616" si="606">IF($B616="","",N(J615)+N(H616))</f>
        <v/>
      </c>
      <c r="K616" s="74" t="str">
        <f t="shared" si="606"/>
        <v/>
      </c>
      <c r="L616" s="69" t="str">
        <f>IF($B616="","",PV-J616)</f>
        <v/>
      </c>
      <c r="M616" s="71" t="str">
        <f>IF($B616="","",J616/PV)</f>
        <v/>
      </c>
      <c r="N616" s="72" t="str">
        <f t="shared" si="4"/>
        <v/>
      </c>
    </row>
    <row r="617" ht="14.25" customHeight="1">
      <c r="B617" s="66" t="str">
        <f>IF(ROWS($1:605)&lt;=Nper,ROWS($1:605),"")</f>
        <v/>
      </c>
      <c r="C617" s="67" t="str">
        <f>IF($B617="","",IF($E$7="Weekly",Start_Date+7*(ROWS($1:605)-1),EDATE(Start_Date,VLOOKUP(IF(ASTemp!$E$7="","Monthly",ASTemp!$E$7),Parameters!$B$3:$D$6,3,0)*(ROWS($1:605)-1))))</f>
        <v/>
      </c>
      <c r="D617" s="68" t="str">
        <f t="shared" si="2"/>
        <v/>
      </c>
      <c r="E617" s="65" t="str">
        <f>IF($B617="","",VLOOKUP(MONTH(C617),Parameters!$F$2:$G$13,2,0))</f>
        <v/>
      </c>
      <c r="F617" s="69" t="str">
        <f>IF($B617="","",PV-N(J616))</f>
        <v/>
      </c>
      <c r="G617" s="69" t="str">
        <f>IF($B617="","",PMT(Rate,Nper,-PV,,Type))</f>
        <v/>
      </c>
      <c r="H617" s="69" t="str">
        <f>IF($B617="","",PPMT(Rate,ROWS($1:605),Nper,-PV,,Type))</f>
        <v/>
      </c>
      <c r="I617" s="69" t="str">
        <f>IF($B617="","",IPMT(Rate,ROWS($1:605),Nper,-PV,,Type))</f>
        <v/>
      </c>
      <c r="J617" s="73" t="str">
        <f t="shared" ref="J617:K617" si="607">IF($B617="","",N(J616)+N(H617))</f>
        <v/>
      </c>
      <c r="K617" s="74" t="str">
        <f t="shared" si="607"/>
        <v/>
      </c>
      <c r="L617" s="69" t="str">
        <f>IF($B617="","",PV-J617)</f>
        <v/>
      </c>
      <c r="M617" s="71" t="str">
        <f>IF($B617="","",J617/PV)</f>
        <v/>
      </c>
      <c r="N617" s="72" t="str">
        <f t="shared" si="4"/>
        <v/>
      </c>
    </row>
    <row r="618" ht="14.25" customHeight="1">
      <c r="B618" s="66" t="str">
        <f>IF(ROWS($1:606)&lt;=Nper,ROWS($1:606),"")</f>
        <v/>
      </c>
      <c r="C618" s="67" t="str">
        <f>IF($B618="","",IF($E$7="Weekly",Start_Date+7*(ROWS($1:606)-1),EDATE(Start_Date,VLOOKUP(IF(ASTemp!$E$7="","Monthly",ASTemp!$E$7),Parameters!$B$3:$D$6,3,0)*(ROWS($1:606)-1))))</f>
        <v/>
      </c>
      <c r="D618" s="68" t="str">
        <f t="shared" si="2"/>
        <v/>
      </c>
      <c r="E618" s="65" t="str">
        <f>IF($B618="","",VLOOKUP(MONTH(C618),Parameters!$F$2:$G$13,2,0))</f>
        <v/>
      </c>
      <c r="F618" s="69" t="str">
        <f>IF($B618="","",PV-N(J617))</f>
        <v/>
      </c>
      <c r="G618" s="69" t="str">
        <f>IF($B618="","",PMT(Rate,Nper,-PV,,Type))</f>
        <v/>
      </c>
      <c r="H618" s="69" t="str">
        <f>IF($B618="","",PPMT(Rate,ROWS($1:606),Nper,-PV,,Type))</f>
        <v/>
      </c>
      <c r="I618" s="69" t="str">
        <f>IF($B618="","",IPMT(Rate,ROWS($1:606),Nper,-PV,,Type))</f>
        <v/>
      </c>
      <c r="J618" s="73" t="str">
        <f t="shared" ref="J618:K618" si="608">IF($B618="","",N(J617)+N(H618))</f>
        <v/>
      </c>
      <c r="K618" s="74" t="str">
        <f t="shared" si="608"/>
        <v/>
      </c>
      <c r="L618" s="69" t="str">
        <f>IF($B618="","",PV-J618)</f>
        <v/>
      </c>
      <c r="M618" s="71" t="str">
        <f>IF($B618="","",J618/PV)</f>
        <v/>
      </c>
      <c r="N618" s="72" t="str">
        <f t="shared" si="4"/>
        <v/>
      </c>
    </row>
    <row r="619" ht="14.25" customHeight="1">
      <c r="B619" s="66" t="str">
        <f>IF(ROWS($1:607)&lt;=Nper,ROWS($1:607),"")</f>
        <v/>
      </c>
      <c r="C619" s="67" t="str">
        <f>IF($B619="","",IF($E$7="Weekly",Start_Date+7*(ROWS($1:607)-1),EDATE(Start_Date,VLOOKUP(IF(ASTemp!$E$7="","Monthly",ASTemp!$E$7),Parameters!$B$3:$D$6,3,0)*(ROWS($1:607)-1))))</f>
        <v/>
      </c>
      <c r="D619" s="68" t="str">
        <f t="shared" si="2"/>
        <v/>
      </c>
      <c r="E619" s="65" t="str">
        <f>IF($B619="","",VLOOKUP(MONTH(C619),Parameters!$F$2:$G$13,2,0))</f>
        <v/>
      </c>
      <c r="F619" s="69" t="str">
        <f>IF($B619="","",PV-N(J618))</f>
        <v/>
      </c>
      <c r="G619" s="69" t="str">
        <f>IF($B619="","",PMT(Rate,Nper,-PV,,Type))</f>
        <v/>
      </c>
      <c r="H619" s="69" t="str">
        <f>IF($B619="","",PPMT(Rate,ROWS($1:607),Nper,-PV,,Type))</f>
        <v/>
      </c>
      <c r="I619" s="69" t="str">
        <f>IF($B619="","",IPMT(Rate,ROWS($1:607),Nper,-PV,,Type))</f>
        <v/>
      </c>
      <c r="J619" s="73" t="str">
        <f t="shared" ref="J619:K619" si="609">IF($B619="","",N(J618)+N(H619))</f>
        <v/>
      </c>
      <c r="K619" s="74" t="str">
        <f t="shared" si="609"/>
        <v/>
      </c>
      <c r="L619" s="69" t="str">
        <f>IF($B619="","",PV-J619)</f>
        <v/>
      </c>
      <c r="M619" s="71" t="str">
        <f>IF($B619="","",J619/PV)</f>
        <v/>
      </c>
      <c r="N619" s="72" t="str">
        <f t="shared" si="4"/>
        <v/>
      </c>
    </row>
    <row r="620" ht="14.25" customHeight="1">
      <c r="B620" s="66" t="str">
        <f>IF(ROWS($1:608)&lt;=Nper,ROWS($1:608),"")</f>
        <v/>
      </c>
      <c r="C620" s="67" t="str">
        <f>IF($B620="","",IF($E$7="Weekly",Start_Date+7*(ROWS($1:608)-1),EDATE(Start_Date,VLOOKUP(IF(ASTemp!$E$7="","Monthly",ASTemp!$E$7),Parameters!$B$3:$D$6,3,0)*(ROWS($1:608)-1))))</f>
        <v/>
      </c>
      <c r="D620" s="68" t="str">
        <f t="shared" si="2"/>
        <v/>
      </c>
      <c r="E620" s="65" t="str">
        <f>IF($B620="","",VLOOKUP(MONTH(C620),Parameters!$F$2:$G$13,2,0))</f>
        <v/>
      </c>
      <c r="F620" s="69" t="str">
        <f>IF($B620="","",PV-N(J619))</f>
        <v/>
      </c>
      <c r="G620" s="69" t="str">
        <f>IF($B620="","",PMT(Rate,Nper,-PV,,Type))</f>
        <v/>
      </c>
      <c r="H620" s="69" t="str">
        <f>IF($B620="","",PPMT(Rate,ROWS($1:608),Nper,-PV,,Type))</f>
        <v/>
      </c>
      <c r="I620" s="69" t="str">
        <f>IF($B620="","",IPMT(Rate,ROWS($1:608),Nper,-PV,,Type))</f>
        <v/>
      </c>
      <c r="J620" s="73" t="str">
        <f t="shared" ref="J620:K620" si="610">IF($B620="","",N(J619)+N(H620))</f>
        <v/>
      </c>
      <c r="K620" s="74" t="str">
        <f t="shared" si="610"/>
        <v/>
      </c>
      <c r="L620" s="69" t="str">
        <f>IF($B620="","",PV-J620)</f>
        <v/>
      </c>
      <c r="M620" s="71" t="str">
        <f>IF($B620="","",J620/PV)</f>
        <v/>
      </c>
      <c r="N620" s="72" t="str">
        <f t="shared" si="4"/>
        <v/>
      </c>
    </row>
    <row r="621" ht="14.25" customHeight="1">
      <c r="B621" s="66" t="str">
        <f>IF(ROWS($1:609)&lt;=Nper,ROWS($1:609),"")</f>
        <v/>
      </c>
      <c r="C621" s="67" t="str">
        <f>IF($B621="","",IF($E$7="Weekly",Start_Date+7*(ROWS($1:609)-1),EDATE(Start_Date,VLOOKUP(IF(ASTemp!$E$7="","Monthly",ASTemp!$E$7),Parameters!$B$3:$D$6,3,0)*(ROWS($1:609)-1))))</f>
        <v/>
      </c>
      <c r="D621" s="68" t="str">
        <f t="shared" si="2"/>
        <v/>
      </c>
      <c r="E621" s="65" t="str">
        <f>IF($B621="","",VLOOKUP(MONTH(C621),Parameters!$F$2:$G$13,2,0))</f>
        <v/>
      </c>
      <c r="F621" s="69" t="str">
        <f>IF($B621="","",PV-N(J620))</f>
        <v/>
      </c>
      <c r="G621" s="69" t="str">
        <f>IF($B621="","",PMT(Rate,Nper,-PV,,Type))</f>
        <v/>
      </c>
      <c r="H621" s="69" t="str">
        <f>IF($B621="","",PPMT(Rate,ROWS($1:609),Nper,-PV,,Type))</f>
        <v/>
      </c>
      <c r="I621" s="69" t="str">
        <f>IF($B621="","",IPMT(Rate,ROWS($1:609),Nper,-PV,,Type))</f>
        <v/>
      </c>
      <c r="J621" s="73" t="str">
        <f t="shared" ref="J621:K621" si="611">IF($B621="","",N(J620)+N(H621))</f>
        <v/>
      </c>
      <c r="K621" s="74" t="str">
        <f t="shared" si="611"/>
        <v/>
      </c>
      <c r="L621" s="69" t="str">
        <f>IF($B621="","",PV-J621)</f>
        <v/>
      </c>
      <c r="M621" s="71" t="str">
        <f>IF($B621="","",J621/PV)</f>
        <v/>
      </c>
      <c r="N621" s="72" t="str">
        <f t="shared" si="4"/>
        <v/>
      </c>
    </row>
    <row r="622" ht="14.25" customHeight="1">
      <c r="B622" s="66" t="str">
        <f>IF(ROWS($1:610)&lt;=Nper,ROWS($1:610),"")</f>
        <v/>
      </c>
      <c r="C622" s="67" t="str">
        <f>IF($B622="","",IF($E$7="Weekly",Start_Date+7*(ROWS($1:610)-1),EDATE(Start_Date,VLOOKUP(IF(ASTemp!$E$7="","Monthly",ASTemp!$E$7),Parameters!$B$3:$D$6,3,0)*(ROWS($1:610)-1))))</f>
        <v/>
      </c>
      <c r="D622" s="68" t="str">
        <f t="shared" si="2"/>
        <v/>
      </c>
      <c r="E622" s="65" t="str">
        <f>IF($B622="","",VLOOKUP(MONTH(C622),Parameters!$F$2:$G$13,2,0))</f>
        <v/>
      </c>
      <c r="F622" s="69" t="str">
        <f>IF($B622="","",PV-N(J621))</f>
        <v/>
      </c>
      <c r="G622" s="69" t="str">
        <f>IF($B622="","",PMT(Rate,Nper,-PV,,Type))</f>
        <v/>
      </c>
      <c r="H622" s="69" t="str">
        <f>IF($B622="","",PPMT(Rate,ROWS($1:610),Nper,-PV,,Type))</f>
        <v/>
      </c>
      <c r="I622" s="69" t="str">
        <f>IF($B622="","",IPMT(Rate,ROWS($1:610),Nper,-PV,,Type))</f>
        <v/>
      </c>
      <c r="J622" s="73" t="str">
        <f t="shared" ref="J622:K622" si="612">IF($B622="","",N(J621)+N(H622))</f>
        <v/>
      </c>
      <c r="K622" s="74" t="str">
        <f t="shared" si="612"/>
        <v/>
      </c>
      <c r="L622" s="69" t="str">
        <f>IF($B622="","",PV-J622)</f>
        <v/>
      </c>
      <c r="M622" s="71" t="str">
        <f>IF($B622="","",J622/PV)</f>
        <v/>
      </c>
      <c r="N622" s="72" t="str">
        <f t="shared" si="4"/>
        <v/>
      </c>
    </row>
    <row r="623" ht="14.25" customHeight="1">
      <c r="B623" s="66" t="str">
        <f>IF(ROWS($1:611)&lt;=Nper,ROWS($1:611),"")</f>
        <v/>
      </c>
      <c r="C623" s="67" t="str">
        <f>IF($B623="","",IF($E$7="Weekly",Start_Date+7*(ROWS($1:611)-1),EDATE(Start_Date,VLOOKUP(IF(ASTemp!$E$7="","Monthly",ASTemp!$E$7),Parameters!$B$3:$D$6,3,0)*(ROWS($1:611)-1))))</f>
        <v/>
      </c>
      <c r="D623" s="68" t="str">
        <f t="shared" si="2"/>
        <v/>
      </c>
      <c r="E623" s="65" t="str">
        <f>IF($B623="","",VLOOKUP(MONTH(C623),Parameters!$F$2:$G$13,2,0))</f>
        <v/>
      </c>
      <c r="F623" s="69" t="str">
        <f>IF($B623="","",PV-N(J622))</f>
        <v/>
      </c>
      <c r="G623" s="69" t="str">
        <f>IF($B623="","",PMT(Rate,Nper,-PV,,Type))</f>
        <v/>
      </c>
      <c r="H623" s="69" t="str">
        <f>IF($B623="","",PPMT(Rate,ROWS($1:611),Nper,-PV,,Type))</f>
        <v/>
      </c>
      <c r="I623" s="69" t="str">
        <f>IF($B623="","",IPMT(Rate,ROWS($1:611),Nper,-PV,,Type))</f>
        <v/>
      </c>
      <c r="J623" s="73" t="str">
        <f t="shared" ref="J623:K623" si="613">IF($B623="","",N(J622)+N(H623))</f>
        <v/>
      </c>
      <c r="K623" s="74" t="str">
        <f t="shared" si="613"/>
        <v/>
      </c>
      <c r="L623" s="69" t="str">
        <f>IF($B623="","",PV-J623)</f>
        <v/>
      </c>
      <c r="M623" s="71" t="str">
        <f>IF($B623="","",J623/PV)</f>
        <v/>
      </c>
      <c r="N623" s="72" t="str">
        <f t="shared" si="4"/>
        <v/>
      </c>
    </row>
    <row r="624" ht="14.25" customHeight="1">
      <c r="B624" s="66" t="str">
        <f>IF(ROWS($1:612)&lt;=Nper,ROWS($1:612),"")</f>
        <v/>
      </c>
      <c r="C624" s="67" t="str">
        <f>IF($B624="","",IF($E$7="Weekly",Start_Date+7*(ROWS($1:612)-1),EDATE(Start_Date,VLOOKUP(IF(ASTemp!$E$7="","Monthly",ASTemp!$E$7),Parameters!$B$3:$D$6,3,0)*(ROWS($1:612)-1))))</f>
        <v/>
      </c>
      <c r="D624" s="68" t="str">
        <f t="shared" si="2"/>
        <v/>
      </c>
      <c r="E624" s="65" t="str">
        <f>IF($B624="","",VLOOKUP(MONTH(C624),Parameters!$F$2:$G$13,2,0))</f>
        <v/>
      </c>
      <c r="F624" s="69" t="str">
        <f>IF($B624="","",PV-N(J623))</f>
        <v/>
      </c>
      <c r="G624" s="69" t="str">
        <f>IF($B624="","",PMT(Rate,Nper,-PV,,Type))</f>
        <v/>
      </c>
      <c r="H624" s="69" t="str">
        <f>IF($B624="","",PPMT(Rate,ROWS($1:612),Nper,-PV,,Type))</f>
        <v/>
      </c>
      <c r="I624" s="69" t="str">
        <f>IF($B624="","",IPMT(Rate,ROWS($1:612),Nper,-PV,,Type))</f>
        <v/>
      </c>
      <c r="J624" s="73" t="str">
        <f t="shared" ref="J624:K624" si="614">IF($B624="","",N(J623)+N(H624))</f>
        <v/>
      </c>
      <c r="K624" s="74" t="str">
        <f t="shared" si="614"/>
        <v/>
      </c>
      <c r="L624" s="69" t="str">
        <f>IF($B624="","",PV-J624)</f>
        <v/>
      </c>
      <c r="M624" s="71" t="str">
        <f>IF($B624="","",J624/PV)</f>
        <v/>
      </c>
      <c r="N624" s="72" t="str">
        <f t="shared" si="4"/>
        <v/>
      </c>
    </row>
    <row r="625" ht="14.25" customHeight="1">
      <c r="B625" s="66" t="str">
        <f>IF(ROWS($1:613)&lt;=Nper,ROWS($1:613),"")</f>
        <v/>
      </c>
      <c r="C625" s="67" t="str">
        <f>IF($B625="","",IF($E$7="Weekly",Start_Date+7*(ROWS($1:613)-1),EDATE(Start_Date,VLOOKUP(IF(ASTemp!$E$7="","Monthly",ASTemp!$E$7),Parameters!$B$3:$D$6,3,0)*(ROWS($1:613)-1))))</f>
        <v/>
      </c>
      <c r="D625" s="68" t="str">
        <f t="shared" si="2"/>
        <v/>
      </c>
      <c r="E625" s="65" t="str">
        <f>IF($B625="","",VLOOKUP(MONTH(C625),Parameters!$F$2:$G$13,2,0))</f>
        <v/>
      </c>
      <c r="F625" s="69" t="str">
        <f>IF($B625="","",PV-N(J624))</f>
        <v/>
      </c>
      <c r="G625" s="69" t="str">
        <f>IF($B625="","",PMT(Rate,Nper,-PV,,Type))</f>
        <v/>
      </c>
      <c r="H625" s="69" t="str">
        <f>IF($B625="","",PPMT(Rate,ROWS($1:613),Nper,-PV,,Type))</f>
        <v/>
      </c>
      <c r="I625" s="69" t="str">
        <f>IF($B625="","",IPMT(Rate,ROWS($1:613),Nper,-PV,,Type))</f>
        <v/>
      </c>
      <c r="J625" s="73" t="str">
        <f t="shared" ref="J625:K625" si="615">IF($B625="","",N(J624)+N(H625))</f>
        <v/>
      </c>
      <c r="K625" s="74" t="str">
        <f t="shared" si="615"/>
        <v/>
      </c>
      <c r="L625" s="69" t="str">
        <f>IF($B625="","",PV-J625)</f>
        <v/>
      </c>
      <c r="M625" s="71" t="str">
        <f>IF($B625="","",J625/PV)</f>
        <v/>
      </c>
      <c r="N625" s="72" t="str">
        <f t="shared" si="4"/>
        <v/>
      </c>
    </row>
    <row r="626" ht="14.25" customHeight="1">
      <c r="B626" s="66" t="str">
        <f>IF(ROWS($1:614)&lt;=Nper,ROWS($1:614),"")</f>
        <v/>
      </c>
      <c r="C626" s="67" t="str">
        <f>IF($B626="","",IF($E$7="Weekly",Start_Date+7*(ROWS($1:614)-1),EDATE(Start_Date,VLOOKUP(IF(ASTemp!$E$7="","Monthly",ASTemp!$E$7),Parameters!$B$3:$D$6,3,0)*(ROWS($1:614)-1))))</f>
        <v/>
      </c>
      <c r="D626" s="68" t="str">
        <f t="shared" si="2"/>
        <v/>
      </c>
      <c r="E626" s="65" t="str">
        <f>IF($B626="","",VLOOKUP(MONTH(C626),Parameters!$F$2:$G$13,2,0))</f>
        <v/>
      </c>
      <c r="F626" s="69" t="str">
        <f>IF($B626="","",PV-N(J625))</f>
        <v/>
      </c>
      <c r="G626" s="69" t="str">
        <f>IF($B626="","",PMT(Rate,Nper,-PV,,Type))</f>
        <v/>
      </c>
      <c r="H626" s="69" t="str">
        <f>IF($B626="","",PPMT(Rate,ROWS($1:614),Nper,-PV,,Type))</f>
        <v/>
      </c>
      <c r="I626" s="69" t="str">
        <f>IF($B626="","",IPMT(Rate,ROWS($1:614),Nper,-PV,,Type))</f>
        <v/>
      </c>
      <c r="J626" s="73" t="str">
        <f t="shared" ref="J626:K626" si="616">IF($B626="","",N(J625)+N(H626))</f>
        <v/>
      </c>
      <c r="K626" s="74" t="str">
        <f t="shared" si="616"/>
        <v/>
      </c>
      <c r="L626" s="69" t="str">
        <f>IF($B626="","",PV-J626)</f>
        <v/>
      </c>
      <c r="M626" s="71" t="str">
        <f>IF($B626="","",J626/PV)</f>
        <v/>
      </c>
      <c r="N626" s="72" t="str">
        <f t="shared" si="4"/>
        <v/>
      </c>
    </row>
    <row r="627" ht="14.25" customHeight="1">
      <c r="B627" s="66" t="str">
        <f>IF(ROWS($1:615)&lt;=Nper,ROWS($1:615),"")</f>
        <v/>
      </c>
      <c r="C627" s="67" t="str">
        <f>IF($B627="","",IF($E$7="Weekly",Start_Date+7*(ROWS($1:615)-1),EDATE(Start_Date,VLOOKUP(IF(ASTemp!$E$7="","Monthly",ASTemp!$E$7),Parameters!$B$3:$D$6,3,0)*(ROWS($1:615)-1))))</f>
        <v/>
      </c>
      <c r="D627" s="68" t="str">
        <f t="shared" si="2"/>
        <v/>
      </c>
      <c r="E627" s="65" t="str">
        <f>IF($B627="","",VLOOKUP(MONTH(C627),Parameters!$F$2:$G$13,2,0))</f>
        <v/>
      </c>
      <c r="F627" s="69" t="str">
        <f>IF($B627="","",PV-N(J626))</f>
        <v/>
      </c>
      <c r="G627" s="69" t="str">
        <f>IF($B627="","",PMT(Rate,Nper,-PV,,Type))</f>
        <v/>
      </c>
      <c r="H627" s="69" t="str">
        <f>IF($B627="","",PPMT(Rate,ROWS($1:615),Nper,-PV,,Type))</f>
        <v/>
      </c>
      <c r="I627" s="69" t="str">
        <f>IF($B627="","",IPMT(Rate,ROWS($1:615),Nper,-PV,,Type))</f>
        <v/>
      </c>
      <c r="J627" s="73" t="str">
        <f t="shared" ref="J627:K627" si="617">IF($B627="","",N(J626)+N(H627))</f>
        <v/>
      </c>
      <c r="K627" s="74" t="str">
        <f t="shared" si="617"/>
        <v/>
      </c>
      <c r="L627" s="69" t="str">
        <f>IF($B627="","",PV-J627)</f>
        <v/>
      </c>
      <c r="M627" s="71" t="str">
        <f>IF($B627="","",J627/PV)</f>
        <v/>
      </c>
      <c r="N627" s="72" t="str">
        <f t="shared" si="4"/>
        <v/>
      </c>
    </row>
    <row r="628" ht="14.25" customHeight="1">
      <c r="B628" s="66" t="str">
        <f>IF(ROWS($1:616)&lt;=Nper,ROWS($1:616),"")</f>
        <v/>
      </c>
      <c r="C628" s="67" t="str">
        <f>IF($B628="","",IF($E$7="Weekly",Start_Date+7*(ROWS($1:616)-1),EDATE(Start_Date,VLOOKUP(IF(ASTemp!$E$7="","Monthly",ASTemp!$E$7),Parameters!$B$3:$D$6,3,0)*(ROWS($1:616)-1))))</f>
        <v/>
      </c>
      <c r="D628" s="68" t="str">
        <f t="shared" si="2"/>
        <v/>
      </c>
      <c r="E628" s="65" t="str">
        <f>IF($B628="","",VLOOKUP(MONTH(C628),Parameters!$F$2:$G$13,2,0))</f>
        <v/>
      </c>
      <c r="F628" s="69" t="str">
        <f>IF($B628="","",PV-N(J627))</f>
        <v/>
      </c>
      <c r="G628" s="69" t="str">
        <f>IF($B628="","",PMT(Rate,Nper,-PV,,Type))</f>
        <v/>
      </c>
      <c r="H628" s="69" t="str">
        <f>IF($B628="","",PPMT(Rate,ROWS($1:616),Nper,-PV,,Type))</f>
        <v/>
      </c>
      <c r="I628" s="69" t="str">
        <f>IF($B628="","",IPMT(Rate,ROWS($1:616),Nper,-PV,,Type))</f>
        <v/>
      </c>
      <c r="J628" s="73" t="str">
        <f t="shared" ref="J628:K628" si="618">IF($B628="","",N(J627)+N(H628))</f>
        <v/>
      </c>
      <c r="K628" s="74" t="str">
        <f t="shared" si="618"/>
        <v/>
      </c>
      <c r="L628" s="69" t="str">
        <f>IF($B628="","",PV-J628)</f>
        <v/>
      </c>
      <c r="M628" s="71" t="str">
        <f>IF($B628="","",J628/PV)</f>
        <v/>
      </c>
      <c r="N628" s="72" t="str">
        <f t="shared" si="4"/>
        <v/>
      </c>
    </row>
    <row r="629" ht="14.25" customHeight="1">
      <c r="B629" s="66" t="str">
        <f>IF(ROWS($1:617)&lt;=Nper,ROWS($1:617),"")</f>
        <v/>
      </c>
      <c r="C629" s="67" t="str">
        <f>IF($B629="","",IF($E$7="Weekly",Start_Date+7*(ROWS($1:617)-1),EDATE(Start_Date,VLOOKUP(IF(ASTemp!$E$7="","Monthly",ASTemp!$E$7),Parameters!$B$3:$D$6,3,0)*(ROWS($1:617)-1))))</f>
        <v/>
      </c>
      <c r="D629" s="68" t="str">
        <f t="shared" si="2"/>
        <v/>
      </c>
      <c r="E629" s="65" t="str">
        <f>IF($B629="","",VLOOKUP(MONTH(C629),Parameters!$F$2:$G$13,2,0))</f>
        <v/>
      </c>
      <c r="F629" s="69" t="str">
        <f>IF($B629="","",PV-N(J628))</f>
        <v/>
      </c>
      <c r="G629" s="69" t="str">
        <f>IF($B629="","",PMT(Rate,Nper,-PV,,Type))</f>
        <v/>
      </c>
      <c r="H629" s="69" t="str">
        <f>IF($B629="","",PPMT(Rate,ROWS($1:617),Nper,-PV,,Type))</f>
        <v/>
      </c>
      <c r="I629" s="69" t="str">
        <f>IF($B629="","",IPMT(Rate,ROWS($1:617),Nper,-PV,,Type))</f>
        <v/>
      </c>
      <c r="J629" s="73" t="str">
        <f t="shared" ref="J629:K629" si="619">IF($B629="","",N(J628)+N(H629))</f>
        <v/>
      </c>
      <c r="K629" s="74" t="str">
        <f t="shared" si="619"/>
        <v/>
      </c>
      <c r="L629" s="69" t="str">
        <f>IF($B629="","",PV-J629)</f>
        <v/>
      </c>
      <c r="M629" s="71" t="str">
        <f>IF($B629="","",J629/PV)</f>
        <v/>
      </c>
      <c r="N629" s="72" t="str">
        <f t="shared" si="4"/>
        <v/>
      </c>
    </row>
    <row r="630" ht="14.25" customHeight="1">
      <c r="B630" s="66" t="str">
        <f>IF(ROWS($1:618)&lt;=Nper,ROWS($1:618),"")</f>
        <v/>
      </c>
      <c r="C630" s="67" t="str">
        <f>IF($B630="","",IF($E$7="Weekly",Start_Date+7*(ROWS($1:618)-1),EDATE(Start_Date,VLOOKUP(IF(ASTemp!$E$7="","Monthly",ASTemp!$E$7),Parameters!$B$3:$D$6,3,0)*(ROWS($1:618)-1))))</f>
        <v/>
      </c>
      <c r="D630" s="68" t="str">
        <f t="shared" si="2"/>
        <v/>
      </c>
      <c r="E630" s="65" t="str">
        <f>IF($B630="","",VLOOKUP(MONTH(C630),Parameters!$F$2:$G$13,2,0))</f>
        <v/>
      </c>
      <c r="F630" s="69" t="str">
        <f>IF($B630="","",PV-N(J629))</f>
        <v/>
      </c>
      <c r="G630" s="69" t="str">
        <f>IF($B630="","",PMT(Rate,Nper,-PV,,Type))</f>
        <v/>
      </c>
      <c r="H630" s="69" t="str">
        <f>IF($B630="","",PPMT(Rate,ROWS($1:618),Nper,-PV,,Type))</f>
        <v/>
      </c>
      <c r="I630" s="69" t="str">
        <f>IF($B630="","",IPMT(Rate,ROWS($1:618),Nper,-PV,,Type))</f>
        <v/>
      </c>
      <c r="J630" s="73" t="str">
        <f t="shared" ref="J630:K630" si="620">IF($B630="","",N(J629)+N(H630))</f>
        <v/>
      </c>
      <c r="K630" s="74" t="str">
        <f t="shared" si="620"/>
        <v/>
      </c>
      <c r="L630" s="69" t="str">
        <f>IF($B630="","",PV-J630)</f>
        <v/>
      </c>
      <c r="M630" s="71" t="str">
        <f>IF($B630="","",J630/PV)</f>
        <v/>
      </c>
      <c r="N630" s="72" t="str">
        <f t="shared" si="4"/>
        <v/>
      </c>
    </row>
    <row r="631" ht="14.25" customHeight="1">
      <c r="B631" s="66" t="str">
        <f>IF(ROWS($1:619)&lt;=Nper,ROWS($1:619),"")</f>
        <v/>
      </c>
      <c r="C631" s="67" t="str">
        <f>IF($B631="","",IF($E$7="Weekly",Start_Date+7*(ROWS($1:619)-1),EDATE(Start_Date,VLOOKUP(IF(ASTemp!$E$7="","Monthly",ASTemp!$E$7),Parameters!$B$3:$D$6,3,0)*(ROWS($1:619)-1))))</f>
        <v/>
      </c>
      <c r="D631" s="68" t="str">
        <f t="shared" si="2"/>
        <v/>
      </c>
      <c r="E631" s="65" t="str">
        <f>IF($B631="","",VLOOKUP(MONTH(C631),Parameters!$F$2:$G$13,2,0))</f>
        <v/>
      </c>
      <c r="F631" s="69" t="str">
        <f>IF($B631="","",PV-N(J630))</f>
        <v/>
      </c>
      <c r="G631" s="69" t="str">
        <f>IF($B631="","",PMT(Rate,Nper,-PV,,Type))</f>
        <v/>
      </c>
      <c r="H631" s="69" t="str">
        <f>IF($B631="","",PPMT(Rate,ROWS($1:619),Nper,-PV,,Type))</f>
        <v/>
      </c>
      <c r="I631" s="69" t="str">
        <f>IF($B631="","",IPMT(Rate,ROWS($1:619),Nper,-PV,,Type))</f>
        <v/>
      </c>
      <c r="J631" s="73" t="str">
        <f t="shared" ref="J631:K631" si="621">IF($B631="","",N(J630)+N(H631))</f>
        <v/>
      </c>
      <c r="K631" s="74" t="str">
        <f t="shared" si="621"/>
        <v/>
      </c>
      <c r="L631" s="69" t="str">
        <f>IF($B631="","",PV-J631)</f>
        <v/>
      </c>
      <c r="M631" s="71" t="str">
        <f>IF($B631="","",J631/PV)</f>
        <v/>
      </c>
      <c r="N631" s="72" t="str">
        <f t="shared" si="4"/>
        <v/>
      </c>
    </row>
    <row r="632" ht="14.25" customHeight="1">
      <c r="B632" s="66" t="str">
        <f>IF(ROWS($1:620)&lt;=Nper,ROWS($1:620),"")</f>
        <v/>
      </c>
      <c r="C632" s="67" t="str">
        <f>IF($B632="","",IF($E$7="Weekly",Start_Date+7*(ROWS($1:620)-1),EDATE(Start_Date,VLOOKUP(IF(ASTemp!$E$7="","Monthly",ASTemp!$E$7),Parameters!$B$3:$D$6,3,0)*(ROWS($1:620)-1))))</f>
        <v/>
      </c>
      <c r="D632" s="68" t="str">
        <f t="shared" si="2"/>
        <v/>
      </c>
      <c r="E632" s="65" t="str">
        <f>IF($B632="","",VLOOKUP(MONTH(C632),Parameters!$F$2:$G$13,2,0))</f>
        <v/>
      </c>
      <c r="F632" s="69" t="str">
        <f>IF($B632="","",PV-N(J631))</f>
        <v/>
      </c>
      <c r="G632" s="69" t="str">
        <f>IF($B632="","",PMT(Rate,Nper,-PV,,Type))</f>
        <v/>
      </c>
      <c r="H632" s="69" t="str">
        <f>IF($B632="","",PPMT(Rate,ROWS($1:620),Nper,-PV,,Type))</f>
        <v/>
      </c>
      <c r="I632" s="69" t="str">
        <f>IF($B632="","",IPMT(Rate,ROWS($1:620),Nper,-PV,,Type))</f>
        <v/>
      </c>
      <c r="J632" s="73" t="str">
        <f t="shared" ref="J632:K632" si="622">IF($B632="","",N(J631)+N(H632))</f>
        <v/>
      </c>
      <c r="K632" s="74" t="str">
        <f t="shared" si="622"/>
        <v/>
      </c>
      <c r="L632" s="69" t="str">
        <f>IF($B632="","",PV-J632)</f>
        <v/>
      </c>
      <c r="M632" s="71" t="str">
        <f>IF($B632="","",J632/PV)</f>
        <v/>
      </c>
      <c r="N632" s="72" t="str">
        <f t="shared" si="4"/>
        <v/>
      </c>
    </row>
    <row r="633" ht="14.25" customHeight="1">
      <c r="B633" s="66" t="str">
        <f>IF(ROWS($1:621)&lt;=Nper,ROWS($1:621),"")</f>
        <v/>
      </c>
      <c r="C633" s="67" t="str">
        <f>IF($B633="","",IF($E$7="Weekly",Start_Date+7*(ROWS($1:621)-1),EDATE(Start_Date,VLOOKUP(IF(ASTemp!$E$7="","Monthly",ASTemp!$E$7),Parameters!$B$3:$D$6,3,0)*(ROWS($1:621)-1))))</f>
        <v/>
      </c>
      <c r="D633" s="68" t="str">
        <f t="shared" si="2"/>
        <v/>
      </c>
      <c r="E633" s="65" t="str">
        <f>IF($B633="","",VLOOKUP(MONTH(C633),Parameters!$F$2:$G$13,2,0))</f>
        <v/>
      </c>
      <c r="F633" s="69" t="str">
        <f>IF($B633="","",PV-N(J632))</f>
        <v/>
      </c>
      <c r="G633" s="69" t="str">
        <f>IF($B633="","",PMT(Rate,Nper,-PV,,Type))</f>
        <v/>
      </c>
      <c r="H633" s="69" t="str">
        <f>IF($B633="","",PPMT(Rate,ROWS($1:621),Nper,-PV,,Type))</f>
        <v/>
      </c>
      <c r="I633" s="69" t="str">
        <f>IF($B633="","",IPMT(Rate,ROWS($1:621),Nper,-PV,,Type))</f>
        <v/>
      </c>
      <c r="J633" s="73" t="str">
        <f t="shared" ref="J633:K633" si="623">IF($B633="","",N(J632)+N(H633))</f>
        <v/>
      </c>
      <c r="K633" s="74" t="str">
        <f t="shared" si="623"/>
        <v/>
      </c>
      <c r="L633" s="69" t="str">
        <f>IF($B633="","",PV-J633)</f>
        <v/>
      </c>
      <c r="M633" s="71" t="str">
        <f>IF($B633="","",J633/PV)</f>
        <v/>
      </c>
      <c r="N633" s="72" t="str">
        <f t="shared" si="4"/>
        <v/>
      </c>
    </row>
    <row r="634" ht="14.25" customHeight="1">
      <c r="B634" s="66" t="str">
        <f>IF(ROWS($1:622)&lt;=Nper,ROWS($1:622),"")</f>
        <v/>
      </c>
      <c r="C634" s="67" t="str">
        <f>IF($B634="","",IF($E$7="Weekly",Start_Date+7*(ROWS($1:622)-1),EDATE(Start_Date,VLOOKUP(IF(ASTemp!$E$7="","Monthly",ASTemp!$E$7),Parameters!$B$3:$D$6,3,0)*(ROWS($1:622)-1))))</f>
        <v/>
      </c>
      <c r="D634" s="68" t="str">
        <f t="shared" si="2"/>
        <v/>
      </c>
      <c r="E634" s="65" t="str">
        <f>IF($B634="","",VLOOKUP(MONTH(C634),Parameters!$F$2:$G$13,2,0))</f>
        <v/>
      </c>
      <c r="F634" s="69" t="str">
        <f>IF($B634="","",PV-N(J633))</f>
        <v/>
      </c>
      <c r="G634" s="69" t="str">
        <f>IF($B634="","",PMT(Rate,Nper,-PV,,Type))</f>
        <v/>
      </c>
      <c r="H634" s="69" t="str">
        <f>IF($B634="","",PPMT(Rate,ROWS($1:622),Nper,-PV,,Type))</f>
        <v/>
      </c>
      <c r="I634" s="69" t="str">
        <f>IF($B634="","",IPMT(Rate,ROWS($1:622),Nper,-PV,,Type))</f>
        <v/>
      </c>
      <c r="J634" s="73" t="str">
        <f t="shared" ref="J634:K634" si="624">IF($B634="","",N(J633)+N(H634))</f>
        <v/>
      </c>
      <c r="K634" s="74" t="str">
        <f t="shared" si="624"/>
        <v/>
      </c>
      <c r="L634" s="69" t="str">
        <f>IF($B634="","",PV-J634)</f>
        <v/>
      </c>
      <c r="M634" s="71" t="str">
        <f>IF($B634="","",J634/PV)</f>
        <v/>
      </c>
      <c r="N634" s="72" t="str">
        <f t="shared" si="4"/>
        <v/>
      </c>
    </row>
    <row r="635" ht="14.25" customHeight="1">
      <c r="B635" s="66" t="str">
        <f>IF(ROWS($1:623)&lt;=Nper,ROWS($1:623),"")</f>
        <v/>
      </c>
      <c r="C635" s="67" t="str">
        <f>IF($B635="","",IF($E$7="Weekly",Start_Date+7*(ROWS($1:623)-1),EDATE(Start_Date,VLOOKUP(IF(ASTemp!$E$7="","Monthly",ASTemp!$E$7),Parameters!$B$3:$D$6,3,0)*(ROWS($1:623)-1))))</f>
        <v/>
      </c>
      <c r="D635" s="68" t="str">
        <f t="shared" si="2"/>
        <v/>
      </c>
      <c r="E635" s="65" t="str">
        <f>IF($B635="","",VLOOKUP(MONTH(C635),Parameters!$F$2:$G$13,2,0))</f>
        <v/>
      </c>
      <c r="F635" s="69" t="str">
        <f>IF($B635="","",PV-N(J634))</f>
        <v/>
      </c>
      <c r="G635" s="69" t="str">
        <f>IF($B635="","",PMT(Rate,Nper,-PV,,Type))</f>
        <v/>
      </c>
      <c r="H635" s="69" t="str">
        <f>IF($B635="","",PPMT(Rate,ROWS($1:623),Nper,-PV,,Type))</f>
        <v/>
      </c>
      <c r="I635" s="69" t="str">
        <f>IF($B635="","",IPMT(Rate,ROWS($1:623),Nper,-PV,,Type))</f>
        <v/>
      </c>
      <c r="J635" s="73" t="str">
        <f t="shared" ref="J635:K635" si="625">IF($B635="","",N(J634)+N(H635))</f>
        <v/>
      </c>
      <c r="K635" s="74" t="str">
        <f t="shared" si="625"/>
        <v/>
      </c>
      <c r="L635" s="69" t="str">
        <f>IF($B635="","",PV-J635)</f>
        <v/>
      </c>
      <c r="M635" s="71" t="str">
        <f>IF($B635="","",J635/PV)</f>
        <v/>
      </c>
      <c r="N635" s="72" t="str">
        <f t="shared" si="4"/>
        <v/>
      </c>
    </row>
    <row r="636" ht="14.25" customHeight="1">
      <c r="B636" s="66" t="str">
        <f>IF(ROWS($1:624)&lt;=Nper,ROWS($1:624),"")</f>
        <v/>
      </c>
      <c r="C636" s="67" t="str">
        <f>IF($B636="","",IF($E$7="Weekly",Start_Date+7*(ROWS($1:624)-1),EDATE(Start_Date,VLOOKUP(IF(ASTemp!$E$7="","Monthly",ASTemp!$E$7),Parameters!$B$3:$D$6,3,0)*(ROWS($1:624)-1))))</f>
        <v/>
      </c>
      <c r="D636" s="68" t="str">
        <f t="shared" si="2"/>
        <v/>
      </c>
      <c r="E636" s="65" t="str">
        <f>IF($B636="","",VLOOKUP(MONTH(C636),Parameters!$F$2:$G$13,2,0))</f>
        <v/>
      </c>
      <c r="F636" s="69" t="str">
        <f>IF($B636="","",PV-N(J635))</f>
        <v/>
      </c>
      <c r="G636" s="69" t="str">
        <f>IF($B636="","",PMT(Rate,Nper,-PV,,Type))</f>
        <v/>
      </c>
      <c r="H636" s="69" t="str">
        <f>IF($B636="","",PPMT(Rate,ROWS($1:624),Nper,-PV,,Type))</f>
        <v/>
      </c>
      <c r="I636" s="69" t="str">
        <f>IF($B636="","",IPMT(Rate,ROWS($1:624),Nper,-PV,,Type))</f>
        <v/>
      </c>
      <c r="J636" s="73" t="str">
        <f t="shared" ref="J636:K636" si="626">IF($B636="","",N(J635)+N(H636))</f>
        <v/>
      </c>
      <c r="K636" s="74" t="str">
        <f t="shared" si="626"/>
        <v/>
      </c>
      <c r="L636" s="69" t="str">
        <f>IF($B636="","",PV-J636)</f>
        <v/>
      </c>
      <c r="M636" s="71" t="str">
        <f>IF($B636="","",J636/PV)</f>
        <v/>
      </c>
      <c r="N636" s="72" t="str">
        <f t="shared" si="4"/>
        <v/>
      </c>
    </row>
    <row r="637" ht="14.25" customHeight="1">
      <c r="B637" s="66" t="str">
        <f>IF(ROWS($1:625)&lt;=Nper,ROWS($1:625),"")</f>
        <v/>
      </c>
      <c r="C637" s="67" t="str">
        <f>IF($B637="","",IF($E$7="Weekly",Start_Date+7*(ROWS($1:625)-1),EDATE(Start_Date,VLOOKUP(IF(ASTemp!$E$7="","Monthly",ASTemp!$E$7),Parameters!$B$3:$D$6,3,0)*(ROWS($1:625)-1))))</f>
        <v/>
      </c>
      <c r="D637" s="68" t="str">
        <f t="shared" si="2"/>
        <v/>
      </c>
      <c r="E637" s="65" t="str">
        <f>IF($B637="","",VLOOKUP(MONTH(C637),Parameters!$F$2:$G$13,2,0))</f>
        <v/>
      </c>
      <c r="F637" s="69" t="str">
        <f>IF($B637="","",PV-N(J636))</f>
        <v/>
      </c>
      <c r="G637" s="69" t="str">
        <f>IF($B637="","",PMT(Rate,Nper,-PV,,Type))</f>
        <v/>
      </c>
      <c r="H637" s="69" t="str">
        <f>IF($B637="","",PPMT(Rate,ROWS($1:625),Nper,-PV,,Type))</f>
        <v/>
      </c>
      <c r="I637" s="69" t="str">
        <f>IF($B637="","",IPMT(Rate,ROWS($1:625),Nper,-PV,,Type))</f>
        <v/>
      </c>
      <c r="J637" s="73" t="str">
        <f t="shared" ref="J637:K637" si="627">IF($B637="","",N(J636)+N(H637))</f>
        <v/>
      </c>
      <c r="K637" s="74" t="str">
        <f t="shared" si="627"/>
        <v/>
      </c>
      <c r="L637" s="69" t="str">
        <f>IF($B637="","",PV-J637)</f>
        <v/>
      </c>
      <c r="M637" s="71" t="str">
        <f>IF($B637="","",J637/PV)</f>
        <v/>
      </c>
      <c r="N637" s="72" t="str">
        <f t="shared" si="4"/>
        <v/>
      </c>
    </row>
    <row r="638" ht="14.25" customHeight="1">
      <c r="B638" s="66" t="str">
        <f>IF(ROWS($1:626)&lt;=Nper,ROWS($1:626),"")</f>
        <v/>
      </c>
      <c r="C638" s="67" t="str">
        <f>IF($B638="","",IF($E$7="Weekly",Start_Date+7*(ROWS($1:626)-1),EDATE(Start_Date,VLOOKUP(IF(ASTemp!$E$7="","Monthly",ASTemp!$E$7),Parameters!$B$3:$D$6,3,0)*(ROWS($1:626)-1))))</f>
        <v/>
      </c>
      <c r="D638" s="68" t="str">
        <f t="shared" si="2"/>
        <v/>
      </c>
      <c r="E638" s="65" t="str">
        <f>IF($B638="","",VLOOKUP(MONTH(C638),Parameters!$F$2:$G$13,2,0))</f>
        <v/>
      </c>
      <c r="F638" s="69" t="str">
        <f>IF($B638="","",PV-N(J637))</f>
        <v/>
      </c>
      <c r="G638" s="69" t="str">
        <f>IF($B638="","",PMT(Rate,Nper,-PV,,Type))</f>
        <v/>
      </c>
      <c r="H638" s="69" t="str">
        <f>IF($B638="","",PPMT(Rate,ROWS($1:626),Nper,-PV,,Type))</f>
        <v/>
      </c>
      <c r="I638" s="69" t="str">
        <f>IF($B638="","",IPMT(Rate,ROWS($1:626),Nper,-PV,,Type))</f>
        <v/>
      </c>
      <c r="J638" s="73" t="str">
        <f t="shared" ref="J638:K638" si="628">IF($B638="","",N(J637)+N(H638))</f>
        <v/>
      </c>
      <c r="K638" s="74" t="str">
        <f t="shared" si="628"/>
        <v/>
      </c>
      <c r="L638" s="69" t="str">
        <f>IF($B638="","",PV-J638)</f>
        <v/>
      </c>
      <c r="M638" s="71" t="str">
        <f>IF($B638="","",J638/PV)</f>
        <v/>
      </c>
      <c r="N638" s="72" t="str">
        <f t="shared" si="4"/>
        <v/>
      </c>
    </row>
    <row r="639" ht="14.25" customHeight="1">
      <c r="B639" s="66" t="str">
        <f>IF(ROWS($1:627)&lt;=Nper,ROWS($1:627),"")</f>
        <v/>
      </c>
      <c r="C639" s="67" t="str">
        <f>IF($B639="","",IF($E$7="Weekly",Start_Date+7*(ROWS($1:627)-1),EDATE(Start_Date,VLOOKUP(IF(ASTemp!$E$7="","Monthly",ASTemp!$E$7),Parameters!$B$3:$D$6,3,0)*(ROWS($1:627)-1))))</f>
        <v/>
      </c>
      <c r="D639" s="68" t="str">
        <f t="shared" si="2"/>
        <v/>
      </c>
      <c r="E639" s="65" t="str">
        <f>IF($B639="","",VLOOKUP(MONTH(C639),Parameters!$F$2:$G$13,2,0))</f>
        <v/>
      </c>
      <c r="F639" s="69" t="str">
        <f>IF($B639="","",PV-N(J638))</f>
        <v/>
      </c>
      <c r="G639" s="69" t="str">
        <f>IF($B639="","",PMT(Rate,Nper,-PV,,Type))</f>
        <v/>
      </c>
      <c r="H639" s="69" t="str">
        <f>IF($B639="","",PPMT(Rate,ROWS($1:627),Nper,-PV,,Type))</f>
        <v/>
      </c>
      <c r="I639" s="69" t="str">
        <f>IF($B639="","",IPMT(Rate,ROWS($1:627),Nper,-PV,,Type))</f>
        <v/>
      </c>
      <c r="J639" s="73" t="str">
        <f t="shared" ref="J639:K639" si="629">IF($B639="","",N(J638)+N(H639))</f>
        <v/>
      </c>
      <c r="K639" s="74" t="str">
        <f t="shared" si="629"/>
        <v/>
      </c>
      <c r="L639" s="69" t="str">
        <f>IF($B639="","",PV-J639)</f>
        <v/>
      </c>
      <c r="M639" s="71" t="str">
        <f>IF($B639="","",J639/PV)</f>
        <v/>
      </c>
      <c r="N639" s="72" t="str">
        <f t="shared" si="4"/>
        <v/>
      </c>
    </row>
    <row r="640" ht="14.25" customHeight="1">
      <c r="B640" s="66" t="str">
        <f>IF(ROWS($1:628)&lt;=Nper,ROWS($1:628),"")</f>
        <v/>
      </c>
      <c r="C640" s="67" t="str">
        <f>IF($B640="","",IF($E$7="Weekly",Start_Date+7*(ROWS($1:628)-1),EDATE(Start_Date,VLOOKUP(IF(ASTemp!$E$7="","Monthly",ASTemp!$E$7),Parameters!$B$3:$D$6,3,0)*(ROWS($1:628)-1))))</f>
        <v/>
      </c>
      <c r="D640" s="68" t="str">
        <f t="shared" si="2"/>
        <v/>
      </c>
      <c r="E640" s="65" t="str">
        <f>IF($B640="","",VLOOKUP(MONTH(C640),Parameters!$F$2:$G$13,2,0))</f>
        <v/>
      </c>
      <c r="F640" s="69" t="str">
        <f>IF($B640="","",PV-N(J639))</f>
        <v/>
      </c>
      <c r="G640" s="69" t="str">
        <f>IF($B640="","",PMT(Rate,Nper,-PV,,Type))</f>
        <v/>
      </c>
      <c r="H640" s="69" t="str">
        <f>IF($B640="","",PPMT(Rate,ROWS($1:628),Nper,-PV,,Type))</f>
        <v/>
      </c>
      <c r="I640" s="69" t="str">
        <f>IF($B640="","",IPMT(Rate,ROWS($1:628),Nper,-PV,,Type))</f>
        <v/>
      </c>
      <c r="J640" s="73" t="str">
        <f t="shared" ref="J640:K640" si="630">IF($B640="","",N(J639)+N(H640))</f>
        <v/>
      </c>
      <c r="K640" s="74" t="str">
        <f t="shared" si="630"/>
        <v/>
      </c>
      <c r="L640" s="69" t="str">
        <f>IF($B640="","",PV-J640)</f>
        <v/>
      </c>
      <c r="M640" s="71" t="str">
        <f>IF($B640="","",J640/PV)</f>
        <v/>
      </c>
      <c r="N640" s="72" t="str">
        <f t="shared" si="4"/>
        <v/>
      </c>
    </row>
    <row r="641" ht="14.25" customHeight="1">
      <c r="B641" s="66" t="str">
        <f>IF(ROWS($1:629)&lt;=Nper,ROWS($1:629),"")</f>
        <v/>
      </c>
      <c r="C641" s="67" t="str">
        <f>IF($B641="","",IF($E$7="Weekly",Start_Date+7*(ROWS($1:629)-1),EDATE(Start_Date,VLOOKUP(IF(ASTemp!$E$7="","Monthly",ASTemp!$E$7),Parameters!$B$3:$D$6,3,0)*(ROWS($1:629)-1))))</f>
        <v/>
      </c>
      <c r="D641" s="68" t="str">
        <f t="shared" si="2"/>
        <v/>
      </c>
      <c r="E641" s="65" t="str">
        <f>IF($B641="","",VLOOKUP(MONTH(C641),Parameters!$F$2:$G$13,2,0))</f>
        <v/>
      </c>
      <c r="F641" s="69" t="str">
        <f>IF($B641="","",PV-N(J640))</f>
        <v/>
      </c>
      <c r="G641" s="69" t="str">
        <f>IF($B641="","",PMT(Rate,Nper,-PV,,Type))</f>
        <v/>
      </c>
      <c r="H641" s="69" t="str">
        <f>IF($B641="","",PPMT(Rate,ROWS($1:629),Nper,-PV,,Type))</f>
        <v/>
      </c>
      <c r="I641" s="69" t="str">
        <f>IF($B641="","",IPMT(Rate,ROWS($1:629),Nper,-PV,,Type))</f>
        <v/>
      </c>
      <c r="J641" s="73" t="str">
        <f t="shared" ref="J641:K641" si="631">IF($B641="","",N(J640)+N(H641))</f>
        <v/>
      </c>
      <c r="K641" s="74" t="str">
        <f t="shared" si="631"/>
        <v/>
      </c>
      <c r="L641" s="69" t="str">
        <f>IF($B641="","",PV-J641)</f>
        <v/>
      </c>
      <c r="M641" s="71" t="str">
        <f>IF($B641="","",J641/PV)</f>
        <v/>
      </c>
      <c r="N641" s="72" t="str">
        <f t="shared" si="4"/>
        <v/>
      </c>
    </row>
    <row r="642" ht="14.25" customHeight="1">
      <c r="B642" s="66" t="str">
        <f>IF(ROWS($1:630)&lt;=Nper,ROWS($1:630),"")</f>
        <v/>
      </c>
      <c r="C642" s="67" t="str">
        <f>IF($B642="","",IF($E$7="Weekly",Start_Date+7*(ROWS($1:630)-1),EDATE(Start_Date,VLOOKUP(IF(ASTemp!$E$7="","Monthly",ASTemp!$E$7),Parameters!$B$3:$D$6,3,0)*(ROWS($1:630)-1))))</f>
        <v/>
      </c>
      <c r="D642" s="68" t="str">
        <f t="shared" si="2"/>
        <v/>
      </c>
      <c r="E642" s="65" t="str">
        <f>IF($B642="","",VLOOKUP(MONTH(C642),Parameters!$F$2:$G$13,2,0))</f>
        <v/>
      </c>
      <c r="F642" s="69" t="str">
        <f>IF($B642="","",PV-N(J641))</f>
        <v/>
      </c>
      <c r="G642" s="69" t="str">
        <f>IF($B642="","",PMT(Rate,Nper,-PV,,Type))</f>
        <v/>
      </c>
      <c r="H642" s="69" t="str">
        <f>IF($B642="","",PPMT(Rate,ROWS($1:630),Nper,-PV,,Type))</f>
        <v/>
      </c>
      <c r="I642" s="69" t="str">
        <f>IF($B642="","",IPMT(Rate,ROWS($1:630),Nper,-PV,,Type))</f>
        <v/>
      </c>
      <c r="J642" s="73" t="str">
        <f t="shared" ref="J642:K642" si="632">IF($B642="","",N(J641)+N(H642))</f>
        <v/>
      </c>
      <c r="K642" s="74" t="str">
        <f t="shared" si="632"/>
        <v/>
      </c>
      <c r="L642" s="69" t="str">
        <f>IF($B642="","",PV-J642)</f>
        <v/>
      </c>
      <c r="M642" s="71" t="str">
        <f>IF($B642="","",J642/PV)</f>
        <v/>
      </c>
      <c r="N642" s="72" t="str">
        <f t="shared" si="4"/>
        <v/>
      </c>
    </row>
    <row r="643" ht="14.25" customHeight="1">
      <c r="B643" s="66" t="str">
        <f>IF(ROWS($1:631)&lt;=Nper,ROWS($1:631),"")</f>
        <v/>
      </c>
      <c r="C643" s="67" t="str">
        <f>IF($B643="","",IF($E$7="Weekly",Start_Date+7*(ROWS($1:631)-1),EDATE(Start_Date,VLOOKUP(IF(ASTemp!$E$7="","Monthly",ASTemp!$E$7),Parameters!$B$3:$D$6,3,0)*(ROWS($1:631)-1))))</f>
        <v/>
      </c>
      <c r="D643" s="68" t="str">
        <f t="shared" si="2"/>
        <v/>
      </c>
      <c r="E643" s="65" t="str">
        <f>IF($B643="","",VLOOKUP(MONTH(C643),Parameters!$F$2:$G$13,2,0))</f>
        <v/>
      </c>
      <c r="F643" s="69" t="str">
        <f>IF($B643="","",PV-N(J642))</f>
        <v/>
      </c>
      <c r="G643" s="69" t="str">
        <f>IF($B643="","",PMT(Rate,Nper,-PV,,Type))</f>
        <v/>
      </c>
      <c r="H643" s="69" t="str">
        <f>IF($B643="","",PPMT(Rate,ROWS($1:631),Nper,-PV,,Type))</f>
        <v/>
      </c>
      <c r="I643" s="69" t="str">
        <f>IF($B643="","",IPMT(Rate,ROWS($1:631),Nper,-PV,,Type))</f>
        <v/>
      </c>
      <c r="J643" s="73" t="str">
        <f t="shared" ref="J643:K643" si="633">IF($B643="","",N(J642)+N(H643))</f>
        <v/>
      </c>
      <c r="K643" s="74" t="str">
        <f t="shared" si="633"/>
        <v/>
      </c>
      <c r="L643" s="69" t="str">
        <f>IF($B643="","",PV-J643)</f>
        <v/>
      </c>
      <c r="M643" s="71" t="str">
        <f>IF($B643="","",J643/PV)</f>
        <v/>
      </c>
      <c r="N643" s="72" t="str">
        <f t="shared" si="4"/>
        <v/>
      </c>
    </row>
    <row r="644" ht="14.25" customHeight="1">
      <c r="B644" s="66" t="str">
        <f>IF(ROWS($1:632)&lt;=Nper,ROWS($1:632),"")</f>
        <v/>
      </c>
      <c r="C644" s="67" t="str">
        <f>IF($B644="","",IF($E$7="Weekly",Start_Date+7*(ROWS($1:632)-1),EDATE(Start_Date,VLOOKUP(IF(ASTemp!$E$7="","Monthly",ASTemp!$E$7),Parameters!$B$3:$D$6,3,0)*(ROWS($1:632)-1))))</f>
        <v/>
      </c>
      <c r="D644" s="68" t="str">
        <f t="shared" si="2"/>
        <v/>
      </c>
      <c r="E644" s="65" t="str">
        <f>IF($B644="","",VLOOKUP(MONTH(C644),Parameters!$F$2:$G$13,2,0))</f>
        <v/>
      </c>
      <c r="F644" s="69" t="str">
        <f>IF($B644="","",PV-N(J643))</f>
        <v/>
      </c>
      <c r="G644" s="69" t="str">
        <f>IF($B644="","",PMT(Rate,Nper,-PV,,Type))</f>
        <v/>
      </c>
      <c r="H644" s="69" t="str">
        <f>IF($B644="","",PPMT(Rate,ROWS($1:632),Nper,-PV,,Type))</f>
        <v/>
      </c>
      <c r="I644" s="69" t="str">
        <f>IF($B644="","",IPMT(Rate,ROWS($1:632),Nper,-PV,,Type))</f>
        <v/>
      </c>
      <c r="J644" s="73" t="str">
        <f t="shared" ref="J644:K644" si="634">IF($B644="","",N(J643)+N(H644))</f>
        <v/>
      </c>
      <c r="K644" s="74" t="str">
        <f t="shared" si="634"/>
        <v/>
      </c>
      <c r="L644" s="69" t="str">
        <f>IF($B644="","",PV-J644)</f>
        <v/>
      </c>
      <c r="M644" s="71" t="str">
        <f>IF($B644="","",J644/PV)</f>
        <v/>
      </c>
      <c r="N644" s="72" t="str">
        <f t="shared" si="4"/>
        <v/>
      </c>
    </row>
    <row r="645" ht="14.25" customHeight="1">
      <c r="B645" s="66" t="str">
        <f>IF(ROWS($1:633)&lt;=Nper,ROWS($1:633),"")</f>
        <v/>
      </c>
      <c r="C645" s="67" t="str">
        <f>IF($B645="","",IF($E$7="Weekly",Start_Date+7*(ROWS($1:633)-1),EDATE(Start_Date,VLOOKUP(IF(ASTemp!$E$7="","Monthly",ASTemp!$E$7),Parameters!$B$3:$D$6,3,0)*(ROWS($1:633)-1))))</f>
        <v/>
      </c>
      <c r="D645" s="68" t="str">
        <f t="shared" si="2"/>
        <v/>
      </c>
      <c r="E645" s="65" t="str">
        <f>IF($B645="","",VLOOKUP(MONTH(C645),Parameters!$F$2:$G$13,2,0))</f>
        <v/>
      </c>
      <c r="F645" s="69" t="str">
        <f>IF($B645="","",PV-N(J644))</f>
        <v/>
      </c>
      <c r="G645" s="69" t="str">
        <f>IF($B645="","",PMT(Rate,Nper,-PV,,Type))</f>
        <v/>
      </c>
      <c r="H645" s="69" t="str">
        <f>IF($B645="","",PPMT(Rate,ROWS($1:633),Nper,-PV,,Type))</f>
        <v/>
      </c>
      <c r="I645" s="69" t="str">
        <f>IF($B645="","",IPMT(Rate,ROWS($1:633),Nper,-PV,,Type))</f>
        <v/>
      </c>
      <c r="J645" s="73" t="str">
        <f t="shared" ref="J645:K645" si="635">IF($B645="","",N(J644)+N(H645))</f>
        <v/>
      </c>
      <c r="K645" s="74" t="str">
        <f t="shared" si="635"/>
        <v/>
      </c>
      <c r="L645" s="69" t="str">
        <f>IF($B645="","",PV-J645)</f>
        <v/>
      </c>
      <c r="M645" s="71" t="str">
        <f>IF($B645="","",J645/PV)</f>
        <v/>
      </c>
      <c r="N645" s="72" t="str">
        <f t="shared" si="4"/>
        <v/>
      </c>
    </row>
    <row r="646" ht="14.25" customHeight="1">
      <c r="B646" s="66" t="str">
        <f>IF(ROWS($1:634)&lt;=Nper,ROWS($1:634),"")</f>
        <v/>
      </c>
      <c r="C646" s="67" t="str">
        <f>IF($B646="","",IF($E$7="Weekly",Start_Date+7*(ROWS($1:634)-1),EDATE(Start_Date,VLOOKUP(IF(ASTemp!$E$7="","Monthly",ASTemp!$E$7),Parameters!$B$3:$D$6,3,0)*(ROWS($1:634)-1))))</f>
        <v/>
      </c>
      <c r="D646" s="68" t="str">
        <f t="shared" si="2"/>
        <v/>
      </c>
      <c r="E646" s="65" t="str">
        <f>IF($B646="","",VLOOKUP(MONTH(C646),Parameters!$F$2:$G$13,2,0))</f>
        <v/>
      </c>
      <c r="F646" s="69" t="str">
        <f>IF($B646="","",PV-N(J645))</f>
        <v/>
      </c>
      <c r="G646" s="69" t="str">
        <f>IF($B646="","",PMT(Rate,Nper,-PV,,Type))</f>
        <v/>
      </c>
      <c r="H646" s="69" t="str">
        <f>IF($B646="","",PPMT(Rate,ROWS($1:634),Nper,-PV,,Type))</f>
        <v/>
      </c>
      <c r="I646" s="69" t="str">
        <f>IF($B646="","",IPMT(Rate,ROWS($1:634),Nper,-PV,,Type))</f>
        <v/>
      </c>
      <c r="J646" s="73" t="str">
        <f t="shared" ref="J646:K646" si="636">IF($B646="","",N(J645)+N(H646))</f>
        <v/>
      </c>
      <c r="K646" s="74" t="str">
        <f t="shared" si="636"/>
        <v/>
      </c>
      <c r="L646" s="69" t="str">
        <f>IF($B646="","",PV-J646)</f>
        <v/>
      </c>
      <c r="M646" s="71" t="str">
        <f>IF($B646="","",J646/PV)</f>
        <v/>
      </c>
      <c r="N646" s="72" t="str">
        <f t="shared" si="4"/>
        <v/>
      </c>
    </row>
    <row r="647" ht="14.25" customHeight="1">
      <c r="B647" s="66" t="str">
        <f>IF(ROWS($1:635)&lt;=Nper,ROWS($1:635),"")</f>
        <v/>
      </c>
      <c r="C647" s="67" t="str">
        <f>IF($B647="","",IF($E$7="Weekly",Start_Date+7*(ROWS($1:635)-1),EDATE(Start_Date,VLOOKUP(IF(ASTemp!$E$7="","Monthly",ASTemp!$E$7),Parameters!$B$3:$D$6,3,0)*(ROWS($1:635)-1))))</f>
        <v/>
      </c>
      <c r="D647" s="68" t="str">
        <f t="shared" si="2"/>
        <v/>
      </c>
      <c r="E647" s="65" t="str">
        <f>IF($B647="","",VLOOKUP(MONTH(C647),Parameters!$F$2:$G$13,2,0))</f>
        <v/>
      </c>
      <c r="F647" s="69" t="str">
        <f>IF($B647="","",PV-N(J646))</f>
        <v/>
      </c>
      <c r="G647" s="69" t="str">
        <f>IF($B647="","",PMT(Rate,Nper,-PV,,Type))</f>
        <v/>
      </c>
      <c r="H647" s="69" t="str">
        <f>IF($B647="","",PPMT(Rate,ROWS($1:635),Nper,-PV,,Type))</f>
        <v/>
      </c>
      <c r="I647" s="69" t="str">
        <f>IF($B647="","",IPMT(Rate,ROWS($1:635),Nper,-PV,,Type))</f>
        <v/>
      </c>
      <c r="J647" s="73" t="str">
        <f t="shared" ref="J647:K647" si="637">IF($B647="","",N(J646)+N(H647))</f>
        <v/>
      </c>
      <c r="K647" s="74" t="str">
        <f t="shared" si="637"/>
        <v/>
      </c>
      <c r="L647" s="69" t="str">
        <f>IF($B647="","",PV-J647)</f>
        <v/>
      </c>
      <c r="M647" s="71" t="str">
        <f>IF($B647="","",J647/PV)</f>
        <v/>
      </c>
      <c r="N647" s="72" t="str">
        <f t="shared" si="4"/>
        <v/>
      </c>
    </row>
    <row r="648" ht="14.25" customHeight="1">
      <c r="B648" s="66" t="str">
        <f>IF(ROWS($1:636)&lt;=Nper,ROWS($1:636),"")</f>
        <v/>
      </c>
      <c r="C648" s="67" t="str">
        <f>IF($B648="","",IF($E$7="Weekly",Start_Date+7*(ROWS($1:636)-1),EDATE(Start_Date,VLOOKUP(IF(ASTemp!$E$7="","Monthly",ASTemp!$E$7),Parameters!$B$3:$D$6,3,0)*(ROWS($1:636)-1))))</f>
        <v/>
      </c>
      <c r="D648" s="68" t="str">
        <f t="shared" si="2"/>
        <v/>
      </c>
      <c r="E648" s="65" t="str">
        <f>IF($B648="","",VLOOKUP(MONTH(C648),Parameters!$F$2:$G$13,2,0))</f>
        <v/>
      </c>
      <c r="F648" s="69" t="str">
        <f>IF($B648="","",PV-N(J647))</f>
        <v/>
      </c>
      <c r="G648" s="69" t="str">
        <f>IF($B648="","",PMT(Rate,Nper,-PV,,Type))</f>
        <v/>
      </c>
      <c r="H648" s="69" t="str">
        <f>IF($B648="","",PPMT(Rate,ROWS($1:636),Nper,-PV,,Type))</f>
        <v/>
      </c>
      <c r="I648" s="69" t="str">
        <f>IF($B648="","",IPMT(Rate,ROWS($1:636),Nper,-PV,,Type))</f>
        <v/>
      </c>
      <c r="J648" s="73" t="str">
        <f t="shared" ref="J648:K648" si="638">IF($B648="","",N(J647)+N(H648))</f>
        <v/>
      </c>
      <c r="K648" s="74" t="str">
        <f t="shared" si="638"/>
        <v/>
      </c>
      <c r="L648" s="69" t="str">
        <f>IF($B648="","",PV-J648)</f>
        <v/>
      </c>
      <c r="M648" s="71" t="str">
        <f>IF($B648="","",J648/PV)</f>
        <v/>
      </c>
      <c r="N648" s="72" t="str">
        <f t="shared" si="4"/>
        <v/>
      </c>
    </row>
    <row r="649" ht="14.25" customHeight="1">
      <c r="B649" s="66" t="str">
        <f>IF(ROWS($1:637)&lt;=Nper,ROWS($1:637),"")</f>
        <v/>
      </c>
      <c r="C649" s="67" t="str">
        <f>IF($B649="","",IF($E$7="Weekly",Start_Date+7*(ROWS($1:637)-1),EDATE(Start_Date,VLOOKUP(IF(ASTemp!$E$7="","Monthly",ASTemp!$E$7),Parameters!$B$3:$D$6,3,0)*(ROWS($1:637)-1))))</f>
        <v/>
      </c>
      <c r="D649" s="68" t="str">
        <f t="shared" si="2"/>
        <v/>
      </c>
      <c r="E649" s="65" t="str">
        <f>IF($B649="","",VLOOKUP(MONTH(C649),Parameters!$F$2:$G$13,2,0))</f>
        <v/>
      </c>
      <c r="F649" s="69" t="str">
        <f>IF($B649="","",PV-N(J648))</f>
        <v/>
      </c>
      <c r="G649" s="69" t="str">
        <f>IF($B649="","",PMT(Rate,Nper,-PV,,Type))</f>
        <v/>
      </c>
      <c r="H649" s="69" t="str">
        <f>IF($B649="","",PPMT(Rate,ROWS($1:637),Nper,-PV,,Type))</f>
        <v/>
      </c>
      <c r="I649" s="69" t="str">
        <f>IF($B649="","",IPMT(Rate,ROWS($1:637),Nper,-PV,,Type))</f>
        <v/>
      </c>
      <c r="J649" s="73" t="str">
        <f t="shared" ref="J649:K649" si="639">IF($B649="","",N(J648)+N(H649))</f>
        <v/>
      </c>
      <c r="K649" s="74" t="str">
        <f t="shared" si="639"/>
        <v/>
      </c>
      <c r="L649" s="69" t="str">
        <f>IF($B649="","",PV-J649)</f>
        <v/>
      </c>
      <c r="M649" s="71" t="str">
        <f>IF($B649="","",J649/PV)</f>
        <v/>
      </c>
      <c r="N649" s="72" t="str">
        <f t="shared" si="4"/>
        <v/>
      </c>
    </row>
    <row r="650" ht="14.25" customHeight="1">
      <c r="B650" s="66" t="str">
        <f>IF(ROWS($1:638)&lt;=Nper,ROWS($1:638),"")</f>
        <v/>
      </c>
      <c r="C650" s="67" t="str">
        <f>IF($B650="","",IF($E$7="Weekly",Start_Date+7*(ROWS($1:638)-1),EDATE(Start_Date,VLOOKUP(IF(ASTemp!$E$7="","Monthly",ASTemp!$E$7),Parameters!$B$3:$D$6,3,0)*(ROWS($1:638)-1))))</f>
        <v/>
      </c>
      <c r="D650" s="68" t="str">
        <f t="shared" si="2"/>
        <v/>
      </c>
      <c r="E650" s="65" t="str">
        <f>IF($B650="","",VLOOKUP(MONTH(C650),Parameters!$F$2:$G$13,2,0))</f>
        <v/>
      </c>
      <c r="F650" s="69" t="str">
        <f>IF($B650="","",PV-N(J649))</f>
        <v/>
      </c>
      <c r="G650" s="69" t="str">
        <f>IF($B650="","",PMT(Rate,Nper,-PV,,Type))</f>
        <v/>
      </c>
      <c r="H650" s="69" t="str">
        <f>IF($B650="","",PPMT(Rate,ROWS($1:638),Nper,-PV,,Type))</f>
        <v/>
      </c>
      <c r="I650" s="69" t="str">
        <f>IF($B650="","",IPMT(Rate,ROWS($1:638),Nper,-PV,,Type))</f>
        <v/>
      </c>
      <c r="J650" s="73" t="str">
        <f t="shared" ref="J650:K650" si="640">IF($B650="","",N(J649)+N(H650))</f>
        <v/>
      </c>
      <c r="K650" s="74" t="str">
        <f t="shared" si="640"/>
        <v/>
      </c>
      <c r="L650" s="69" t="str">
        <f>IF($B650="","",PV-J650)</f>
        <v/>
      </c>
      <c r="M650" s="71" t="str">
        <f>IF($B650="","",J650/PV)</f>
        <v/>
      </c>
      <c r="N650" s="72" t="str">
        <f t="shared" si="4"/>
        <v/>
      </c>
    </row>
    <row r="651" ht="14.25" customHeight="1">
      <c r="B651" s="66" t="str">
        <f>IF(ROWS($1:639)&lt;=Nper,ROWS($1:639),"")</f>
        <v/>
      </c>
      <c r="C651" s="67" t="str">
        <f>IF($B651="","",IF($E$7="Weekly",Start_Date+7*(ROWS($1:639)-1),EDATE(Start_Date,VLOOKUP(IF(ASTemp!$E$7="","Monthly",ASTemp!$E$7),Parameters!$B$3:$D$6,3,0)*(ROWS($1:639)-1))))</f>
        <v/>
      </c>
      <c r="D651" s="68" t="str">
        <f t="shared" si="2"/>
        <v/>
      </c>
      <c r="E651" s="65" t="str">
        <f>IF($B651="","",VLOOKUP(MONTH(C651),Parameters!$F$2:$G$13,2,0))</f>
        <v/>
      </c>
      <c r="F651" s="69" t="str">
        <f>IF($B651="","",PV-N(J650))</f>
        <v/>
      </c>
      <c r="G651" s="69" t="str">
        <f>IF($B651="","",PMT(Rate,Nper,-PV,,Type))</f>
        <v/>
      </c>
      <c r="H651" s="69" t="str">
        <f>IF($B651="","",PPMT(Rate,ROWS($1:639),Nper,-PV,,Type))</f>
        <v/>
      </c>
      <c r="I651" s="69" t="str">
        <f>IF($B651="","",IPMT(Rate,ROWS($1:639),Nper,-PV,,Type))</f>
        <v/>
      </c>
      <c r="J651" s="73" t="str">
        <f t="shared" ref="J651:K651" si="641">IF($B651="","",N(J650)+N(H651))</f>
        <v/>
      </c>
      <c r="K651" s="74" t="str">
        <f t="shared" si="641"/>
        <v/>
      </c>
      <c r="L651" s="69" t="str">
        <f>IF($B651="","",PV-J651)</f>
        <v/>
      </c>
      <c r="M651" s="71" t="str">
        <f>IF($B651="","",J651/PV)</f>
        <v/>
      </c>
      <c r="N651" s="72" t="str">
        <f t="shared" si="4"/>
        <v/>
      </c>
    </row>
    <row r="652" ht="14.25" customHeight="1">
      <c r="B652" s="66" t="str">
        <f>IF(ROWS($1:640)&lt;=Nper,ROWS($1:640),"")</f>
        <v/>
      </c>
      <c r="C652" s="67" t="str">
        <f>IF($B652="","",IF($E$7="Weekly",Start_Date+7*(ROWS($1:640)-1),EDATE(Start_Date,VLOOKUP(IF(ASTemp!$E$7="","Monthly",ASTemp!$E$7),Parameters!$B$3:$D$6,3,0)*(ROWS($1:640)-1))))</f>
        <v/>
      </c>
      <c r="D652" s="68" t="str">
        <f t="shared" si="2"/>
        <v/>
      </c>
      <c r="E652" s="65" t="str">
        <f>IF($B652="","",VLOOKUP(MONTH(C652),Parameters!$F$2:$G$13,2,0))</f>
        <v/>
      </c>
      <c r="F652" s="69" t="str">
        <f>IF($B652="","",PV-N(J651))</f>
        <v/>
      </c>
      <c r="G652" s="69" t="str">
        <f>IF($B652="","",PMT(Rate,Nper,-PV,,Type))</f>
        <v/>
      </c>
      <c r="H652" s="69" t="str">
        <f>IF($B652="","",PPMT(Rate,ROWS($1:640),Nper,-PV,,Type))</f>
        <v/>
      </c>
      <c r="I652" s="69" t="str">
        <f>IF($B652="","",IPMT(Rate,ROWS($1:640),Nper,-PV,,Type))</f>
        <v/>
      </c>
      <c r="J652" s="73" t="str">
        <f t="shared" ref="J652:K652" si="642">IF($B652="","",N(J651)+N(H652))</f>
        <v/>
      </c>
      <c r="K652" s="74" t="str">
        <f t="shared" si="642"/>
        <v/>
      </c>
      <c r="L652" s="69" t="str">
        <f>IF($B652="","",PV-J652)</f>
        <v/>
      </c>
      <c r="M652" s="71" t="str">
        <f>IF($B652="","",J652/PV)</f>
        <v/>
      </c>
      <c r="N652" s="72" t="str">
        <f t="shared" si="4"/>
        <v/>
      </c>
    </row>
    <row r="653" ht="14.25" customHeight="1">
      <c r="B653" s="66" t="str">
        <f>IF(ROWS($1:641)&lt;=Nper,ROWS($1:641),"")</f>
        <v/>
      </c>
      <c r="C653" s="67" t="str">
        <f>IF($B653="","",IF($E$7="Weekly",Start_Date+7*(ROWS($1:641)-1),EDATE(Start_Date,VLOOKUP(IF(ASTemp!$E$7="","Monthly",ASTemp!$E$7),Parameters!$B$3:$D$6,3,0)*(ROWS($1:641)-1))))</f>
        <v/>
      </c>
      <c r="D653" s="68" t="str">
        <f t="shared" si="2"/>
        <v/>
      </c>
      <c r="E653" s="65" t="str">
        <f>IF($B653="","",VLOOKUP(MONTH(C653),Parameters!$F$2:$G$13,2,0))</f>
        <v/>
      </c>
      <c r="F653" s="69" t="str">
        <f>IF($B653="","",PV-N(J652))</f>
        <v/>
      </c>
      <c r="G653" s="69" t="str">
        <f>IF($B653="","",PMT(Rate,Nper,-PV,,Type))</f>
        <v/>
      </c>
      <c r="H653" s="69" t="str">
        <f>IF($B653="","",PPMT(Rate,ROWS($1:641),Nper,-PV,,Type))</f>
        <v/>
      </c>
      <c r="I653" s="69" t="str">
        <f>IF($B653="","",IPMT(Rate,ROWS($1:641),Nper,-PV,,Type))</f>
        <v/>
      </c>
      <c r="J653" s="73" t="str">
        <f t="shared" ref="J653:K653" si="643">IF($B653="","",N(J652)+N(H653))</f>
        <v/>
      </c>
      <c r="K653" s="74" t="str">
        <f t="shared" si="643"/>
        <v/>
      </c>
      <c r="L653" s="69" t="str">
        <f>IF($B653="","",PV-J653)</f>
        <v/>
      </c>
      <c r="M653" s="71" t="str">
        <f>IF($B653="","",J653/PV)</f>
        <v/>
      </c>
      <c r="N653" s="72" t="str">
        <f t="shared" si="4"/>
        <v/>
      </c>
    </row>
    <row r="654" ht="14.25" customHeight="1">
      <c r="B654" s="66" t="str">
        <f>IF(ROWS($1:642)&lt;=Nper,ROWS($1:642),"")</f>
        <v/>
      </c>
      <c r="C654" s="67" t="str">
        <f>IF($B654="","",IF($E$7="Weekly",Start_Date+7*(ROWS($1:642)-1),EDATE(Start_Date,VLOOKUP(IF(ASTemp!$E$7="","Monthly",ASTemp!$E$7),Parameters!$B$3:$D$6,3,0)*(ROWS($1:642)-1))))</f>
        <v/>
      </c>
      <c r="D654" s="68" t="str">
        <f t="shared" si="2"/>
        <v/>
      </c>
      <c r="E654" s="65" t="str">
        <f>IF($B654="","",VLOOKUP(MONTH(C654),Parameters!$F$2:$G$13,2,0))</f>
        <v/>
      </c>
      <c r="F654" s="69" t="str">
        <f>IF($B654="","",PV-N(J653))</f>
        <v/>
      </c>
      <c r="G654" s="69" t="str">
        <f>IF($B654="","",PMT(Rate,Nper,-PV,,Type))</f>
        <v/>
      </c>
      <c r="H654" s="69" t="str">
        <f>IF($B654="","",PPMT(Rate,ROWS($1:642),Nper,-PV,,Type))</f>
        <v/>
      </c>
      <c r="I654" s="69" t="str">
        <f>IF($B654="","",IPMT(Rate,ROWS($1:642),Nper,-PV,,Type))</f>
        <v/>
      </c>
      <c r="J654" s="73" t="str">
        <f t="shared" ref="J654:K654" si="644">IF($B654="","",N(J653)+N(H654))</f>
        <v/>
      </c>
      <c r="K654" s="74" t="str">
        <f t="shared" si="644"/>
        <v/>
      </c>
      <c r="L654" s="69" t="str">
        <f>IF($B654="","",PV-J654)</f>
        <v/>
      </c>
      <c r="M654" s="71" t="str">
        <f>IF($B654="","",J654/PV)</f>
        <v/>
      </c>
      <c r="N654" s="72" t="str">
        <f t="shared" si="4"/>
        <v/>
      </c>
    </row>
    <row r="655" ht="14.25" customHeight="1">
      <c r="B655" s="66" t="str">
        <f>IF(ROWS($1:643)&lt;=Nper,ROWS($1:643),"")</f>
        <v/>
      </c>
      <c r="C655" s="67" t="str">
        <f>IF($B655="","",IF($E$7="Weekly",Start_Date+7*(ROWS($1:643)-1),EDATE(Start_Date,VLOOKUP(IF(ASTemp!$E$7="","Monthly",ASTemp!$E$7),Parameters!$B$3:$D$6,3,0)*(ROWS($1:643)-1))))</f>
        <v/>
      </c>
      <c r="D655" s="68" t="str">
        <f t="shared" si="2"/>
        <v/>
      </c>
      <c r="E655" s="65" t="str">
        <f>IF($B655="","",VLOOKUP(MONTH(C655),Parameters!$F$2:$G$13,2,0))</f>
        <v/>
      </c>
      <c r="F655" s="69" t="str">
        <f>IF($B655="","",PV-N(J654))</f>
        <v/>
      </c>
      <c r="G655" s="69" t="str">
        <f>IF($B655="","",PMT(Rate,Nper,-PV,,Type))</f>
        <v/>
      </c>
      <c r="H655" s="69" t="str">
        <f>IF($B655="","",PPMT(Rate,ROWS($1:643),Nper,-PV,,Type))</f>
        <v/>
      </c>
      <c r="I655" s="69" t="str">
        <f>IF($B655="","",IPMT(Rate,ROWS($1:643),Nper,-PV,,Type))</f>
        <v/>
      </c>
      <c r="J655" s="73" t="str">
        <f t="shared" ref="J655:K655" si="645">IF($B655="","",N(J654)+N(H655))</f>
        <v/>
      </c>
      <c r="K655" s="74" t="str">
        <f t="shared" si="645"/>
        <v/>
      </c>
      <c r="L655" s="69" t="str">
        <f>IF($B655="","",PV-J655)</f>
        <v/>
      </c>
      <c r="M655" s="71" t="str">
        <f>IF($B655="","",J655/PV)</f>
        <v/>
      </c>
      <c r="N655" s="72" t="str">
        <f t="shared" si="4"/>
        <v/>
      </c>
    </row>
    <row r="656" ht="14.25" customHeight="1">
      <c r="B656" s="66" t="str">
        <f>IF(ROWS($1:644)&lt;=Nper,ROWS($1:644),"")</f>
        <v/>
      </c>
      <c r="C656" s="67" t="str">
        <f>IF($B656="","",IF($E$7="Weekly",Start_Date+7*(ROWS($1:644)-1),EDATE(Start_Date,VLOOKUP(IF(ASTemp!$E$7="","Monthly",ASTemp!$E$7),Parameters!$B$3:$D$6,3,0)*(ROWS($1:644)-1))))</f>
        <v/>
      </c>
      <c r="D656" s="68" t="str">
        <f t="shared" si="2"/>
        <v/>
      </c>
      <c r="E656" s="65" t="str">
        <f>IF($B656="","",VLOOKUP(MONTH(C656),Parameters!$F$2:$G$13,2,0))</f>
        <v/>
      </c>
      <c r="F656" s="69" t="str">
        <f>IF($B656="","",PV-N(J655))</f>
        <v/>
      </c>
      <c r="G656" s="69" t="str">
        <f>IF($B656="","",PMT(Rate,Nper,-PV,,Type))</f>
        <v/>
      </c>
      <c r="H656" s="69" t="str">
        <f>IF($B656="","",PPMT(Rate,ROWS($1:644),Nper,-PV,,Type))</f>
        <v/>
      </c>
      <c r="I656" s="69" t="str">
        <f>IF($B656="","",IPMT(Rate,ROWS($1:644),Nper,-PV,,Type))</f>
        <v/>
      </c>
      <c r="J656" s="73" t="str">
        <f t="shared" ref="J656:K656" si="646">IF($B656="","",N(J655)+N(H656))</f>
        <v/>
      </c>
      <c r="K656" s="74" t="str">
        <f t="shared" si="646"/>
        <v/>
      </c>
      <c r="L656" s="69" t="str">
        <f>IF($B656="","",PV-J656)</f>
        <v/>
      </c>
      <c r="M656" s="71" t="str">
        <f>IF($B656="","",J656/PV)</f>
        <v/>
      </c>
      <c r="N656" s="72" t="str">
        <f t="shared" si="4"/>
        <v/>
      </c>
    </row>
    <row r="657" ht="14.25" customHeight="1">
      <c r="B657" s="66" t="str">
        <f>IF(ROWS($1:645)&lt;=Nper,ROWS($1:645),"")</f>
        <v/>
      </c>
      <c r="C657" s="67" t="str">
        <f>IF($B657="","",IF($E$7="Weekly",Start_Date+7*(ROWS($1:645)-1),EDATE(Start_Date,VLOOKUP(IF(ASTemp!$E$7="","Monthly",ASTemp!$E$7),Parameters!$B$3:$D$6,3,0)*(ROWS($1:645)-1))))</f>
        <v/>
      </c>
      <c r="D657" s="68" t="str">
        <f t="shared" si="2"/>
        <v/>
      </c>
      <c r="E657" s="65" t="str">
        <f>IF($B657="","",VLOOKUP(MONTH(C657),Parameters!$F$2:$G$13,2,0))</f>
        <v/>
      </c>
      <c r="F657" s="69" t="str">
        <f>IF($B657="","",PV-N(J656))</f>
        <v/>
      </c>
      <c r="G657" s="69" t="str">
        <f>IF($B657="","",PMT(Rate,Nper,-PV,,Type))</f>
        <v/>
      </c>
      <c r="H657" s="69" t="str">
        <f>IF($B657="","",PPMT(Rate,ROWS($1:645),Nper,-PV,,Type))</f>
        <v/>
      </c>
      <c r="I657" s="69" t="str">
        <f>IF($B657="","",IPMT(Rate,ROWS($1:645),Nper,-PV,,Type))</f>
        <v/>
      </c>
      <c r="J657" s="73" t="str">
        <f t="shared" ref="J657:K657" si="647">IF($B657="","",N(J656)+N(H657))</f>
        <v/>
      </c>
      <c r="K657" s="74" t="str">
        <f t="shared" si="647"/>
        <v/>
      </c>
      <c r="L657" s="69" t="str">
        <f>IF($B657="","",PV-J657)</f>
        <v/>
      </c>
      <c r="M657" s="71" t="str">
        <f>IF($B657="","",J657/PV)</f>
        <v/>
      </c>
      <c r="N657" s="72" t="str">
        <f t="shared" si="4"/>
        <v/>
      </c>
    </row>
    <row r="658" ht="14.25" customHeight="1">
      <c r="B658" s="66" t="str">
        <f>IF(ROWS($1:646)&lt;=Nper,ROWS($1:646),"")</f>
        <v/>
      </c>
      <c r="C658" s="67" t="str">
        <f>IF($B658="","",IF($E$7="Weekly",Start_Date+7*(ROWS($1:646)-1),EDATE(Start_Date,VLOOKUP(IF(ASTemp!$E$7="","Monthly",ASTemp!$E$7),Parameters!$B$3:$D$6,3,0)*(ROWS($1:646)-1))))</f>
        <v/>
      </c>
      <c r="D658" s="68" t="str">
        <f t="shared" si="2"/>
        <v/>
      </c>
      <c r="E658" s="65" t="str">
        <f>IF($B658="","",VLOOKUP(MONTH(C658),Parameters!$F$2:$G$13,2,0))</f>
        <v/>
      </c>
      <c r="F658" s="69" t="str">
        <f>IF($B658="","",PV-N(J657))</f>
        <v/>
      </c>
      <c r="G658" s="69" t="str">
        <f>IF($B658="","",PMT(Rate,Nper,-PV,,Type))</f>
        <v/>
      </c>
      <c r="H658" s="69" t="str">
        <f>IF($B658="","",PPMT(Rate,ROWS($1:646),Nper,-PV,,Type))</f>
        <v/>
      </c>
      <c r="I658" s="69" t="str">
        <f>IF($B658="","",IPMT(Rate,ROWS($1:646),Nper,-PV,,Type))</f>
        <v/>
      </c>
      <c r="J658" s="73" t="str">
        <f t="shared" ref="J658:K658" si="648">IF($B658="","",N(J657)+N(H658))</f>
        <v/>
      </c>
      <c r="K658" s="74" t="str">
        <f t="shared" si="648"/>
        <v/>
      </c>
      <c r="L658" s="69" t="str">
        <f>IF($B658="","",PV-J658)</f>
        <v/>
      </c>
      <c r="M658" s="71" t="str">
        <f>IF($B658="","",J658/PV)</f>
        <v/>
      </c>
      <c r="N658" s="72" t="str">
        <f t="shared" si="4"/>
        <v/>
      </c>
    </row>
    <row r="659" ht="14.25" customHeight="1">
      <c r="B659" s="66" t="str">
        <f>IF(ROWS($1:647)&lt;=Nper,ROWS($1:647),"")</f>
        <v/>
      </c>
      <c r="C659" s="67" t="str">
        <f>IF($B659="","",IF($E$7="Weekly",Start_Date+7*(ROWS($1:647)-1),EDATE(Start_Date,VLOOKUP(IF(ASTemp!$E$7="","Monthly",ASTemp!$E$7),Parameters!$B$3:$D$6,3,0)*(ROWS($1:647)-1))))</f>
        <v/>
      </c>
      <c r="D659" s="68" t="str">
        <f t="shared" si="2"/>
        <v/>
      </c>
      <c r="E659" s="65" t="str">
        <f>IF($B659="","",VLOOKUP(MONTH(C659),Parameters!$F$2:$G$13,2,0))</f>
        <v/>
      </c>
      <c r="F659" s="69" t="str">
        <f>IF($B659="","",PV-N(J658))</f>
        <v/>
      </c>
      <c r="G659" s="69" t="str">
        <f>IF($B659="","",PMT(Rate,Nper,-PV,,Type))</f>
        <v/>
      </c>
      <c r="H659" s="69" t="str">
        <f>IF($B659="","",PPMT(Rate,ROWS($1:647),Nper,-PV,,Type))</f>
        <v/>
      </c>
      <c r="I659" s="69" t="str">
        <f>IF($B659="","",IPMT(Rate,ROWS($1:647),Nper,-PV,,Type))</f>
        <v/>
      </c>
      <c r="J659" s="73" t="str">
        <f t="shared" ref="J659:K659" si="649">IF($B659="","",N(J658)+N(H659))</f>
        <v/>
      </c>
      <c r="K659" s="74" t="str">
        <f t="shared" si="649"/>
        <v/>
      </c>
      <c r="L659" s="69" t="str">
        <f>IF($B659="","",PV-J659)</f>
        <v/>
      </c>
      <c r="M659" s="71" t="str">
        <f>IF($B659="","",J659/PV)</f>
        <v/>
      </c>
      <c r="N659" s="72" t="str">
        <f t="shared" si="4"/>
        <v/>
      </c>
    </row>
    <row r="660" ht="14.25" customHeight="1">
      <c r="B660" s="66" t="str">
        <f>IF(ROWS($1:648)&lt;=Nper,ROWS($1:648),"")</f>
        <v/>
      </c>
      <c r="C660" s="67" t="str">
        <f>IF($B660="","",IF($E$7="Weekly",Start_Date+7*(ROWS($1:648)-1),EDATE(Start_Date,VLOOKUP(IF(ASTemp!$E$7="","Monthly",ASTemp!$E$7),Parameters!$B$3:$D$6,3,0)*(ROWS($1:648)-1))))</f>
        <v/>
      </c>
      <c r="D660" s="68" t="str">
        <f t="shared" si="2"/>
        <v/>
      </c>
      <c r="E660" s="65" t="str">
        <f>IF($B660="","",VLOOKUP(MONTH(C660),Parameters!$F$2:$G$13,2,0))</f>
        <v/>
      </c>
      <c r="F660" s="69" t="str">
        <f>IF($B660="","",PV-N(J659))</f>
        <v/>
      </c>
      <c r="G660" s="69" t="str">
        <f>IF($B660="","",PMT(Rate,Nper,-PV,,Type))</f>
        <v/>
      </c>
      <c r="H660" s="69" t="str">
        <f>IF($B660="","",PPMT(Rate,ROWS($1:648),Nper,-PV,,Type))</f>
        <v/>
      </c>
      <c r="I660" s="69" t="str">
        <f>IF($B660="","",IPMT(Rate,ROWS($1:648),Nper,-PV,,Type))</f>
        <v/>
      </c>
      <c r="J660" s="73" t="str">
        <f t="shared" ref="J660:K660" si="650">IF($B660="","",N(J659)+N(H660))</f>
        <v/>
      </c>
      <c r="K660" s="74" t="str">
        <f t="shared" si="650"/>
        <v/>
      </c>
      <c r="L660" s="69" t="str">
        <f>IF($B660="","",PV-J660)</f>
        <v/>
      </c>
      <c r="M660" s="71" t="str">
        <f>IF($B660="","",J660/PV)</f>
        <v/>
      </c>
      <c r="N660" s="72" t="str">
        <f t="shared" si="4"/>
        <v/>
      </c>
    </row>
    <row r="661" ht="14.25" customHeight="1">
      <c r="B661" s="66" t="str">
        <f>IF(ROWS($1:649)&lt;=Nper,ROWS($1:649),"")</f>
        <v/>
      </c>
      <c r="C661" s="67" t="str">
        <f>IF($B661="","",IF($E$7="Weekly",Start_Date+7*(ROWS($1:649)-1),EDATE(Start_Date,VLOOKUP(IF(ASTemp!$E$7="","Monthly",ASTemp!$E$7),Parameters!$B$3:$D$6,3,0)*(ROWS($1:649)-1))))</f>
        <v/>
      </c>
      <c r="D661" s="68" t="str">
        <f t="shared" si="2"/>
        <v/>
      </c>
      <c r="E661" s="65" t="str">
        <f>IF($B661="","",VLOOKUP(MONTH(C661),Parameters!$F$2:$G$13,2,0))</f>
        <v/>
      </c>
      <c r="F661" s="69" t="str">
        <f>IF($B661="","",PV-N(J660))</f>
        <v/>
      </c>
      <c r="G661" s="69" t="str">
        <f>IF($B661="","",PMT(Rate,Nper,-PV,,Type))</f>
        <v/>
      </c>
      <c r="H661" s="69" t="str">
        <f>IF($B661="","",PPMT(Rate,ROWS($1:649),Nper,-PV,,Type))</f>
        <v/>
      </c>
      <c r="I661" s="69" t="str">
        <f>IF($B661="","",IPMT(Rate,ROWS($1:649),Nper,-PV,,Type))</f>
        <v/>
      </c>
      <c r="J661" s="73" t="str">
        <f t="shared" ref="J661:K661" si="651">IF($B661="","",N(J660)+N(H661))</f>
        <v/>
      </c>
      <c r="K661" s="74" t="str">
        <f t="shared" si="651"/>
        <v/>
      </c>
      <c r="L661" s="69" t="str">
        <f>IF($B661="","",PV-J661)</f>
        <v/>
      </c>
      <c r="M661" s="71" t="str">
        <f>IF($B661="","",J661/PV)</f>
        <v/>
      </c>
      <c r="N661" s="72" t="str">
        <f t="shared" si="4"/>
        <v/>
      </c>
    </row>
    <row r="662" ht="14.25" customHeight="1">
      <c r="B662" s="66" t="str">
        <f>IF(ROWS($1:650)&lt;=Nper,ROWS($1:650),"")</f>
        <v/>
      </c>
      <c r="C662" s="67" t="str">
        <f>IF($B662="","",IF($E$7="Weekly",Start_Date+7*(ROWS($1:650)-1),EDATE(Start_Date,VLOOKUP(IF(ASTemp!$E$7="","Monthly",ASTemp!$E$7),Parameters!$B$3:$D$6,3,0)*(ROWS($1:650)-1))))</f>
        <v/>
      </c>
      <c r="D662" s="68" t="str">
        <f t="shared" si="2"/>
        <v/>
      </c>
      <c r="E662" s="65" t="str">
        <f>IF($B662="","",VLOOKUP(MONTH(C662),Parameters!$F$2:$G$13,2,0))</f>
        <v/>
      </c>
      <c r="F662" s="69" t="str">
        <f>IF($B662="","",PV-N(J661))</f>
        <v/>
      </c>
      <c r="G662" s="69" t="str">
        <f>IF($B662="","",PMT(Rate,Nper,-PV,,Type))</f>
        <v/>
      </c>
      <c r="H662" s="69" t="str">
        <f>IF($B662="","",PPMT(Rate,ROWS($1:650),Nper,-PV,,Type))</f>
        <v/>
      </c>
      <c r="I662" s="69" t="str">
        <f>IF($B662="","",IPMT(Rate,ROWS($1:650),Nper,-PV,,Type))</f>
        <v/>
      </c>
      <c r="J662" s="73" t="str">
        <f t="shared" ref="J662:K662" si="652">IF($B662="","",N(J661)+N(H662))</f>
        <v/>
      </c>
      <c r="K662" s="74" t="str">
        <f t="shared" si="652"/>
        <v/>
      </c>
      <c r="L662" s="69" t="str">
        <f>IF($B662="","",PV-J662)</f>
        <v/>
      </c>
      <c r="M662" s="71" t="str">
        <f>IF($B662="","",J662/PV)</f>
        <v/>
      </c>
      <c r="N662" s="72" t="str">
        <f t="shared" si="4"/>
        <v/>
      </c>
    </row>
    <row r="663" ht="14.25" customHeight="1">
      <c r="B663" s="66" t="str">
        <f>IF(ROWS($1:651)&lt;=Nper,ROWS($1:651),"")</f>
        <v/>
      </c>
      <c r="C663" s="67" t="str">
        <f>IF($B663="","",IF($E$7="Weekly",Start_Date+7*(ROWS($1:651)-1),EDATE(Start_Date,VLOOKUP(IF(ASTemp!$E$7="","Monthly",ASTemp!$E$7),Parameters!$B$3:$D$6,3,0)*(ROWS($1:651)-1))))</f>
        <v/>
      </c>
      <c r="D663" s="68" t="str">
        <f t="shared" si="2"/>
        <v/>
      </c>
      <c r="E663" s="65" t="str">
        <f>IF($B663="","",VLOOKUP(MONTH(C663),Parameters!$F$2:$G$13,2,0))</f>
        <v/>
      </c>
      <c r="F663" s="69" t="str">
        <f>IF($B663="","",PV-N(J662))</f>
        <v/>
      </c>
      <c r="G663" s="69" t="str">
        <f>IF($B663="","",PMT(Rate,Nper,-PV,,Type))</f>
        <v/>
      </c>
      <c r="H663" s="69" t="str">
        <f>IF($B663="","",PPMT(Rate,ROWS($1:651),Nper,-PV,,Type))</f>
        <v/>
      </c>
      <c r="I663" s="69" t="str">
        <f>IF($B663="","",IPMT(Rate,ROWS($1:651),Nper,-PV,,Type))</f>
        <v/>
      </c>
      <c r="J663" s="73" t="str">
        <f t="shared" ref="J663:K663" si="653">IF($B663="","",N(J662)+N(H663))</f>
        <v/>
      </c>
      <c r="K663" s="74" t="str">
        <f t="shared" si="653"/>
        <v/>
      </c>
      <c r="L663" s="69" t="str">
        <f>IF($B663="","",PV-J663)</f>
        <v/>
      </c>
      <c r="M663" s="71" t="str">
        <f>IF($B663="","",J663/PV)</f>
        <v/>
      </c>
      <c r="N663" s="72" t="str">
        <f t="shared" si="4"/>
        <v/>
      </c>
    </row>
    <row r="664" ht="14.25" customHeight="1">
      <c r="B664" s="66" t="str">
        <f>IF(ROWS($1:652)&lt;=Nper,ROWS($1:652),"")</f>
        <v/>
      </c>
      <c r="C664" s="67" t="str">
        <f>IF($B664="","",IF($E$7="Weekly",Start_Date+7*(ROWS($1:652)-1),EDATE(Start_Date,VLOOKUP(IF(ASTemp!$E$7="","Monthly",ASTemp!$E$7),Parameters!$B$3:$D$6,3,0)*(ROWS($1:652)-1))))</f>
        <v/>
      </c>
      <c r="D664" s="68" t="str">
        <f t="shared" si="2"/>
        <v/>
      </c>
      <c r="E664" s="65" t="str">
        <f>IF($B664="","",VLOOKUP(MONTH(C664),Parameters!$F$2:$G$13,2,0))</f>
        <v/>
      </c>
      <c r="F664" s="69" t="str">
        <f>IF($B664="","",PV-N(J663))</f>
        <v/>
      </c>
      <c r="G664" s="69" t="str">
        <f>IF($B664="","",PMT(Rate,Nper,-PV,,Type))</f>
        <v/>
      </c>
      <c r="H664" s="69" t="str">
        <f>IF($B664="","",PPMT(Rate,ROWS($1:652),Nper,-PV,,Type))</f>
        <v/>
      </c>
      <c r="I664" s="69" t="str">
        <f>IF($B664="","",IPMT(Rate,ROWS($1:652),Nper,-PV,,Type))</f>
        <v/>
      </c>
      <c r="J664" s="73" t="str">
        <f t="shared" ref="J664:K664" si="654">IF($B664="","",N(J663)+N(H664))</f>
        <v/>
      </c>
      <c r="K664" s="74" t="str">
        <f t="shared" si="654"/>
        <v/>
      </c>
      <c r="L664" s="69" t="str">
        <f>IF($B664="","",PV-J664)</f>
        <v/>
      </c>
      <c r="M664" s="71" t="str">
        <f>IF($B664="","",J664/PV)</f>
        <v/>
      </c>
      <c r="N664" s="72" t="str">
        <f t="shared" si="4"/>
        <v/>
      </c>
    </row>
    <row r="665" ht="14.25" customHeight="1">
      <c r="B665" s="66" t="str">
        <f>IF(ROWS($1:653)&lt;=Nper,ROWS($1:653),"")</f>
        <v/>
      </c>
      <c r="C665" s="67" t="str">
        <f>IF($B665="","",IF($E$7="Weekly",Start_Date+7*(ROWS($1:653)-1),EDATE(Start_Date,VLOOKUP(IF(ASTemp!$E$7="","Monthly",ASTemp!$E$7),Parameters!$B$3:$D$6,3,0)*(ROWS($1:653)-1))))</f>
        <v/>
      </c>
      <c r="D665" s="68" t="str">
        <f t="shared" si="2"/>
        <v/>
      </c>
      <c r="E665" s="65" t="str">
        <f>IF($B665="","",VLOOKUP(MONTH(C665),Parameters!$F$2:$G$13,2,0))</f>
        <v/>
      </c>
      <c r="F665" s="69" t="str">
        <f>IF($B665="","",PV-N(J664))</f>
        <v/>
      </c>
      <c r="G665" s="69" t="str">
        <f>IF($B665="","",PMT(Rate,Nper,-PV,,Type))</f>
        <v/>
      </c>
      <c r="H665" s="69" t="str">
        <f>IF($B665="","",PPMT(Rate,ROWS($1:653),Nper,-PV,,Type))</f>
        <v/>
      </c>
      <c r="I665" s="69" t="str">
        <f>IF($B665="","",IPMT(Rate,ROWS($1:653),Nper,-PV,,Type))</f>
        <v/>
      </c>
      <c r="J665" s="73" t="str">
        <f t="shared" ref="J665:K665" si="655">IF($B665="","",N(J664)+N(H665))</f>
        <v/>
      </c>
      <c r="K665" s="74" t="str">
        <f t="shared" si="655"/>
        <v/>
      </c>
      <c r="L665" s="69" t="str">
        <f>IF($B665="","",PV-J665)</f>
        <v/>
      </c>
      <c r="M665" s="71" t="str">
        <f>IF($B665="","",J665/PV)</f>
        <v/>
      </c>
      <c r="N665" s="72" t="str">
        <f t="shared" si="4"/>
        <v/>
      </c>
    </row>
    <row r="666" ht="14.25" customHeight="1">
      <c r="B666" s="66" t="str">
        <f>IF(ROWS($1:654)&lt;=Nper,ROWS($1:654),"")</f>
        <v/>
      </c>
      <c r="C666" s="67" t="str">
        <f>IF($B666="","",IF($E$7="Weekly",Start_Date+7*(ROWS($1:654)-1),EDATE(Start_Date,VLOOKUP(IF(ASTemp!$E$7="","Monthly",ASTemp!$E$7),Parameters!$B$3:$D$6,3,0)*(ROWS($1:654)-1))))</f>
        <v/>
      </c>
      <c r="D666" s="68" t="str">
        <f t="shared" si="2"/>
        <v/>
      </c>
      <c r="E666" s="65" t="str">
        <f>IF($B666="","",VLOOKUP(MONTH(C666),Parameters!$F$2:$G$13,2,0))</f>
        <v/>
      </c>
      <c r="F666" s="69" t="str">
        <f>IF($B666="","",PV-N(J665))</f>
        <v/>
      </c>
      <c r="G666" s="69" t="str">
        <f>IF($B666="","",PMT(Rate,Nper,-PV,,Type))</f>
        <v/>
      </c>
      <c r="H666" s="69" t="str">
        <f>IF($B666="","",PPMT(Rate,ROWS($1:654),Nper,-PV,,Type))</f>
        <v/>
      </c>
      <c r="I666" s="69" t="str">
        <f>IF($B666="","",IPMT(Rate,ROWS($1:654),Nper,-PV,,Type))</f>
        <v/>
      </c>
      <c r="J666" s="73" t="str">
        <f t="shared" ref="J666:K666" si="656">IF($B666="","",N(J665)+N(H666))</f>
        <v/>
      </c>
      <c r="K666" s="74" t="str">
        <f t="shared" si="656"/>
        <v/>
      </c>
      <c r="L666" s="69" t="str">
        <f>IF($B666="","",PV-J666)</f>
        <v/>
      </c>
      <c r="M666" s="71" t="str">
        <f>IF($B666="","",J666/PV)</f>
        <v/>
      </c>
      <c r="N666" s="72" t="str">
        <f t="shared" si="4"/>
        <v/>
      </c>
    </row>
    <row r="667" ht="14.25" customHeight="1">
      <c r="B667" s="66" t="str">
        <f>IF(ROWS($1:655)&lt;=Nper,ROWS($1:655),"")</f>
        <v/>
      </c>
      <c r="C667" s="67" t="str">
        <f>IF($B667="","",IF($E$7="Weekly",Start_Date+7*(ROWS($1:655)-1),EDATE(Start_Date,VLOOKUP(IF(ASTemp!$E$7="","Monthly",ASTemp!$E$7),Parameters!$B$3:$D$6,3,0)*(ROWS($1:655)-1))))</f>
        <v/>
      </c>
      <c r="D667" s="68" t="str">
        <f t="shared" si="2"/>
        <v/>
      </c>
      <c r="E667" s="65" t="str">
        <f>IF($B667="","",VLOOKUP(MONTH(C667),Parameters!$F$2:$G$13,2,0))</f>
        <v/>
      </c>
      <c r="F667" s="69" t="str">
        <f>IF($B667="","",PV-N(J666))</f>
        <v/>
      </c>
      <c r="G667" s="69" t="str">
        <f>IF($B667="","",PMT(Rate,Nper,-PV,,Type))</f>
        <v/>
      </c>
      <c r="H667" s="69" t="str">
        <f>IF($B667="","",PPMT(Rate,ROWS($1:655),Nper,-PV,,Type))</f>
        <v/>
      </c>
      <c r="I667" s="69" t="str">
        <f>IF($B667="","",IPMT(Rate,ROWS($1:655),Nper,-PV,,Type))</f>
        <v/>
      </c>
      <c r="J667" s="73" t="str">
        <f t="shared" ref="J667:K667" si="657">IF($B667="","",N(J666)+N(H667))</f>
        <v/>
      </c>
      <c r="K667" s="74" t="str">
        <f t="shared" si="657"/>
        <v/>
      </c>
      <c r="L667" s="69" t="str">
        <f>IF($B667="","",PV-J667)</f>
        <v/>
      </c>
      <c r="M667" s="71" t="str">
        <f>IF($B667="","",J667/PV)</f>
        <v/>
      </c>
      <c r="N667" s="72" t="str">
        <f t="shared" si="4"/>
        <v/>
      </c>
    </row>
    <row r="668" ht="14.25" customHeight="1">
      <c r="B668" s="66" t="str">
        <f>IF(ROWS($1:656)&lt;=Nper,ROWS($1:656),"")</f>
        <v/>
      </c>
      <c r="C668" s="67" t="str">
        <f>IF($B668="","",IF($E$7="Weekly",Start_Date+7*(ROWS($1:656)-1),EDATE(Start_Date,VLOOKUP(IF(ASTemp!$E$7="","Monthly",ASTemp!$E$7),Parameters!$B$3:$D$6,3,0)*(ROWS($1:656)-1))))</f>
        <v/>
      </c>
      <c r="D668" s="68" t="str">
        <f t="shared" si="2"/>
        <v/>
      </c>
      <c r="E668" s="65" t="str">
        <f>IF($B668="","",VLOOKUP(MONTH(C668),Parameters!$F$2:$G$13,2,0))</f>
        <v/>
      </c>
      <c r="F668" s="69" t="str">
        <f>IF($B668="","",PV-N(J667))</f>
        <v/>
      </c>
      <c r="G668" s="69" t="str">
        <f>IF($B668="","",PMT(Rate,Nper,-PV,,Type))</f>
        <v/>
      </c>
      <c r="H668" s="69" t="str">
        <f>IF($B668="","",PPMT(Rate,ROWS($1:656),Nper,-PV,,Type))</f>
        <v/>
      </c>
      <c r="I668" s="69" t="str">
        <f>IF($B668="","",IPMT(Rate,ROWS($1:656),Nper,-PV,,Type))</f>
        <v/>
      </c>
      <c r="J668" s="73" t="str">
        <f t="shared" ref="J668:K668" si="658">IF($B668="","",N(J667)+N(H668))</f>
        <v/>
      </c>
      <c r="K668" s="74" t="str">
        <f t="shared" si="658"/>
        <v/>
      </c>
      <c r="L668" s="69" t="str">
        <f>IF($B668="","",PV-J668)</f>
        <v/>
      </c>
      <c r="M668" s="71" t="str">
        <f>IF($B668="","",J668/PV)</f>
        <v/>
      </c>
      <c r="N668" s="72" t="str">
        <f t="shared" si="4"/>
        <v/>
      </c>
    </row>
    <row r="669" ht="14.25" customHeight="1">
      <c r="B669" s="66" t="str">
        <f>IF(ROWS($1:657)&lt;=Nper,ROWS($1:657),"")</f>
        <v/>
      </c>
      <c r="C669" s="67" t="str">
        <f>IF($B669="","",IF($E$7="Weekly",Start_Date+7*(ROWS($1:657)-1),EDATE(Start_Date,VLOOKUP(IF(ASTemp!$E$7="","Monthly",ASTemp!$E$7),Parameters!$B$3:$D$6,3,0)*(ROWS($1:657)-1))))</f>
        <v/>
      </c>
      <c r="D669" s="68" t="str">
        <f t="shared" si="2"/>
        <v/>
      </c>
      <c r="E669" s="65" t="str">
        <f>IF($B669="","",VLOOKUP(MONTH(C669),Parameters!$F$2:$G$13,2,0))</f>
        <v/>
      </c>
      <c r="F669" s="69" t="str">
        <f>IF($B669="","",PV-N(J668))</f>
        <v/>
      </c>
      <c r="G669" s="69" t="str">
        <f>IF($B669="","",PMT(Rate,Nper,-PV,,Type))</f>
        <v/>
      </c>
      <c r="H669" s="69" t="str">
        <f>IF($B669="","",PPMT(Rate,ROWS($1:657),Nper,-PV,,Type))</f>
        <v/>
      </c>
      <c r="I669" s="69" t="str">
        <f>IF($B669="","",IPMT(Rate,ROWS($1:657),Nper,-PV,,Type))</f>
        <v/>
      </c>
      <c r="J669" s="73" t="str">
        <f t="shared" ref="J669:K669" si="659">IF($B669="","",N(J668)+N(H669))</f>
        <v/>
      </c>
      <c r="K669" s="74" t="str">
        <f t="shared" si="659"/>
        <v/>
      </c>
      <c r="L669" s="69" t="str">
        <f>IF($B669="","",PV-J669)</f>
        <v/>
      </c>
      <c r="M669" s="71" t="str">
        <f>IF($B669="","",J669/PV)</f>
        <v/>
      </c>
      <c r="N669" s="72" t="str">
        <f t="shared" si="4"/>
        <v/>
      </c>
    </row>
    <row r="670" ht="14.25" customHeight="1">
      <c r="B670" s="66" t="str">
        <f>IF(ROWS($1:658)&lt;=Nper,ROWS($1:658),"")</f>
        <v/>
      </c>
      <c r="C670" s="67" t="str">
        <f>IF($B670="","",IF($E$7="Weekly",Start_Date+7*(ROWS($1:658)-1),EDATE(Start_Date,VLOOKUP(IF(ASTemp!$E$7="","Monthly",ASTemp!$E$7),Parameters!$B$3:$D$6,3,0)*(ROWS($1:658)-1))))</f>
        <v/>
      </c>
      <c r="D670" s="68" t="str">
        <f t="shared" si="2"/>
        <v/>
      </c>
      <c r="E670" s="65" t="str">
        <f>IF($B670="","",VLOOKUP(MONTH(C670),Parameters!$F$2:$G$13,2,0))</f>
        <v/>
      </c>
      <c r="F670" s="69" t="str">
        <f>IF($B670="","",PV-N(J669))</f>
        <v/>
      </c>
      <c r="G670" s="69" t="str">
        <f>IF($B670="","",PMT(Rate,Nper,-PV,,Type))</f>
        <v/>
      </c>
      <c r="H670" s="69" t="str">
        <f>IF($B670="","",PPMT(Rate,ROWS($1:658),Nper,-PV,,Type))</f>
        <v/>
      </c>
      <c r="I670" s="69" t="str">
        <f>IF($B670="","",IPMT(Rate,ROWS($1:658),Nper,-PV,,Type))</f>
        <v/>
      </c>
      <c r="J670" s="73" t="str">
        <f t="shared" ref="J670:K670" si="660">IF($B670="","",N(J669)+N(H670))</f>
        <v/>
      </c>
      <c r="K670" s="74" t="str">
        <f t="shared" si="660"/>
        <v/>
      </c>
      <c r="L670" s="69" t="str">
        <f>IF($B670="","",PV-J670)</f>
        <v/>
      </c>
      <c r="M670" s="71" t="str">
        <f>IF($B670="","",J670/PV)</f>
        <v/>
      </c>
      <c r="N670" s="72" t="str">
        <f t="shared" si="4"/>
        <v/>
      </c>
    </row>
    <row r="671" ht="14.25" customHeight="1">
      <c r="B671" s="66" t="str">
        <f>IF(ROWS($1:659)&lt;=Nper,ROWS($1:659),"")</f>
        <v/>
      </c>
      <c r="C671" s="67" t="str">
        <f>IF($B671="","",IF($E$7="Weekly",Start_Date+7*(ROWS($1:659)-1),EDATE(Start_Date,VLOOKUP(IF(ASTemp!$E$7="","Monthly",ASTemp!$E$7),Parameters!$B$3:$D$6,3,0)*(ROWS($1:659)-1))))</f>
        <v/>
      </c>
      <c r="D671" s="68" t="str">
        <f t="shared" si="2"/>
        <v/>
      </c>
      <c r="E671" s="65" t="str">
        <f>IF($B671="","",VLOOKUP(MONTH(C671),Parameters!$F$2:$G$13,2,0))</f>
        <v/>
      </c>
      <c r="F671" s="69" t="str">
        <f>IF($B671="","",PV-N(J670))</f>
        <v/>
      </c>
      <c r="G671" s="69" t="str">
        <f>IF($B671="","",PMT(Rate,Nper,-PV,,Type))</f>
        <v/>
      </c>
      <c r="H671" s="69" t="str">
        <f>IF($B671="","",PPMT(Rate,ROWS($1:659),Nper,-PV,,Type))</f>
        <v/>
      </c>
      <c r="I671" s="69" t="str">
        <f>IF($B671="","",IPMT(Rate,ROWS($1:659),Nper,-PV,,Type))</f>
        <v/>
      </c>
      <c r="J671" s="73" t="str">
        <f t="shared" ref="J671:K671" si="661">IF($B671="","",N(J670)+N(H671))</f>
        <v/>
      </c>
      <c r="K671" s="74" t="str">
        <f t="shared" si="661"/>
        <v/>
      </c>
      <c r="L671" s="69" t="str">
        <f>IF($B671="","",PV-J671)</f>
        <v/>
      </c>
      <c r="M671" s="71" t="str">
        <f>IF($B671="","",J671/PV)</f>
        <v/>
      </c>
      <c r="N671" s="72" t="str">
        <f t="shared" si="4"/>
        <v/>
      </c>
    </row>
    <row r="672" ht="14.25" customHeight="1">
      <c r="B672" s="66" t="str">
        <f>IF(ROWS($1:660)&lt;=Nper,ROWS($1:660),"")</f>
        <v/>
      </c>
      <c r="C672" s="67" t="str">
        <f>IF($B672="","",IF($E$7="Weekly",Start_Date+7*(ROWS($1:660)-1),EDATE(Start_Date,VLOOKUP(IF(ASTemp!$E$7="","Monthly",ASTemp!$E$7),Parameters!$B$3:$D$6,3,0)*(ROWS($1:660)-1))))</f>
        <v/>
      </c>
      <c r="D672" s="68" t="str">
        <f t="shared" si="2"/>
        <v/>
      </c>
      <c r="E672" s="65" t="str">
        <f>IF($B672="","",VLOOKUP(MONTH(C672),Parameters!$F$2:$G$13,2,0))</f>
        <v/>
      </c>
      <c r="F672" s="69" t="str">
        <f>IF($B672="","",PV-N(J671))</f>
        <v/>
      </c>
      <c r="G672" s="69" t="str">
        <f>IF($B672="","",PMT(Rate,Nper,-PV,,Type))</f>
        <v/>
      </c>
      <c r="H672" s="69" t="str">
        <f>IF($B672="","",PPMT(Rate,ROWS($1:660),Nper,-PV,,Type))</f>
        <v/>
      </c>
      <c r="I672" s="69" t="str">
        <f>IF($B672="","",IPMT(Rate,ROWS($1:660),Nper,-PV,,Type))</f>
        <v/>
      </c>
      <c r="J672" s="73" t="str">
        <f t="shared" ref="J672:K672" si="662">IF($B672="","",N(J671)+N(H672))</f>
        <v/>
      </c>
      <c r="K672" s="74" t="str">
        <f t="shared" si="662"/>
        <v/>
      </c>
      <c r="L672" s="69" t="str">
        <f>IF($B672="","",PV-J672)</f>
        <v/>
      </c>
      <c r="M672" s="71" t="str">
        <f>IF($B672="","",J672/PV)</f>
        <v/>
      </c>
      <c r="N672" s="72" t="str">
        <f t="shared" si="4"/>
        <v/>
      </c>
    </row>
    <row r="673" ht="14.25" customHeight="1">
      <c r="B673" s="66" t="str">
        <f>IF(ROWS($1:661)&lt;=Nper,ROWS($1:661),"")</f>
        <v/>
      </c>
      <c r="C673" s="67" t="str">
        <f>IF($B673="","",IF($E$7="Weekly",Start_Date+7*(ROWS($1:661)-1),EDATE(Start_Date,VLOOKUP(IF(ASTemp!$E$7="","Monthly",ASTemp!$E$7),Parameters!$B$3:$D$6,3,0)*(ROWS($1:661)-1))))</f>
        <v/>
      </c>
      <c r="D673" s="68" t="str">
        <f t="shared" si="2"/>
        <v/>
      </c>
      <c r="E673" s="65" t="str">
        <f>IF($B673="","",VLOOKUP(MONTH(C673),Parameters!$F$2:$G$13,2,0))</f>
        <v/>
      </c>
      <c r="F673" s="69" t="str">
        <f>IF($B673="","",PV-N(J672))</f>
        <v/>
      </c>
      <c r="G673" s="69" t="str">
        <f>IF($B673="","",PMT(Rate,Nper,-PV,,Type))</f>
        <v/>
      </c>
      <c r="H673" s="69" t="str">
        <f>IF($B673="","",PPMT(Rate,ROWS($1:661),Nper,-PV,,Type))</f>
        <v/>
      </c>
      <c r="I673" s="69" t="str">
        <f>IF($B673="","",IPMT(Rate,ROWS($1:661),Nper,-PV,,Type))</f>
        <v/>
      </c>
      <c r="J673" s="73" t="str">
        <f t="shared" ref="J673:K673" si="663">IF($B673="","",N(J672)+N(H673))</f>
        <v/>
      </c>
      <c r="K673" s="74" t="str">
        <f t="shared" si="663"/>
        <v/>
      </c>
      <c r="L673" s="69" t="str">
        <f>IF($B673="","",PV-J673)</f>
        <v/>
      </c>
      <c r="M673" s="71" t="str">
        <f>IF($B673="","",J673/PV)</f>
        <v/>
      </c>
      <c r="N673" s="72" t="str">
        <f t="shared" si="4"/>
        <v/>
      </c>
    </row>
    <row r="674" ht="14.25" customHeight="1">
      <c r="B674" s="66" t="str">
        <f>IF(ROWS($1:662)&lt;=Nper,ROWS($1:662),"")</f>
        <v/>
      </c>
      <c r="C674" s="67" t="str">
        <f>IF($B674="","",IF($E$7="Weekly",Start_Date+7*(ROWS($1:662)-1),EDATE(Start_Date,VLOOKUP(IF(ASTemp!$E$7="","Monthly",ASTemp!$E$7),Parameters!$B$3:$D$6,3,0)*(ROWS($1:662)-1))))</f>
        <v/>
      </c>
      <c r="D674" s="68" t="str">
        <f t="shared" si="2"/>
        <v/>
      </c>
      <c r="E674" s="65" t="str">
        <f>IF($B674="","",VLOOKUP(MONTH(C674),Parameters!$F$2:$G$13,2,0))</f>
        <v/>
      </c>
      <c r="F674" s="69" t="str">
        <f>IF($B674="","",PV-N(J673))</f>
        <v/>
      </c>
      <c r="G674" s="69" t="str">
        <f>IF($B674="","",PMT(Rate,Nper,-PV,,Type))</f>
        <v/>
      </c>
      <c r="H674" s="69" t="str">
        <f>IF($B674="","",PPMT(Rate,ROWS($1:662),Nper,-PV,,Type))</f>
        <v/>
      </c>
      <c r="I674" s="69" t="str">
        <f>IF($B674="","",IPMT(Rate,ROWS($1:662),Nper,-PV,,Type))</f>
        <v/>
      </c>
      <c r="J674" s="73" t="str">
        <f t="shared" ref="J674:K674" si="664">IF($B674="","",N(J673)+N(H674))</f>
        <v/>
      </c>
      <c r="K674" s="74" t="str">
        <f t="shared" si="664"/>
        <v/>
      </c>
      <c r="L674" s="69" t="str">
        <f>IF($B674="","",PV-J674)</f>
        <v/>
      </c>
      <c r="M674" s="71" t="str">
        <f>IF($B674="","",J674/PV)</f>
        <v/>
      </c>
      <c r="N674" s="72" t="str">
        <f t="shared" si="4"/>
        <v/>
      </c>
    </row>
    <row r="675" ht="14.25" customHeight="1">
      <c r="B675" s="66" t="str">
        <f>IF(ROWS($1:663)&lt;=Nper,ROWS($1:663),"")</f>
        <v/>
      </c>
      <c r="C675" s="67" t="str">
        <f>IF($B675="","",IF($E$7="Weekly",Start_Date+7*(ROWS($1:663)-1),EDATE(Start_Date,VLOOKUP(IF(ASTemp!$E$7="","Monthly",ASTemp!$E$7),Parameters!$B$3:$D$6,3,0)*(ROWS($1:663)-1))))</f>
        <v/>
      </c>
      <c r="D675" s="68" t="str">
        <f t="shared" si="2"/>
        <v/>
      </c>
      <c r="E675" s="65" t="str">
        <f>IF($B675="","",VLOOKUP(MONTH(C675),Parameters!$F$2:$G$13,2,0))</f>
        <v/>
      </c>
      <c r="F675" s="69" t="str">
        <f>IF($B675="","",PV-N(J674))</f>
        <v/>
      </c>
      <c r="G675" s="69" t="str">
        <f>IF($B675="","",PMT(Rate,Nper,-PV,,Type))</f>
        <v/>
      </c>
      <c r="H675" s="69" t="str">
        <f>IF($B675="","",PPMT(Rate,ROWS($1:663),Nper,-PV,,Type))</f>
        <v/>
      </c>
      <c r="I675" s="69" t="str">
        <f>IF($B675="","",IPMT(Rate,ROWS($1:663),Nper,-PV,,Type))</f>
        <v/>
      </c>
      <c r="J675" s="73" t="str">
        <f t="shared" ref="J675:K675" si="665">IF($B675="","",N(J674)+N(H675))</f>
        <v/>
      </c>
      <c r="K675" s="74" t="str">
        <f t="shared" si="665"/>
        <v/>
      </c>
      <c r="L675" s="69" t="str">
        <f>IF($B675="","",PV-J675)</f>
        <v/>
      </c>
      <c r="M675" s="71" t="str">
        <f>IF($B675="","",J675/PV)</f>
        <v/>
      </c>
      <c r="N675" s="72" t="str">
        <f t="shared" si="4"/>
        <v/>
      </c>
    </row>
    <row r="676" ht="14.25" customHeight="1">
      <c r="B676" s="66" t="str">
        <f>IF(ROWS($1:664)&lt;=Nper,ROWS($1:664),"")</f>
        <v/>
      </c>
      <c r="C676" s="67" t="str">
        <f>IF($B676="","",IF($E$7="Weekly",Start_Date+7*(ROWS($1:664)-1),EDATE(Start_Date,VLOOKUP(IF(ASTemp!$E$7="","Monthly",ASTemp!$E$7),Parameters!$B$3:$D$6,3,0)*(ROWS($1:664)-1))))</f>
        <v/>
      </c>
      <c r="D676" s="68" t="str">
        <f t="shared" si="2"/>
        <v/>
      </c>
      <c r="E676" s="65" t="str">
        <f>IF($B676="","",VLOOKUP(MONTH(C676),Parameters!$F$2:$G$13,2,0))</f>
        <v/>
      </c>
      <c r="F676" s="69" t="str">
        <f>IF($B676="","",PV-N(J675))</f>
        <v/>
      </c>
      <c r="G676" s="69" t="str">
        <f>IF($B676="","",PMT(Rate,Nper,-PV,,Type))</f>
        <v/>
      </c>
      <c r="H676" s="69" t="str">
        <f>IF($B676="","",PPMT(Rate,ROWS($1:664),Nper,-PV,,Type))</f>
        <v/>
      </c>
      <c r="I676" s="69" t="str">
        <f>IF($B676="","",IPMT(Rate,ROWS($1:664),Nper,-PV,,Type))</f>
        <v/>
      </c>
      <c r="J676" s="73" t="str">
        <f t="shared" ref="J676:K676" si="666">IF($B676="","",N(J675)+N(H676))</f>
        <v/>
      </c>
      <c r="K676" s="74" t="str">
        <f t="shared" si="666"/>
        <v/>
      </c>
      <c r="L676" s="69" t="str">
        <f>IF($B676="","",PV-J676)</f>
        <v/>
      </c>
      <c r="M676" s="71" t="str">
        <f>IF($B676="","",J676/PV)</f>
        <v/>
      </c>
      <c r="N676" s="72" t="str">
        <f t="shared" si="4"/>
        <v/>
      </c>
    </row>
    <row r="677" ht="14.25" customHeight="1">
      <c r="B677" s="66" t="str">
        <f>IF(ROWS($1:665)&lt;=Nper,ROWS($1:665),"")</f>
        <v/>
      </c>
      <c r="C677" s="67" t="str">
        <f>IF($B677="","",IF($E$7="Weekly",Start_Date+7*(ROWS($1:665)-1),EDATE(Start_Date,VLOOKUP(IF(ASTemp!$E$7="","Monthly",ASTemp!$E$7),Parameters!$B$3:$D$6,3,0)*(ROWS($1:665)-1))))</f>
        <v/>
      </c>
      <c r="D677" s="68" t="str">
        <f t="shared" si="2"/>
        <v/>
      </c>
      <c r="E677" s="65" t="str">
        <f>IF($B677="","",VLOOKUP(MONTH(C677),Parameters!$F$2:$G$13,2,0))</f>
        <v/>
      </c>
      <c r="F677" s="69" t="str">
        <f>IF($B677="","",PV-N(J676))</f>
        <v/>
      </c>
      <c r="G677" s="69" t="str">
        <f>IF($B677="","",PMT(Rate,Nper,-PV,,Type))</f>
        <v/>
      </c>
      <c r="H677" s="69" t="str">
        <f>IF($B677="","",PPMT(Rate,ROWS($1:665),Nper,-PV,,Type))</f>
        <v/>
      </c>
      <c r="I677" s="69" t="str">
        <f>IF($B677="","",IPMT(Rate,ROWS($1:665),Nper,-PV,,Type))</f>
        <v/>
      </c>
      <c r="J677" s="73" t="str">
        <f t="shared" ref="J677:K677" si="667">IF($B677="","",N(J676)+N(H677))</f>
        <v/>
      </c>
      <c r="K677" s="74" t="str">
        <f t="shared" si="667"/>
        <v/>
      </c>
      <c r="L677" s="69" t="str">
        <f>IF($B677="","",PV-J677)</f>
        <v/>
      </c>
      <c r="M677" s="71" t="str">
        <f>IF($B677="","",J677/PV)</f>
        <v/>
      </c>
      <c r="N677" s="72" t="str">
        <f t="shared" si="4"/>
        <v/>
      </c>
    </row>
    <row r="678" ht="14.25" customHeight="1">
      <c r="B678" s="66" t="str">
        <f>IF(ROWS($1:666)&lt;=Nper,ROWS($1:666),"")</f>
        <v/>
      </c>
      <c r="C678" s="67" t="str">
        <f>IF($B678="","",IF($E$7="Weekly",Start_Date+7*(ROWS($1:666)-1),EDATE(Start_Date,VLOOKUP(IF(ASTemp!$E$7="","Monthly",ASTemp!$E$7),Parameters!$B$3:$D$6,3,0)*(ROWS($1:666)-1))))</f>
        <v/>
      </c>
      <c r="D678" s="68" t="str">
        <f t="shared" si="2"/>
        <v/>
      </c>
      <c r="E678" s="65" t="str">
        <f>IF($B678="","",VLOOKUP(MONTH(C678),Parameters!$F$2:$G$13,2,0))</f>
        <v/>
      </c>
      <c r="F678" s="69" t="str">
        <f>IF($B678="","",PV-N(J677))</f>
        <v/>
      </c>
      <c r="G678" s="69" t="str">
        <f>IF($B678="","",PMT(Rate,Nper,-PV,,Type))</f>
        <v/>
      </c>
      <c r="H678" s="69" t="str">
        <f>IF($B678="","",PPMT(Rate,ROWS($1:666),Nper,-PV,,Type))</f>
        <v/>
      </c>
      <c r="I678" s="69" t="str">
        <f>IF($B678="","",IPMT(Rate,ROWS($1:666),Nper,-PV,,Type))</f>
        <v/>
      </c>
      <c r="J678" s="73" t="str">
        <f t="shared" ref="J678:K678" si="668">IF($B678="","",N(J677)+N(H678))</f>
        <v/>
      </c>
      <c r="K678" s="74" t="str">
        <f t="shared" si="668"/>
        <v/>
      </c>
      <c r="L678" s="69" t="str">
        <f>IF($B678="","",PV-J678)</f>
        <v/>
      </c>
      <c r="M678" s="71" t="str">
        <f>IF($B678="","",J678/PV)</f>
        <v/>
      </c>
      <c r="N678" s="72" t="str">
        <f t="shared" si="4"/>
        <v/>
      </c>
    </row>
    <row r="679" ht="14.25" customHeight="1">
      <c r="B679" s="66" t="str">
        <f>IF(ROWS($1:667)&lt;=Nper,ROWS($1:667),"")</f>
        <v/>
      </c>
      <c r="C679" s="67" t="str">
        <f>IF($B679="","",IF($E$7="Weekly",Start_Date+7*(ROWS($1:667)-1),EDATE(Start_Date,VLOOKUP(IF(ASTemp!$E$7="","Monthly",ASTemp!$E$7),Parameters!$B$3:$D$6,3,0)*(ROWS($1:667)-1))))</f>
        <v/>
      </c>
      <c r="D679" s="68" t="str">
        <f t="shared" si="2"/>
        <v/>
      </c>
      <c r="E679" s="65" t="str">
        <f>IF($B679="","",VLOOKUP(MONTH(C679),Parameters!$F$2:$G$13,2,0))</f>
        <v/>
      </c>
      <c r="F679" s="69" t="str">
        <f>IF($B679="","",PV-N(J678))</f>
        <v/>
      </c>
      <c r="G679" s="69" t="str">
        <f>IF($B679="","",PMT(Rate,Nper,-PV,,Type))</f>
        <v/>
      </c>
      <c r="H679" s="69" t="str">
        <f>IF($B679="","",PPMT(Rate,ROWS($1:667),Nper,-PV,,Type))</f>
        <v/>
      </c>
      <c r="I679" s="69" t="str">
        <f>IF($B679="","",IPMT(Rate,ROWS($1:667),Nper,-PV,,Type))</f>
        <v/>
      </c>
      <c r="J679" s="73" t="str">
        <f t="shared" ref="J679:K679" si="669">IF($B679="","",N(J678)+N(H679))</f>
        <v/>
      </c>
      <c r="K679" s="74" t="str">
        <f t="shared" si="669"/>
        <v/>
      </c>
      <c r="L679" s="69" t="str">
        <f>IF($B679="","",PV-J679)</f>
        <v/>
      </c>
      <c r="M679" s="71" t="str">
        <f>IF($B679="","",J679/PV)</f>
        <v/>
      </c>
      <c r="N679" s="72" t="str">
        <f t="shared" si="4"/>
        <v/>
      </c>
    </row>
    <row r="680" ht="14.25" customHeight="1">
      <c r="B680" s="66" t="str">
        <f>IF(ROWS($1:668)&lt;=Nper,ROWS($1:668),"")</f>
        <v/>
      </c>
      <c r="C680" s="67" t="str">
        <f>IF($B680="","",IF($E$7="Weekly",Start_Date+7*(ROWS($1:668)-1),EDATE(Start_Date,VLOOKUP(IF(ASTemp!$E$7="","Monthly",ASTemp!$E$7),Parameters!$B$3:$D$6,3,0)*(ROWS($1:668)-1))))</f>
        <v/>
      </c>
      <c r="D680" s="68" t="str">
        <f t="shared" si="2"/>
        <v/>
      </c>
      <c r="E680" s="65" t="str">
        <f>IF($B680="","",VLOOKUP(MONTH(C680),Parameters!$F$2:$G$13,2,0))</f>
        <v/>
      </c>
      <c r="F680" s="69" t="str">
        <f>IF($B680="","",PV-N(J679))</f>
        <v/>
      </c>
      <c r="G680" s="69" t="str">
        <f>IF($B680="","",PMT(Rate,Nper,-PV,,Type))</f>
        <v/>
      </c>
      <c r="H680" s="69" t="str">
        <f>IF($B680="","",PPMT(Rate,ROWS($1:668),Nper,-PV,,Type))</f>
        <v/>
      </c>
      <c r="I680" s="69" t="str">
        <f>IF($B680="","",IPMT(Rate,ROWS($1:668),Nper,-PV,,Type))</f>
        <v/>
      </c>
      <c r="J680" s="73" t="str">
        <f t="shared" ref="J680:K680" si="670">IF($B680="","",N(J679)+N(H680))</f>
        <v/>
      </c>
      <c r="K680" s="74" t="str">
        <f t="shared" si="670"/>
        <v/>
      </c>
      <c r="L680" s="69" t="str">
        <f>IF($B680="","",PV-J680)</f>
        <v/>
      </c>
      <c r="M680" s="71" t="str">
        <f>IF($B680="","",J680/PV)</f>
        <v/>
      </c>
      <c r="N680" s="72" t="str">
        <f t="shared" si="4"/>
        <v/>
      </c>
    </row>
    <row r="681" ht="14.25" customHeight="1">
      <c r="B681" s="66" t="str">
        <f>IF(ROWS($1:669)&lt;=Nper,ROWS($1:669),"")</f>
        <v/>
      </c>
      <c r="C681" s="67" t="str">
        <f>IF($B681="","",IF($E$7="Weekly",Start_Date+7*(ROWS($1:669)-1),EDATE(Start_Date,VLOOKUP(IF(ASTemp!$E$7="","Monthly",ASTemp!$E$7),Parameters!$B$3:$D$6,3,0)*(ROWS($1:669)-1))))</f>
        <v/>
      </c>
      <c r="D681" s="68" t="str">
        <f t="shared" si="2"/>
        <v/>
      </c>
      <c r="E681" s="65" t="str">
        <f>IF($B681="","",VLOOKUP(MONTH(C681),Parameters!$F$2:$G$13,2,0))</f>
        <v/>
      </c>
      <c r="F681" s="69" t="str">
        <f>IF($B681="","",PV-N(J680))</f>
        <v/>
      </c>
      <c r="G681" s="69" t="str">
        <f>IF($B681="","",PMT(Rate,Nper,-PV,,Type))</f>
        <v/>
      </c>
      <c r="H681" s="69" t="str">
        <f>IF($B681="","",PPMT(Rate,ROWS($1:669),Nper,-PV,,Type))</f>
        <v/>
      </c>
      <c r="I681" s="69" t="str">
        <f>IF($B681="","",IPMT(Rate,ROWS($1:669),Nper,-PV,,Type))</f>
        <v/>
      </c>
      <c r="J681" s="73" t="str">
        <f t="shared" ref="J681:K681" si="671">IF($B681="","",N(J680)+N(H681))</f>
        <v/>
      </c>
      <c r="K681" s="74" t="str">
        <f t="shared" si="671"/>
        <v/>
      </c>
      <c r="L681" s="69" t="str">
        <f>IF($B681="","",PV-J681)</f>
        <v/>
      </c>
      <c r="M681" s="71" t="str">
        <f>IF($B681="","",J681/PV)</f>
        <v/>
      </c>
      <c r="N681" s="72" t="str">
        <f t="shared" si="4"/>
        <v/>
      </c>
    </row>
    <row r="682" ht="14.25" customHeight="1">
      <c r="B682" s="66" t="str">
        <f>IF(ROWS($1:670)&lt;=Nper,ROWS($1:670),"")</f>
        <v/>
      </c>
      <c r="C682" s="67" t="str">
        <f>IF($B682="","",IF($E$7="Weekly",Start_Date+7*(ROWS($1:670)-1),EDATE(Start_Date,VLOOKUP(IF(ASTemp!$E$7="","Monthly",ASTemp!$E$7),Parameters!$B$3:$D$6,3,0)*(ROWS($1:670)-1))))</f>
        <v/>
      </c>
      <c r="D682" s="68" t="str">
        <f t="shared" si="2"/>
        <v/>
      </c>
      <c r="E682" s="65" t="str">
        <f>IF($B682="","",VLOOKUP(MONTH(C682),Parameters!$F$2:$G$13,2,0))</f>
        <v/>
      </c>
      <c r="F682" s="69" t="str">
        <f>IF($B682="","",PV-N(J681))</f>
        <v/>
      </c>
      <c r="G682" s="69" t="str">
        <f>IF($B682="","",PMT(Rate,Nper,-PV,,Type))</f>
        <v/>
      </c>
      <c r="H682" s="69" t="str">
        <f>IF($B682="","",PPMT(Rate,ROWS($1:670),Nper,-PV,,Type))</f>
        <v/>
      </c>
      <c r="I682" s="69" t="str">
        <f>IF($B682="","",IPMT(Rate,ROWS($1:670),Nper,-PV,,Type))</f>
        <v/>
      </c>
      <c r="J682" s="73" t="str">
        <f t="shared" ref="J682:K682" si="672">IF($B682="","",N(J681)+N(H682))</f>
        <v/>
      </c>
      <c r="K682" s="74" t="str">
        <f t="shared" si="672"/>
        <v/>
      </c>
      <c r="L682" s="69" t="str">
        <f>IF($B682="","",PV-J682)</f>
        <v/>
      </c>
      <c r="M682" s="71" t="str">
        <f>IF($B682="","",J682/PV)</f>
        <v/>
      </c>
      <c r="N682" s="72" t="str">
        <f t="shared" si="4"/>
        <v/>
      </c>
    </row>
    <row r="683" ht="14.25" customHeight="1">
      <c r="B683" s="66" t="str">
        <f>IF(ROWS($1:671)&lt;=Nper,ROWS($1:671),"")</f>
        <v/>
      </c>
      <c r="C683" s="67" t="str">
        <f>IF($B683="","",IF($E$7="Weekly",Start_Date+7*(ROWS($1:671)-1),EDATE(Start_Date,VLOOKUP(IF(ASTemp!$E$7="","Monthly",ASTemp!$E$7),Parameters!$B$3:$D$6,3,0)*(ROWS($1:671)-1))))</f>
        <v/>
      </c>
      <c r="D683" s="68" t="str">
        <f t="shared" si="2"/>
        <v/>
      </c>
      <c r="E683" s="65" t="str">
        <f>IF($B683="","",VLOOKUP(MONTH(C683),Parameters!$F$2:$G$13,2,0))</f>
        <v/>
      </c>
      <c r="F683" s="69" t="str">
        <f>IF($B683="","",PV-N(J682))</f>
        <v/>
      </c>
      <c r="G683" s="69" t="str">
        <f>IF($B683="","",PMT(Rate,Nper,-PV,,Type))</f>
        <v/>
      </c>
      <c r="H683" s="69" t="str">
        <f>IF($B683="","",PPMT(Rate,ROWS($1:671),Nper,-PV,,Type))</f>
        <v/>
      </c>
      <c r="I683" s="69" t="str">
        <f>IF($B683="","",IPMT(Rate,ROWS($1:671),Nper,-PV,,Type))</f>
        <v/>
      </c>
      <c r="J683" s="73" t="str">
        <f t="shared" ref="J683:K683" si="673">IF($B683="","",N(J682)+N(H683))</f>
        <v/>
      </c>
      <c r="K683" s="74" t="str">
        <f t="shared" si="673"/>
        <v/>
      </c>
      <c r="L683" s="69" t="str">
        <f>IF($B683="","",PV-J683)</f>
        <v/>
      </c>
      <c r="M683" s="71" t="str">
        <f>IF($B683="","",J683/PV)</f>
        <v/>
      </c>
      <c r="N683" s="72" t="str">
        <f t="shared" si="4"/>
        <v/>
      </c>
    </row>
    <row r="684" ht="14.25" customHeight="1">
      <c r="B684" s="66" t="str">
        <f>IF(ROWS($1:672)&lt;=Nper,ROWS($1:672),"")</f>
        <v/>
      </c>
      <c r="C684" s="67" t="str">
        <f>IF($B684="","",IF($E$7="Weekly",Start_Date+7*(ROWS($1:672)-1),EDATE(Start_Date,VLOOKUP(IF(ASTemp!$E$7="","Monthly",ASTemp!$E$7),Parameters!$B$3:$D$6,3,0)*(ROWS($1:672)-1))))</f>
        <v/>
      </c>
      <c r="D684" s="68" t="str">
        <f t="shared" si="2"/>
        <v/>
      </c>
      <c r="E684" s="65" t="str">
        <f>IF($B684="","",VLOOKUP(MONTH(C684),Parameters!$F$2:$G$13,2,0))</f>
        <v/>
      </c>
      <c r="F684" s="69" t="str">
        <f>IF($B684="","",PV-N(J683))</f>
        <v/>
      </c>
      <c r="G684" s="69" t="str">
        <f>IF($B684="","",PMT(Rate,Nper,-PV,,Type))</f>
        <v/>
      </c>
      <c r="H684" s="69" t="str">
        <f>IF($B684="","",PPMT(Rate,ROWS($1:672),Nper,-PV,,Type))</f>
        <v/>
      </c>
      <c r="I684" s="69" t="str">
        <f>IF($B684="","",IPMT(Rate,ROWS($1:672),Nper,-PV,,Type))</f>
        <v/>
      </c>
      <c r="J684" s="73" t="str">
        <f t="shared" ref="J684:K684" si="674">IF($B684="","",N(J683)+N(H684))</f>
        <v/>
      </c>
      <c r="K684" s="74" t="str">
        <f t="shared" si="674"/>
        <v/>
      </c>
      <c r="L684" s="69" t="str">
        <f>IF($B684="","",PV-J684)</f>
        <v/>
      </c>
      <c r="M684" s="71" t="str">
        <f>IF($B684="","",J684/PV)</f>
        <v/>
      </c>
      <c r="N684" s="72" t="str">
        <f t="shared" si="4"/>
        <v/>
      </c>
    </row>
    <row r="685" ht="14.25" customHeight="1">
      <c r="B685" s="66" t="str">
        <f>IF(ROWS($1:673)&lt;=Nper,ROWS($1:673),"")</f>
        <v/>
      </c>
      <c r="C685" s="67" t="str">
        <f>IF($B685="","",IF($E$7="Weekly",Start_Date+7*(ROWS($1:673)-1),EDATE(Start_Date,VLOOKUP(IF(ASTemp!$E$7="","Monthly",ASTemp!$E$7),Parameters!$B$3:$D$6,3,0)*(ROWS($1:673)-1))))</f>
        <v/>
      </c>
      <c r="D685" s="68" t="str">
        <f t="shared" si="2"/>
        <v/>
      </c>
      <c r="E685" s="65" t="str">
        <f>IF($B685="","",VLOOKUP(MONTH(C685),Parameters!$F$2:$G$13,2,0))</f>
        <v/>
      </c>
      <c r="F685" s="69" t="str">
        <f>IF($B685="","",PV-N(J684))</f>
        <v/>
      </c>
      <c r="G685" s="69" t="str">
        <f>IF($B685="","",PMT(Rate,Nper,-PV,,Type))</f>
        <v/>
      </c>
      <c r="H685" s="69" t="str">
        <f>IF($B685="","",PPMT(Rate,ROWS($1:673),Nper,-PV,,Type))</f>
        <v/>
      </c>
      <c r="I685" s="69" t="str">
        <f>IF($B685="","",IPMT(Rate,ROWS($1:673),Nper,-PV,,Type))</f>
        <v/>
      </c>
      <c r="J685" s="73" t="str">
        <f t="shared" ref="J685:K685" si="675">IF($B685="","",N(J684)+N(H685))</f>
        <v/>
      </c>
      <c r="K685" s="74" t="str">
        <f t="shared" si="675"/>
        <v/>
      </c>
      <c r="L685" s="69" t="str">
        <f>IF($B685="","",PV-J685)</f>
        <v/>
      </c>
      <c r="M685" s="71" t="str">
        <f>IF($B685="","",J685/PV)</f>
        <v/>
      </c>
      <c r="N685" s="72" t="str">
        <f t="shared" si="4"/>
        <v/>
      </c>
    </row>
    <row r="686" ht="14.25" customHeight="1">
      <c r="B686" s="66" t="str">
        <f>IF(ROWS($1:674)&lt;=Nper,ROWS($1:674),"")</f>
        <v/>
      </c>
      <c r="C686" s="67" t="str">
        <f>IF($B686="","",IF($E$7="Weekly",Start_Date+7*(ROWS($1:674)-1),EDATE(Start_Date,VLOOKUP(IF(ASTemp!$E$7="","Monthly",ASTemp!$E$7),Parameters!$B$3:$D$6,3,0)*(ROWS($1:674)-1))))</f>
        <v/>
      </c>
      <c r="D686" s="68" t="str">
        <f t="shared" si="2"/>
        <v/>
      </c>
      <c r="E686" s="65" t="str">
        <f>IF($B686="","",VLOOKUP(MONTH(C686),Parameters!$F$2:$G$13,2,0))</f>
        <v/>
      </c>
      <c r="F686" s="69" t="str">
        <f>IF($B686="","",PV-N(J685))</f>
        <v/>
      </c>
      <c r="G686" s="69" t="str">
        <f>IF($B686="","",PMT(Rate,Nper,-PV,,Type))</f>
        <v/>
      </c>
      <c r="H686" s="69" t="str">
        <f>IF($B686="","",PPMT(Rate,ROWS($1:674),Nper,-PV,,Type))</f>
        <v/>
      </c>
      <c r="I686" s="69" t="str">
        <f>IF($B686="","",IPMT(Rate,ROWS($1:674),Nper,-PV,,Type))</f>
        <v/>
      </c>
      <c r="J686" s="73" t="str">
        <f t="shared" ref="J686:K686" si="676">IF($B686="","",N(J685)+N(H686))</f>
        <v/>
      </c>
      <c r="K686" s="74" t="str">
        <f t="shared" si="676"/>
        <v/>
      </c>
      <c r="L686" s="69" t="str">
        <f>IF($B686="","",PV-J686)</f>
        <v/>
      </c>
      <c r="M686" s="71" t="str">
        <f>IF($B686="","",J686/PV)</f>
        <v/>
      </c>
      <c r="N686" s="72" t="str">
        <f t="shared" si="4"/>
        <v/>
      </c>
    </row>
    <row r="687" ht="14.25" customHeight="1">
      <c r="B687" s="66" t="str">
        <f>IF(ROWS($1:675)&lt;=Nper,ROWS($1:675),"")</f>
        <v/>
      </c>
      <c r="C687" s="67" t="str">
        <f>IF($B687="","",IF($E$7="Weekly",Start_Date+7*(ROWS($1:675)-1),EDATE(Start_Date,VLOOKUP(IF(ASTemp!$E$7="","Monthly",ASTemp!$E$7),Parameters!$B$3:$D$6,3,0)*(ROWS($1:675)-1))))</f>
        <v/>
      </c>
      <c r="D687" s="68" t="str">
        <f t="shared" si="2"/>
        <v/>
      </c>
      <c r="E687" s="65" t="str">
        <f>IF($B687="","",VLOOKUP(MONTH(C687),Parameters!$F$2:$G$13,2,0))</f>
        <v/>
      </c>
      <c r="F687" s="69" t="str">
        <f>IF($B687="","",PV-N(J686))</f>
        <v/>
      </c>
      <c r="G687" s="69" t="str">
        <f>IF($B687="","",PMT(Rate,Nper,-PV,,Type))</f>
        <v/>
      </c>
      <c r="H687" s="69" t="str">
        <f>IF($B687="","",PPMT(Rate,ROWS($1:675),Nper,-PV,,Type))</f>
        <v/>
      </c>
      <c r="I687" s="69" t="str">
        <f>IF($B687="","",IPMT(Rate,ROWS($1:675),Nper,-PV,,Type))</f>
        <v/>
      </c>
      <c r="J687" s="73" t="str">
        <f t="shared" ref="J687:K687" si="677">IF($B687="","",N(J686)+N(H687))</f>
        <v/>
      </c>
      <c r="K687" s="74" t="str">
        <f t="shared" si="677"/>
        <v/>
      </c>
      <c r="L687" s="69" t="str">
        <f>IF($B687="","",PV-J687)</f>
        <v/>
      </c>
      <c r="M687" s="71" t="str">
        <f>IF($B687="","",J687/PV)</f>
        <v/>
      </c>
      <c r="N687" s="72" t="str">
        <f t="shared" si="4"/>
        <v/>
      </c>
    </row>
    <row r="688" ht="14.25" customHeight="1">
      <c r="B688" s="66" t="str">
        <f>IF(ROWS($1:676)&lt;=Nper,ROWS($1:676),"")</f>
        <v/>
      </c>
      <c r="C688" s="67" t="str">
        <f>IF($B688="","",IF($E$7="Weekly",Start_Date+7*(ROWS($1:676)-1),EDATE(Start_Date,VLOOKUP(IF(ASTemp!$E$7="","Monthly",ASTemp!$E$7),Parameters!$B$3:$D$6,3,0)*(ROWS($1:676)-1))))</f>
        <v/>
      </c>
      <c r="D688" s="68" t="str">
        <f t="shared" si="2"/>
        <v/>
      </c>
      <c r="E688" s="65" t="str">
        <f>IF($B688="","",VLOOKUP(MONTH(C688),Parameters!$F$2:$G$13,2,0))</f>
        <v/>
      </c>
      <c r="F688" s="69" t="str">
        <f>IF($B688="","",PV-N(J687))</f>
        <v/>
      </c>
      <c r="G688" s="69" t="str">
        <f>IF($B688="","",PMT(Rate,Nper,-PV,,Type))</f>
        <v/>
      </c>
      <c r="H688" s="69" t="str">
        <f>IF($B688="","",PPMT(Rate,ROWS($1:676),Nper,-PV,,Type))</f>
        <v/>
      </c>
      <c r="I688" s="69" t="str">
        <f>IF($B688="","",IPMT(Rate,ROWS($1:676),Nper,-PV,,Type))</f>
        <v/>
      </c>
      <c r="J688" s="73" t="str">
        <f t="shared" ref="J688:K688" si="678">IF($B688="","",N(J687)+N(H688))</f>
        <v/>
      </c>
      <c r="K688" s="74" t="str">
        <f t="shared" si="678"/>
        <v/>
      </c>
      <c r="L688" s="69" t="str">
        <f>IF($B688="","",PV-J688)</f>
        <v/>
      </c>
      <c r="M688" s="71" t="str">
        <f>IF($B688="","",J688/PV)</f>
        <v/>
      </c>
      <c r="N688" s="72" t="str">
        <f t="shared" si="4"/>
        <v/>
      </c>
    </row>
    <row r="689" ht="14.25" customHeight="1">
      <c r="B689" s="66" t="str">
        <f>IF(ROWS($1:677)&lt;=Nper,ROWS($1:677),"")</f>
        <v/>
      </c>
      <c r="C689" s="67" t="str">
        <f>IF($B689="","",IF($E$7="Weekly",Start_Date+7*(ROWS($1:677)-1),EDATE(Start_Date,VLOOKUP(IF(ASTemp!$E$7="","Monthly",ASTemp!$E$7),Parameters!$B$3:$D$6,3,0)*(ROWS($1:677)-1))))</f>
        <v/>
      </c>
      <c r="D689" s="68" t="str">
        <f t="shared" si="2"/>
        <v/>
      </c>
      <c r="E689" s="65" t="str">
        <f>IF($B689="","",VLOOKUP(MONTH(C689),Parameters!$F$2:$G$13,2,0))</f>
        <v/>
      </c>
      <c r="F689" s="69" t="str">
        <f>IF($B689="","",PV-N(J688))</f>
        <v/>
      </c>
      <c r="G689" s="69" t="str">
        <f>IF($B689="","",PMT(Rate,Nper,-PV,,Type))</f>
        <v/>
      </c>
      <c r="H689" s="69" t="str">
        <f>IF($B689="","",PPMT(Rate,ROWS($1:677),Nper,-PV,,Type))</f>
        <v/>
      </c>
      <c r="I689" s="69" t="str">
        <f>IF($B689="","",IPMT(Rate,ROWS($1:677),Nper,-PV,,Type))</f>
        <v/>
      </c>
      <c r="J689" s="73" t="str">
        <f t="shared" ref="J689:K689" si="679">IF($B689="","",N(J688)+N(H689))</f>
        <v/>
      </c>
      <c r="K689" s="74" t="str">
        <f t="shared" si="679"/>
        <v/>
      </c>
      <c r="L689" s="69" t="str">
        <f>IF($B689="","",PV-J689)</f>
        <v/>
      </c>
      <c r="M689" s="71" t="str">
        <f>IF($B689="","",J689/PV)</f>
        <v/>
      </c>
      <c r="N689" s="72" t="str">
        <f t="shared" si="4"/>
        <v/>
      </c>
    </row>
    <row r="690" ht="14.25" customHeight="1">
      <c r="B690" s="66" t="str">
        <f>IF(ROWS($1:678)&lt;=Nper,ROWS($1:678),"")</f>
        <v/>
      </c>
      <c r="C690" s="67" t="str">
        <f>IF($B690="","",IF($E$7="Weekly",Start_Date+7*(ROWS($1:678)-1),EDATE(Start_Date,VLOOKUP(IF(ASTemp!$E$7="","Monthly",ASTemp!$E$7),Parameters!$B$3:$D$6,3,0)*(ROWS($1:678)-1))))</f>
        <v/>
      </c>
      <c r="D690" s="68" t="str">
        <f t="shared" si="2"/>
        <v/>
      </c>
      <c r="E690" s="65" t="str">
        <f>IF($B690="","",VLOOKUP(MONTH(C690),Parameters!$F$2:$G$13,2,0))</f>
        <v/>
      </c>
      <c r="F690" s="69" t="str">
        <f>IF($B690="","",PV-N(J689))</f>
        <v/>
      </c>
      <c r="G690" s="69" t="str">
        <f>IF($B690="","",PMT(Rate,Nper,-PV,,Type))</f>
        <v/>
      </c>
      <c r="H690" s="69" t="str">
        <f>IF($B690="","",PPMT(Rate,ROWS($1:678),Nper,-PV,,Type))</f>
        <v/>
      </c>
      <c r="I690" s="69" t="str">
        <f>IF($B690="","",IPMT(Rate,ROWS($1:678),Nper,-PV,,Type))</f>
        <v/>
      </c>
      <c r="J690" s="73" t="str">
        <f t="shared" ref="J690:K690" si="680">IF($B690="","",N(J689)+N(H690))</f>
        <v/>
      </c>
      <c r="K690" s="74" t="str">
        <f t="shared" si="680"/>
        <v/>
      </c>
      <c r="L690" s="69" t="str">
        <f>IF($B690="","",PV-J690)</f>
        <v/>
      </c>
      <c r="M690" s="71" t="str">
        <f>IF($B690="","",J690/PV)</f>
        <v/>
      </c>
      <c r="N690" s="72" t="str">
        <f t="shared" si="4"/>
        <v/>
      </c>
    </row>
    <row r="691" ht="14.25" customHeight="1">
      <c r="B691" s="66" t="str">
        <f>IF(ROWS($1:679)&lt;=Nper,ROWS($1:679),"")</f>
        <v/>
      </c>
      <c r="C691" s="67" t="str">
        <f>IF($B691="","",IF($E$7="Weekly",Start_Date+7*(ROWS($1:679)-1),EDATE(Start_Date,VLOOKUP(IF(ASTemp!$E$7="","Monthly",ASTemp!$E$7),Parameters!$B$3:$D$6,3,0)*(ROWS($1:679)-1))))</f>
        <v/>
      </c>
      <c r="D691" s="68" t="str">
        <f t="shared" si="2"/>
        <v/>
      </c>
      <c r="E691" s="65" t="str">
        <f>IF($B691="","",VLOOKUP(MONTH(C691),Parameters!$F$2:$G$13,2,0))</f>
        <v/>
      </c>
      <c r="F691" s="69" t="str">
        <f>IF($B691="","",PV-N(J690))</f>
        <v/>
      </c>
      <c r="G691" s="69" t="str">
        <f>IF($B691="","",PMT(Rate,Nper,-PV,,Type))</f>
        <v/>
      </c>
      <c r="H691" s="69" t="str">
        <f>IF($B691="","",PPMT(Rate,ROWS($1:679),Nper,-PV,,Type))</f>
        <v/>
      </c>
      <c r="I691" s="69" t="str">
        <f>IF($B691="","",IPMT(Rate,ROWS($1:679),Nper,-PV,,Type))</f>
        <v/>
      </c>
      <c r="J691" s="73" t="str">
        <f t="shared" ref="J691:K691" si="681">IF($B691="","",N(J690)+N(H691))</f>
        <v/>
      </c>
      <c r="K691" s="74" t="str">
        <f t="shared" si="681"/>
        <v/>
      </c>
      <c r="L691" s="69" t="str">
        <f>IF($B691="","",PV-J691)</f>
        <v/>
      </c>
      <c r="M691" s="71" t="str">
        <f>IF($B691="","",J691/PV)</f>
        <v/>
      </c>
      <c r="N691" s="72" t="str">
        <f t="shared" si="4"/>
        <v/>
      </c>
    </row>
    <row r="692" ht="14.25" customHeight="1">
      <c r="B692" s="66" t="str">
        <f>IF(ROWS($1:680)&lt;=Nper,ROWS($1:680),"")</f>
        <v/>
      </c>
      <c r="C692" s="67" t="str">
        <f>IF($B692="","",IF($E$7="Weekly",Start_Date+7*(ROWS($1:680)-1),EDATE(Start_Date,VLOOKUP(IF(ASTemp!$E$7="","Monthly",ASTemp!$E$7),Parameters!$B$3:$D$6,3,0)*(ROWS($1:680)-1))))</f>
        <v/>
      </c>
      <c r="D692" s="68" t="str">
        <f t="shared" si="2"/>
        <v/>
      </c>
      <c r="E692" s="65" t="str">
        <f>IF($B692="","",VLOOKUP(MONTH(C692),Parameters!$F$2:$G$13,2,0))</f>
        <v/>
      </c>
      <c r="F692" s="69" t="str">
        <f>IF($B692="","",PV-N(J691))</f>
        <v/>
      </c>
      <c r="G692" s="69" t="str">
        <f>IF($B692="","",PMT(Rate,Nper,-PV,,Type))</f>
        <v/>
      </c>
      <c r="H692" s="69" t="str">
        <f>IF($B692="","",PPMT(Rate,ROWS($1:680),Nper,-PV,,Type))</f>
        <v/>
      </c>
      <c r="I692" s="69" t="str">
        <f>IF($B692="","",IPMT(Rate,ROWS($1:680),Nper,-PV,,Type))</f>
        <v/>
      </c>
      <c r="J692" s="73" t="str">
        <f t="shared" ref="J692:K692" si="682">IF($B692="","",N(J691)+N(H692))</f>
        <v/>
      </c>
      <c r="K692" s="74" t="str">
        <f t="shared" si="682"/>
        <v/>
      </c>
      <c r="L692" s="69" t="str">
        <f>IF($B692="","",PV-J692)</f>
        <v/>
      </c>
      <c r="M692" s="71" t="str">
        <f>IF($B692="","",J692/PV)</f>
        <v/>
      </c>
      <c r="N692" s="72" t="str">
        <f t="shared" si="4"/>
        <v/>
      </c>
    </row>
    <row r="693" ht="14.25" customHeight="1">
      <c r="B693" s="66" t="str">
        <f>IF(ROWS($1:681)&lt;=Nper,ROWS($1:681),"")</f>
        <v/>
      </c>
      <c r="C693" s="67" t="str">
        <f>IF($B693="","",IF($E$7="Weekly",Start_Date+7*(ROWS($1:681)-1),EDATE(Start_Date,VLOOKUP(IF(ASTemp!$E$7="","Monthly",ASTemp!$E$7),Parameters!$B$3:$D$6,3,0)*(ROWS($1:681)-1))))</f>
        <v/>
      </c>
      <c r="D693" s="68" t="str">
        <f t="shared" si="2"/>
        <v/>
      </c>
      <c r="E693" s="65" t="str">
        <f>IF($B693="","",VLOOKUP(MONTH(C693),Parameters!$F$2:$G$13,2,0))</f>
        <v/>
      </c>
      <c r="F693" s="69" t="str">
        <f>IF($B693="","",PV-N(J692))</f>
        <v/>
      </c>
      <c r="G693" s="69" t="str">
        <f>IF($B693="","",PMT(Rate,Nper,-PV,,Type))</f>
        <v/>
      </c>
      <c r="H693" s="69" t="str">
        <f>IF($B693="","",PPMT(Rate,ROWS($1:681),Nper,-PV,,Type))</f>
        <v/>
      </c>
      <c r="I693" s="69" t="str">
        <f>IF($B693="","",IPMT(Rate,ROWS($1:681),Nper,-PV,,Type))</f>
        <v/>
      </c>
      <c r="J693" s="73" t="str">
        <f t="shared" ref="J693:K693" si="683">IF($B693="","",N(J692)+N(H693))</f>
        <v/>
      </c>
      <c r="K693" s="74" t="str">
        <f t="shared" si="683"/>
        <v/>
      </c>
      <c r="L693" s="69" t="str">
        <f>IF($B693="","",PV-J693)</f>
        <v/>
      </c>
      <c r="M693" s="71" t="str">
        <f>IF($B693="","",J693/PV)</f>
        <v/>
      </c>
      <c r="N693" s="72" t="str">
        <f t="shared" si="4"/>
        <v/>
      </c>
    </row>
    <row r="694" ht="14.25" customHeight="1">
      <c r="B694" s="66" t="str">
        <f>IF(ROWS($1:682)&lt;=Nper,ROWS($1:682),"")</f>
        <v/>
      </c>
      <c r="C694" s="67" t="str">
        <f>IF($B694="","",IF($E$7="Weekly",Start_Date+7*(ROWS($1:682)-1),EDATE(Start_Date,VLOOKUP(IF(ASTemp!$E$7="","Monthly",ASTemp!$E$7),Parameters!$B$3:$D$6,3,0)*(ROWS($1:682)-1))))</f>
        <v/>
      </c>
      <c r="D694" s="68" t="str">
        <f t="shared" si="2"/>
        <v/>
      </c>
      <c r="E694" s="65" t="str">
        <f>IF($B694="","",VLOOKUP(MONTH(C694),Parameters!$F$2:$G$13,2,0))</f>
        <v/>
      </c>
      <c r="F694" s="69" t="str">
        <f>IF($B694="","",PV-N(J693))</f>
        <v/>
      </c>
      <c r="G694" s="69" t="str">
        <f>IF($B694="","",PMT(Rate,Nper,-PV,,Type))</f>
        <v/>
      </c>
      <c r="H694" s="69" t="str">
        <f>IF($B694="","",PPMT(Rate,ROWS($1:682),Nper,-PV,,Type))</f>
        <v/>
      </c>
      <c r="I694" s="69" t="str">
        <f>IF($B694="","",IPMT(Rate,ROWS($1:682),Nper,-PV,,Type))</f>
        <v/>
      </c>
      <c r="J694" s="73" t="str">
        <f t="shared" ref="J694:K694" si="684">IF($B694="","",N(J693)+N(H694))</f>
        <v/>
      </c>
      <c r="K694" s="74" t="str">
        <f t="shared" si="684"/>
        <v/>
      </c>
      <c r="L694" s="69" t="str">
        <f>IF($B694="","",PV-J694)</f>
        <v/>
      </c>
      <c r="M694" s="71" t="str">
        <f>IF($B694="","",J694/PV)</f>
        <v/>
      </c>
      <c r="N694" s="72" t="str">
        <f t="shared" si="4"/>
        <v/>
      </c>
    </row>
    <row r="695" ht="14.25" customHeight="1">
      <c r="B695" s="66" t="str">
        <f>IF(ROWS($1:683)&lt;=Nper,ROWS($1:683),"")</f>
        <v/>
      </c>
      <c r="C695" s="67" t="str">
        <f>IF($B695="","",IF($E$7="Weekly",Start_Date+7*(ROWS($1:683)-1),EDATE(Start_Date,VLOOKUP(IF(ASTemp!$E$7="","Monthly",ASTemp!$E$7),Parameters!$B$3:$D$6,3,0)*(ROWS($1:683)-1))))</f>
        <v/>
      </c>
      <c r="D695" s="68" t="str">
        <f t="shared" si="2"/>
        <v/>
      </c>
      <c r="E695" s="65" t="str">
        <f>IF($B695="","",VLOOKUP(MONTH(C695),Parameters!$F$2:$G$13,2,0))</f>
        <v/>
      </c>
      <c r="F695" s="69" t="str">
        <f>IF($B695="","",PV-N(J694))</f>
        <v/>
      </c>
      <c r="G695" s="69" t="str">
        <f>IF($B695="","",PMT(Rate,Nper,-PV,,Type))</f>
        <v/>
      </c>
      <c r="H695" s="69" t="str">
        <f>IF($B695="","",PPMT(Rate,ROWS($1:683),Nper,-PV,,Type))</f>
        <v/>
      </c>
      <c r="I695" s="69" t="str">
        <f>IF($B695="","",IPMT(Rate,ROWS($1:683),Nper,-PV,,Type))</f>
        <v/>
      </c>
      <c r="J695" s="73" t="str">
        <f t="shared" ref="J695:K695" si="685">IF($B695="","",N(J694)+N(H695))</f>
        <v/>
      </c>
      <c r="K695" s="74" t="str">
        <f t="shared" si="685"/>
        <v/>
      </c>
      <c r="L695" s="69" t="str">
        <f>IF($B695="","",PV-J695)</f>
        <v/>
      </c>
      <c r="M695" s="71" t="str">
        <f>IF($B695="","",J695/PV)</f>
        <v/>
      </c>
      <c r="N695" s="72" t="str">
        <f t="shared" si="4"/>
        <v/>
      </c>
    </row>
    <row r="696" ht="14.25" customHeight="1">
      <c r="B696" s="66" t="str">
        <f>IF(ROWS($1:684)&lt;=Nper,ROWS($1:684),"")</f>
        <v/>
      </c>
      <c r="C696" s="67" t="str">
        <f>IF($B696="","",IF($E$7="Weekly",Start_Date+7*(ROWS($1:684)-1),EDATE(Start_Date,VLOOKUP(IF(ASTemp!$E$7="","Monthly",ASTemp!$E$7),Parameters!$B$3:$D$6,3,0)*(ROWS($1:684)-1))))</f>
        <v/>
      </c>
      <c r="D696" s="68" t="str">
        <f t="shared" si="2"/>
        <v/>
      </c>
      <c r="E696" s="65" t="str">
        <f>IF($B696="","",VLOOKUP(MONTH(C696),Parameters!$F$2:$G$13,2,0))</f>
        <v/>
      </c>
      <c r="F696" s="69" t="str">
        <f>IF($B696="","",PV-N(J695))</f>
        <v/>
      </c>
      <c r="G696" s="69" t="str">
        <f>IF($B696="","",PMT(Rate,Nper,-PV,,Type))</f>
        <v/>
      </c>
      <c r="H696" s="69" t="str">
        <f>IF($B696="","",PPMT(Rate,ROWS($1:684),Nper,-PV,,Type))</f>
        <v/>
      </c>
      <c r="I696" s="69" t="str">
        <f>IF($B696="","",IPMT(Rate,ROWS($1:684),Nper,-PV,,Type))</f>
        <v/>
      </c>
      <c r="J696" s="73" t="str">
        <f t="shared" ref="J696:K696" si="686">IF($B696="","",N(J695)+N(H696))</f>
        <v/>
      </c>
      <c r="K696" s="74" t="str">
        <f t="shared" si="686"/>
        <v/>
      </c>
      <c r="L696" s="69" t="str">
        <f>IF($B696="","",PV-J696)</f>
        <v/>
      </c>
      <c r="M696" s="71" t="str">
        <f>IF($B696="","",J696/PV)</f>
        <v/>
      </c>
      <c r="N696" s="72" t="str">
        <f t="shared" si="4"/>
        <v/>
      </c>
    </row>
    <row r="697" ht="14.25" customHeight="1">
      <c r="B697" s="66" t="str">
        <f>IF(ROWS($1:685)&lt;=Nper,ROWS($1:685),"")</f>
        <v/>
      </c>
      <c r="C697" s="67" t="str">
        <f>IF($B697="","",IF($E$7="Weekly",Start_Date+7*(ROWS($1:685)-1),EDATE(Start_Date,VLOOKUP(IF(ASTemp!$E$7="","Monthly",ASTemp!$E$7),Parameters!$B$3:$D$6,3,0)*(ROWS($1:685)-1))))</f>
        <v/>
      </c>
      <c r="D697" s="68" t="str">
        <f t="shared" si="2"/>
        <v/>
      </c>
      <c r="E697" s="65" t="str">
        <f>IF($B697="","",VLOOKUP(MONTH(C697),Parameters!$F$2:$G$13,2,0))</f>
        <v/>
      </c>
      <c r="F697" s="69" t="str">
        <f>IF($B697="","",PV-N(J696))</f>
        <v/>
      </c>
      <c r="G697" s="69" t="str">
        <f>IF($B697="","",PMT(Rate,Nper,-PV,,Type))</f>
        <v/>
      </c>
      <c r="H697" s="69" t="str">
        <f>IF($B697="","",PPMT(Rate,ROWS($1:685),Nper,-PV,,Type))</f>
        <v/>
      </c>
      <c r="I697" s="69" t="str">
        <f>IF($B697="","",IPMT(Rate,ROWS($1:685),Nper,-PV,,Type))</f>
        <v/>
      </c>
      <c r="J697" s="73" t="str">
        <f t="shared" ref="J697:K697" si="687">IF($B697="","",N(J696)+N(H697))</f>
        <v/>
      </c>
      <c r="K697" s="74" t="str">
        <f t="shared" si="687"/>
        <v/>
      </c>
      <c r="L697" s="69" t="str">
        <f>IF($B697="","",PV-J697)</f>
        <v/>
      </c>
      <c r="M697" s="71" t="str">
        <f>IF($B697="","",J697/PV)</f>
        <v/>
      </c>
      <c r="N697" s="72" t="str">
        <f t="shared" si="4"/>
        <v/>
      </c>
    </row>
    <row r="698" ht="14.25" customHeight="1">
      <c r="B698" s="66" t="str">
        <f>IF(ROWS($1:686)&lt;=Nper,ROWS($1:686),"")</f>
        <v/>
      </c>
      <c r="C698" s="67" t="str">
        <f>IF($B698="","",IF($E$7="Weekly",Start_Date+7*(ROWS($1:686)-1),EDATE(Start_Date,VLOOKUP(IF(ASTemp!$E$7="","Monthly",ASTemp!$E$7),Parameters!$B$3:$D$6,3,0)*(ROWS($1:686)-1))))</f>
        <v/>
      </c>
      <c r="D698" s="68" t="str">
        <f t="shared" si="2"/>
        <v/>
      </c>
      <c r="E698" s="65" t="str">
        <f>IF($B698="","",VLOOKUP(MONTH(C698),Parameters!$F$2:$G$13,2,0))</f>
        <v/>
      </c>
      <c r="F698" s="69" t="str">
        <f>IF($B698="","",PV-N(J697))</f>
        <v/>
      </c>
      <c r="G698" s="69" t="str">
        <f>IF($B698="","",PMT(Rate,Nper,-PV,,Type))</f>
        <v/>
      </c>
      <c r="H698" s="69" t="str">
        <f>IF($B698="","",PPMT(Rate,ROWS($1:686),Nper,-PV,,Type))</f>
        <v/>
      </c>
      <c r="I698" s="69" t="str">
        <f>IF($B698="","",IPMT(Rate,ROWS($1:686),Nper,-PV,,Type))</f>
        <v/>
      </c>
      <c r="J698" s="73" t="str">
        <f t="shared" ref="J698:K698" si="688">IF($B698="","",N(J697)+N(H698))</f>
        <v/>
      </c>
      <c r="K698" s="74" t="str">
        <f t="shared" si="688"/>
        <v/>
      </c>
      <c r="L698" s="69" t="str">
        <f>IF($B698="","",PV-J698)</f>
        <v/>
      </c>
      <c r="M698" s="71" t="str">
        <f>IF($B698="","",J698/PV)</f>
        <v/>
      </c>
      <c r="N698" s="72" t="str">
        <f t="shared" si="4"/>
        <v/>
      </c>
    </row>
    <row r="699" ht="14.25" customHeight="1">
      <c r="B699" s="66" t="str">
        <f>IF(ROWS($1:687)&lt;=Nper,ROWS($1:687),"")</f>
        <v/>
      </c>
      <c r="C699" s="67" t="str">
        <f>IF($B699="","",IF($E$7="Weekly",Start_Date+7*(ROWS($1:687)-1),EDATE(Start_Date,VLOOKUP(IF(ASTemp!$E$7="","Monthly",ASTemp!$E$7),Parameters!$B$3:$D$6,3,0)*(ROWS($1:687)-1))))</f>
        <v/>
      </c>
      <c r="D699" s="68" t="str">
        <f t="shared" si="2"/>
        <v/>
      </c>
      <c r="E699" s="65" t="str">
        <f>IF($B699="","",VLOOKUP(MONTH(C699),Parameters!$F$2:$G$13,2,0))</f>
        <v/>
      </c>
      <c r="F699" s="69" t="str">
        <f>IF($B699="","",PV-N(J698))</f>
        <v/>
      </c>
      <c r="G699" s="69" t="str">
        <f>IF($B699="","",PMT(Rate,Nper,-PV,,Type))</f>
        <v/>
      </c>
      <c r="H699" s="69" t="str">
        <f>IF($B699="","",PPMT(Rate,ROWS($1:687),Nper,-PV,,Type))</f>
        <v/>
      </c>
      <c r="I699" s="69" t="str">
        <f>IF($B699="","",IPMT(Rate,ROWS($1:687),Nper,-PV,,Type))</f>
        <v/>
      </c>
      <c r="J699" s="73" t="str">
        <f t="shared" ref="J699:K699" si="689">IF($B699="","",N(J698)+N(H699))</f>
        <v/>
      </c>
      <c r="K699" s="74" t="str">
        <f t="shared" si="689"/>
        <v/>
      </c>
      <c r="L699" s="69" t="str">
        <f>IF($B699="","",PV-J699)</f>
        <v/>
      </c>
      <c r="M699" s="71" t="str">
        <f>IF($B699="","",J699/PV)</f>
        <v/>
      </c>
      <c r="N699" s="72" t="str">
        <f t="shared" si="4"/>
        <v/>
      </c>
    </row>
    <row r="700" ht="14.25" customHeight="1">
      <c r="B700" s="66" t="str">
        <f>IF(ROWS($1:688)&lt;=Nper,ROWS($1:688),"")</f>
        <v/>
      </c>
      <c r="C700" s="67" t="str">
        <f>IF($B700="","",IF($E$7="Weekly",Start_Date+7*(ROWS($1:688)-1),EDATE(Start_Date,VLOOKUP(IF(ASTemp!$E$7="","Monthly",ASTemp!$E$7),Parameters!$B$3:$D$6,3,0)*(ROWS($1:688)-1))))</f>
        <v/>
      </c>
      <c r="D700" s="68" t="str">
        <f t="shared" si="2"/>
        <v/>
      </c>
      <c r="E700" s="65" t="str">
        <f>IF($B700="","",VLOOKUP(MONTH(C700),Parameters!$F$2:$G$13,2,0))</f>
        <v/>
      </c>
      <c r="F700" s="69" t="str">
        <f>IF($B700="","",PV-N(J699))</f>
        <v/>
      </c>
      <c r="G700" s="69" t="str">
        <f>IF($B700="","",PMT(Rate,Nper,-PV,,Type))</f>
        <v/>
      </c>
      <c r="H700" s="69" t="str">
        <f>IF($B700="","",PPMT(Rate,ROWS($1:688),Nper,-PV,,Type))</f>
        <v/>
      </c>
      <c r="I700" s="69" t="str">
        <f>IF($B700="","",IPMT(Rate,ROWS($1:688),Nper,-PV,,Type))</f>
        <v/>
      </c>
      <c r="J700" s="73" t="str">
        <f t="shared" ref="J700:K700" si="690">IF($B700="","",N(J699)+N(H700))</f>
        <v/>
      </c>
      <c r="K700" s="74" t="str">
        <f t="shared" si="690"/>
        <v/>
      </c>
      <c r="L700" s="69" t="str">
        <f>IF($B700="","",PV-J700)</f>
        <v/>
      </c>
      <c r="M700" s="71" t="str">
        <f>IF($B700="","",J700/PV)</f>
        <v/>
      </c>
      <c r="N700" s="72" t="str">
        <f t="shared" si="4"/>
        <v/>
      </c>
    </row>
    <row r="701" ht="14.25" customHeight="1">
      <c r="B701" s="66" t="str">
        <f>IF(ROWS($1:689)&lt;=Nper,ROWS($1:689),"")</f>
        <v/>
      </c>
      <c r="C701" s="67" t="str">
        <f>IF($B701="","",IF($E$7="Weekly",Start_Date+7*(ROWS($1:689)-1),EDATE(Start_Date,VLOOKUP(IF(ASTemp!$E$7="","Monthly",ASTemp!$E$7),Parameters!$B$3:$D$6,3,0)*(ROWS($1:689)-1))))</f>
        <v/>
      </c>
      <c r="D701" s="68" t="str">
        <f t="shared" si="2"/>
        <v/>
      </c>
      <c r="E701" s="65" t="str">
        <f>IF($B701="","",VLOOKUP(MONTH(C701),Parameters!$F$2:$G$13,2,0))</f>
        <v/>
      </c>
      <c r="F701" s="69" t="str">
        <f>IF($B701="","",PV-N(J700))</f>
        <v/>
      </c>
      <c r="G701" s="69" t="str">
        <f>IF($B701="","",PMT(Rate,Nper,-PV,,Type))</f>
        <v/>
      </c>
      <c r="H701" s="69" t="str">
        <f>IF($B701="","",PPMT(Rate,ROWS($1:689),Nper,-PV,,Type))</f>
        <v/>
      </c>
      <c r="I701" s="69" t="str">
        <f>IF($B701="","",IPMT(Rate,ROWS($1:689),Nper,-PV,,Type))</f>
        <v/>
      </c>
      <c r="J701" s="73" t="str">
        <f t="shared" ref="J701:K701" si="691">IF($B701="","",N(J700)+N(H701))</f>
        <v/>
      </c>
      <c r="K701" s="74" t="str">
        <f t="shared" si="691"/>
        <v/>
      </c>
      <c r="L701" s="69" t="str">
        <f>IF($B701="","",PV-J701)</f>
        <v/>
      </c>
      <c r="M701" s="71" t="str">
        <f>IF($B701="","",J701/PV)</f>
        <v/>
      </c>
      <c r="N701" s="72" t="str">
        <f t="shared" si="4"/>
        <v/>
      </c>
    </row>
    <row r="702" ht="14.25" customHeight="1">
      <c r="B702" s="66" t="str">
        <f>IF(ROWS($1:690)&lt;=Nper,ROWS($1:690),"")</f>
        <v/>
      </c>
      <c r="C702" s="67" t="str">
        <f>IF($B702="","",IF($E$7="Weekly",Start_Date+7*(ROWS($1:690)-1),EDATE(Start_Date,VLOOKUP(IF(ASTemp!$E$7="","Monthly",ASTemp!$E$7),Parameters!$B$3:$D$6,3,0)*(ROWS($1:690)-1))))</f>
        <v/>
      </c>
      <c r="D702" s="68" t="str">
        <f t="shared" si="2"/>
        <v/>
      </c>
      <c r="E702" s="65" t="str">
        <f>IF($B702="","",VLOOKUP(MONTH(C702),Parameters!$F$2:$G$13,2,0))</f>
        <v/>
      </c>
      <c r="F702" s="69" t="str">
        <f>IF($B702="","",PV-N(J701))</f>
        <v/>
      </c>
      <c r="G702" s="69" t="str">
        <f>IF($B702="","",PMT(Rate,Nper,-PV,,Type))</f>
        <v/>
      </c>
      <c r="H702" s="69" t="str">
        <f>IF($B702="","",PPMT(Rate,ROWS($1:690),Nper,-PV,,Type))</f>
        <v/>
      </c>
      <c r="I702" s="69" t="str">
        <f>IF($B702="","",IPMT(Rate,ROWS($1:690),Nper,-PV,,Type))</f>
        <v/>
      </c>
      <c r="J702" s="73" t="str">
        <f t="shared" ref="J702:K702" si="692">IF($B702="","",N(J701)+N(H702))</f>
        <v/>
      </c>
      <c r="K702" s="74" t="str">
        <f t="shared" si="692"/>
        <v/>
      </c>
      <c r="L702" s="69" t="str">
        <f>IF($B702="","",PV-J702)</f>
        <v/>
      </c>
      <c r="M702" s="71" t="str">
        <f>IF($B702="","",J702/PV)</f>
        <v/>
      </c>
      <c r="N702" s="72" t="str">
        <f t="shared" si="4"/>
        <v/>
      </c>
    </row>
    <row r="703" ht="14.25" customHeight="1">
      <c r="B703" s="66" t="str">
        <f>IF(ROWS($1:691)&lt;=Nper,ROWS($1:691),"")</f>
        <v/>
      </c>
      <c r="C703" s="67" t="str">
        <f>IF($B703="","",IF($E$7="Weekly",Start_Date+7*(ROWS($1:691)-1),EDATE(Start_Date,VLOOKUP(IF(ASTemp!$E$7="","Monthly",ASTemp!$E$7),Parameters!$B$3:$D$6,3,0)*(ROWS($1:691)-1))))</f>
        <v/>
      </c>
      <c r="D703" s="68" t="str">
        <f t="shared" si="2"/>
        <v/>
      </c>
      <c r="E703" s="65" t="str">
        <f>IF($B703="","",VLOOKUP(MONTH(C703),Parameters!$F$2:$G$13,2,0))</f>
        <v/>
      </c>
      <c r="F703" s="69" t="str">
        <f>IF($B703="","",PV-N(J702))</f>
        <v/>
      </c>
      <c r="G703" s="69" t="str">
        <f>IF($B703="","",PMT(Rate,Nper,-PV,,Type))</f>
        <v/>
      </c>
      <c r="H703" s="69" t="str">
        <f>IF($B703="","",PPMT(Rate,ROWS($1:691),Nper,-PV,,Type))</f>
        <v/>
      </c>
      <c r="I703" s="69" t="str">
        <f>IF($B703="","",IPMT(Rate,ROWS($1:691),Nper,-PV,,Type))</f>
        <v/>
      </c>
      <c r="J703" s="73" t="str">
        <f t="shared" ref="J703:K703" si="693">IF($B703="","",N(J702)+N(H703))</f>
        <v/>
      </c>
      <c r="K703" s="74" t="str">
        <f t="shared" si="693"/>
        <v/>
      </c>
      <c r="L703" s="69" t="str">
        <f>IF($B703="","",PV-J703)</f>
        <v/>
      </c>
      <c r="M703" s="71" t="str">
        <f>IF($B703="","",J703/PV)</f>
        <v/>
      </c>
      <c r="N703" s="72" t="str">
        <f t="shared" si="4"/>
        <v/>
      </c>
    </row>
    <row r="704" ht="14.25" customHeight="1">
      <c r="B704" s="66" t="str">
        <f>IF(ROWS($1:692)&lt;=Nper,ROWS($1:692),"")</f>
        <v/>
      </c>
      <c r="C704" s="67" t="str">
        <f>IF($B704="","",IF($E$7="Weekly",Start_Date+7*(ROWS($1:692)-1),EDATE(Start_Date,VLOOKUP(IF(ASTemp!$E$7="","Monthly",ASTemp!$E$7),Parameters!$B$3:$D$6,3,0)*(ROWS($1:692)-1))))</f>
        <v/>
      </c>
      <c r="D704" s="68" t="str">
        <f t="shared" si="2"/>
        <v/>
      </c>
      <c r="E704" s="65" t="str">
        <f>IF($B704="","",VLOOKUP(MONTH(C704),Parameters!$F$2:$G$13,2,0))</f>
        <v/>
      </c>
      <c r="F704" s="69" t="str">
        <f>IF($B704="","",PV-N(J703))</f>
        <v/>
      </c>
      <c r="G704" s="69" t="str">
        <f>IF($B704="","",PMT(Rate,Nper,-PV,,Type))</f>
        <v/>
      </c>
      <c r="H704" s="69" t="str">
        <f>IF($B704="","",PPMT(Rate,ROWS($1:692),Nper,-PV,,Type))</f>
        <v/>
      </c>
      <c r="I704" s="69" t="str">
        <f>IF($B704="","",IPMT(Rate,ROWS($1:692),Nper,-PV,,Type))</f>
        <v/>
      </c>
      <c r="J704" s="73" t="str">
        <f t="shared" ref="J704:K704" si="694">IF($B704="","",N(J703)+N(H704))</f>
        <v/>
      </c>
      <c r="K704" s="74" t="str">
        <f t="shared" si="694"/>
        <v/>
      </c>
      <c r="L704" s="69" t="str">
        <f>IF($B704="","",PV-J704)</f>
        <v/>
      </c>
      <c r="M704" s="71" t="str">
        <f>IF($B704="","",J704/PV)</f>
        <v/>
      </c>
      <c r="N704" s="72" t="str">
        <f t="shared" si="4"/>
        <v/>
      </c>
    </row>
    <row r="705" ht="14.25" customHeight="1">
      <c r="B705" s="66" t="str">
        <f>IF(ROWS($1:693)&lt;=Nper,ROWS($1:693),"")</f>
        <v/>
      </c>
      <c r="C705" s="67" t="str">
        <f>IF($B705="","",IF($E$7="Weekly",Start_Date+7*(ROWS($1:693)-1),EDATE(Start_Date,VLOOKUP(IF(ASTemp!$E$7="","Monthly",ASTemp!$E$7),Parameters!$B$3:$D$6,3,0)*(ROWS($1:693)-1))))</f>
        <v/>
      </c>
      <c r="D705" s="68" t="str">
        <f t="shared" si="2"/>
        <v/>
      </c>
      <c r="E705" s="65" t="str">
        <f>IF($B705="","",VLOOKUP(MONTH(C705),Parameters!$F$2:$G$13,2,0))</f>
        <v/>
      </c>
      <c r="F705" s="69" t="str">
        <f>IF($B705="","",PV-N(J704))</f>
        <v/>
      </c>
      <c r="G705" s="69" t="str">
        <f>IF($B705="","",PMT(Rate,Nper,-PV,,Type))</f>
        <v/>
      </c>
      <c r="H705" s="69" t="str">
        <f>IF($B705="","",PPMT(Rate,ROWS($1:693),Nper,-PV,,Type))</f>
        <v/>
      </c>
      <c r="I705" s="69" t="str">
        <f>IF($B705="","",IPMT(Rate,ROWS($1:693),Nper,-PV,,Type))</f>
        <v/>
      </c>
      <c r="J705" s="73" t="str">
        <f t="shared" ref="J705:K705" si="695">IF($B705="","",N(J704)+N(H705))</f>
        <v/>
      </c>
      <c r="K705" s="74" t="str">
        <f t="shared" si="695"/>
        <v/>
      </c>
      <c r="L705" s="69" t="str">
        <f>IF($B705="","",PV-J705)</f>
        <v/>
      </c>
      <c r="M705" s="71" t="str">
        <f>IF($B705="","",J705/PV)</f>
        <v/>
      </c>
      <c r="N705" s="72" t="str">
        <f t="shared" si="4"/>
        <v/>
      </c>
    </row>
    <row r="706" ht="14.25" customHeight="1">
      <c r="B706" s="66" t="str">
        <f>IF(ROWS($1:694)&lt;=Nper,ROWS($1:694),"")</f>
        <v/>
      </c>
      <c r="C706" s="67" t="str">
        <f>IF($B706="","",IF($E$7="Weekly",Start_Date+7*(ROWS($1:694)-1),EDATE(Start_Date,VLOOKUP(IF(ASTemp!$E$7="","Monthly",ASTemp!$E$7),Parameters!$B$3:$D$6,3,0)*(ROWS($1:694)-1))))</f>
        <v/>
      </c>
      <c r="D706" s="68" t="str">
        <f t="shared" si="2"/>
        <v/>
      </c>
      <c r="E706" s="65" t="str">
        <f>IF($B706="","",VLOOKUP(MONTH(C706),Parameters!$F$2:$G$13,2,0))</f>
        <v/>
      </c>
      <c r="F706" s="69" t="str">
        <f>IF($B706="","",PV-N(J705))</f>
        <v/>
      </c>
      <c r="G706" s="69" t="str">
        <f>IF($B706="","",PMT(Rate,Nper,-PV,,Type))</f>
        <v/>
      </c>
      <c r="H706" s="69" t="str">
        <f>IF($B706="","",PPMT(Rate,ROWS($1:694),Nper,-PV,,Type))</f>
        <v/>
      </c>
      <c r="I706" s="69" t="str">
        <f>IF($B706="","",IPMT(Rate,ROWS($1:694),Nper,-PV,,Type))</f>
        <v/>
      </c>
      <c r="J706" s="73" t="str">
        <f t="shared" ref="J706:K706" si="696">IF($B706="","",N(J705)+N(H706))</f>
        <v/>
      </c>
      <c r="K706" s="74" t="str">
        <f t="shared" si="696"/>
        <v/>
      </c>
      <c r="L706" s="69" t="str">
        <f>IF($B706="","",PV-J706)</f>
        <v/>
      </c>
      <c r="M706" s="71" t="str">
        <f>IF($B706="","",J706/PV)</f>
        <v/>
      </c>
      <c r="N706" s="72" t="str">
        <f t="shared" si="4"/>
        <v/>
      </c>
    </row>
    <row r="707" ht="14.25" customHeight="1">
      <c r="B707" s="66" t="str">
        <f>IF(ROWS($1:695)&lt;=Nper,ROWS($1:695),"")</f>
        <v/>
      </c>
      <c r="C707" s="67" t="str">
        <f>IF($B707="","",IF($E$7="Weekly",Start_Date+7*(ROWS($1:695)-1),EDATE(Start_Date,VLOOKUP(IF(ASTemp!$E$7="","Monthly",ASTemp!$E$7),Parameters!$B$3:$D$6,3,0)*(ROWS($1:695)-1))))</f>
        <v/>
      </c>
      <c r="D707" s="68" t="str">
        <f t="shared" si="2"/>
        <v/>
      </c>
      <c r="E707" s="65" t="str">
        <f>IF($B707="","",VLOOKUP(MONTH(C707),Parameters!$F$2:$G$13,2,0))</f>
        <v/>
      </c>
      <c r="F707" s="69" t="str">
        <f>IF($B707="","",PV-N(J706))</f>
        <v/>
      </c>
      <c r="G707" s="69" t="str">
        <f>IF($B707="","",PMT(Rate,Nper,-PV,,Type))</f>
        <v/>
      </c>
      <c r="H707" s="69" t="str">
        <f>IF($B707="","",PPMT(Rate,ROWS($1:695),Nper,-PV,,Type))</f>
        <v/>
      </c>
      <c r="I707" s="69" t="str">
        <f>IF($B707="","",IPMT(Rate,ROWS($1:695),Nper,-PV,,Type))</f>
        <v/>
      </c>
      <c r="J707" s="73" t="str">
        <f t="shared" ref="J707:K707" si="697">IF($B707="","",N(J706)+N(H707))</f>
        <v/>
      </c>
      <c r="K707" s="74" t="str">
        <f t="shared" si="697"/>
        <v/>
      </c>
      <c r="L707" s="69" t="str">
        <f>IF($B707="","",PV-J707)</f>
        <v/>
      </c>
      <c r="M707" s="71" t="str">
        <f>IF($B707="","",J707/PV)</f>
        <v/>
      </c>
      <c r="N707" s="72" t="str">
        <f t="shared" si="4"/>
        <v/>
      </c>
    </row>
    <row r="708" ht="14.25" customHeight="1">
      <c r="B708" s="66" t="str">
        <f>IF(ROWS($1:696)&lt;=Nper,ROWS($1:696),"")</f>
        <v/>
      </c>
      <c r="C708" s="67" t="str">
        <f>IF($B708="","",IF($E$7="Weekly",Start_Date+7*(ROWS($1:696)-1),EDATE(Start_Date,VLOOKUP(IF(ASTemp!$E$7="","Monthly",ASTemp!$E$7),Parameters!$B$3:$D$6,3,0)*(ROWS($1:696)-1))))</f>
        <v/>
      </c>
      <c r="D708" s="68" t="str">
        <f t="shared" si="2"/>
        <v/>
      </c>
      <c r="E708" s="65" t="str">
        <f>IF($B708="","",VLOOKUP(MONTH(C708),Parameters!$F$2:$G$13,2,0))</f>
        <v/>
      </c>
      <c r="F708" s="69" t="str">
        <f>IF($B708="","",PV-N(J707))</f>
        <v/>
      </c>
      <c r="G708" s="69" t="str">
        <f>IF($B708="","",PMT(Rate,Nper,-PV,,Type))</f>
        <v/>
      </c>
      <c r="H708" s="69" t="str">
        <f>IF($B708="","",PPMT(Rate,ROWS($1:696),Nper,-PV,,Type))</f>
        <v/>
      </c>
      <c r="I708" s="69" t="str">
        <f>IF($B708="","",IPMT(Rate,ROWS($1:696),Nper,-PV,,Type))</f>
        <v/>
      </c>
      <c r="J708" s="73" t="str">
        <f t="shared" ref="J708:K708" si="698">IF($B708="","",N(J707)+N(H708))</f>
        <v/>
      </c>
      <c r="K708" s="74" t="str">
        <f t="shared" si="698"/>
        <v/>
      </c>
      <c r="L708" s="69" t="str">
        <f>IF($B708="","",PV-J708)</f>
        <v/>
      </c>
      <c r="M708" s="71" t="str">
        <f>IF($B708="","",J708/PV)</f>
        <v/>
      </c>
      <c r="N708" s="72" t="str">
        <f t="shared" si="4"/>
        <v/>
      </c>
    </row>
    <row r="709" ht="14.25" customHeight="1">
      <c r="B709" s="66" t="str">
        <f>IF(ROWS($1:697)&lt;=Nper,ROWS($1:697),"")</f>
        <v/>
      </c>
      <c r="C709" s="67" t="str">
        <f>IF($B709="","",IF($E$7="Weekly",Start_Date+7*(ROWS($1:697)-1),EDATE(Start_Date,VLOOKUP(IF(ASTemp!$E$7="","Monthly",ASTemp!$E$7),Parameters!$B$3:$D$6,3,0)*(ROWS($1:697)-1))))</f>
        <v/>
      </c>
      <c r="D709" s="68" t="str">
        <f t="shared" si="2"/>
        <v/>
      </c>
      <c r="E709" s="65" t="str">
        <f>IF($B709="","",VLOOKUP(MONTH(C709),Parameters!$F$2:$G$13,2,0))</f>
        <v/>
      </c>
      <c r="F709" s="69" t="str">
        <f>IF($B709="","",PV-N(J708))</f>
        <v/>
      </c>
      <c r="G709" s="69" t="str">
        <f>IF($B709="","",PMT(Rate,Nper,-PV,,Type))</f>
        <v/>
      </c>
      <c r="H709" s="69" t="str">
        <f>IF($B709="","",PPMT(Rate,ROWS($1:697),Nper,-PV,,Type))</f>
        <v/>
      </c>
      <c r="I709" s="69" t="str">
        <f>IF($B709="","",IPMT(Rate,ROWS($1:697),Nper,-PV,,Type))</f>
        <v/>
      </c>
      <c r="J709" s="73" t="str">
        <f t="shared" ref="J709:K709" si="699">IF($B709="","",N(J708)+N(H709))</f>
        <v/>
      </c>
      <c r="K709" s="74" t="str">
        <f t="shared" si="699"/>
        <v/>
      </c>
      <c r="L709" s="69" t="str">
        <f>IF($B709="","",PV-J709)</f>
        <v/>
      </c>
      <c r="M709" s="71" t="str">
        <f>IF($B709="","",J709/PV)</f>
        <v/>
      </c>
      <c r="N709" s="72" t="str">
        <f t="shared" si="4"/>
        <v/>
      </c>
    </row>
    <row r="710" ht="14.25" customHeight="1">
      <c r="B710" s="66" t="str">
        <f>IF(ROWS($1:698)&lt;=Nper,ROWS($1:698),"")</f>
        <v/>
      </c>
      <c r="C710" s="67" t="str">
        <f>IF($B710="","",IF($E$7="Weekly",Start_Date+7*(ROWS($1:698)-1),EDATE(Start_Date,VLOOKUP(IF(ASTemp!$E$7="","Monthly",ASTemp!$E$7),Parameters!$B$3:$D$6,3,0)*(ROWS($1:698)-1))))</f>
        <v/>
      </c>
      <c r="D710" s="68" t="str">
        <f t="shared" si="2"/>
        <v/>
      </c>
      <c r="E710" s="65" t="str">
        <f>IF($B710="","",VLOOKUP(MONTH(C710),Parameters!$F$2:$G$13,2,0))</f>
        <v/>
      </c>
      <c r="F710" s="69" t="str">
        <f>IF($B710="","",PV-N(J709))</f>
        <v/>
      </c>
      <c r="G710" s="69" t="str">
        <f>IF($B710="","",PMT(Rate,Nper,-PV,,Type))</f>
        <v/>
      </c>
      <c r="H710" s="69" t="str">
        <f>IF($B710="","",PPMT(Rate,ROWS($1:698),Nper,-PV,,Type))</f>
        <v/>
      </c>
      <c r="I710" s="69" t="str">
        <f>IF($B710="","",IPMT(Rate,ROWS($1:698),Nper,-PV,,Type))</f>
        <v/>
      </c>
      <c r="J710" s="73" t="str">
        <f t="shared" ref="J710:K710" si="700">IF($B710="","",N(J709)+N(H710))</f>
        <v/>
      </c>
      <c r="K710" s="74" t="str">
        <f t="shared" si="700"/>
        <v/>
      </c>
      <c r="L710" s="69" t="str">
        <f>IF($B710="","",PV-J710)</f>
        <v/>
      </c>
      <c r="M710" s="71" t="str">
        <f>IF($B710="","",J710/PV)</f>
        <v/>
      </c>
      <c r="N710" s="72" t="str">
        <f t="shared" si="4"/>
        <v/>
      </c>
    </row>
    <row r="711" ht="14.25" customHeight="1">
      <c r="B711" s="66" t="str">
        <f>IF(ROWS($1:699)&lt;=Nper,ROWS($1:699),"")</f>
        <v/>
      </c>
      <c r="C711" s="67" t="str">
        <f>IF($B711="","",IF($E$7="Weekly",Start_Date+7*(ROWS($1:699)-1),EDATE(Start_Date,VLOOKUP(IF(ASTemp!$E$7="","Monthly",ASTemp!$E$7),Parameters!$B$3:$D$6,3,0)*(ROWS($1:699)-1))))</f>
        <v/>
      </c>
      <c r="D711" s="68" t="str">
        <f t="shared" si="2"/>
        <v/>
      </c>
      <c r="E711" s="65" t="str">
        <f>IF($B711="","",VLOOKUP(MONTH(C711),Parameters!$F$2:$G$13,2,0))</f>
        <v/>
      </c>
      <c r="F711" s="69" t="str">
        <f>IF($B711="","",PV-N(J710))</f>
        <v/>
      </c>
      <c r="G711" s="69" t="str">
        <f>IF($B711="","",PMT(Rate,Nper,-PV,,Type))</f>
        <v/>
      </c>
      <c r="H711" s="69" t="str">
        <f>IF($B711="","",PPMT(Rate,ROWS($1:699),Nper,-PV,,Type))</f>
        <v/>
      </c>
      <c r="I711" s="69" t="str">
        <f>IF($B711="","",IPMT(Rate,ROWS($1:699),Nper,-PV,,Type))</f>
        <v/>
      </c>
      <c r="J711" s="73" t="str">
        <f t="shared" ref="J711:K711" si="701">IF($B711="","",N(J710)+N(H711))</f>
        <v/>
      </c>
      <c r="K711" s="74" t="str">
        <f t="shared" si="701"/>
        <v/>
      </c>
      <c r="L711" s="69" t="str">
        <f>IF($B711="","",PV-J711)</f>
        <v/>
      </c>
      <c r="M711" s="71" t="str">
        <f>IF($B711="","",J711/PV)</f>
        <v/>
      </c>
      <c r="N711" s="72" t="str">
        <f t="shared" si="4"/>
        <v/>
      </c>
    </row>
    <row r="712" ht="14.25" customHeight="1">
      <c r="B712" s="66" t="str">
        <f>IF(ROWS($1:700)&lt;=Nper,ROWS($1:700),"")</f>
        <v/>
      </c>
      <c r="C712" s="67" t="str">
        <f>IF($B712="","",IF($E$7="Weekly",Start_Date+7*(ROWS($1:700)-1),EDATE(Start_Date,VLOOKUP(IF(ASTemp!$E$7="","Monthly",ASTemp!$E$7),Parameters!$B$3:$D$6,3,0)*(ROWS($1:700)-1))))</f>
        <v/>
      </c>
      <c r="D712" s="68" t="str">
        <f t="shared" si="2"/>
        <v/>
      </c>
      <c r="E712" s="65" t="str">
        <f>IF($B712="","",VLOOKUP(MONTH(C712),Parameters!$F$2:$G$13,2,0))</f>
        <v/>
      </c>
      <c r="F712" s="69" t="str">
        <f>IF($B712="","",PV-N(J711))</f>
        <v/>
      </c>
      <c r="G712" s="69" t="str">
        <f>IF($B712="","",PMT(Rate,Nper,-PV,,Type))</f>
        <v/>
      </c>
      <c r="H712" s="69" t="str">
        <f>IF($B712="","",PPMT(Rate,ROWS($1:700),Nper,-PV,,Type))</f>
        <v/>
      </c>
      <c r="I712" s="69" t="str">
        <f>IF($B712="","",IPMT(Rate,ROWS($1:700),Nper,-PV,,Type))</f>
        <v/>
      </c>
      <c r="J712" s="73" t="str">
        <f t="shared" ref="J712:K712" si="702">IF($B712="","",N(J711)+N(H712))</f>
        <v/>
      </c>
      <c r="K712" s="74" t="str">
        <f t="shared" si="702"/>
        <v/>
      </c>
      <c r="L712" s="69" t="str">
        <f>IF($B712="","",PV-J712)</f>
        <v/>
      </c>
      <c r="M712" s="71" t="str">
        <f>IF($B712="","",J712/PV)</f>
        <v/>
      </c>
      <c r="N712" s="72" t="str">
        <f t="shared" si="4"/>
        <v/>
      </c>
    </row>
    <row r="713" ht="14.25" customHeight="1">
      <c r="B713" s="66" t="str">
        <f>IF(ROWS($1:701)&lt;=Nper,ROWS($1:701),"")</f>
        <v/>
      </c>
      <c r="C713" s="67" t="str">
        <f>IF($B713="","",IF($E$7="Weekly",Start_Date+7*(ROWS($1:701)-1),EDATE(Start_Date,VLOOKUP(IF(ASTemp!$E$7="","Monthly",ASTemp!$E$7),Parameters!$B$3:$D$6,3,0)*(ROWS($1:701)-1))))</f>
        <v/>
      </c>
      <c r="D713" s="68" t="str">
        <f t="shared" si="2"/>
        <v/>
      </c>
      <c r="E713" s="65" t="str">
        <f>IF($B713="","",VLOOKUP(MONTH(C713),Parameters!$F$2:$G$13,2,0))</f>
        <v/>
      </c>
      <c r="F713" s="69" t="str">
        <f>IF($B713="","",PV-N(J712))</f>
        <v/>
      </c>
      <c r="G713" s="69" t="str">
        <f>IF($B713="","",PMT(Rate,Nper,-PV,,Type))</f>
        <v/>
      </c>
      <c r="H713" s="69" t="str">
        <f>IF($B713="","",PPMT(Rate,ROWS($1:701),Nper,-PV,,Type))</f>
        <v/>
      </c>
      <c r="I713" s="69" t="str">
        <f>IF($B713="","",IPMT(Rate,ROWS($1:701),Nper,-PV,,Type))</f>
        <v/>
      </c>
      <c r="J713" s="73" t="str">
        <f t="shared" ref="J713:K713" si="703">IF($B713="","",N(J712)+N(H713))</f>
        <v/>
      </c>
      <c r="K713" s="74" t="str">
        <f t="shared" si="703"/>
        <v/>
      </c>
      <c r="L713" s="69" t="str">
        <f>IF($B713="","",PV-J713)</f>
        <v/>
      </c>
      <c r="M713" s="71" t="str">
        <f>IF($B713="","",J713/PV)</f>
        <v/>
      </c>
      <c r="N713" s="72" t="str">
        <f t="shared" si="4"/>
        <v/>
      </c>
    </row>
    <row r="714" ht="14.25" customHeight="1">
      <c r="B714" s="66" t="str">
        <f>IF(ROWS($1:702)&lt;=Nper,ROWS($1:702),"")</f>
        <v/>
      </c>
      <c r="C714" s="67" t="str">
        <f>IF($B714="","",IF($E$7="Weekly",Start_Date+7*(ROWS($1:702)-1),EDATE(Start_Date,VLOOKUP(IF(ASTemp!$E$7="","Monthly",ASTemp!$E$7),Parameters!$B$3:$D$6,3,0)*(ROWS($1:702)-1))))</f>
        <v/>
      </c>
      <c r="D714" s="68" t="str">
        <f t="shared" si="2"/>
        <v/>
      </c>
      <c r="E714" s="65" t="str">
        <f>IF($B714="","",VLOOKUP(MONTH(C714),Parameters!$F$2:$G$13,2,0))</f>
        <v/>
      </c>
      <c r="F714" s="69" t="str">
        <f>IF($B714="","",PV-N(J713))</f>
        <v/>
      </c>
      <c r="G714" s="69" t="str">
        <f>IF($B714="","",PMT(Rate,Nper,-PV,,Type))</f>
        <v/>
      </c>
      <c r="H714" s="69" t="str">
        <f>IF($B714="","",PPMT(Rate,ROWS($1:702),Nper,-PV,,Type))</f>
        <v/>
      </c>
      <c r="I714" s="69" t="str">
        <f>IF($B714="","",IPMT(Rate,ROWS($1:702),Nper,-PV,,Type))</f>
        <v/>
      </c>
      <c r="J714" s="73" t="str">
        <f t="shared" ref="J714:K714" si="704">IF($B714="","",N(J713)+N(H714))</f>
        <v/>
      </c>
      <c r="K714" s="74" t="str">
        <f t="shared" si="704"/>
        <v/>
      </c>
      <c r="L714" s="69" t="str">
        <f>IF($B714="","",PV-J714)</f>
        <v/>
      </c>
      <c r="M714" s="71" t="str">
        <f>IF($B714="","",J714/PV)</f>
        <v/>
      </c>
      <c r="N714" s="72" t="str">
        <f t="shared" si="4"/>
        <v/>
      </c>
    </row>
    <row r="715" ht="14.25" customHeight="1">
      <c r="B715" s="66" t="str">
        <f>IF(ROWS($1:703)&lt;=Nper,ROWS($1:703),"")</f>
        <v/>
      </c>
      <c r="C715" s="67" t="str">
        <f>IF($B715="","",IF($E$7="Weekly",Start_Date+7*(ROWS($1:703)-1),EDATE(Start_Date,VLOOKUP(IF(ASTemp!$E$7="","Monthly",ASTemp!$E$7),Parameters!$B$3:$D$6,3,0)*(ROWS($1:703)-1))))</f>
        <v/>
      </c>
      <c r="D715" s="68" t="str">
        <f t="shared" si="2"/>
        <v/>
      </c>
      <c r="E715" s="65" t="str">
        <f>IF($B715="","",VLOOKUP(MONTH(C715),Parameters!$F$2:$G$13,2,0))</f>
        <v/>
      </c>
      <c r="F715" s="69" t="str">
        <f>IF($B715="","",PV-N(J714))</f>
        <v/>
      </c>
      <c r="G715" s="69" t="str">
        <f>IF($B715="","",PMT(Rate,Nper,-PV,,Type))</f>
        <v/>
      </c>
      <c r="H715" s="69" t="str">
        <f>IF($B715="","",PPMT(Rate,ROWS($1:703),Nper,-PV,,Type))</f>
        <v/>
      </c>
      <c r="I715" s="69" t="str">
        <f>IF($B715="","",IPMT(Rate,ROWS($1:703),Nper,-PV,,Type))</f>
        <v/>
      </c>
      <c r="J715" s="73" t="str">
        <f t="shared" ref="J715:K715" si="705">IF($B715="","",N(J714)+N(H715))</f>
        <v/>
      </c>
      <c r="K715" s="74" t="str">
        <f t="shared" si="705"/>
        <v/>
      </c>
      <c r="L715" s="69" t="str">
        <f>IF($B715="","",PV-J715)</f>
        <v/>
      </c>
      <c r="M715" s="71" t="str">
        <f>IF($B715="","",J715/PV)</f>
        <v/>
      </c>
      <c r="N715" s="72" t="str">
        <f t="shared" si="4"/>
        <v/>
      </c>
    </row>
    <row r="716" ht="14.25" customHeight="1">
      <c r="B716" s="66" t="str">
        <f>IF(ROWS($1:704)&lt;=Nper,ROWS($1:704),"")</f>
        <v/>
      </c>
      <c r="C716" s="67" t="str">
        <f>IF($B716="","",IF($E$7="Weekly",Start_Date+7*(ROWS($1:704)-1),EDATE(Start_Date,VLOOKUP(IF(ASTemp!$E$7="","Monthly",ASTemp!$E$7),Parameters!$B$3:$D$6,3,0)*(ROWS($1:704)-1))))</f>
        <v/>
      </c>
      <c r="D716" s="68" t="str">
        <f t="shared" si="2"/>
        <v/>
      </c>
      <c r="E716" s="65" t="str">
        <f>IF($B716="","",VLOOKUP(MONTH(C716),Parameters!$F$2:$G$13,2,0))</f>
        <v/>
      </c>
      <c r="F716" s="69" t="str">
        <f>IF($B716="","",PV-N(J715))</f>
        <v/>
      </c>
      <c r="G716" s="69" t="str">
        <f>IF($B716="","",PMT(Rate,Nper,-PV,,Type))</f>
        <v/>
      </c>
      <c r="H716" s="69" t="str">
        <f>IF($B716="","",PPMT(Rate,ROWS($1:704),Nper,-PV,,Type))</f>
        <v/>
      </c>
      <c r="I716" s="69" t="str">
        <f>IF($B716="","",IPMT(Rate,ROWS($1:704),Nper,-PV,,Type))</f>
        <v/>
      </c>
      <c r="J716" s="73" t="str">
        <f t="shared" ref="J716:K716" si="706">IF($B716="","",N(J715)+N(H716))</f>
        <v/>
      </c>
      <c r="K716" s="74" t="str">
        <f t="shared" si="706"/>
        <v/>
      </c>
      <c r="L716" s="69" t="str">
        <f>IF($B716="","",PV-J716)</f>
        <v/>
      </c>
      <c r="M716" s="71" t="str">
        <f>IF($B716="","",J716/PV)</f>
        <v/>
      </c>
      <c r="N716" s="72" t="str">
        <f t="shared" si="4"/>
        <v/>
      </c>
    </row>
    <row r="717" ht="14.25" customHeight="1">
      <c r="B717" s="66" t="str">
        <f>IF(ROWS($1:705)&lt;=Nper,ROWS($1:705),"")</f>
        <v/>
      </c>
      <c r="C717" s="67" t="str">
        <f>IF($B717="","",IF($E$7="Weekly",Start_Date+7*(ROWS($1:705)-1),EDATE(Start_Date,VLOOKUP(IF(ASTemp!$E$7="","Monthly",ASTemp!$E$7),Parameters!$B$3:$D$6,3,0)*(ROWS($1:705)-1))))</f>
        <v/>
      </c>
      <c r="D717" s="68" t="str">
        <f t="shared" si="2"/>
        <v/>
      </c>
      <c r="E717" s="65" t="str">
        <f>IF($B717="","",VLOOKUP(MONTH(C717),Parameters!$F$2:$G$13,2,0))</f>
        <v/>
      </c>
      <c r="F717" s="69" t="str">
        <f>IF($B717="","",PV-N(J716))</f>
        <v/>
      </c>
      <c r="G717" s="69" t="str">
        <f>IF($B717="","",PMT(Rate,Nper,-PV,,Type))</f>
        <v/>
      </c>
      <c r="H717" s="69" t="str">
        <f>IF($B717="","",PPMT(Rate,ROWS($1:705),Nper,-PV,,Type))</f>
        <v/>
      </c>
      <c r="I717" s="69" t="str">
        <f>IF($B717="","",IPMT(Rate,ROWS($1:705),Nper,-PV,,Type))</f>
        <v/>
      </c>
      <c r="J717" s="73" t="str">
        <f t="shared" ref="J717:K717" si="707">IF($B717="","",N(J716)+N(H717))</f>
        <v/>
      </c>
      <c r="K717" s="74" t="str">
        <f t="shared" si="707"/>
        <v/>
      </c>
      <c r="L717" s="69" t="str">
        <f>IF($B717="","",PV-J717)</f>
        <v/>
      </c>
      <c r="M717" s="71" t="str">
        <f>IF($B717="","",J717/PV)</f>
        <v/>
      </c>
      <c r="N717" s="72" t="str">
        <f t="shared" si="4"/>
        <v/>
      </c>
    </row>
    <row r="718" ht="14.25" customHeight="1">
      <c r="B718" s="66" t="str">
        <f>IF(ROWS($1:706)&lt;=Nper,ROWS($1:706),"")</f>
        <v/>
      </c>
      <c r="C718" s="67" t="str">
        <f>IF($B718="","",IF($E$7="Weekly",Start_Date+7*(ROWS($1:706)-1),EDATE(Start_Date,VLOOKUP(IF(ASTemp!$E$7="","Monthly",ASTemp!$E$7),Parameters!$B$3:$D$6,3,0)*(ROWS($1:706)-1))))</f>
        <v/>
      </c>
      <c r="D718" s="68" t="str">
        <f t="shared" si="2"/>
        <v/>
      </c>
      <c r="E718" s="65" t="str">
        <f>IF($B718="","",VLOOKUP(MONTH(C718),Parameters!$F$2:$G$13,2,0))</f>
        <v/>
      </c>
      <c r="F718" s="69" t="str">
        <f>IF($B718="","",PV-N(J717))</f>
        <v/>
      </c>
      <c r="G718" s="69" t="str">
        <f>IF($B718="","",PMT(Rate,Nper,-PV,,Type))</f>
        <v/>
      </c>
      <c r="H718" s="69" t="str">
        <f>IF($B718="","",PPMT(Rate,ROWS($1:706),Nper,-PV,,Type))</f>
        <v/>
      </c>
      <c r="I718" s="69" t="str">
        <f>IF($B718="","",IPMT(Rate,ROWS($1:706),Nper,-PV,,Type))</f>
        <v/>
      </c>
      <c r="J718" s="73" t="str">
        <f t="shared" ref="J718:K718" si="708">IF($B718="","",N(J717)+N(H718))</f>
        <v/>
      </c>
      <c r="K718" s="74" t="str">
        <f t="shared" si="708"/>
        <v/>
      </c>
      <c r="L718" s="69" t="str">
        <f>IF($B718="","",PV-J718)</f>
        <v/>
      </c>
      <c r="M718" s="71" t="str">
        <f>IF($B718="","",J718/PV)</f>
        <v/>
      </c>
      <c r="N718" s="72" t="str">
        <f t="shared" si="4"/>
        <v/>
      </c>
    </row>
    <row r="719" ht="14.25" customHeight="1">
      <c r="B719" s="66" t="str">
        <f>IF(ROWS($1:707)&lt;=Nper,ROWS($1:707),"")</f>
        <v/>
      </c>
      <c r="C719" s="67" t="str">
        <f>IF($B719="","",IF($E$7="Weekly",Start_Date+7*(ROWS($1:707)-1),EDATE(Start_Date,VLOOKUP(IF(ASTemp!$E$7="","Monthly",ASTemp!$E$7),Parameters!$B$3:$D$6,3,0)*(ROWS($1:707)-1))))</f>
        <v/>
      </c>
      <c r="D719" s="68" t="str">
        <f t="shared" si="2"/>
        <v/>
      </c>
      <c r="E719" s="65" t="str">
        <f>IF($B719="","",VLOOKUP(MONTH(C719),Parameters!$F$2:$G$13,2,0))</f>
        <v/>
      </c>
      <c r="F719" s="69" t="str">
        <f>IF($B719="","",PV-N(J718))</f>
        <v/>
      </c>
      <c r="G719" s="69" t="str">
        <f>IF($B719="","",PMT(Rate,Nper,-PV,,Type))</f>
        <v/>
      </c>
      <c r="H719" s="69" t="str">
        <f>IF($B719="","",PPMT(Rate,ROWS($1:707),Nper,-PV,,Type))</f>
        <v/>
      </c>
      <c r="I719" s="69" t="str">
        <f>IF($B719="","",IPMT(Rate,ROWS($1:707),Nper,-PV,,Type))</f>
        <v/>
      </c>
      <c r="J719" s="73" t="str">
        <f t="shared" ref="J719:K719" si="709">IF($B719="","",N(J718)+N(H719))</f>
        <v/>
      </c>
      <c r="K719" s="74" t="str">
        <f t="shared" si="709"/>
        <v/>
      </c>
      <c r="L719" s="69" t="str">
        <f>IF($B719="","",PV-J719)</f>
        <v/>
      </c>
      <c r="M719" s="71" t="str">
        <f>IF($B719="","",J719/PV)</f>
        <v/>
      </c>
      <c r="N719" s="72" t="str">
        <f t="shared" si="4"/>
        <v/>
      </c>
    </row>
    <row r="720" ht="14.25" customHeight="1">
      <c r="B720" s="66" t="str">
        <f>IF(ROWS($1:708)&lt;=Nper,ROWS($1:708),"")</f>
        <v/>
      </c>
      <c r="C720" s="67" t="str">
        <f>IF($B720="","",IF($E$7="Weekly",Start_Date+7*(ROWS($1:708)-1),EDATE(Start_Date,VLOOKUP(IF(ASTemp!$E$7="","Monthly",ASTemp!$E$7),Parameters!$B$3:$D$6,3,0)*(ROWS($1:708)-1))))</f>
        <v/>
      </c>
      <c r="D720" s="68" t="str">
        <f t="shared" si="2"/>
        <v/>
      </c>
      <c r="E720" s="65" t="str">
        <f>IF($B720="","",VLOOKUP(MONTH(C720),Parameters!$F$2:$G$13,2,0))</f>
        <v/>
      </c>
      <c r="F720" s="69" t="str">
        <f>IF($B720="","",PV-N(J719))</f>
        <v/>
      </c>
      <c r="G720" s="69" t="str">
        <f>IF($B720="","",PMT(Rate,Nper,-PV,,Type))</f>
        <v/>
      </c>
      <c r="H720" s="69" t="str">
        <f>IF($B720="","",PPMT(Rate,ROWS($1:708),Nper,-PV,,Type))</f>
        <v/>
      </c>
      <c r="I720" s="69" t="str">
        <f>IF($B720="","",IPMT(Rate,ROWS($1:708),Nper,-PV,,Type))</f>
        <v/>
      </c>
      <c r="J720" s="73" t="str">
        <f t="shared" ref="J720:K720" si="710">IF($B720="","",N(J719)+N(H720))</f>
        <v/>
      </c>
      <c r="K720" s="74" t="str">
        <f t="shared" si="710"/>
        <v/>
      </c>
      <c r="L720" s="69" t="str">
        <f>IF($B720="","",PV-J720)</f>
        <v/>
      </c>
      <c r="M720" s="71" t="str">
        <f>IF($B720="","",J720/PV)</f>
        <v/>
      </c>
      <c r="N720" s="72" t="str">
        <f t="shared" si="4"/>
        <v/>
      </c>
    </row>
    <row r="721" ht="14.25" customHeight="1">
      <c r="B721" s="66" t="str">
        <f>IF(ROWS($1:709)&lt;=Nper,ROWS($1:709),"")</f>
        <v/>
      </c>
      <c r="C721" s="67" t="str">
        <f>IF($B721="","",IF($E$7="Weekly",Start_Date+7*(ROWS($1:709)-1),EDATE(Start_Date,VLOOKUP(IF(ASTemp!$E$7="","Monthly",ASTemp!$E$7),Parameters!$B$3:$D$6,3,0)*(ROWS($1:709)-1))))</f>
        <v/>
      </c>
      <c r="D721" s="68" t="str">
        <f t="shared" si="2"/>
        <v/>
      </c>
      <c r="E721" s="65" t="str">
        <f>IF($B721="","",VLOOKUP(MONTH(C721),Parameters!$F$2:$G$13,2,0))</f>
        <v/>
      </c>
      <c r="F721" s="69" t="str">
        <f>IF($B721="","",PV-N(J720))</f>
        <v/>
      </c>
      <c r="G721" s="69" t="str">
        <f>IF($B721="","",PMT(Rate,Nper,-PV,,Type))</f>
        <v/>
      </c>
      <c r="H721" s="69" t="str">
        <f>IF($B721="","",PPMT(Rate,ROWS($1:709),Nper,-PV,,Type))</f>
        <v/>
      </c>
      <c r="I721" s="69" t="str">
        <f>IF($B721="","",IPMT(Rate,ROWS($1:709),Nper,-PV,,Type))</f>
        <v/>
      </c>
      <c r="J721" s="73" t="str">
        <f t="shared" ref="J721:K721" si="711">IF($B721="","",N(J720)+N(H721))</f>
        <v/>
      </c>
      <c r="K721" s="74" t="str">
        <f t="shared" si="711"/>
        <v/>
      </c>
      <c r="L721" s="69" t="str">
        <f>IF($B721="","",PV-J721)</f>
        <v/>
      </c>
      <c r="M721" s="71" t="str">
        <f>IF($B721="","",J721/PV)</f>
        <v/>
      </c>
      <c r="N721" s="72" t="str">
        <f t="shared" si="4"/>
        <v/>
      </c>
    </row>
    <row r="722" ht="14.25" customHeight="1">
      <c r="B722" s="66" t="str">
        <f>IF(ROWS($1:710)&lt;=Nper,ROWS($1:710),"")</f>
        <v/>
      </c>
      <c r="C722" s="67" t="str">
        <f>IF($B722="","",IF($E$7="Weekly",Start_Date+7*(ROWS($1:710)-1),EDATE(Start_Date,VLOOKUP(IF(ASTemp!$E$7="","Monthly",ASTemp!$E$7),Parameters!$B$3:$D$6,3,0)*(ROWS($1:710)-1))))</f>
        <v/>
      </c>
      <c r="D722" s="68" t="str">
        <f t="shared" si="2"/>
        <v/>
      </c>
      <c r="E722" s="65" t="str">
        <f>IF($B722="","",VLOOKUP(MONTH(C722),Parameters!$F$2:$G$13,2,0))</f>
        <v/>
      </c>
      <c r="F722" s="69" t="str">
        <f>IF($B722="","",PV-N(J721))</f>
        <v/>
      </c>
      <c r="G722" s="69" t="str">
        <f>IF($B722="","",PMT(Rate,Nper,-PV,,Type))</f>
        <v/>
      </c>
      <c r="H722" s="69" t="str">
        <f>IF($B722="","",PPMT(Rate,ROWS($1:710),Nper,-PV,,Type))</f>
        <v/>
      </c>
      <c r="I722" s="69" t="str">
        <f>IF($B722="","",IPMT(Rate,ROWS($1:710),Nper,-PV,,Type))</f>
        <v/>
      </c>
      <c r="J722" s="73" t="str">
        <f t="shared" ref="J722:K722" si="712">IF($B722="","",N(J721)+N(H722))</f>
        <v/>
      </c>
      <c r="K722" s="74" t="str">
        <f t="shared" si="712"/>
        <v/>
      </c>
      <c r="L722" s="69" t="str">
        <f>IF($B722="","",PV-J722)</f>
        <v/>
      </c>
      <c r="M722" s="71" t="str">
        <f>IF($B722="","",J722/PV)</f>
        <v/>
      </c>
      <c r="N722" s="72" t="str">
        <f t="shared" si="4"/>
        <v/>
      </c>
    </row>
    <row r="723" ht="14.25" customHeight="1">
      <c r="B723" s="66" t="str">
        <f>IF(ROWS($1:711)&lt;=Nper,ROWS($1:711),"")</f>
        <v/>
      </c>
      <c r="C723" s="67" t="str">
        <f>IF($B723="","",IF($E$7="Weekly",Start_Date+7*(ROWS($1:711)-1),EDATE(Start_Date,VLOOKUP(IF(ASTemp!$E$7="","Monthly",ASTemp!$E$7),Parameters!$B$3:$D$6,3,0)*(ROWS($1:711)-1))))</f>
        <v/>
      </c>
      <c r="D723" s="68" t="str">
        <f t="shared" si="2"/>
        <v/>
      </c>
      <c r="E723" s="65" t="str">
        <f>IF($B723="","",VLOOKUP(MONTH(C723),Parameters!$F$2:$G$13,2,0))</f>
        <v/>
      </c>
      <c r="F723" s="69" t="str">
        <f>IF($B723="","",PV-N(J722))</f>
        <v/>
      </c>
      <c r="G723" s="69" t="str">
        <f>IF($B723="","",PMT(Rate,Nper,-PV,,Type))</f>
        <v/>
      </c>
      <c r="H723" s="69" t="str">
        <f>IF($B723="","",PPMT(Rate,ROWS($1:711),Nper,-PV,,Type))</f>
        <v/>
      </c>
      <c r="I723" s="69" t="str">
        <f>IF($B723="","",IPMT(Rate,ROWS($1:711),Nper,-PV,,Type))</f>
        <v/>
      </c>
      <c r="J723" s="73" t="str">
        <f t="shared" ref="J723:K723" si="713">IF($B723="","",N(J722)+N(H723))</f>
        <v/>
      </c>
      <c r="K723" s="74" t="str">
        <f t="shared" si="713"/>
        <v/>
      </c>
      <c r="L723" s="69" t="str">
        <f>IF($B723="","",PV-J723)</f>
        <v/>
      </c>
      <c r="M723" s="71" t="str">
        <f>IF($B723="","",J723/PV)</f>
        <v/>
      </c>
      <c r="N723" s="72" t="str">
        <f t="shared" si="4"/>
        <v/>
      </c>
    </row>
    <row r="724" ht="14.25" customHeight="1">
      <c r="B724" s="66" t="str">
        <f>IF(ROWS($1:712)&lt;=Nper,ROWS($1:712),"")</f>
        <v/>
      </c>
      <c r="C724" s="67" t="str">
        <f>IF($B724="","",IF($E$7="Weekly",Start_Date+7*(ROWS($1:712)-1),EDATE(Start_Date,VLOOKUP(IF(ASTemp!$E$7="","Monthly",ASTemp!$E$7),Parameters!$B$3:$D$6,3,0)*(ROWS($1:712)-1))))</f>
        <v/>
      </c>
      <c r="D724" s="68" t="str">
        <f t="shared" si="2"/>
        <v/>
      </c>
      <c r="E724" s="65" t="str">
        <f>IF($B724="","",VLOOKUP(MONTH(C724),Parameters!$F$2:$G$13,2,0))</f>
        <v/>
      </c>
      <c r="F724" s="69" t="str">
        <f>IF($B724="","",PV-N(J723))</f>
        <v/>
      </c>
      <c r="G724" s="69" t="str">
        <f>IF($B724="","",PMT(Rate,Nper,-PV,,Type))</f>
        <v/>
      </c>
      <c r="H724" s="69" t="str">
        <f>IF($B724="","",PPMT(Rate,ROWS($1:712),Nper,-PV,,Type))</f>
        <v/>
      </c>
      <c r="I724" s="69" t="str">
        <f>IF($B724="","",IPMT(Rate,ROWS($1:712),Nper,-PV,,Type))</f>
        <v/>
      </c>
      <c r="J724" s="73" t="str">
        <f t="shared" ref="J724:K724" si="714">IF($B724="","",N(J723)+N(H724))</f>
        <v/>
      </c>
      <c r="K724" s="74" t="str">
        <f t="shared" si="714"/>
        <v/>
      </c>
      <c r="L724" s="69" t="str">
        <f>IF($B724="","",PV-J724)</f>
        <v/>
      </c>
      <c r="M724" s="71" t="str">
        <f>IF($B724="","",J724/PV)</f>
        <v/>
      </c>
      <c r="N724" s="72" t="str">
        <f t="shared" si="4"/>
        <v/>
      </c>
    </row>
    <row r="725" ht="14.25" customHeight="1">
      <c r="B725" s="66" t="str">
        <f>IF(ROWS($1:713)&lt;=Nper,ROWS($1:713),"")</f>
        <v/>
      </c>
      <c r="C725" s="67" t="str">
        <f>IF($B725="","",IF($E$7="Weekly",Start_Date+7*(ROWS($1:713)-1),EDATE(Start_Date,VLOOKUP(IF(ASTemp!$E$7="","Monthly",ASTemp!$E$7),Parameters!$B$3:$D$6,3,0)*(ROWS($1:713)-1))))</f>
        <v/>
      </c>
      <c r="D725" s="68" t="str">
        <f t="shared" si="2"/>
        <v/>
      </c>
      <c r="E725" s="65" t="str">
        <f>IF($B725="","",VLOOKUP(MONTH(C725),Parameters!$F$2:$G$13,2,0))</f>
        <v/>
      </c>
      <c r="F725" s="69" t="str">
        <f>IF($B725="","",PV-N(J724))</f>
        <v/>
      </c>
      <c r="G725" s="69" t="str">
        <f>IF($B725="","",PMT(Rate,Nper,-PV,,Type))</f>
        <v/>
      </c>
      <c r="H725" s="69" t="str">
        <f>IF($B725="","",PPMT(Rate,ROWS($1:713),Nper,-PV,,Type))</f>
        <v/>
      </c>
      <c r="I725" s="69" t="str">
        <f>IF($B725="","",IPMT(Rate,ROWS($1:713),Nper,-PV,,Type))</f>
        <v/>
      </c>
      <c r="J725" s="73" t="str">
        <f t="shared" ref="J725:K725" si="715">IF($B725="","",N(J724)+N(H725))</f>
        <v/>
      </c>
      <c r="K725" s="74" t="str">
        <f t="shared" si="715"/>
        <v/>
      </c>
      <c r="L725" s="69" t="str">
        <f>IF($B725="","",PV-J725)</f>
        <v/>
      </c>
      <c r="M725" s="71" t="str">
        <f>IF($B725="","",J725/PV)</f>
        <v/>
      </c>
      <c r="N725" s="72" t="str">
        <f t="shared" si="4"/>
        <v/>
      </c>
    </row>
    <row r="726" ht="14.25" customHeight="1">
      <c r="B726" s="66" t="str">
        <f>IF(ROWS($1:714)&lt;=Nper,ROWS($1:714),"")</f>
        <v/>
      </c>
      <c r="C726" s="67" t="str">
        <f>IF($B726="","",IF($E$7="Weekly",Start_Date+7*(ROWS($1:714)-1),EDATE(Start_Date,VLOOKUP(IF(ASTemp!$E$7="","Monthly",ASTemp!$E$7),Parameters!$B$3:$D$6,3,0)*(ROWS($1:714)-1))))</f>
        <v/>
      </c>
      <c r="D726" s="68" t="str">
        <f t="shared" si="2"/>
        <v/>
      </c>
      <c r="E726" s="65" t="str">
        <f>IF($B726="","",VLOOKUP(MONTH(C726),Parameters!$F$2:$G$13,2,0))</f>
        <v/>
      </c>
      <c r="F726" s="69" t="str">
        <f>IF($B726="","",PV-N(J725))</f>
        <v/>
      </c>
      <c r="G726" s="69" t="str">
        <f>IF($B726="","",PMT(Rate,Nper,-PV,,Type))</f>
        <v/>
      </c>
      <c r="H726" s="69" t="str">
        <f>IF($B726="","",PPMT(Rate,ROWS($1:714),Nper,-PV,,Type))</f>
        <v/>
      </c>
      <c r="I726" s="69" t="str">
        <f>IF($B726="","",IPMT(Rate,ROWS($1:714),Nper,-PV,,Type))</f>
        <v/>
      </c>
      <c r="J726" s="73" t="str">
        <f t="shared" ref="J726:K726" si="716">IF($B726="","",N(J725)+N(H726))</f>
        <v/>
      </c>
      <c r="K726" s="74" t="str">
        <f t="shared" si="716"/>
        <v/>
      </c>
      <c r="L726" s="69" t="str">
        <f>IF($B726="","",PV-J726)</f>
        <v/>
      </c>
      <c r="M726" s="71" t="str">
        <f>IF($B726="","",J726/PV)</f>
        <v/>
      </c>
      <c r="N726" s="72" t="str">
        <f t="shared" si="4"/>
        <v/>
      </c>
    </row>
    <row r="727" ht="14.25" customHeight="1">
      <c r="B727" s="66" t="str">
        <f>IF(ROWS($1:715)&lt;=Nper,ROWS($1:715),"")</f>
        <v/>
      </c>
      <c r="C727" s="67" t="str">
        <f>IF($B727="","",IF($E$7="Weekly",Start_Date+7*(ROWS($1:715)-1),EDATE(Start_Date,VLOOKUP(IF(ASTemp!$E$7="","Monthly",ASTemp!$E$7),Parameters!$B$3:$D$6,3,0)*(ROWS($1:715)-1))))</f>
        <v/>
      </c>
      <c r="D727" s="68" t="str">
        <f t="shared" si="2"/>
        <v/>
      </c>
      <c r="E727" s="65" t="str">
        <f>IF($B727="","",VLOOKUP(MONTH(C727),Parameters!$F$2:$G$13,2,0))</f>
        <v/>
      </c>
      <c r="F727" s="69" t="str">
        <f>IF($B727="","",PV-N(J726))</f>
        <v/>
      </c>
      <c r="G727" s="69" t="str">
        <f>IF($B727="","",PMT(Rate,Nper,-PV,,Type))</f>
        <v/>
      </c>
      <c r="H727" s="69" t="str">
        <f>IF($B727="","",PPMT(Rate,ROWS($1:715),Nper,-PV,,Type))</f>
        <v/>
      </c>
      <c r="I727" s="69" t="str">
        <f>IF($B727="","",IPMT(Rate,ROWS($1:715),Nper,-PV,,Type))</f>
        <v/>
      </c>
      <c r="J727" s="73" t="str">
        <f t="shared" ref="J727:K727" si="717">IF($B727="","",N(J726)+N(H727))</f>
        <v/>
      </c>
      <c r="K727" s="74" t="str">
        <f t="shared" si="717"/>
        <v/>
      </c>
      <c r="L727" s="69" t="str">
        <f>IF($B727="","",PV-J727)</f>
        <v/>
      </c>
      <c r="M727" s="71" t="str">
        <f>IF($B727="","",J727/PV)</f>
        <v/>
      </c>
      <c r="N727" s="72" t="str">
        <f t="shared" si="4"/>
        <v/>
      </c>
    </row>
    <row r="728" ht="14.25" customHeight="1">
      <c r="B728" s="66" t="str">
        <f>IF(ROWS($1:716)&lt;=Nper,ROWS($1:716),"")</f>
        <v/>
      </c>
      <c r="C728" s="67" t="str">
        <f>IF($B728="","",IF($E$7="Weekly",Start_Date+7*(ROWS($1:716)-1),EDATE(Start_Date,VLOOKUP(IF(ASTemp!$E$7="","Monthly",ASTemp!$E$7),Parameters!$B$3:$D$6,3,0)*(ROWS($1:716)-1))))</f>
        <v/>
      </c>
      <c r="D728" s="68" t="str">
        <f t="shared" si="2"/>
        <v/>
      </c>
      <c r="E728" s="65" t="str">
        <f>IF($B728="","",VLOOKUP(MONTH(C728),Parameters!$F$2:$G$13,2,0))</f>
        <v/>
      </c>
      <c r="F728" s="69" t="str">
        <f>IF($B728="","",PV-N(J727))</f>
        <v/>
      </c>
      <c r="G728" s="69" t="str">
        <f>IF($B728="","",PMT(Rate,Nper,-PV,,Type))</f>
        <v/>
      </c>
      <c r="H728" s="69" t="str">
        <f>IF($B728="","",PPMT(Rate,ROWS($1:716),Nper,-PV,,Type))</f>
        <v/>
      </c>
      <c r="I728" s="69" t="str">
        <f>IF($B728="","",IPMT(Rate,ROWS($1:716),Nper,-PV,,Type))</f>
        <v/>
      </c>
      <c r="J728" s="73" t="str">
        <f t="shared" ref="J728:K728" si="718">IF($B728="","",N(J727)+N(H728))</f>
        <v/>
      </c>
      <c r="K728" s="74" t="str">
        <f t="shared" si="718"/>
        <v/>
      </c>
      <c r="L728" s="69" t="str">
        <f>IF($B728="","",PV-J728)</f>
        <v/>
      </c>
      <c r="M728" s="71" t="str">
        <f>IF($B728="","",J728/PV)</f>
        <v/>
      </c>
      <c r="N728" s="72" t="str">
        <f t="shared" si="4"/>
        <v/>
      </c>
    </row>
    <row r="729" ht="14.25" customHeight="1">
      <c r="B729" s="66" t="str">
        <f>IF(ROWS($1:717)&lt;=Nper,ROWS($1:717),"")</f>
        <v/>
      </c>
      <c r="C729" s="67" t="str">
        <f>IF($B729="","",IF($E$7="Weekly",Start_Date+7*(ROWS($1:717)-1),EDATE(Start_Date,VLOOKUP(IF(ASTemp!$E$7="","Monthly",ASTemp!$E$7),Parameters!$B$3:$D$6,3,0)*(ROWS($1:717)-1))))</f>
        <v/>
      </c>
      <c r="D729" s="68" t="str">
        <f t="shared" si="2"/>
        <v/>
      </c>
      <c r="E729" s="65" t="str">
        <f>IF($B729="","",VLOOKUP(MONTH(C729),Parameters!$F$2:$G$13,2,0))</f>
        <v/>
      </c>
      <c r="F729" s="69" t="str">
        <f>IF($B729="","",PV-N(J728))</f>
        <v/>
      </c>
      <c r="G729" s="69" t="str">
        <f>IF($B729="","",PMT(Rate,Nper,-PV,,Type))</f>
        <v/>
      </c>
      <c r="H729" s="69" t="str">
        <f>IF($B729="","",PPMT(Rate,ROWS($1:717),Nper,-PV,,Type))</f>
        <v/>
      </c>
      <c r="I729" s="69" t="str">
        <f>IF($B729="","",IPMT(Rate,ROWS($1:717),Nper,-PV,,Type))</f>
        <v/>
      </c>
      <c r="J729" s="73" t="str">
        <f t="shared" ref="J729:K729" si="719">IF($B729="","",N(J728)+N(H729))</f>
        <v/>
      </c>
      <c r="K729" s="74" t="str">
        <f t="shared" si="719"/>
        <v/>
      </c>
      <c r="L729" s="69" t="str">
        <f>IF($B729="","",PV-J729)</f>
        <v/>
      </c>
      <c r="M729" s="71" t="str">
        <f>IF($B729="","",J729/PV)</f>
        <v/>
      </c>
      <c r="N729" s="72" t="str">
        <f t="shared" si="4"/>
        <v/>
      </c>
    </row>
    <row r="730" ht="14.25" customHeight="1">
      <c r="B730" s="66" t="str">
        <f>IF(ROWS($1:718)&lt;=Nper,ROWS($1:718),"")</f>
        <v/>
      </c>
      <c r="C730" s="67" t="str">
        <f>IF($B730="","",IF($E$7="Weekly",Start_Date+7*(ROWS($1:718)-1),EDATE(Start_Date,VLOOKUP(IF(ASTemp!$E$7="","Monthly",ASTemp!$E$7),Parameters!$B$3:$D$6,3,0)*(ROWS($1:718)-1))))</f>
        <v/>
      </c>
      <c r="D730" s="68" t="str">
        <f t="shared" si="2"/>
        <v/>
      </c>
      <c r="E730" s="65" t="str">
        <f>IF($B730="","",VLOOKUP(MONTH(C730),Parameters!$F$2:$G$13,2,0))</f>
        <v/>
      </c>
      <c r="F730" s="69" t="str">
        <f>IF($B730="","",PV-N(J729))</f>
        <v/>
      </c>
      <c r="G730" s="69" t="str">
        <f>IF($B730="","",PMT(Rate,Nper,-PV,,Type))</f>
        <v/>
      </c>
      <c r="H730" s="69" t="str">
        <f>IF($B730="","",PPMT(Rate,ROWS($1:718),Nper,-PV,,Type))</f>
        <v/>
      </c>
      <c r="I730" s="69" t="str">
        <f>IF($B730="","",IPMT(Rate,ROWS($1:718),Nper,-PV,,Type))</f>
        <v/>
      </c>
      <c r="J730" s="73" t="str">
        <f t="shared" ref="J730:K730" si="720">IF($B730="","",N(J729)+N(H730))</f>
        <v/>
      </c>
      <c r="K730" s="74" t="str">
        <f t="shared" si="720"/>
        <v/>
      </c>
      <c r="L730" s="69" t="str">
        <f>IF($B730="","",PV-J730)</f>
        <v/>
      </c>
      <c r="M730" s="71" t="str">
        <f>IF($B730="","",J730/PV)</f>
        <v/>
      </c>
      <c r="N730" s="72" t="str">
        <f t="shared" si="4"/>
        <v/>
      </c>
    </row>
    <row r="731" ht="14.25" customHeight="1">
      <c r="B731" s="66" t="str">
        <f>IF(ROWS($1:719)&lt;=Nper,ROWS($1:719),"")</f>
        <v/>
      </c>
      <c r="C731" s="67" t="str">
        <f>IF($B731="","",IF($E$7="Weekly",Start_Date+7*(ROWS($1:719)-1),EDATE(Start_Date,VLOOKUP(IF(ASTemp!$E$7="","Monthly",ASTemp!$E$7),Parameters!$B$3:$D$6,3,0)*(ROWS($1:719)-1))))</f>
        <v/>
      </c>
      <c r="D731" s="68" t="str">
        <f t="shared" si="2"/>
        <v/>
      </c>
      <c r="E731" s="65" t="str">
        <f>IF($B731="","",VLOOKUP(MONTH(C731),Parameters!$F$2:$G$13,2,0))</f>
        <v/>
      </c>
      <c r="F731" s="69" t="str">
        <f>IF($B731="","",PV-N(J730))</f>
        <v/>
      </c>
      <c r="G731" s="69" t="str">
        <f>IF($B731="","",PMT(Rate,Nper,-PV,,Type))</f>
        <v/>
      </c>
      <c r="H731" s="69" t="str">
        <f>IF($B731="","",PPMT(Rate,ROWS($1:719),Nper,-PV,,Type))</f>
        <v/>
      </c>
      <c r="I731" s="69" t="str">
        <f>IF($B731="","",IPMT(Rate,ROWS($1:719),Nper,-PV,,Type))</f>
        <v/>
      </c>
      <c r="J731" s="73" t="str">
        <f t="shared" ref="J731:K731" si="721">IF($B731="","",N(J730)+N(H731))</f>
        <v/>
      </c>
      <c r="K731" s="74" t="str">
        <f t="shared" si="721"/>
        <v/>
      </c>
      <c r="L731" s="69" t="str">
        <f>IF($B731="","",PV-J731)</f>
        <v/>
      </c>
      <c r="M731" s="71" t="str">
        <f>IF($B731="","",J731/PV)</f>
        <v/>
      </c>
      <c r="N731" s="72" t="str">
        <f t="shared" si="4"/>
        <v/>
      </c>
    </row>
    <row r="732" ht="14.25" customHeight="1">
      <c r="B732" s="66" t="str">
        <f>IF(ROWS($1:720)&lt;=Nper,ROWS($1:720),"")</f>
        <v/>
      </c>
      <c r="C732" s="67" t="str">
        <f>IF($B732="","",IF($E$7="Weekly",Start_Date+7*(ROWS($1:720)-1),EDATE(Start_Date,VLOOKUP(IF(ASTemp!$E$7="","Monthly",ASTemp!$E$7),Parameters!$B$3:$D$6,3,0)*(ROWS($1:720)-1))))</f>
        <v/>
      </c>
      <c r="D732" s="68" t="str">
        <f t="shared" si="2"/>
        <v/>
      </c>
      <c r="E732" s="65" t="str">
        <f>IF($B732="","",VLOOKUP(MONTH(C732),Parameters!$F$2:$G$13,2,0))</f>
        <v/>
      </c>
      <c r="F732" s="69" t="str">
        <f>IF($B732="","",PV-N(J731))</f>
        <v/>
      </c>
      <c r="G732" s="69" t="str">
        <f>IF($B732="","",PMT(Rate,Nper,-PV,,Type))</f>
        <v/>
      </c>
      <c r="H732" s="69" t="str">
        <f>IF($B732="","",PPMT(Rate,ROWS($1:720),Nper,-PV,,Type))</f>
        <v/>
      </c>
      <c r="I732" s="69" t="str">
        <f>IF($B732="","",IPMT(Rate,ROWS($1:720),Nper,-PV,,Type))</f>
        <v/>
      </c>
      <c r="J732" s="73" t="str">
        <f t="shared" ref="J732:K732" si="722">IF($B732="","",N(J731)+N(H732))</f>
        <v/>
      </c>
      <c r="K732" s="74" t="str">
        <f t="shared" si="722"/>
        <v/>
      </c>
      <c r="L732" s="69" t="str">
        <f>IF($B732="","",PV-J732)</f>
        <v/>
      </c>
      <c r="M732" s="71" t="str">
        <f>IF($B732="","",J732/PV)</f>
        <v/>
      </c>
      <c r="N732" s="72" t="str">
        <f t="shared" si="4"/>
        <v/>
      </c>
    </row>
    <row r="733" ht="14.25" customHeight="1">
      <c r="B733" s="66" t="str">
        <f>IF(ROWS($1:721)&lt;=Nper,ROWS($1:721),"")</f>
        <v/>
      </c>
      <c r="C733" s="67" t="str">
        <f>IF($B733="","",IF($E$7="Weekly",Start_Date+7*(ROWS($1:721)-1),EDATE(Start_Date,VLOOKUP(IF(ASTemp!$E$7="","Monthly",ASTemp!$E$7),Parameters!$B$3:$D$6,3,0)*(ROWS($1:721)-1))))</f>
        <v/>
      </c>
      <c r="D733" s="68" t="str">
        <f t="shared" si="2"/>
        <v/>
      </c>
      <c r="E733" s="65" t="str">
        <f>IF($B733="","",VLOOKUP(MONTH(C733),Parameters!$F$2:$G$13,2,0))</f>
        <v/>
      </c>
      <c r="F733" s="69" t="str">
        <f>IF($B733="","",PV-N(J732))</f>
        <v/>
      </c>
      <c r="G733" s="69" t="str">
        <f>IF($B733="","",PMT(Rate,Nper,-PV,,Type))</f>
        <v/>
      </c>
      <c r="H733" s="69" t="str">
        <f>IF($B733="","",PPMT(Rate,ROWS($1:721),Nper,-PV,,Type))</f>
        <v/>
      </c>
      <c r="I733" s="69" t="str">
        <f>IF($B733="","",IPMT(Rate,ROWS($1:721),Nper,-PV,,Type))</f>
        <v/>
      </c>
      <c r="J733" s="73" t="str">
        <f t="shared" ref="J733:K733" si="723">IF($B733="","",N(J732)+N(H733))</f>
        <v/>
      </c>
      <c r="K733" s="74" t="str">
        <f t="shared" si="723"/>
        <v/>
      </c>
      <c r="L733" s="69" t="str">
        <f>IF($B733="","",PV-J733)</f>
        <v/>
      </c>
      <c r="M733" s="71" t="str">
        <f>IF($B733="","",J733/PV)</f>
        <v/>
      </c>
      <c r="N733" s="72" t="str">
        <f t="shared" si="4"/>
        <v/>
      </c>
    </row>
    <row r="734" ht="14.25" customHeight="1">
      <c r="B734" s="66" t="str">
        <f>IF(ROWS($1:722)&lt;=Nper,ROWS($1:722),"")</f>
        <v/>
      </c>
      <c r="C734" s="67" t="str">
        <f>IF($B734="","",IF($E$7="Weekly",Start_Date+7*(ROWS($1:722)-1),EDATE(Start_Date,VLOOKUP(IF(ASTemp!$E$7="","Monthly",ASTemp!$E$7),Parameters!$B$3:$D$6,3,0)*(ROWS($1:722)-1))))</f>
        <v/>
      </c>
      <c r="D734" s="68" t="str">
        <f t="shared" si="2"/>
        <v/>
      </c>
      <c r="E734" s="65" t="str">
        <f>IF($B734="","",VLOOKUP(MONTH(C734),Parameters!$F$2:$G$13,2,0))</f>
        <v/>
      </c>
      <c r="F734" s="69" t="str">
        <f>IF($B734="","",PV-N(J733))</f>
        <v/>
      </c>
      <c r="G734" s="69" t="str">
        <f>IF($B734="","",PMT(Rate,Nper,-PV,,Type))</f>
        <v/>
      </c>
      <c r="H734" s="69" t="str">
        <f>IF($B734="","",PPMT(Rate,ROWS($1:722),Nper,-PV,,Type))</f>
        <v/>
      </c>
      <c r="I734" s="69" t="str">
        <f>IF($B734="","",IPMT(Rate,ROWS($1:722),Nper,-PV,,Type))</f>
        <v/>
      </c>
      <c r="J734" s="73" t="str">
        <f t="shared" ref="J734:K734" si="724">IF($B734="","",N(J733)+N(H734))</f>
        <v/>
      </c>
      <c r="K734" s="74" t="str">
        <f t="shared" si="724"/>
        <v/>
      </c>
      <c r="L734" s="69" t="str">
        <f>IF($B734="","",PV-J734)</f>
        <v/>
      </c>
      <c r="M734" s="71" t="str">
        <f>IF($B734="","",J734/PV)</f>
        <v/>
      </c>
      <c r="N734" s="72" t="str">
        <f t="shared" si="4"/>
        <v/>
      </c>
    </row>
    <row r="735" ht="14.25" customHeight="1">
      <c r="B735" s="66" t="str">
        <f>IF(ROWS($1:723)&lt;=Nper,ROWS($1:723),"")</f>
        <v/>
      </c>
      <c r="C735" s="67" t="str">
        <f>IF($B735="","",IF($E$7="Weekly",Start_Date+7*(ROWS($1:723)-1),EDATE(Start_Date,VLOOKUP(IF(ASTemp!$E$7="","Monthly",ASTemp!$E$7),Parameters!$B$3:$D$6,3,0)*(ROWS($1:723)-1))))</f>
        <v/>
      </c>
      <c r="D735" s="68" t="str">
        <f t="shared" si="2"/>
        <v/>
      </c>
      <c r="E735" s="65" t="str">
        <f>IF($B735="","",VLOOKUP(MONTH(C735),Parameters!$F$2:$G$13,2,0))</f>
        <v/>
      </c>
      <c r="F735" s="69" t="str">
        <f>IF($B735="","",PV-N(J734))</f>
        <v/>
      </c>
      <c r="G735" s="69" t="str">
        <f>IF($B735="","",PMT(Rate,Nper,-PV,,Type))</f>
        <v/>
      </c>
      <c r="H735" s="69" t="str">
        <f>IF($B735="","",PPMT(Rate,ROWS($1:723),Nper,-PV,,Type))</f>
        <v/>
      </c>
      <c r="I735" s="69" t="str">
        <f>IF($B735="","",IPMT(Rate,ROWS($1:723),Nper,-PV,,Type))</f>
        <v/>
      </c>
      <c r="J735" s="73" t="str">
        <f t="shared" ref="J735:K735" si="725">IF($B735="","",N(J734)+N(H735))</f>
        <v/>
      </c>
      <c r="K735" s="74" t="str">
        <f t="shared" si="725"/>
        <v/>
      </c>
      <c r="L735" s="69" t="str">
        <f>IF($B735="","",PV-J735)</f>
        <v/>
      </c>
      <c r="M735" s="71" t="str">
        <f>IF($B735="","",J735/PV)</f>
        <v/>
      </c>
      <c r="N735" s="72" t="str">
        <f t="shared" si="4"/>
        <v/>
      </c>
    </row>
    <row r="736" ht="14.25" customHeight="1">
      <c r="B736" s="66" t="str">
        <f>IF(ROWS($1:724)&lt;=Nper,ROWS($1:724),"")</f>
        <v/>
      </c>
      <c r="C736" s="67" t="str">
        <f>IF($B736="","",IF($E$7="Weekly",Start_Date+7*(ROWS($1:724)-1),EDATE(Start_Date,VLOOKUP(IF(ASTemp!$E$7="","Monthly",ASTemp!$E$7),Parameters!$B$3:$D$6,3,0)*(ROWS($1:724)-1))))</f>
        <v/>
      </c>
      <c r="D736" s="68" t="str">
        <f t="shared" si="2"/>
        <v/>
      </c>
      <c r="E736" s="65" t="str">
        <f>IF($B736="","",VLOOKUP(MONTH(C736),Parameters!$F$2:$G$13,2,0))</f>
        <v/>
      </c>
      <c r="F736" s="69" t="str">
        <f>IF($B736="","",PV-N(J735))</f>
        <v/>
      </c>
      <c r="G736" s="69" t="str">
        <f>IF($B736="","",PMT(Rate,Nper,-PV,,Type))</f>
        <v/>
      </c>
      <c r="H736" s="69" t="str">
        <f>IF($B736="","",PPMT(Rate,ROWS($1:724),Nper,-PV,,Type))</f>
        <v/>
      </c>
      <c r="I736" s="69" t="str">
        <f>IF($B736="","",IPMT(Rate,ROWS($1:724),Nper,-PV,,Type))</f>
        <v/>
      </c>
      <c r="J736" s="73" t="str">
        <f t="shared" ref="J736:K736" si="726">IF($B736="","",N(J735)+N(H736))</f>
        <v/>
      </c>
      <c r="K736" s="74" t="str">
        <f t="shared" si="726"/>
        <v/>
      </c>
      <c r="L736" s="69" t="str">
        <f>IF($B736="","",PV-J736)</f>
        <v/>
      </c>
      <c r="M736" s="71" t="str">
        <f>IF($B736="","",J736/PV)</f>
        <v/>
      </c>
      <c r="N736" s="72" t="str">
        <f t="shared" si="4"/>
        <v/>
      </c>
    </row>
    <row r="737" ht="14.25" customHeight="1">
      <c r="B737" s="66" t="str">
        <f>IF(ROWS($1:725)&lt;=Nper,ROWS($1:725),"")</f>
        <v/>
      </c>
      <c r="C737" s="67" t="str">
        <f>IF($B737="","",IF($E$7="Weekly",Start_Date+7*(ROWS($1:725)-1),EDATE(Start_Date,VLOOKUP(IF(ASTemp!$E$7="","Monthly",ASTemp!$E$7),Parameters!$B$3:$D$6,3,0)*(ROWS($1:725)-1))))</f>
        <v/>
      </c>
      <c r="D737" s="68" t="str">
        <f t="shared" si="2"/>
        <v/>
      </c>
      <c r="E737" s="65" t="str">
        <f>IF($B737="","",VLOOKUP(MONTH(C737),Parameters!$F$2:$G$13,2,0))</f>
        <v/>
      </c>
      <c r="F737" s="69" t="str">
        <f>IF($B737="","",PV-N(J736))</f>
        <v/>
      </c>
      <c r="G737" s="69" t="str">
        <f>IF($B737="","",PMT(Rate,Nper,-PV,,Type))</f>
        <v/>
      </c>
      <c r="H737" s="69" t="str">
        <f>IF($B737="","",PPMT(Rate,ROWS($1:725),Nper,-PV,,Type))</f>
        <v/>
      </c>
      <c r="I737" s="69" t="str">
        <f>IF($B737="","",IPMT(Rate,ROWS($1:725),Nper,-PV,,Type))</f>
        <v/>
      </c>
      <c r="J737" s="73" t="str">
        <f t="shared" ref="J737:K737" si="727">IF($B737="","",N(J736)+N(H737))</f>
        <v/>
      </c>
      <c r="K737" s="74" t="str">
        <f t="shared" si="727"/>
        <v/>
      </c>
      <c r="L737" s="69" t="str">
        <f>IF($B737="","",PV-J737)</f>
        <v/>
      </c>
      <c r="M737" s="71" t="str">
        <f>IF($B737="","",J737/PV)</f>
        <v/>
      </c>
      <c r="N737" s="72" t="str">
        <f t="shared" si="4"/>
        <v/>
      </c>
    </row>
    <row r="738" ht="14.25" customHeight="1">
      <c r="B738" s="66" t="str">
        <f>IF(ROWS($1:726)&lt;=Nper,ROWS($1:726),"")</f>
        <v/>
      </c>
      <c r="C738" s="67" t="str">
        <f>IF($B738="","",IF($E$7="Weekly",Start_Date+7*(ROWS($1:726)-1),EDATE(Start_Date,VLOOKUP(IF(ASTemp!$E$7="","Monthly",ASTemp!$E$7),Parameters!$B$3:$D$6,3,0)*(ROWS($1:726)-1))))</f>
        <v/>
      </c>
      <c r="D738" s="68" t="str">
        <f t="shared" si="2"/>
        <v/>
      </c>
      <c r="E738" s="65" t="str">
        <f>IF($B738="","",VLOOKUP(MONTH(C738),Parameters!$F$2:$G$13,2,0))</f>
        <v/>
      </c>
      <c r="F738" s="69" t="str">
        <f>IF($B738="","",PV-N(J737))</f>
        <v/>
      </c>
      <c r="G738" s="69" t="str">
        <f>IF($B738="","",PMT(Rate,Nper,-PV,,Type))</f>
        <v/>
      </c>
      <c r="H738" s="69" t="str">
        <f>IF($B738="","",PPMT(Rate,ROWS($1:726),Nper,-PV,,Type))</f>
        <v/>
      </c>
      <c r="I738" s="69" t="str">
        <f>IF($B738="","",IPMT(Rate,ROWS($1:726),Nper,-PV,,Type))</f>
        <v/>
      </c>
      <c r="J738" s="73" t="str">
        <f t="shared" ref="J738:K738" si="728">IF($B738="","",N(J737)+N(H738))</f>
        <v/>
      </c>
      <c r="K738" s="74" t="str">
        <f t="shared" si="728"/>
        <v/>
      </c>
      <c r="L738" s="69" t="str">
        <f>IF($B738="","",PV-J738)</f>
        <v/>
      </c>
      <c r="M738" s="71" t="str">
        <f>IF($B738="","",J738/PV)</f>
        <v/>
      </c>
      <c r="N738" s="72" t="str">
        <f t="shared" si="4"/>
        <v/>
      </c>
    </row>
    <row r="739" ht="14.25" customHeight="1">
      <c r="B739" s="66" t="str">
        <f>IF(ROWS($1:727)&lt;=Nper,ROWS($1:727),"")</f>
        <v/>
      </c>
      <c r="C739" s="67" t="str">
        <f>IF($B739="","",IF($E$7="Weekly",Start_Date+7*(ROWS($1:727)-1),EDATE(Start_Date,VLOOKUP(IF(ASTemp!$E$7="","Monthly",ASTemp!$E$7),Parameters!$B$3:$D$6,3,0)*(ROWS($1:727)-1))))</f>
        <v/>
      </c>
      <c r="D739" s="68" t="str">
        <f t="shared" si="2"/>
        <v/>
      </c>
      <c r="E739" s="65" t="str">
        <f>IF($B739="","",VLOOKUP(MONTH(C739),Parameters!$F$2:$G$13,2,0))</f>
        <v/>
      </c>
      <c r="F739" s="69" t="str">
        <f>IF($B739="","",PV-N(J738))</f>
        <v/>
      </c>
      <c r="G739" s="69" t="str">
        <f>IF($B739="","",PMT(Rate,Nper,-PV,,Type))</f>
        <v/>
      </c>
      <c r="H739" s="69" t="str">
        <f>IF($B739="","",PPMT(Rate,ROWS($1:727),Nper,-PV,,Type))</f>
        <v/>
      </c>
      <c r="I739" s="69" t="str">
        <f>IF($B739="","",IPMT(Rate,ROWS($1:727),Nper,-PV,,Type))</f>
        <v/>
      </c>
      <c r="J739" s="73" t="str">
        <f t="shared" ref="J739:K739" si="729">IF($B739="","",N(J738)+N(H739))</f>
        <v/>
      </c>
      <c r="K739" s="74" t="str">
        <f t="shared" si="729"/>
        <v/>
      </c>
      <c r="L739" s="69" t="str">
        <f>IF($B739="","",PV-J739)</f>
        <v/>
      </c>
      <c r="M739" s="71" t="str">
        <f>IF($B739="","",J739/PV)</f>
        <v/>
      </c>
      <c r="N739" s="72" t="str">
        <f t="shared" si="4"/>
        <v/>
      </c>
    </row>
    <row r="740" ht="14.25" customHeight="1">
      <c r="B740" s="66" t="str">
        <f>IF(ROWS($1:728)&lt;=Nper,ROWS($1:728),"")</f>
        <v/>
      </c>
      <c r="C740" s="67" t="str">
        <f>IF($B740="","",IF($E$7="Weekly",Start_Date+7*(ROWS($1:728)-1),EDATE(Start_Date,VLOOKUP(IF(ASTemp!$E$7="","Monthly",ASTemp!$E$7),Parameters!$B$3:$D$6,3,0)*(ROWS($1:728)-1))))</f>
        <v/>
      </c>
      <c r="D740" s="68" t="str">
        <f t="shared" si="2"/>
        <v/>
      </c>
      <c r="E740" s="65" t="str">
        <f>IF($B740="","",VLOOKUP(MONTH(C740),Parameters!$F$2:$G$13,2,0))</f>
        <v/>
      </c>
      <c r="F740" s="69" t="str">
        <f>IF($B740="","",PV-N(J739))</f>
        <v/>
      </c>
      <c r="G740" s="69" t="str">
        <f>IF($B740="","",PMT(Rate,Nper,-PV,,Type))</f>
        <v/>
      </c>
      <c r="H740" s="69" t="str">
        <f>IF($B740="","",PPMT(Rate,ROWS($1:728),Nper,-PV,,Type))</f>
        <v/>
      </c>
      <c r="I740" s="69" t="str">
        <f>IF($B740="","",IPMT(Rate,ROWS($1:728),Nper,-PV,,Type))</f>
        <v/>
      </c>
      <c r="J740" s="73" t="str">
        <f t="shared" ref="J740:K740" si="730">IF($B740="","",N(J739)+N(H740))</f>
        <v/>
      </c>
      <c r="K740" s="74" t="str">
        <f t="shared" si="730"/>
        <v/>
      </c>
      <c r="L740" s="69" t="str">
        <f>IF($B740="","",PV-J740)</f>
        <v/>
      </c>
      <c r="M740" s="71" t="str">
        <f>IF($B740="","",J740/PV)</f>
        <v/>
      </c>
      <c r="N740" s="72" t="str">
        <f t="shared" si="4"/>
        <v/>
      </c>
    </row>
    <row r="741" ht="14.25" customHeight="1">
      <c r="B741" s="66" t="str">
        <f>IF(ROWS($1:729)&lt;=Nper,ROWS($1:729),"")</f>
        <v/>
      </c>
      <c r="C741" s="67" t="str">
        <f>IF($B741="","",IF($E$7="Weekly",Start_Date+7*(ROWS($1:729)-1),EDATE(Start_Date,VLOOKUP(IF(ASTemp!$E$7="","Monthly",ASTemp!$E$7),Parameters!$B$3:$D$6,3,0)*(ROWS($1:729)-1))))</f>
        <v/>
      </c>
      <c r="D741" s="68" t="str">
        <f t="shared" si="2"/>
        <v/>
      </c>
      <c r="E741" s="65" t="str">
        <f>IF($B741="","",VLOOKUP(MONTH(C741),Parameters!$F$2:$G$13,2,0))</f>
        <v/>
      </c>
      <c r="F741" s="69" t="str">
        <f>IF($B741="","",PV-N(J740))</f>
        <v/>
      </c>
      <c r="G741" s="69" t="str">
        <f>IF($B741="","",PMT(Rate,Nper,-PV,,Type))</f>
        <v/>
      </c>
      <c r="H741" s="69" t="str">
        <f>IF($B741="","",PPMT(Rate,ROWS($1:729),Nper,-PV,,Type))</f>
        <v/>
      </c>
      <c r="I741" s="69" t="str">
        <f>IF($B741="","",IPMT(Rate,ROWS($1:729),Nper,-PV,,Type))</f>
        <v/>
      </c>
      <c r="J741" s="73" t="str">
        <f t="shared" ref="J741:K741" si="731">IF($B741="","",N(J740)+N(H741))</f>
        <v/>
      </c>
      <c r="K741" s="74" t="str">
        <f t="shared" si="731"/>
        <v/>
      </c>
      <c r="L741" s="69" t="str">
        <f>IF($B741="","",PV-J741)</f>
        <v/>
      </c>
      <c r="M741" s="71" t="str">
        <f>IF($B741="","",J741/PV)</f>
        <v/>
      </c>
      <c r="N741" s="72" t="str">
        <f t="shared" si="4"/>
        <v/>
      </c>
    </row>
    <row r="742" ht="14.25" customHeight="1">
      <c r="B742" s="66" t="str">
        <f>IF(ROWS($1:730)&lt;=Nper,ROWS($1:730),"")</f>
        <v/>
      </c>
      <c r="C742" s="67" t="str">
        <f>IF($B742="","",IF($E$7="Weekly",Start_Date+7*(ROWS($1:730)-1),EDATE(Start_Date,VLOOKUP(IF(ASTemp!$E$7="","Monthly",ASTemp!$E$7),Parameters!$B$3:$D$6,3,0)*(ROWS($1:730)-1))))</f>
        <v/>
      </c>
      <c r="D742" s="68" t="str">
        <f t="shared" si="2"/>
        <v/>
      </c>
      <c r="E742" s="65" t="str">
        <f>IF($B742="","",VLOOKUP(MONTH(C742),Parameters!$F$2:$G$13,2,0))</f>
        <v/>
      </c>
      <c r="F742" s="69" t="str">
        <f>IF($B742="","",PV-N(J741))</f>
        <v/>
      </c>
      <c r="G742" s="69" t="str">
        <f>IF($B742="","",PMT(Rate,Nper,-PV,,Type))</f>
        <v/>
      </c>
      <c r="H742" s="69" t="str">
        <f>IF($B742="","",PPMT(Rate,ROWS($1:730),Nper,-PV,,Type))</f>
        <v/>
      </c>
      <c r="I742" s="69" t="str">
        <f>IF($B742="","",IPMT(Rate,ROWS($1:730),Nper,-PV,,Type))</f>
        <v/>
      </c>
      <c r="J742" s="73" t="str">
        <f t="shared" ref="J742:K742" si="732">IF($B742="","",N(J741)+N(H742))</f>
        <v/>
      </c>
      <c r="K742" s="74" t="str">
        <f t="shared" si="732"/>
        <v/>
      </c>
      <c r="L742" s="69" t="str">
        <f>IF($B742="","",PV-J742)</f>
        <v/>
      </c>
      <c r="M742" s="71" t="str">
        <f>IF($B742="","",J742/PV)</f>
        <v/>
      </c>
      <c r="N742" s="72" t="str">
        <f t="shared" si="4"/>
        <v/>
      </c>
    </row>
    <row r="743" ht="14.25" customHeight="1">
      <c r="B743" s="66" t="str">
        <f>IF(ROWS($1:731)&lt;=Nper,ROWS($1:731),"")</f>
        <v/>
      </c>
      <c r="C743" s="67" t="str">
        <f>IF($B743="","",IF($E$7="Weekly",Start_Date+7*(ROWS($1:731)-1),EDATE(Start_Date,VLOOKUP(IF(ASTemp!$E$7="","Monthly",ASTemp!$E$7),Parameters!$B$3:$D$6,3,0)*(ROWS($1:731)-1))))</f>
        <v/>
      </c>
      <c r="D743" s="68" t="str">
        <f t="shared" si="2"/>
        <v/>
      </c>
      <c r="E743" s="65" t="str">
        <f>IF($B743="","",VLOOKUP(MONTH(C743),Parameters!$F$2:$G$13,2,0))</f>
        <v/>
      </c>
      <c r="F743" s="69" t="str">
        <f>IF($B743="","",PV-N(J742))</f>
        <v/>
      </c>
      <c r="G743" s="69" t="str">
        <f>IF($B743="","",PMT(Rate,Nper,-PV,,Type))</f>
        <v/>
      </c>
      <c r="H743" s="69" t="str">
        <f>IF($B743="","",PPMT(Rate,ROWS($1:731),Nper,-PV,,Type))</f>
        <v/>
      </c>
      <c r="I743" s="69" t="str">
        <f>IF($B743="","",IPMT(Rate,ROWS($1:731),Nper,-PV,,Type))</f>
        <v/>
      </c>
      <c r="J743" s="73" t="str">
        <f t="shared" ref="J743:K743" si="733">IF($B743="","",N(J742)+N(H743))</f>
        <v/>
      </c>
      <c r="K743" s="74" t="str">
        <f t="shared" si="733"/>
        <v/>
      </c>
      <c r="L743" s="69" t="str">
        <f>IF($B743="","",PV-J743)</f>
        <v/>
      </c>
      <c r="M743" s="71" t="str">
        <f>IF($B743="","",J743/PV)</f>
        <v/>
      </c>
      <c r="N743" s="72" t="str">
        <f t="shared" si="4"/>
        <v/>
      </c>
    </row>
    <row r="744" ht="14.25" customHeight="1">
      <c r="B744" s="66" t="str">
        <f>IF(ROWS($1:732)&lt;=Nper,ROWS($1:732),"")</f>
        <v/>
      </c>
      <c r="C744" s="67" t="str">
        <f>IF($B744="","",IF($E$7="Weekly",Start_Date+7*(ROWS($1:732)-1),EDATE(Start_Date,VLOOKUP(IF(ASTemp!$E$7="","Monthly",ASTemp!$E$7),Parameters!$B$3:$D$6,3,0)*(ROWS($1:732)-1))))</f>
        <v/>
      </c>
      <c r="D744" s="68" t="str">
        <f t="shared" si="2"/>
        <v/>
      </c>
      <c r="E744" s="65" t="str">
        <f>IF($B744="","",VLOOKUP(MONTH(C744),Parameters!$F$2:$G$13,2,0))</f>
        <v/>
      </c>
      <c r="F744" s="69" t="str">
        <f>IF($B744="","",PV-N(J743))</f>
        <v/>
      </c>
      <c r="G744" s="69" t="str">
        <f>IF($B744="","",PMT(Rate,Nper,-PV,,Type))</f>
        <v/>
      </c>
      <c r="H744" s="69" t="str">
        <f>IF($B744="","",PPMT(Rate,ROWS($1:732),Nper,-PV,,Type))</f>
        <v/>
      </c>
      <c r="I744" s="69" t="str">
        <f>IF($B744="","",IPMT(Rate,ROWS($1:732),Nper,-PV,,Type))</f>
        <v/>
      </c>
      <c r="J744" s="73" t="str">
        <f t="shared" ref="J744:K744" si="734">IF($B744="","",N(J743)+N(H744))</f>
        <v/>
      </c>
      <c r="K744" s="74" t="str">
        <f t="shared" si="734"/>
        <v/>
      </c>
      <c r="L744" s="69" t="str">
        <f>IF($B744="","",PV-J744)</f>
        <v/>
      </c>
      <c r="M744" s="71" t="str">
        <f>IF($B744="","",J744/PV)</f>
        <v/>
      </c>
      <c r="N744" s="72" t="str">
        <f t="shared" si="4"/>
        <v/>
      </c>
    </row>
    <row r="745" ht="14.25" customHeight="1">
      <c r="B745" s="66" t="str">
        <f>IF(ROWS($1:733)&lt;=Nper,ROWS($1:733),"")</f>
        <v/>
      </c>
      <c r="C745" s="67" t="str">
        <f>IF($B745="","",IF($E$7="Weekly",Start_Date+7*(ROWS($1:733)-1),EDATE(Start_Date,VLOOKUP(IF(ASTemp!$E$7="","Monthly",ASTemp!$E$7),Parameters!$B$3:$D$6,3,0)*(ROWS($1:733)-1))))</f>
        <v/>
      </c>
      <c r="D745" s="68" t="str">
        <f t="shared" si="2"/>
        <v/>
      </c>
      <c r="E745" s="65" t="str">
        <f>IF($B745="","",VLOOKUP(MONTH(C745),Parameters!$F$2:$G$13,2,0))</f>
        <v/>
      </c>
      <c r="F745" s="69" t="str">
        <f>IF($B745="","",PV-N(J744))</f>
        <v/>
      </c>
      <c r="G745" s="69" t="str">
        <f>IF($B745="","",PMT(Rate,Nper,-PV,,Type))</f>
        <v/>
      </c>
      <c r="H745" s="69" t="str">
        <f>IF($B745="","",PPMT(Rate,ROWS($1:733),Nper,-PV,,Type))</f>
        <v/>
      </c>
      <c r="I745" s="69" t="str">
        <f>IF($B745="","",IPMT(Rate,ROWS($1:733),Nper,-PV,,Type))</f>
        <v/>
      </c>
      <c r="J745" s="73" t="str">
        <f t="shared" ref="J745:K745" si="735">IF($B745="","",N(J744)+N(H745))</f>
        <v/>
      </c>
      <c r="K745" s="74" t="str">
        <f t="shared" si="735"/>
        <v/>
      </c>
      <c r="L745" s="69" t="str">
        <f>IF($B745="","",PV-J745)</f>
        <v/>
      </c>
      <c r="M745" s="71" t="str">
        <f>IF($B745="","",J745/PV)</f>
        <v/>
      </c>
      <c r="N745" s="72" t="str">
        <f t="shared" si="4"/>
        <v/>
      </c>
    </row>
    <row r="746" ht="14.25" customHeight="1">
      <c r="B746" s="66" t="str">
        <f>IF(ROWS($1:734)&lt;=Nper,ROWS($1:734),"")</f>
        <v/>
      </c>
      <c r="C746" s="67" t="str">
        <f>IF($B746="","",IF($E$7="Weekly",Start_Date+7*(ROWS($1:734)-1),EDATE(Start_Date,VLOOKUP(IF(ASTemp!$E$7="","Monthly",ASTemp!$E$7),Parameters!$B$3:$D$6,3,0)*(ROWS($1:734)-1))))</f>
        <v/>
      </c>
      <c r="D746" s="68" t="str">
        <f t="shared" si="2"/>
        <v/>
      </c>
      <c r="E746" s="65" t="str">
        <f>IF($B746="","",VLOOKUP(MONTH(C746),Parameters!$F$2:$G$13,2,0))</f>
        <v/>
      </c>
      <c r="F746" s="69" t="str">
        <f>IF($B746="","",PV-N(J745))</f>
        <v/>
      </c>
      <c r="G746" s="69" t="str">
        <f>IF($B746="","",PMT(Rate,Nper,-PV,,Type))</f>
        <v/>
      </c>
      <c r="H746" s="69" t="str">
        <f>IF($B746="","",PPMT(Rate,ROWS($1:734),Nper,-PV,,Type))</f>
        <v/>
      </c>
      <c r="I746" s="69" t="str">
        <f>IF($B746="","",IPMT(Rate,ROWS($1:734),Nper,-PV,,Type))</f>
        <v/>
      </c>
      <c r="J746" s="73" t="str">
        <f t="shared" ref="J746:K746" si="736">IF($B746="","",N(J745)+N(H746))</f>
        <v/>
      </c>
      <c r="K746" s="74" t="str">
        <f t="shared" si="736"/>
        <v/>
      </c>
      <c r="L746" s="69" t="str">
        <f>IF($B746="","",PV-J746)</f>
        <v/>
      </c>
      <c r="M746" s="71" t="str">
        <f>IF($B746="","",J746/PV)</f>
        <v/>
      </c>
      <c r="N746" s="72" t="str">
        <f t="shared" si="4"/>
        <v/>
      </c>
    </row>
    <row r="747" ht="14.25" customHeight="1">
      <c r="B747" s="66" t="str">
        <f>IF(ROWS($1:735)&lt;=Nper,ROWS($1:735),"")</f>
        <v/>
      </c>
      <c r="C747" s="67" t="str">
        <f>IF($B747="","",IF($E$7="Weekly",Start_Date+7*(ROWS($1:735)-1),EDATE(Start_Date,VLOOKUP(IF(ASTemp!$E$7="","Monthly",ASTemp!$E$7),Parameters!$B$3:$D$6,3,0)*(ROWS($1:735)-1))))</f>
        <v/>
      </c>
      <c r="D747" s="68" t="str">
        <f t="shared" si="2"/>
        <v/>
      </c>
      <c r="E747" s="65" t="str">
        <f>IF($B747="","",VLOOKUP(MONTH(C747),Parameters!$F$2:$G$13,2,0))</f>
        <v/>
      </c>
      <c r="F747" s="69" t="str">
        <f>IF($B747="","",PV-N(J746))</f>
        <v/>
      </c>
      <c r="G747" s="69" t="str">
        <f>IF($B747="","",PMT(Rate,Nper,-PV,,Type))</f>
        <v/>
      </c>
      <c r="H747" s="69" t="str">
        <f>IF($B747="","",PPMT(Rate,ROWS($1:735),Nper,-PV,,Type))</f>
        <v/>
      </c>
      <c r="I747" s="69" t="str">
        <f>IF($B747="","",IPMT(Rate,ROWS($1:735),Nper,-PV,,Type))</f>
        <v/>
      </c>
      <c r="J747" s="73" t="str">
        <f t="shared" ref="J747:K747" si="737">IF($B747="","",N(J746)+N(H747))</f>
        <v/>
      </c>
      <c r="K747" s="74" t="str">
        <f t="shared" si="737"/>
        <v/>
      </c>
      <c r="L747" s="69" t="str">
        <f>IF($B747="","",PV-J747)</f>
        <v/>
      </c>
      <c r="M747" s="71" t="str">
        <f>IF($B747="","",J747/PV)</f>
        <v/>
      </c>
      <c r="N747" s="72" t="str">
        <f t="shared" si="4"/>
        <v/>
      </c>
    </row>
    <row r="748" ht="14.25" customHeight="1">
      <c r="B748" s="66" t="str">
        <f>IF(ROWS($1:736)&lt;=Nper,ROWS($1:736),"")</f>
        <v/>
      </c>
      <c r="C748" s="67" t="str">
        <f>IF($B748="","",IF($E$7="Weekly",Start_Date+7*(ROWS($1:736)-1),EDATE(Start_Date,VLOOKUP(IF(ASTemp!$E$7="","Monthly",ASTemp!$E$7),Parameters!$B$3:$D$6,3,0)*(ROWS($1:736)-1))))</f>
        <v/>
      </c>
      <c r="D748" s="68" t="str">
        <f t="shared" si="2"/>
        <v/>
      </c>
      <c r="E748" s="65" t="str">
        <f>IF($B748="","",VLOOKUP(MONTH(C748),Parameters!$F$2:$G$13,2,0))</f>
        <v/>
      </c>
      <c r="F748" s="69" t="str">
        <f>IF($B748="","",PV-N(J747))</f>
        <v/>
      </c>
      <c r="G748" s="69" t="str">
        <f>IF($B748="","",PMT(Rate,Nper,-PV,,Type))</f>
        <v/>
      </c>
      <c r="H748" s="69" t="str">
        <f>IF($B748="","",PPMT(Rate,ROWS($1:736),Nper,-PV,,Type))</f>
        <v/>
      </c>
      <c r="I748" s="69" t="str">
        <f>IF($B748="","",IPMT(Rate,ROWS($1:736),Nper,-PV,,Type))</f>
        <v/>
      </c>
      <c r="J748" s="73" t="str">
        <f t="shared" ref="J748:K748" si="738">IF($B748="","",N(J747)+N(H748))</f>
        <v/>
      </c>
      <c r="K748" s="74" t="str">
        <f t="shared" si="738"/>
        <v/>
      </c>
      <c r="L748" s="69" t="str">
        <f>IF($B748="","",PV-J748)</f>
        <v/>
      </c>
      <c r="M748" s="71" t="str">
        <f>IF($B748="","",J748/PV)</f>
        <v/>
      </c>
      <c r="N748" s="72" t="str">
        <f t="shared" si="4"/>
        <v/>
      </c>
    </row>
    <row r="749" ht="14.25" customHeight="1">
      <c r="B749" s="66" t="str">
        <f>IF(ROWS($1:737)&lt;=Nper,ROWS($1:737),"")</f>
        <v/>
      </c>
      <c r="C749" s="67" t="str">
        <f>IF($B749="","",IF($E$7="Weekly",Start_Date+7*(ROWS($1:737)-1),EDATE(Start_Date,VLOOKUP(IF(ASTemp!$E$7="","Monthly",ASTemp!$E$7),Parameters!$B$3:$D$6,3,0)*(ROWS($1:737)-1))))</f>
        <v/>
      </c>
      <c r="D749" s="68" t="str">
        <f t="shared" si="2"/>
        <v/>
      </c>
      <c r="E749" s="65" t="str">
        <f>IF($B749="","",VLOOKUP(MONTH(C749),Parameters!$F$2:$G$13,2,0))</f>
        <v/>
      </c>
      <c r="F749" s="69" t="str">
        <f>IF($B749="","",PV-N(J748))</f>
        <v/>
      </c>
      <c r="G749" s="69" t="str">
        <f>IF($B749="","",PMT(Rate,Nper,-PV,,Type))</f>
        <v/>
      </c>
      <c r="H749" s="69" t="str">
        <f>IF($B749="","",PPMT(Rate,ROWS($1:737),Nper,-PV,,Type))</f>
        <v/>
      </c>
      <c r="I749" s="69" t="str">
        <f>IF($B749="","",IPMT(Rate,ROWS($1:737),Nper,-PV,,Type))</f>
        <v/>
      </c>
      <c r="J749" s="73" t="str">
        <f t="shared" ref="J749:K749" si="739">IF($B749="","",N(J748)+N(H749))</f>
        <v/>
      </c>
      <c r="K749" s="74" t="str">
        <f t="shared" si="739"/>
        <v/>
      </c>
      <c r="L749" s="69" t="str">
        <f>IF($B749="","",PV-J749)</f>
        <v/>
      </c>
      <c r="M749" s="71" t="str">
        <f>IF($B749="","",J749/PV)</f>
        <v/>
      </c>
      <c r="N749" s="72" t="str">
        <f t="shared" si="4"/>
        <v/>
      </c>
    </row>
    <row r="750" ht="14.25" customHeight="1">
      <c r="B750" s="66" t="str">
        <f>IF(ROWS($1:738)&lt;=Nper,ROWS($1:738),"")</f>
        <v/>
      </c>
      <c r="C750" s="67" t="str">
        <f>IF($B750="","",IF($E$7="Weekly",Start_Date+7*(ROWS($1:738)-1),EDATE(Start_Date,VLOOKUP(IF(ASTemp!$E$7="","Monthly",ASTemp!$E$7),Parameters!$B$3:$D$6,3,0)*(ROWS($1:738)-1))))</f>
        <v/>
      </c>
      <c r="D750" s="68" t="str">
        <f t="shared" si="2"/>
        <v/>
      </c>
      <c r="E750" s="65" t="str">
        <f>IF($B750="","",VLOOKUP(MONTH(C750),Parameters!$F$2:$G$13,2,0))</f>
        <v/>
      </c>
      <c r="F750" s="69" t="str">
        <f>IF($B750="","",PV-N(J749))</f>
        <v/>
      </c>
      <c r="G750" s="69" t="str">
        <f>IF($B750="","",PMT(Rate,Nper,-PV,,Type))</f>
        <v/>
      </c>
      <c r="H750" s="69" t="str">
        <f>IF($B750="","",PPMT(Rate,ROWS($1:738),Nper,-PV,,Type))</f>
        <v/>
      </c>
      <c r="I750" s="69" t="str">
        <f>IF($B750="","",IPMT(Rate,ROWS($1:738),Nper,-PV,,Type))</f>
        <v/>
      </c>
      <c r="J750" s="73" t="str">
        <f t="shared" ref="J750:K750" si="740">IF($B750="","",N(J749)+N(H750))</f>
        <v/>
      </c>
      <c r="K750" s="74" t="str">
        <f t="shared" si="740"/>
        <v/>
      </c>
      <c r="L750" s="69" t="str">
        <f>IF($B750="","",PV-J750)</f>
        <v/>
      </c>
      <c r="M750" s="71" t="str">
        <f>IF($B750="","",J750/PV)</f>
        <v/>
      </c>
      <c r="N750" s="72" t="str">
        <f t="shared" si="4"/>
        <v/>
      </c>
    </row>
    <row r="751" ht="14.25" customHeight="1">
      <c r="B751" s="66" t="str">
        <f>IF(ROWS($1:739)&lt;=Nper,ROWS($1:739),"")</f>
        <v/>
      </c>
      <c r="C751" s="67" t="str">
        <f>IF($B751="","",IF($E$7="Weekly",Start_Date+7*(ROWS($1:739)-1),EDATE(Start_Date,VLOOKUP(IF(ASTemp!$E$7="","Monthly",ASTemp!$E$7),Parameters!$B$3:$D$6,3,0)*(ROWS($1:739)-1))))</f>
        <v/>
      </c>
      <c r="D751" s="68" t="str">
        <f t="shared" si="2"/>
        <v/>
      </c>
      <c r="E751" s="65" t="str">
        <f>IF($B751="","",VLOOKUP(MONTH(C751),Parameters!$F$2:$G$13,2,0))</f>
        <v/>
      </c>
      <c r="F751" s="69" t="str">
        <f>IF($B751="","",PV-N(J750))</f>
        <v/>
      </c>
      <c r="G751" s="69" t="str">
        <f>IF($B751="","",PMT(Rate,Nper,-PV,,Type))</f>
        <v/>
      </c>
      <c r="H751" s="69" t="str">
        <f>IF($B751="","",PPMT(Rate,ROWS($1:739),Nper,-PV,,Type))</f>
        <v/>
      </c>
      <c r="I751" s="69" t="str">
        <f>IF($B751="","",IPMT(Rate,ROWS($1:739),Nper,-PV,,Type))</f>
        <v/>
      </c>
      <c r="J751" s="73" t="str">
        <f t="shared" ref="J751:K751" si="741">IF($B751="","",N(J750)+N(H751))</f>
        <v/>
      </c>
      <c r="K751" s="74" t="str">
        <f t="shared" si="741"/>
        <v/>
      </c>
      <c r="L751" s="69" t="str">
        <f>IF($B751="","",PV-J751)</f>
        <v/>
      </c>
      <c r="M751" s="71" t="str">
        <f>IF($B751="","",J751/PV)</f>
        <v/>
      </c>
      <c r="N751" s="72" t="str">
        <f t="shared" si="4"/>
        <v/>
      </c>
    </row>
    <row r="752" ht="14.25" customHeight="1">
      <c r="B752" s="66" t="str">
        <f>IF(ROWS($1:740)&lt;=Nper,ROWS($1:740),"")</f>
        <v/>
      </c>
      <c r="C752" s="67" t="str">
        <f>IF($B752="","",IF($E$7="Weekly",Start_Date+7*(ROWS($1:740)-1),EDATE(Start_Date,VLOOKUP(IF(ASTemp!$E$7="","Monthly",ASTemp!$E$7),Parameters!$B$3:$D$6,3,0)*(ROWS($1:740)-1))))</f>
        <v/>
      </c>
      <c r="D752" s="68" t="str">
        <f t="shared" si="2"/>
        <v/>
      </c>
      <c r="E752" s="65" t="str">
        <f>IF($B752="","",VLOOKUP(MONTH(C752),Parameters!$F$2:$G$13,2,0))</f>
        <v/>
      </c>
      <c r="F752" s="69" t="str">
        <f>IF($B752="","",PV-N(J751))</f>
        <v/>
      </c>
      <c r="G752" s="69" t="str">
        <f>IF($B752="","",PMT(Rate,Nper,-PV,,Type))</f>
        <v/>
      </c>
      <c r="H752" s="69" t="str">
        <f>IF($B752="","",PPMT(Rate,ROWS($1:740),Nper,-PV,,Type))</f>
        <v/>
      </c>
      <c r="I752" s="69" t="str">
        <f>IF($B752="","",IPMT(Rate,ROWS($1:740),Nper,-PV,,Type))</f>
        <v/>
      </c>
      <c r="J752" s="73" t="str">
        <f t="shared" ref="J752:K752" si="742">IF($B752="","",N(J751)+N(H752))</f>
        <v/>
      </c>
      <c r="K752" s="74" t="str">
        <f t="shared" si="742"/>
        <v/>
      </c>
      <c r="L752" s="69" t="str">
        <f>IF($B752="","",PV-J752)</f>
        <v/>
      </c>
      <c r="M752" s="71" t="str">
        <f>IF($B752="","",J752/PV)</f>
        <v/>
      </c>
      <c r="N752" s="72" t="str">
        <f t="shared" si="4"/>
        <v/>
      </c>
    </row>
    <row r="753" ht="14.25" customHeight="1">
      <c r="B753" s="66" t="str">
        <f>IF(ROWS($1:741)&lt;=Nper,ROWS($1:741),"")</f>
        <v/>
      </c>
      <c r="C753" s="67" t="str">
        <f>IF($B753="","",IF($E$7="Weekly",Start_Date+7*(ROWS($1:741)-1),EDATE(Start_Date,VLOOKUP(IF(ASTemp!$E$7="","Monthly",ASTemp!$E$7),Parameters!$B$3:$D$6,3,0)*(ROWS($1:741)-1))))</f>
        <v/>
      </c>
      <c r="D753" s="68" t="str">
        <f t="shared" si="2"/>
        <v/>
      </c>
      <c r="E753" s="65" t="str">
        <f>IF($B753="","",VLOOKUP(MONTH(C753),Parameters!$F$2:$G$13,2,0))</f>
        <v/>
      </c>
      <c r="F753" s="69" t="str">
        <f>IF($B753="","",PV-N(J752))</f>
        <v/>
      </c>
      <c r="G753" s="69" t="str">
        <f>IF($B753="","",PMT(Rate,Nper,-PV,,Type))</f>
        <v/>
      </c>
      <c r="H753" s="69" t="str">
        <f>IF($B753="","",PPMT(Rate,ROWS($1:741),Nper,-PV,,Type))</f>
        <v/>
      </c>
      <c r="I753" s="69" t="str">
        <f>IF($B753="","",IPMT(Rate,ROWS($1:741),Nper,-PV,,Type))</f>
        <v/>
      </c>
      <c r="J753" s="73" t="str">
        <f t="shared" ref="J753:K753" si="743">IF($B753="","",N(J752)+N(H753))</f>
        <v/>
      </c>
      <c r="K753" s="74" t="str">
        <f t="shared" si="743"/>
        <v/>
      </c>
      <c r="L753" s="69" t="str">
        <f>IF($B753="","",PV-J753)</f>
        <v/>
      </c>
      <c r="M753" s="71" t="str">
        <f>IF($B753="","",J753/PV)</f>
        <v/>
      </c>
      <c r="N753" s="72" t="str">
        <f t="shared" si="4"/>
        <v/>
      </c>
    </row>
    <row r="754" ht="14.25" customHeight="1">
      <c r="B754" s="66" t="str">
        <f>IF(ROWS($1:742)&lt;=Nper,ROWS($1:742),"")</f>
        <v/>
      </c>
      <c r="C754" s="67" t="str">
        <f>IF($B754="","",IF($E$7="Weekly",Start_Date+7*(ROWS($1:742)-1),EDATE(Start_Date,VLOOKUP(IF(ASTemp!$E$7="","Monthly",ASTemp!$E$7),Parameters!$B$3:$D$6,3,0)*(ROWS($1:742)-1))))</f>
        <v/>
      </c>
      <c r="D754" s="68" t="str">
        <f t="shared" si="2"/>
        <v/>
      </c>
      <c r="E754" s="65" t="str">
        <f>IF($B754="","",VLOOKUP(MONTH(C754),Parameters!$F$2:$G$13,2,0))</f>
        <v/>
      </c>
      <c r="F754" s="69" t="str">
        <f>IF($B754="","",PV-N(J753))</f>
        <v/>
      </c>
      <c r="G754" s="69" t="str">
        <f>IF($B754="","",PMT(Rate,Nper,-PV,,Type))</f>
        <v/>
      </c>
      <c r="H754" s="69" t="str">
        <f>IF($B754="","",PPMT(Rate,ROWS($1:742),Nper,-PV,,Type))</f>
        <v/>
      </c>
      <c r="I754" s="69" t="str">
        <f>IF($B754="","",IPMT(Rate,ROWS($1:742),Nper,-PV,,Type))</f>
        <v/>
      </c>
      <c r="J754" s="73" t="str">
        <f t="shared" ref="J754:K754" si="744">IF($B754="","",N(J753)+N(H754))</f>
        <v/>
      </c>
      <c r="K754" s="74" t="str">
        <f t="shared" si="744"/>
        <v/>
      </c>
      <c r="L754" s="69" t="str">
        <f>IF($B754="","",PV-J754)</f>
        <v/>
      </c>
      <c r="M754" s="71" t="str">
        <f>IF($B754="","",J754/PV)</f>
        <v/>
      </c>
      <c r="N754" s="72" t="str">
        <f t="shared" si="4"/>
        <v/>
      </c>
    </row>
    <row r="755" ht="14.25" customHeight="1">
      <c r="B755" s="66" t="str">
        <f>IF(ROWS($1:743)&lt;=Nper,ROWS($1:743),"")</f>
        <v/>
      </c>
      <c r="C755" s="67" t="str">
        <f>IF($B755="","",IF($E$7="Weekly",Start_Date+7*(ROWS($1:743)-1),EDATE(Start_Date,VLOOKUP(IF(ASTemp!$E$7="","Monthly",ASTemp!$E$7),Parameters!$B$3:$D$6,3,0)*(ROWS($1:743)-1))))</f>
        <v/>
      </c>
      <c r="D755" s="68" t="str">
        <f t="shared" si="2"/>
        <v/>
      </c>
      <c r="E755" s="65" t="str">
        <f>IF($B755="","",VLOOKUP(MONTH(C755),Parameters!$F$2:$G$13,2,0))</f>
        <v/>
      </c>
      <c r="F755" s="69" t="str">
        <f>IF($B755="","",PV-N(J754))</f>
        <v/>
      </c>
      <c r="G755" s="69" t="str">
        <f>IF($B755="","",PMT(Rate,Nper,-PV,,Type))</f>
        <v/>
      </c>
      <c r="H755" s="69" t="str">
        <f>IF($B755="","",PPMT(Rate,ROWS($1:743),Nper,-PV,,Type))</f>
        <v/>
      </c>
      <c r="I755" s="69" t="str">
        <f>IF($B755="","",IPMT(Rate,ROWS($1:743),Nper,-PV,,Type))</f>
        <v/>
      </c>
      <c r="J755" s="73" t="str">
        <f t="shared" ref="J755:K755" si="745">IF($B755="","",N(J754)+N(H755))</f>
        <v/>
      </c>
      <c r="K755" s="74" t="str">
        <f t="shared" si="745"/>
        <v/>
      </c>
      <c r="L755" s="69" t="str">
        <f>IF($B755="","",PV-J755)</f>
        <v/>
      </c>
      <c r="M755" s="71" t="str">
        <f>IF($B755="","",J755/PV)</f>
        <v/>
      </c>
      <c r="N755" s="72" t="str">
        <f t="shared" si="4"/>
        <v/>
      </c>
    </row>
    <row r="756" ht="14.25" customHeight="1">
      <c r="B756" s="66" t="str">
        <f>IF(ROWS($1:744)&lt;=Nper,ROWS($1:744),"")</f>
        <v/>
      </c>
      <c r="C756" s="67" t="str">
        <f>IF($B756="","",IF($E$7="Weekly",Start_Date+7*(ROWS($1:744)-1),EDATE(Start_Date,VLOOKUP(IF(ASTemp!$E$7="","Monthly",ASTemp!$E$7),Parameters!$B$3:$D$6,3,0)*(ROWS($1:744)-1))))</f>
        <v/>
      </c>
      <c r="D756" s="68" t="str">
        <f t="shared" si="2"/>
        <v/>
      </c>
      <c r="E756" s="65" t="str">
        <f>IF($B756="","",VLOOKUP(MONTH(C756),Parameters!$F$2:$G$13,2,0))</f>
        <v/>
      </c>
      <c r="F756" s="69" t="str">
        <f>IF($B756="","",PV-N(J755))</f>
        <v/>
      </c>
      <c r="G756" s="69" t="str">
        <f>IF($B756="","",PMT(Rate,Nper,-PV,,Type))</f>
        <v/>
      </c>
      <c r="H756" s="69" t="str">
        <f>IF($B756="","",PPMT(Rate,ROWS($1:744),Nper,-PV,,Type))</f>
        <v/>
      </c>
      <c r="I756" s="69" t="str">
        <f>IF($B756="","",IPMT(Rate,ROWS($1:744),Nper,-PV,,Type))</f>
        <v/>
      </c>
      <c r="J756" s="73" t="str">
        <f t="shared" ref="J756:K756" si="746">IF($B756="","",N(J755)+N(H756))</f>
        <v/>
      </c>
      <c r="K756" s="74" t="str">
        <f t="shared" si="746"/>
        <v/>
      </c>
      <c r="L756" s="69" t="str">
        <f>IF($B756="","",PV-J756)</f>
        <v/>
      </c>
      <c r="M756" s="71" t="str">
        <f>IF($B756="","",J756/PV)</f>
        <v/>
      </c>
      <c r="N756" s="72" t="str">
        <f t="shared" si="4"/>
        <v/>
      </c>
    </row>
    <row r="757" ht="14.25" customHeight="1">
      <c r="B757" s="66" t="str">
        <f>IF(ROWS($1:745)&lt;=Nper,ROWS($1:745),"")</f>
        <v/>
      </c>
      <c r="C757" s="67" t="str">
        <f>IF($B757="","",IF($E$7="Weekly",Start_Date+7*(ROWS($1:745)-1),EDATE(Start_Date,VLOOKUP(IF(ASTemp!$E$7="","Monthly",ASTemp!$E$7),Parameters!$B$3:$D$6,3,0)*(ROWS($1:745)-1))))</f>
        <v/>
      </c>
      <c r="D757" s="68" t="str">
        <f t="shared" si="2"/>
        <v/>
      </c>
      <c r="E757" s="65" t="str">
        <f>IF($B757="","",VLOOKUP(MONTH(C757),Parameters!$F$2:$G$13,2,0))</f>
        <v/>
      </c>
      <c r="F757" s="69" t="str">
        <f>IF($B757="","",PV-N(J756))</f>
        <v/>
      </c>
      <c r="G757" s="69" t="str">
        <f>IF($B757="","",PMT(Rate,Nper,-PV,,Type))</f>
        <v/>
      </c>
      <c r="H757" s="69" t="str">
        <f>IF($B757="","",PPMT(Rate,ROWS($1:745),Nper,-PV,,Type))</f>
        <v/>
      </c>
      <c r="I757" s="69" t="str">
        <f>IF($B757="","",IPMT(Rate,ROWS($1:745),Nper,-PV,,Type))</f>
        <v/>
      </c>
      <c r="J757" s="73" t="str">
        <f t="shared" ref="J757:K757" si="747">IF($B757="","",N(J756)+N(H757))</f>
        <v/>
      </c>
      <c r="K757" s="74" t="str">
        <f t="shared" si="747"/>
        <v/>
      </c>
      <c r="L757" s="69" t="str">
        <f>IF($B757="","",PV-J757)</f>
        <v/>
      </c>
      <c r="M757" s="71" t="str">
        <f>IF($B757="","",J757/PV)</f>
        <v/>
      </c>
      <c r="N757" s="72" t="str">
        <f t="shared" si="4"/>
        <v/>
      </c>
    </row>
    <row r="758" ht="14.25" customHeight="1">
      <c r="B758" s="66" t="str">
        <f>IF(ROWS($1:746)&lt;=Nper,ROWS($1:746),"")</f>
        <v/>
      </c>
      <c r="C758" s="67" t="str">
        <f>IF($B758="","",IF($E$7="Weekly",Start_Date+7*(ROWS($1:746)-1),EDATE(Start_Date,VLOOKUP(IF(ASTemp!$E$7="","Monthly",ASTemp!$E$7),Parameters!$B$3:$D$6,3,0)*(ROWS($1:746)-1))))</f>
        <v/>
      </c>
      <c r="D758" s="68" t="str">
        <f t="shared" si="2"/>
        <v/>
      </c>
      <c r="E758" s="65" t="str">
        <f>IF($B758="","",VLOOKUP(MONTH(C758),Parameters!$F$2:$G$13,2,0))</f>
        <v/>
      </c>
      <c r="F758" s="69" t="str">
        <f>IF($B758="","",PV-N(J757))</f>
        <v/>
      </c>
      <c r="G758" s="69" t="str">
        <f>IF($B758="","",PMT(Rate,Nper,-PV,,Type))</f>
        <v/>
      </c>
      <c r="H758" s="69" t="str">
        <f>IF($B758="","",PPMT(Rate,ROWS($1:746),Nper,-PV,,Type))</f>
        <v/>
      </c>
      <c r="I758" s="69" t="str">
        <f>IF($B758="","",IPMT(Rate,ROWS($1:746),Nper,-PV,,Type))</f>
        <v/>
      </c>
      <c r="J758" s="73" t="str">
        <f t="shared" ref="J758:K758" si="748">IF($B758="","",N(J757)+N(H758))</f>
        <v/>
      </c>
      <c r="K758" s="74" t="str">
        <f t="shared" si="748"/>
        <v/>
      </c>
      <c r="L758" s="69" t="str">
        <f>IF($B758="","",PV-J758)</f>
        <v/>
      </c>
      <c r="M758" s="71" t="str">
        <f>IF($B758="","",J758/PV)</f>
        <v/>
      </c>
      <c r="N758" s="72" t="str">
        <f t="shared" si="4"/>
        <v/>
      </c>
    </row>
    <row r="759" ht="14.25" customHeight="1">
      <c r="B759" s="66" t="str">
        <f>IF(ROWS($1:747)&lt;=Nper,ROWS($1:747),"")</f>
        <v/>
      </c>
      <c r="C759" s="67" t="str">
        <f>IF($B759="","",IF($E$7="Weekly",Start_Date+7*(ROWS($1:747)-1),EDATE(Start_Date,VLOOKUP(IF(ASTemp!$E$7="","Monthly",ASTemp!$E$7),Parameters!$B$3:$D$6,3,0)*(ROWS($1:747)-1))))</f>
        <v/>
      </c>
      <c r="D759" s="68" t="str">
        <f t="shared" si="2"/>
        <v/>
      </c>
      <c r="E759" s="65" t="str">
        <f>IF($B759="","",VLOOKUP(MONTH(C759),Parameters!$F$2:$G$13,2,0))</f>
        <v/>
      </c>
      <c r="F759" s="69" t="str">
        <f>IF($B759="","",PV-N(J758))</f>
        <v/>
      </c>
      <c r="G759" s="69" t="str">
        <f>IF($B759="","",PMT(Rate,Nper,-PV,,Type))</f>
        <v/>
      </c>
      <c r="H759" s="69" t="str">
        <f>IF($B759="","",PPMT(Rate,ROWS($1:747),Nper,-PV,,Type))</f>
        <v/>
      </c>
      <c r="I759" s="69" t="str">
        <f>IF($B759="","",IPMT(Rate,ROWS($1:747),Nper,-PV,,Type))</f>
        <v/>
      </c>
      <c r="J759" s="73" t="str">
        <f t="shared" ref="J759:K759" si="749">IF($B759="","",N(J758)+N(H759))</f>
        <v/>
      </c>
      <c r="K759" s="74" t="str">
        <f t="shared" si="749"/>
        <v/>
      </c>
      <c r="L759" s="69" t="str">
        <f>IF($B759="","",PV-J759)</f>
        <v/>
      </c>
      <c r="M759" s="71" t="str">
        <f>IF($B759="","",J759/PV)</f>
        <v/>
      </c>
      <c r="N759" s="72" t="str">
        <f t="shared" si="4"/>
        <v/>
      </c>
    </row>
    <row r="760" ht="14.25" customHeight="1">
      <c r="B760" s="66" t="str">
        <f>IF(ROWS($1:748)&lt;=Nper,ROWS($1:748),"")</f>
        <v/>
      </c>
      <c r="C760" s="67" t="str">
        <f>IF($B760="","",IF($E$7="Weekly",Start_Date+7*(ROWS($1:748)-1),EDATE(Start_Date,VLOOKUP(IF(ASTemp!$E$7="","Monthly",ASTemp!$E$7),Parameters!$B$3:$D$6,3,0)*(ROWS($1:748)-1))))</f>
        <v/>
      </c>
      <c r="D760" s="68" t="str">
        <f t="shared" si="2"/>
        <v/>
      </c>
      <c r="E760" s="65" t="str">
        <f>IF($B760="","",VLOOKUP(MONTH(C760),Parameters!$F$2:$G$13,2,0))</f>
        <v/>
      </c>
      <c r="F760" s="69" t="str">
        <f>IF($B760="","",PV-N(J759))</f>
        <v/>
      </c>
      <c r="G760" s="69" t="str">
        <f>IF($B760="","",PMT(Rate,Nper,-PV,,Type))</f>
        <v/>
      </c>
      <c r="H760" s="69" t="str">
        <f>IF($B760="","",PPMT(Rate,ROWS($1:748),Nper,-PV,,Type))</f>
        <v/>
      </c>
      <c r="I760" s="69" t="str">
        <f>IF($B760="","",IPMT(Rate,ROWS($1:748),Nper,-PV,,Type))</f>
        <v/>
      </c>
      <c r="J760" s="73" t="str">
        <f t="shared" ref="J760:K760" si="750">IF($B760="","",N(J759)+N(H760))</f>
        <v/>
      </c>
      <c r="K760" s="74" t="str">
        <f t="shared" si="750"/>
        <v/>
      </c>
      <c r="L760" s="69" t="str">
        <f>IF($B760="","",PV-J760)</f>
        <v/>
      </c>
      <c r="M760" s="71" t="str">
        <f>IF($B760="","",J760/PV)</f>
        <v/>
      </c>
      <c r="N760" s="72" t="str">
        <f t="shared" si="4"/>
        <v/>
      </c>
    </row>
    <row r="761" ht="14.25" customHeight="1">
      <c r="B761" s="66" t="str">
        <f>IF(ROWS($1:749)&lt;=Nper,ROWS($1:749),"")</f>
        <v/>
      </c>
      <c r="C761" s="67" t="str">
        <f>IF($B761="","",IF($E$7="Weekly",Start_Date+7*(ROWS($1:749)-1),EDATE(Start_Date,VLOOKUP(IF(ASTemp!$E$7="","Monthly",ASTemp!$E$7),Parameters!$B$3:$D$6,3,0)*(ROWS($1:749)-1))))</f>
        <v/>
      </c>
      <c r="D761" s="68" t="str">
        <f t="shared" si="2"/>
        <v/>
      </c>
      <c r="E761" s="65" t="str">
        <f>IF($B761="","",VLOOKUP(MONTH(C761),Parameters!$F$2:$G$13,2,0))</f>
        <v/>
      </c>
      <c r="F761" s="69" t="str">
        <f>IF($B761="","",PV-N(J760))</f>
        <v/>
      </c>
      <c r="G761" s="69" t="str">
        <f>IF($B761="","",PMT(Rate,Nper,-PV,,Type))</f>
        <v/>
      </c>
      <c r="H761" s="69" t="str">
        <f>IF($B761="","",PPMT(Rate,ROWS($1:749),Nper,-PV,,Type))</f>
        <v/>
      </c>
      <c r="I761" s="69" t="str">
        <f>IF($B761="","",IPMT(Rate,ROWS($1:749),Nper,-PV,,Type))</f>
        <v/>
      </c>
      <c r="J761" s="73" t="str">
        <f t="shared" ref="J761:K761" si="751">IF($B761="","",N(J760)+N(H761))</f>
        <v/>
      </c>
      <c r="K761" s="74" t="str">
        <f t="shared" si="751"/>
        <v/>
      </c>
      <c r="L761" s="69" t="str">
        <f>IF($B761="","",PV-J761)</f>
        <v/>
      </c>
      <c r="M761" s="71" t="str">
        <f>IF($B761="","",J761/PV)</f>
        <v/>
      </c>
      <c r="N761" s="72" t="str">
        <f t="shared" si="4"/>
        <v/>
      </c>
    </row>
    <row r="762" ht="14.25" customHeight="1">
      <c r="B762" s="66" t="str">
        <f>IF(ROWS($1:750)&lt;=Nper,ROWS($1:750),"")</f>
        <v/>
      </c>
      <c r="C762" s="67" t="str">
        <f>IF($B762="","",IF($E$7="Weekly",Start_Date+7*(ROWS($1:750)-1),EDATE(Start_Date,VLOOKUP(IF(ASTemp!$E$7="","Monthly",ASTemp!$E$7),Parameters!$B$3:$D$6,3,0)*(ROWS($1:750)-1))))</f>
        <v/>
      </c>
      <c r="D762" s="68" t="str">
        <f t="shared" si="2"/>
        <v/>
      </c>
      <c r="E762" s="65" t="str">
        <f>IF($B762="","",VLOOKUP(MONTH(C762),Parameters!$F$2:$G$13,2,0))</f>
        <v/>
      </c>
      <c r="F762" s="69" t="str">
        <f>IF($B762="","",PV-N(J761))</f>
        <v/>
      </c>
      <c r="G762" s="69" t="str">
        <f>IF($B762="","",PMT(Rate,Nper,-PV,,Type))</f>
        <v/>
      </c>
      <c r="H762" s="69" t="str">
        <f>IF($B762="","",PPMT(Rate,ROWS($1:750),Nper,-PV,,Type))</f>
        <v/>
      </c>
      <c r="I762" s="69" t="str">
        <f>IF($B762="","",IPMT(Rate,ROWS($1:750),Nper,-PV,,Type))</f>
        <v/>
      </c>
      <c r="J762" s="73" t="str">
        <f t="shared" ref="J762:K762" si="752">IF($B762="","",N(J761)+N(H762))</f>
        <v/>
      </c>
      <c r="K762" s="74" t="str">
        <f t="shared" si="752"/>
        <v/>
      </c>
      <c r="L762" s="69" t="str">
        <f>IF($B762="","",PV-J762)</f>
        <v/>
      </c>
      <c r="M762" s="71" t="str">
        <f>IF($B762="","",J762/PV)</f>
        <v/>
      </c>
      <c r="N762" s="72" t="str">
        <f t="shared" si="4"/>
        <v/>
      </c>
    </row>
    <row r="763" ht="14.25" customHeight="1">
      <c r="B763" s="66" t="str">
        <f>IF(ROWS($1:751)&lt;=Nper,ROWS($1:751),"")</f>
        <v/>
      </c>
      <c r="C763" s="67" t="str">
        <f>IF($B763="","",IF($E$7="Weekly",Start_Date+7*(ROWS($1:751)-1),EDATE(Start_Date,VLOOKUP(IF(ASTemp!$E$7="","Monthly",ASTemp!$E$7),Parameters!$B$3:$D$6,3,0)*(ROWS($1:751)-1))))</f>
        <v/>
      </c>
      <c r="D763" s="68" t="str">
        <f t="shared" si="2"/>
        <v/>
      </c>
      <c r="E763" s="65" t="str">
        <f>IF($B763="","",VLOOKUP(MONTH(C763),Parameters!$F$2:$G$13,2,0))</f>
        <v/>
      </c>
      <c r="F763" s="69" t="str">
        <f>IF($B763="","",PV-N(J762))</f>
        <v/>
      </c>
      <c r="G763" s="69" t="str">
        <f>IF($B763="","",PMT(Rate,Nper,-PV,,Type))</f>
        <v/>
      </c>
      <c r="H763" s="69" t="str">
        <f>IF($B763="","",PPMT(Rate,ROWS($1:751),Nper,-PV,,Type))</f>
        <v/>
      </c>
      <c r="I763" s="69" t="str">
        <f>IF($B763="","",IPMT(Rate,ROWS($1:751),Nper,-PV,,Type))</f>
        <v/>
      </c>
      <c r="J763" s="73" t="str">
        <f t="shared" ref="J763:K763" si="753">IF($B763="","",N(J762)+N(H763))</f>
        <v/>
      </c>
      <c r="K763" s="74" t="str">
        <f t="shared" si="753"/>
        <v/>
      </c>
      <c r="L763" s="69" t="str">
        <f>IF($B763="","",PV-J763)</f>
        <v/>
      </c>
      <c r="M763" s="71" t="str">
        <f>IF($B763="","",J763/PV)</f>
        <v/>
      </c>
      <c r="N763" s="72" t="str">
        <f t="shared" si="4"/>
        <v/>
      </c>
    </row>
    <row r="764" ht="14.25" customHeight="1">
      <c r="B764" s="66" t="str">
        <f>IF(ROWS($1:752)&lt;=Nper,ROWS($1:752),"")</f>
        <v/>
      </c>
      <c r="C764" s="67" t="str">
        <f>IF($B764="","",IF($E$7="Weekly",Start_Date+7*(ROWS($1:752)-1),EDATE(Start_Date,VLOOKUP(IF(ASTemp!$E$7="","Monthly",ASTemp!$E$7),Parameters!$B$3:$D$6,3,0)*(ROWS($1:752)-1))))</f>
        <v/>
      </c>
      <c r="D764" s="68" t="str">
        <f t="shared" si="2"/>
        <v/>
      </c>
      <c r="E764" s="65" t="str">
        <f>IF($B764="","",VLOOKUP(MONTH(C764),Parameters!$F$2:$G$13,2,0))</f>
        <v/>
      </c>
      <c r="F764" s="69" t="str">
        <f>IF($B764="","",PV-N(J763))</f>
        <v/>
      </c>
      <c r="G764" s="69" t="str">
        <f>IF($B764="","",PMT(Rate,Nper,-PV,,Type))</f>
        <v/>
      </c>
      <c r="H764" s="69" t="str">
        <f>IF($B764="","",PPMT(Rate,ROWS($1:752),Nper,-PV,,Type))</f>
        <v/>
      </c>
      <c r="I764" s="69" t="str">
        <f>IF($B764="","",IPMT(Rate,ROWS($1:752),Nper,-PV,,Type))</f>
        <v/>
      </c>
      <c r="J764" s="73" t="str">
        <f t="shared" ref="J764:K764" si="754">IF($B764="","",N(J763)+N(H764))</f>
        <v/>
      </c>
      <c r="K764" s="74" t="str">
        <f t="shared" si="754"/>
        <v/>
      </c>
      <c r="L764" s="69" t="str">
        <f>IF($B764="","",PV-J764)</f>
        <v/>
      </c>
      <c r="M764" s="71" t="str">
        <f>IF($B764="","",J764/PV)</f>
        <v/>
      </c>
      <c r="N764" s="72" t="str">
        <f t="shared" si="4"/>
        <v/>
      </c>
    </row>
    <row r="765" ht="14.25" customHeight="1">
      <c r="B765" s="66" t="str">
        <f>IF(ROWS($1:753)&lt;=Nper,ROWS($1:753),"")</f>
        <v/>
      </c>
      <c r="C765" s="67" t="str">
        <f>IF($B765="","",IF($E$7="Weekly",Start_Date+7*(ROWS($1:753)-1),EDATE(Start_Date,VLOOKUP(IF(ASTemp!$E$7="","Monthly",ASTemp!$E$7),Parameters!$B$3:$D$6,3,0)*(ROWS($1:753)-1))))</f>
        <v/>
      </c>
      <c r="D765" s="68" t="str">
        <f t="shared" si="2"/>
        <v/>
      </c>
      <c r="E765" s="65" t="str">
        <f>IF($B765="","",VLOOKUP(MONTH(C765),Parameters!$F$2:$G$13,2,0))</f>
        <v/>
      </c>
      <c r="F765" s="69" t="str">
        <f>IF($B765="","",PV-N(J764))</f>
        <v/>
      </c>
      <c r="G765" s="69" t="str">
        <f>IF($B765="","",PMT(Rate,Nper,-PV,,Type))</f>
        <v/>
      </c>
      <c r="H765" s="69" t="str">
        <f>IF($B765="","",PPMT(Rate,ROWS($1:753),Nper,-PV,,Type))</f>
        <v/>
      </c>
      <c r="I765" s="69" t="str">
        <f>IF($B765="","",IPMT(Rate,ROWS($1:753),Nper,-PV,,Type))</f>
        <v/>
      </c>
      <c r="J765" s="73" t="str">
        <f t="shared" ref="J765:K765" si="755">IF($B765="","",N(J764)+N(H765))</f>
        <v/>
      </c>
      <c r="K765" s="74" t="str">
        <f t="shared" si="755"/>
        <v/>
      </c>
      <c r="L765" s="69" t="str">
        <f>IF($B765="","",PV-J765)</f>
        <v/>
      </c>
      <c r="M765" s="71" t="str">
        <f>IF($B765="","",J765/PV)</f>
        <v/>
      </c>
      <c r="N765" s="72" t="str">
        <f t="shared" si="4"/>
        <v/>
      </c>
    </row>
    <row r="766" ht="14.25" customHeight="1">
      <c r="B766" s="66" t="str">
        <f>IF(ROWS($1:754)&lt;=Nper,ROWS($1:754),"")</f>
        <v/>
      </c>
      <c r="C766" s="67" t="str">
        <f>IF($B766="","",IF($E$7="Weekly",Start_Date+7*(ROWS($1:754)-1),EDATE(Start_Date,VLOOKUP(IF(ASTemp!$E$7="","Monthly",ASTemp!$E$7),Parameters!$B$3:$D$6,3,0)*(ROWS($1:754)-1))))</f>
        <v/>
      </c>
      <c r="D766" s="68" t="str">
        <f t="shared" si="2"/>
        <v/>
      </c>
      <c r="E766" s="65" t="str">
        <f>IF($B766="","",VLOOKUP(MONTH(C766),Parameters!$F$2:$G$13,2,0))</f>
        <v/>
      </c>
      <c r="F766" s="69" t="str">
        <f>IF($B766="","",PV-N(J765))</f>
        <v/>
      </c>
      <c r="G766" s="69" t="str">
        <f>IF($B766="","",PMT(Rate,Nper,-PV,,Type))</f>
        <v/>
      </c>
      <c r="H766" s="69" t="str">
        <f>IF($B766="","",PPMT(Rate,ROWS($1:754),Nper,-PV,,Type))</f>
        <v/>
      </c>
      <c r="I766" s="69" t="str">
        <f>IF($B766="","",IPMT(Rate,ROWS($1:754),Nper,-PV,,Type))</f>
        <v/>
      </c>
      <c r="J766" s="73" t="str">
        <f t="shared" ref="J766:K766" si="756">IF($B766="","",N(J765)+N(H766))</f>
        <v/>
      </c>
      <c r="K766" s="74" t="str">
        <f t="shared" si="756"/>
        <v/>
      </c>
      <c r="L766" s="69" t="str">
        <f>IF($B766="","",PV-J766)</f>
        <v/>
      </c>
      <c r="M766" s="71" t="str">
        <f>IF($B766="","",J766/PV)</f>
        <v/>
      </c>
      <c r="N766" s="72" t="str">
        <f t="shared" si="4"/>
        <v/>
      </c>
    </row>
    <row r="767" ht="14.25" customHeight="1">
      <c r="B767" s="66" t="str">
        <f>IF(ROWS($1:755)&lt;=Nper,ROWS($1:755),"")</f>
        <v/>
      </c>
      <c r="C767" s="67" t="str">
        <f>IF($B767="","",IF($E$7="Weekly",Start_Date+7*(ROWS($1:755)-1),EDATE(Start_Date,VLOOKUP(IF(ASTemp!$E$7="","Monthly",ASTemp!$E$7),Parameters!$B$3:$D$6,3,0)*(ROWS($1:755)-1))))</f>
        <v/>
      </c>
      <c r="D767" s="68" t="str">
        <f t="shared" si="2"/>
        <v/>
      </c>
      <c r="E767" s="65" t="str">
        <f>IF($B767="","",VLOOKUP(MONTH(C767),Parameters!$F$2:$G$13,2,0))</f>
        <v/>
      </c>
      <c r="F767" s="69" t="str">
        <f>IF($B767="","",PV-N(J766))</f>
        <v/>
      </c>
      <c r="G767" s="69" t="str">
        <f>IF($B767="","",PMT(Rate,Nper,-PV,,Type))</f>
        <v/>
      </c>
      <c r="H767" s="69" t="str">
        <f>IF($B767="","",PPMT(Rate,ROWS($1:755),Nper,-PV,,Type))</f>
        <v/>
      </c>
      <c r="I767" s="69" t="str">
        <f>IF($B767="","",IPMT(Rate,ROWS($1:755),Nper,-PV,,Type))</f>
        <v/>
      </c>
      <c r="J767" s="73" t="str">
        <f t="shared" ref="J767:K767" si="757">IF($B767="","",N(J766)+N(H767))</f>
        <v/>
      </c>
      <c r="K767" s="74" t="str">
        <f t="shared" si="757"/>
        <v/>
      </c>
      <c r="L767" s="69" t="str">
        <f>IF($B767="","",PV-J767)</f>
        <v/>
      </c>
      <c r="M767" s="71" t="str">
        <f>IF($B767="","",J767/PV)</f>
        <v/>
      </c>
      <c r="N767" s="72" t="str">
        <f t="shared" si="4"/>
        <v/>
      </c>
    </row>
    <row r="768" ht="14.25" customHeight="1">
      <c r="B768" s="66" t="str">
        <f>IF(ROWS($1:756)&lt;=Nper,ROWS($1:756),"")</f>
        <v/>
      </c>
      <c r="C768" s="67" t="str">
        <f>IF($B768="","",IF($E$7="Weekly",Start_Date+7*(ROWS($1:756)-1),EDATE(Start_Date,VLOOKUP(IF(ASTemp!$E$7="","Monthly",ASTemp!$E$7),Parameters!$B$3:$D$6,3,0)*(ROWS($1:756)-1))))</f>
        <v/>
      </c>
      <c r="D768" s="68" t="str">
        <f t="shared" si="2"/>
        <v/>
      </c>
      <c r="E768" s="65" t="str">
        <f>IF($B768="","",VLOOKUP(MONTH(C768),Parameters!$F$2:$G$13,2,0))</f>
        <v/>
      </c>
      <c r="F768" s="69" t="str">
        <f>IF($B768="","",PV-N(J767))</f>
        <v/>
      </c>
      <c r="G768" s="69" t="str">
        <f>IF($B768="","",PMT(Rate,Nper,-PV,,Type))</f>
        <v/>
      </c>
      <c r="H768" s="69" t="str">
        <f>IF($B768="","",PPMT(Rate,ROWS($1:756),Nper,-PV,,Type))</f>
        <v/>
      </c>
      <c r="I768" s="69" t="str">
        <f>IF($B768="","",IPMT(Rate,ROWS($1:756),Nper,-PV,,Type))</f>
        <v/>
      </c>
      <c r="J768" s="73" t="str">
        <f t="shared" ref="J768:K768" si="758">IF($B768="","",N(J767)+N(H768))</f>
        <v/>
      </c>
      <c r="K768" s="74" t="str">
        <f t="shared" si="758"/>
        <v/>
      </c>
      <c r="L768" s="69" t="str">
        <f>IF($B768="","",PV-J768)</f>
        <v/>
      </c>
      <c r="M768" s="71" t="str">
        <f>IF($B768="","",J768/PV)</f>
        <v/>
      </c>
      <c r="N768" s="72" t="str">
        <f t="shared" si="4"/>
        <v/>
      </c>
    </row>
    <row r="769" ht="14.25" customHeight="1">
      <c r="B769" s="66" t="str">
        <f>IF(ROWS($1:757)&lt;=Nper,ROWS($1:757),"")</f>
        <v/>
      </c>
      <c r="C769" s="67" t="str">
        <f>IF($B769="","",IF($E$7="Weekly",Start_Date+7*(ROWS($1:757)-1),EDATE(Start_Date,VLOOKUP(IF(ASTemp!$E$7="","Monthly",ASTemp!$E$7),Parameters!$B$3:$D$6,3,0)*(ROWS($1:757)-1))))</f>
        <v/>
      </c>
      <c r="D769" s="68" t="str">
        <f t="shared" si="2"/>
        <v/>
      </c>
      <c r="E769" s="65" t="str">
        <f>IF($B769="","",VLOOKUP(MONTH(C769),Parameters!$F$2:$G$13,2,0))</f>
        <v/>
      </c>
      <c r="F769" s="69" t="str">
        <f>IF($B769="","",PV-N(J768))</f>
        <v/>
      </c>
      <c r="G769" s="69" t="str">
        <f>IF($B769="","",PMT(Rate,Nper,-PV,,Type))</f>
        <v/>
      </c>
      <c r="H769" s="69" t="str">
        <f>IF($B769="","",PPMT(Rate,ROWS($1:757),Nper,-PV,,Type))</f>
        <v/>
      </c>
      <c r="I769" s="69" t="str">
        <f>IF($B769="","",IPMT(Rate,ROWS($1:757),Nper,-PV,,Type))</f>
        <v/>
      </c>
      <c r="J769" s="73" t="str">
        <f t="shared" ref="J769:K769" si="759">IF($B769="","",N(J768)+N(H769))</f>
        <v/>
      </c>
      <c r="K769" s="74" t="str">
        <f t="shared" si="759"/>
        <v/>
      </c>
      <c r="L769" s="69" t="str">
        <f>IF($B769="","",PV-J769)</f>
        <v/>
      </c>
      <c r="M769" s="71" t="str">
        <f>IF($B769="","",J769/PV)</f>
        <v/>
      </c>
      <c r="N769" s="72" t="str">
        <f t="shared" si="4"/>
        <v/>
      </c>
    </row>
    <row r="770" ht="14.25" customHeight="1">
      <c r="B770" s="66" t="str">
        <f>IF(ROWS($1:758)&lt;=Nper,ROWS($1:758),"")</f>
        <v/>
      </c>
      <c r="C770" s="67" t="str">
        <f>IF($B770="","",IF($E$7="Weekly",Start_Date+7*(ROWS($1:758)-1),EDATE(Start_Date,VLOOKUP(IF(ASTemp!$E$7="","Monthly",ASTemp!$E$7),Parameters!$B$3:$D$6,3,0)*(ROWS($1:758)-1))))</f>
        <v/>
      </c>
      <c r="D770" s="68" t="str">
        <f t="shared" si="2"/>
        <v/>
      </c>
      <c r="E770" s="65" t="str">
        <f>IF($B770="","",VLOOKUP(MONTH(C770),Parameters!$F$2:$G$13,2,0))</f>
        <v/>
      </c>
      <c r="F770" s="69" t="str">
        <f>IF($B770="","",PV-N(J769))</f>
        <v/>
      </c>
      <c r="G770" s="69" t="str">
        <f>IF($B770="","",PMT(Rate,Nper,-PV,,Type))</f>
        <v/>
      </c>
      <c r="H770" s="69" t="str">
        <f>IF($B770="","",PPMT(Rate,ROWS($1:758),Nper,-PV,,Type))</f>
        <v/>
      </c>
      <c r="I770" s="69" t="str">
        <f>IF($B770="","",IPMT(Rate,ROWS($1:758),Nper,-PV,,Type))</f>
        <v/>
      </c>
      <c r="J770" s="73" t="str">
        <f t="shared" ref="J770:K770" si="760">IF($B770="","",N(J769)+N(H770))</f>
        <v/>
      </c>
      <c r="K770" s="74" t="str">
        <f t="shared" si="760"/>
        <v/>
      </c>
      <c r="L770" s="69" t="str">
        <f>IF($B770="","",PV-J770)</f>
        <v/>
      </c>
      <c r="M770" s="71" t="str">
        <f>IF($B770="","",J770/PV)</f>
        <v/>
      </c>
      <c r="N770" s="72" t="str">
        <f t="shared" si="4"/>
        <v/>
      </c>
    </row>
    <row r="771" ht="14.25" customHeight="1">
      <c r="B771" s="66" t="str">
        <f>IF(ROWS($1:759)&lt;=Nper,ROWS($1:759),"")</f>
        <v/>
      </c>
      <c r="C771" s="67" t="str">
        <f>IF($B771="","",IF($E$7="Weekly",Start_Date+7*(ROWS($1:759)-1),EDATE(Start_Date,VLOOKUP(IF(ASTemp!$E$7="","Monthly",ASTemp!$E$7),Parameters!$B$3:$D$6,3,0)*(ROWS($1:759)-1))))</f>
        <v/>
      </c>
      <c r="D771" s="68" t="str">
        <f t="shared" si="2"/>
        <v/>
      </c>
      <c r="E771" s="65" t="str">
        <f>IF($B771="","",VLOOKUP(MONTH(C771),Parameters!$F$2:$G$13,2,0))</f>
        <v/>
      </c>
      <c r="F771" s="69" t="str">
        <f>IF($B771="","",PV-N(J770))</f>
        <v/>
      </c>
      <c r="G771" s="69" t="str">
        <f>IF($B771="","",PMT(Rate,Nper,-PV,,Type))</f>
        <v/>
      </c>
      <c r="H771" s="69" t="str">
        <f>IF($B771="","",PPMT(Rate,ROWS($1:759),Nper,-PV,,Type))</f>
        <v/>
      </c>
      <c r="I771" s="69" t="str">
        <f>IF($B771="","",IPMT(Rate,ROWS($1:759),Nper,-PV,,Type))</f>
        <v/>
      </c>
      <c r="J771" s="73" t="str">
        <f t="shared" ref="J771:K771" si="761">IF($B771="","",N(J770)+N(H771))</f>
        <v/>
      </c>
      <c r="K771" s="74" t="str">
        <f t="shared" si="761"/>
        <v/>
      </c>
      <c r="L771" s="69" t="str">
        <f>IF($B771="","",PV-J771)</f>
        <v/>
      </c>
      <c r="M771" s="71" t="str">
        <f>IF($B771="","",J771/PV)</f>
        <v/>
      </c>
      <c r="N771" s="72" t="str">
        <f t="shared" si="4"/>
        <v/>
      </c>
    </row>
    <row r="772" ht="14.25" customHeight="1">
      <c r="B772" s="66" t="str">
        <f>IF(ROWS($1:760)&lt;=Nper,ROWS($1:760),"")</f>
        <v/>
      </c>
      <c r="C772" s="67" t="str">
        <f>IF($B772="","",IF($E$7="Weekly",Start_Date+7*(ROWS($1:760)-1),EDATE(Start_Date,VLOOKUP(IF(ASTemp!$E$7="","Monthly",ASTemp!$E$7),Parameters!$B$3:$D$6,3,0)*(ROWS($1:760)-1))))</f>
        <v/>
      </c>
      <c r="D772" s="68" t="str">
        <f t="shared" si="2"/>
        <v/>
      </c>
      <c r="E772" s="65" t="str">
        <f>IF($B772="","",VLOOKUP(MONTH(C772),Parameters!$F$2:$G$13,2,0))</f>
        <v/>
      </c>
      <c r="F772" s="69" t="str">
        <f>IF($B772="","",PV-N(J771))</f>
        <v/>
      </c>
      <c r="G772" s="69" t="str">
        <f>IF($B772="","",PMT(Rate,Nper,-PV,,Type))</f>
        <v/>
      </c>
      <c r="H772" s="69" t="str">
        <f>IF($B772="","",PPMT(Rate,ROWS($1:760),Nper,-PV,,Type))</f>
        <v/>
      </c>
      <c r="I772" s="69" t="str">
        <f>IF($B772="","",IPMT(Rate,ROWS($1:760),Nper,-PV,,Type))</f>
        <v/>
      </c>
      <c r="J772" s="73" t="str">
        <f t="shared" ref="J772:K772" si="762">IF($B772="","",N(J771)+N(H772))</f>
        <v/>
      </c>
      <c r="K772" s="74" t="str">
        <f t="shared" si="762"/>
        <v/>
      </c>
      <c r="L772" s="69" t="str">
        <f>IF($B772="","",PV-J772)</f>
        <v/>
      </c>
      <c r="M772" s="71" t="str">
        <f>IF($B772="","",J772/PV)</f>
        <v/>
      </c>
      <c r="N772" s="72" t="str">
        <f t="shared" si="4"/>
        <v/>
      </c>
    </row>
    <row r="773" ht="14.25" customHeight="1">
      <c r="B773" s="66" t="str">
        <f>IF(ROWS($1:761)&lt;=Nper,ROWS($1:761),"")</f>
        <v/>
      </c>
      <c r="C773" s="67" t="str">
        <f>IF($B773="","",IF($E$7="Weekly",Start_Date+7*(ROWS($1:761)-1),EDATE(Start_Date,VLOOKUP(IF(ASTemp!$E$7="","Monthly",ASTemp!$E$7),Parameters!$B$3:$D$6,3,0)*(ROWS($1:761)-1))))</f>
        <v/>
      </c>
      <c r="D773" s="68" t="str">
        <f t="shared" si="2"/>
        <v/>
      </c>
      <c r="E773" s="65" t="str">
        <f>IF($B773="","",VLOOKUP(MONTH(C773),Parameters!$F$2:$G$13,2,0))</f>
        <v/>
      </c>
      <c r="F773" s="69" t="str">
        <f>IF($B773="","",PV-N(J772))</f>
        <v/>
      </c>
      <c r="G773" s="69" t="str">
        <f>IF($B773="","",PMT(Rate,Nper,-PV,,Type))</f>
        <v/>
      </c>
      <c r="H773" s="69" t="str">
        <f>IF($B773="","",PPMT(Rate,ROWS($1:761),Nper,-PV,,Type))</f>
        <v/>
      </c>
      <c r="I773" s="69" t="str">
        <f>IF($B773="","",IPMT(Rate,ROWS($1:761),Nper,-PV,,Type))</f>
        <v/>
      </c>
      <c r="J773" s="73" t="str">
        <f t="shared" ref="J773:K773" si="763">IF($B773="","",N(J772)+N(H773))</f>
        <v/>
      </c>
      <c r="K773" s="74" t="str">
        <f t="shared" si="763"/>
        <v/>
      </c>
      <c r="L773" s="69" t="str">
        <f>IF($B773="","",PV-J773)</f>
        <v/>
      </c>
      <c r="M773" s="71" t="str">
        <f>IF($B773="","",J773/PV)</f>
        <v/>
      </c>
      <c r="N773" s="72" t="str">
        <f t="shared" si="4"/>
        <v/>
      </c>
    </row>
    <row r="774" ht="14.25" customHeight="1">
      <c r="B774" s="66" t="str">
        <f>IF(ROWS($1:762)&lt;=Nper,ROWS($1:762),"")</f>
        <v/>
      </c>
      <c r="C774" s="67" t="str">
        <f>IF($B774="","",IF($E$7="Weekly",Start_Date+7*(ROWS($1:762)-1),EDATE(Start_Date,VLOOKUP(IF(ASTemp!$E$7="","Monthly",ASTemp!$E$7),Parameters!$B$3:$D$6,3,0)*(ROWS($1:762)-1))))</f>
        <v/>
      </c>
      <c r="D774" s="68" t="str">
        <f t="shared" si="2"/>
        <v/>
      </c>
      <c r="E774" s="65" t="str">
        <f>IF($B774="","",VLOOKUP(MONTH(C774),Parameters!$F$2:$G$13,2,0))</f>
        <v/>
      </c>
      <c r="F774" s="69" t="str">
        <f>IF($B774="","",PV-N(J773))</f>
        <v/>
      </c>
      <c r="G774" s="69" t="str">
        <f>IF($B774="","",PMT(Rate,Nper,-PV,,Type))</f>
        <v/>
      </c>
      <c r="H774" s="69" t="str">
        <f>IF($B774="","",PPMT(Rate,ROWS($1:762),Nper,-PV,,Type))</f>
        <v/>
      </c>
      <c r="I774" s="69" t="str">
        <f>IF($B774="","",IPMT(Rate,ROWS($1:762),Nper,-PV,,Type))</f>
        <v/>
      </c>
      <c r="J774" s="73" t="str">
        <f t="shared" ref="J774:K774" si="764">IF($B774="","",N(J773)+N(H774))</f>
        <v/>
      </c>
      <c r="K774" s="74" t="str">
        <f t="shared" si="764"/>
        <v/>
      </c>
      <c r="L774" s="69" t="str">
        <f>IF($B774="","",PV-J774)</f>
        <v/>
      </c>
      <c r="M774" s="71" t="str">
        <f>IF($B774="","",J774/PV)</f>
        <v/>
      </c>
      <c r="N774" s="72" t="str">
        <f t="shared" si="4"/>
        <v/>
      </c>
    </row>
    <row r="775" ht="14.25" customHeight="1">
      <c r="B775" s="66" t="str">
        <f>IF(ROWS($1:763)&lt;=Nper,ROWS($1:763),"")</f>
        <v/>
      </c>
      <c r="C775" s="67" t="str">
        <f>IF($B775="","",IF($E$7="Weekly",Start_Date+7*(ROWS($1:763)-1),EDATE(Start_Date,VLOOKUP(IF(ASTemp!$E$7="","Monthly",ASTemp!$E$7),Parameters!$B$3:$D$6,3,0)*(ROWS($1:763)-1))))</f>
        <v/>
      </c>
      <c r="D775" s="68" t="str">
        <f t="shared" si="2"/>
        <v/>
      </c>
      <c r="E775" s="65" t="str">
        <f>IF($B775="","",VLOOKUP(MONTH(C775),Parameters!$F$2:$G$13,2,0))</f>
        <v/>
      </c>
      <c r="F775" s="69" t="str">
        <f>IF($B775="","",PV-N(J774))</f>
        <v/>
      </c>
      <c r="G775" s="69" t="str">
        <f>IF($B775="","",PMT(Rate,Nper,-PV,,Type))</f>
        <v/>
      </c>
      <c r="H775" s="69" t="str">
        <f>IF($B775="","",PPMT(Rate,ROWS($1:763),Nper,-PV,,Type))</f>
        <v/>
      </c>
      <c r="I775" s="69" t="str">
        <f>IF($B775="","",IPMT(Rate,ROWS($1:763),Nper,-PV,,Type))</f>
        <v/>
      </c>
      <c r="J775" s="73" t="str">
        <f t="shared" ref="J775:K775" si="765">IF($B775="","",N(J774)+N(H775))</f>
        <v/>
      </c>
      <c r="K775" s="74" t="str">
        <f t="shared" si="765"/>
        <v/>
      </c>
      <c r="L775" s="69" t="str">
        <f>IF($B775="","",PV-J775)</f>
        <v/>
      </c>
      <c r="M775" s="71" t="str">
        <f>IF($B775="","",J775/PV)</f>
        <v/>
      </c>
      <c r="N775" s="72" t="str">
        <f t="shared" si="4"/>
        <v/>
      </c>
    </row>
    <row r="776" ht="14.25" customHeight="1">
      <c r="B776" s="66" t="str">
        <f>IF(ROWS($1:764)&lt;=Nper,ROWS($1:764),"")</f>
        <v/>
      </c>
      <c r="C776" s="67" t="str">
        <f>IF($B776="","",IF($E$7="Weekly",Start_Date+7*(ROWS($1:764)-1),EDATE(Start_Date,VLOOKUP(IF(ASTemp!$E$7="","Monthly",ASTemp!$E$7),Parameters!$B$3:$D$6,3,0)*(ROWS($1:764)-1))))</f>
        <v/>
      </c>
      <c r="D776" s="68" t="str">
        <f t="shared" si="2"/>
        <v/>
      </c>
      <c r="E776" s="65" t="str">
        <f>IF($B776="","",VLOOKUP(MONTH(C776),Parameters!$F$2:$G$13,2,0))</f>
        <v/>
      </c>
      <c r="F776" s="69" t="str">
        <f>IF($B776="","",PV-N(J775))</f>
        <v/>
      </c>
      <c r="G776" s="69" t="str">
        <f>IF($B776="","",PMT(Rate,Nper,-PV,,Type))</f>
        <v/>
      </c>
      <c r="H776" s="69" t="str">
        <f>IF($B776="","",PPMT(Rate,ROWS($1:764),Nper,-PV,,Type))</f>
        <v/>
      </c>
      <c r="I776" s="69" t="str">
        <f>IF($B776="","",IPMT(Rate,ROWS($1:764),Nper,-PV,,Type))</f>
        <v/>
      </c>
      <c r="J776" s="73" t="str">
        <f t="shared" ref="J776:K776" si="766">IF($B776="","",N(J775)+N(H776))</f>
        <v/>
      </c>
      <c r="K776" s="74" t="str">
        <f t="shared" si="766"/>
        <v/>
      </c>
      <c r="L776" s="69" t="str">
        <f>IF($B776="","",PV-J776)</f>
        <v/>
      </c>
      <c r="M776" s="71" t="str">
        <f>IF($B776="","",J776/PV)</f>
        <v/>
      </c>
      <c r="N776" s="72" t="str">
        <f t="shared" si="4"/>
        <v/>
      </c>
    </row>
    <row r="777" ht="14.25" customHeight="1">
      <c r="B777" s="66" t="str">
        <f>IF(ROWS($1:765)&lt;=Nper,ROWS($1:765),"")</f>
        <v/>
      </c>
      <c r="C777" s="67" t="str">
        <f>IF($B777="","",IF($E$7="Weekly",Start_Date+7*(ROWS($1:765)-1),EDATE(Start_Date,VLOOKUP(IF(ASTemp!$E$7="","Monthly",ASTemp!$E$7),Parameters!$B$3:$D$6,3,0)*(ROWS($1:765)-1))))</f>
        <v/>
      </c>
      <c r="D777" s="68" t="str">
        <f t="shared" si="2"/>
        <v/>
      </c>
      <c r="E777" s="65" t="str">
        <f>IF($B777="","",VLOOKUP(MONTH(C777),Parameters!$F$2:$G$13,2,0))</f>
        <v/>
      </c>
      <c r="F777" s="69" t="str">
        <f>IF($B777="","",PV-N(J776))</f>
        <v/>
      </c>
      <c r="G777" s="69" t="str">
        <f>IF($B777="","",PMT(Rate,Nper,-PV,,Type))</f>
        <v/>
      </c>
      <c r="H777" s="69" t="str">
        <f>IF($B777="","",PPMT(Rate,ROWS($1:765),Nper,-PV,,Type))</f>
        <v/>
      </c>
      <c r="I777" s="69" t="str">
        <f>IF($B777="","",IPMT(Rate,ROWS($1:765),Nper,-PV,,Type))</f>
        <v/>
      </c>
      <c r="J777" s="73" t="str">
        <f t="shared" ref="J777:K777" si="767">IF($B777="","",N(J776)+N(H777))</f>
        <v/>
      </c>
      <c r="K777" s="74" t="str">
        <f t="shared" si="767"/>
        <v/>
      </c>
      <c r="L777" s="69" t="str">
        <f>IF($B777="","",PV-J777)</f>
        <v/>
      </c>
      <c r="M777" s="71" t="str">
        <f>IF($B777="","",J777/PV)</f>
        <v/>
      </c>
      <c r="N777" s="72" t="str">
        <f t="shared" si="4"/>
        <v/>
      </c>
    </row>
    <row r="778" ht="14.25" customHeight="1">
      <c r="B778" s="66" t="str">
        <f>IF(ROWS($1:766)&lt;=Nper,ROWS($1:766),"")</f>
        <v/>
      </c>
      <c r="C778" s="67" t="str">
        <f>IF($B778="","",IF($E$7="Weekly",Start_Date+7*(ROWS($1:766)-1),EDATE(Start_Date,VLOOKUP(IF(ASTemp!$E$7="","Monthly",ASTemp!$E$7),Parameters!$B$3:$D$6,3,0)*(ROWS($1:766)-1))))</f>
        <v/>
      </c>
      <c r="D778" s="68" t="str">
        <f t="shared" si="2"/>
        <v/>
      </c>
      <c r="E778" s="65" t="str">
        <f>IF($B778="","",VLOOKUP(MONTH(C778),Parameters!$F$2:$G$13,2,0))</f>
        <v/>
      </c>
      <c r="F778" s="69" t="str">
        <f>IF($B778="","",PV-N(J777))</f>
        <v/>
      </c>
      <c r="G778" s="69" t="str">
        <f>IF($B778="","",PMT(Rate,Nper,-PV,,Type))</f>
        <v/>
      </c>
      <c r="H778" s="69" t="str">
        <f>IF($B778="","",PPMT(Rate,ROWS($1:766),Nper,-PV,,Type))</f>
        <v/>
      </c>
      <c r="I778" s="69" t="str">
        <f>IF($B778="","",IPMT(Rate,ROWS($1:766),Nper,-PV,,Type))</f>
        <v/>
      </c>
      <c r="J778" s="73" t="str">
        <f t="shared" ref="J778:K778" si="768">IF($B778="","",N(J777)+N(H778))</f>
        <v/>
      </c>
      <c r="K778" s="74" t="str">
        <f t="shared" si="768"/>
        <v/>
      </c>
      <c r="L778" s="69" t="str">
        <f>IF($B778="","",PV-J778)</f>
        <v/>
      </c>
      <c r="M778" s="71" t="str">
        <f>IF($B778="","",J778/PV)</f>
        <v/>
      </c>
      <c r="N778" s="72" t="str">
        <f t="shared" si="4"/>
        <v/>
      </c>
    </row>
    <row r="779" ht="14.25" customHeight="1">
      <c r="B779" s="66" t="str">
        <f>IF(ROWS($1:767)&lt;=Nper,ROWS($1:767),"")</f>
        <v/>
      </c>
      <c r="C779" s="67" t="str">
        <f>IF($B779="","",IF($E$7="Weekly",Start_Date+7*(ROWS($1:767)-1),EDATE(Start_Date,VLOOKUP(IF(ASTemp!$E$7="","Monthly",ASTemp!$E$7),Parameters!$B$3:$D$6,3,0)*(ROWS($1:767)-1))))</f>
        <v/>
      </c>
      <c r="D779" s="68" t="str">
        <f t="shared" si="2"/>
        <v/>
      </c>
      <c r="E779" s="65" t="str">
        <f>IF($B779="","",VLOOKUP(MONTH(C779),Parameters!$F$2:$G$13,2,0))</f>
        <v/>
      </c>
      <c r="F779" s="69" t="str">
        <f>IF($B779="","",PV-N(J778))</f>
        <v/>
      </c>
      <c r="G779" s="69" t="str">
        <f>IF($B779="","",PMT(Rate,Nper,-PV,,Type))</f>
        <v/>
      </c>
      <c r="H779" s="69" t="str">
        <f>IF($B779="","",PPMT(Rate,ROWS($1:767),Nper,-PV,,Type))</f>
        <v/>
      </c>
      <c r="I779" s="69" t="str">
        <f>IF($B779="","",IPMT(Rate,ROWS($1:767),Nper,-PV,,Type))</f>
        <v/>
      </c>
      <c r="J779" s="73" t="str">
        <f t="shared" ref="J779:K779" si="769">IF($B779="","",N(J778)+N(H779))</f>
        <v/>
      </c>
      <c r="K779" s="74" t="str">
        <f t="shared" si="769"/>
        <v/>
      </c>
      <c r="L779" s="69" t="str">
        <f>IF($B779="","",PV-J779)</f>
        <v/>
      </c>
      <c r="M779" s="71" t="str">
        <f>IF($B779="","",J779/PV)</f>
        <v/>
      </c>
      <c r="N779" s="72" t="str">
        <f t="shared" si="4"/>
        <v/>
      </c>
    </row>
    <row r="780" ht="14.25" customHeight="1">
      <c r="B780" s="66" t="str">
        <f>IF(ROWS($1:768)&lt;=Nper,ROWS($1:768),"")</f>
        <v/>
      </c>
      <c r="C780" s="67" t="str">
        <f>IF($B780="","",IF($E$7="Weekly",Start_Date+7*(ROWS($1:768)-1),EDATE(Start_Date,VLOOKUP(IF(ASTemp!$E$7="","Monthly",ASTemp!$E$7),Parameters!$B$3:$D$6,3,0)*(ROWS($1:768)-1))))</f>
        <v/>
      </c>
      <c r="D780" s="68" t="str">
        <f t="shared" si="2"/>
        <v/>
      </c>
      <c r="E780" s="65" t="str">
        <f>IF($B780="","",VLOOKUP(MONTH(C780),Parameters!$F$2:$G$13,2,0))</f>
        <v/>
      </c>
      <c r="F780" s="69" t="str">
        <f>IF($B780="","",PV-N(J779))</f>
        <v/>
      </c>
      <c r="G780" s="69" t="str">
        <f>IF($B780="","",PMT(Rate,Nper,-PV,,Type))</f>
        <v/>
      </c>
      <c r="H780" s="69" t="str">
        <f>IF($B780="","",PPMT(Rate,ROWS($1:768),Nper,-PV,,Type))</f>
        <v/>
      </c>
      <c r="I780" s="69" t="str">
        <f>IF($B780="","",IPMT(Rate,ROWS($1:768),Nper,-PV,,Type))</f>
        <v/>
      </c>
      <c r="J780" s="73" t="str">
        <f t="shared" ref="J780:K780" si="770">IF($B780="","",N(J779)+N(H780))</f>
        <v/>
      </c>
      <c r="K780" s="74" t="str">
        <f t="shared" si="770"/>
        <v/>
      </c>
      <c r="L780" s="69" t="str">
        <f>IF($B780="","",PV-J780)</f>
        <v/>
      </c>
      <c r="M780" s="71" t="str">
        <f>IF($B780="","",J780/PV)</f>
        <v/>
      </c>
      <c r="N780" s="72" t="str">
        <f t="shared" si="4"/>
        <v/>
      </c>
    </row>
    <row r="781" ht="14.25" customHeight="1">
      <c r="B781" s="66" t="str">
        <f>IF(ROWS($1:769)&lt;=Nper,ROWS($1:769),"")</f>
        <v/>
      </c>
      <c r="C781" s="67" t="str">
        <f>IF($B781="","",IF($E$7="Weekly",Start_Date+7*(ROWS($1:769)-1),EDATE(Start_Date,VLOOKUP(IF(ASTemp!$E$7="","Monthly",ASTemp!$E$7),Parameters!$B$3:$D$6,3,0)*(ROWS($1:769)-1))))</f>
        <v/>
      </c>
      <c r="D781" s="68" t="str">
        <f t="shared" si="2"/>
        <v/>
      </c>
      <c r="E781" s="65" t="str">
        <f>IF($B781="","",VLOOKUP(MONTH(C781),Parameters!$F$2:$G$13,2,0))</f>
        <v/>
      </c>
      <c r="F781" s="69" t="str">
        <f>IF($B781="","",PV-N(J780))</f>
        <v/>
      </c>
      <c r="G781" s="69" t="str">
        <f>IF($B781="","",PMT(Rate,Nper,-PV,,Type))</f>
        <v/>
      </c>
      <c r="H781" s="69" t="str">
        <f>IF($B781="","",PPMT(Rate,ROWS($1:769),Nper,-PV,,Type))</f>
        <v/>
      </c>
      <c r="I781" s="69" t="str">
        <f>IF($B781="","",IPMT(Rate,ROWS($1:769),Nper,-PV,,Type))</f>
        <v/>
      </c>
      <c r="J781" s="73" t="str">
        <f t="shared" ref="J781:K781" si="771">IF($B781="","",N(J780)+N(H781))</f>
        <v/>
      </c>
      <c r="K781" s="74" t="str">
        <f t="shared" si="771"/>
        <v/>
      </c>
      <c r="L781" s="69" t="str">
        <f>IF($B781="","",PV-J781)</f>
        <v/>
      </c>
      <c r="M781" s="71" t="str">
        <f>IF($B781="","",J781/PV)</f>
        <v/>
      </c>
      <c r="N781" s="72" t="str">
        <f t="shared" si="4"/>
        <v/>
      </c>
    </row>
    <row r="782" ht="14.25" customHeight="1">
      <c r="B782" s="66" t="str">
        <f>IF(ROWS($1:770)&lt;=Nper,ROWS($1:770),"")</f>
        <v/>
      </c>
      <c r="C782" s="67" t="str">
        <f>IF($B782="","",IF($E$7="Weekly",Start_Date+7*(ROWS($1:770)-1),EDATE(Start_Date,VLOOKUP(IF(ASTemp!$E$7="","Monthly",ASTemp!$E$7),Parameters!$B$3:$D$6,3,0)*(ROWS($1:770)-1))))</f>
        <v/>
      </c>
      <c r="D782" s="68" t="str">
        <f t="shared" si="2"/>
        <v/>
      </c>
      <c r="E782" s="65" t="str">
        <f>IF($B782="","",VLOOKUP(MONTH(C782),Parameters!$F$2:$G$13,2,0))</f>
        <v/>
      </c>
      <c r="F782" s="69" t="str">
        <f>IF($B782="","",PV-N(J781))</f>
        <v/>
      </c>
      <c r="G782" s="69" t="str">
        <f>IF($B782="","",PMT(Rate,Nper,-PV,,Type))</f>
        <v/>
      </c>
      <c r="H782" s="69" t="str">
        <f>IF($B782="","",PPMT(Rate,ROWS($1:770),Nper,-PV,,Type))</f>
        <v/>
      </c>
      <c r="I782" s="69" t="str">
        <f>IF($B782="","",IPMT(Rate,ROWS($1:770),Nper,-PV,,Type))</f>
        <v/>
      </c>
      <c r="J782" s="73" t="str">
        <f t="shared" ref="J782:K782" si="772">IF($B782="","",N(J781)+N(H782))</f>
        <v/>
      </c>
      <c r="K782" s="74" t="str">
        <f t="shared" si="772"/>
        <v/>
      </c>
      <c r="L782" s="69" t="str">
        <f>IF($B782="","",PV-J782)</f>
        <v/>
      </c>
      <c r="M782" s="71" t="str">
        <f>IF($B782="","",J782/PV)</f>
        <v/>
      </c>
      <c r="N782" s="72" t="str">
        <f t="shared" si="4"/>
        <v/>
      </c>
    </row>
    <row r="783" ht="14.25" customHeight="1">
      <c r="B783" s="66" t="str">
        <f>IF(ROWS($1:771)&lt;=Nper,ROWS($1:771),"")</f>
        <v/>
      </c>
      <c r="C783" s="67" t="str">
        <f>IF($B783="","",IF($E$7="Weekly",Start_Date+7*(ROWS($1:771)-1),EDATE(Start_Date,VLOOKUP(IF(ASTemp!$E$7="","Monthly",ASTemp!$E$7),Parameters!$B$3:$D$6,3,0)*(ROWS($1:771)-1))))</f>
        <v/>
      </c>
      <c r="D783" s="68" t="str">
        <f t="shared" si="2"/>
        <v/>
      </c>
      <c r="E783" s="65" t="str">
        <f>IF($B783="","",VLOOKUP(MONTH(C783),Parameters!$F$2:$G$13,2,0))</f>
        <v/>
      </c>
      <c r="F783" s="69" t="str">
        <f>IF($B783="","",PV-N(J782))</f>
        <v/>
      </c>
      <c r="G783" s="69" t="str">
        <f>IF($B783="","",PMT(Rate,Nper,-PV,,Type))</f>
        <v/>
      </c>
      <c r="H783" s="69" t="str">
        <f>IF($B783="","",PPMT(Rate,ROWS($1:771),Nper,-PV,,Type))</f>
        <v/>
      </c>
      <c r="I783" s="69" t="str">
        <f>IF($B783="","",IPMT(Rate,ROWS($1:771),Nper,-PV,,Type))</f>
        <v/>
      </c>
      <c r="J783" s="73" t="str">
        <f t="shared" ref="J783:K783" si="773">IF($B783="","",N(J782)+N(H783))</f>
        <v/>
      </c>
      <c r="K783" s="74" t="str">
        <f t="shared" si="773"/>
        <v/>
      </c>
      <c r="L783" s="69" t="str">
        <f>IF($B783="","",PV-J783)</f>
        <v/>
      </c>
      <c r="M783" s="71" t="str">
        <f>IF($B783="","",J783/PV)</f>
        <v/>
      </c>
      <c r="N783" s="72" t="str">
        <f t="shared" si="4"/>
        <v/>
      </c>
    </row>
    <row r="784" ht="14.25" customHeight="1">
      <c r="B784" s="66" t="str">
        <f>IF(ROWS($1:772)&lt;=Nper,ROWS($1:772),"")</f>
        <v/>
      </c>
      <c r="C784" s="67" t="str">
        <f>IF($B784="","",IF($E$7="Weekly",Start_Date+7*(ROWS($1:772)-1),EDATE(Start_Date,VLOOKUP(IF(ASTemp!$E$7="","Monthly",ASTemp!$E$7),Parameters!$B$3:$D$6,3,0)*(ROWS($1:772)-1))))</f>
        <v/>
      </c>
      <c r="D784" s="68" t="str">
        <f t="shared" si="2"/>
        <v/>
      </c>
      <c r="E784" s="65" t="str">
        <f>IF($B784="","",VLOOKUP(MONTH(C784),Parameters!$F$2:$G$13,2,0))</f>
        <v/>
      </c>
      <c r="F784" s="69" t="str">
        <f>IF($B784="","",PV-N(J783))</f>
        <v/>
      </c>
      <c r="G784" s="69" t="str">
        <f>IF($B784="","",PMT(Rate,Nper,-PV,,Type))</f>
        <v/>
      </c>
      <c r="H784" s="69" t="str">
        <f>IF($B784="","",PPMT(Rate,ROWS($1:772),Nper,-PV,,Type))</f>
        <v/>
      </c>
      <c r="I784" s="69" t="str">
        <f>IF($B784="","",IPMT(Rate,ROWS($1:772),Nper,-PV,,Type))</f>
        <v/>
      </c>
      <c r="J784" s="73" t="str">
        <f t="shared" ref="J784:K784" si="774">IF($B784="","",N(J783)+N(H784))</f>
        <v/>
      </c>
      <c r="K784" s="74" t="str">
        <f t="shared" si="774"/>
        <v/>
      </c>
      <c r="L784" s="69" t="str">
        <f>IF($B784="","",PV-J784)</f>
        <v/>
      </c>
      <c r="M784" s="71" t="str">
        <f>IF($B784="","",J784/PV)</f>
        <v/>
      </c>
      <c r="N784" s="72" t="str">
        <f t="shared" si="4"/>
        <v/>
      </c>
    </row>
    <row r="785" ht="14.25" customHeight="1">
      <c r="B785" s="66" t="str">
        <f>IF(ROWS($1:773)&lt;=Nper,ROWS($1:773),"")</f>
        <v/>
      </c>
      <c r="C785" s="67" t="str">
        <f>IF($B785="","",IF($E$7="Weekly",Start_Date+7*(ROWS($1:773)-1),EDATE(Start_Date,VLOOKUP(IF(ASTemp!$E$7="","Monthly",ASTemp!$E$7),Parameters!$B$3:$D$6,3,0)*(ROWS($1:773)-1))))</f>
        <v/>
      </c>
      <c r="D785" s="68" t="str">
        <f t="shared" si="2"/>
        <v/>
      </c>
      <c r="E785" s="65" t="str">
        <f>IF($B785="","",VLOOKUP(MONTH(C785),Parameters!$F$2:$G$13,2,0))</f>
        <v/>
      </c>
      <c r="F785" s="69" t="str">
        <f>IF($B785="","",PV-N(J784))</f>
        <v/>
      </c>
      <c r="G785" s="69" t="str">
        <f>IF($B785="","",PMT(Rate,Nper,-PV,,Type))</f>
        <v/>
      </c>
      <c r="H785" s="69" t="str">
        <f>IF($B785="","",PPMT(Rate,ROWS($1:773),Nper,-PV,,Type))</f>
        <v/>
      </c>
      <c r="I785" s="69" t="str">
        <f>IF($B785="","",IPMT(Rate,ROWS($1:773),Nper,-PV,,Type))</f>
        <v/>
      </c>
      <c r="J785" s="73" t="str">
        <f t="shared" ref="J785:K785" si="775">IF($B785="","",N(J784)+N(H785))</f>
        <v/>
      </c>
      <c r="K785" s="74" t="str">
        <f t="shared" si="775"/>
        <v/>
      </c>
      <c r="L785" s="69" t="str">
        <f>IF($B785="","",PV-J785)</f>
        <v/>
      </c>
      <c r="M785" s="71" t="str">
        <f>IF($B785="","",J785/PV)</f>
        <v/>
      </c>
      <c r="N785" s="72" t="str">
        <f t="shared" si="4"/>
        <v/>
      </c>
    </row>
    <row r="786" ht="14.25" customHeight="1">
      <c r="B786" s="66" t="str">
        <f>IF(ROWS($1:774)&lt;=Nper,ROWS($1:774),"")</f>
        <v/>
      </c>
      <c r="C786" s="67" t="str">
        <f>IF($B786="","",IF($E$7="Weekly",Start_Date+7*(ROWS($1:774)-1),EDATE(Start_Date,VLOOKUP(IF(ASTemp!$E$7="","Monthly",ASTemp!$E$7),Parameters!$B$3:$D$6,3,0)*(ROWS($1:774)-1))))</f>
        <v/>
      </c>
      <c r="D786" s="68" t="str">
        <f t="shared" si="2"/>
        <v/>
      </c>
      <c r="E786" s="65" t="str">
        <f>IF($B786="","",VLOOKUP(MONTH(C786),Parameters!$F$2:$G$13,2,0))</f>
        <v/>
      </c>
      <c r="F786" s="69" t="str">
        <f>IF($B786="","",PV-N(J785))</f>
        <v/>
      </c>
      <c r="G786" s="69" t="str">
        <f>IF($B786="","",PMT(Rate,Nper,-PV,,Type))</f>
        <v/>
      </c>
      <c r="H786" s="69" t="str">
        <f>IF($B786="","",PPMT(Rate,ROWS($1:774),Nper,-PV,,Type))</f>
        <v/>
      </c>
      <c r="I786" s="69" t="str">
        <f>IF($B786="","",IPMT(Rate,ROWS($1:774),Nper,-PV,,Type))</f>
        <v/>
      </c>
      <c r="J786" s="73" t="str">
        <f t="shared" ref="J786:K786" si="776">IF($B786="","",N(J785)+N(H786))</f>
        <v/>
      </c>
      <c r="K786" s="74" t="str">
        <f t="shared" si="776"/>
        <v/>
      </c>
      <c r="L786" s="69" t="str">
        <f>IF($B786="","",PV-J786)</f>
        <v/>
      </c>
      <c r="M786" s="71" t="str">
        <f>IF($B786="","",J786/PV)</f>
        <v/>
      </c>
      <c r="N786" s="72" t="str">
        <f t="shared" si="4"/>
        <v/>
      </c>
    </row>
    <row r="787" ht="14.25" customHeight="1">
      <c r="B787" s="66" t="str">
        <f>IF(ROWS($1:775)&lt;=Nper,ROWS($1:775),"")</f>
        <v/>
      </c>
      <c r="C787" s="67" t="str">
        <f>IF($B787="","",IF($E$7="Weekly",Start_Date+7*(ROWS($1:775)-1),EDATE(Start_Date,VLOOKUP(IF(ASTemp!$E$7="","Monthly",ASTemp!$E$7),Parameters!$B$3:$D$6,3,0)*(ROWS($1:775)-1))))</f>
        <v/>
      </c>
      <c r="D787" s="68" t="str">
        <f t="shared" si="2"/>
        <v/>
      </c>
      <c r="E787" s="65" t="str">
        <f>IF($B787="","",VLOOKUP(MONTH(C787),Parameters!$F$2:$G$13,2,0))</f>
        <v/>
      </c>
      <c r="F787" s="69" t="str">
        <f>IF($B787="","",PV-N(J786))</f>
        <v/>
      </c>
      <c r="G787" s="69" t="str">
        <f>IF($B787="","",PMT(Rate,Nper,-PV,,Type))</f>
        <v/>
      </c>
      <c r="H787" s="69" t="str">
        <f>IF($B787="","",PPMT(Rate,ROWS($1:775),Nper,-PV,,Type))</f>
        <v/>
      </c>
      <c r="I787" s="69" t="str">
        <f>IF($B787="","",IPMT(Rate,ROWS($1:775),Nper,-PV,,Type))</f>
        <v/>
      </c>
      <c r="J787" s="73" t="str">
        <f t="shared" ref="J787:K787" si="777">IF($B787="","",N(J786)+N(H787))</f>
        <v/>
      </c>
      <c r="K787" s="74" t="str">
        <f t="shared" si="777"/>
        <v/>
      </c>
      <c r="L787" s="69" t="str">
        <f>IF($B787="","",PV-J787)</f>
        <v/>
      </c>
      <c r="M787" s="71" t="str">
        <f>IF($B787="","",J787/PV)</f>
        <v/>
      </c>
      <c r="N787" s="72" t="str">
        <f t="shared" si="4"/>
        <v/>
      </c>
    </row>
    <row r="788" ht="14.25" customHeight="1">
      <c r="B788" s="66" t="str">
        <f>IF(ROWS($1:776)&lt;=Nper,ROWS($1:776),"")</f>
        <v/>
      </c>
      <c r="C788" s="67" t="str">
        <f>IF($B788="","",IF($E$7="Weekly",Start_Date+7*(ROWS($1:776)-1),EDATE(Start_Date,VLOOKUP(IF(ASTemp!$E$7="","Monthly",ASTemp!$E$7),Parameters!$B$3:$D$6,3,0)*(ROWS($1:776)-1))))</f>
        <v/>
      </c>
      <c r="D788" s="68" t="str">
        <f t="shared" si="2"/>
        <v/>
      </c>
      <c r="E788" s="65" t="str">
        <f>IF($B788="","",VLOOKUP(MONTH(C788),Parameters!$F$2:$G$13,2,0))</f>
        <v/>
      </c>
      <c r="F788" s="69" t="str">
        <f>IF($B788="","",PV-N(J787))</f>
        <v/>
      </c>
      <c r="G788" s="69" t="str">
        <f>IF($B788="","",PMT(Rate,Nper,-PV,,Type))</f>
        <v/>
      </c>
      <c r="H788" s="69" t="str">
        <f>IF($B788="","",PPMT(Rate,ROWS($1:776),Nper,-PV,,Type))</f>
        <v/>
      </c>
      <c r="I788" s="69" t="str">
        <f>IF($B788="","",IPMT(Rate,ROWS($1:776),Nper,-PV,,Type))</f>
        <v/>
      </c>
      <c r="J788" s="73" t="str">
        <f t="shared" ref="J788:K788" si="778">IF($B788="","",N(J787)+N(H788))</f>
        <v/>
      </c>
      <c r="K788" s="74" t="str">
        <f t="shared" si="778"/>
        <v/>
      </c>
      <c r="L788" s="69" t="str">
        <f>IF($B788="","",PV-J788)</f>
        <v/>
      </c>
      <c r="M788" s="71" t="str">
        <f>IF($B788="","",J788/PV)</f>
        <v/>
      </c>
      <c r="N788" s="72" t="str">
        <f t="shared" si="4"/>
        <v/>
      </c>
    </row>
    <row r="789" ht="14.25" customHeight="1">
      <c r="B789" s="66" t="str">
        <f>IF(ROWS($1:777)&lt;=Nper,ROWS($1:777),"")</f>
        <v/>
      </c>
      <c r="C789" s="67" t="str">
        <f>IF($B789="","",IF($E$7="Weekly",Start_Date+7*(ROWS($1:777)-1),EDATE(Start_Date,VLOOKUP(IF(ASTemp!$E$7="","Monthly",ASTemp!$E$7),Parameters!$B$3:$D$6,3,0)*(ROWS($1:777)-1))))</f>
        <v/>
      </c>
      <c r="D789" s="68" t="str">
        <f t="shared" si="2"/>
        <v/>
      </c>
      <c r="E789" s="65" t="str">
        <f>IF($B789="","",VLOOKUP(MONTH(C789),Parameters!$F$2:$G$13,2,0))</f>
        <v/>
      </c>
      <c r="F789" s="69" t="str">
        <f>IF($B789="","",PV-N(J788))</f>
        <v/>
      </c>
      <c r="G789" s="69" t="str">
        <f>IF($B789="","",PMT(Rate,Nper,-PV,,Type))</f>
        <v/>
      </c>
      <c r="H789" s="69" t="str">
        <f>IF($B789="","",PPMT(Rate,ROWS($1:777),Nper,-PV,,Type))</f>
        <v/>
      </c>
      <c r="I789" s="69" t="str">
        <f>IF($B789="","",IPMT(Rate,ROWS($1:777),Nper,-PV,,Type))</f>
        <v/>
      </c>
      <c r="J789" s="73" t="str">
        <f t="shared" ref="J789:K789" si="779">IF($B789="","",N(J788)+N(H789))</f>
        <v/>
      </c>
      <c r="K789" s="74" t="str">
        <f t="shared" si="779"/>
        <v/>
      </c>
      <c r="L789" s="69" t="str">
        <f>IF($B789="","",PV-J789)</f>
        <v/>
      </c>
      <c r="M789" s="71" t="str">
        <f>IF($B789="","",J789/PV)</f>
        <v/>
      </c>
      <c r="N789" s="72" t="str">
        <f t="shared" si="4"/>
        <v/>
      </c>
    </row>
    <row r="790" ht="14.25" customHeight="1">
      <c r="B790" s="66" t="str">
        <f>IF(ROWS($1:778)&lt;=Nper,ROWS($1:778),"")</f>
        <v/>
      </c>
      <c r="C790" s="67" t="str">
        <f>IF($B790="","",IF($E$7="Weekly",Start_Date+7*(ROWS($1:778)-1),EDATE(Start_Date,VLOOKUP(IF(ASTemp!$E$7="","Monthly",ASTemp!$E$7),Parameters!$B$3:$D$6,3,0)*(ROWS($1:778)-1))))</f>
        <v/>
      </c>
      <c r="D790" s="68" t="str">
        <f t="shared" si="2"/>
        <v/>
      </c>
      <c r="E790" s="65" t="str">
        <f>IF($B790="","",VLOOKUP(MONTH(C790),Parameters!$F$2:$G$13,2,0))</f>
        <v/>
      </c>
      <c r="F790" s="69" t="str">
        <f>IF($B790="","",PV-N(J789))</f>
        <v/>
      </c>
      <c r="G790" s="69" t="str">
        <f>IF($B790="","",PMT(Rate,Nper,-PV,,Type))</f>
        <v/>
      </c>
      <c r="H790" s="69" t="str">
        <f>IF($B790="","",PPMT(Rate,ROWS($1:778),Nper,-PV,,Type))</f>
        <v/>
      </c>
      <c r="I790" s="69" t="str">
        <f>IF($B790="","",IPMT(Rate,ROWS($1:778),Nper,-PV,,Type))</f>
        <v/>
      </c>
      <c r="J790" s="73" t="str">
        <f t="shared" ref="J790:K790" si="780">IF($B790="","",N(J789)+N(H790))</f>
        <v/>
      </c>
      <c r="K790" s="74" t="str">
        <f t="shared" si="780"/>
        <v/>
      </c>
      <c r="L790" s="69" t="str">
        <f>IF($B790="","",PV-J790)</f>
        <v/>
      </c>
      <c r="M790" s="71" t="str">
        <f>IF($B790="","",J790/PV)</f>
        <v/>
      </c>
      <c r="N790" s="72" t="str">
        <f t="shared" si="4"/>
        <v/>
      </c>
    </row>
    <row r="791" ht="14.25" customHeight="1">
      <c r="B791" s="66" t="str">
        <f>IF(ROWS($1:779)&lt;=Nper,ROWS($1:779),"")</f>
        <v/>
      </c>
      <c r="C791" s="67" t="str">
        <f>IF($B791="","",IF($E$7="Weekly",Start_Date+7*(ROWS($1:779)-1),EDATE(Start_Date,VLOOKUP(IF(ASTemp!$E$7="","Monthly",ASTemp!$E$7),Parameters!$B$3:$D$6,3,0)*(ROWS($1:779)-1))))</f>
        <v/>
      </c>
      <c r="D791" s="68" t="str">
        <f t="shared" si="2"/>
        <v/>
      </c>
      <c r="E791" s="65" t="str">
        <f>IF($B791="","",VLOOKUP(MONTH(C791),Parameters!$F$2:$G$13,2,0))</f>
        <v/>
      </c>
      <c r="F791" s="69" t="str">
        <f>IF($B791="","",PV-N(J790))</f>
        <v/>
      </c>
      <c r="G791" s="69" t="str">
        <f>IF($B791="","",PMT(Rate,Nper,-PV,,Type))</f>
        <v/>
      </c>
      <c r="H791" s="69" t="str">
        <f>IF($B791="","",PPMT(Rate,ROWS($1:779),Nper,-PV,,Type))</f>
        <v/>
      </c>
      <c r="I791" s="69" t="str">
        <f>IF($B791="","",IPMT(Rate,ROWS($1:779),Nper,-PV,,Type))</f>
        <v/>
      </c>
      <c r="J791" s="73" t="str">
        <f t="shared" ref="J791:K791" si="781">IF($B791="","",N(J790)+N(H791))</f>
        <v/>
      </c>
      <c r="K791" s="74" t="str">
        <f t="shared" si="781"/>
        <v/>
      </c>
      <c r="L791" s="69" t="str">
        <f>IF($B791="","",PV-J791)</f>
        <v/>
      </c>
      <c r="M791" s="71" t="str">
        <f>IF($B791="","",J791/PV)</f>
        <v/>
      </c>
      <c r="N791" s="72" t="str">
        <f t="shared" si="4"/>
        <v/>
      </c>
    </row>
    <row r="792" ht="14.25" customHeight="1">
      <c r="B792" s="66" t="str">
        <f>IF(ROWS($1:780)&lt;=Nper,ROWS($1:780),"")</f>
        <v/>
      </c>
      <c r="C792" s="67" t="str">
        <f>IF($B792="","",IF($E$7="Weekly",Start_Date+7*(ROWS($1:780)-1),EDATE(Start_Date,VLOOKUP(IF(ASTemp!$E$7="","Monthly",ASTemp!$E$7),Parameters!$B$3:$D$6,3,0)*(ROWS($1:780)-1))))</f>
        <v/>
      </c>
      <c r="D792" s="68" t="str">
        <f t="shared" si="2"/>
        <v/>
      </c>
      <c r="E792" s="65" t="str">
        <f>IF($B792="","",VLOOKUP(MONTH(C792),Parameters!$F$2:$G$13,2,0))</f>
        <v/>
      </c>
      <c r="F792" s="69" t="str">
        <f>IF($B792="","",PV-N(J791))</f>
        <v/>
      </c>
      <c r="G792" s="69" t="str">
        <f>IF($B792="","",PMT(Rate,Nper,-PV,,Type))</f>
        <v/>
      </c>
      <c r="H792" s="69" t="str">
        <f>IF($B792="","",PPMT(Rate,ROWS($1:780),Nper,-PV,,Type))</f>
        <v/>
      </c>
      <c r="I792" s="69" t="str">
        <f>IF($B792="","",IPMT(Rate,ROWS($1:780),Nper,-PV,,Type))</f>
        <v/>
      </c>
      <c r="J792" s="73" t="str">
        <f t="shared" ref="J792:K792" si="782">IF($B792="","",N(J791)+N(H792))</f>
        <v/>
      </c>
      <c r="K792" s="74" t="str">
        <f t="shared" si="782"/>
        <v/>
      </c>
      <c r="L792" s="69" t="str">
        <f>IF($B792="","",PV-J792)</f>
        <v/>
      </c>
      <c r="M792" s="71" t="str">
        <f>IF($B792="","",J792/PV)</f>
        <v/>
      </c>
      <c r="N792" s="72" t="str">
        <f t="shared" si="4"/>
        <v/>
      </c>
    </row>
    <row r="793" ht="14.25" customHeight="1">
      <c r="B793" s="66" t="str">
        <f>IF(ROWS($1:781)&lt;=Nper,ROWS($1:781),"")</f>
        <v/>
      </c>
      <c r="C793" s="67" t="str">
        <f>IF($B793="","",IF($E$7="Weekly",Start_Date+7*(ROWS($1:781)-1),EDATE(Start_Date,VLOOKUP(IF(ASTemp!$E$7="","Monthly",ASTemp!$E$7),Parameters!$B$3:$D$6,3,0)*(ROWS($1:781)-1))))</f>
        <v/>
      </c>
      <c r="D793" s="68" t="str">
        <f t="shared" si="2"/>
        <v/>
      </c>
      <c r="E793" s="65" t="str">
        <f>IF($B793="","",VLOOKUP(MONTH(C793),Parameters!$F$2:$G$13,2,0))</f>
        <v/>
      </c>
      <c r="F793" s="69" t="str">
        <f>IF($B793="","",PV-N(J792))</f>
        <v/>
      </c>
      <c r="G793" s="69" t="str">
        <f>IF($B793="","",PMT(Rate,Nper,-PV,,Type))</f>
        <v/>
      </c>
      <c r="H793" s="69" t="str">
        <f>IF($B793="","",PPMT(Rate,ROWS($1:781),Nper,-PV,,Type))</f>
        <v/>
      </c>
      <c r="I793" s="69" t="str">
        <f>IF($B793="","",IPMT(Rate,ROWS($1:781),Nper,-PV,,Type))</f>
        <v/>
      </c>
      <c r="J793" s="73" t="str">
        <f t="shared" ref="J793:K793" si="783">IF($B793="","",N(J792)+N(H793))</f>
        <v/>
      </c>
      <c r="K793" s="74" t="str">
        <f t="shared" si="783"/>
        <v/>
      </c>
      <c r="L793" s="69" t="str">
        <f>IF($B793="","",PV-J793)</f>
        <v/>
      </c>
      <c r="M793" s="71" t="str">
        <f>IF($B793="","",J793/PV)</f>
        <v/>
      </c>
      <c r="N793" s="72" t="str">
        <f t="shared" si="4"/>
        <v/>
      </c>
    </row>
    <row r="794" ht="14.25" customHeight="1">
      <c r="B794" s="66" t="str">
        <f>IF(ROWS($1:782)&lt;=Nper,ROWS($1:782),"")</f>
        <v/>
      </c>
      <c r="C794" s="67" t="str">
        <f>IF($B794="","",IF($E$7="Weekly",Start_Date+7*(ROWS($1:782)-1),EDATE(Start_Date,VLOOKUP(IF(ASTemp!$E$7="","Monthly",ASTemp!$E$7),Parameters!$B$3:$D$6,3,0)*(ROWS($1:782)-1))))</f>
        <v/>
      </c>
      <c r="D794" s="68" t="str">
        <f t="shared" si="2"/>
        <v/>
      </c>
      <c r="E794" s="65" t="str">
        <f>IF($B794="","",VLOOKUP(MONTH(C794),Parameters!$F$2:$G$13,2,0))</f>
        <v/>
      </c>
      <c r="F794" s="69" t="str">
        <f>IF($B794="","",PV-N(J793))</f>
        <v/>
      </c>
      <c r="G794" s="69" t="str">
        <f>IF($B794="","",PMT(Rate,Nper,-PV,,Type))</f>
        <v/>
      </c>
      <c r="H794" s="69" t="str">
        <f>IF($B794="","",PPMT(Rate,ROWS($1:782),Nper,-PV,,Type))</f>
        <v/>
      </c>
      <c r="I794" s="69" t="str">
        <f>IF($B794="","",IPMT(Rate,ROWS($1:782),Nper,-PV,,Type))</f>
        <v/>
      </c>
      <c r="J794" s="73" t="str">
        <f t="shared" ref="J794:K794" si="784">IF($B794="","",N(J793)+N(H794))</f>
        <v/>
      </c>
      <c r="K794" s="74" t="str">
        <f t="shared" si="784"/>
        <v/>
      </c>
      <c r="L794" s="69" t="str">
        <f>IF($B794="","",PV-J794)</f>
        <v/>
      </c>
      <c r="M794" s="71" t="str">
        <f>IF($B794="","",J794/PV)</f>
        <v/>
      </c>
      <c r="N794" s="72" t="str">
        <f t="shared" si="4"/>
        <v/>
      </c>
    </row>
    <row r="795" ht="14.25" customHeight="1">
      <c r="B795" s="66" t="str">
        <f>IF(ROWS($1:783)&lt;=Nper,ROWS($1:783),"")</f>
        <v/>
      </c>
      <c r="C795" s="67" t="str">
        <f>IF($B795="","",IF($E$7="Weekly",Start_Date+7*(ROWS($1:783)-1),EDATE(Start_Date,VLOOKUP(IF(ASTemp!$E$7="","Monthly",ASTemp!$E$7),Parameters!$B$3:$D$6,3,0)*(ROWS($1:783)-1))))</f>
        <v/>
      </c>
      <c r="D795" s="68" t="str">
        <f t="shared" si="2"/>
        <v/>
      </c>
      <c r="E795" s="65" t="str">
        <f>IF($B795="","",VLOOKUP(MONTH(C795),Parameters!$F$2:$G$13,2,0))</f>
        <v/>
      </c>
      <c r="F795" s="69" t="str">
        <f>IF($B795="","",PV-N(J794))</f>
        <v/>
      </c>
      <c r="G795" s="69" t="str">
        <f>IF($B795="","",PMT(Rate,Nper,-PV,,Type))</f>
        <v/>
      </c>
      <c r="H795" s="69" t="str">
        <f>IF($B795="","",PPMT(Rate,ROWS($1:783),Nper,-PV,,Type))</f>
        <v/>
      </c>
      <c r="I795" s="69" t="str">
        <f>IF($B795="","",IPMT(Rate,ROWS($1:783),Nper,-PV,,Type))</f>
        <v/>
      </c>
      <c r="J795" s="73" t="str">
        <f t="shared" ref="J795:K795" si="785">IF($B795="","",N(J794)+N(H795))</f>
        <v/>
      </c>
      <c r="K795" s="74" t="str">
        <f t="shared" si="785"/>
        <v/>
      </c>
      <c r="L795" s="69" t="str">
        <f>IF($B795="","",PV-J795)</f>
        <v/>
      </c>
      <c r="M795" s="71" t="str">
        <f>IF($B795="","",J795/PV)</f>
        <v/>
      </c>
      <c r="N795" s="72" t="str">
        <f t="shared" si="4"/>
        <v/>
      </c>
    </row>
    <row r="796" ht="14.25" customHeight="1">
      <c r="B796" s="66" t="str">
        <f>IF(ROWS($1:784)&lt;=Nper,ROWS($1:784),"")</f>
        <v/>
      </c>
      <c r="C796" s="67" t="str">
        <f>IF($B796="","",IF($E$7="Weekly",Start_Date+7*(ROWS($1:784)-1),EDATE(Start_Date,VLOOKUP(IF(ASTemp!$E$7="","Monthly",ASTemp!$E$7),Parameters!$B$3:$D$6,3,0)*(ROWS($1:784)-1))))</f>
        <v/>
      </c>
      <c r="D796" s="68" t="str">
        <f t="shared" si="2"/>
        <v/>
      </c>
      <c r="E796" s="65" t="str">
        <f>IF($B796="","",VLOOKUP(MONTH(C796),Parameters!$F$2:$G$13,2,0))</f>
        <v/>
      </c>
      <c r="F796" s="69" t="str">
        <f>IF($B796="","",PV-N(J795))</f>
        <v/>
      </c>
      <c r="G796" s="69" t="str">
        <f>IF($B796="","",PMT(Rate,Nper,-PV,,Type))</f>
        <v/>
      </c>
      <c r="H796" s="69" t="str">
        <f>IF($B796="","",PPMT(Rate,ROWS($1:784),Nper,-PV,,Type))</f>
        <v/>
      </c>
      <c r="I796" s="69" t="str">
        <f>IF($B796="","",IPMT(Rate,ROWS($1:784),Nper,-PV,,Type))</f>
        <v/>
      </c>
      <c r="J796" s="73" t="str">
        <f t="shared" ref="J796:K796" si="786">IF($B796="","",N(J795)+N(H796))</f>
        <v/>
      </c>
      <c r="K796" s="74" t="str">
        <f t="shared" si="786"/>
        <v/>
      </c>
      <c r="L796" s="69" t="str">
        <f>IF($B796="","",PV-J796)</f>
        <v/>
      </c>
      <c r="M796" s="71" t="str">
        <f>IF($B796="","",J796/PV)</f>
        <v/>
      </c>
      <c r="N796" s="72" t="str">
        <f t="shared" si="4"/>
        <v/>
      </c>
    </row>
    <row r="797" ht="14.25" customHeight="1">
      <c r="B797" s="66" t="str">
        <f>IF(ROWS($1:785)&lt;=Nper,ROWS($1:785),"")</f>
        <v/>
      </c>
      <c r="C797" s="67" t="str">
        <f>IF($B797="","",IF($E$7="Weekly",Start_Date+7*(ROWS($1:785)-1),EDATE(Start_Date,VLOOKUP(IF(ASTemp!$E$7="","Monthly",ASTemp!$E$7),Parameters!$B$3:$D$6,3,0)*(ROWS($1:785)-1))))</f>
        <v/>
      </c>
      <c r="D797" s="68" t="str">
        <f t="shared" si="2"/>
        <v/>
      </c>
      <c r="E797" s="65" t="str">
        <f>IF($B797="","",VLOOKUP(MONTH(C797),Parameters!$F$2:$G$13,2,0))</f>
        <v/>
      </c>
      <c r="F797" s="69" t="str">
        <f>IF($B797="","",PV-N(J796))</f>
        <v/>
      </c>
      <c r="G797" s="69" t="str">
        <f>IF($B797="","",PMT(Rate,Nper,-PV,,Type))</f>
        <v/>
      </c>
      <c r="H797" s="69" t="str">
        <f>IF($B797="","",PPMT(Rate,ROWS($1:785),Nper,-PV,,Type))</f>
        <v/>
      </c>
      <c r="I797" s="69" t="str">
        <f>IF($B797="","",IPMT(Rate,ROWS($1:785),Nper,-PV,,Type))</f>
        <v/>
      </c>
      <c r="J797" s="73" t="str">
        <f t="shared" ref="J797:K797" si="787">IF($B797="","",N(J796)+N(H797))</f>
        <v/>
      </c>
      <c r="K797" s="74" t="str">
        <f t="shared" si="787"/>
        <v/>
      </c>
      <c r="L797" s="69" t="str">
        <f>IF($B797="","",PV-J797)</f>
        <v/>
      </c>
      <c r="M797" s="71" t="str">
        <f>IF($B797="","",J797/PV)</f>
        <v/>
      </c>
      <c r="N797" s="72" t="str">
        <f t="shared" si="4"/>
        <v/>
      </c>
    </row>
    <row r="798" ht="14.25" customHeight="1">
      <c r="B798" s="66" t="str">
        <f>IF(ROWS($1:786)&lt;=Nper,ROWS($1:786),"")</f>
        <v/>
      </c>
      <c r="C798" s="67" t="str">
        <f>IF($B798="","",IF($E$7="Weekly",Start_Date+7*(ROWS($1:786)-1),EDATE(Start_Date,VLOOKUP(IF(ASTemp!$E$7="","Monthly",ASTemp!$E$7),Parameters!$B$3:$D$6,3,0)*(ROWS($1:786)-1))))</f>
        <v/>
      </c>
      <c r="D798" s="68" t="str">
        <f t="shared" si="2"/>
        <v/>
      </c>
      <c r="E798" s="65" t="str">
        <f>IF($B798="","",VLOOKUP(MONTH(C798),Parameters!$F$2:$G$13,2,0))</f>
        <v/>
      </c>
      <c r="F798" s="69" t="str">
        <f>IF($B798="","",PV-N(J797))</f>
        <v/>
      </c>
      <c r="G798" s="69" t="str">
        <f>IF($B798="","",PMT(Rate,Nper,-PV,,Type))</f>
        <v/>
      </c>
      <c r="H798" s="69" t="str">
        <f>IF($B798="","",PPMT(Rate,ROWS($1:786),Nper,-PV,,Type))</f>
        <v/>
      </c>
      <c r="I798" s="69" t="str">
        <f>IF($B798="","",IPMT(Rate,ROWS($1:786),Nper,-PV,,Type))</f>
        <v/>
      </c>
      <c r="J798" s="73" t="str">
        <f t="shared" ref="J798:K798" si="788">IF($B798="","",N(J797)+N(H798))</f>
        <v/>
      </c>
      <c r="K798" s="74" t="str">
        <f t="shared" si="788"/>
        <v/>
      </c>
      <c r="L798" s="69" t="str">
        <f>IF($B798="","",PV-J798)</f>
        <v/>
      </c>
      <c r="M798" s="71" t="str">
        <f>IF($B798="","",J798/PV)</f>
        <v/>
      </c>
      <c r="N798" s="72" t="str">
        <f t="shared" si="4"/>
        <v/>
      </c>
    </row>
    <row r="799" ht="14.25" customHeight="1">
      <c r="B799" s="66" t="str">
        <f>IF(ROWS($1:787)&lt;=Nper,ROWS($1:787),"")</f>
        <v/>
      </c>
      <c r="C799" s="67" t="str">
        <f>IF($B799="","",IF($E$7="Weekly",Start_Date+7*(ROWS($1:787)-1),EDATE(Start_Date,VLOOKUP(IF(ASTemp!$E$7="","Monthly",ASTemp!$E$7),Parameters!$B$3:$D$6,3,0)*(ROWS($1:787)-1))))</f>
        <v/>
      </c>
      <c r="D799" s="68" t="str">
        <f t="shared" si="2"/>
        <v/>
      </c>
      <c r="E799" s="65" t="str">
        <f>IF($B799="","",VLOOKUP(MONTH(C799),Parameters!$F$2:$G$13,2,0))</f>
        <v/>
      </c>
      <c r="F799" s="69" t="str">
        <f>IF($B799="","",PV-N(J798))</f>
        <v/>
      </c>
      <c r="G799" s="69" t="str">
        <f>IF($B799="","",PMT(Rate,Nper,-PV,,Type))</f>
        <v/>
      </c>
      <c r="H799" s="69" t="str">
        <f>IF($B799="","",PPMT(Rate,ROWS($1:787),Nper,-PV,,Type))</f>
        <v/>
      </c>
      <c r="I799" s="69" t="str">
        <f>IF($B799="","",IPMT(Rate,ROWS($1:787),Nper,-PV,,Type))</f>
        <v/>
      </c>
      <c r="J799" s="73" t="str">
        <f t="shared" ref="J799:K799" si="789">IF($B799="","",N(J798)+N(H799))</f>
        <v/>
      </c>
      <c r="K799" s="74" t="str">
        <f t="shared" si="789"/>
        <v/>
      </c>
      <c r="L799" s="69" t="str">
        <f>IF($B799="","",PV-J799)</f>
        <v/>
      </c>
      <c r="M799" s="71" t="str">
        <f>IF($B799="","",J799/PV)</f>
        <v/>
      </c>
      <c r="N799" s="72" t="str">
        <f t="shared" si="4"/>
        <v/>
      </c>
    </row>
    <row r="800" ht="14.25" customHeight="1">
      <c r="B800" s="66" t="str">
        <f>IF(ROWS($1:788)&lt;=Nper,ROWS($1:788),"")</f>
        <v/>
      </c>
      <c r="C800" s="67" t="str">
        <f>IF($B800="","",IF($E$7="Weekly",Start_Date+7*(ROWS($1:788)-1),EDATE(Start_Date,VLOOKUP(IF(ASTemp!$E$7="","Monthly",ASTemp!$E$7),Parameters!$B$3:$D$6,3,0)*(ROWS($1:788)-1))))</f>
        <v/>
      </c>
      <c r="D800" s="68" t="str">
        <f t="shared" si="2"/>
        <v/>
      </c>
      <c r="E800" s="65" t="str">
        <f>IF($B800="","",VLOOKUP(MONTH(C800),Parameters!$F$2:$G$13,2,0))</f>
        <v/>
      </c>
      <c r="F800" s="69" t="str">
        <f>IF($B800="","",PV-N(J799))</f>
        <v/>
      </c>
      <c r="G800" s="69" t="str">
        <f>IF($B800="","",PMT(Rate,Nper,-PV,,Type))</f>
        <v/>
      </c>
      <c r="H800" s="69" t="str">
        <f>IF($B800="","",PPMT(Rate,ROWS($1:788),Nper,-PV,,Type))</f>
        <v/>
      </c>
      <c r="I800" s="69" t="str">
        <f>IF($B800="","",IPMT(Rate,ROWS($1:788),Nper,-PV,,Type))</f>
        <v/>
      </c>
      <c r="J800" s="73" t="str">
        <f t="shared" ref="J800:K800" si="790">IF($B800="","",N(J799)+N(H800))</f>
        <v/>
      </c>
      <c r="K800" s="74" t="str">
        <f t="shared" si="790"/>
        <v/>
      </c>
      <c r="L800" s="69" t="str">
        <f>IF($B800="","",PV-J800)</f>
        <v/>
      </c>
      <c r="M800" s="71" t="str">
        <f>IF($B800="","",J800/PV)</f>
        <v/>
      </c>
      <c r="N800" s="72" t="str">
        <f t="shared" si="4"/>
        <v/>
      </c>
    </row>
    <row r="801" ht="14.25" customHeight="1">
      <c r="B801" s="66" t="str">
        <f>IF(ROWS($1:789)&lt;=Nper,ROWS($1:789),"")</f>
        <v/>
      </c>
      <c r="C801" s="67" t="str">
        <f>IF($B801="","",IF($E$7="Weekly",Start_Date+7*(ROWS($1:789)-1),EDATE(Start_Date,VLOOKUP(IF(ASTemp!$E$7="","Monthly",ASTemp!$E$7),Parameters!$B$3:$D$6,3,0)*(ROWS($1:789)-1))))</f>
        <v/>
      </c>
      <c r="D801" s="68" t="str">
        <f t="shared" si="2"/>
        <v/>
      </c>
      <c r="E801" s="65" t="str">
        <f>IF($B801="","",VLOOKUP(MONTH(C801),Parameters!$F$2:$G$13,2,0))</f>
        <v/>
      </c>
      <c r="F801" s="69" t="str">
        <f>IF($B801="","",PV-N(J800))</f>
        <v/>
      </c>
      <c r="G801" s="69" t="str">
        <f>IF($B801="","",PMT(Rate,Nper,-PV,,Type))</f>
        <v/>
      </c>
      <c r="H801" s="69" t="str">
        <f>IF($B801="","",PPMT(Rate,ROWS($1:789),Nper,-PV,,Type))</f>
        <v/>
      </c>
      <c r="I801" s="69" t="str">
        <f>IF($B801="","",IPMT(Rate,ROWS($1:789),Nper,-PV,,Type))</f>
        <v/>
      </c>
      <c r="J801" s="73" t="str">
        <f t="shared" ref="J801:K801" si="791">IF($B801="","",N(J800)+N(H801))</f>
        <v/>
      </c>
      <c r="K801" s="74" t="str">
        <f t="shared" si="791"/>
        <v/>
      </c>
      <c r="L801" s="69" t="str">
        <f>IF($B801="","",PV-J801)</f>
        <v/>
      </c>
      <c r="M801" s="71" t="str">
        <f>IF($B801="","",J801/PV)</f>
        <v/>
      </c>
      <c r="N801" s="72" t="str">
        <f t="shared" si="4"/>
        <v/>
      </c>
    </row>
    <row r="802" ht="14.25" customHeight="1">
      <c r="B802" s="66" t="str">
        <f>IF(ROWS($1:790)&lt;=Nper,ROWS($1:790),"")</f>
        <v/>
      </c>
      <c r="C802" s="67" t="str">
        <f>IF($B802="","",IF($E$7="Weekly",Start_Date+7*(ROWS($1:790)-1),EDATE(Start_Date,VLOOKUP(IF(ASTemp!$E$7="","Monthly",ASTemp!$E$7),Parameters!$B$3:$D$6,3,0)*(ROWS($1:790)-1))))</f>
        <v/>
      </c>
      <c r="D802" s="68" t="str">
        <f t="shared" si="2"/>
        <v/>
      </c>
      <c r="E802" s="65" t="str">
        <f>IF($B802="","",VLOOKUP(MONTH(C802),Parameters!$F$2:$G$13,2,0))</f>
        <v/>
      </c>
      <c r="F802" s="69" t="str">
        <f>IF($B802="","",PV-N(J801))</f>
        <v/>
      </c>
      <c r="G802" s="69" t="str">
        <f>IF($B802="","",PMT(Rate,Nper,-PV,,Type))</f>
        <v/>
      </c>
      <c r="H802" s="69" t="str">
        <f>IF($B802="","",PPMT(Rate,ROWS($1:790),Nper,-PV,,Type))</f>
        <v/>
      </c>
      <c r="I802" s="69" t="str">
        <f>IF($B802="","",IPMT(Rate,ROWS($1:790),Nper,-PV,,Type))</f>
        <v/>
      </c>
      <c r="J802" s="73" t="str">
        <f t="shared" ref="J802:K802" si="792">IF($B802="","",N(J801)+N(H802))</f>
        <v/>
      </c>
      <c r="K802" s="74" t="str">
        <f t="shared" si="792"/>
        <v/>
      </c>
      <c r="L802" s="69" t="str">
        <f>IF($B802="","",PV-J802)</f>
        <v/>
      </c>
      <c r="M802" s="71" t="str">
        <f>IF($B802="","",J802/PV)</f>
        <v/>
      </c>
      <c r="N802" s="72" t="str">
        <f t="shared" si="4"/>
        <v/>
      </c>
    </row>
    <row r="803" ht="14.25" customHeight="1">
      <c r="B803" s="66" t="str">
        <f>IF(ROWS($1:791)&lt;=Nper,ROWS($1:791),"")</f>
        <v/>
      </c>
      <c r="C803" s="67" t="str">
        <f>IF($B803="","",IF($E$7="Weekly",Start_Date+7*(ROWS($1:791)-1),EDATE(Start_Date,VLOOKUP(IF(ASTemp!$E$7="","Monthly",ASTemp!$E$7),Parameters!$B$3:$D$6,3,0)*(ROWS($1:791)-1))))</f>
        <v/>
      </c>
      <c r="D803" s="68" t="str">
        <f t="shared" si="2"/>
        <v/>
      </c>
      <c r="E803" s="65" t="str">
        <f>IF($B803="","",VLOOKUP(MONTH(C803),Parameters!$F$2:$G$13,2,0))</f>
        <v/>
      </c>
      <c r="F803" s="69" t="str">
        <f>IF($B803="","",PV-N(J802))</f>
        <v/>
      </c>
      <c r="G803" s="69" t="str">
        <f>IF($B803="","",PMT(Rate,Nper,-PV,,Type))</f>
        <v/>
      </c>
      <c r="H803" s="69" t="str">
        <f>IF($B803="","",PPMT(Rate,ROWS($1:791),Nper,-PV,,Type))</f>
        <v/>
      </c>
      <c r="I803" s="69" t="str">
        <f>IF($B803="","",IPMT(Rate,ROWS($1:791),Nper,-PV,,Type))</f>
        <v/>
      </c>
      <c r="J803" s="73" t="str">
        <f t="shared" ref="J803:K803" si="793">IF($B803="","",N(J802)+N(H803))</f>
        <v/>
      </c>
      <c r="K803" s="74" t="str">
        <f t="shared" si="793"/>
        <v/>
      </c>
      <c r="L803" s="69" t="str">
        <f>IF($B803="","",PV-J803)</f>
        <v/>
      </c>
      <c r="M803" s="71" t="str">
        <f>IF($B803="","",J803/PV)</f>
        <v/>
      </c>
      <c r="N803" s="72" t="str">
        <f t="shared" si="4"/>
        <v/>
      </c>
    </row>
    <row r="804" ht="14.25" customHeight="1">
      <c r="B804" s="66" t="str">
        <f>IF(ROWS($1:792)&lt;=Nper,ROWS($1:792),"")</f>
        <v/>
      </c>
      <c r="C804" s="67" t="str">
        <f>IF($B804="","",IF($E$7="Weekly",Start_Date+7*(ROWS($1:792)-1),EDATE(Start_Date,VLOOKUP(IF(ASTemp!$E$7="","Monthly",ASTemp!$E$7),Parameters!$B$3:$D$6,3,0)*(ROWS($1:792)-1))))</f>
        <v/>
      </c>
      <c r="D804" s="68" t="str">
        <f t="shared" si="2"/>
        <v/>
      </c>
      <c r="E804" s="65" t="str">
        <f>IF($B804="","",VLOOKUP(MONTH(C804),Parameters!$F$2:$G$13,2,0))</f>
        <v/>
      </c>
      <c r="F804" s="69" t="str">
        <f>IF($B804="","",PV-N(J803))</f>
        <v/>
      </c>
      <c r="G804" s="69" t="str">
        <f>IF($B804="","",PMT(Rate,Nper,-PV,,Type))</f>
        <v/>
      </c>
      <c r="H804" s="69" t="str">
        <f>IF($B804="","",PPMT(Rate,ROWS($1:792),Nper,-PV,,Type))</f>
        <v/>
      </c>
      <c r="I804" s="69" t="str">
        <f>IF($B804="","",IPMT(Rate,ROWS($1:792),Nper,-PV,,Type))</f>
        <v/>
      </c>
      <c r="J804" s="73" t="str">
        <f t="shared" ref="J804:K804" si="794">IF($B804="","",N(J803)+N(H804))</f>
        <v/>
      </c>
      <c r="K804" s="74" t="str">
        <f t="shared" si="794"/>
        <v/>
      </c>
      <c r="L804" s="69" t="str">
        <f>IF($B804="","",PV-J804)</f>
        <v/>
      </c>
      <c r="M804" s="71" t="str">
        <f>IF($B804="","",J804/PV)</f>
        <v/>
      </c>
      <c r="N804" s="72" t="str">
        <f t="shared" si="4"/>
        <v/>
      </c>
    </row>
    <row r="805" ht="14.25" customHeight="1">
      <c r="B805" s="66" t="str">
        <f>IF(ROWS($1:793)&lt;=Nper,ROWS($1:793),"")</f>
        <v/>
      </c>
      <c r="C805" s="67" t="str">
        <f>IF($B805="","",IF($E$7="Weekly",Start_Date+7*(ROWS($1:793)-1),EDATE(Start_Date,VLOOKUP(IF(ASTemp!$E$7="","Monthly",ASTemp!$E$7),Parameters!$B$3:$D$6,3,0)*(ROWS($1:793)-1))))</f>
        <v/>
      </c>
      <c r="D805" s="68" t="str">
        <f t="shared" si="2"/>
        <v/>
      </c>
      <c r="E805" s="65" t="str">
        <f>IF($B805="","",VLOOKUP(MONTH(C805),Parameters!$F$2:$G$13,2,0))</f>
        <v/>
      </c>
      <c r="F805" s="69" t="str">
        <f>IF($B805="","",PV-N(J804))</f>
        <v/>
      </c>
      <c r="G805" s="69" t="str">
        <f>IF($B805="","",PMT(Rate,Nper,-PV,,Type))</f>
        <v/>
      </c>
      <c r="H805" s="69" t="str">
        <f>IF($B805="","",PPMT(Rate,ROWS($1:793),Nper,-PV,,Type))</f>
        <v/>
      </c>
      <c r="I805" s="69" t="str">
        <f>IF($B805="","",IPMT(Rate,ROWS($1:793),Nper,-PV,,Type))</f>
        <v/>
      </c>
      <c r="J805" s="73" t="str">
        <f t="shared" ref="J805:K805" si="795">IF($B805="","",N(J804)+N(H805))</f>
        <v/>
      </c>
      <c r="K805" s="74" t="str">
        <f t="shared" si="795"/>
        <v/>
      </c>
      <c r="L805" s="69" t="str">
        <f>IF($B805="","",PV-J805)</f>
        <v/>
      </c>
      <c r="M805" s="71" t="str">
        <f>IF($B805="","",J805/PV)</f>
        <v/>
      </c>
      <c r="N805" s="72" t="str">
        <f t="shared" si="4"/>
        <v/>
      </c>
    </row>
    <row r="806" ht="14.25" customHeight="1">
      <c r="B806" s="66" t="str">
        <f>IF(ROWS($1:794)&lt;=Nper,ROWS($1:794),"")</f>
        <v/>
      </c>
      <c r="C806" s="67" t="str">
        <f>IF($B806="","",IF($E$7="Weekly",Start_Date+7*(ROWS($1:794)-1),EDATE(Start_Date,VLOOKUP(IF(ASTemp!$E$7="","Monthly",ASTemp!$E$7),Parameters!$B$3:$D$6,3,0)*(ROWS($1:794)-1))))</f>
        <v/>
      </c>
      <c r="D806" s="68" t="str">
        <f t="shared" si="2"/>
        <v/>
      </c>
      <c r="E806" s="65" t="str">
        <f>IF($B806="","",VLOOKUP(MONTH(C806),Parameters!$F$2:$G$13,2,0))</f>
        <v/>
      </c>
      <c r="F806" s="69" t="str">
        <f>IF($B806="","",PV-N(J805))</f>
        <v/>
      </c>
      <c r="G806" s="69" t="str">
        <f>IF($B806="","",PMT(Rate,Nper,-PV,,Type))</f>
        <v/>
      </c>
      <c r="H806" s="69" t="str">
        <f>IF($B806="","",PPMT(Rate,ROWS($1:794),Nper,-PV,,Type))</f>
        <v/>
      </c>
      <c r="I806" s="69" t="str">
        <f>IF($B806="","",IPMT(Rate,ROWS($1:794),Nper,-PV,,Type))</f>
        <v/>
      </c>
      <c r="J806" s="73" t="str">
        <f t="shared" ref="J806:K806" si="796">IF($B806="","",N(J805)+N(H806))</f>
        <v/>
      </c>
      <c r="K806" s="74" t="str">
        <f t="shared" si="796"/>
        <v/>
      </c>
      <c r="L806" s="69" t="str">
        <f>IF($B806="","",PV-J806)</f>
        <v/>
      </c>
      <c r="M806" s="71" t="str">
        <f>IF($B806="","",J806/PV)</f>
        <v/>
      </c>
      <c r="N806" s="72" t="str">
        <f t="shared" si="4"/>
        <v/>
      </c>
    </row>
    <row r="807" ht="14.25" customHeight="1">
      <c r="B807" s="66" t="str">
        <f>IF(ROWS($1:795)&lt;=Nper,ROWS($1:795),"")</f>
        <v/>
      </c>
      <c r="C807" s="67" t="str">
        <f>IF($B807="","",IF($E$7="Weekly",Start_Date+7*(ROWS($1:795)-1),EDATE(Start_Date,VLOOKUP(IF(ASTemp!$E$7="","Monthly",ASTemp!$E$7),Parameters!$B$3:$D$6,3,0)*(ROWS($1:795)-1))))</f>
        <v/>
      </c>
      <c r="D807" s="68" t="str">
        <f t="shared" si="2"/>
        <v/>
      </c>
      <c r="E807" s="65" t="str">
        <f>IF($B807="","",VLOOKUP(MONTH(C807),Parameters!$F$2:$G$13,2,0))</f>
        <v/>
      </c>
      <c r="F807" s="69" t="str">
        <f>IF($B807="","",PV-N(J806))</f>
        <v/>
      </c>
      <c r="G807" s="69" t="str">
        <f>IF($B807="","",PMT(Rate,Nper,-PV,,Type))</f>
        <v/>
      </c>
      <c r="H807" s="69" t="str">
        <f>IF($B807="","",PPMT(Rate,ROWS($1:795),Nper,-PV,,Type))</f>
        <v/>
      </c>
      <c r="I807" s="69" t="str">
        <f>IF($B807="","",IPMT(Rate,ROWS($1:795),Nper,-PV,,Type))</f>
        <v/>
      </c>
      <c r="J807" s="73" t="str">
        <f t="shared" ref="J807:K807" si="797">IF($B807="","",N(J806)+N(H807))</f>
        <v/>
      </c>
      <c r="K807" s="74" t="str">
        <f t="shared" si="797"/>
        <v/>
      </c>
      <c r="L807" s="69" t="str">
        <f>IF($B807="","",PV-J807)</f>
        <v/>
      </c>
      <c r="M807" s="71" t="str">
        <f>IF($B807="","",J807/PV)</f>
        <v/>
      </c>
      <c r="N807" s="72" t="str">
        <f t="shared" si="4"/>
        <v/>
      </c>
    </row>
    <row r="808" ht="14.25" customHeight="1">
      <c r="B808" s="66" t="str">
        <f>IF(ROWS($1:796)&lt;=Nper,ROWS($1:796),"")</f>
        <v/>
      </c>
      <c r="C808" s="67" t="str">
        <f>IF($B808="","",IF($E$7="Weekly",Start_Date+7*(ROWS($1:796)-1),EDATE(Start_Date,VLOOKUP(IF(ASTemp!$E$7="","Monthly",ASTemp!$E$7),Parameters!$B$3:$D$6,3,0)*(ROWS($1:796)-1))))</f>
        <v/>
      </c>
      <c r="D808" s="68" t="str">
        <f t="shared" si="2"/>
        <v/>
      </c>
      <c r="E808" s="65" t="str">
        <f>IF($B808="","",VLOOKUP(MONTH(C808),Parameters!$F$2:$G$13,2,0))</f>
        <v/>
      </c>
      <c r="F808" s="69" t="str">
        <f>IF($B808="","",PV-N(J807))</f>
        <v/>
      </c>
      <c r="G808" s="69" t="str">
        <f>IF($B808="","",PMT(Rate,Nper,-PV,,Type))</f>
        <v/>
      </c>
      <c r="H808" s="69" t="str">
        <f>IF($B808="","",PPMT(Rate,ROWS($1:796),Nper,-PV,,Type))</f>
        <v/>
      </c>
      <c r="I808" s="69" t="str">
        <f>IF($B808="","",IPMT(Rate,ROWS($1:796),Nper,-PV,,Type))</f>
        <v/>
      </c>
      <c r="J808" s="73" t="str">
        <f t="shared" ref="J808:K808" si="798">IF($B808="","",N(J807)+N(H808))</f>
        <v/>
      </c>
      <c r="K808" s="74" t="str">
        <f t="shared" si="798"/>
        <v/>
      </c>
      <c r="L808" s="69" t="str">
        <f>IF($B808="","",PV-J808)</f>
        <v/>
      </c>
      <c r="M808" s="71" t="str">
        <f>IF($B808="","",J808/PV)</f>
        <v/>
      </c>
      <c r="N808" s="72" t="str">
        <f t="shared" si="4"/>
        <v/>
      </c>
    </row>
    <row r="809" ht="14.25" customHeight="1">
      <c r="B809" s="66" t="str">
        <f>IF(ROWS($1:797)&lt;=Nper,ROWS($1:797),"")</f>
        <v/>
      </c>
      <c r="C809" s="67" t="str">
        <f>IF($B809="","",IF($E$7="Weekly",Start_Date+7*(ROWS($1:797)-1),EDATE(Start_Date,VLOOKUP(IF(ASTemp!$E$7="","Monthly",ASTemp!$E$7),Parameters!$B$3:$D$6,3,0)*(ROWS($1:797)-1))))</f>
        <v/>
      </c>
      <c r="D809" s="68" t="str">
        <f t="shared" si="2"/>
        <v/>
      </c>
      <c r="E809" s="65" t="str">
        <f>IF($B809="","",VLOOKUP(MONTH(C809),Parameters!$F$2:$G$13,2,0))</f>
        <v/>
      </c>
      <c r="F809" s="69" t="str">
        <f>IF($B809="","",PV-N(J808))</f>
        <v/>
      </c>
      <c r="G809" s="69" t="str">
        <f>IF($B809="","",PMT(Rate,Nper,-PV,,Type))</f>
        <v/>
      </c>
      <c r="H809" s="69" t="str">
        <f>IF($B809="","",PPMT(Rate,ROWS($1:797),Nper,-PV,,Type))</f>
        <v/>
      </c>
      <c r="I809" s="69" t="str">
        <f>IF($B809="","",IPMT(Rate,ROWS($1:797),Nper,-PV,,Type))</f>
        <v/>
      </c>
      <c r="J809" s="73" t="str">
        <f t="shared" ref="J809:K809" si="799">IF($B809="","",N(J808)+N(H809))</f>
        <v/>
      </c>
      <c r="K809" s="74" t="str">
        <f t="shared" si="799"/>
        <v/>
      </c>
      <c r="L809" s="69" t="str">
        <f>IF($B809="","",PV-J809)</f>
        <v/>
      </c>
      <c r="M809" s="71" t="str">
        <f>IF($B809="","",J809/PV)</f>
        <v/>
      </c>
      <c r="N809" s="72" t="str">
        <f t="shared" si="4"/>
        <v/>
      </c>
    </row>
    <row r="810" ht="14.25" customHeight="1">
      <c r="B810" s="66" t="str">
        <f>IF(ROWS($1:798)&lt;=Nper,ROWS($1:798),"")</f>
        <v/>
      </c>
      <c r="C810" s="67" t="str">
        <f>IF($B810="","",IF($E$7="Weekly",Start_Date+7*(ROWS($1:798)-1),EDATE(Start_Date,VLOOKUP(IF(ASTemp!$E$7="","Monthly",ASTemp!$E$7),Parameters!$B$3:$D$6,3,0)*(ROWS($1:798)-1))))</f>
        <v/>
      </c>
      <c r="D810" s="68" t="str">
        <f t="shared" si="2"/>
        <v/>
      </c>
      <c r="E810" s="65" t="str">
        <f>IF($B810="","",VLOOKUP(MONTH(C810),Parameters!$F$2:$G$13,2,0))</f>
        <v/>
      </c>
      <c r="F810" s="69" t="str">
        <f>IF($B810="","",PV-N(J809))</f>
        <v/>
      </c>
      <c r="G810" s="69" t="str">
        <f>IF($B810="","",PMT(Rate,Nper,-PV,,Type))</f>
        <v/>
      </c>
      <c r="H810" s="69" t="str">
        <f>IF($B810="","",PPMT(Rate,ROWS($1:798),Nper,-PV,,Type))</f>
        <v/>
      </c>
      <c r="I810" s="69" t="str">
        <f>IF($B810="","",IPMT(Rate,ROWS($1:798),Nper,-PV,,Type))</f>
        <v/>
      </c>
      <c r="J810" s="73" t="str">
        <f t="shared" ref="J810:K810" si="800">IF($B810="","",N(J809)+N(H810))</f>
        <v/>
      </c>
      <c r="K810" s="74" t="str">
        <f t="shared" si="800"/>
        <v/>
      </c>
      <c r="L810" s="69" t="str">
        <f>IF($B810="","",PV-J810)</f>
        <v/>
      </c>
      <c r="M810" s="71" t="str">
        <f>IF($B810="","",J810/PV)</f>
        <v/>
      </c>
      <c r="N810" s="72" t="str">
        <f t="shared" si="4"/>
        <v/>
      </c>
    </row>
    <row r="811" ht="14.25" customHeight="1">
      <c r="B811" s="66" t="str">
        <f>IF(ROWS($1:799)&lt;=Nper,ROWS($1:799),"")</f>
        <v/>
      </c>
      <c r="C811" s="67" t="str">
        <f>IF($B811="","",IF($E$7="Weekly",Start_Date+7*(ROWS($1:799)-1),EDATE(Start_Date,VLOOKUP(IF(ASTemp!$E$7="","Monthly",ASTemp!$E$7),Parameters!$B$3:$D$6,3,0)*(ROWS($1:799)-1))))</f>
        <v/>
      </c>
      <c r="D811" s="68" t="str">
        <f t="shared" si="2"/>
        <v/>
      </c>
      <c r="E811" s="65" t="str">
        <f>IF($B811="","",VLOOKUP(MONTH(C811),Parameters!$F$2:$G$13,2,0))</f>
        <v/>
      </c>
      <c r="F811" s="69" t="str">
        <f>IF($B811="","",PV-N(J810))</f>
        <v/>
      </c>
      <c r="G811" s="69" t="str">
        <f>IF($B811="","",PMT(Rate,Nper,-PV,,Type))</f>
        <v/>
      </c>
      <c r="H811" s="69" t="str">
        <f>IF($B811="","",PPMT(Rate,ROWS($1:799),Nper,-PV,,Type))</f>
        <v/>
      </c>
      <c r="I811" s="69" t="str">
        <f>IF($B811="","",IPMT(Rate,ROWS($1:799),Nper,-PV,,Type))</f>
        <v/>
      </c>
      <c r="J811" s="73" t="str">
        <f t="shared" ref="J811:K811" si="801">IF($B811="","",N(J810)+N(H811))</f>
        <v/>
      </c>
      <c r="K811" s="74" t="str">
        <f t="shared" si="801"/>
        <v/>
      </c>
      <c r="L811" s="69" t="str">
        <f>IF($B811="","",PV-J811)</f>
        <v/>
      </c>
      <c r="M811" s="71" t="str">
        <f>IF($B811="","",J811/PV)</f>
        <v/>
      </c>
      <c r="N811" s="72" t="str">
        <f t="shared" si="4"/>
        <v/>
      </c>
    </row>
    <row r="812" ht="14.25" customHeight="1">
      <c r="B812" s="66" t="str">
        <f>IF(ROWS($1:800)&lt;=Nper,ROWS($1:800),"")</f>
        <v/>
      </c>
      <c r="C812" s="67" t="str">
        <f>IF($B812="","",IF($E$7="Weekly",Start_Date+7*(ROWS($1:800)-1),EDATE(Start_Date,VLOOKUP(IF(ASTemp!$E$7="","Monthly",ASTemp!$E$7),Parameters!$B$3:$D$6,3,0)*(ROWS($1:800)-1))))</f>
        <v/>
      </c>
      <c r="D812" s="68" t="str">
        <f t="shared" si="2"/>
        <v/>
      </c>
      <c r="E812" s="65" t="str">
        <f>IF($B812="","",VLOOKUP(MONTH(C812),Parameters!$F$2:$G$13,2,0))</f>
        <v/>
      </c>
      <c r="F812" s="69" t="str">
        <f>IF($B812="","",PV-N(J811))</f>
        <v/>
      </c>
      <c r="G812" s="69" t="str">
        <f>IF($B812="","",PMT(Rate,Nper,-PV,,Type))</f>
        <v/>
      </c>
      <c r="H812" s="69" t="str">
        <f>IF($B812="","",PPMT(Rate,ROWS($1:800),Nper,-PV,,Type))</f>
        <v/>
      </c>
      <c r="I812" s="69" t="str">
        <f>IF($B812="","",IPMT(Rate,ROWS($1:800),Nper,-PV,,Type))</f>
        <v/>
      </c>
      <c r="J812" s="73" t="str">
        <f t="shared" ref="J812:K812" si="802">IF($B812="","",N(J811)+N(H812))</f>
        <v/>
      </c>
      <c r="K812" s="74" t="str">
        <f t="shared" si="802"/>
        <v/>
      </c>
      <c r="L812" s="69" t="str">
        <f>IF($B812="","",PV-J812)</f>
        <v/>
      </c>
      <c r="M812" s="71" t="str">
        <f>IF($B812="","",J812/PV)</f>
        <v/>
      </c>
      <c r="N812" s="72" t="str">
        <f t="shared" si="4"/>
        <v/>
      </c>
    </row>
    <row r="813" ht="14.25" customHeight="1">
      <c r="B813" s="66" t="str">
        <f>IF(ROWS($1:801)&lt;=Nper,ROWS($1:801),"")</f>
        <v/>
      </c>
      <c r="C813" s="67" t="str">
        <f>IF($B813="","",IF($E$7="Weekly",Start_Date+7*(ROWS($1:801)-1),EDATE(Start_Date,VLOOKUP(IF(ASTemp!$E$7="","Monthly",ASTemp!$E$7),Parameters!$B$3:$D$6,3,0)*(ROWS($1:801)-1))))</f>
        <v/>
      </c>
      <c r="D813" s="68" t="str">
        <f t="shared" si="2"/>
        <v/>
      </c>
      <c r="E813" s="65" t="str">
        <f>IF($B813="","",VLOOKUP(MONTH(C813),Parameters!$F$2:$G$13,2,0))</f>
        <v/>
      </c>
      <c r="F813" s="69" t="str">
        <f>IF($B813="","",PV-N(J812))</f>
        <v/>
      </c>
      <c r="G813" s="69" t="str">
        <f>IF($B813="","",PMT(Rate,Nper,-PV,,Type))</f>
        <v/>
      </c>
      <c r="H813" s="69" t="str">
        <f>IF($B813="","",PPMT(Rate,ROWS($1:801),Nper,-PV,,Type))</f>
        <v/>
      </c>
      <c r="I813" s="69" t="str">
        <f>IF($B813="","",IPMT(Rate,ROWS($1:801),Nper,-PV,,Type))</f>
        <v/>
      </c>
      <c r="J813" s="73" t="str">
        <f t="shared" ref="J813:K813" si="803">IF($B813="","",N(J812)+N(H813))</f>
        <v/>
      </c>
      <c r="K813" s="74" t="str">
        <f t="shared" si="803"/>
        <v/>
      </c>
      <c r="L813" s="69" t="str">
        <f>IF($B813="","",PV-J813)</f>
        <v/>
      </c>
      <c r="M813" s="71" t="str">
        <f>IF($B813="","",J813/PV)</f>
        <v/>
      </c>
      <c r="N813" s="72" t="str">
        <f t="shared" si="4"/>
        <v/>
      </c>
    </row>
    <row r="814" ht="14.25" customHeight="1">
      <c r="B814" s="66" t="str">
        <f>IF(ROWS($1:802)&lt;=Nper,ROWS($1:802),"")</f>
        <v/>
      </c>
      <c r="C814" s="67" t="str">
        <f>IF($B814="","",IF($E$7="Weekly",Start_Date+7*(ROWS($1:802)-1),EDATE(Start_Date,VLOOKUP(IF(ASTemp!$E$7="","Monthly",ASTemp!$E$7),Parameters!$B$3:$D$6,3,0)*(ROWS($1:802)-1))))</f>
        <v/>
      </c>
      <c r="D814" s="68" t="str">
        <f t="shared" si="2"/>
        <v/>
      </c>
      <c r="E814" s="65" t="str">
        <f>IF($B814="","",VLOOKUP(MONTH(C814),Parameters!$F$2:$G$13,2,0))</f>
        <v/>
      </c>
      <c r="F814" s="69" t="str">
        <f>IF($B814="","",PV-N(J813))</f>
        <v/>
      </c>
      <c r="G814" s="69" t="str">
        <f>IF($B814="","",PMT(Rate,Nper,-PV,,Type))</f>
        <v/>
      </c>
      <c r="H814" s="69" t="str">
        <f>IF($B814="","",PPMT(Rate,ROWS($1:802),Nper,-PV,,Type))</f>
        <v/>
      </c>
      <c r="I814" s="69" t="str">
        <f>IF($B814="","",IPMT(Rate,ROWS($1:802),Nper,-PV,,Type))</f>
        <v/>
      </c>
      <c r="J814" s="73" t="str">
        <f t="shared" ref="J814:K814" si="804">IF($B814="","",N(J813)+N(H814))</f>
        <v/>
      </c>
      <c r="K814" s="74" t="str">
        <f t="shared" si="804"/>
        <v/>
      </c>
      <c r="L814" s="69" t="str">
        <f>IF($B814="","",PV-J814)</f>
        <v/>
      </c>
      <c r="M814" s="71" t="str">
        <f>IF($B814="","",J814/PV)</f>
        <v/>
      </c>
      <c r="N814" s="72" t="str">
        <f t="shared" si="4"/>
        <v/>
      </c>
    </row>
    <row r="815" ht="14.25" customHeight="1">
      <c r="B815" s="66" t="str">
        <f>IF(ROWS($1:803)&lt;=Nper,ROWS($1:803),"")</f>
        <v/>
      </c>
      <c r="C815" s="67" t="str">
        <f>IF($B815="","",IF($E$7="Weekly",Start_Date+7*(ROWS($1:803)-1),EDATE(Start_Date,VLOOKUP(IF(ASTemp!$E$7="","Monthly",ASTemp!$E$7),Parameters!$B$3:$D$6,3,0)*(ROWS($1:803)-1))))</f>
        <v/>
      </c>
      <c r="D815" s="68" t="str">
        <f t="shared" si="2"/>
        <v/>
      </c>
      <c r="E815" s="65" t="str">
        <f>IF($B815="","",VLOOKUP(MONTH(C815),Parameters!$F$2:$G$13,2,0))</f>
        <v/>
      </c>
      <c r="F815" s="69" t="str">
        <f>IF($B815="","",PV-N(J814))</f>
        <v/>
      </c>
      <c r="G815" s="69" t="str">
        <f>IF($B815="","",PMT(Rate,Nper,-PV,,Type))</f>
        <v/>
      </c>
      <c r="H815" s="69" t="str">
        <f>IF($B815="","",PPMT(Rate,ROWS($1:803),Nper,-PV,,Type))</f>
        <v/>
      </c>
      <c r="I815" s="69" t="str">
        <f>IF($B815="","",IPMT(Rate,ROWS($1:803),Nper,-PV,,Type))</f>
        <v/>
      </c>
      <c r="J815" s="73" t="str">
        <f t="shared" ref="J815:K815" si="805">IF($B815="","",N(J814)+N(H815))</f>
        <v/>
      </c>
      <c r="K815" s="74" t="str">
        <f t="shared" si="805"/>
        <v/>
      </c>
      <c r="L815" s="69" t="str">
        <f>IF($B815="","",PV-J815)</f>
        <v/>
      </c>
      <c r="M815" s="71" t="str">
        <f>IF($B815="","",J815/PV)</f>
        <v/>
      </c>
      <c r="N815" s="72" t="str">
        <f t="shared" si="4"/>
        <v/>
      </c>
    </row>
    <row r="816" ht="14.25" customHeight="1">
      <c r="B816" s="66" t="str">
        <f>IF(ROWS($1:804)&lt;=Nper,ROWS($1:804),"")</f>
        <v/>
      </c>
      <c r="C816" s="67" t="str">
        <f>IF($B816="","",IF($E$7="Weekly",Start_Date+7*(ROWS($1:804)-1),EDATE(Start_Date,VLOOKUP(IF(ASTemp!$E$7="","Monthly",ASTemp!$E$7),Parameters!$B$3:$D$6,3,0)*(ROWS($1:804)-1))))</f>
        <v/>
      </c>
      <c r="D816" s="68" t="str">
        <f t="shared" si="2"/>
        <v/>
      </c>
      <c r="E816" s="65" t="str">
        <f>IF($B816="","",VLOOKUP(MONTH(C816),Parameters!$F$2:$G$13,2,0))</f>
        <v/>
      </c>
      <c r="F816" s="69" t="str">
        <f>IF($B816="","",PV-N(J815))</f>
        <v/>
      </c>
      <c r="G816" s="69" t="str">
        <f>IF($B816="","",PMT(Rate,Nper,-PV,,Type))</f>
        <v/>
      </c>
      <c r="H816" s="69" t="str">
        <f>IF($B816="","",PPMT(Rate,ROWS($1:804),Nper,-PV,,Type))</f>
        <v/>
      </c>
      <c r="I816" s="69" t="str">
        <f>IF($B816="","",IPMT(Rate,ROWS($1:804),Nper,-PV,,Type))</f>
        <v/>
      </c>
      <c r="J816" s="73" t="str">
        <f t="shared" ref="J816:K816" si="806">IF($B816="","",N(J815)+N(H816))</f>
        <v/>
      </c>
      <c r="K816" s="74" t="str">
        <f t="shared" si="806"/>
        <v/>
      </c>
      <c r="L816" s="69" t="str">
        <f>IF($B816="","",PV-J816)</f>
        <v/>
      </c>
      <c r="M816" s="71" t="str">
        <f>IF($B816="","",J816/PV)</f>
        <v/>
      </c>
      <c r="N816" s="72" t="str">
        <f t="shared" si="4"/>
        <v/>
      </c>
    </row>
    <row r="817" ht="14.25" customHeight="1">
      <c r="B817" s="66" t="str">
        <f>IF(ROWS($1:805)&lt;=Nper,ROWS($1:805),"")</f>
        <v/>
      </c>
      <c r="C817" s="67" t="str">
        <f>IF($B817="","",IF($E$7="Weekly",Start_Date+7*(ROWS($1:805)-1),EDATE(Start_Date,VLOOKUP(IF(ASTemp!$E$7="","Monthly",ASTemp!$E$7),Parameters!$B$3:$D$6,3,0)*(ROWS($1:805)-1))))</f>
        <v/>
      </c>
      <c r="D817" s="68" t="str">
        <f t="shared" si="2"/>
        <v/>
      </c>
      <c r="E817" s="65" t="str">
        <f>IF($B817="","",VLOOKUP(MONTH(C817),Parameters!$F$2:$G$13,2,0))</f>
        <v/>
      </c>
      <c r="F817" s="69" t="str">
        <f>IF($B817="","",PV-N(J816))</f>
        <v/>
      </c>
      <c r="G817" s="69" t="str">
        <f>IF($B817="","",PMT(Rate,Nper,-PV,,Type))</f>
        <v/>
      </c>
      <c r="H817" s="69" t="str">
        <f>IF($B817="","",PPMT(Rate,ROWS($1:805),Nper,-PV,,Type))</f>
        <v/>
      </c>
      <c r="I817" s="69" t="str">
        <f>IF($B817="","",IPMT(Rate,ROWS($1:805),Nper,-PV,,Type))</f>
        <v/>
      </c>
      <c r="J817" s="73" t="str">
        <f t="shared" ref="J817:K817" si="807">IF($B817="","",N(J816)+N(H817))</f>
        <v/>
      </c>
      <c r="K817" s="74" t="str">
        <f t="shared" si="807"/>
        <v/>
      </c>
      <c r="L817" s="69" t="str">
        <f>IF($B817="","",PV-J817)</f>
        <v/>
      </c>
      <c r="M817" s="71" t="str">
        <f>IF($B817="","",J817/PV)</f>
        <v/>
      </c>
      <c r="N817" s="72" t="str">
        <f t="shared" si="4"/>
        <v/>
      </c>
    </row>
    <row r="818" ht="14.25" customHeight="1">
      <c r="B818" s="66" t="str">
        <f>IF(ROWS($1:806)&lt;=Nper,ROWS($1:806),"")</f>
        <v/>
      </c>
      <c r="C818" s="67" t="str">
        <f>IF($B818="","",IF($E$7="Weekly",Start_Date+7*(ROWS($1:806)-1),EDATE(Start_Date,VLOOKUP(IF(ASTemp!$E$7="","Monthly",ASTemp!$E$7),Parameters!$B$3:$D$6,3,0)*(ROWS($1:806)-1))))</f>
        <v/>
      </c>
      <c r="D818" s="68" t="str">
        <f t="shared" si="2"/>
        <v/>
      </c>
      <c r="E818" s="65" t="str">
        <f>IF($B818="","",VLOOKUP(MONTH(C818),Parameters!$F$2:$G$13,2,0))</f>
        <v/>
      </c>
      <c r="F818" s="69" t="str">
        <f>IF($B818="","",PV-N(J817))</f>
        <v/>
      </c>
      <c r="G818" s="69" t="str">
        <f>IF($B818="","",PMT(Rate,Nper,-PV,,Type))</f>
        <v/>
      </c>
      <c r="H818" s="69" t="str">
        <f>IF($B818="","",PPMT(Rate,ROWS($1:806),Nper,-PV,,Type))</f>
        <v/>
      </c>
      <c r="I818" s="69" t="str">
        <f>IF($B818="","",IPMT(Rate,ROWS($1:806),Nper,-PV,,Type))</f>
        <v/>
      </c>
      <c r="J818" s="73" t="str">
        <f t="shared" ref="J818:K818" si="808">IF($B818="","",N(J817)+N(H818))</f>
        <v/>
      </c>
      <c r="K818" s="74" t="str">
        <f t="shared" si="808"/>
        <v/>
      </c>
      <c r="L818" s="69" t="str">
        <f>IF($B818="","",PV-J818)</f>
        <v/>
      </c>
      <c r="M818" s="71" t="str">
        <f>IF($B818="","",J818/PV)</f>
        <v/>
      </c>
      <c r="N818" s="72" t="str">
        <f t="shared" si="4"/>
        <v/>
      </c>
    </row>
    <row r="819" ht="14.25" customHeight="1">
      <c r="B819" s="66" t="str">
        <f>IF(ROWS($1:807)&lt;=Nper,ROWS($1:807),"")</f>
        <v/>
      </c>
      <c r="C819" s="67" t="str">
        <f>IF($B819="","",IF($E$7="Weekly",Start_Date+7*(ROWS($1:807)-1),EDATE(Start_Date,VLOOKUP(IF(ASTemp!$E$7="","Monthly",ASTemp!$E$7),Parameters!$B$3:$D$6,3,0)*(ROWS($1:807)-1))))</f>
        <v/>
      </c>
      <c r="D819" s="68" t="str">
        <f t="shared" si="2"/>
        <v/>
      </c>
      <c r="E819" s="65" t="str">
        <f>IF($B819="","",VLOOKUP(MONTH(C819),Parameters!$F$2:$G$13,2,0))</f>
        <v/>
      </c>
      <c r="F819" s="69" t="str">
        <f>IF($B819="","",PV-N(J818))</f>
        <v/>
      </c>
      <c r="G819" s="69" t="str">
        <f>IF($B819="","",PMT(Rate,Nper,-PV,,Type))</f>
        <v/>
      </c>
      <c r="H819" s="69" t="str">
        <f>IF($B819="","",PPMT(Rate,ROWS($1:807),Nper,-PV,,Type))</f>
        <v/>
      </c>
      <c r="I819" s="69" t="str">
        <f>IF($B819="","",IPMT(Rate,ROWS($1:807),Nper,-PV,,Type))</f>
        <v/>
      </c>
      <c r="J819" s="73" t="str">
        <f t="shared" ref="J819:K819" si="809">IF($B819="","",N(J818)+N(H819))</f>
        <v/>
      </c>
      <c r="K819" s="74" t="str">
        <f t="shared" si="809"/>
        <v/>
      </c>
      <c r="L819" s="69" t="str">
        <f>IF($B819="","",PV-J819)</f>
        <v/>
      </c>
      <c r="M819" s="71" t="str">
        <f>IF($B819="","",J819/PV)</f>
        <v/>
      </c>
      <c r="N819" s="72" t="str">
        <f t="shared" si="4"/>
        <v/>
      </c>
    </row>
    <row r="820" ht="14.25" customHeight="1">
      <c r="B820" s="66" t="str">
        <f>IF(ROWS($1:808)&lt;=Nper,ROWS($1:808),"")</f>
        <v/>
      </c>
      <c r="C820" s="67" t="str">
        <f>IF($B820="","",IF($E$7="Weekly",Start_Date+7*(ROWS($1:808)-1),EDATE(Start_Date,VLOOKUP(IF(ASTemp!$E$7="","Monthly",ASTemp!$E$7),Parameters!$B$3:$D$6,3,0)*(ROWS($1:808)-1))))</f>
        <v/>
      </c>
      <c r="D820" s="68" t="str">
        <f t="shared" si="2"/>
        <v/>
      </c>
      <c r="E820" s="65" t="str">
        <f>IF($B820="","",VLOOKUP(MONTH(C820),Parameters!$F$2:$G$13,2,0))</f>
        <v/>
      </c>
      <c r="F820" s="69" t="str">
        <f>IF($B820="","",PV-N(J819))</f>
        <v/>
      </c>
      <c r="G820" s="69" t="str">
        <f>IF($B820="","",PMT(Rate,Nper,-PV,,Type))</f>
        <v/>
      </c>
      <c r="H820" s="69" t="str">
        <f>IF($B820="","",PPMT(Rate,ROWS($1:808),Nper,-PV,,Type))</f>
        <v/>
      </c>
      <c r="I820" s="69" t="str">
        <f>IF($B820="","",IPMT(Rate,ROWS($1:808),Nper,-PV,,Type))</f>
        <v/>
      </c>
      <c r="J820" s="73" t="str">
        <f t="shared" ref="J820:K820" si="810">IF($B820="","",N(J819)+N(H820))</f>
        <v/>
      </c>
      <c r="K820" s="74" t="str">
        <f t="shared" si="810"/>
        <v/>
      </c>
      <c r="L820" s="69" t="str">
        <f>IF($B820="","",PV-J820)</f>
        <v/>
      </c>
      <c r="M820" s="71" t="str">
        <f>IF($B820="","",J820/PV)</f>
        <v/>
      </c>
      <c r="N820" s="72" t="str">
        <f t="shared" si="4"/>
        <v/>
      </c>
    </row>
    <row r="821" ht="14.25" customHeight="1">
      <c r="B821" s="66" t="str">
        <f>IF(ROWS($1:809)&lt;=Nper,ROWS($1:809),"")</f>
        <v/>
      </c>
      <c r="C821" s="67" t="str">
        <f>IF($B821="","",IF($E$7="Weekly",Start_Date+7*(ROWS($1:809)-1),EDATE(Start_Date,VLOOKUP(IF(ASTemp!$E$7="","Monthly",ASTemp!$E$7),Parameters!$B$3:$D$6,3,0)*(ROWS($1:809)-1))))</f>
        <v/>
      </c>
      <c r="D821" s="68" t="str">
        <f t="shared" si="2"/>
        <v/>
      </c>
      <c r="E821" s="65" t="str">
        <f>IF($B821="","",VLOOKUP(MONTH(C821),Parameters!$F$2:$G$13,2,0))</f>
        <v/>
      </c>
      <c r="F821" s="69" t="str">
        <f>IF($B821="","",PV-N(J820))</f>
        <v/>
      </c>
      <c r="G821" s="69" t="str">
        <f>IF($B821="","",PMT(Rate,Nper,-PV,,Type))</f>
        <v/>
      </c>
      <c r="H821" s="69" t="str">
        <f>IF($B821="","",PPMT(Rate,ROWS($1:809),Nper,-PV,,Type))</f>
        <v/>
      </c>
      <c r="I821" s="69" t="str">
        <f>IF($B821="","",IPMT(Rate,ROWS($1:809),Nper,-PV,,Type))</f>
        <v/>
      </c>
      <c r="J821" s="73" t="str">
        <f t="shared" ref="J821:K821" si="811">IF($B821="","",N(J820)+N(H821))</f>
        <v/>
      </c>
      <c r="K821" s="74" t="str">
        <f t="shared" si="811"/>
        <v/>
      </c>
      <c r="L821" s="69" t="str">
        <f>IF($B821="","",PV-J821)</f>
        <v/>
      </c>
      <c r="M821" s="71" t="str">
        <f>IF($B821="","",J821/PV)</f>
        <v/>
      </c>
      <c r="N821" s="72" t="str">
        <f t="shared" si="4"/>
        <v/>
      </c>
    </row>
    <row r="822" ht="14.25" customHeight="1">
      <c r="B822" s="66" t="str">
        <f>IF(ROWS($1:810)&lt;=Nper,ROWS($1:810),"")</f>
        <v/>
      </c>
      <c r="C822" s="67" t="str">
        <f>IF($B822="","",IF($E$7="Weekly",Start_Date+7*(ROWS($1:810)-1),EDATE(Start_Date,VLOOKUP(IF(ASTemp!$E$7="","Monthly",ASTemp!$E$7),Parameters!$B$3:$D$6,3,0)*(ROWS($1:810)-1))))</f>
        <v/>
      </c>
      <c r="D822" s="68" t="str">
        <f t="shared" si="2"/>
        <v/>
      </c>
      <c r="E822" s="65" t="str">
        <f>IF($B822="","",VLOOKUP(MONTH(C822),Parameters!$F$2:$G$13,2,0))</f>
        <v/>
      </c>
      <c r="F822" s="69" t="str">
        <f>IF($B822="","",PV-N(J821))</f>
        <v/>
      </c>
      <c r="G822" s="69" t="str">
        <f>IF($B822="","",PMT(Rate,Nper,-PV,,Type))</f>
        <v/>
      </c>
      <c r="H822" s="69" t="str">
        <f>IF($B822="","",PPMT(Rate,ROWS($1:810),Nper,-PV,,Type))</f>
        <v/>
      </c>
      <c r="I822" s="69" t="str">
        <f>IF($B822="","",IPMT(Rate,ROWS($1:810),Nper,-PV,,Type))</f>
        <v/>
      </c>
      <c r="J822" s="73" t="str">
        <f t="shared" ref="J822:K822" si="812">IF($B822="","",N(J821)+N(H822))</f>
        <v/>
      </c>
      <c r="K822" s="74" t="str">
        <f t="shared" si="812"/>
        <v/>
      </c>
      <c r="L822" s="69" t="str">
        <f>IF($B822="","",PV-J822)</f>
        <v/>
      </c>
      <c r="M822" s="71" t="str">
        <f>IF($B822="","",J822/PV)</f>
        <v/>
      </c>
      <c r="N822" s="72" t="str">
        <f t="shared" si="4"/>
        <v/>
      </c>
    </row>
    <row r="823" ht="14.25" customHeight="1">
      <c r="B823" s="66" t="str">
        <f>IF(ROWS($1:811)&lt;=Nper,ROWS($1:811),"")</f>
        <v/>
      </c>
      <c r="C823" s="67" t="str">
        <f>IF($B823="","",IF($E$7="Weekly",Start_Date+7*(ROWS($1:811)-1),EDATE(Start_Date,VLOOKUP(IF(ASTemp!$E$7="","Monthly",ASTemp!$E$7),Parameters!$B$3:$D$6,3,0)*(ROWS($1:811)-1))))</f>
        <v/>
      </c>
      <c r="D823" s="68" t="str">
        <f t="shared" si="2"/>
        <v/>
      </c>
      <c r="E823" s="65" t="str">
        <f>IF($B823="","",VLOOKUP(MONTH(C823),Parameters!$F$2:$G$13,2,0))</f>
        <v/>
      </c>
      <c r="F823" s="69" t="str">
        <f>IF($B823="","",PV-N(J822))</f>
        <v/>
      </c>
      <c r="G823" s="69" t="str">
        <f>IF($B823="","",PMT(Rate,Nper,-PV,,Type))</f>
        <v/>
      </c>
      <c r="H823" s="69" t="str">
        <f>IF($B823="","",PPMT(Rate,ROWS($1:811),Nper,-PV,,Type))</f>
        <v/>
      </c>
      <c r="I823" s="69" t="str">
        <f>IF($B823="","",IPMT(Rate,ROWS($1:811),Nper,-PV,,Type))</f>
        <v/>
      </c>
      <c r="J823" s="73" t="str">
        <f t="shared" ref="J823:K823" si="813">IF($B823="","",N(J822)+N(H823))</f>
        <v/>
      </c>
      <c r="K823" s="74" t="str">
        <f t="shared" si="813"/>
        <v/>
      </c>
      <c r="L823" s="69" t="str">
        <f>IF($B823="","",PV-J823)</f>
        <v/>
      </c>
      <c r="M823" s="71" t="str">
        <f>IF($B823="","",J823/PV)</f>
        <v/>
      </c>
      <c r="N823" s="72" t="str">
        <f t="shared" si="4"/>
        <v/>
      </c>
    </row>
    <row r="824" ht="14.25" customHeight="1">
      <c r="B824" s="66" t="str">
        <f>IF(ROWS($1:812)&lt;=Nper,ROWS($1:812),"")</f>
        <v/>
      </c>
      <c r="C824" s="67" t="str">
        <f>IF($B824="","",IF($E$7="Weekly",Start_Date+7*(ROWS($1:812)-1),EDATE(Start_Date,VLOOKUP(IF(ASTemp!$E$7="","Monthly",ASTemp!$E$7),Parameters!$B$3:$D$6,3,0)*(ROWS($1:812)-1))))</f>
        <v/>
      </c>
      <c r="D824" s="68" t="str">
        <f t="shared" si="2"/>
        <v/>
      </c>
      <c r="E824" s="65" t="str">
        <f>IF($B824="","",VLOOKUP(MONTH(C824),Parameters!$F$2:$G$13,2,0))</f>
        <v/>
      </c>
      <c r="F824" s="69" t="str">
        <f>IF($B824="","",PV-N(J823))</f>
        <v/>
      </c>
      <c r="G824" s="69" t="str">
        <f>IF($B824="","",PMT(Rate,Nper,-PV,,Type))</f>
        <v/>
      </c>
      <c r="H824" s="69" t="str">
        <f>IF($B824="","",PPMT(Rate,ROWS($1:812),Nper,-PV,,Type))</f>
        <v/>
      </c>
      <c r="I824" s="69" t="str">
        <f>IF($B824="","",IPMT(Rate,ROWS($1:812),Nper,-PV,,Type))</f>
        <v/>
      </c>
      <c r="J824" s="73" t="str">
        <f t="shared" ref="J824:K824" si="814">IF($B824="","",N(J823)+N(H824))</f>
        <v/>
      </c>
      <c r="K824" s="74" t="str">
        <f t="shared" si="814"/>
        <v/>
      </c>
      <c r="L824" s="69" t="str">
        <f>IF($B824="","",PV-J824)</f>
        <v/>
      </c>
      <c r="M824" s="71" t="str">
        <f>IF($B824="","",J824/PV)</f>
        <v/>
      </c>
      <c r="N824" s="72" t="str">
        <f t="shared" si="4"/>
        <v/>
      </c>
    </row>
    <row r="825" ht="14.25" customHeight="1">
      <c r="B825" s="66" t="str">
        <f>IF(ROWS($1:813)&lt;=Nper,ROWS($1:813),"")</f>
        <v/>
      </c>
      <c r="C825" s="67" t="str">
        <f>IF($B825="","",IF($E$7="Weekly",Start_Date+7*(ROWS($1:813)-1),EDATE(Start_Date,VLOOKUP(IF(ASTemp!$E$7="","Monthly",ASTemp!$E$7),Parameters!$B$3:$D$6,3,0)*(ROWS($1:813)-1))))</f>
        <v/>
      </c>
      <c r="D825" s="68" t="str">
        <f t="shared" si="2"/>
        <v/>
      </c>
      <c r="E825" s="65" t="str">
        <f>IF($B825="","",VLOOKUP(MONTH(C825),Parameters!$F$2:$G$13,2,0))</f>
        <v/>
      </c>
      <c r="F825" s="69" t="str">
        <f>IF($B825="","",PV-N(J824))</f>
        <v/>
      </c>
      <c r="G825" s="69" t="str">
        <f>IF($B825="","",PMT(Rate,Nper,-PV,,Type))</f>
        <v/>
      </c>
      <c r="H825" s="69" t="str">
        <f>IF($B825="","",PPMT(Rate,ROWS($1:813),Nper,-PV,,Type))</f>
        <v/>
      </c>
      <c r="I825" s="69" t="str">
        <f>IF($B825="","",IPMT(Rate,ROWS($1:813),Nper,-PV,,Type))</f>
        <v/>
      </c>
      <c r="J825" s="73" t="str">
        <f t="shared" ref="J825:K825" si="815">IF($B825="","",N(J824)+N(H825))</f>
        <v/>
      </c>
      <c r="K825" s="74" t="str">
        <f t="shared" si="815"/>
        <v/>
      </c>
      <c r="L825" s="69" t="str">
        <f>IF($B825="","",PV-J825)</f>
        <v/>
      </c>
      <c r="M825" s="71" t="str">
        <f>IF($B825="","",J825/PV)</f>
        <v/>
      </c>
      <c r="N825" s="72" t="str">
        <f t="shared" si="4"/>
        <v/>
      </c>
    </row>
    <row r="826" ht="14.25" customHeight="1">
      <c r="B826" s="66" t="str">
        <f>IF(ROWS($1:814)&lt;=Nper,ROWS($1:814),"")</f>
        <v/>
      </c>
      <c r="C826" s="67" t="str">
        <f>IF($B826="","",IF($E$7="Weekly",Start_Date+7*(ROWS($1:814)-1),EDATE(Start_Date,VLOOKUP(IF(ASTemp!$E$7="","Monthly",ASTemp!$E$7),Parameters!$B$3:$D$6,3,0)*(ROWS($1:814)-1))))</f>
        <v/>
      </c>
      <c r="D826" s="68" t="str">
        <f t="shared" si="2"/>
        <v/>
      </c>
      <c r="E826" s="65" t="str">
        <f>IF($B826="","",VLOOKUP(MONTH(C826),Parameters!$F$2:$G$13,2,0))</f>
        <v/>
      </c>
      <c r="F826" s="69" t="str">
        <f>IF($B826="","",PV-N(J825))</f>
        <v/>
      </c>
      <c r="G826" s="69" t="str">
        <f>IF($B826="","",PMT(Rate,Nper,-PV,,Type))</f>
        <v/>
      </c>
      <c r="H826" s="69" t="str">
        <f>IF($B826="","",PPMT(Rate,ROWS($1:814),Nper,-PV,,Type))</f>
        <v/>
      </c>
      <c r="I826" s="69" t="str">
        <f>IF($B826="","",IPMT(Rate,ROWS($1:814),Nper,-PV,,Type))</f>
        <v/>
      </c>
      <c r="J826" s="73" t="str">
        <f t="shared" ref="J826:K826" si="816">IF($B826="","",N(J825)+N(H826))</f>
        <v/>
      </c>
      <c r="K826" s="74" t="str">
        <f t="shared" si="816"/>
        <v/>
      </c>
      <c r="L826" s="69" t="str">
        <f>IF($B826="","",PV-J826)</f>
        <v/>
      </c>
      <c r="M826" s="71" t="str">
        <f>IF($B826="","",J826/PV)</f>
        <v/>
      </c>
      <c r="N826" s="72" t="str">
        <f t="shared" si="4"/>
        <v/>
      </c>
    </row>
    <row r="827" ht="14.25" customHeight="1">
      <c r="B827" s="66" t="str">
        <f>IF(ROWS($1:815)&lt;=Nper,ROWS($1:815),"")</f>
        <v/>
      </c>
      <c r="C827" s="67" t="str">
        <f>IF($B827="","",IF($E$7="Weekly",Start_Date+7*(ROWS($1:815)-1),EDATE(Start_Date,VLOOKUP(IF(ASTemp!$E$7="","Monthly",ASTemp!$E$7),Parameters!$B$3:$D$6,3,0)*(ROWS($1:815)-1))))</f>
        <v/>
      </c>
      <c r="D827" s="68" t="str">
        <f t="shared" si="2"/>
        <v/>
      </c>
      <c r="E827" s="65" t="str">
        <f>IF($B827="","",VLOOKUP(MONTH(C827),Parameters!$F$2:$G$13,2,0))</f>
        <v/>
      </c>
      <c r="F827" s="69" t="str">
        <f>IF($B827="","",PV-N(J826))</f>
        <v/>
      </c>
      <c r="G827" s="69" t="str">
        <f>IF($B827="","",PMT(Rate,Nper,-PV,,Type))</f>
        <v/>
      </c>
      <c r="H827" s="69" t="str">
        <f>IF($B827="","",PPMT(Rate,ROWS($1:815),Nper,-PV,,Type))</f>
        <v/>
      </c>
      <c r="I827" s="69" t="str">
        <f>IF($B827="","",IPMT(Rate,ROWS($1:815),Nper,-PV,,Type))</f>
        <v/>
      </c>
      <c r="J827" s="73" t="str">
        <f t="shared" ref="J827:K827" si="817">IF($B827="","",N(J826)+N(H827))</f>
        <v/>
      </c>
      <c r="K827" s="74" t="str">
        <f t="shared" si="817"/>
        <v/>
      </c>
      <c r="L827" s="69" t="str">
        <f>IF($B827="","",PV-J827)</f>
        <v/>
      </c>
      <c r="M827" s="71" t="str">
        <f>IF($B827="","",J827/PV)</f>
        <v/>
      </c>
      <c r="N827" s="72" t="str">
        <f t="shared" si="4"/>
        <v/>
      </c>
    </row>
    <row r="828" ht="14.25" customHeight="1">
      <c r="B828" s="66" t="str">
        <f>IF(ROWS($1:816)&lt;=Nper,ROWS($1:816),"")</f>
        <v/>
      </c>
      <c r="C828" s="67" t="str">
        <f>IF($B828="","",IF($E$7="Weekly",Start_Date+7*(ROWS($1:816)-1),EDATE(Start_Date,VLOOKUP(IF(ASTemp!$E$7="","Monthly",ASTemp!$E$7),Parameters!$B$3:$D$6,3,0)*(ROWS($1:816)-1))))</f>
        <v/>
      </c>
      <c r="D828" s="68" t="str">
        <f t="shared" si="2"/>
        <v/>
      </c>
      <c r="E828" s="65" t="str">
        <f>IF($B828="","",VLOOKUP(MONTH(C828),Parameters!$F$2:$G$13,2,0))</f>
        <v/>
      </c>
      <c r="F828" s="69" t="str">
        <f>IF($B828="","",PV-N(J827))</f>
        <v/>
      </c>
      <c r="G828" s="69" t="str">
        <f>IF($B828="","",PMT(Rate,Nper,-PV,,Type))</f>
        <v/>
      </c>
      <c r="H828" s="69" t="str">
        <f>IF($B828="","",PPMT(Rate,ROWS($1:816),Nper,-PV,,Type))</f>
        <v/>
      </c>
      <c r="I828" s="69" t="str">
        <f>IF($B828="","",IPMT(Rate,ROWS($1:816),Nper,-PV,,Type))</f>
        <v/>
      </c>
      <c r="J828" s="73" t="str">
        <f t="shared" ref="J828:K828" si="818">IF($B828="","",N(J827)+N(H828))</f>
        <v/>
      </c>
      <c r="K828" s="74" t="str">
        <f t="shared" si="818"/>
        <v/>
      </c>
      <c r="L828" s="69" t="str">
        <f>IF($B828="","",PV-J828)</f>
        <v/>
      </c>
      <c r="M828" s="71" t="str">
        <f>IF($B828="","",J828/PV)</f>
        <v/>
      </c>
      <c r="N828" s="72" t="str">
        <f t="shared" si="4"/>
        <v/>
      </c>
    </row>
    <row r="829" ht="14.25" customHeight="1">
      <c r="B829" s="66" t="str">
        <f>IF(ROWS($1:817)&lt;=Nper,ROWS($1:817),"")</f>
        <v/>
      </c>
      <c r="C829" s="67" t="str">
        <f>IF($B829="","",IF($E$7="Weekly",Start_Date+7*(ROWS($1:817)-1),EDATE(Start_Date,VLOOKUP(IF(ASTemp!$E$7="","Monthly",ASTemp!$E$7),Parameters!$B$3:$D$6,3,0)*(ROWS($1:817)-1))))</f>
        <v/>
      </c>
      <c r="D829" s="68" t="str">
        <f t="shared" si="2"/>
        <v/>
      </c>
      <c r="E829" s="65" t="str">
        <f>IF($B829="","",VLOOKUP(MONTH(C829),Parameters!$F$2:$G$13,2,0))</f>
        <v/>
      </c>
      <c r="F829" s="69" t="str">
        <f>IF($B829="","",PV-N(J828))</f>
        <v/>
      </c>
      <c r="G829" s="69" t="str">
        <f>IF($B829="","",PMT(Rate,Nper,-PV,,Type))</f>
        <v/>
      </c>
      <c r="H829" s="69" t="str">
        <f>IF($B829="","",PPMT(Rate,ROWS($1:817),Nper,-PV,,Type))</f>
        <v/>
      </c>
      <c r="I829" s="69" t="str">
        <f>IF($B829="","",IPMT(Rate,ROWS($1:817),Nper,-PV,,Type))</f>
        <v/>
      </c>
      <c r="J829" s="73" t="str">
        <f t="shared" ref="J829:K829" si="819">IF($B829="","",N(J828)+N(H829))</f>
        <v/>
      </c>
      <c r="K829" s="74" t="str">
        <f t="shared" si="819"/>
        <v/>
      </c>
      <c r="L829" s="69" t="str">
        <f>IF($B829="","",PV-J829)</f>
        <v/>
      </c>
      <c r="M829" s="71" t="str">
        <f>IF($B829="","",J829/PV)</f>
        <v/>
      </c>
      <c r="N829" s="72" t="str">
        <f t="shared" si="4"/>
        <v/>
      </c>
    </row>
    <row r="830" ht="14.25" customHeight="1">
      <c r="B830" s="66" t="str">
        <f>IF(ROWS($1:818)&lt;=Nper,ROWS($1:818),"")</f>
        <v/>
      </c>
      <c r="C830" s="67" t="str">
        <f>IF($B830="","",IF($E$7="Weekly",Start_Date+7*(ROWS($1:818)-1),EDATE(Start_Date,VLOOKUP(IF(ASTemp!$E$7="","Monthly",ASTemp!$E$7),Parameters!$B$3:$D$6,3,0)*(ROWS($1:818)-1))))</f>
        <v/>
      </c>
      <c r="D830" s="68" t="str">
        <f t="shared" si="2"/>
        <v/>
      </c>
      <c r="E830" s="65" t="str">
        <f>IF($B830="","",VLOOKUP(MONTH(C830),Parameters!$F$2:$G$13,2,0))</f>
        <v/>
      </c>
      <c r="F830" s="69" t="str">
        <f>IF($B830="","",PV-N(J829))</f>
        <v/>
      </c>
      <c r="G830" s="69" t="str">
        <f>IF($B830="","",PMT(Rate,Nper,-PV,,Type))</f>
        <v/>
      </c>
      <c r="H830" s="69" t="str">
        <f>IF($B830="","",PPMT(Rate,ROWS($1:818),Nper,-PV,,Type))</f>
        <v/>
      </c>
      <c r="I830" s="69" t="str">
        <f>IF($B830="","",IPMT(Rate,ROWS($1:818),Nper,-PV,,Type))</f>
        <v/>
      </c>
      <c r="J830" s="73" t="str">
        <f t="shared" ref="J830:K830" si="820">IF($B830="","",N(J829)+N(H830))</f>
        <v/>
      </c>
      <c r="K830" s="74" t="str">
        <f t="shared" si="820"/>
        <v/>
      </c>
      <c r="L830" s="69" t="str">
        <f>IF($B830="","",PV-J830)</f>
        <v/>
      </c>
      <c r="M830" s="71" t="str">
        <f>IF($B830="","",J830/PV)</f>
        <v/>
      </c>
      <c r="N830" s="72" t="str">
        <f t="shared" si="4"/>
        <v/>
      </c>
    </row>
    <row r="831" ht="14.25" customHeight="1">
      <c r="B831" s="66" t="str">
        <f>IF(ROWS($1:819)&lt;=Nper,ROWS($1:819),"")</f>
        <v/>
      </c>
      <c r="C831" s="67" t="str">
        <f>IF($B831="","",IF($E$7="Weekly",Start_Date+7*(ROWS($1:819)-1),EDATE(Start_Date,VLOOKUP(IF(ASTemp!$E$7="","Monthly",ASTemp!$E$7),Parameters!$B$3:$D$6,3,0)*(ROWS($1:819)-1))))</f>
        <v/>
      </c>
      <c r="D831" s="68" t="str">
        <f t="shared" si="2"/>
        <v/>
      </c>
      <c r="E831" s="65" t="str">
        <f>IF($B831="","",VLOOKUP(MONTH(C831),Parameters!$F$2:$G$13,2,0))</f>
        <v/>
      </c>
      <c r="F831" s="69" t="str">
        <f>IF($B831="","",PV-N(J830))</f>
        <v/>
      </c>
      <c r="G831" s="69" t="str">
        <f>IF($B831="","",PMT(Rate,Nper,-PV,,Type))</f>
        <v/>
      </c>
      <c r="H831" s="69" t="str">
        <f>IF($B831="","",PPMT(Rate,ROWS($1:819),Nper,-PV,,Type))</f>
        <v/>
      </c>
      <c r="I831" s="69" t="str">
        <f>IF($B831="","",IPMT(Rate,ROWS($1:819),Nper,-PV,,Type))</f>
        <v/>
      </c>
      <c r="J831" s="73" t="str">
        <f t="shared" ref="J831:K831" si="821">IF($B831="","",N(J830)+N(H831))</f>
        <v/>
      </c>
      <c r="K831" s="74" t="str">
        <f t="shared" si="821"/>
        <v/>
      </c>
      <c r="L831" s="69" t="str">
        <f>IF($B831="","",PV-J831)</f>
        <v/>
      </c>
      <c r="M831" s="71" t="str">
        <f>IF($B831="","",J831/PV)</f>
        <v/>
      </c>
      <c r="N831" s="72" t="str">
        <f t="shared" si="4"/>
        <v/>
      </c>
    </row>
    <row r="832" ht="14.25" customHeight="1">
      <c r="B832" s="66" t="str">
        <f>IF(ROWS($1:820)&lt;=Nper,ROWS($1:820),"")</f>
        <v/>
      </c>
      <c r="C832" s="67" t="str">
        <f>IF($B832="","",IF($E$7="Weekly",Start_Date+7*(ROWS($1:820)-1),EDATE(Start_Date,VLOOKUP(IF(ASTemp!$E$7="","Monthly",ASTemp!$E$7),Parameters!$B$3:$D$6,3,0)*(ROWS($1:820)-1))))</f>
        <v/>
      </c>
      <c r="D832" s="68" t="str">
        <f t="shared" si="2"/>
        <v/>
      </c>
      <c r="E832" s="65" t="str">
        <f>IF($B832="","",VLOOKUP(MONTH(C832),Parameters!$F$2:$G$13,2,0))</f>
        <v/>
      </c>
      <c r="F832" s="69" t="str">
        <f>IF($B832="","",PV-N(J831))</f>
        <v/>
      </c>
      <c r="G832" s="69" t="str">
        <f>IF($B832="","",PMT(Rate,Nper,-PV,,Type))</f>
        <v/>
      </c>
      <c r="H832" s="69" t="str">
        <f>IF($B832="","",PPMT(Rate,ROWS($1:820),Nper,-PV,,Type))</f>
        <v/>
      </c>
      <c r="I832" s="69" t="str">
        <f>IF($B832="","",IPMT(Rate,ROWS($1:820),Nper,-PV,,Type))</f>
        <v/>
      </c>
      <c r="J832" s="73" t="str">
        <f t="shared" ref="J832:K832" si="822">IF($B832="","",N(J831)+N(H832))</f>
        <v/>
      </c>
      <c r="K832" s="74" t="str">
        <f t="shared" si="822"/>
        <v/>
      </c>
      <c r="L832" s="69" t="str">
        <f>IF($B832="","",PV-J832)</f>
        <v/>
      </c>
      <c r="M832" s="71" t="str">
        <f>IF($B832="","",J832/PV)</f>
        <v/>
      </c>
      <c r="N832" s="72" t="str">
        <f t="shared" si="4"/>
        <v/>
      </c>
    </row>
    <row r="833" ht="14.25" customHeight="1">
      <c r="B833" s="66" t="str">
        <f>IF(ROWS($1:821)&lt;=Nper,ROWS($1:821),"")</f>
        <v/>
      </c>
      <c r="C833" s="67" t="str">
        <f>IF($B833="","",IF($E$7="Weekly",Start_Date+7*(ROWS($1:821)-1),EDATE(Start_Date,VLOOKUP(IF(ASTemp!$E$7="","Monthly",ASTemp!$E$7),Parameters!$B$3:$D$6,3,0)*(ROWS($1:821)-1))))</f>
        <v/>
      </c>
      <c r="D833" s="68" t="str">
        <f t="shared" si="2"/>
        <v/>
      </c>
      <c r="E833" s="65" t="str">
        <f>IF($B833="","",VLOOKUP(MONTH(C833),Parameters!$F$2:$G$13,2,0))</f>
        <v/>
      </c>
      <c r="F833" s="69" t="str">
        <f>IF($B833="","",PV-N(J832))</f>
        <v/>
      </c>
      <c r="G833" s="69" t="str">
        <f>IF($B833="","",PMT(Rate,Nper,-PV,,Type))</f>
        <v/>
      </c>
      <c r="H833" s="69" t="str">
        <f>IF($B833="","",PPMT(Rate,ROWS($1:821),Nper,-PV,,Type))</f>
        <v/>
      </c>
      <c r="I833" s="69" t="str">
        <f>IF($B833="","",IPMT(Rate,ROWS($1:821),Nper,-PV,,Type))</f>
        <v/>
      </c>
      <c r="J833" s="73" t="str">
        <f t="shared" ref="J833:K833" si="823">IF($B833="","",N(J832)+N(H833))</f>
        <v/>
      </c>
      <c r="K833" s="74" t="str">
        <f t="shared" si="823"/>
        <v/>
      </c>
      <c r="L833" s="69" t="str">
        <f>IF($B833="","",PV-J833)</f>
        <v/>
      </c>
      <c r="M833" s="71" t="str">
        <f>IF($B833="","",J833/PV)</f>
        <v/>
      </c>
      <c r="N833" s="72" t="str">
        <f t="shared" si="4"/>
        <v/>
      </c>
    </row>
    <row r="834" ht="14.25" customHeight="1">
      <c r="B834" s="66" t="str">
        <f>IF(ROWS($1:822)&lt;=Nper,ROWS($1:822),"")</f>
        <v/>
      </c>
      <c r="C834" s="67" t="str">
        <f>IF($B834="","",IF($E$7="Weekly",Start_Date+7*(ROWS($1:822)-1),EDATE(Start_Date,VLOOKUP(IF(ASTemp!$E$7="","Monthly",ASTemp!$E$7),Parameters!$B$3:$D$6,3,0)*(ROWS($1:822)-1))))</f>
        <v/>
      </c>
      <c r="D834" s="68" t="str">
        <f t="shared" si="2"/>
        <v/>
      </c>
      <c r="E834" s="65" t="str">
        <f>IF($B834="","",VLOOKUP(MONTH(C834),Parameters!$F$2:$G$13,2,0))</f>
        <v/>
      </c>
      <c r="F834" s="69" t="str">
        <f>IF($B834="","",PV-N(J833))</f>
        <v/>
      </c>
      <c r="G834" s="69" t="str">
        <f>IF($B834="","",PMT(Rate,Nper,-PV,,Type))</f>
        <v/>
      </c>
      <c r="H834" s="69" t="str">
        <f>IF($B834="","",PPMT(Rate,ROWS($1:822),Nper,-PV,,Type))</f>
        <v/>
      </c>
      <c r="I834" s="69" t="str">
        <f>IF($B834="","",IPMT(Rate,ROWS($1:822),Nper,-PV,,Type))</f>
        <v/>
      </c>
      <c r="J834" s="73" t="str">
        <f t="shared" ref="J834:K834" si="824">IF($B834="","",N(J833)+N(H834))</f>
        <v/>
      </c>
      <c r="K834" s="74" t="str">
        <f t="shared" si="824"/>
        <v/>
      </c>
      <c r="L834" s="69" t="str">
        <f>IF($B834="","",PV-J834)</f>
        <v/>
      </c>
      <c r="M834" s="71" t="str">
        <f>IF($B834="","",J834/PV)</f>
        <v/>
      </c>
      <c r="N834" s="72" t="str">
        <f t="shared" si="4"/>
        <v/>
      </c>
    </row>
    <row r="835" ht="14.25" customHeight="1">
      <c r="B835" s="66" t="str">
        <f>IF(ROWS($1:823)&lt;=Nper,ROWS($1:823),"")</f>
        <v/>
      </c>
      <c r="C835" s="67" t="str">
        <f>IF($B835="","",IF($E$7="Weekly",Start_Date+7*(ROWS($1:823)-1),EDATE(Start_Date,VLOOKUP(IF(ASTemp!$E$7="","Monthly",ASTemp!$E$7),Parameters!$B$3:$D$6,3,0)*(ROWS($1:823)-1))))</f>
        <v/>
      </c>
      <c r="D835" s="68" t="str">
        <f t="shared" si="2"/>
        <v/>
      </c>
      <c r="E835" s="65" t="str">
        <f>IF($B835="","",VLOOKUP(MONTH(C835),Parameters!$F$2:$G$13,2,0))</f>
        <v/>
      </c>
      <c r="F835" s="69" t="str">
        <f>IF($B835="","",PV-N(J834))</f>
        <v/>
      </c>
      <c r="G835" s="69" t="str">
        <f>IF($B835="","",PMT(Rate,Nper,-PV,,Type))</f>
        <v/>
      </c>
      <c r="H835" s="69" t="str">
        <f>IF($B835="","",PPMT(Rate,ROWS($1:823),Nper,-PV,,Type))</f>
        <v/>
      </c>
      <c r="I835" s="69" t="str">
        <f>IF($B835="","",IPMT(Rate,ROWS($1:823),Nper,-PV,,Type))</f>
        <v/>
      </c>
      <c r="J835" s="73" t="str">
        <f t="shared" ref="J835:K835" si="825">IF($B835="","",N(J834)+N(H835))</f>
        <v/>
      </c>
      <c r="K835" s="74" t="str">
        <f t="shared" si="825"/>
        <v/>
      </c>
      <c r="L835" s="69" t="str">
        <f>IF($B835="","",PV-J835)</f>
        <v/>
      </c>
      <c r="M835" s="71" t="str">
        <f>IF($B835="","",J835/PV)</f>
        <v/>
      </c>
      <c r="N835" s="72" t="str">
        <f t="shared" si="4"/>
        <v/>
      </c>
    </row>
    <row r="836" ht="14.25" customHeight="1">
      <c r="B836" s="66" t="str">
        <f>IF(ROWS($1:824)&lt;=Nper,ROWS($1:824),"")</f>
        <v/>
      </c>
      <c r="C836" s="67" t="str">
        <f>IF($B836="","",IF($E$7="Weekly",Start_Date+7*(ROWS($1:824)-1),EDATE(Start_Date,VLOOKUP(IF(ASTemp!$E$7="","Monthly",ASTemp!$E$7),Parameters!$B$3:$D$6,3,0)*(ROWS($1:824)-1))))</f>
        <v/>
      </c>
      <c r="D836" s="68" t="str">
        <f t="shared" si="2"/>
        <v/>
      </c>
      <c r="E836" s="65" t="str">
        <f>IF($B836="","",VLOOKUP(MONTH(C836),Parameters!$F$2:$G$13,2,0))</f>
        <v/>
      </c>
      <c r="F836" s="69" t="str">
        <f>IF($B836="","",PV-N(J835))</f>
        <v/>
      </c>
      <c r="G836" s="69" t="str">
        <f>IF($B836="","",PMT(Rate,Nper,-PV,,Type))</f>
        <v/>
      </c>
      <c r="H836" s="69" t="str">
        <f>IF($B836="","",PPMT(Rate,ROWS($1:824),Nper,-PV,,Type))</f>
        <v/>
      </c>
      <c r="I836" s="69" t="str">
        <f>IF($B836="","",IPMT(Rate,ROWS($1:824),Nper,-PV,,Type))</f>
        <v/>
      </c>
      <c r="J836" s="73" t="str">
        <f t="shared" ref="J836:K836" si="826">IF($B836="","",N(J835)+N(H836))</f>
        <v/>
      </c>
      <c r="K836" s="74" t="str">
        <f t="shared" si="826"/>
        <v/>
      </c>
      <c r="L836" s="69" t="str">
        <f>IF($B836="","",PV-J836)</f>
        <v/>
      </c>
      <c r="M836" s="71" t="str">
        <f>IF($B836="","",J836/PV)</f>
        <v/>
      </c>
      <c r="N836" s="72" t="str">
        <f t="shared" si="4"/>
        <v/>
      </c>
    </row>
    <row r="837" ht="14.25" customHeight="1">
      <c r="B837" s="66" t="str">
        <f>IF(ROWS($1:825)&lt;=Nper,ROWS($1:825),"")</f>
        <v/>
      </c>
      <c r="C837" s="67" t="str">
        <f>IF($B837="","",IF($E$7="Weekly",Start_Date+7*(ROWS($1:825)-1),EDATE(Start_Date,VLOOKUP(IF(ASTemp!$E$7="","Monthly",ASTemp!$E$7),Parameters!$B$3:$D$6,3,0)*(ROWS($1:825)-1))))</f>
        <v/>
      </c>
      <c r="D837" s="68" t="str">
        <f t="shared" si="2"/>
        <v/>
      </c>
      <c r="E837" s="65" t="str">
        <f>IF($B837="","",VLOOKUP(MONTH(C837),Parameters!$F$2:$G$13,2,0))</f>
        <v/>
      </c>
      <c r="F837" s="69" t="str">
        <f>IF($B837="","",PV-N(J836))</f>
        <v/>
      </c>
      <c r="G837" s="69" t="str">
        <f>IF($B837="","",PMT(Rate,Nper,-PV,,Type))</f>
        <v/>
      </c>
      <c r="H837" s="69" t="str">
        <f>IF($B837="","",PPMT(Rate,ROWS($1:825),Nper,-PV,,Type))</f>
        <v/>
      </c>
      <c r="I837" s="69" t="str">
        <f>IF($B837="","",IPMT(Rate,ROWS($1:825),Nper,-PV,,Type))</f>
        <v/>
      </c>
      <c r="J837" s="73" t="str">
        <f t="shared" ref="J837:K837" si="827">IF($B837="","",N(J836)+N(H837))</f>
        <v/>
      </c>
      <c r="K837" s="74" t="str">
        <f t="shared" si="827"/>
        <v/>
      </c>
      <c r="L837" s="69" t="str">
        <f>IF($B837="","",PV-J837)</f>
        <v/>
      </c>
      <c r="M837" s="71" t="str">
        <f>IF($B837="","",J837/PV)</f>
        <v/>
      </c>
      <c r="N837" s="72" t="str">
        <f t="shared" si="4"/>
        <v/>
      </c>
    </row>
    <row r="838" ht="14.25" customHeight="1">
      <c r="B838" s="66" t="str">
        <f>IF(ROWS($1:826)&lt;=Nper,ROWS($1:826),"")</f>
        <v/>
      </c>
      <c r="C838" s="67" t="str">
        <f>IF($B838="","",IF($E$7="Weekly",Start_Date+7*(ROWS($1:826)-1),EDATE(Start_Date,VLOOKUP(IF(ASTemp!$E$7="","Monthly",ASTemp!$E$7),Parameters!$B$3:$D$6,3,0)*(ROWS($1:826)-1))))</f>
        <v/>
      </c>
      <c r="D838" s="68" t="str">
        <f t="shared" si="2"/>
        <v/>
      </c>
      <c r="E838" s="65" t="str">
        <f>IF($B838="","",VLOOKUP(MONTH(C838),Parameters!$F$2:$G$13,2,0))</f>
        <v/>
      </c>
      <c r="F838" s="69" t="str">
        <f>IF($B838="","",PV-N(J837))</f>
        <v/>
      </c>
      <c r="G838" s="69" t="str">
        <f>IF($B838="","",PMT(Rate,Nper,-PV,,Type))</f>
        <v/>
      </c>
      <c r="H838" s="69" t="str">
        <f>IF($B838="","",PPMT(Rate,ROWS($1:826),Nper,-PV,,Type))</f>
        <v/>
      </c>
      <c r="I838" s="69" t="str">
        <f>IF($B838="","",IPMT(Rate,ROWS($1:826),Nper,-PV,,Type))</f>
        <v/>
      </c>
      <c r="J838" s="73" t="str">
        <f t="shared" ref="J838:K838" si="828">IF($B838="","",N(J837)+N(H838))</f>
        <v/>
      </c>
      <c r="K838" s="74" t="str">
        <f t="shared" si="828"/>
        <v/>
      </c>
      <c r="L838" s="69" t="str">
        <f>IF($B838="","",PV-J838)</f>
        <v/>
      </c>
      <c r="M838" s="71" t="str">
        <f>IF($B838="","",J838/PV)</f>
        <v/>
      </c>
      <c r="N838" s="72" t="str">
        <f t="shared" si="4"/>
        <v/>
      </c>
    </row>
    <row r="839" ht="14.25" customHeight="1">
      <c r="B839" s="66" t="str">
        <f>IF(ROWS($1:827)&lt;=Nper,ROWS($1:827),"")</f>
        <v/>
      </c>
      <c r="C839" s="67" t="str">
        <f>IF($B839="","",IF($E$7="Weekly",Start_Date+7*(ROWS($1:827)-1),EDATE(Start_Date,VLOOKUP(IF(ASTemp!$E$7="","Monthly",ASTemp!$E$7),Parameters!$B$3:$D$6,3,0)*(ROWS($1:827)-1))))</f>
        <v/>
      </c>
      <c r="D839" s="68" t="str">
        <f t="shared" si="2"/>
        <v/>
      </c>
      <c r="E839" s="65" t="str">
        <f>IF($B839="","",VLOOKUP(MONTH(C839),Parameters!$F$2:$G$13,2,0))</f>
        <v/>
      </c>
      <c r="F839" s="69" t="str">
        <f>IF($B839="","",PV-N(J838))</f>
        <v/>
      </c>
      <c r="G839" s="69" t="str">
        <f>IF($B839="","",PMT(Rate,Nper,-PV,,Type))</f>
        <v/>
      </c>
      <c r="H839" s="69" t="str">
        <f>IF($B839="","",PPMT(Rate,ROWS($1:827),Nper,-PV,,Type))</f>
        <v/>
      </c>
      <c r="I839" s="69" t="str">
        <f>IF($B839="","",IPMT(Rate,ROWS($1:827),Nper,-PV,,Type))</f>
        <v/>
      </c>
      <c r="J839" s="73" t="str">
        <f t="shared" ref="J839:K839" si="829">IF($B839="","",N(J838)+N(H839))</f>
        <v/>
      </c>
      <c r="K839" s="74" t="str">
        <f t="shared" si="829"/>
        <v/>
      </c>
      <c r="L839" s="69" t="str">
        <f>IF($B839="","",PV-J839)</f>
        <v/>
      </c>
      <c r="M839" s="71" t="str">
        <f>IF($B839="","",J839/PV)</f>
        <v/>
      </c>
      <c r="N839" s="72" t="str">
        <f t="shared" si="4"/>
        <v/>
      </c>
    </row>
    <row r="840" ht="14.25" customHeight="1">
      <c r="B840" s="66" t="str">
        <f>IF(ROWS($1:828)&lt;=Nper,ROWS($1:828),"")</f>
        <v/>
      </c>
      <c r="C840" s="67" t="str">
        <f>IF($B840="","",IF($E$7="Weekly",Start_Date+7*(ROWS($1:828)-1),EDATE(Start_Date,VLOOKUP(IF(ASTemp!$E$7="","Monthly",ASTemp!$E$7),Parameters!$B$3:$D$6,3,0)*(ROWS($1:828)-1))))</f>
        <v/>
      </c>
      <c r="D840" s="68" t="str">
        <f t="shared" si="2"/>
        <v/>
      </c>
      <c r="E840" s="65" t="str">
        <f>IF($B840="","",VLOOKUP(MONTH(C840),Parameters!$F$2:$G$13,2,0))</f>
        <v/>
      </c>
      <c r="F840" s="69" t="str">
        <f>IF($B840="","",PV-N(J839))</f>
        <v/>
      </c>
      <c r="G840" s="69" t="str">
        <f>IF($B840="","",PMT(Rate,Nper,-PV,,Type))</f>
        <v/>
      </c>
      <c r="H840" s="69" t="str">
        <f>IF($B840="","",PPMT(Rate,ROWS($1:828),Nper,-PV,,Type))</f>
        <v/>
      </c>
      <c r="I840" s="69" t="str">
        <f>IF($B840="","",IPMT(Rate,ROWS($1:828),Nper,-PV,,Type))</f>
        <v/>
      </c>
      <c r="J840" s="73" t="str">
        <f t="shared" ref="J840:K840" si="830">IF($B840="","",N(J839)+N(H840))</f>
        <v/>
      </c>
      <c r="K840" s="74" t="str">
        <f t="shared" si="830"/>
        <v/>
      </c>
      <c r="L840" s="69" t="str">
        <f>IF($B840="","",PV-J840)</f>
        <v/>
      </c>
      <c r="M840" s="71" t="str">
        <f>IF($B840="","",J840/PV)</f>
        <v/>
      </c>
      <c r="N840" s="72" t="str">
        <f t="shared" si="4"/>
        <v/>
      </c>
    </row>
    <row r="841" ht="14.25" customHeight="1">
      <c r="B841" s="66" t="str">
        <f>IF(ROWS($1:829)&lt;=Nper,ROWS($1:829),"")</f>
        <v/>
      </c>
      <c r="C841" s="67" t="str">
        <f>IF($B841="","",IF($E$7="Weekly",Start_Date+7*(ROWS($1:829)-1),EDATE(Start_Date,VLOOKUP(IF(ASTemp!$E$7="","Monthly",ASTemp!$E$7),Parameters!$B$3:$D$6,3,0)*(ROWS($1:829)-1))))</f>
        <v/>
      </c>
      <c r="D841" s="68" t="str">
        <f t="shared" si="2"/>
        <v/>
      </c>
      <c r="E841" s="65" t="str">
        <f>IF($B841="","",VLOOKUP(MONTH(C841),Parameters!$F$2:$G$13,2,0))</f>
        <v/>
      </c>
      <c r="F841" s="69" t="str">
        <f>IF($B841="","",PV-N(J840))</f>
        <v/>
      </c>
      <c r="G841" s="69" t="str">
        <f>IF($B841="","",PMT(Rate,Nper,-PV,,Type))</f>
        <v/>
      </c>
      <c r="H841" s="69" t="str">
        <f>IF($B841="","",PPMT(Rate,ROWS($1:829),Nper,-PV,,Type))</f>
        <v/>
      </c>
      <c r="I841" s="69" t="str">
        <f>IF($B841="","",IPMT(Rate,ROWS($1:829),Nper,-PV,,Type))</f>
        <v/>
      </c>
      <c r="J841" s="73" t="str">
        <f t="shared" ref="J841:K841" si="831">IF($B841="","",N(J840)+N(H841))</f>
        <v/>
      </c>
      <c r="K841" s="74" t="str">
        <f t="shared" si="831"/>
        <v/>
      </c>
      <c r="L841" s="69" t="str">
        <f>IF($B841="","",PV-J841)</f>
        <v/>
      </c>
      <c r="M841" s="71" t="str">
        <f>IF($B841="","",J841/PV)</f>
        <v/>
      </c>
      <c r="N841" s="72" t="str">
        <f t="shared" si="4"/>
        <v/>
      </c>
    </row>
    <row r="842" ht="14.25" customHeight="1">
      <c r="B842" s="66" t="str">
        <f>IF(ROWS($1:830)&lt;=Nper,ROWS($1:830),"")</f>
        <v/>
      </c>
      <c r="C842" s="67" t="str">
        <f>IF($B842="","",IF($E$7="Weekly",Start_Date+7*(ROWS($1:830)-1),EDATE(Start_Date,VLOOKUP(IF(ASTemp!$E$7="","Monthly",ASTemp!$E$7),Parameters!$B$3:$D$6,3,0)*(ROWS($1:830)-1))))</f>
        <v/>
      </c>
      <c r="D842" s="68" t="str">
        <f t="shared" si="2"/>
        <v/>
      </c>
      <c r="E842" s="65" t="str">
        <f>IF($B842="","",VLOOKUP(MONTH(C842),Parameters!$F$2:$G$13,2,0))</f>
        <v/>
      </c>
      <c r="F842" s="69" t="str">
        <f>IF($B842="","",PV-N(J841))</f>
        <v/>
      </c>
      <c r="G842" s="69" t="str">
        <f>IF($B842="","",PMT(Rate,Nper,-PV,,Type))</f>
        <v/>
      </c>
      <c r="H842" s="69" t="str">
        <f>IF($B842="","",PPMT(Rate,ROWS($1:830),Nper,-PV,,Type))</f>
        <v/>
      </c>
      <c r="I842" s="69" t="str">
        <f>IF($B842="","",IPMT(Rate,ROWS($1:830),Nper,-PV,,Type))</f>
        <v/>
      </c>
      <c r="J842" s="73" t="str">
        <f t="shared" ref="J842:K842" si="832">IF($B842="","",N(J841)+N(H842))</f>
        <v/>
      </c>
      <c r="K842" s="74" t="str">
        <f t="shared" si="832"/>
        <v/>
      </c>
      <c r="L842" s="69" t="str">
        <f>IF($B842="","",PV-J842)</f>
        <v/>
      </c>
      <c r="M842" s="71" t="str">
        <f>IF($B842="","",J842/PV)</f>
        <v/>
      </c>
      <c r="N842" s="72" t="str">
        <f t="shared" si="4"/>
        <v/>
      </c>
    </row>
    <row r="843" ht="14.25" customHeight="1">
      <c r="B843" s="66" t="str">
        <f>IF(ROWS($1:831)&lt;=Nper,ROWS($1:831),"")</f>
        <v/>
      </c>
      <c r="C843" s="67" t="str">
        <f>IF($B843="","",IF($E$7="Weekly",Start_Date+7*(ROWS($1:831)-1),EDATE(Start_Date,VLOOKUP(IF(ASTemp!$E$7="","Monthly",ASTemp!$E$7),Parameters!$B$3:$D$6,3,0)*(ROWS($1:831)-1))))</f>
        <v/>
      </c>
      <c r="D843" s="68" t="str">
        <f t="shared" si="2"/>
        <v/>
      </c>
      <c r="E843" s="65" t="str">
        <f>IF($B843="","",VLOOKUP(MONTH(C843),Parameters!$F$2:$G$13,2,0))</f>
        <v/>
      </c>
      <c r="F843" s="69" t="str">
        <f>IF($B843="","",PV-N(J842))</f>
        <v/>
      </c>
      <c r="G843" s="69" t="str">
        <f>IF($B843="","",PMT(Rate,Nper,-PV,,Type))</f>
        <v/>
      </c>
      <c r="H843" s="69" t="str">
        <f>IF($B843="","",PPMT(Rate,ROWS($1:831),Nper,-PV,,Type))</f>
        <v/>
      </c>
      <c r="I843" s="69" t="str">
        <f>IF($B843="","",IPMT(Rate,ROWS($1:831),Nper,-PV,,Type))</f>
        <v/>
      </c>
      <c r="J843" s="73" t="str">
        <f t="shared" ref="J843:K843" si="833">IF($B843="","",N(J842)+N(H843))</f>
        <v/>
      </c>
      <c r="K843" s="74" t="str">
        <f t="shared" si="833"/>
        <v/>
      </c>
      <c r="L843" s="69" t="str">
        <f>IF($B843="","",PV-J843)</f>
        <v/>
      </c>
      <c r="M843" s="71" t="str">
        <f>IF($B843="","",J843/PV)</f>
        <v/>
      </c>
      <c r="N843" s="72" t="str">
        <f t="shared" si="4"/>
        <v/>
      </c>
    </row>
    <row r="844" ht="14.25" customHeight="1">
      <c r="B844" s="66" t="str">
        <f>IF(ROWS($1:832)&lt;=Nper,ROWS($1:832),"")</f>
        <v/>
      </c>
      <c r="C844" s="67" t="str">
        <f>IF($B844="","",IF($E$7="Weekly",Start_Date+7*(ROWS($1:832)-1),EDATE(Start_Date,VLOOKUP(IF(ASTemp!$E$7="","Monthly",ASTemp!$E$7),Parameters!$B$3:$D$6,3,0)*(ROWS($1:832)-1))))</f>
        <v/>
      </c>
      <c r="D844" s="68" t="str">
        <f t="shared" si="2"/>
        <v/>
      </c>
      <c r="E844" s="65" t="str">
        <f>IF($B844="","",VLOOKUP(MONTH(C844),Parameters!$F$2:$G$13,2,0))</f>
        <v/>
      </c>
      <c r="F844" s="69" t="str">
        <f>IF($B844="","",PV-N(J843))</f>
        <v/>
      </c>
      <c r="G844" s="69" t="str">
        <f>IF($B844="","",PMT(Rate,Nper,-PV,,Type))</f>
        <v/>
      </c>
      <c r="H844" s="69" t="str">
        <f>IF($B844="","",PPMT(Rate,ROWS($1:832),Nper,-PV,,Type))</f>
        <v/>
      </c>
      <c r="I844" s="69" t="str">
        <f>IF($B844="","",IPMT(Rate,ROWS($1:832),Nper,-PV,,Type))</f>
        <v/>
      </c>
      <c r="J844" s="73" t="str">
        <f t="shared" ref="J844:K844" si="834">IF($B844="","",N(J843)+N(H844))</f>
        <v/>
      </c>
      <c r="K844" s="74" t="str">
        <f t="shared" si="834"/>
        <v/>
      </c>
      <c r="L844" s="69" t="str">
        <f>IF($B844="","",PV-J844)</f>
        <v/>
      </c>
      <c r="M844" s="71" t="str">
        <f>IF($B844="","",J844/PV)</f>
        <v/>
      </c>
      <c r="N844" s="72" t="str">
        <f t="shared" si="4"/>
        <v/>
      </c>
    </row>
    <row r="845" ht="14.25" customHeight="1">
      <c r="B845" s="66" t="str">
        <f>IF(ROWS($1:833)&lt;=Nper,ROWS($1:833),"")</f>
        <v/>
      </c>
      <c r="C845" s="67" t="str">
        <f>IF($B845="","",IF($E$7="Weekly",Start_Date+7*(ROWS($1:833)-1),EDATE(Start_Date,VLOOKUP(IF(ASTemp!$E$7="","Monthly",ASTemp!$E$7),Parameters!$B$3:$D$6,3,0)*(ROWS($1:833)-1))))</f>
        <v/>
      </c>
      <c r="D845" s="68" t="str">
        <f t="shared" si="2"/>
        <v/>
      </c>
      <c r="E845" s="65" t="str">
        <f>IF($B845="","",VLOOKUP(MONTH(C845),Parameters!$F$2:$G$13,2,0))</f>
        <v/>
      </c>
      <c r="F845" s="69" t="str">
        <f>IF($B845="","",PV-N(J844))</f>
        <v/>
      </c>
      <c r="G845" s="69" t="str">
        <f>IF($B845="","",PMT(Rate,Nper,-PV,,Type))</f>
        <v/>
      </c>
      <c r="H845" s="69" t="str">
        <f>IF($B845="","",PPMT(Rate,ROWS($1:833),Nper,-PV,,Type))</f>
        <v/>
      </c>
      <c r="I845" s="69" t="str">
        <f>IF($B845="","",IPMT(Rate,ROWS($1:833),Nper,-PV,,Type))</f>
        <v/>
      </c>
      <c r="J845" s="73" t="str">
        <f t="shared" ref="J845:K845" si="835">IF($B845="","",N(J844)+N(H845))</f>
        <v/>
      </c>
      <c r="K845" s="74" t="str">
        <f t="shared" si="835"/>
        <v/>
      </c>
      <c r="L845" s="69" t="str">
        <f>IF($B845="","",PV-J845)</f>
        <v/>
      </c>
      <c r="M845" s="71" t="str">
        <f>IF($B845="","",J845/PV)</f>
        <v/>
      </c>
      <c r="N845" s="72" t="str">
        <f t="shared" si="4"/>
        <v/>
      </c>
    </row>
    <row r="846" ht="14.25" customHeight="1">
      <c r="B846" s="66" t="str">
        <f>IF(ROWS($1:834)&lt;=Nper,ROWS($1:834),"")</f>
        <v/>
      </c>
      <c r="C846" s="67" t="str">
        <f>IF($B846="","",IF($E$7="Weekly",Start_Date+7*(ROWS($1:834)-1),EDATE(Start_Date,VLOOKUP(IF(ASTemp!$E$7="","Monthly",ASTemp!$E$7),Parameters!$B$3:$D$6,3,0)*(ROWS($1:834)-1))))</f>
        <v/>
      </c>
      <c r="D846" s="68" t="str">
        <f t="shared" si="2"/>
        <v/>
      </c>
      <c r="E846" s="65" t="str">
        <f>IF($B846="","",VLOOKUP(MONTH(C846),Parameters!$F$2:$G$13,2,0))</f>
        <v/>
      </c>
      <c r="F846" s="69" t="str">
        <f>IF($B846="","",PV-N(J845))</f>
        <v/>
      </c>
      <c r="G846" s="69" t="str">
        <f>IF($B846="","",PMT(Rate,Nper,-PV,,Type))</f>
        <v/>
      </c>
      <c r="H846" s="69" t="str">
        <f>IF($B846="","",PPMT(Rate,ROWS($1:834),Nper,-PV,,Type))</f>
        <v/>
      </c>
      <c r="I846" s="69" t="str">
        <f>IF($B846="","",IPMT(Rate,ROWS($1:834),Nper,-PV,,Type))</f>
        <v/>
      </c>
      <c r="J846" s="73" t="str">
        <f t="shared" ref="J846:K846" si="836">IF($B846="","",N(J845)+N(H846))</f>
        <v/>
      </c>
      <c r="K846" s="74" t="str">
        <f t="shared" si="836"/>
        <v/>
      </c>
      <c r="L846" s="69" t="str">
        <f>IF($B846="","",PV-J846)</f>
        <v/>
      </c>
      <c r="M846" s="71" t="str">
        <f>IF($B846="","",J846/PV)</f>
        <v/>
      </c>
      <c r="N846" s="72" t="str">
        <f t="shared" si="4"/>
        <v/>
      </c>
    </row>
    <row r="847" ht="14.25" customHeight="1">
      <c r="B847" s="66" t="str">
        <f>IF(ROWS($1:835)&lt;=Nper,ROWS($1:835),"")</f>
        <v/>
      </c>
      <c r="C847" s="67" t="str">
        <f>IF($B847="","",IF($E$7="Weekly",Start_Date+7*(ROWS($1:835)-1),EDATE(Start_Date,VLOOKUP(IF(ASTemp!$E$7="","Monthly",ASTemp!$E$7),Parameters!$B$3:$D$6,3,0)*(ROWS($1:835)-1))))</f>
        <v/>
      </c>
      <c r="D847" s="68" t="str">
        <f t="shared" si="2"/>
        <v/>
      </c>
      <c r="E847" s="65" t="str">
        <f>IF($B847="","",VLOOKUP(MONTH(C847),Parameters!$F$2:$G$13,2,0))</f>
        <v/>
      </c>
      <c r="F847" s="69" t="str">
        <f>IF($B847="","",PV-N(J846))</f>
        <v/>
      </c>
      <c r="G847" s="69" t="str">
        <f>IF($B847="","",PMT(Rate,Nper,-PV,,Type))</f>
        <v/>
      </c>
      <c r="H847" s="69" t="str">
        <f>IF($B847="","",PPMT(Rate,ROWS($1:835),Nper,-PV,,Type))</f>
        <v/>
      </c>
      <c r="I847" s="69" t="str">
        <f>IF($B847="","",IPMT(Rate,ROWS($1:835),Nper,-PV,,Type))</f>
        <v/>
      </c>
      <c r="J847" s="73" t="str">
        <f t="shared" ref="J847:K847" si="837">IF($B847="","",N(J846)+N(H847))</f>
        <v/>
      </c>
      <c r="K847" s="74" t="str">
        <f t="shared" si="837"/>
        <v/>
      </c>
      <c r="L847" s="69" t="str">
        <f>IF($B847="","",PV-J847)</f>
        <v/>
      </c>
      <c r="M847" s="71" t="str">
        <f>IF($B847="","",J847/PV)</f>
        <v/>
      </c>
      <c r="N847" s="72" t="str">
        <f t="shared" si="4"/>
        <v/>
      </c>
    </row>
    <row r="848" ht="14.25" customHeight="1">
      <c r="B848" s="66" t="str">
        <f>IF(ROWS($1:836)&lt;=Nper,ROWS($1:836),"")</f>
        <v/>
      </c>
      <c r="C848" s="67" t="str">
        <f>IF($B848="","",IF($E$7="Weekly",Start_Date+7*(ROWS($1:836)-1),EDATE(Start_Date,VLOOKUP(IF(ASTemp!$E$7="","Monthly",ASTemp!$E$7),Parameters!$B$3:$D$6,3,0)*(ROWS($1:836)-1))))</f>
        <v/>
      </c>
      <c r="D848" s="68" t="str">
        <f t="shared" si="2"/>
        <v/>
      </c>
      <c r="E848" s="65" t="str">
        <f>IF($B848="","",VLOOKUP(MONTH(C848),Parameters!$F$2:$G$13,2,0))</f>
        <v/>
      </c>
      <c r="F848" s="69" t="str">
        <f>IF($B848="","",PV-N(J847))</f>
        <v/>
      </c>
      <c r="G848" s="69" t="str">
        <f>IF($B848="","",PMT(Rate,Nper,-PV,,Type))</f>
        <v/>
      </c>
      <c r="H848" s="69" t="str">
        <f>IF($B848="","",PPMT(Rate,ROWS($1:836),Nper,-PV,,Type))</f>
        <v/>
      </c>
      <c r="I848" s="69" t="str">
        <f>IF($B848="","",IPMT(Rate,ROWS($1:836),Nper,-PV,,Type))</f>
        <v/>
      </c>
      <c r="J848" s="73" t="str">
        <f t="shared" ref="J848:K848" si="838">IF($B848="","",N(J847)+N(H848))</f>
        <v/>
      </c>
      <c r="K848" s="74" t="str">
        <f t="shared" si="838"/>
        <v/>
      </c>
      <c r="L848" s="69" t="str">
        <f>IF($B848="","",PV-J848)</f>
        <v/>
      </c>
      <c r="M848" s="71" t="str">
        <f>IF($B848="","",J848/PV)</f>
        <v/>
      </c>
      <c r="N848" s="72" t="str">
        <f t="shared" si="4"/>
        <v/>
      </c>
    </row>
    <row r="849" ht="14.25" customHeight="1">
      <c r="B849" s="66" t="str">
        <f>IF(ROWS($1:837)&lt;=Nper,ROWS($1:837),"")</f>
        <v/>
      </c>
      <c r="C849" s="67" t="str">
        <f>IF($B849="","",IF($E$7="Weekly",Start_Date+7*(ROWS($1:837)-1),EDATE(Start_Date,VLOOKUP(IF(ASTemp!$E$7="","Monthly",ASTemp!$E$7),Parameters!$B$3:$D$6,3,0)*(ROWS($1:837)-1))))</f>
        <v/>
      </c>
      <c r="D849" s="68" t="str">
        <f t="shared" si="2"/>
        <v/>
      </c>
      <c r="E849" s="65" t="str">
        <f>IF($B849="","",VLOOKUP(MONTH(C849),Parameters!$F$2:$G$13,2,0))</f>
        <v/>
      </c>
      <c r="F849" s="69" t="str">
        <f>IF($B849="","",PV-N(J848))</f>
        <v/>
      </c>
      <c r="G849" s="69" t="str">
        <f>IF($B849="","",PMT(Rate,Nper,-PV,,Type))</f>
        <v/>
      </c>
      <c r="H849" s="69" t="str">
        <f>IF($B849="","",PPMT(Rate,ROWS($1:837),Nper,-PV,,Type))</f>
        <v/>
      </c>
      <c r="I849" s="69" t="str">
        <f>IF($B849="","",IPMT(Rate,ROWS($1:837),Nper,-PV,,Type))</f>
        <v/>
      </c>
      <c r="J849" s="73" t="str">
        <f t="shared" ref="J849:K849" si="839">IF($B849="","",N(J848)+N(H849))</f>
        <v/>
      </c>
      <c r="K849" s="74" t="str">
        <f t="shared" si="839"/>
        <v/>
      </c>
      <c r="L849" s="69" t="str">
        <f>IF($B849="","",PV-J849)</f>
        <v/>
      </c>
      <c r="M849" s="71" t="str">
        <f>IF($B849="","",J849/PV)</f>
        <v/>
      </c>
      <c r="N849" s="72" t="str">
        <f t="shared" si="4"/>
        <v/>
      </c>
    </row>
    <row r="850" ht="14.25" customHeight="1">
      <c r="B850" s="66" t="str">
        <f>IF(ROWS($1:838)&lt;=Nper,ROWS($1:838),"")</f>
        <v/>
      </c>
      <c r="C850" s="67" t="str">
        <f>IF($B850="","",IF($E$7="Weekly",Start_Date+7*(ROWS($1:838)-1),EDATE(Start_Date,VLOOKUP(IF(ASTemp!$E$7="","Monthly",ASTemp!$E$7),Parameters!$B$3:$D$6,3,0)*(ROWS($1:838)-1))))</f>
        <v/>
      </c>
      <c r="D850" s="68" t="str">
        <f t="shared" si="2"/>
        <v/>
      </c>
      <c r="E850" s="65" t="str">
        <f>IF($B850="","",VLOOKUP(MONTH(C850),Parameters!$F$2:$G$13,2,0))</f>
        <v/>
      </c>
      <c r="F850" s="69" t="str">
        <f>IF($B850="","",PV-N(J849))</f>
        <v/>
      </c>
      <c r="G850" s="69" t="str">
        <f>IF($B850="","",PMT(Rate,Nper,-PV,,Type))</f>
        <v/>
      </c>
      <c r="H850" s="69" t="str">
        <f>IF($B850="","",PPMT(Rate,ROWS($1:838),Nper,-PV,,Type))</f>
        <v/>
      </c>
      <c r="I850" s="69" t="str">
        <f>IF($B850="","",IPMT(Rate,ROWS($1:838),Nper,-PV,,Type))</f>
        <v/>
      </c>
      <c r="J850" s="73" t="str">
        <f t="shared" ref="J850:K850" si="840">IF($B850="","",N(J849)+N(H850))</f>
        <v/>
      </c>
      <c r="K850" s="74" t="str">
        <f t="shared" si="840"/>
        <v/>
      </c>
      <c r="L850" s="69" t="str">
        <f>IF($B850="","",PV-J850)</f>
        <v/>
      </c>
      <c r="M850" s="71" t="str">
        <f>IF($B850="","",J850/PV)</f>
        <v/>
      </c>
      <c r="N850" s="72" t="str">
        <f t="shared" si="4"/>
        <v/>
      </c>
    </row>
    <row r="851" ht="14.25" customHeight="1">
      <c r="B851" s="66" t="str">
        <f>IF(ROWS($1:839)&lt;=Nper,ROWS($1:839),"")</f>
        <v/>
      </c>
      <c r="C851" s="67" t="str">
        <f>IF($B851="","",IF($E$7="Weekly",Start_Date+7*(ROWS($1:839)-1),EDATE(Start_Date,VLOOKUP(IF(ASTemp!$E$7="","Monthly",ASTemp!$E$7),Parameters!$B$3:$D$6,3,0)*(ROWS($1:839)-1))))</f>
        <v/>
      </c>
      <c r="D851" s="68" t="str">
        <f t="shared" si="2"/>
        <v/>
      </c>
      <c r="E851" s="65" t="str">
        <f>IF($B851="","",VLOOKUP(MONTH(C851),Parameters!$F$2:$G$13,2,0))</f>
        <v/>
      </c>
      <c r="F851" s="69" t="str">
        <f>IF($B851="","",PV-N(J850))</f>
        <v/>
      </c>
      <c r="G851" s="69" t="str">
        <f>IF($B851="","",PMT(Rate,Nper,-PV,,Type))</f>
        <v/>
      </c>
      <c r="H851" s="69" t="str">
        <f>IF($B851="","",PPMT(Rate,ROWS($1:839),Nper,-PV,,Type))</f>
        <v/>
      </c>
      <c r="I851" s="69" t="str">
        <f>IF($B851="","",IPMT(Rate,ROWS($1:839),Nper,-PV,,Type))</f>
        <v/>
      </c>
      <c r="J851" s="73" t="str">
        <f t="shared" ref="J851:K851" si="841">IF($B851="","",N(J850)+N(H851))</f>
        <v/>
      </c>
      <c r="K851" s="74" t="str">
        <f t="shared" si="841"/>
        <v/>
      </c>
      <c r="L851" s="69" t="str">
        <f>IF($B851="","",PV-J851)</f>
        <v/>
      </c>
      <c r="M851" s="71" t="str">
        <f>IF($B851="","",J851/PV)</f>
        <v/>
      </c>
      <c r="N851" s="72" t="str">
        <f t="shared" si="4"/>
        <v/>
      </c>
    </row>
    <row r="852" ht="14.25" customHeight="1">
      <c r="B852" s="66" t="str">
        <f>IF(ROWS($1:840)&lt;=Nper,ROWS($1:840),"")</f>
        <v/>
      </c>
      <c r="C852" s="67" t="str">
        <f>IF($B852="","",IF($E$7="Weekly",Start_Date+7*(ROWS($1:840)-1),EDATE(Start_Date,VLOOKUP(IF(ASTemp!$E$7="","Monthly",ASTemp!$E$7),Parameters!$B$3:$D$6,3,0)*(ROWS($1:840)-1))))</f>
        <v/>
      </c>
      <c r="D852" s="68" t="str">
        <f t="shared" si="2"/>
        <v/>
      </c>
      <c r="E852" s="65" t="str">
        <f>IF($B852="","",VLOOKUP(MONTH(C852),Parameters!$F$2:$G$13,2,0))</f>
        <v/>
      </c>
      <c r="F852" s="69" t="str">
        <f>IF($B852="","",PV-N(J851))</f>
        <v/>
      </c>
      <c r="G852" s="69" t="str">
        <f>IF($B852="","",PMT(Rate,Nper,-PV,,Type))</f>
        <v/>
      </c>
      <c r="H852" s="69" t="str">
        <f>IF($B852="","",PPMT(Rate,ROWS($1:840),Nper,-PV,,Type))</f>
        <v/>
      </c>
      <c r="I852" s="69" t="str">
        <f>IF($B852="","",IPMT(Rate,ROWS($1:840),Nper,-PV,,Type))</f>
        <v/>
      </c>
      <c r="J852" s="73" t="str">
        <f t="shared" ref="J852:K852" si="842">IF($B852="","",N(J851)+N(H852))</f>
        <v/>
      </c>
      <c r="K852" s="74" t="str">
        <f t="shared" si="842"/>
        <v/>
      </c>
      <c r="L852" s="69" t="str">
        <f>IF($B852="","",PV-J852)</f>
        <v/>
      </c>
      <c r="M852" s="71" t="str">
        <f>IF($B852="","",J852/PV)</f>
        <v/>
      </c>
      <c r="N852" s="72" t="str">
        <f t="shared" si="4"/>
        <v/>
      </c>
    </row>
    <row r="853" ht="14.25" customHeight="1">
      <c r="B853" s="66" t="str">
        <f>IF(ROWS($1:841)&lt;=Nper,ROWS($1:841),"")</f>
        <v/>
      </c>
      <c r="C853" s="67" t="str">
        <f>IF($B853="","",IF($E$7="Weekly",Start_Date+7*(ROWS($1:841)-1),EDATE(Start_Date,VLOOKUP(IF(ASTemp!$E$7="","Monthly",ASTemp!$E$7),Parameters!$B$3:$D$6,3,0)*(ROWS($1:841)-1))))</f>
        <v/>
      </c>
      <c r="D853" s="68" t="str">
        <f t="shared" si="2"/>
        <v/>
      </c>
      <c r="E853" s="65" t="str">
        <f>IF($B853="","",VLOOKUP(MONTH(C853),Parameters!$F$2:$G$13,2,0))</f>
        <v/>
      </c>
      <c r="F853" s="69" t="str">
        <f>IF($B853="","",PV-N(J852))</f>
        <v/>
      </c>
      <c r="G853" s="69" t="str">
        <f>IF($B853="","",PMT(Rate,Nper,-PV,,Type))</f>
        <v/>
      </c>
      <c r="H853" s="69" t="str">
        <f>IF($B853="","",PPMT(Rate,ROWS($1:841),Nper,-PV,,Type))</f>
        <v/>
      </c>
      <c r="I853" s="69" t="str">
        <f>IF($B853="","",IPMT(Rate,ROWS($1:841),Nper,-PV,,Type))</f>
        <v/>
      </c>
      <c r="J853" s="73" t="str">
        <f t="shared" ref="J853:K853" si="843">IF($B853="","",N(J852)+N(H853))</f>
        <v/>
      </c>
      <c r="K853" s="74" t="str">
        <f t="shared" si="843"/>
        <v/>
      </c>
      <c r="L853" s="69" t="str">
        <f>IF($B853="","",PV-J853)</f>
        <v/>
      </c>
      <c r="M853" s="71" t="str">
        <f>IF($B853="","",J853/PV)</f>
        <v/>
      </c>
      <c r="N853" s="72" t="str">
        <f t="shared" si="4"/>
        <v/>
      </c>
    </row>
    <row r="854" ht="14.25" customHeight="1">
      <c r="B854" s="66" t="str">
        <f>IF(ROWS($1:842)&lt;=Nper,ROWS($1:842),"")</f>
        <v/>
      </c>
      <c r="C854" s="67" t="str">
        <f>IF($B854="","",IF($E$7="Weekly",Start_Date+7*(ROWS($1:842)-1),EDATE(Start_Date,VLOOKUP(IF(ASTemp!$E$7="","Monthly",ASTemp!$E$7),Parameters!$B$3:$D$6,3,0)*(ROWS($1:842)-1))))</f>
        <v/>
      </c>
      <c r="D854" s="68" t="str">
        <f t="shared" si="2"/>
        <v/>
      </c>
      <c r="E854" s="65" t="str">
        <f>IF($B854="","",VLOOKUP(MONTH(C854),Parameters!$F$2:$G$13,2,0))</f>
        <v/>
      </c>
      <c r="F854" s="69" t="str">
        <f>IF($B854="","",PV-N(J853))</f>
        <v/>
      </c>
      <c r="G854" s="69" t="str">
        <f>IF($B854="","",PMT(Rate,Nper,-PV,,Type))</f>
        <v/>
      </c>
      <c r="H854" s="69" t="str">
        <f>IF($B854="","",PPMT(Rate,ROWS($1:842),Nper,-PV,,Type))</f>
        <v/>
      </c>
      <c r="I854" s="69" t="str">
        <f>IF($B854="","",IPMT(Rate,ROWS($1:842),Nper,-PV,,Type))</f>
        <v/>
      </c>
      <c r="J854" s="73" t="str">
        <f t="shared" ref="J854:K854" si="844">IF($B854="","",N(J853)+N(H854))</f>
        <v/>
      </c>
      <c r="K854" s="74" t="str">
        <f t="shared" si="844"/>
        <v/>
      </c>
      <c r="L854" s="69" t="str">
        <f>IF($B854="","",PV-J854)</f>
        <v/>
      </c>
      <c r="M854" s="71" t="str">
        <f>IF($B854="","",J854/PV)</f>
        <v/>
      </c>
      <c r="N854" s="72" t="str">
        <f t="shared" si="4"/>
        <v/>
      </c>
    </row>
    <row r="855" ht="14.25" customHeight="1">
      <c r="B855" s="66" t="str">
        <f>IF(ROWS($1:843)&lt;=Nper,ROWS($1:843),"")</f>
        <v/>
      </c>
      <c r="C855" s="67" t="str">
        <f>IF($B855="","",IF($E$7="Weekly",Start_Date+7*(ROWS($1:843)-1),EDATE(Start_Date,VLOOKUP(IF(ASTemp!$E$7="","Monthly",ASTemp!$E$7),Parameters!$B$3:$D$6,3,0)*(ROWS($1:843)-1))))</f>
        <v/>
      </c>
      <c r="D855" s="68" t="str">
        <f t="shared" si="2"/>
        <v/>
      </c>
      <c r="E855" s="65" t="str">
        <f>IF($B855="","",VLOOKUP(MONTH(C855),Parameters!$F$2:$G$13,2,0))</f>
        <v/>
      </c>
      <c r="F855" s="69" t="str">
        <f>IF($B855="","",PV-N(J854))</f>
        <v/>
      </c>
      <c r="G855" s="69" t="str">
        <f>IF($B855="","",PMT(Rate,Nper,-PV,,Type))</f>
        <v/>
      </c>
      <c r="H855" s="69" t="str">
        <f>IF($B855="","",PPMT(Rate,ROWS($1:843),Nper,-PV,,Type))</f>
        <v/>
      </c>
      <c r="I855" s="69" t="str">
        <f>IF($B855="","",IPMT(Rate,ROWS($1:843),Nper,-PV,,Type))</f>
        <v/>
      </c>
      <c r="J855" s="73" t="str">
        <f t="shared" ref="J855:K855" si="845">IF($B855="","",N(J854)+N(H855))</f>
        <v/>
      </c>
      <c r="K855" s="74" t="str">
        <f t="shared" si="845"/>
        <v/>
      </c>
      <c r="L855" s="69" t="str">
        <f>IF($B855="","",PV-J855)</f>
        <v/>
      </c>
      <c r="M855" s="71" t="str">
        <f>IF($B855="","",J855/PV)</f>
        <v/>
      </c>
      <c r="N855" s="72" t="str">
        <f t="shared" si="4"/>
        <v/>
      </c>
    </row>
    <row r="856" ht="14.25" customHeight="1">
      <c r="B856" s="66" t="str">
        <f>IF(ROWS($1:844)&lt;=Nper,ROWS($1:844),"")</f>
        <v/>
      </c>
      <c r="C856" s="67" t="str">
        <f>IF($B856="","",IF($E$7="Weekly",Start_Date+7*(ROWS($1:844)-1),EDATE(Start_Date,VLOOKUP(IF(ASTemp!$E$7="","Monthly",ASTemp!$E$7),Parameters!$B$3:$D$6,3,0)*(ROWS($1:844)-1))))</f>
        <v/>
      </c>
      <c r="D856" s="68" t="str">
        <f t="shared" si="2"/>
        <v/>
      </c>
      <c r="E856" s="65" t="str">
        <f>IF($B856="","",VLOOKUP(MONTH(C856),Parameters!$F$2:$G$13,2,0))</f>
        <v/>
      </c>
      <c r="F856" s="69" t="str">
        <f>IF($B856="","",PV-N(J855))</f>
        <v/>
      </c>
      <c r="G856" s="69" t="str">
        <f>IF($B856="","",PMT(Rate,Nper,-PV,,Type))</f>
        <v/>
      </c>
      <c r="H856" s="69" t="str">
        <f>IF($B856="","",PPMT(Rate,ROWS($1:844),Nper,-PV,,Type))</f>
        <v/>
      </c>
      <c r="I856" s="69" t="str">
        <f>IF($B856="","",IPMT(Rate,ROWS($1:844),Nper,-PV,,Type))</f>
        <v/>
      </c>
      <c r="J856" s="73" t="str">
        <f t="shared" ref="J856:K856" si="846">IF($B856="","",N(J855)+N(H856))</f>
        <v/>
      </c>
      <c r="K856" s="74" t="str">
        <f t="shared" si="846"/>
        <v/>
      </c>
      <c r="L856" s="69" t="str">
        <f>IF($B856="","",PV-J856)</f>
        <v/>
      </c>
      <c r="M856" s="71" t="str">
        <f>IF($B856="","",J856/PV)</f>
        <v/>
      </c>
      <c r="N856" s="72" t="str">
        <f t="shared" si="4"/>
        <v/>
      </c>
    </row>
    <row r="857" ht="14.25" customHeight="1">
      <c r="B857" s="66" t="str">
        <f>IF(ROWS($1:845)&lt;=Nper,ROWS($1:845),"")</f>
        <v/>
      </c>
      <c r="C857" s="67" t="str">
        <f>IF($B857="","",IF($E$7="Weekly",Start_Date+7*(ROWS($1:845)-1),EDATE(Start_Date,VLOOKUP(IF(ASTemp!$E$7="","Monthly",ASTemp!$E$7),Parameters!$B$3:$D$6,3,0)*(ROWS($1:845)-1))))</f>
        <v/>
      </c>
      <c r="D857" s="68" t="str">
        <f t="shared" si="2"/>
        <v/>
      </c>
      <c r="E857" s="65" t="str">
        <f>IF($B857="","",VLOOKUP(MONTH(C857),Parameters!$F$2:$G$13,2,0))</f>
        <v/>
      </c>
      <c r="F857" s="69" t="str">
        <f>IF($B857="","",PV-N(J856))</f>
        <v/>
      </c>
      <c r="G857" s="69" t="str">
        <f>IF($B857="","",PMT(Rate,Nper,-PV,,Type))</f>
        <v/>
      </c>
      <c r="H857" s="69" t="str">
        <f>IF($B857="","",PPMT(Rate,ROWS($1:845),Nper,-PV,,Type))</f>
        <v/>
      </c>
      <c r="I857" s="69" t="str">
        <f>IF($B857="","",IPMT(Rate,ROWS($1:845),Nper,-PV,,Type))</f>
        <v/>
      </c>
      <c r="J857" s="73" t="str">
        <f t="shared" ref="J857:K857" si="847">IF($B857="","",N(J856)+N(H857))</f>
        <v/>
      </c>
      <c r="K857" s="74" t="str">
        <f t="shared" si="847"/>
        <v/>
      </c>
      <c r="L857" s="69" t="str">
        <f>IF($B857="","",PV-J857)</f>
        <v/>
      </c>
      <c r="M857" s="71" t="str">
        <f>IF($B857="","",J857/PV)</f>
        <v/>
      </c>
      <c r="N857" s="72" t="str">
        <f t="shared" si="4"/>
        <v/>
      </c>
    </row>
    <row r="858" ht="14.25" customHeight="1">
      <c r="B858" s="66" t="str">
        <f>IF(ROWS($1:846)&lt;=Nper,ROWS($1:846),"")</f>
        <v/>
      </c>
      <c r="C858" s="67" t="str">
        <f>IF($B858="","",IF($E$7="Weekly",Start_Date+7*(ROWS($1:846)-1),EDATE(Start_Date,VLOOKUP(IF(ASTemp!$E$7="","Monthly",ASTemp!$E$7),Parameters!$B$3:$D$6,3,0)*(ROWS($1:846)-1))))</f>
        <v/>
      </c>
      <c r="D858" s="68" t="str">
        <f t="shared" si="2"/>
        <v/>
      </c>
      <c r="E858" s="65" t="str">
        <f>IF($B858="","",VLOOKUP(MONTH(C858),Parameters!$F$2:$G$13,2,0))</f>
        <v/>
      </c>
      <c r="F858" s="69" t="str">
        <f>IF($B858="","",PV-N(J857))</f>
        <v/>
      </c>
      <c r="G858" s="69" t="str">
        <f>IF($B858="","",PMT(Rate,Nper,-PV,,Type))</f>
        <v/>
      </c>
      <c r="H858" s="69" t="str">
        <f>IF($B858="","",PPMT(Rate,ROWS($1:846),Nper,-PV,,Type))</f>
        <v/>
      </c>
      <c r="I858" s="69" t="str">
        <f>IF($B858="","",IPMT(Rate,ROWS($1:846),Nper,-PV,,Type))</f>
        <v/>
      </c>
      <c r="J858" s="73" t="str">
        <f t="shared" ref="J858:K858" si="848">IF($B858="","",N(J857)+N(H858))</f>
        <v/>
      </c>
      <c r="K858" s="74" t="str">
        <f t="shared" si="848"/>
        <v/>
      </c>
      <c r="L858" s="69" t="str">
        <f>IF($B858="","",PV-J858)</f>
        <v/>
      </c>
      <c r="M858" s="71" t="str">
        <f>IF($B858="","",J858/PV)</f>
        <v/>
      </c>
      <c r="N858" s="72" t="str">
        <f t="shared" si="4"/>
        <v/>
      </c>
    </row>
    <row r="859" ht="14.25" customHeight="1">
      <c r="B859" s="66" t="str">
        <f>IF(ROWS($1:847)&lt;=Nper,ROWS($1:847),"")</f>
        <v/>
      </c>
      <c r="C859" s="67" t="str">
        <f>IF($B859="","",IF($E$7="Weekly",Start_Date+7*(ROWS($1:847)-1),EDATE(Start_Date,VLOOKUP(IF(ASTemp!$E$7="","Monthly",ASTemp!$E$7),Parameters!$B$3:$D$6,3,0)*(ROWS($1:847)-1))))</f>
        <v/>
      </c>
      <c r="D859" s="68" t="str">
        <f t="shared" si="2"/>
        <v/>
      </c>
      <c r="E859" s="65" t="str">
        <f>IF($B859="","",VLOOKUP(MONTH(C859),Parameters!$F$2:$G$13,2,0))</f>
        <v/>
      </c>
      <c r="F859" s="69" t="str">
        <f>IF($B859="","",PV-N(J858))</f>
        <v/>
      </c>
      <c r="G859" s="69" t="str">
        <f>IF($B859="","",PMT(Rate,Nper,-PV,,Type))</f>
        <v/>
      </c>
      <c r="H859" s="69" t="str">
        <f>IF($B859="","",PPMT(Rate,ROWS($1:847),Nper,-PV,,Type))</f>
        <v/>
      </c>
      <c r="I859" s="69" t="str">
        <f>IF($B859="","",IPMT(Rate,ROWS($1:847),Nper,-PV,,Type))</f>
        <v/>
      </c>
      <c r="J859" s="73" t="str">
        <f t="shared" ref="J859:K859" si="849">IF($B859="","",N(J858)+N(H859))</f>
        <v/>
      </c>
      <c r="K859" s="74" t="str">
        <f t="shared" si="849"/>
        <v/>
      </c>
      <c r="L859" s="69" t="str">
        <f>IF($B859="","",PV-J859)</f>
        <v/>
      </c>
      <c r="M859" s="71" t="str">
        <f>IF($B859="","",J859/PV)</f>
        <v/>
      </c>
      <c r="N859" s="72" t="str">
        <f t="shared" si="4"/>
        <v/>
      </c>
    </row>
    <row r="860" ht="14.25" customHeight="1">
      <c r="B860" s="66" t="str">
        <f>IF(ROWS($1:848)&lt;=Nper,ROWS($1:848),"")</f>
        <v/>
      </c>
      <c r="C860" s="67" t="str">
        <f>IF($B860="","",IF($E$7="Weekly",Start_Date+7*(ROWS($1:848)-1),EDATE(Start_Date,VLOOKUP(IF(ASTemp!$E$7="","Monthly",ASTemp!$E$7),Parameters!$B$3:$D$6,3,0)*(ROWS($1:848)-1))))</f>
        <v/>
      </c>
      <c r="D860" s="68" t="str">
        <f t="shared" si="2"/>
        <v/>
      </c>
      <c r="E860" s="65" t="str">
        <f>IF($B860="","",VLOOKUP(MONTH(C860),Parameters!$F$2:$G$13,2,0))</f>
        <v/>
      </c>
      <c r="F860" s="69" t="str">
        <f>IF($B860="","",PV-N(J859))</f>
        <v/>
      </c>
      <c r="G860" s="69" t="str">
        <f>IF($B860="","",PMT(Rate,Nper,-PV,,Type))</f>
        <v/>
      </c>
      <c r="H860" s="69" t="str">
        <f>IF($B860="","",PPMT(Rate,ROWS($1:848),Nper,-PV,,Type))</f>
        <v/>
      </c>
      <c r="I860" s="69" t="str">
        <f>IF($B860="","",IPMT(Rate,ROWS($1:848),Nper,-PV,,Type))</f>
        <v/>
      </c>
      <c r="J860" s="73" t="str">
        <f t="shared" ref="J860:K860" si="850">IF($B860="","",N(J859)+N(H860))</f>
        <v/>
      </c>
      <c r="K860" s="74" t="str">
        <f t="shared" si="850"/>
        <v/>
      </c>
      <c r="L860" s="69" t="str">
        <f>IF($B860="","",PV-J860)</f>
        <v/>
      </c>
      <c r="M860" s="71" t="str">
        <f>IF($B860="","",J860/PV)</f>
        <v/>
      </c>
      <c r="N860" s="72" t="str">
        <f t="shared" si="4"/>
        <v/>
      </c>
    </row>
    <row r="861" ht="14.25" customHeight="1">
      <c r="B861" s="66" t="str">
        <f>IF(ROWS($1:849)&lt;=Nper,ROWS($1:849),"")</f>
        <v/>
      </c>
      <c r="C861" s="67" t="str">
        <f>IF($B861="","",IF($E$7="Weekly",Start_Date+7*(ROWS($1:849)-1),EDATE(Start_Date,VLOOKUP(IF(ASTemp!$E$7="","Monthly",ASTemp!$E$7),Parameters!$B$3:$D$6,3,0)*(ROWS($1:849)-1))))</f>
        <v/>
      </c>
      <c r="D861" s="68" t="str">
        <f t="shared" si="2"/>
        <v/>
      </c>
      <c r="E861" s="65" t="str">
        <f>IF($B861="","",VLOOKUP(MONTH(C861),Parameters!$F$2:$G$13,2,0))</f>
        <v/>
      </c>
      <c r="F861" s="69" t="str">
        <f>IF($B861="","",PV-N(J860))</f>
        <v/>
      </c>
      <c r="G861" s="69" t="str">
        <f>IF($B861="","",PMT(Rate,Nper,-PV,,Type))</f>
        <v/>
      </c>
      <c r="H861" s="69" t="str">
        <f>IF($B861="","",PPMT(Rate,ROWS($1:849),Nper,-PV,,Type))</f>
        <v/>
      </c>
      <c r="I861" s="69" t="str">
        <f>IF($B861="","",IPMT(Rate,ROWS($1:849),Nper,-PV,,Type))</f>
        <v/>
      </c>
      <c r="J861" s="73" t="str">
        <f t="shared" ref="J861:K861" si="851">IF($B861="","",N(J860)+N(H861))</f>
        <v/>
      </c>
      <c r="K861" s="74" t="str">
        <f t="shared" si="851"/>
        <v/>
      </c>
      <c r="L861" s="69" t="str">
        <f>IF($B861="","",PV-J861)</f>
        <v/>
      </c>
      <c r="M861" s="71" t="str">
        <f>IF($B861="","",J861/PV)</f>
        <v/>
      </c>
      <c r="N861" s="72" t="str">
        <f t="shared" si="4"/>
        <v/>
      </c>
    </row>
    <row r="862" ht="14.25" customHeight="1">
      <c r="B862" s="66" t="str">
        <f>IF(ROWS($1:850)&lt;=Nper,ROWS($1:850),"")</f>
        <v/>
      </c>
      <c r="C862" s="67" t="str">
        <f>IF($B862="","",IF($E$7="Weekly",Start_Date+7*(ROWS($1:850)-1),EDATE(Start_Date,VLOOKUP(IF(ASTemp!$E$7="","Monthly",ASTemp!$E$7),Parameters!$B$3:$D$6,3,0)*(ROWS($1:850)-1))))</f>
        <v/>
      </c>
      <c r="D862" s="68" t="str">
        <f t="shared" si="2"/>
        <v/>
      </c>
      <c r="E862" s="65" t="str">
        <f>IF($B862="","",VLOOKUP(MONTH(C862),Parameters!$F$2:$G$13,2,0))</f>
        <v/>
      </c>
      <c r="F862" s="69" t="str">
        <f>IF($B862="","",PV-N(J861))</f>
        <v/>
      </c>
      <c r="G862" s="69" t="str">
        <f>IF($B862="","",PMT(Rate,Nper,-PV,,Type))</f>
        <v/>
      </c>
      <c r="H862" s="69" t="str">
        <f>IF($B862="","",PPMT(Rate,ROWS($1:850),Nper,-PV,,Type))</f>
        <v/>
      </c>
      <c r="I862" s="69" t="str">
        <f>IF($B862="","",IPMT(Rate,ROWS($1:850),Nper,-PV,,Type))</f>
        <v/>
      </c>
      <c r="J862" s="73" t="str">
        <f t="shared" ref="J862:K862" si="852">IF($B862="","",N(J861)+N(H862))</f>
        <v/>
      </c>
      <c r="K862" s="74" t="str">
        <f t="shared" si="852"/>
        <v/>
      </c>
      <c r="L862" s="69" t="str">
        <f>IF($B862="","",PV-J862)</f>
        <v/>
      </c>
      <c r="M862" s="71" t="str">
        <f>IF($B862="","",J862/PV)</f>
        <v/>
      </c>
      <c r="N862" s="72" t="str">
        <f t="shared" si="4"/>
        <v/>
      </c>
    </row>
    <row r="863" ht="14.25" customHeight="1">
      <c r="B863" s="66" t="str">
        <f>IF(ROWS($1:851)&lt;=Nper,ROWS($1:851),"")</f>
        <v/>
      </c>
      <c r="C863" s="67" t="str">
        <f>IF($B863="","",IF($E$7="Weekly",Start_Date+7*(ROWS($1:851)-1),EDATE(Start_Date,VLOOKUP(IF(ASTemp!$E$7="","Monthly",ASTemp!$E$7),Parameters!$B$3:$D$6,3,0)*(ROWS($1:851)-1))))</f>
        <v/>
      </c>
      <c r="D863" s="68" t="str">
        <f t="shared" si="2"/>
        <v/>
      </c>
      <c r="E863" s="65" t="str">
        <f>IF($B863="","",VLOOKUP(MONTH(C863),Parameters!$F$2:$G$13,2,0))</f>
        <v/>
      </c>
      <c r="F863" s="69" t="str">
        <f>IF($B863="","",PV-N(J862))</f>
        <v/>
      </c>
      <c r="G863" s="69" t="str">
        <f>IF($B863="","",PMT(Rate,Nper,-PV,,Type))</f>
        <v/>
      </c>
      <c r="H863" s="69" t="str">
        <f>IF($B863="","",PPMT(Rate,ROWS($1:851),Nper,-PV,,Type))</f>
        <v/>
      </c>
      <c r="I863" s="69" t="str">
        <f>IF($B863="","",IPMT(Rate,ROWS($1:851),Nper,-PV,,Type))</f>
        <v/>
      </c>
      <c r="J863" s="73" t="str">
        <f t="shared" ref="J863:K863" si="853">IF($B863="","",N(J862)+N(H863))</f>
        <v/>
      </c>
      <c r="K863" s="74" t="str">
        <f t="shared" si="853"/>
        <v/>
      </c>
      <c r="L863" s="69" t="str">
        <f>IF($B863="","",PV-J863)</f>
        <v/>
      </c>
      <c r="M863" s="71" t="str">
        <f>IF($B863="","",J863/PV)</f>
        <v/>
      </c>
      <c r="N863" s="72" t="str">
        <f t="shared" si="4"/>
        <v/>
      </c>
    </row>
    <row r="864" ht="14.25" customHeight="1">
      <c r="B864" s="66" t="str">
        <f>IF(ROWS($1:852)&lt;=Nper,ROWS($1:852),"")</f>
        <v/>
      </c>
      <c r="C864" s="67" t="str">
        <f>IF($B864="","",IF($E$7="Weekly",Start_Date+7*(ROWS($1:852)-1),EDATE(Start_Date,VLOOKUP(IF(ASTemp!$E$7="","Monthly",ASTemp!$E$7),Parameters!$B$3:$D$6,3,0)*(ROWS($1:852)-1))))</f>
        <v/>
      </c>
      <c r="D864" s="68" t="str">
        <f t="shared" si="2"/>
        <v/>
      </c>
      <c r="E864" s="65" t="str">
        <f>IF($B864="","",VLOOKUP(MONTH(C864),Parameters!$F$2:$G$13,2,0))</f>
        <v/>
      </c>
      <c r="F864" s="69" t="str">
        <f>IF($B864="","",PV-N(J863))</f>
        <v/>
      </c>
      <c r="G864" s="69" t="str">
        <f>IF($B864="","",PMT(Rate,Nper,-PV,,Type))</f>
        <v/>
      </c>
      <c r="H864" s="69" t="str">
        <f>IF($B864="","",PPMT(Rate,ROWS($1:852),Nper,-PV,,Type))</f>
        <v/>
      </c>
      <c r="I864" s="69" t="str">
        <f>IF($B864="","",IPMT(Rate,ROWS($1:852),Nper,-PV,,Type))</f>
        <v/>
      </c>
      <c r="J864" s="73" t="str">
        <f t="shared" ref="J864:K864" si="854">IF($B864="","",N(J863)+N(H864))</f>
        <v/>
      </c>
      <c r="K864" s="74" t="str">
        <f t="shared" si="854"/>
        <v/>
      </c>
      <c r="L864" s="69" t="str">
        <f>IF($B864="","",PV-J864)</f>
        <v/>
      </c>
      <c r="M864" s="71" t="str">
        <f>IF($B864="","",J864/PV)</f>
        <v/>
      </c>
      <c r="N864" s="72" t="str">
        <f t="shared" si="4"/>
        <v/>
      </c>
    </row>
    <row r="865" ht="14.25" customHeight="1">
      <c r="B865" s="66" t="str">
        <f>IF(ROWS($1:853)&lt;=Nper,ROWS($1:853),"")</f>
        <v/>
      </c>
      <c r="C865" s="67" t="str">
        <f>IF($B865="","",IF($E$7="Weekly",Start_Date+7*(ROWS($1:853)-1),EDATE(Start_Date,VLOOKUP(IF(ASTemp!$E$7="","Monthly",ASTemp!$E$7),Parameters!$B$3:$D$6,3,0)*(ROWS($1:853)-1))))</f>
        <v/>
      </c>
      <c r="D865" s="68" t="str">
        <f t="shared" si="2"/>
        <v/>
      </c>
      <c r="E865" s="65" t="str">
        <f>IF($B865="","",VLOOKUP(MONTH(C865),Parameters!$F$2:$G$13,2,0))</f>
        <v/>
      </c>
      <c r="F865" s="69" t="str">
        <f>IF($B865="","",PV-N(J864))</f>
        <v/>
      </c>
      <c r="G865" s="69" t="str">
        <f>IF($B865="","",PMT(Rate,Nper,-PV,,Type))</f>
        <v/>
      </c>
      <c r="H865" s="69" t="str">
        <f>IF($B865="","",PPMT(Rate,ROWS($1:853),Nper,-PV,,Type))</f>
        <v/>
      </c>
      <c r="I865" s="69" t="str">
        <f>IF($B865="","",IPMT(Rate,ROWS($1:853),Nper,-PV,,Type))</f>
        <v/>
      </c>
      <c r="J865" s="73" t="str">
        <f t="shared" ref="J865:K865" si="855">IF($B865="","",N(J864)+N(H865))</f>
        <v/>
      </c>
      <c r="K865" s="74" t="str">
        <f t="shared" si="855"/>
        <v/>
      </c>
      <c r="L865" s="69" t="str">
        <f>IF($B865="","",PV-J865)</f>
        <v/>
      </c>
      <c r="M865" s="71" t="str">
        <f>IF($B865="","",J865/PV)</f>
        <v/>
      </c>
      <c r="N865" s="72" t="str">
        <f t="shared" si="4"/>
        <v/>
      </c>
    </row>
    <row r="866" ht="14.25" customHeight="1">
      <c r="B866" s="66" t="str">
        <f>IF(ROWS($1:854)&lt;=Nper,ROWS($1:854),"")</f>
        <v/>
      </c>
      <c r="C866" s="67" t="str">
        <f>IF($B866="","",IF($E$7="Weekly",Start_Date+7*(ROWS($1:854)-1),EDATE(Start_Date,VLOOKUP(IF(ASTemp!$E$7="","Monthly",ASTemp!$E$7),Parameters!$B$3:$D$6,3,0)*(ROWS($1:854)-1))))</f>
        <v/>
      </c>
      <c r="D866" s="68" t="str">
        <f t="shared" si="2"/>
        <v/>
      </c>
      <c r="E866" s="65" t="str">
        <f>IF($B866="","",VLOOKUP(MONTH(C866),Parameters!$F$2:$G$13,2,0))</f>
        <v/>
      </c>
      <c r="F866" s="69" t="str">
        <f>IF($B866="","",PV-N(J865))</f>
        <v/>
      </c>
      <c r="G866" s="69" t="str">
        <f>IF($B866="","",PMT(Rate,Nper,-PV,,Type))</f>
        <v/>
      </c>
      <c r="H866" s="69" t="str">
        <f>IF($B866="","",PPMT(Rate,ROWS($1:854),Nper,-PV,,Type))</f>
        <v/>
      </c>
      <c r="I866" s="69" t="str">
        <f>IF($B866="","",IPMT(Rate,ROWS($1:854),Nper,-PV,,Type))</f>
        <v/>
      </c>
      <c r="J866" s="73" t="str">
        <f t="shared" ref="J866:K866" si="856">IF($B866="","",N(J865)+N(H866))</f>
        <v/>
      </c>
      <c r="K866" s="74" t="str">
        <f t="shared" si="856"/>
        <v/>
      </c>
      <c r="L866" s="69" t="str">
        <f>IF($B866="","",PV-J866)</f>
        <v/>
      </c>
      <c r="M866" s="71" t="str">
        <f>IF($B866="","",J866/PV)</f>
        <v/>
      </c>
      <c r="N866" s="72" t="str">
        <f t="shared" si="4"/>
        <v/>
      </c>
    </row>
    <row r="867" ht="14.25" customHeight="1">
      <c r="B867" s="66" t="str">
        <f>IF(ROWS($1:855)&lt;=Nper,ROWS($1:855),"")</f>
        <v/>
      </c>
      <c r="C867" s="67" t="str">
        <f>IF($B867="","",IF($E$7="Weekly",Start_Date+7*(ROWS($1:855)-1),EDATE(Start_Date,VLOOKUP(IF(ASTemp!$E$7="","Monthly",ASTemp!$E$7),Parameters!$B$3:$D$6,3,0)*(ROWS($1:855)-1))))</f>
        <v/>
      </c>
      <c r="D867" s="68" t="str">
        <f t="shared" si="2"/>
        <v/>
      </c>
      <c r="E867" s="65" t="str">
        <f>IF($B867="","",VLOOKUP(MONTH(C867),Parameters!$F$2:$G$13,2,0))</f>
        <v/>
      </c>
      <c r="F867" s="69" t="str">
        <f>IF($B867="","",PV-N(J866))</f>
        <v/>
      </c>
      <c r="G867" s="69" t="str">
        <f>IF($B867="","",PMT(Rate,Nper,-PV,,Type))</f>
        <v/>
      </c>
      <c r="H867" s="69" t="str">
        <f>IF($B867="","",PPMT(Rate,ROWS($1:855),Nper,-PV,,Type))</f>
        <v/>
      </c>
      <c r="I867" s="69" t="str">
        <f>IF($B867="","",IPMT(Rate,ROWS($1:855),Nper,-PV,,Type))</f>
        <v/>
      </c>
      <c r="J867" s="73" t="str">
        <f t="shared" ref="J867:K867" si="857">IF($B867="","",N(J866)+N(H867))</f>
        <v/>
      </c>
      <c r="K867" s="74" t="str">
        <f t="shared" si="857"/>
        <v/>
      </c>
      <c r="L867" s="69" t="str">
        <f>IF($B867="","",PV-J867)</f>
        <v/>
      </c>
      <c r="M867" s="71" t="str">
        <f>IF($B867="","",J867/PV)</f>
        <v/>
      </c>
      <c r="N867" s="72" t="str">
        <f t="shared" si="4"/>
        <v/>
      </c>
    </row>
    <row r="868" ht="14.25" customHeight="1">
      <c r="B868" s="66" t="str">
        <f>IF(ROWS($1:856)&lt;=Nper,ROWS($1:856),"")</f>
        <v/>
      </c>
      <c r="C868" s="67" t="str">
        <f>IF($B868="","",IF($E$7="Weekly",Start_Date+7*(ROWS($1:856)-1),EDATE(Start_Date,VLOOKUP(IF(ASTemp!$E$7="","Monthly",ASTemp!$E$7),Parameters!$B$3:$D$6,3,0)*(ROWS($1:856)-1))))</f>
        <v/>
      </c>
      <c r="D868" s="68" t="str">
        <f t="shared" si="2"/>
        <v/>
      </c>
      <c r="E868" s="65" t="str">
        <f>IF($B868="","",VLOOKUP(MONTH(C868),Parameters!$F$2:$G$13,2,0))</f>
        <v/>
      </c>
      <c r="F868" s="69" t="str">
        <f>IF($B868="","",PV-N(J867))</f>
        <v/>
      </c>
      <c r="G868" s="69" t="str">
        <f>IF($B868="","",PMT(Rate,Nper,-PV,,Type))</f>
        <v/>
      </c>
      <c r="H868" s="69" t="str">
        <f>IF($B868="","",PPMT(Rate,ROWS($1:856),Nper,-PV,,Type))</f>
        <v/>
      </c>
      <c r="I868" s="69" t="str">
        <f>IF($B868="","",IPMT(Rate,ROWS($1:856),Nper,-PV,,Type))</f>
        <v/>
      </c>
      <c r="J868" s="73" t="str">
        <f t="shared" ref="J868:K868" si="858">IF($B868="","",N(J867)+N(H868))</f>
        <v/>
      </c>
      <c r="K868" s="74" t="str">
        <f t="shared" si="858"/>
        <v/>
      </c>
      <c r="L868" s="69" t="str">
        <f>IF($B868="","",PV-J868)</f>
        <v/>
      </c>
      <c r="M868" s="71" t="str">
        <f>IF($B868="","",J868/PV)</f>
        <v/>
      </c>
      <c r="N868" s="72" t="str">
        <f t="shared" si="4"/>
        <v/>
      </c>
    </row>
    <row r="869" ht="14.25" customHeight="1">
      <c r="B869" s="66" t="str">
        <f>IF(ROWS($1:857)&lt;=Nper,ROWS($1:857),"")</f>
        <v/>
      </c>
      <c r="C869" s="67" t="str">
        <f>IF($B869="","",IF($E$7="Weekly",Start_Date+7*(ROWS($1:857)-1),EDATE(Start_Date,VLOOKUP(IF(ASTemp!$E$7="","Monthly",ASTemp!$E$7),Parameters!$B$3:$D$6,3,0)*(ROWS($1:857)-1))))</f>
        <v/>
      </c>
      <c r="D869" s="68" t="str">
        <f t="shared" si="2"/>
        <v/>
      </c>
      <c r="E869" s="65" t="str">
        <f>IF($B869="","",VLOOKUP(MONTH(C869),Parameters!$F$2:$G$13,2,0))</f>
        <v/>
      </c>
      <c r="F869" s="69" t="str">
        <f>IF($B869="","",PV-N(J868))</f>
        <v/>
      </c>
      <c r="G869" s="69" t="str">
        <f>IF($B869="","",PMT(Rate,Nper,-PV,,Type))</f>
        <v/>
      </c>
      <c r="H869" s="69" t="str">
        <f>IF($B869="","",PPMT(Rate,ROWS($1:857),Nper,-PV,,Type))</f>
        <v/>
      </c>
      <c r="I869" s="69" t="str">
        <f>IF($B869="","",IPMT(Rate,ROWS($1:857),Nper,-PV,,Type))</f>
        <v/>
      </c>
      <c r="J869" s="73" t="str">
        <f t="shared" ref="J869:K869" si="859">IF($B869="","",N(J868)+N(H869))</f>
        <v/>
      </c>
      <c r="K869" s="74" t="str">
        <f t="shared" si="859"/>
        <v/>
      </c>
      <c r="L869" s="69" t="str">
        <f>IF($B869="","",PV-J869)</f>
        <v/>
      </c>
      <c r="M869" s="71" t="str">
        <f>IF($B869="","",J869/PV)</f>
        <v/>
      </c>
      <c r="N869" s="72" t="str">
        <f t="shared" si="4"/>
        <v/>
      </c>
    </row>
    <row r="870" ht="14.25" customHeight="1">
      <c r="B870" s="66" t="str">
        <f>IF(ROWS($1:858)&lt;=Nper,ROWS($1:858),"")</f>
        <v/>
      </c>
      <c r="C870" s="67" t="str">
        <f>IF($B870="","",IF($E$7="Weekly",Start_Date+7*(ROWS($1:858)-1),EDATE(Start_Date,VLOOKUP(IF(ASTemp!$E$7="","Monthly",ASTemp!$E$7),Parameters!$B$3:$D$6,3,0)*(ROWS($1:858)-1))))</f>
        <v/>
      </c>
      <c r="D870" s="68" t="str">
        <f t="shared" si="2"/>
        <v/>
      </c>
      <c r="E870" s="65" t="str">
        <f>IF($B870="","",VLOOKUP(MONTH(C870),Parameters!$F$2:$G$13,2,0))</f>
        <v/>
      </c>
      <c r="F870" s="69" t="str">
        <f>IF($B870="","",PV-N(J869))</f>
        <v/>
      </c>
      <c r="G870" s="69" t="str">
        <f>IF($B870="","",PMT(Rate,Nper,-PV,,Type))</f>
        <v/>
      </c>
      <c r="H870" s="69" t="str">
        <f>IF($B870="","",PPMT(Rate,ROWS($1:858),Nper,-PV,,Type))</f>
        <v/>
      </c>
      <c r="I870" s="69" t="str">
        <f>IF($B870="","",IPMT(Rate,ROWS($1:858),Nper,-PV,,Type))</f>
        <v/>
      </c>
      <c r="J870" s="73" t="str">
        <f t="shared" ref="J870:K870" si="860">IF($B870="","",N(J869)+N(H870))</f>
        <v/>
      </c>
      <c r="K870" s="74" t="str">
        <f t="shared" si="860"/>
        <v/>
      </c>
      <c r="L870" s="69" t="str">
        <f>IF($B870="","",PV-J870)</f>
        <v/>
      </c>
      <c r="M870" s="71" t="str">
        <f>IF($B870="","",J870/PV)</f>
        <v/>
      </c>
      <c r="N870" s="72" t="str">
        <f t="shared" si="4"/>
        <v/>
      </c>
    </row>
    <row r="871" ht="14.25" customHeight="1">
      <c r="B871" s="66" t="str">
        <f>IF(ROWS($1:859)&lt;=Nper,ROWS($1:859),"")</f>
        <v/>
      </c>
      <c r="C871" s="67" t="str">
        <f>IF($B871="","",IF($E$7="Weekly",Start_Date+7*(ROWS($1:859)-1),EDATE(Start_Date,VLOOKUP(IF(ASTemp!$E$7="","Monthly",ASTemp!$E$7),Parameters!$B$3:$D$6,3,0)*(ROWS($1:859)-1))))</f>
        <v/>
      </c>
      <c r="D871" s="68" t="str">
        <f t="shared" si="2"/>
        <v/>
      </c>
      <c r="E871" s="65" t="str">
        <f>IF($B871="","",VLOOKUP(MONTH(C871),Parameters!$F$2:$G$13,2,0))</f>
        <v/>
      </c>
      <c r="F871" s="69" t="str">
        <f>IF($B871="","",PV-N(J870))</f>
        <v/>
      </c>
      <c r="G871" s="69" t="str">
        <f>IF($B871="","",PMT(Rate,Nper,-PV,,Type))</f>
        <v/>
      </c>
      <c r="H871" s="69" t="str">
        <f>IF($B871="","",PPMT(Rate,ROWS($1:859),Nper,-PV,,Type))</f>
        <v/>
      </c>
      <c r="I871" s="69" t="str">
        <f>IF($B871="","",IPMT(Rate,ROWS($1:859),Nper,-PV,,Type))</f>
        <v/>
      </c>
      <c r="J871" s="73" t="str">
        <f t="shared" ref="J871:K871" si="861">IF($B871="","",N(J870)+N(H871))</f>
        <v/>
      </c>
      <c r="K871" s="74" t="str">
        <f t="shared" si="861"/>
        <v/>
      </c>
      <c r="L871" s="69" t="str">
        <f>IF($B871="","",PV-J871)</f>
        <v/>
      </c>
      <c r="M871" s="71" t="str">
        <f>IF($B871="","",J871/PV)</f>
        <v/>
      </c>
      <c r="N871" s="72" t="str">
        <f t="shared" si="4"/>
        <v/>
      </c>
    </row>
    <row r="872" ht="14.25" customHeight="1">
      <c r="B872" s="66" t="str">
        <f>IF(ROWS($1:860)&lt;=Nper,ROWS($1:860),"")</f>
        <v/>
      </c>
      <c r="C872" s="67" t="str">
        <f>IF($B872="","",IF($E$7="Weekly",Start_Date+7*(ROWS($1:860)-1),EDATE(Start_Date,VLOOKUP(IF(ASTemp!$E$7="","Monthly",ASTemp!$E$7),Parameters!$B$3:$D$6,3,0)*(ROWS($1:860)-1))))</f>
        <v/>
      </c>
      <c r="D872" s="68" t="str">
        <f t="shared" si="2"/>
        <v/>
      </c>
      <c r="E872" s="65" t="str">
        <f>IF($B872="","",VLOOKUP(MONTH(C872),Parameters!$F$2:$G$13,2,0))</f>
        <v/>
      </c>
      <c r="F872" s="69" t="str">
        <f>IF($B872="","",PV-N(J871))</f>
        <v/>
      </c>
      <c r="G872" s="69" t="str">
        <f>IF($B872="","",PMT(Rate,Nper,-PV,,Type))</f>
        <v/>
      </c>
      <c r="H872" s="69" t="str">
        <f>IF($B872="","",PPMT(Rate,ROWS($1:860),Nper,-PV,,Type))</f>
        <v/>
      </c>
      <c r="I872" s="69" t="str">
        <f>IF($B872="","",IPMT(Rate,ROWS($1:860),Nper,-PV,,Type))</f>
        <v/>
      </c>
      <c r="J872" s="73" t="str">
        <f t="shared" ref="J872:K872" si="862">IF($B872="","",N(J871)+N(H872))</f>
        <v/>
      </c>
      <c r="K872" s="74" t="str">
        <f t="shared" si="862"/>
        <v/>
      </c>
      <c r="L872" s="69" t="str">
        <f>IF($B872="","",PV-J872)</f>
        <v/>
      </c>
      <c r="M872" s="71" t="str">
        <f>IF($B872="","",J872/PV)</f>
        <v/>
      </c>
      <c r="N872" s="72" t="str">
        <f t="shared" si="4"/>
        <v/>
      </c>
    </row>
    <row r="873" ht="14.25" customHeight="1">
      <c r="B873" s="66" t="str">
        <f>IF(ROWS($1:861)&lt;=Nper,ROWS($1:861),"")</f>
        <v/>
      </c>
      <c r="C873" s="67" t="str">
        <f>IF($B873="","",IF($E$7="Weekly",Start_Date+7*(ROWS($1:861)-1),EDATE(Start_Date,VLOOKUP(IF(ASTemp!$E$7="","Monthly",ASTemp!$E$7),Parameters!$B$3:$D$6,3,0)*(ROWS($1:861)-1))))</f>
        <v/>
      </c>
      <c r="D873" s="68" t="str">
        <f t="shared" si="2"/>
        <v/>
      </c>
      <c r="E873" s="65" t="str">
        <f>IF($B873="","",VLOOKUP(MONTH(C873),Parameters!$F$2:$G$13,2,0))</f>
        <v/>
      </c>
      <c r="F873" s="69" t="str">
        <f>IF($B873="","",PV-N(J872))</f>
        <v/>
      </c>
      <c r="G873" s="69" t="str">
        <f>IF($B873="","",PMT(Rate,Nper,-PV,,Type))</f>
        <v/>
      </c>
      <c r="H873" s="69" t="str">
        <f>IF($B873="","",PPMT(Rate,ROWS($1:861),Nper,-PV,,Type))</f>
        <v/>
      </c>
      <c r="I873" s="69" t="str">
        <f>IF($B873="","",IPMT(Rate,ROWS($1:861),Nper,-PV,,Type))</f>
        <v/>
      </c>
      <c r="J873" s="73" t="str">
        <f t="shared" ref="J873:K873" si="863">IF($B873="","",N(J872)+N(H873))</f>
        <v/>
      </c>
      <c r="K873" s="74" t="str">
        <f t="shared" si="863"/>
        <v/>
      </c>
      <c r="L873" s="69" t="str">
        <f>IF($B873="","",PV-J873)</f>
        <v/>
      </c>
      <c r="M873" s="71" t="str">
        <f>IF($B873="","",J873/PV)</f>
        <v/>
      </c>
      <c r="N873" s="72" t="str">
        <f t="shared" si="4"/>
        <v/>
      </c>
    </row>
    <row r="874" ht="14.25" customHeight="1">
      <c r="B874" s="66" t="str">
        <f>IF(ROWS($1:862)&lt;=Nper,ROWS($1:862),"")</f>
        <v/>
      </c>
      <c r="C874" s="67" t="str">
        <f>IF($B874="","",IF($E$7="Weekly",Start_Date+7*(ROWS($1:862)-1),EDATE(Start_Date,VLOOKUP(IF(ASTemp!$E$7="","Monthly",ASTemp!$E$7),Parameters!$B$3:$D$6,3,0)*(ROWS($1:862)-1))))</f>
        <v/>
      </c>
      <c r="D874" s="68" t="str">
        <f t="shared" si="2"/>
        <v/>
      </c>
      <c r="E874" s="65" t="str">
        <f>IF($B874="","",VLOOKUP(MONTH(C874),Parameters!$F$2:$G$13,2,0))</f>
        <v/>
      </c>
      <c r="F874" s="69" t="str">
        <f>IF($B874="","",PV-N(J873))</f>
        <v/>
      </c>
      <c r="G874" s="69" t="str">
        <f>IF($B874="","",PMT(Rate,Nper,-PV,,Type))</f>
        <v/>
      </c>
      <c r="H874" s="69" t="str">
        <f>IF($B874="","",PPMT(Rate,ROWS($1:862),Nper,-PV,,Type))</f>
        <v/>
      </c>
      <c r="I874" s="69" t="str">
        <f>IF($B874="","",IPMT(Rate,ROWS($1:862),Nper,-PV,,Type))</f>
        <v/>
      </c>
      <c r="J874" s="73" t="str">
        <f t="shared" ref="J874:K874" si="864">IF($B874="","",N(J873)+N(H874))</f>
        <v/>
      </c>
      <c r="K874" s="74" t="str">
        <f t="shared" si="864"/>
        <v/>
      </c>
      <c r="L874" s="69" t="str">
        <f>IF($B874="","",PV-J874)</f>
        <v/>
      </c>
      <c r="M874" s="71" t="str">
        <f>IF($B874="","",J874/PV)</f>
        <v/>
      </c>
      <c r="N874" s="72" t="str">
        <f t="shared" si="4"/>
        <v/>
      </c>
    </row>
    <row r="875" ht="14.25" customHeight="1">
      <c r="B875" s="66" t="str">
        <f>IF(ROWS($1:863)&lt;=Nper,ROWS($1:863),"")</f>
        <v/>
      </c>
      <c r="C875" s="67" t="str">
        <f>IF($B875="","",IF($E$7="Weekly",Start_Date+7*(ROWS($1:863)-1),EDATE(Start_Date,VLOOKUP(IF(ASTemp!$E$7="","Monthly",ASTemp!$E$7),Parameters!$B$3:$D$6,3,0)*(ROWS($1:863)-1))))</f>
        <v/>
      </c>
      <c r="D875" s="68" t="str">
        <f t="shared" si="2"/>
        <v/>
      </c>
      <c r="E875" s="65" t="str">
        <f>IF($B875="","",VLOOKUP(MONTH(C875),Parameters!$F$2:$G$13,2,0))</f>
        <v/>
      </c>
      <c r="F875" s="69" t="str">
        <f>IF($B875="","",PV-N(J874))</f>
        <v/>
      </c>
      <c r="G875" s="69" t="str">
        <f>IF($B875="","",PMT(Rate,Nper,-PV,,Type))</f>
        <v/>
      </c>
      <c r="H875" s="69" t="str">
        <f>IF($B875="","",PPMT(Rate,ROWS($1:863),Nper,-PV,,Type))</f>
        <v/>
      </c>
      <c r="I875" s="69" t="str">
        <f>IF($B875="","",IPMT(Rate,ROWS($1:863),Nper,-PV,,Type))</f>
        <v/>
      </c>
      <c r="J875" s="73" t="str">
        <f t="shared" ref="J875:K875" si="865">IF($B875="","",N(J874)+N(H875))</f>
        <v/>
      </c>
      <c r="K875" s="74" t="str">
        <f t="shared" si="865"/>
        <v/>
      </c>
      <c r="L875" s="69" t="str">
        <f>IF($B875="","",PV-J875)</f>
        <v/>
      </c>
      <c r="M875" s="71" t="str">
        <f>IF($B875="","",J875/PV)</f>
        <v/>
      </c>
      <c r="N875" s="72" t="str">
        <f t="shared" si="4"/>
        <v/>
      </c>
    </row>
    <row r="876" ht="14.25" customHeight="1">
      <c r="B876" s="66" t="str">
        <f>IF(ROWS($1:864)&lt;=Nper,ROWS($1:864),"")</f>
        <v/>
      </c>
      <c r="C876" s="67" t="str">
        <f>IF($B876="","",IF($E$7="Weekly",Start_Date+7*(ROWS($1:864)-1),EDATE(Start_Date,VLOOKUP(IF(ASTemp!$E$7="","Monthly",ASTemp!$E$7),Parameters!$B$3:$D$6,3,0)*(ROWS($1:864)-1))))</f>
        <v/>
      </c>
      <c r="D876" s="68" t="str">
        <f t="shared" si="2"/>
        <v/>
      </c>
      <c r="E876" s="65" t="str">
        <f>IF($B876="","",VLOOKUP(MONTH(C876),Parameters!$F$2:$G$13,2,0))</f>
        <v/>
      </c>
      <c r="F876" s="69" t="str">
        <f>IF($B876="","",PV-N(J875))</f>
        <v/>
      </c>
      <c r="G876" s="69" t="str">
        <f>IF($B876="","",PMT(Rate,Nper,-PV,,Type))</f>
        <v/>
      </c>
      <c r="H876" s="69" t="str">
        <f>IF($B876="","",PPMT(Rate,ROWS($1:864),Nper,-PV,,Type))</f>
        <v/>
      </c>
      <c r="I876" s="69" t="str">
        <f>IF($B876="","",IPMT(Rate,ROWS($1:864),Nper,-PV,,Type))</f>
        <v/>
      </c>
      <c r="J876" s="73" t="str">
        <f t="shared" ref="J876:K876" si="866">IF($B876="","",N(J875)+N(H876))</f>
        <v/>
      </c>
      <c r="K876" s="74" t="str">
        <f t="shared" si="866"/>
        <v/>
      </c>
      <c r="L876" s="69" t="str">
        <f>IF($B876="","",PV-J876)</f>
        <v/>
      </c>
      <c r="M876" s="71" t="str">
        <f>IF($B876="","",J876/PV)</f>
        <v/>
      </c>
      <c r="N876" s="72" t="str">
        <f t="shared" si="4"/>
        <v/>
      </c>
    </row>
    <row r="877" ht="14.25" customHeight="1">
      <c r="B877" s="66" t="str">
        <f>IF(ROWS($1:865)&lt;=Nper,ROWS($1:865),"")</f>
        <v/>
      </c>
      <c r="C877" s="67" t="str">
        <f>IF($B877="","",IF($E$7="Weekly",Start_Date+7*(ROWS($1:865)-1),EDATE(Start_Date,VLOOKUP(IF(ASTemp!$E$7="","Monthly",ASTemp!$E$7),Parameters!$B$3:$D$6,3,0)*(ROWS($1:865)-1))))</f>
        <v/>
      </c>
      <c r="D877" s="68" t="str">
        <f t="shared" si="2"/>
        <v/>
      </c>
      <c r="E877" s="65" t="str">
        <f>IF($B877="","",VLOOKUP(MONTH(C877),Parameters!$F$2:$G$13,2,0))</f>
        <v/>
      </c>
      <c r="F877" s="69" t="str">
        <f>IF($B877="","",PV-N(J876))</f>
        <v/>
      </c>
      <c r="G877" s="69" t="str">
        <f>IF($B877="","",PMT(Rate,Nper,-PV,,Type))</f>
        <v/>
      </c>
      <c r="H877" s="69" t="str">
        <f>IF($B877="","",PPMT(Rate,ROWS($1:865),Nper,-PV,,Type))</f>
        <v/>
      </c>
      <c r="I877" s="69" t="str">
        <f>IF($B877="","",IPMT(Rate,ROWS($1:865),Nper,-PV,,Type))</f>
        <v/>
      </c>
      <c r="J877" s="73" t="str">
        <f t="shared" ref="J877:K877" si="867">IF($B877="","",N(J876)+N(H877))</f>
        <v/>
      </c>
      <c r="K877" s="74" t="str">
        <f t="shared" si="867"/>
        <v/>
      </c>
      <c r="L877" s="69" t="str">
        <f>IF($B877="","",PV-J877)</f>
        <v/>
      </c>
      <c r="M877" s="71" t="str">
        <f>IF($B877="","",J877/PV)</f>
        <v/>
      </c>
      <c r="N877" s="72" t="str">
        <f t="shared" si="4"/>
        <v/>
      </c>
    </row>
    <row r="878" ht="14.25" customHeight="1">
      <c r="B878" s="66" t="str">
        <f>IF(ROWS($1:866)&lt;=Nper,ROWS($1:866),"")</f>
        <v/>
      </c>
      <c r="C878" s="67" t="str">
        <f>IF($B878="","",IF($E$7="Weekly",Start_Date+7*(ROWS($1:866)-1),EDATE(Start_Date,VLOOKUP(IF(ASTemp!$E$7="","Monthly",ASTemp!$E$7),Parameters!$B$3:$D$6,3,0)*(ROWS($1:866)-1))))</f>
        <v/>
      </c>
      <c r="D878" s="68" t="str">
        <f t="shared" si="2"/>
        <v/>
      </c>
      <c r="E878" s="65" t="str">
        <f>IF($B878="","",VLOOKUP(MONTH(C878),Parameters!$F$2:$G$13,2,0))</f>
        <v/>
      </c>
      <c r="F878" s="69" t="str">
        <f>IF($B878="","",PV-N(J877))</f>
        <v/>
      </c>
      <c r="G878" s="69" t="str">
        <f>IF($B878="","",PMT(Rate,Nper,-PV,,Type))</f>
        <v/>
      </c>
      <c r="H878" s="69" t="str">
        <f>IF($B878="","",PPMT(Rate,ROWS($1:866),Nper,-PV,,Type))</f>
        <v/>
      </c>
      <c r="I878" s="69" t="str">
        <f>IF($B878="","",IPMT(Rate,ROWS($1:866),Nper,-PV,,Type))</f>
        <v/>
      </c>
      <c r="J878" s="73" t="str">
        <f t="shared" ref="J878:K878" si="868">IF($B878="","",N(J877)+N(H878))</f>
        <v/>
      </c>
      <c r="K878" s="74" t="str">
        <f t="shared" si="868"/>
        <v/>
      </c>
      <c r="L878" s="69" t="str">
        <f>IF($B878="","",PV-J878)</f>
        <v/>
      </c>
      <c r="M878" s="71" t="str">
        <f>IF($B878="","",J878/PV)</f>
        <v/>
      </c>
      <c r="N878" s="72" t="str">
        <f t="shared" si="4"/>
        <v/>
      </c>
    </row>
    <row r="879" ht="14.25" customHeight="1">
      <c r="B879" s="66" t="str">
        <f>IF(ROWS($1:867)&lt;=Nper,ROWS($1:867),"")</f>
        <v/>
      </c>
      <c r="C879" s="67" t="str">
        <f>IF($B879="","",IF($E$7="Weekly",Start_Date+7*(ROWS($1:867)-1),EDATE(Start_Date,VLOOKUP(IF(ASTemp!$E$7="","Monthly",ASTemp!$E$7),Parameters!$B$3:$D$6,3,0)*(ROWS($1:867)-1))))</f>
        <v/>
      </c>
      <c r="D879" s="68" t="str">
        <f t="shared" si="2"/>
        <v/>
      </c>
      <c r="E879" s="65" t="str">
        <f>IF($B879="","",VLOOKUP(MONTH(C879),Parameters!$F$2:$G$13,2,0))</f>
        <v/>
      </c>
      <c r="F879" s="69" t="str">
        <f>IF($B879="","",PV-N(J878))</f>
        <v/>
      </c>
      <c r="G879" s="69" t="str">
        <f>IF($B879="","",PMT(Rate,Nper,-PV,,Type))</f>
        <v/>
      </c>
      <c r="H879" s="69" t="str">
        <f>IF($B879="","",PPMT(Rate,ROWS($1:867),Nper,-PV,,Type))</f>
        <v/>
      </c>
      <c r="I879" s="69" t="str">
        <f>IF($B879="","",IPMT(Rate,ROWS($1:867),Nper,-PV,,Type))</f>
        <v/>
      </c>
      <c r="J879" s="73" t="str">
        <f t="shared" ref="J879:K879" si="869">IF($B879="","",N(J878)+N(H879))</f>
        <v/>
      </c>
      <c r="K879" s="74" t="str">
        <f t="shared" si="869"/>
        <v/>
      </c>
      <c r="L879" s="69" t="str">
        <f>IF($B879="","",PV-J879)</f>
        <v/>
      </c>
      <c r="M879" s="71" t="str">
        <f>IF($B879="","",J879/PV)</f>
        <v/>
      </c>
      <c r="N879" s="72" t="str">
        <f t="shared" si="4"/>
        <v/>
      </c>
    </row>
    <row r="880" ht="14.25" customHeight="1">
      <c r="B880" s="66" t="str">
        <f>IF(ROWS($1:868)&lt;=Nper,ROWS($1:868),"")</f>
        <v/>
      </c>
      <c r="C880" s="67" t="str">
        <f>IF($B880="","",IF($E$7="Weekly",Start_Date+7*(ROWS($1:868)-1),EDATE(Start_Date,VLOOKUP(IF(ASTemp!$E$7="","Monthly",ASTemp!$E$7),Parameters!$B$3:$D$6,3,0)*(ROWS($1:868)-1))))</f>
        <v/>
      </c>
      <c r="D880" s="68" t="str">
        <f t="shared" si="2"/>
        <v/>
      </c>
      <c r="E880" s="65" t="str">
        <f>IF($B880="","",VLOOKUP(MONTH(C880),Parameters!$F$2:$G$13,2,0))</f>
        <v/>
      </c>
      <c r="F880" s="69" t="str">
        <f>IF($B880="","",PV-N(J879))</f>
        <v/>
      </c>
      <c r="G880" s="69" t="str">
        <f>IF($B880="","",PMT(Rate,Nper,-PV,,Type))</f>
        <v/>
      </c>
      <c r="H880" s="69" t="str">
        <f>IF($B880="","",PPMT(Rate,ROWS($1:868),Nper,-PV,,Type))</f>
        <v/>
      </c>
      <c r="I880" s="69" t="str">
        <f>IF($B880="","",IPMT(Rate,ROWS($1:868),Nper,-PV,,Type))</f>
        <v/>
      </c>
      <c r="J880" s="73" t="str">
        <f t="shared" ref="J880:K880" si="870">IF($B880="","",N(J879)+N(H880))</f>
        <v/>
      </c>
      <c r="K880" s="74" t="str">
        <f t="shared" si="870"/>
        <v/>
      </c>
      <c r="L880" s="69" t="str">
        <f>IF($B880="","",PV-J880)</f>
        <v/>
      </c>
      <c r="M880" s="71" t="str">
        <f>IF($B880="","",J880/PV)</f>
        <v/>
      </c>
      <c r="N880" s="72" t="str">
        <f t="shared" si="4"/>
        <v/>
      </c>
    </row>
    <row r="881" ht="14.25" customHeight="1">
      <c r="B881" s="66" t="str">
        <f>IF(ROWS($1:869)&lt;=Nper,ROWS($1:869),"")</f>
        <v/>
      </c>
      <c r="C881" s="67" t="str">
        <f>IF($B881="","",IF($E$7="Weekly",Start_Date+7*(ROWS($1:869)-1),EDATE(Start_Date,VLOOKUP(IF(ASTemp!$E$7="","Monthly",ASTemp!$E$7),Parameters!$B$3:$D$6,3,0)*(ROWS($1:869)-1))))</f>
        <v/>
      </c>
      <c r="D881" s="68" t="str">
        <f t="shared" si="2"/>
        <v/>
      </c>
      <c r="E881" s="65" t="str">
        <f>IF($B881="","",VLOOKUP(MONTH(C881),Parameters!$F$2:$G$13,2,0))</f>
        <v/>
      </c>
      <c r="F881" s="69" t="str">
        <f>IF($B881="","",PV-N(J880))</f>
        <v/>
      </c>
      <c r="G881" s="69" t="str">
        <f>IF($B881="","",PMT(Rate,Nper,-PV,,Type))</f>
        <v/>
      </c>
      <c r="H881" s="69" t="str">
        <f>IF($B881="","",PPMT(Rate,ROWS($1:869),Nper,-PV,,Type))</f>
        <v/>
      </c>
      <c r="I881" s="69" t="str">
        <f>IF($B881="","",IPMT(Rate,ROWS($1:869),Nper,-PV,,Type))</f>
        <v/>
      </c>
      <c r="J881" s="73" t="str">
        <f t="shared" ref="J881:K881" si="871">IF($B881="","",N(J880)+N(H881))</f>
        <v/>
      </c>
      <c r="K881" s="74" t="str">
        <f t="shared" si="871"/>
        <v/>
      </c>
      <c r="L881" s="69" t="str">
        <f>IF($B881="","",PV-J881)</f>
        <v/>
      </c>
      <c r="M881" s="71" t="str">
        <f>IF($B881="","",J881/PV)</f>
        <v/>
      </c>
      <c r="N881" s="72" t="str">
        <f t="shared" si="4"/>
        <v/>
      </c>
    </row>
    <row r="882" ht="14.25" customHeight="1">
      <c r="B882" s="66" t="str">
        <f>IF(ROWS($1:870)&lt;=Nper,ROWS($1:870),"")</f>
        <v/>
      </c>
      <c r="C882" s="67" t="str">
        <f>IF($B882="","",IF($E$7="Weekly",Start_Date+7*(ROWS($1:870)-1),EDATE(Start_Date,VLOOKUP(IF(ASTemp!$E$7="","Monthly",ASTemp!$E$7),Parameters!$B$3:$D$6,3,0)*(ROWS($1:870)-1))))</f>
        <v/>
      </c>
      <c r="D882" s="68" t="str">
        <f t="shared" si="2"/>
        <v/>
      </c>
      <c r="E882" s="65" t="str">
        <f>IF($B882="","",VLOOKUP(MONTH(C882),Parameters!$F$2:$G$13,2,0))</f>
        <v/>
      </c>
      <c r="F882" s="69" t="str">
        <f>IF($B882="","",PV-N(J881))</f>
        <v/>
      </c>
      <c r="G882" s="69" t="str">
        <f>IF($B882="","",PMT(Rate,Nper,-PV,,Type))</f>
        <v/>
      </c>
      <c r="H882" s="69" t="str">
        <f>IF($B882="","",PPMT(Rate,ROWS($1:870),Nper,-PV,,Type))</f>
        <v/>
      </c>
      <c r="I882" s="69" t="str">
        <f>IF($B882="","",IPMT(Rate,ROWS($1:870),Nper,-PV,,Type))</f>
        <v/>
      </c>
      <c r="J882" s="73" t="str">
        <f t="shared" ref="J882:K882" si="872">IF($B882="","",N(J881)+N(H882))</f>
        <v/>
      </c>
      <c r="K882" s="74" t="str">
        <f t="shared" si="872"/>
        <v/>
      </c>
      <c r="L882" s="69" t="str">
        <f>IF($B882="","",PV-J882)</f>
        <v/>
      </c>
      <c r="M882" s="71" t="str">
        <f>IF($B882="","",J882/PV)</f>
        <v/>
      </c>
      <c r="N882" s="72" t="str">
        <f t="shared" si="4"/>
        <v/>
      </c>
    </row>
    <row r="883" ht="14.25" customHeight="1">
      <c r="B883" s="66" t="str">
        <f>IF(ROWS($1:871)&lt;=Nper,ROWS($1:871),"")</f>
        <v/>
      </c>
      <c r="C883" s="67" t="str">
        <f>IF($B883="","",IF($E$7="Weekly",Start_Date+7*(ROWS($1:871)-1),EDATE(Start_Date,VLOOKUP(IF(ASTemp!$E$7="","Monthly",ASTemp!$E$7),Parameters!$B$3:$D$6,3,0)*(ROWS($1:871)-1))))</f>
        <v/>
      </c>
      <c r="D883" s="68" t="str">
        <f t="shared" si="2"/>
        <v/>
      </c>
      <c r="E883" s="65" t="str">
        <f>IF($B883="","",VLOOKUP(MONTH(C883),Parameters!$F$2:$G$13,2,0))</f>
        <v/>
      </c>
      <c r="F883" s="69" t="str">
        <f>IF($B883="","",PV-N(J882))</f>
        <v/>
      </c>
      <c r="G883" s="69" t="str">
        <f>IF($B883="","",PMT(Rate,Nper,-PV,,Type))</f>
        <v/>
      </c>
      <c r="H883" s="69" t="str">
        <f>IF($B883="","",PPMT(Rate,ROWS($1:871),Nper,-PV,,Type))</f>
        <v/>
      </c>
      <c r="I883" s="69" t="str">
        <f>IF($B883="","",IPMT(Rate,ROWS($1:871),Nper,-PV,,Type))</f>
        <v/>
      </c>
      <c r="J883" s="73" t="str">
        <f t="shared" ref="J883:K883" si="873">IF($B883="","",N(J882)+N(H883))</f>
        <v/>
      </c>
      <c r="K883" s="74" t="str">
        <f t="shared" si="873"/>
        <v/>
      </c>
      <c r="L883" s="69" t="str">
        <f>IF($B883="","",PV-J883)</f>
        <v/>
      </c>
      <c r="M883" s="71" t="str">
        <f>IF($B883="","",J883/PV)</f>
        <v/>
      </c>
      <c r="N883" s="72" t="str">
        <f t="shared" si="4"/>
        <v/>
      </c>
    </row>
    <row r="884" ht="14.25" customHeight="1">
      <c r="B884" s="66" t="str">
        <f>IF(ROWS($1:872)&lt;=Nper,ROWS($1:872),"")</f>
        <v/>
      </c>
      <c r="C884" s="67" t="str">
        <f>IF($B884="","",IF($E$7="Weekly",Start_Date+7*(ROWS($1:872)-1),EDATE(Start_Date,VLOOKUP(IF(ASTemp!$E$7="","Monthly",ASTemp!$E$7),Parameters!$B$3:$D$6,3,0)*(ROWS($1:872)-1))))</f>
        <v/>
      </c>
      <c r="D884" s="68" t="str">
        <f t="shared" si="2"/>
        <v/>
      </c>
      <c r="E884" s="65" t="str">
        <f>IF($B884="","",VLOOKUP(MONTH(C884),Parameters!$F$2:$G$13,2,0))</f>
        <v/>
      </c>
      <c r="F884" s="69" t="str">
        <f>IF($B884="","",PV-N(J883))</f>
        <v/>
      </c>
      <c r="G884" s="69" t="str">
        <f>IF($B884="","",PMT(Rate,Nper,-PV,,Type))</f>
        <v/>
      </c>
      <c r="H884" s="69" t="str">
        <f>IF($B884="","",PPMT(Rate,ROWS($1:872),Nper,-PV,,Type))</f>
        <v/>
      </c>
      <c r="I884" s="69" t="str">
        <f>IF($B884="","",IPMT(Rate,ROWS($1:872),Nper,-PV,,Type))</f>
        <v/>
      </c>
      <c r="J884" s="73" t="str">
        <f t="shared" ref="J884:K884" si="874">IF($B884="","",N(J883)+N(H884))</f>
        <v/>
      </c>
      <c r="K884" s="74" t="str">
        <f t="shared" si="874"/>
        <v/>
      </c>
      <c r="L884" s="69" t="str">
        <f>IF($B884="","",PV-J884)</f>
        <v/>
      </c>
      <c r="M884" s="71" t="str">
        <f>IF($B884="","",J884/PV)</f>
        <v/>
      </c>
      <c r="N884" s="72" t="str">
        <f t="shared" si="4"/>
        <v/>
      </c>
    </row>
    <row r="885" ht="14.25" customHeight="1">
      <c r="B885" s="66" t="str">
        <f>IF(ROWS($1:873)&lt;=Nper,ROWS($1:873),"")</f>
        <v/>
      </c>
      <c r="C885" s="67" t="str">
        <f>IF($B885="","",IF($E$7="Weekly",Start_Date+7*(ROWS($1:873)-1),EDATE(Start_Date,VLOOKUP(IF(ASTemp!$E$7="","Monthly",ASTemp!$E$7),Parameters!$B$3:$D$6,3,0)*(ROWS($1:873)-1))))</f>
        <v/>
      </c>
      <c r="D885" s="68" t="str">
        <f t="shared" si="2"/>
        <v/>
      </c>
      <c r="E885" s="65" t="str">
        <f>IF($B885="","",VLOOKUP(MONTH(C885),Parameters!$F$2:$G$13,2,0))</f>
        <v/>
      </c>
      <c r="F885" s="69" t="str">
        <f>IF($B885="","",PV-N(J884))</f>
        <v/>
      </c>
      <c r="G885" s="69" t="str">
        <f>IF($B885="","",PMT(Rate,Nper,-PV,,Type))</f>
        <v/>
      </c>
      <c r="H885" s="69" t="str">
        <f>IF($B885="","",PPMT(Rate,ROWS($1:873),Nper,-PV,,Type))</f>
        <v/>
      </c>
      <c r="I885" s="69" t="str">
        <f>IF($B885="","",IPMT(Rate,ROWS($1:873),Nper,-PV,,Type))</f>
        <v/>
      </c>
      <c r="J885" s="73" t="str">
        <f t="shared" ref="J885:K885" si="875">IF($B885="","",N(J884)+N(H885))</f>
        <v/>
      </c>
      <c r="K885" s="74" t="str">
        <f t="shared" si="875"/>
        <v/>
      </c>
      <c r="L885" s="69" t="str">
        <f>IF($B885="","",PV-J885)</f>
        <v/>
      </c>
      <c r="M885" s="71" t="str">
        <f>IF($B885="","",J885/PV)</f>
        <v/>
      </c>
      <c r="N885" s="72" t="str">
        <f t="shared" si="4"/>
        <v/>
      </c>
    </row>
    <row r="886" ht="14.25" customHeight="1">
      <c r="B886" s="66" t="str">
        <f>IF(ROWS($1:874)&lt;=Nper,ROWS($1:874),"")</f>
        <v/>
      </c>
      <c r="C886" s="67" t="str">
        <f>IF($B886="","",IF($E$7="Weekly",Start_Date+7*(ROWS($1:874)-1),EDATE(Start_Date,VLOOKUP(IF(ASTemp!$E$7="","Monthly",ASTemp!$E$7),Parameters!$B$3:$D$6,3,0)*(ROWS($1:874)-1))))</f>
        <v/>
      </c>
      <c r="D886" s="68" t="str">
        <f t="shared" si="2"/>
        <v/>
      </c>
      <c r="E886" s="65" t="str">
        <f>IF($B886="","",VLOOKUP(MONTH(C886),Parameters!$F$2:$G$13,2,0))</f>
        <v/>
      </c>
      <c r="F886" s="69" t="str">
        <f>IF($B886="","",PV-N(J885))</f>
        <v/>
      </c>
      <c r="G886" s="69" t="str">
        <f>IF($B886="","",PMT(Rate,Nper,-PV,,Type))</f>
        <v/>
      </c>
      <c r="H886" s="69" t="str">
        <f>IF($B886="","",PPMT(Rate,ROWS($1:874),Nper,-PV,,Type))</f>
        <v/>
      </c>
      <c r="I886" s="69" t="str">
        <f>IF($B886="","",IPMT(Rate,ROWS($1:874),Nper,-PV,,Type))</f>
        <v/>
      </c>
      <c r="J886" s="73" t="str">
        <f t="shared" ref="J886:K886" si="876">IF($B886="","",N(J885)+N(H886))</f>
        <v/>
      </c>
      <c r="K886" s="74" t="str">
        <f t="shared" si="876"/>
        <v/>
      </c>
      <c r="L886" s="69" t="str">
        <f>IF($B886="","",PV-J886)</f>
        <v/>
      </c>
      <c r="M886" s="71" t="str">
        <f>IF($B886="","",J886/PV)</f>
        <v/>
      </c>
      <c r="N886" s="72" t="str">
        <f t="shared" si="4"/>
        <v/>
      </c>
    </row>
    <row r="887" ht="14.25" customHeight="1">
      <c r="B887" s="66" t="str">
        <f>IF(ROWS($1:875)&lt;=Nper,ROWS($1:875),"")</f>
        <v/>
      </c>
      <c r="C887" s="67" t="str">
        <f>IF($B887="","",IF($E$7="Weekly",Start_Date+7*(ROWS($1:875)-1),EDATE(Start_Date,VLOOKUP(IF(ASTemp!$E$7="","Monthly",ASTemp!$E$7),Parameters!$B$3:$D$6,3,0)*(ROWS($1:875)-1))))</f>
        <v/>
      </c>
      <c r="D887" s="68" t="str">
        <f t="shared" si="2"/>
        <v/>
      </c>
      <c r="E887" s="65" t="str">
        <f>IF($B887="","",VLOOKUP(MONTH(C887),Parameters!$F$2:$G$13,2,0))</f>
        <v/>
      </c>
      <c r="F887" s="69" t="str">
        <f>IF($B887="","",PV-N(J886))</f>
        <v/>
      </c>
      <c r="G887" s="69" t="str">
        <f>IF($B887="","",PMT(Rate,Nper,-PV,,Type))</f>
        <v/>
      </c>
      <c r="H887" s="69" t="str">
        <f>IF($B887="","",PPMT(Rate,ROWS($1:875),Nper,-PV,,Type))</f>
        <v/>
      </c>
      <c r="I887" s="69" t="str">
        <f>IF($B887="","",IPMT(Rate,ROWS($1:875),Nper,-PV,,Type))</f>
        <v/>
      </c>
      <c r="J887" s="73" t="str">
        <f t="shared" ref="J887:K887" si="877">IF($B887="","",N(J886)+N(H887))</f>
        <v/>
      </c>
      <c r="K887" s="74" t="str">
        <f t="shared" si="877"/>
        <v/>
      </c>
      <c r="L887" s="69" t="str">
        <f>IF($B887="","",PV-J887)</f>
        <v/>
      </c>
      <c r="M887" s="71" t="str">
        <f>IF($B887="","",J887/PV)</f>
        <v/>
      </c>
      <c r="N887" s="72" t="str">
        <f t="shared" si="4"/>
        <v/>
      </c>
    </row>
    <row r="888" ht="14.25" customHeight="1">
      <c r="B888" s="66" t="str">
        <f>IF(ROWS($1:876)&lt;=Nper,ROWS($1:876),"")</f>
        <v/>
      </c>
      <c r="C888" s="67" t="str">
        <f>IF($B888="","",IF($E$7="Weekly",Start_Date+7*(ROWS($1:876)-1),EDATE(Start_Date,VLOOKUP(IF(ASTemp!$E$7="","Monthly",ASTemp!$E$7),Parameters!$B$3:$D$6,3,0)*(ROWS($1:876)-1))))</f>
        <v/>
      </c>
      <c r="D888" s="68" t="str">
        <f t="shared" si="2"/>
        <v/>
      </c>
      <c r="E888" s="65" t="str">
        <f>IF($B888="","",VLOOKUP(MONTH(C888),Parameters!$F$2:$G$13,2,0))</f>
        <v/>
      </c>
      <c r="F888" s="69" t="str">
        <f>IF($B888="","",PV-N(J887))</f>
        <v/>
      </c>
      <c r="G888" s="69" t="str">
        <f>IF($B888="","",PMT(Rate,Nper,-PV,,Type))</f>
        <v/>
      </c>
      <c r="H888" s="69" t="str">
        <f>IF($B888="","",PPMT(Rate,ROWS($1:876),Nper,-PV,,Type))</f>
        <v/>
      </c>
      <c r="I888" s="69" t="str">
        <f>IF($B888="","",IPMT(Rate,ROWS($1:876),Nper,-PV,,Type))</f>
        <v/>
      </c>
      <c r="J888" s="73" t="str">
        <f t="shared" ref="J888:K888" si="878">IF($B888="","",N(J887)+N(H888))</f>
        <v/>
      </c>
      <c r="K888" s="74" t="str">
        <f t="shared" si="878"/>
        <v/>
      </c>
      <c r="L888" s="69" t="str">
        <f>IF($B888="","",PV-J888)</f>
        <v/>
      </c>
      <c r="M888" s="71" t="str">
        <f>IF($B888="","",J888/PV)</f>
        <v/>
      </c>
      <c r="N888" s="72" t="str">
        <f t="shared" si="4"/>
        <v/>
      </c>
    </row>
    <row r="889" ht="14.25" customHeight="1">
      <c r="B889" s="66" t="str">
        <f>IF(ROWS($1:877)&lt;=Nper,ROWS($1:877),"")</f>
        <v/>
      </c>
      <c r="C889" s="67" t="str">
        <f>IF($B889="","",IF($E$7="Weekly",Start_Date+7*(ROWS($1:877)-1),EDATE(Start_Date,VLOOKUP(IF(ASTemp!$E$7="","Monthly",ASTemp!$E$7),Parameters!$B$3:$D$6,3,0)*(ROWS($1:877)-1))))</f>
        <v/>
      </c>
      <c r="D889" s="68" t="str">
        <f t="shared" si="2"/>
        <v/>
      </c>
      <c r="E889" s="65" t="str">
        <f>IF($B889="","",VLOOKUP(MONTH(C889),Parameters!$F$2:$G$13,2,0))</f>
        <v/>
      </c>
      <c r="F889" s="69" t="str">
        <f>IF($B889="","",PV-N(J888))</f>
        <v/>
      </c>
      <c r="G889" s="69" t="str">
        <f>IF($B889="","",PMT(Rate,Nper,-PV,,Type))</f>
        <v/>
      </c>
      <c r="H889" s="69" t="str">
        <f>IF($B889="","",PPMT(Rate,ROWS($1:877),Nper,-PV,,Type))</f>
        <v/>
      </c>
      <c r="I889" s="69" t="str">
        <f>IF($B889="","",IPMT(Rate,ROWS($1:877),Nper,-PV,,Type))</f>
        <v/>
      </c>
      <c r="J889" s="73" t="str">
        <f t="shared" ref="J889:K889" si="879">IF($B889="","",N(J888)+N(H889))</f>
        <v/>
      </c>
      <c r="K889" s="74" t="str">
        <f t="shared" si="879"/>
        <v/>
      </c>
      <c r="L889" s="69" t="str">
        <f>IF($B889="","",PV-J889)</f>
        <v/>
      </c>
      <c r="M889" s="71" t="str">
        <f>IF($B889="","",J889/PV)</f>
        <v/>
      </c>
      <c r="N889" s="72" t="str">
        <f t="shared" si="4"/>
        <v/>
      </c>
    </row>
    <row r="890" ht="14.25" customHeight="1">
      <c r="B890" s="66" t="str">
        <f>IF(ROWS($1:878)&lt;=Nper,ROWS($1:878),"")</f>
        <v/>
      </c>
      <c r="C890" s="67" t="str">
        <f>IF($B890="","",IF($E$7="Weekly",Start_Date+7*(ROWS($1:878)-1),EDATE(Start_Date,VLOOKUP(IF(ASTemp!$E$7="","Monthly",ASTemp!$E$7),Parameters!$B$3:$D$6,3,0)*(ROWS($1:878)-1))))</f>
        <v/>
      </c>
      <c r="D890" s="68" t="str">
        <f t="shared" si="2"/>
        <v/>
      </c>
      <c r="E890" s="65" t="str">
        <f>IF($B890="","",VLOOKUP(MONTH(C890),Parameters!$F$2:$G$13,2,0))</f>
        <v/>
      </c>
      <c r="F890" s="69" t="str">
        <f>IF($B890="","",PV-N(J889))</f>
        <v/>
      </c>
      <c r="G890" s="69" t="str">
        <f>IF($B890="","",PMT(Rate,Nper,-PV,,Type))</f>
        <v/>
      </c>
      <c r="H890" s="69" t="str">
        <f>IF($B890="","",PPMT(Rate,ROWS($1:878),Nper,-PV,,Type))</f>
        <v/>
      </c>
      <c r="I890" s="69" t="str">
        <f>IF($B890="","",IPMT(Rate,ROWS($1:878),Nper,-PV,,Type))</f>
        <v/>
      </c>
      <c r="J890" s="73" t="str">
        <f t="shared" ref="J890:K890" si="880">IF($B890="","",N(J889)+N(H890))</f>
        <v/>
      </c>
      <c r="K890" s="74" t="str">
        <f t="shared" si="880"/>
        <v/>
      </c>
      <c r="L890" s="69" t="str">
        <f>IF($B890="","",PV-J890)</f>
        <v/>
      </c>
      <c r="M890" s="71" t="str">
        <f>IF($B890="","",J890/PV)</f>
        <v/>
      </c>
      <c r="N890" s="72" t="str">
        <f t="shared" si="4"/>
        <v/>
      </c>
    </row>
    <row r="891" ht="14.25" customHeight="1">
      <c r="B891" s="66" t="str">
        <f>IF(ROWS($1:879)&lt;=Nper,ROWS($1:879),"")</f>
        <v/>
      </c>
      <c r="C891" s="67" t="str">
        <f>IF($B891="","",IF($E$7="Weekly",Start_Date+7*(ROWS($1:879)-1),EDATE(Start_Date,VLOOKUP(IF(ASTemp!$E$7="","Monthly",ASTemp!$E$7),Parameters!$B$3:$D$6,3,0)*(ROWS($1:879)-1))))</f>
        <v/>
      </c>
      <c r="D891" s="68" t="str">
        <f t="shared" si="2"/>
        <v/>
      </c>
      <c r="E891" s="65" t="str">
        <f>IF($B891="","",VLOOKUP(MONTH(C891),Parameters!$F$2:$G$13,2,0))</f>
        <v/>
      </c>
      <c r="F891" s="69" t="str">
        <f>IF($B891="","",PV-N(J890))</f>
        <v/>
      </c>
      <c r="G891" s="69" t="str">
        <f>IF($B891="","",PMT(Rate,Nper,-PV,,Type))</f>
        <v/>
      </c>
      <c r="H891" s="69" t="str">
        <f>IF($B891="","",PPMT(Rate,ROWS($1:879),Nper,-PV,,Type))</f>
        <v/>
      </c>
      <c r="I891" s="69" t="str">
        <f>IF($B891="","",IPMT(Rate,ROWS($1:879),Nper,-PV,,Type))</f>
        <v/>
      </c>
      <c r="J891" s="73" t="str">
        <f t="shared" ref="J891:K891" si="881">IF($B891="","",N(J890)+N(H891))</f>
        <v/>
      </c>
      <c r="K891" s="74" t="str">
        <f t="shared" si="881"/>
        <v/>
      </c>
      <c r="L891" s="69" t="str">
        <f>IF($B891="","",PV-J891)</f>
        <v/>
      </c>
      <c r="M891" s="71" t="str">
        <f>IF($B891="","",J891/PV)</f>
        <v/>
      </c>
      <c r="N891" s="72" t="str">
        <f t="shared" si="4"/>
        <v/>
      </c>
    </row>
    <row r="892" ht="14.25" customHeight="1">
      <c r="B892" s="66" t="str">
        <f>IF(ROWS($1:880)&lt;=Nper,ROWS($1:880),"")</f>
        <v/>
      </c>
      <c r="C892" s="67" t="str">
        <f>IF($B892="","",IF($E$7="Weekly",Start_Date+7*(ROWS($1:880)-1),EDATE(Start_Date,VLOOKUP(IF(ASTemp!$E$7="","Monthly",ASTemp!$E$7),Parameters!$B$3:$D$6,3,0)*(ROWS($1:880)-1))))</f>
        <v/>
      </c>
      <c r="D892" s="68" t="str">
        <f t="shared" si="2"/>
        <v/>
      </c>
      <c r="E892" s="65" t="str">
        <f>IF($B892="","",VLOOKUP(MONTH(C892),Parameters!$F$2:$G$13,2,0))</f>
        <v/>
      </c>
      <c r="F892" s="69" t="str">
        <f>IF($B892="","",PV-N(J891))</f>
        <v/>
      </c>
      <c r="G892" s="69" t="str">
        <f>IF($B892="","",PMT(Rate,Nper,-PV,,Type))</f>
        <v/>
      </c>
      <c r="H892" s="69" t="str">
        <f>IF($B892="","",PPMT(Rate,ROWS($1:880),Nper,-PV,,Type))</f>
        <v/>
      </c>
      <c r="I892" s="69" t="str">
        <f>IF($B892="","",IPMT(Rate,ROWS($1:880),Nper,-PV,,Type))</f>
        <v/>
      </c>
      <c r="J892" s="73" t="str">
        <f t="shared" ref="J892:K892" si="882">IF($B892="","",N(J891)+N(H892))</f>
        <v/>
      </c>
      <c r="K892" s="74" t="str">
        <f t="shared" si="882"/>
        <v/>
      </c>
      <c r="L892" s="69" t="str">
        <f>IF($B892="","",PV-J892)</f>
        <v/>
      </c>
      <c r="M892" s="71" t="str">
        <f>IF($B892="","",J892/PV)</f>
        <v/>
      </c>
      <c r="N892" s="72" t="str">
        <f t="shared" si="4"/>
        <v/>
      </c>
    </row>
    <row r="893" ht="14.25" customHeight="1">
      <c r="B893" s="66" t="str">
        <f>IF(ROWS($1:881)&lt;=Nper,ROWS($1:881),"")</f>
        <v/>
      </c>
      <c r="C893" s="67" t="str">
        <f>IF($B893="","",IF($E$7="Weekly",Start_Date+7*(ROWS($1:881)-1),EDATE(Start_Date,VLOOKUP(IF(ASTemp!$E$7="","Monthly",ASTemp!$E$7),Parameters!$B$3:$D$6,3,0)*(ROWS($1:881)-1))))</f>
        <v/>
      </c>
      <c r="D893" s="68" t="str">
        <f t="shared" si="2"/>
        <v/>
      </c>
      <c r="E893" s="65" t="str">
        <f>IF($B893="","",VLOOKUP(MONTH(C893),Parameters!$F$2:$G$13,2,0))</f>
        <v/>
      </c>
      <c r="F893" s="69" t="str">
        <f>IF($B893="","",PV-N(J892))</f>
        <v/>
      </c>
      <c r="G893" s="69" t="str">
        <f>IF($B893="","",PMT(Rate,Nper,-PV,,Type))</f>
        <v/>
      </c>
      <c r="H893" s="69" t="str">
        <f>IF($B893="","",PPMT(Rate,ROWS($1:881),Nper,-PV,,Type))</f>
        <v/>
      </c>
      <c r="I893" s="69" t="str">
        <f>IF($B893="","",IPMT(Rate,ROWS($1:881),Nper,-PV,,Type))</f>
        <v/>
      </c>
      <c r="J893" s="73" t="str">
        <f t="shared" ref="J893:K893" si="883">IF($B893="","",N(J892)+N(H893))</f>
        <v/>
      </c>
      <c r="K893" s="74" t="str">
        <f t="shared" si="883"/>
        <v/>
      </c>
      <c r="L893" s="69" t="str">
        <f>IF($B893="","",PV-J893)</f>
        <v/>
      </c>
      <c r="M893" s="71" t="str">
        <f>IF($B893="","",J893/PV)</f>
        <v/>
      </c>
      <c r="N893" s="72" t="str">
        <f t="shared" si="4"/>
        <v/>
      </c>
    </row>
    <row r="894" ht="14.25" customHeight="1">
      <c r="B894" s="66" t="str">
        <f>IF(ROWS($1:882)&lt;=Nper,ROWS($1:882),"")</f>
        <v/>
      </c>
      <c r="C894" s="67" t="str">
        <f>IF($B894="","",IF($E$7="Weekly",Start_Date+7*(ROWS($1:882)-1),EDATE(Start_Date,VLOOKUP(IF(ASTemp!$E$7="","Monthly",ASTemp!$E$7),Parameters!$B$3:$D$6,3,0)*(ROWS($1:882)-1))))</f>
        <v/>
      </c>
      <c r="D894" s="68" t="str">
        <f t="shared" si="2"/>
        <v/>
      </c>
      <c r="E894" s="65" t="str">
        <f>IF($B894="","",VLOOKUP(MONTH(C894),Parameters!$F$2:$G$13,2,0))</f>
        <v/>
      </c>
      <c r="F894" s="69" t="str">
        <f>IF($B894="","",PV-N(J893))</f>
        <v/>
      </c>
      <c r="G894" s="69" t="str">
        <f>IF($B894="","",PMT(Rate,Nper,-PV,,Type))</f>
        <v/>
      </c>
      <c r="H894" s="69" t="str">
        <f>IF($B894="","",PPMT(Rate,ROWS($1:882),Nper,-PV,,Type))</f>
        <v/>
      </c>
      <c r="I894" s="69" t="str">
        <f>IF($B894="","",IPMT(Rate,ROWS($1:882),Nper,-PV,,Type))</f>
        <v/>
      </c>
      <c r="J894" s="73" t="str">
        <f t="shared" ref="J894:K894" si="884">IF($B894="","",N(J893)+N(H894))</f>
        <v/>
      </c>
      <c r="K894" s="74" t="str">
        <f t="shared" si="884"/>
        <v/>
      </c>
      <c r="L894" s="69" t="str">
        <f>IF($B894="","",PV-J894)</f>
        <v/>
      </c>
      <c r="M894" s="71" t="str">
        <f>IF($B894="","",J894/PV)</f>
        <v/>
      </c>
      <c r="N894" s="72" t="str">
        <f t="shared" si="4"/>
        <v/>
      </c>
    </row>
    <row r="895" ht="14.25" customHeight="1">
      <c r="B895" s="66" t="str">
        <f>IF(ROWS($1:883)&lt;=Nper,ROWS($1:883),"")</f>
        <v/>
      </c>
      <c r="C895" s="67" t="str">
        <f>IF($B895="","",IF($E$7="Weekly",Start_Date+7*(ROWS($1:883)-1),EDATE(Start_Date,VLOOKUP(IF(ASTemp!$E$7="","Monthly",ASTemp!$E$7),Parameters!$B$3:$D$6,3,0)*(ROWS($1:883)-1))))</f>
        <v/>
      </c>
      <c r="D895" s="68" t="str">
        <f t="shared" si="2"/>
        <v/>
      </c>
      <c r="E895" s="65" t="str">
        <f>IF($B895="","",VLOOKUP(MONTH(C895),Parameters!$F$2:$G$13,2,0))</f>
        <v/>
      </c>
      <c r="F895" s="69" t="str">
        <f>IF($B895="","",PV-N(J894))</f>
        <v/>
      </c>
      <c r="G895" s="69" t="str">
        <f>IF($B895="","",PMT(Rate,Nper,-PV,,Type))</f>
        <v/>
      </c>
      <c r="H895" s="69" t="str">
        <f>IF($B895="","",PPMT(Rate,ROWS($1:883),Nper,-PV,,Type))</f>
        <v/>
      </c>
      <c r="I895" s="69" t="str">
        <f>IF($B895="","",IPMT(Rate,ROWS($1:883),Nper,-PV,,Type))</f>
        <v/>
      </c>
      <c r="J895" s="73" t="str">
        <f t="shared" ref="J895:K895" si="885">IF($B895="","",N(J894)+N(H895))</f>
        <v/>
      </c>
      <c r="K895" s="74" t="str">
        <f t="shared" si="885"/>
        <v/>
      </c>
      <c r="L895" s="69" t="str">
        <f>IF($B895="","",PV-J895)</f>
        <v/>
      </c>
      <c r="M895" s="71" t="str">
        <f>IF($B895="","",J895/PV)</f>
        <v/>
      </c>
      <c r="N895" s="72" t="str">
        <f t="shared" si="4"/>
        <v/>
      </c>
    </row>
    <row r="896" ht="14.25" customHeight="1">
      <c r="B896" s="66" t="str">
        <f>IF(ROWS($1:884)&lt;=Nper,ROWS($1:884),"")</f>
        <v/>
      </c>
      <c r="C896" s="67" t="str">
        <f>IF($B896="","",IF($E$7="Weekly",Start_Date+7*(ROWS($1:884)-1),EDATE(Start_Date,VLOOKUP(IF(ASTemp!$E$7="","Monthly",ASTemp!$E$7),Parameters!$B$3:$D$6,3,0)*(ROWS($1:884)-1))))</f>
        <v/>
      </c>
      <c r="D896" s="68" t="str">
        <f t="shared" si="2"/>
        <v/>
      </c>
      <c r="E896" s="65" t="str">
        <f>IF($B896="","",VLOOKUP(MONTH(C896),Parameters!$F$2:$G$13,2,0))</f>
        <v/>
      </c>
      <c r="F896" s="69" t="str">
        <f>IF($B896="","",PV-N(J895))</f>
        <v/>
      </c>
      <c r="G896" s="69" t="str">
        <f>IF($B896="","",PMT(Rate,Nper,-PV,,Type))</f>
        <v/>
      </c>
      <c r="H896" s="69" t="str">
        <f>IF($B896="","",PPMT(Rate,ROWS($1:884),Nper,-PV,,Type))</f>
        <v/>
      </c>
      <c r="I896" s="69" t="str">
        <f>IF($B896="","",IPMT(Rate,ROWS($1:884),Nper,-PV,,Type))</f>
        <v/>
      </c>
      <c r="J896" s="73" t="str">
        <f t="shared" ref="J896:K896" si="886">IF($B896="","",N(J895)+N(H896))</f>
        <v/>
      </c>
      <c r="K896" s="74" t="str">
        <f t="shared" si="886"/>
        <v/>
      </c>
      <c r="L896" s="69" t="str">
        <f>IF($B896="","",PV-J896)</f>
        <v/>
      </c>
      <c r="M896" s="71" t="str">
        <f>IF($B896="","",J896/PV)</f>
        <v/>
      </c>
      <c r="N896" s="72" t="str">
        <f t="shared" si="4"/>
        <v/>
      </c>
    </row>
    <row r="897" ht="14.25" customHeight="1">
      <c r="B897" s="66" t="str">
        <f>IF(ROWS($1:885)&lt;=Nper,ROWS($1:885),"")</f>
        <v/>
      </c>
      <c r="C897" s="67" t="str">
        <f>IF($B897="","",IF($E$7="Weekly",Start_Date+7*(ROWS($1:885)-1),EDATE(Start_Date,VLOOKUP(IF(ASTemp!$E$7="","Monthly",ASTemp!$E$7),Parameters!$B$3:$D$6,3,0)*(ROWS($1:885)-1))))</f>
        <v/>
      </c>
      <c r="D897" s="68" t="str">
        <f t="shared" si="2"/>
        <v/>
      </c>
      <c r="E897" s="65" t="str">
        <f>IF($B897="","",VLOOKUP(MONTH(C897),Parameters!$F$2:$G$13,2,0))</f>
        <v/>
      </c>
      <c r="F897" s="69" t="str">
        <f>IF($B897="","",PV-N(J896))</f>
        <v/>
      </c>
      <c r="G897" s="69" t="str">
        <f>IF($B897="","",PMT(Rate,Nper,-PV,,Type))</f>
        <v/>
      </c>
      <c r="H897" s="69" t="str">
        <f>IF($B897="","",PPMT(Rate,ROWS($1:885),Nper,-PV,,Type))</f>
        <v/>
      </c>
      <c r="I897" s="69" t="str">
        <f>IF($B897="","",IPMT(Rate,ROWS($1:885),Nper,-PV,,Type))</f>
        <v/>
      </c>
      <c r="J897" s="73" t="str">
        <f t="shared" ref="J897:K897" si="887">IF($B897="","",N(J896)+N(H897))</f>
        <v/>
      </c>
      <c r="K897" s="74" t="str">
        <f t="shared" si="887"/>
        <v/>
      </c>
      <c r="L897" s="69" t="str">
        <f>IF($B897="","",PV-J897)</f>
        <v/>
      </c>
      <c r="M897" s="71" t="str">
        <f>IF($B897="","",J897/PV)</f>
        <v/>
      </c>
      <c r="N897" s="72" t="str">
        <f t="shared" si="4"/>
        <v/>
      </c>
    </row>
    <row r="898" ht="14.25" customHeight="1">
      <c r="B898" s="66" t="str">
        <f>IF(ROWS($1:886)&lt;=Nper,ROWS($1:886),"")</f>
        <v/>
      </c>
      <c r="C898" s="67" t="str">
        <f>IF($B898="","",IF($E$7="Weekly",Start_Date+7*(ROWS($1:886)-1),EDATE(Start_Date,VLOOKUP(IF(ASTemp!$E$7="","Monthly",ASTemp!$E$7),Parameters!$B$3:$D$6,3,0)*(ROWS($1:886)-1))))</f>
        <v/>
      </c>
      <c r="D898" s="68" t="str">
        <f t="shared" si="2"/>
        <v/>
      </c>
      <c r="E898" s="65" t="str">
        <f>IF($B898="","",VLOOKUP(MONTH(C898),Parameters!$F$2:$G$13,2,0))</f>
        <v/>
      </c>
      <c r="F898" s="69" t="str">
        <f>IF($B898="","",PV-N(J897))</f>
        <v/>
      </c>
      <c r="G898" s="69" t="str">
        <f>IF($B898="","",PMT(Rate,Nper,-PV,,Type))</f>
        <v/>
      </c>
      <c r="H898" s="69" t="str">
        <f>IF($B898="","",PPMT(Rate,ROWS($1:886),Nper,-PV,,Type))</f>
        <v/>
      </c>
      <c r="I898" s="69" t="str">
        <f>IF($B898="","",IPMT(Rate,ROWS($1:886),Nper,-PV,,Type))</f>
        <v/>
      </c>
      <c r="J898" s="73" t="str">
        <f t="shared" ref="J898:K898" si="888">IF($B898="","",N(J897)+N(H898))</f>
        <v/>
      </c>
      <c r="K898" s="74" t="str">
        <f t="shared" si="888"/>
        <v/>
      </c>
      <c r="L898" s="69" t="str">
        <f>IF($B898="","",PV-J898)</f>
        <v/>
      </c>
      <c r="M898" s="71" t="str">
        <f>IF($B898="","",J898/PV)</f>
        <v/>
      </c>
      <c r="N898" s="72" t="str">
        <f t="shared" si="4"/>
        <v/>
      </c>
    </row>
    <row r="899" ht="14.25" customHeight="1">
      <c r="B899" s="66" t="str">
        <f>IF(ROWS($1:887)&lt;=Nper,ROWS($1:887),"")</f>
        <v/>
      </c>
      <c r="C899" s="67" t="str">
        <f>IF($B899="","",IF($E$7="Weekly",Start_Date+7*(ROWS($1:887)-1),EDATE(Start_Date,VLOOKUP(IF(ASTemp!$E$7="","Monthly",ASTemp!$E$7),Parameters!$B$3:$D$6,3,0)*(ROWS($1:887)-1))))</f>
        <v/>
      </c>
      <c r="D899" s="68" t="str">
        <f t="shared" si="2"/>
        <v/>
      </c>
      <c r="E899" s="65" t="str">
        <f>IF($B899="","",VLOOKUP(MONTH(C899),Parameters!$F$2:$G$13,2,0))</f>
        <v/>
      </c>
      <c r="F899" s="69" t="str">
        <f>IF($B899="","",PV-N(J898))</f>
        <v/>
      </c>
      <c r="G899" s="69" t="str">
        <f>IF($B899="","",PMT(Rate,Nper,-PV,,Type))</f>
        <v/>
      </c>
      <c r="H899" s="69" t="str">
        <f>IF($B899="","",PPMT(Rate,ROWS($1:887),Nper,-PV,,Type))</f>
        <v/>
      </c>
      <c r="I899" s="69" t="str">
        <f>IF($B899="","",IPMT(Rate,ROWS($1:887),Nper,-PV,,Type))</f>
        <v/>
      </c>
      <c r="J899" s="73" t="str">
        <f t="shared" ref="J899:K899" si="889">IF($B899="","",N(J898)+N(H899))</f>
        <v/>
      </c>
      <c r="K899" s="74" t="str">
        <f t="shared" si="889"/>
        <v/>
      </c>
      <c r="L899" s="69" t="str">
        <f>IF($B899="","",PV-J899)</f>
        <v/>
      </c>
      <c r="M899" s="71" t="str">
        <f>IF($B899="","",J899/PV)</f>
        <v/>
      </c>
      <c r="N899" s="72" t="str">
        <f t="shared" si="4"/>
        <v/>
      </c>
    </row>
    <row r="900" ht="14.25" customHeight="1">
      <c r="B900" s="66" t="str">
        <f>IF(ROWS($1:888)&lt;=Nper,ROWS($1:888),"")</f>
        <v/>
      </c>
      <c r="C900" s="67" t="str">
        <f>IF($B900="","",IF($E$7="Weekly",Start_Date+7*(ROWS($1:888)-1),EDATE(Start_Date,VLOOKUP(IF(ASTemp!$E$7="","Monthly",ASTemp!$E$7),Parameters!$B$3:$D$6,3,0)*(ROWS($1:888)-1))))</f>
        <v/>
      </c>
      <c r="D900" s="68" t="str">
        <f t="shared" si="2"/>
        <v/>
      </c>
      <c r="E900" s="65" t="str">
        <f>IF($B900="","",VLOOKUP(MONTH(C900),Parameters!$F$2:$G$13,2,0))</f>
        <v/>
      </c>
      <c r="F900" s="69" t="str">
        <f>IF($B900="","",PV-N(J899))</f>
        <v/>
      </c>
      <c r="G900" s="69" t="str">
        <f>IF($B900="","",PMT(Rate,Nper,-PV,,Type))</f>
        <v/>
      </c>
      <c r="H900" s="69" t="str">
        <f>IF($B900="","",PPMT(Rate,ROWS($1:888),Nper,-PV,,Type))</f>
        <v/>
      </c>
      <c r="I900" s="69" t="str">
        <f>IF($B900="","",IPMT(Rate,ROWS($1:888),Nper,-PV,,Type))</f>
        <v/>
      </c>
      <c r="J900" s="73" t="str">
        <f t="shared" ref="J900:K900" si="890">IF($B900="","",N(J899)+N(H900))</f>
        <v/>
      </c>
      <c r="K900" s="74" t="str">
        <f t="shared" si="890"/>
        <v/>
      </c>
      <c r="L900" s="69" t="str">
        <f>IF($B900="","",PV-J900)</f>
        <v/>
      </c>
      <c r="M900" s="71" t="str">
        <f>IF($B900="","",J900/PV)</f>
        <v/>
      </c>
      <c r="N900" s="72" t="str">
        <f t="shared" si="4"/>
        <v/>
      </c>
    </row>
    <row r="901" ht="14.25" customHeight="1">
      <c r="B901" s="66" t="str">
        <f>IF(ROWS($1:889)&lt;=Nper,ROWS($1:889),"")</f>
        <v/>
      </c>
      <c r="C901" s="67" t="str">
        <f>IF($B901="","",IF($E$7="Weekly",Start_Date+7*(ROWS($1:889)-1),EDATE(Start_Date,VLOOKUP(IF(ASTemp!$E$7="","Monthly",ASTemp!$E$7),Parameters!$B$3:$D$6,3,0)*(ROWS($1:889)-1))))</f>
        <v/>
      </c>
      <c r="D901" s="68" t="str">
        <f t="shared" si="2"/>
        <v/>
      </c>
      <c r="E901" s="65" t="str">
        <f>IF($B901="","",VLOOKUP(MONTH(C901),Parameters!$F$2:$G$13,2,0))</f>
        <v/>
      </c>
      <c r="F901" s="69" t="str">
        <f>IF($B901="","",PV-N(J900))</f>
        <v/>
      </c>
      <c r="G901" s="69" t="str">
        <f>IF($B901="","",PMT(Rate,Nper,-PV,,Type))</f>
        <v/>
      </c>
      <c r="H901" s="69" t="str">
        <f>IF($B901="","",PPMT(Rate,ROWS($1:889),Nper,-PV,,Type))</f>
        <v/>
      </c>
      <c r="I901" s="69" t="str">
        <f>IF($B901="","",IPMT(Rate,ROWS($1:889),Nper,-PV,,Type))</f>
        <v/>
      </c>
      <c r="J901" s="73" t="str">
        <f t="shared" ref="J901:K901" si="891">IF($B901="","",N(J900)+N(H901))</f>
        <v/>
      </c>
      <c r="K901" s="74" t="str">
        <f t="shared" si="891"/>
        <v/>
      </c>
      <c r="L901" s="69" t="str">
        <f>IF($B901="","",PV-J901)</f>
        <v/>
      </c>
      <c r="M901" s="71" t="str">
        <f>IF($B901="","",J901/PV)</f>
        <v/>
      </c>
      <c r="N901" s="72" t="str">
        <f t="shared" si="4"/>
        <v/>
      </c>
    </row>
    <row r="902" ht="14.25" customHeight="1">
      <c r="B902" s="66" t="str">
        <f>IF(ROWS($1:890)&lt;=Nper,ROWS($1:890),"")</f>
        <v/>
      </c>
      <c r="C902" s="67" t="str">
        <f>IF($B902="","",IF($E$7="Weekly",Start_Date+7*(ROWS($1:890)-1),EDATE(Start_Date,VLOOKUP(IF(ASTemp!$E$7="","Monthly",ASTemp!$E$7),Parameters!$B$3:$D$6,3,0)*(ROWS($1:890)-1))))</f>
        <v/>
      </c>
      <c r="D902" s="68" t="str">
        <f t="shared" si="2"/>
        <v/>
      </c>
      <c r="E902" s="65" t="str">
        <f>IF($B902="","",VLOOKUP(MONTH(C902),Parameters!$F$2:$G$13,2,0))</f>
        <v/>
      </c>
      <c r="F902" s="69" t="str">
        <f>IF($B902="","",PV-N(J901))</f>
        <v/>
      </c>
      <c r="G902" s="69" t="str">
        <f>IF($B902="","",PMT(Rate,Nper,-PV,,Type))</f>
        <v/>
      </c>
      <c r="H902" s="69" t="str">
        <f>IF($B902="","",PPMT(Rate,ROWS($1:890),Nper,-PV,,Type))</f>
        <v/>
      </c>
      <c r="I902" s="69" t="str">
        <f>IF($B902="","",IPMT(Rate,ROWS($1:890),Nper,-PV,,Type))</f>
        <v/>
      </c>
      <c r="J902" s="73" t="str">
        <f t="shared" ref="J902:K902" si="892">IF($B902="","",N(J901)+N(H902))</f>
        <v/>
      </c>
      <c r="K902" s="74" t="str">
        <f t="shared" si="892"/>
        <v/>
      </c>
      <c r="L902" s="69" t="str">
        <f>IF($B902="","",PV-J902)</f>
        <v/>
      </c>
      <c r="M902" s="71" t="str">
        <f>IF($B902="","",J902/PV)</f>
        <v/>
      </c>
      <c r="N902" s="72" t="str">
        <f t="shared" si="4"/>
        <v/>
      </c>
    </row>
    <row r="903" ht="14.25" customHeight="1">
      <c r="B903" s="66" t="str">
        <f>IF(ROWS($1:891)&lt;=Nper,ROWS($1:891),"")</f>
        <v/>
      </c>
      <c r="C903" s="67" t="str">
        <f>IF($B903="","",IF($E$7="Weekly",Start_Date+7*(ROWS($1:891)-1),EDATE(Start_Date,VLOOKUP(IF(ASTemp!$E$7="","Monthly",ASTemp!$E$7),Parameters!$B$3:$D$6,3,0)*(ROWS($1:891)-1))))</f>
        <v/>
      </c>
      <c r="D903" s="68" t="str">
        <f t="shared" si="2"/>
        <v/>
      </c>
      <c r="E903" s="65" t="str">
        <f>IF($B903="","",VLOOKUP(MONTH(C903),Parameters!$F$2:$G$13,2,0))</f>
        <v/>
      </c>
      <c r="F903" s="69" t="str">
        <f>IF($B903="","",PV-N(J902))</f>
        <v/>
      </c>
      <c r="G903" s="69" t="str">
        <f>IF($B903="","",PMT(Rate,Nper,-PV,,Type))</f>
        <v/>
      </c>
      <c r="H903" s="69" t="str">
        <f>IF($B903="","",PPMT(Rate,ROWS($1:891),Nper,-PV,,Type))</f>
        <v/>
      </c>
      <c r="I903" s="69" t="str">
        <f>IF($B903="","",IPMT(Rate,ROWS($1:891),Nper,-PV,,Type))</f>
        <v/>
      </c>
      <c r="J903" s="73" t="str">
        <f t="shared" ref="J903:K903" si="893">IF($B903="","",N(J902)+N(H903))</f>
        <v/>
      </c>
      <c r="K903" s="74" t="str">
        <f t="shared" si="893"/>
        <v/>
      </c>
      <c r="L903" s="69" t="str">
        <f>IF($B903="","",PV-J903)</f>
        <v/>
      </c>
      <c r="M903" s="71" t="str">
        <f>IF($B903="","",J903/PV)</f>
        <v/>
      </c>
      <c r="N903" s="72" t="str">
        <f t="shared" si="4"/>
        <v/>
      </c>
    </row>
    <row r="904" ht="14.25" customHeight="1">
      <c r="B904" s="66" t="str">
        <f>IF(ROWS($1:892)&lt;=Nper,ROWS($1:892),"")</f>
        <v/>
      </c>
      <c r="C904" s="67" t="str">
        <f>IF($B904="","",IF($E$7="Weekly",Start_Date+7*(ROWS($1:892)-1),EDATE(Start_Date,VLOOKUP(IF(ASTemp!$E$7="","Monthly",ASTemp!$E$7),Parameters!$B$3:$D$6,3,0)*(ROWS($1:892)-1))))</f>
        <v/>
      </c>
      <c r="D904" s="68" t="str">
        <f t="shared" si="2"/>
        <v/>
      </c>
      <c r="E904" s="65" t="str">
        <f>IF($B904="","",VLOOKUP(MONTH(C904),Parameters!$F$2:$G$13,2,0))</f>
        <v/>
      </c>
      <c r="F904" s="69" t="str">
        <f>IF($B904="","",PV-N(J903))</f>
        <v/>
      </c>
      <c r="G904" s="69" t="str">
        <f>IF($B904="","",PMT(Rate,Nper,-PV,,Type))</f>
        <v/>
      </c>
      <c r="H904" s="69" t="str">
        <f>IF($B904="","",PPMT(Rate,ROWS($1:892),Nper,-PV,,Type))</f>
        <v/>
      </c>
      <c r="I904" s="69" t="str">
        <f>IF($B904="","",IPMT(Rate,ROWS($1:892),Nper,-PV,,Type))</f>
        <v/>
      </c>
      <c r="J904" s="73" t="str">
        <f t="shared" ref="J904:K904" si="894">IF($B904="","",N(J903)+N(H904))</f>
        <v/>
      </c>
      <c r="K904" s="74" t="str">
        <f t="shared" si="894"/>
        <v/>
      </c>
      <c r="L904" s="69" t="str">
        <f>IF($B904="","",PV-J904)</f>
        <v/>
      </c>
      <c r="M904" s="71" t="str">
        <f>IF($B904="","",J904/PV)</f>
        <v/>
      </c>
      <c r="N904" s="72" t="str">
        <f t="shared" si="4"/>
        <v/>
      </c>
    </row>
    <row r="905" ht="14.25" customHeight="1">
      <c r="B905" s="66" t="str">
        <f>IF(ROWS($1:893)&lt;=Nper,ROWS($1:893),"")</f>
        <v/>
      </c>
      <c r="C905" s="67" t="str">
        <f>IF($B905="","",IF($E$7="Weekly",Start_Date+7*(ROWS($1:893)-1),EDATE(Start_Date,VLOOKUP(IF(ASTemp!$E$7="","Monthly",ASTemp!$E$7),Parameters!$B$3:$D$6,3,0)*(ROWS($1:893)-1))))</f>
        <v/>
      </c>
      <c r="D905" s="68" t="str">
        <f t="shared" si="2"/>
        <v/>
      </c>
      <c r="E905" s="65" t="str">
        <f>IF($B905="","",VLOOKUP(MONTH(C905),Parameters!$F$2:$G$13,2,0))</f>
        <v/>
      </c>
      <c r="F905" s="69" t="str">
        <f>IF($B905="","",PV-N(J904))</f>
        <v/>
      </c>
      <c r="G905" s="69" t="str">
        <f>IF($B905="","",PMT(Rate,Nper,-PV,,Type))</f>
        <v/>
      </c>
      <c r="H905" s="69" t="str">
        <f>IF($B905="","",PPMT(Rate,ROWS($1:893),Nper,-PV,,Type))</f>
        <v/>
      </c>
      <c r="I905" s="69" t="str">
        <f>IF($B905="","",IPMT(Rate,ROWS($1:893),Nper,-PV,,Type))</f>
        <v/>
      </c>
      <c r="J905" s="73" t="str">
        <f t="shared" ref="J905:K905" si="895">IF($B905="","",N(J904)+N(H905))</f>
        <v/>
      </c>
      <c r="K905" s="74" t="str">
        <f t="shared" si="895"/>
        <v/>
      </c>
      <c r="L905" s="69" t="str">
        <f>IF($B905="","",PV-J905)</f>
        <v/>
      </c>
      <c r="M905" s="71" t="str">
        <f>IF($B905="","",J905/PV)</f>
        <v/>
      </c>
      <c r="N905" s="72" t="str">
        <f t="shared" si="4"/>
        <v/>
      </c>
    </row>
    <row r="906" ht="14.25" customHeight="1">
      <c r="B906" s="66" t="str">
        <f>IF(ROWS($1:894)&lt;=Nper,ROWS($1:894),"")</f>
        <v/>
      </c>
      <c r="C906" s="67" t="str">
        <f>IF($B906="","",IF($E$7="Weekly",Start_Date+7*(ROWS($1:894)-1),EDATE(Start_Date,VLOOKUP(IF(ASTemp!$E$7="","Monthly",ASTemp!$E$7),Parameters!$B$3:$D$6,3,0)*(ROWS($1:894)-1))))</f>
        <v/>
      </c>
      <c r="D906" s="68" t="str">
        <f t="shared" si="2"/>
        <v/>
      </c>
      <c r="E906" s="65" t="str">
        <f>IF($B906="","",VLOOKUP(MONTH(C906),Parameters!$F$2:$G$13,2,0))</f>
        <v/>
      </c>
      <c r="F906" s="69" t="str">
        <f>IF($B906="","",PV-N(J905))</f>
        <v/>
      </c>
      <c r="G906" s="69" t="str">
        <f>IF($B906="","",PMT(Rate,Nper,-PV,,Type))</f>
        <v/>
      </c>
      <c r="H906" s="69" t="str">
        <f>IF($B906="","",PPMT(Rate,ROWS($1:894),Nper,-PV,,Type))</f>
        <v/>
      </c>
      <c r="I906" s="69" t="str">
        <f>IF($B906="","",IPMT(Rate,ROWS($1:894),Nper,-PV,,Type))</f>
        <v/>
      </c>
      <c r="J906" s="73" t="str">
        <f t="shared" ref="J906:K906" si="896">IF($B906="","",N(J905)+N(H906))</f>
        <v/>
      </c>
      <c r="K906" s="74" t="str">
        <f t="shared" si="896"/>
        <v/>
      </c>
      <c r="L906" s="69" t="str">
        <f>IF($B906="","",PV-J906)</f>
        <v/>
      </c>
      <c r="M906" s="71" t="str">
        <f>IF($B906="","",J906/PV)</f>
        <v/>
      </c>
      <c r="N906" s="72" t="str">
        <f t="shared" si="4"/>
        <v/>
      </c>
    </row>
    <row r="907" ht="14.25" customHeight="1">
      <c r="B907" s="66" t="str">
        <f>IF(ROWS($1:895)&lt;=Nper,ROWS($1:895),"")</f>
        <v/>
      </c>
      <c r="C907" s="67" t="str">
        <f>IF($B907="","",IF($E$7="Weekly",Start_Date+7*(ROWS($1:895)-1),EDATE(Start_Date,VLOOKUP(IF(ASTemp!$E$7="","Monthly",ASTemp!$E$7),Parameters!$B$3:$D$6,3,0)*(ROWS($1:895)-1))))</f>
        <v/>
      </c>
      <c r="D907" s="68" t="str">
        <f t="shared" si="2"/>
        <v/>
      </c>
      <c r="E907" s="65" t="str">
        <f>IF($B907="","",VLOOKUP(MONTH(C907),Parameters!$F$2:$G$13,2,0))</f>
        <v/>
      </c>
      <c r="F907" s="69" t="str">
        <f>IF($B907="","",PV-N(J906))</f>
        <v/>
      </c>
      <c r="G907" s="69" t="str">
        <f>IF($B907="","",PMT(Rate,Nper,-PV,,Type))</f>
        <v/>
      </c>
      <c r="H907" s="69" t="str">
        <f>IF($B907="","",PPMT(Rate,ROWS($1:895),Nper,-PV,,Type))</f>
        <v/>
      </c>
      <c r="I907" s="69" t="str">
        <f>IF($B907="","",IPMT(Rate,ROWS($1:895),Nper,-PV,,Type))</f>
        <v/>
      </c>
      <c r="J907" s="73" t="str">
        <f t="shared" ref="J907:K907" si="897">IF($B907="","",N(J906)+N(H907))</f>
        <v/>
      </c>
      <c r="K907" s="74" t="str">
        <f t="shared" si="897"/>
        <v/>
      </c>
      <c r="L907" s="69" t="str">
        <f>IF($B907="","",PV-J907)</f>
        <v/>
      </c>
      <c r="M907" s="71" t="str">
        <f>IF($B907="","",J907/PV)</f>
        <v/>
      </c>
      <c r="N907" s="72" t="str">
        <f t="shared" si="4"/>
        <v/>
      </c>
    </row>
    <row r="908" ht="14.25" customHeight="1">
      <c r="B908" s="66" t="str">
        <f>IF(ROWS($1:896)&lt;=Nper,ROWS($1:896),"")</f>
        <v/>
      </c>
      <c r="C908" s="67" t="str">
        <f>IF($B908="","",IF($E$7="Weekly",Start_Date+7*(ROWS($1:896)-1),EDATE(Start_Date,VLOOKUP(IF(ASTemp!$E$7="","Monthly",ASTemp!$E$7),Parameters!$B$3:$D$6,3,0)*(ROWS($1:896)-1))))</f>
        <v/>
      </c>
      <c r="D908" s="68" t="str">
        <f t="shared" si="2"/>
        <v/>
      </c>
      <c r="E908" s="65" t="str">
        <f>IF($B908="","",VLOOKUP(MONTH(C908),Parameters!$F$2:$G$13,2,0))</f>
        <v/>
      </c>
      <c r="F908" s="69" t="str">
        <f>IF($B908="","",PV-N(J907))</f>
        <v/>
      </c>
      <c r="G908" s="69" t="str">
        <f>IF($B908="","",PMT(Rate,Nper,-PV,,Type))</f>
        <v/>
      </c>
      <c r="H908" s="69" t="str">
        <f>IF($B908="","",PPMT(Rate,ROWS($1:896),Nper,-PV,,Type))</f>
        <v/>
      </c>
      <c r="I908" s="69" t="str">
        <f>IF($B908="","",IPMT(Rate,ROWS($1:896),Nper,-PV,,Type))</f>
        <v/>
      </c>
      <c r="J908" s="73" t="str">
        <f t="shared" ref="J908:K908" si="898">IF($B908="","",N(J907)+N(H908))</f>
        <v/>
      </c>
      <c r="K908" s="74" t="str">
        <f t="shared" si="898"/>
        <v/>
      </c>
      <c r="L908" s="69" t="str">
        <f>IF($B908="","",PV-J908)</f>
        <v/>
      </c>
      <c r="M908" s="71" t="str">
        <f>IF($B908="","",J908/PV)</f>
        <v/>
      </c>
      <c r="N908" s="72" t="str">
        <f t="shared" si="4"/>
        <v/>
      </c>
    </row>
    <row r="909" ht="14.25" customHeight="1">
      <c r="B909" s="66" t="str">
        <f>IF(ROWS($1:897)&lt;=Nper,ROWS($1:897),"")</f>
        <v/>
      </c>
      <c r="C909" s="67" t="str">
        <f>IF($B909="","",IF($E$7="Weekly",Start_Date+7*(ROWS($1:897)-1),EDATE(Start_Date,VLOOKUP(IF(ASTemp!$E$7="","Monthly",ASTemp!$E$7),Parameters!$B$3:$D$6,3,0)*(ROWS($1:897)-1))))</f>
        <v/>
      </c>
      <c r="D909" s="68" t="str">
        <f t="shared" si="2"/>
        <v/>
      </c>
      <c r="E909" s="65" t="str">
        <f>IF($B909="","",VLOOKUP(MONTH(C909),Parameters!$F$2:$G$13,2,0))</f>
        <v/>
      </c>
      <c r="F909" s="69" t="str">
        <f>IF($B909="","",PV-N(J908))</f>
        <v/>
      </c>
      <c r="G909" s="69" t="str">
        <f>IF($B909="","",PMT(Rate,Nper,-PV,,Type))</f>
        <v/>
      </c>
      <c r="H909" s="69" t="str">
        <f>IF($B909="","",PPMT(Rate,ROWS($1:897),Nper,-PV,,Type))</f>
        <v/>
      </c>
      <c r="I909" s="69" t="str">
        <f>IF($B909="","",IPMT(Rate,ROWS($1:897),Nper,-PV,,Type))</f>
        <v/>
      </c>
      <c r="J909" s="73" t="str">
        <f t="shared" ref="J909:K909" si="899">IF($B909="","",N(J908)+N(H909))</f>
        <v/>
      </c>
      <c r="K909" s="74" t="str">
        <f t="shared" si="899"/>
        <v/>
      </c>
      <c r="L909" s="69" t="str">
        <f>IF($B909="","",PV-J909)</f>
        <v/>
      </c>
      <c r="M909" s="71" t="str">
        <f>IF($B909="","",J909/PV)</f>
        <v/>
      </c>
      <c r="N909" s="72" t="str">
        <f t="shared" si="4"/>
        <v/>
      </c>
    </row>
    <row r="910" ht="14.25" customHeight="1">
      <c r="B910" s="66" t="str">
        <f>IF(ROWS($1:898)&lt;=Nper,ROWS($1:898),"")</f>
        <v/>
      </c>
      <c r="C910" s="67" t="str">
        <f>IF($B910="","",IF($E$7="Weekly",Start_Date+7*(ROWS($1:898)-1),EDATE(Start_Date,VLOOKUP(IF(ASTemp!$E$7="","Monthly",ASTemp!$E$7),Parameters!$B$3:$D$6,3,0)*(ROWS($1:898)-1))))</f>
        <v/>
      </c>
      <c r="D910" s="68" t="str">
        <f t="shared" si="2"/>
        <v/>
      </c>
      <c r="E910" s="65" t="str">
        <f>IF($B910="","",VLOOKUP(MONTH(C910),Parameters!$F$2:$G$13,2,0))</f>
        <v/>
      </c>
      <c r="F910" s="69" t="str">
        <f>IF($B910="","",PV-N(J909))</f>
        <v/>
      </c>
      <c r="G910" s="69" t="str">
        <f>IF($B910="","",PMT(Rate,Nper,-PV,,Type))</f>
        <v/>
      </c>
      <c r="H910" s="69" t="str">
        <f>IF($B910="","",PPMT(Rate,ROWS($1:898),Nper,-PV,,Type))</f>
        <v/>
      </c>
      <c r="I910" s="69" t="str">
        <f>IF($B910="","",IPMT(Rate,ROWS($1:898),Nper,-PV,,Type))</f>
        <v/>
      </c>
      <c r="J910" s="73" t="str">
        <f t="shared" ref="J910:K910" si="900">IF($B910="","",N(J909)+N(H910))</f>
        <v/>
      </c>
      <c r="K910" s="74" t="str">
        <f t="shared" si="900"/>
        <v/>
      </c>
      <c r="L910" s="69" t="str">
        <f>IF($B910="","",PV-J910)</f>
        <v/>
      </c>
      <c r="M910" s="71" t="str">
        <f>IF($B910="","",J910/PV)</f>
        <v/>
      </c>
      <c r="N910" s="72" t="str">
        <f t="shared" si="4"/>
        <v/>
      </c>
    </row>
    <row r="911" ht="14.25" customHeight="1">
      <c r="B911" s="66" t="str">
        <f>IF(ROWS($1:899)&lt;=Nper,ROWS($1:899),"")</f>
        <v/>
      </c>
      <c r="C911" s="67" t="str">
        <f>IF($B911="","",IF($E$7="Weekly",Start_Date+7*(ROWS($1:899)-1),EDATE(Start_Date,VLOOKUP(IF(ASTemp!$E$7="","Monthly",ASTemp!$E$7),Parameters!$B$3:$D$6,3,0)*(ROWS($1:899)-1))))</f>
        <v/>
      </c>
      <c r="D911" s="68" t="str">
        <f t="shared" si="2"/>
        <v/>
      </c>
      <c r="E911" s="65" t="str">
        <f>IF($B911="","",VLOOKUP(MONTH(C911),Parameters!$F$2:$G$13,2,0))</f>
        <v/>
      </c>
      <c r="F911" s="69" t="str">
        <f>IF($B911="","",PV-N(J910))</f>
        <v/>
      </c>
      <c r="G911" s="69" t="str">
        <f>IF($B911="","",PMT(Rate,Nper,-PV,,Type))</f>
        <v/>
      </c>
      <c r="H911" s="69" t="str">
        <f>IF($B911="","",PPMT(Rate,ROWS($1:899),Nper,-PV,,Type))</f>
        <v/>
      </c>
      <c r="I911" s="69" t="str">
        <f>IF($B911="","",IPMT(Rate,ROWS($1:899),Nper,-PV,,Type))</f>
        <v/>
      </c>
      <c r="J911" s="73" t="str">
        <f t="shared" ref="J911:K911" si="901">IF($B911="","",N(J910)+N(H911))</f>
        <v/>
      </c>
      <c r="K911" s="74" t="str">
        <f t="shared" si="901"/>
        <v/>
      </c>
      <c r="L911" s="69" t="str">
        <f>IF($B911="","",PV-J911)</f>
        <v/>
      </c>
      <c r="M911" s="71" t="str">
        <f>IF($B911="","",J911/PV)</f>
        <v/>
      </c>
      <c r="N911" s="72" t="str">
        <f t="shared" si="4"/>
        <v/>
      </c>
    </row>
    <row r="912" ht="14.25" customHeight="1">
      <c r="B912" s="66" t="str">
        <f>IF(ROWS($1:900)&lt;=Nper,ROWS($1:900),"")</f>
        <v/>
      </c>
      <c r="C912" s="67" t="str">
        <f>IF($B912="","",IF($E$7="Weekly",Start_Date+7*(ROWS($1:900)-1),EDATE(Start_Date,VLOOKUP(IF(ASTemp!$E$7="","Monthly",ASTemp!$E$7),Parameters!$B$3:$D$6,3,0)*(ROWS($1:900)-1))))</f>
        <v/>
      </c>
      <c r="D912" s="68" t="str">
        <f t="shared" si="2"/>
        <v/>
      </c>
      <c r="E912" s="65" t="str">
        <f>IF($B912="","",VLOOKUP(MONTH(C912),Parameters!$F$2:$G$13,2,0))</f>
        <v/>
      </c>
      <c r="F912" s="69" t="str">
        <f>IF($B912="","",PV-N(J911))</f>
        <v/>
      </c>
      <c r="G912" s="69" t="str">
        <f>IF($B912="","",PMT(Rate,Nper,-PV,,Type))</f>
        <v/>
      </c>
      <c r="H912" s="69" t="str">
        <f>IF($B912="","",PPMT(Rate,ROWS($1:900),Nper,-PV,,Type))</f>
        <v/>
      </c>
      <c r="I912" s="69" t="str">
        <f>IF($B912="","",IPMT(Rate,ROWS($1:900),Nper,-PV,,Type))</f>
        <v/>
      </c>
      <c r="J912" s="73" t="str">
        <f t="shared" ref="J912:K912" si="902">IF($B912="","",N(J911)+N(H912))</f>
        <v/>
      </c>
      <c r="K912" s="74" t="str">
        <f t="shared" si="902"/>
        <v/>
      </c>
      <c r="L912" s="69" t="str">
        <f>IF($B912="","",PV-J912)</f>
        <v/>
      </c>
      <c r="M912" s="71" t="str">
        <f>IF($B912="","",J912/PV)</f>
        <v/>
      </c>
      <c r="N912" s="72" t="str">
        <f t="shared" si="4"/>
        <v/>
      </c>
    </row>
    <row r="913" ht="14.25" customHeight="1">
      <c r="B913" s="66" t="str">
        <f>IF(ROWS($1:901)&lt;=Nper,ROWS($1:901),"")</f>
        <v/>
      </c>
      <c r="C913" s="67" t="str">
        <f>IF($B913="","",IF($E$7="Weekly",Start_Date+7*(ROWS($1:901)-1),EDATE(Start_Date,VLOOKUP(IF(ASTemp!$E$7="","Monthly",ASTemp!$E$7),Parameters!$B$3:$D$6,3,0)*(ROWS($1:901)-1))))</f>
        <v/>
      </c>
      <c r="D913" s="68" t="str">
        <f t="shared" si="2"/>
        <v/>
      </c>
      <c r="E913" s="65" t="str">
        <f>IF($B913="","",VLOOKUP(MONTH(C913),Parameters!$F$2:$G$13,2,0))</f>
        <v/>
      </c>
      <c r="F913" s="69" t="str">
        <f>IF($B913="","",PV-N(J912))</f>
        <v/>
      </c>
      <c r="G913" s="69" t="str">
        <f>IF($B913="","",PMT(Rate,Nper,-PV,,Type))</f>
        <v/>
      </c>
      <c r="H913" s="69" t="str">
        <f>IF($B913="","",PPMT(Rate,ROWS($1:901),Nper,-PV,,Type))</f>
        <v/>
      </c>
      <c r="I913" s="69" t="str">
        <f>IF($B913="","",IPMT(Rate,ROWS($1:901),Nper,-PV,,Type))</f>
        <v/>
      </c>
      <c r="J913" s="73" t="str">
        <f t="shared" ref="J913:K913" si="903">IF($B913="","",N(J912)+N(H913))</f>
        <v/>
      </c>
      <c r="K913" s="74" t="str">
        <f t="shared" si="903"/>
        <v/>
      </c>
      <c r="L913" s="69" t="str">
        <f>IF($B913="","",PV-J913)</f>
        <v/>
      </c>
      <c r="M913" s="71" t="str">
        <f>IF($B913="","",J913/PV)</f>
        <v/>
      </c>
      <c r="N913" s="72" t="str">
        <f t="shared" si="4"/>
        <v/>
      </c>
    </row>
    <row r="914" ht="14.25" customHeight="1">
      <c r="B914" s="66" t="str">
        <f>IF(ROWS($1:902)&lt;=Nper,ROWS($1:902),"")</f>
        <v/>
      </c>
      <c r="C914" s="67" t="str">
        <f>IF($B914="","",IF($E$7="Weekly",Start_Date+7*(ROWS($1:902)-1),EDATE(Start_Date,VLOOKUP(IF(ASTemp!$E$7="","Monthly",ASTemp!$E$7),Parameters!$B$3:$D$6,3,0)*(ROWS($1:902)-1))))</f>
        <v/>
      </c>
      <c r="D914" s="68" t="str">
        <f t="shared" si="2"/>
        <v/>
      </c>
      <c r="E914" s="65" t="str">
        <f>IF($B914="","",VLOOKUP(MONTH(C914),Parameters!$F$2:$G$13,2,0))</f>
        <v/>
      </c>
      <c r="F914" s="69" t="str">
        <f>IF($B914="","",PV-N(J913))</f>
        <v/>
      </c>
      <c r="G914" s="69" t="str">
        <f>IF($B914="","",PMT(Rate,Nper,-PV,,Type))</f>
        <v/>
      </c>
      <c r="H914" s="69" t="str">
        <f>IF($B914="","",PPMT(Rate,ROWS($1:902),Nper,-PV,,Type))</f>
        <v/>
      </c>
      <c r="I914" s="69" t="str">
        <f>IF($B914="","",IPMT(Rate,ROWS($1:902),Nper,-PV,,Type))</f>
        <v/>
      </c>
      <c r="J914" s="73" t="str">
        <f t="shared" ref="J914:K914" si="904">IF($B914="","",N(J913)+N(H914))</f>
        <v/>
      </c>
      <c r="K914" s="74" t="str">
        <f t="shared" si="904"/>
        <v/>
      </c>
      <c r="L914" s="69" t="str">
        <f>IF($B914="","",PV-J914)</f>
        <v/>
      </c>
      <c r="M914" s="71" t="str">
        <f>IF($B914="","",J914/PV)</f>
        <v/>
      </c>
      <c r="N914" s="72" t="str">
        <f t="shared" si="4"/>
        <v/>
      </c>
    </row>
    <row r="915" ht="14.25" customHeight="1">
      <c r="B915" s="66" t="str">
        <f>IF(ROWS($1:903)&lt;=Nper,ROWS($1:903),"")</f>
        <v/>
      </c>
      <c r="C915" s="67" t="str">
        <f>IF($B915="","",IF($E$7="Weekly",Start_Date+7*(ROWS($1:903)-1),EDATE(Start_Date,VLOOKUP(IF(ASTemp!$E$7="","Monthly",ASTemp!$E$7),Parameters!$B$3:$D$6,3,0)*(ROWS($1:903)-1))))</f>
        <v/>
      </c>
      <c r="D915" s="68" t="str">
        <f t="shared" si="2"/>
        <v/>
      </c>
      <c r="E915" s="65" t="str">
        <f>IF($B915="","",VLOOKUP(MONTH(C915),Parameters!$F$2:$G$13,2,0))</f>
        <v/>
      </c>
      <c r="F915" s="69" t="str">
        <f>IF($B915="","",PV-N(J914))</f>
        <v/>
      </c>
      <c r="G915" s="69" t="str">
        <f>IF($B915="","",PMT(Rate,Nper,-PV,,Type))</f>
        <v/>
      </c>
      <c r="H915" s="69" t="str">
        <f>IF($B915="","",PPMT(Rate,ROWS($1:903),Nper,-PV,,Type))</f>
        <v/>
      </c>
      <c r="I915" s="69" t="str">
        <f>IF($B915="","",IPMT(Rate,ROWS($1:903),Nper,-PV,,Type))</f>
        <v/>
      </c>
      <c r="J915" s="73" t="str">
        <f t="shared" ref="J915:K915" si="905">IF($B915="","",N(J914)+N(H915))</f>
        <v/>
      </c>
      <c r="K915" s="74" t="str">
        <f t="shared" si="905"/>
        <v/>
      </c>
      <c r="L915" s="69" t="str">
        <f>IF($B915="","",PV-J915)</f>
        <v/>
      </c>
      <c r="M915" s="71" t="str">
        <f>IF($B915="","",J915/PV)</f>
        <v/>
      </c>
      <c r="N915" s="72" t="str">
        <f t="shared" si="4"/>
        <v/>
      </c>
    </row>
    <row r="916" ht="14.25" customHeight="1">
      <c r="B916" s="66" t="str">
        <f>IF(ROWS($1:904)&lt;=Nper,ROWS($1:904),"")</f>
        <v/>
      </c>
      <c r="C916" s="67" t="str">
        <f>IF($B916="","",IF($E$7="Weekly",Start_Date+7*(ROWS($1:904)-1),EDATE(Start_Date,VLOOKUP(IF(ASTemp!$E$7="","Monthly",ASTemp!$E$7),Parameters!$B$3:$D$6,3,0)*(ROWS($1:904)-1))))</f>
        <v/>
      </c>
      <c r="D916" s="68" t="str">
        <f t="shared" si="2"/>
        <v/>
      </c>
      <c r="E916" s="65" t="str">
        <f>IF($B916="","",VLOOKUP(MONTH(C916),Parameters!$F$2:$G$13,2,0))</f>
        <v/>
      </c>
      <c r="F916" s="69" t="str">
        <f>IF($B916="","",PV-N(J915))</f>
        <v/>
      </c>
      <c r="G916" s="69" t="str">
        <f>IF($B916="","",PMT(Rate,Nper,-PV,,Type))</f>
        <v/>
      </c>
      <c r="H916" s="69" t="str">
        <f>IF($B916="","",PPMT(Rate,ROWS($1:904),Nper,-PV,,Type))</f>
        <v/>
      </c>
      <c r="I916" s="69" t="str">
        <f>IF($B916="","",IPMT(Rate,ROWS($1:904),Nper,-PV,,Type))</f>
        <v/>
      </c>
      <c r="J916" s="73" t="str">
        <f t="shared" ref="J916:K916" si="906">IF($B916="","",N(J915)+N(H916))</f>
        <v/>
      </c>
      <c r="K916" s="74" t="str">
        <f t="shared" si="906"/>
        <v/>
      </c>
      <c r="L916" s="69" t="str">
        <f>IF($B916="","",PV-J916)</f>
        <v/>
      </c>
      <c r="M916" s="71" t="str">
        <f>IF($B916="","",J916/PV)</f>
        <v/>
      </c>
      <c r="N916" s="72" t="str">
        <f t="shared" si="4"/>
        <v/>
      </c>
    </row>
    <row r="917" ht="14.25" customHeight="1">
      <c r="B917" s="66" t="str">
        <f>IF(ROWS($1:905)&lt;=Nper,ROWS($1:905),"")</f>
        <v/>
      </c>
      <c r="C917" s="67" t="str">
        <f>IF($B917="","",IF($E$7="Weekly",Start_Date+7*(ROWS($1:905)-1),EDATE(Start_Date,VLOOKUP(IF(ASTemp!$E$7="","Monthly",ASTemp!$E$7),Parameters!$B$3:$D$6,3,0)*(ROWS($1:905)-1))))</f>
        <v/>
      </c>
      <c r="D917" s="68" t="str">
        <f t="shared" si="2"/>
        <v/>
      </c>
      <c r="E917" s="65" t="str">
        <f>IF($B917="","",VLOOKUP(MONTH(C917),Parameters!$F$2:$G$13,2,0))</f>
        <v/>
      </c>
      <c r="F917" s="69" t="str">
        <f>IF($B917="","",PV-N(J916))</f>
        <v/>
      </c>
      <c r="G917" s="69" t="str">
        <f>IF($B917="","",PMT(Rate,Nper,-PV,,Type))</f>
        <v/>
      </c>
      <c r="H917" s="69" t="str">
        <f>IF($B917="","",PPMT(Rate,ROWS($1:905),Nper,-PV,,Type))</f>
        <v/>
      </c>
      <c r="I917" s="69" t="str">
        <f>IF($B917="","",IPMT(Rate,ROWS($1:905),Nper,-PV,,Type))</f>
        <v/>
      </c>
      <c r="J917" s="73" t="str">
        <f t="shared" ref="J917:K917" si="907">IF($B917="","",N(J916)+N(H917))</f>
        <v/>
      </c>
      <c r="K917" s="74" t="str">
        <f t="shared" si="907"/>
        <v/>
      </c>
      <c r="L917" s="69" t="str">
        <f>IF($B917="","",PV-J917)</f>
        <v/>
      </c>
      <c r="M917" s="71" t="str">
        <f>IF($B917="","",J917/PV)</f>
        <v/>
      </c>
      <c r="N917" s="72" t="str">
        <f t="shared" si="4"/>
        <v/>
      </c>
    </row>
    <row r="918" ht="14.25" customHeight="1">
      <c r="B918" s="66" t="str">
        <f>IF(ROWS($1:906)&lt;=Nper,ROWS($1:906),"")</f>
        <v/>
      </c>
      <c r="C918" s="67" t="str">
        <f>IF($B918="","",IF($E$7="Weekly",Start_Date+7*(ROWS($1:906)-1),EDATE(Start_Date,VLOOKUP(IF(ASTemp!$E$7="","Monthly",ASTemp!$E$7),Parameters!$B$3:$D$6,3,0)*(ROWS($1:906)-1))))</f>
        <v/>
      </c>
      <c r="D918" s="68" t="str">
        <f t="shared" si="2"/>
        <v/>
      </c>
      <c r="E918" s="65" t="str">
        <f>IF($B918="","",VLOOKUP(MONTH(C918),Parameters!$F$2:$G$13,2,0))</f>
        <v/>
      </c>
      <c r="F918" s="69" t="str">
        <f>IF($B918="","",PV-N(J917))</f>
        <v/>
      </c>
      <c r="G918" s="69" t="str">
        <f>IF($B918="","",PMT(Rate,Nper,-PV,,Type))</f>
        <v/>
      </c>
      <c r="H918" s="69" t="str">
        <f>IF($B918="","",PPMT(Rate,ROWS($1:906),Nper,-PV,,Type))</f>
        <v/>
      </c>
      <c r="I918" s="69" t="str">
        <f>IF($B918="","",IPMT(Rate,ROWS($1:906),Nper,-PV,,Type))</f>
        <v/>
      </c>
      <c r="J918" s="73" t="str">
        <f t="shared" ref="J918:K918" si="908">IF($B918="","",N(J917)+N(H918))</f>
        <v/>
      </c>
      <c r="K918" s="74" t="str">
        <f t="shared" si="908"/>
        <v/>
      </c>
      <c r="L918" s="69" t="str">
        <f>IF($B918="","",PV-J918)</f>
        <v/>
      </c>
      <c r="M918" s="71" t="str">
        <f>IF($B918="","",J918/PV)</f>
        <v/>
      </c>
      <c r="N918" s="72" t="str">
        <f t="shared" si="4"/>
        <v/>
      </c>
    </row>
    <row r="919" ht="14.25" customHeight="1">
      <c r="B919" s="66" t="str">
        <f>IF(ROWS($1:907)&lt;=Nper,ROWS($1:907),"")</f>
        <v/>
      </c>
      <c r="C919" s="67" t="str">
        <f>IF($B919="","",IF($E$7="Weekly",Start_Date+7*(ROWS($1:907)-1),EDATE(Start_Date,VLOOKUP(IF(ASTemp!$E$7="","Monthly",ASTemp!$E$7),Parameters!$B$3:$D$6,3,0)*(ROWS($1:907)-1))))</f>
        <v/>
      </c>
      <c r="D919" s="68" t="str">
        <f t="shared" si="2"/>
        <v/>
      </c>
      <c r="E919" s="65" t="str">
        <f>IF($B919="","",VLOOKUP(MONTH(C919),Parameters!$F$2:$G$13,2,0))</f>
        <v/>
      </c>
      <c r="F919" s="69" t="str">
        <f>IF($B919="","",PV-N(J918))</f>
        <v/>
      </c>
      <c r="G919" s="69" t="str">
        <f>IF($B919="","",PMT(Rate,Nper,-PV,,Type))</f>
        <v/>
      </c>
      <c r="H919" s="69" t="str">
        <f>IF($B919="","",PPMT(Rate,ROWS($1:907),Nper,-PV,,Type))</f>
        <v/>
      </c>
      <c r="I919" s="69" t="str">
        <f>IF($B919="","",IPMT(Rate,ROWS($1:907),Nper,-PV,,Type))</f>
        <v/>
      </c>
      <c r="J919" s="73" t="str">
        <f t="shared" ref="J919:K919" si="909">IF($B919="","",N(J918)+N(H919))</f>
        <v/>
      </c>
      <c r="K919" s="74" t="str">
        <f t="shared" si="909"/>
        <v/>
      </c>
      <c r="L919" s="69" t="str">
        <f>IF($B919="","",PV-J919)</f>
        <v/>
      </c>
      <c r="M919" s="71" t="str">
        <f>IF($B919="","",J919/PV)</f>
        <v/>
      </c>
      <c r="N919" s="72" t="str">
        <f t="shared" si="4"/>
        <v/>
      </c>
    </row>
    <row r="920" ht="14.25" customHeight="1">
      <c r="B920" s="66" t="str">
        <f>IF(ROWS($1:908)&lt;=Nper,ROWS($1:908),"")</f>
        <v/>
      </c>
      <c r="C920" s="67" t="str">
        <f>IF($B920="","",IF($E$7="Weekly",Start_Date+7*(ROWS($1:908)-1),EDATE(Start_Date,VLOOKUP(IF(ASTemp!$E$7="","Monthly",ASTemp!$E$7),Parameters!$B$3:$D$6,3,0)*(ROWS($1:908)-1))))</f>
        <v/>
      </c>
      <c r="D920" s="68" t="str">
        <f t="shared" si="2"/>
        <v/>
      </c>
      <c r="E920" s="65" t="str">
        <f>IF($B920="","",VLOOKUP(MONTH(C920),Parameters!$F$2:$G$13,2,0))</f>
        <v/>
      </c>
      <c r="F920" s="69" t="str">
        <f>IF($B920="","",PV-N(J919))</f>
        <v/>
      </c>
      <c r="G920" s="69" t="str">
        <f>IF($B920="","",PMT(Rate,Nper,-PV,,Type))</f>
        <v/>
      </c>
      <c r="H920" s="69" t="str">
        <f>IF($B920="","",PPMT(Rate,ROWS($1:908),Nper,-PV,,Type))</f>
        <v/>
      </c>
      <c r="I920" s="69" t="str">
        <f>IF($B920="","",IPMT(Rate,ROWS($1:908),Nper,-PV,,Type))</f>
        <v/>
      </c>
      <c r="J920" s="73" t="str">
        <f t="shared" ref="J920:K920" si="910">IF($B920="","",N(J919)+N(H920))</f>
        <v/>
      </c>
      <c r="K920" s="74" t="str">
        <f t="shared" si="910"/>
        <v/>
      </c>
      <c r="L920" s="69" t="str">
        <f>IF($B920="","",PV-J920)</f>
        <v/>
      </c>
      <c r="M920" s="71" t="str">
        <f>IF($B920="","",J920/PV)</f>
        <v/>
      </c>
      <c r="N920" s="72" t="str">
        <f t="shared" si="4"/>
        <v/>
      </c>
    </row>
    <row r="921" ht="14.25" customHeight="1">
      <c r="B921" s="66" t="str">
        <f>IF(ROWS($1:909)&lt;=Nper,ROWS($1:909),"")</f>
        <v/>
      </c>
      <c r="C921" s="67" t="str">
        <f>IF($B921="","",IF($E$7="Weekly",Start_Date+7*(ROWS($1:909)-1),EDATE(Start_Date,VLOOKUP(IF(ASTemp!$E$7="","Monthly",ASTemp!$E$7),Parameters!$B$3:$D$6,3,0)*(ROWS($1:909)-1))))</f>
        <v/>
      </c>
      <c r="D921" s="68" t="str">
        <f t="shared" si="2"/>
        <v/>
      </c>
      <c r="E921" s="65" t="str">
        <f>IF($B921="","",VLOOKUP(MONTH(C921),Parameters!$F$2:$G$13,2,0))</f>
        <v/>
      </c>
      <c r="F921" s="69" t="str">
        <f>IF($B921="","",PV-N(J920))</f>
        <v/>
      </c>
      <c r="G921" s="69" t="str">
        <f>IF($B921="","",PMT(Rate,Nper,-PV,,Type))</f>
        <v/>
      </c>
      <c r="H921" s="69" t="str">
        <f>IF($B921="","",PPMT(Rate,ROWS($1:909),Nper,-PV,,Type))</f>
        <v/>
      </c>
      <c r="I921" s="69" t="str">
        <f>IF($B921="","",IPMT(Rate,ROWS($1:909),Nper,-PV,,Type))</f>
        <v/>
      </c>
      <c r="J921" s="73" t="str">
        <f t="shared" ref="J921:K921" si="911">IF($B921="","",N(J920)+N(H921))</f>
        <v/>
      </c>
      <c r="K921" s="74" t="str">
        <f t="shared" si="911"/>
        <v/>
      </c>
      <c r="L921" s="69" t="str">
        <f>IF($B921="","",PV-J921)</f>
        <v/>
      </c>
      <c r="M921" s="71" t="str">
        <f>IF($B921="","",J921/PV)</f>
        <v/>
      </c>
      <c r="N921" s="72" t="str">
        <f t="shared" si="4"/>
        <v/>
      </c>
    </row>
    <row r="922" ht="14.25" customHeight="1">
      <c r="B922" s="66" t="str">
        <f>IF(ROWS($1:910)&lt;=Nper,ROWS($1:910),"")</f>
        <v/>
      </c>
      <c r="C922" s="67" t="str">
        <f>IF($B922="","",IF($E$7="Weekly",Start_Date+7*(ROWS($1:910)-1),EDATE(Start_Date,VLOOKUP(IF(ASTemp!$E$7="","Monthly",ASTemp!$E$7),Parameters!$B$3:$D$6,3,0)*(ROWS($1:910)-1))))</f>
        <v/>
      </c>
      <c r="D922" s="68" t="str">
        <f t="shared" si="2"/>
        <v/>
      </c>
      <c r="E922" s="65" t="str">
        <f>IF($B922="","",VLOOKUP(MONTH(C922),Parameters!$F$2:$G$13,2,0))</f>
        <v/>
      </c>
      <c r="F922" s="69" t="str">
        <f>IF($B922="","",PV-N(J921))</f>
        <v/>
      </c>
      <c r="G922" s="69" t="str">
        <f>IF($B922="","",PMT(Rate,Nper,-PV,,Type))</f>
        <v/>
      </c>
      <c r="H922" s="69" t="str">
        <f>IF($B922="","",PPMT(Rate,ROWS($1:910),Nper,-PV,,Type))</f>
        <v/>
      </c>
      <c r="I922" s="69" t="str">
        <f>IF($B922="","",IPMT(Rate,ROWS($1:910),Nper,-PV,,Type))</f>
        <v/>
      </c>
      <c r="J922" s="73" t="str">
        <f t="shared" ref="J922:K922" si="912">IF($B922="","",N(J921)+N(H922))</f>
        <v/>
      </c>
      <c r="K922" s="74" t="str">
        <f t="shared" si="912"/>
        <v/>
      </c>
      <c r="L922" s="69" t="str">
        <f>IF($B922="","",PV-J922)</f>
        <v/>
      </c>
      <c r="M922" s="71" t="str">
        <f>IF($B922="","",J922/PV)</f>
        <v/>
      </c>
      <c r="N922" s="72" t="str">
        <f t="shared" si="4"/>
        <v/>
      </c>
    </row>
    <row r="923" ht="14.25" customHeight="1">
      <c r="B923" s="66" t="str">
        <f>IF(ROWS($1:911)&lt;=Nper,ROWS($1:911),"")</f>
        <v/>
      </c>
      <c r="C923" s="67" t="str">
        <f>IF($B923="","",IF($E$7="Weekly",Start_Date+7*(ROWS($1:911)-1),EDATE(Start_Date,VLOOKUP(IF(ASTemp!$E$7="","Monthly",ASTemp!$E$7),Parameters!$B$3:$D$6,3,0)*(ROWS($1:911)-1))))</f>
        <v/>
      </c>
      <c r="D923" s="68" t="str">
        <f t="shared" si="2"/>
        <v/>
      </c>
      <c r="E923" s="65" t="str">
        <f>IF($B923="","",VLOOKUP(MONTH(C923),Parameters!$F$2:$G$13,2,0))</f>
        <v/>
      </c>
      <c r="F923" s="69" t="str">
        <f>IF($B923="","",PV-N(J922))</f>
        <v/>
      </c>
      <c r="G923" s="69" t="str">
        <f>IF($B923="","",PMT(Rate,Nper,-PV,,Type))</f>
        <v/>
      </c>
      <c r="H923" s="69" t="str">
        <f>IF($B923="","",PPMT(Rate,ROWS($1:911),Nper,-PV,,Type))</f>
        <v/>
      </c>
      <c r="I923" s="69" t="str">
        <f>IF($B923="","",IPMT(Rate,ROWS($1:911),Nper,-PV,,Type))</f>
        <v/>
      </c>
      <c r="J923" s="73" t="str">
        <f t="shared" ref="J923:K923" si="913">IF($B923="","",N(J922)+N(H923))</f>
        <v/>
      </c>
      <c r="K923" s="74" t="str">
        <f t="shared" si="913"/>
        <v/>
      </c>
      <c r="L923" s="69" t="str">
        <f>IF($B923="","",PV-J923)</f>
        <v/>
      </c>
      <c r="M923" s="71" t="str">
        <f>IF($B923="","",J923/PV)</f>
        <v/>
      </c>
      <c r="N923" s="72" t="str">
        <f t="shared" si="4"/>
        <v/>
      </c>
    </row>
    <row r="924" ht="14.25" customHeight="1">
      <c r="B924" s="66" t="str">
        <f>IF(ROWS($1:912)&lt;=Nper,ROWS($1:912),"")</f>
        <v/>
      </c>
      <c r="C924" s="67" t="str">
        <f>IF($B924="","",IF($E$7="Weekly",Start_Date+7*(ROWS($1:912)-1),EDATE(Start_Date,VLOOKUP(IF(ASTemp!$E$7="","Monthly",ASTemp!$E$7),Parameters!$B$3:$D$6,3,0)*(ROWS($1:912)-1))))</f>
        <v/>
      </c>
      <c r="D924" s="68" t="str">
        <f t="shared" si="2"/>
        <v/>
      </c>
      <c r="E924" s="65" t="str">
        <f>IF($B924="","",VLOOKUP(MONTH(C924),Parameters!$F$2:$G$13,2,0))</f>
        <v/>
      </c>
      <c r="F924" s="69" t="str">
        <f>IF($B924="","",PV-N(J923))</f>
        <v/>
      </c>
      <c r="G924" s="69" t="str">
        <f>IF($B924="","",PMT(Rate,Nper,-PV,,Type))</f>
        <v/>
      </c>
      <c r="H924" s="69" t="str">
        <f>IF($B924="","",PPMT(Rate,ROWS($1:912),Nper,-PV,,Type))</f>
        <v/>
      </c>
      <c r="I924" s="69" t="str">
        <f>IF($B924="","",IPMT(Rate,ROWS($1:912),Nper,-PV,,Type))</f>
        <v/>
      </c>
      <c r="J924" s="73" t="str">
        <f t="shared" ref="J924:K924" si="914">IF($B924="","",N(J923)+N(H924))</f>
        <v/>
      </c>
      <c r="K924" s="74" t="str">
        <f t="shared" si="914"/>
        <v/>
      </c>
      <c r="L924" s="69" t="str">
        <f>IF($B924="","",PV-J924)</f>
        <v/>
      </c>
      <c r="M924" s="71" t="str">
        <f>IF($B924="","",J924/PV)</f>
        <v/>
      </c>
      <c r="N924" s="72" t="str">
        <f t="shared" si="4"/>
        <v/>
      </c>
    </row>
    <row r="925" ht="14.25" customHeight="1">
      <c r="B925" s="66" t="str">
        <f>IF(ROWS($1:913)&lt;=Nper,ROWS($1:913),"")</f>
        <v/>
      </c>
      <c r="C925" s="67" t="str">
        <f>IF($B925="","",IF($E$7="Weekly",Start_Date+7*(ROWS($1:913)-1),EDATE(Start_Date,VLOOKUP(IF(ASTemp!$E$7="","Monthly",ASTemp!$E$7),Parameters!$B$3:$D$6,3,0)*(ROWS($1:913)-1))))</f>
        <v/>
      </c>
      <c r="D925" s="68" t="str">
        <f t="shared" si="2"/>
        <v/>
      </c>
      <c r="E925" s="65" t="str">
        <f>IF($B925="","",VLOOKUP(MONTH(C925),Parameters!$F$2:$G$13,2,0))</f>
        <v/>
      </c>
      <c r="F925" s="69" t="str">
        <f>IF($B925="","",PV-N(J924))</f>
        <v/>
      </c>
      <c r="G925" s="69" t="str">
        <f>IF($B925="","",PMT(Rate,Nper,-PV,,Type))</f>
        <v/>
      </c>
      <c r="H925" s="69" t="str">
        <f>IF($B925="","",PPMT(Rate,ROWS($1:913),Nper,-PV,,Type))</f>
        <v/>
      </c>
      <c r="I925" s="69" t="str">
        <f>IF($B925="","",IPMT(Rate,ROWS($1:913),Nper,-PV,,Type))</f>
        <v/>
      </c>
      <c r="J925" s="73" t="str">
        <f t="shared" ref="J925:K925" si="915">IF($B925="","",N(J924)+N(H925))</f>
        <v/>
      </c>
      <c r="K925" s="74" t="str">
        <f t="shared" si="915"/>
        <v/>
      </c>
      <c r="L925" s="69" t="str">
        <f>IF($B925="","",PV-J925)</f>
        <v/>
      </c>
      <c r="M925" s="71" t="str">
        <f>IF($B925="","",J925/PV)</f>
        <v/>
      </c>
      <c r="N925" s="72" t="str">
        <f t="shared" si="4"/>
        <v/>
      </c>
    </row>
    <row r="926" ht="14.25" customHeight="1">
      <c r="B926" s="66" t="str">
        <f>IF(ROWS($1:914)&lt;=Nper,ROWS($1:914),"")</f>
        <v/>
      </c>
      <c r="C926" s="67" t="str">
        <f>IF($B926="","",IF($E$7="Weekly",Start_Date+7*(ROWS($1:914)-1),EDATE(Start_Date,VLOOKUP(IF(ASTemp!$E$7="","Monthly",ASTemp!$E$7),Parameters!$B$3:$D$6,3,0)*(ROWS($1:914)-1))))</f>
        <v/>
      </c>
      <c r="D926" s="68" t="str">
        <f t="shared" si="2"/>
        <v/>
      </c>
      <c r="E926" s="65" t="str">
        <f>IF($B926="","",VLOOKUP(MONTH(C926),Parameters!$F$2:$G$13,2,0))</f>
        <v/>
      </c>
      <c r="F926" s="69" t="str">
        <f>IF($B926="","",PV-N(J925))</f>
        <v/>
      </c>
      <c r="G926" s="69" t="str">
        <f>IF($B926="","",PMT(Rate,Nper,-PV,,Type))</f>
        <v/>
      </c>
      <c r="H926" s="69" t="str">
        <f>IF($B926="","",PPMT(Rate,ROWS($1:914),Nper,-PV,,Type))</f>
        <v/>
      </c>
      <c r="I926" s="69" t="str">
        <f>IF($B926="","",IPMT(Rate,ROWS($1:914),Nper,-PV,,Type))</f>
        <v/>
      </c>
      <c r="J926" s="73" t="str">
        <f t="shared" ref="J926:K926" si="916">IF($B926="","",N(J925)+N(H926))</f>
        <v/>
      </c>
      <c r="K926" s="74" t="str">
        <f t="shared" si="916"/>
        <v/>
      </c>
      <c r="L926" s="69" t="str">
        <f>IF($B926="","",PV-J926)</f>
        <v/>
      </c>
      <c r="M926" s="71" t="str">
        <f>IF($B926="","",J926/PV)</f>
        <v/>
      </c>
      <c r="N926" s="72" t="str">
        <f t="shared" si="4"/>
        <v/>
      </c>
    </row>
    <row r="927" ht="14.25" customHeight="1">
      <c r="B927" s="66" t="str">
        <f>IF(ROWS($1:915)&lt;=Nper,ROWS($1:915),"")</f>
        <v/>
      </c>
      <c r="C927" s="67" t="str">
        <f>IF($B927="","",IF($E$7="Weekly",Start_Date+7*(ROWS($1:915)-1),EDATE(Start_Date,VLOOKUP(IF(ASTemp!$E$7="","Monthly",ASTemp!$E$7),Parameters!$B$3:$D$6,3,0)*(ROWS($1:915)-1))))</f>
        <v/>
      </c>
      <c r="D927" s="68" t="str">
        <f t="shared" si="2"/>
        <v/>
      </c>
      <c r="E927" s="65" t="str">
        <f>IF($B927="","",VLOOKUP(MONTH(C927),Parameters!$F$2:$G$13,2,0))</f>
        <v/>
      </c>
      <c r="F927" s="69" t="str">
        <f>IF($B927="","",PV-N(J926))</f>
        <v/>
      </c>
      <c r="G927" s="69" t="str">
        <f>IF($B927="","",PMT(Rate,Nper,-PV,,Type))</f>
        <v/>
      </c>
      <c r="H927" s="69" t="str">
        <f>IF($B927="","",PPMT(Rate,ROWS($1:915),Nper,-PV,,Type))</f>
        <v/>
      </c>
      <c r="I927" s="69" t="str">
        <f>IF($B927="","",IPMT(Rate,ROWS($1:915),Nper,-PV,,Type))</f>
        <v/>
      </c>
      <c r="J927" s="73" t="str">
        <f t="shared" ref="J927:K927" si="917">IF($B927="","",N(J926)+N(H927))</f>
        <v/>
      </c>
      <c r="K927" s="74" t="str">
        <f t="shared" si="917"/>
        <v/>
      </c>
      <c r="L927" s="69" t="str">
        <f>IF($B927="","",PV-J927)</f>
        <v/>
      </c>
      <c r="M927" s="71" t="str">
        <f>IF($B927="","",J927/PV)</f>
        <v/>
      </c>
      <c r="N927" s="72" t="str">
        <f t="shared" si="4"/>
        <v/>
      </c>
    </row>
    <row r="928" ht="14.25" customHeight="1">
      <c r="B928" s="66" t="str">
        <f>IF(ROWS($1:916)&lt;=Nper,ROWS($1:916),"")</f>
        <v/>
      </c>
      <c r="C928" s="67" t="str">
        <f>IF($B928="","",IF($E$7="Weekly",Start_Date+7*(ROWS($1:916)-1),EDATE(Start_Date,VLOOKUP(IF(ASTemp!$E$7="","Monthly",ASTemp!$E$7),Parameters!$B$3:$D$6,3,0)*(ROWS($1:916)-1))))</f>
        <v/>
      </c>
      <c r="D928" s="68" t="str">
        <f t="shared" si="2"/>
        <v/>
      </c>
      <c r="E928" s="65" t="str">
        <f>IF($B928="","",VLOOKUP(MONTH(C928),Parameters!$F$2:$G$13,2,0))</f>
        <v/>
      </c>
      <c r="F928" s="69" t="str">
        <f>IF($B928="","",PV-N(J927))</f>
        <v/>
      </c>
      <c r="G928" s="69" t="str">
        <f>IF($B928="","",PMT(Rate,Nper,-PV,,Type))</f>
        <v/>
      </c>
      <c r="H928" s="69" t="str">
        <f>IF($B928="","",PPMT(Rate,ROWS($1:916),Nper,-PV,,Type))</f>
        <v/>
      </c>
      <c r="I928" s="69" t="str">
        <f>IF($B928="","",IPMT(Rate,ROWS($1:916),Nper,-PV,,Type))</f>
        <v/>
      </c>
      <c r="J928" s="73" t="str">
        <f t="shared" ref="J928:K928" si="918">IF($B928="","",N(J927)+N(H928))</f>
        <v/>
      </c>
      <c r="K928" s="74" t="str">
        <f t="shared" si="918"/>
        <v/>
      </c>
      <c r="L928" s="69" t="str">
        <f>IF($B928="","",PV-J928)</f>
        <v/>
      </c>
      <c r="M928" s="71" t="str">
        <f>IF($B928="","",J928/PV)</f>
        <v/>
      </c>
      <c r="N928" s="72" t="str">
        <f t="shared" si="4"/>
        <v/>
      </c>
    </row>
    <row r="929" ht="14.25" customHeight="1">
      <c r="B929" s="66" t="str">
        <f>IF(ROWS($1:917)&lt;=Nper,ROWS($1:917),"")</f>
        <v/>
      </c>
      <c r="C929" s="67" t="str">
        <f>IF($B929="","",IF($E$7="Weekly",Start_Date+7*(ROWS($1:917)-1),EDATE(Start_Date,VLOOKUP(IF(ASTemp!$E$7="","Monthly",ASTemp!$E$7),Parameters!$B$3:$D$6,3,0)*(ROWS($1:917)-1))))</f>
        <v/>
      </c>
      <c r="D929" s="68" t="str">
        <f t="shared" si="2"/>
        <v/>
      </c>
      <c r="E929" s="65" t="str">
        <f>IF($B929="","",VLOOKUP(MONTH(C929),Parameters!$F$2:$G$13,2,0))</f>
        <v/>
      </c>
      <c r="F929" s="69" t="str">
        <f>IF($B929="","",PV-N(J928))</f>
        <v/>
      </c>
      <c r="G929" s="69" t="str">
        <f>IF($B929="","",PMT(Rate,Nper,-PV,,Type))</f>
        <v/>
      </c>
      <c r="H929" s="69" t="str">
        <f>IF($B929="","",PPMT(Rate,ROWS($1:917),Nper,-PV,,Type))</f>
        <v/>
      </c>
      <c r="I929" s="69" t="str">
        <f>IF($B929="","",IPMT(Rate,ROWS($1:917),Nper,-PV,,Type))</f>
        <v/>
      </c>
      <c r="J929" s="73" t="str">
        <f t="shared" ref="J929:K929" si="919">IF($B929="","",N(J928)+N(H929))</f>
        <v/>
      </c>
      <c r="K929" s="74" t="str">
        <f t="shared" si="919"/>
        <v/>
      </c>
      <c r="L929" s="69" t="str">
        <f>IF($B929="","",PV-J929)</f>
        <v/>
      </c>
      <c r="M929" s="71" t="str">
        <f>IF($B929="","",J929/PV)</f>
        <v/>
      </c>
      <c r="N929" s="72" t="str">
        <f t="shared" si="4"/>
        <v/>
      </c>
    </row>
    <row r="930" ht="14.25" customHeight="1">
      <c r="B930" s="66" t="str">
        <f>IF(ROWS($1:918)&lt;=Nper,ROWS($1:918),"")</f>
        <v/>
      </c>
      <c r="C930" s="67" t="str">
        <f>IF($B930="","",IF($E$7="Weekly",Start_Date+7*(ROWS($1:918)-1),EDATE(Start_Date,VLOOKUP(IF(ASTemp!$E$7="","Monthly",ASTemp!$E$7),Parameters!$B$3:$D$6,3,0)*(ROWS($1:918)-1))))</f>
        <v/>
      </c>
      <c r="D930" s="68" t="str">
        <f t="shared" si="2"/>
        <v/>
      </c>
      <c r="E930" s="65" t="str">
        <f>IF($B930="","",VLOOKUP(MONTH(C930),Parameters!$F$2:$G$13,2,0))</f>
        <v/>
      </c>
      <c r="F930" s="69" t="str">
        <f>IF($B930="","",PV-N(J929))</f>
        <v/>
      </c>
      <c r="G930" s="69" t="str">
        <f>IF($B930="","",PMT(Rate,Nper,-PV,,Type))</f>
        <v/>
      </c>
      <c r="H930" s="69" t="str">
        <f>IF($B930="","",PPMT(Rate,ROWS($1:918),Nper,-PV,,Type))</f>
        <v/>
      </c>
      <c r="I930" s="69" t="str">
        <f>IF($B930="","",IPMT(Rate,ROWS($1:918),Nper,-PV,,Type))</f>
        <v/>
      </c>
      <c r="J930" s="73" t="str">
        <f t="shared" ref="J930:K930" si="920">IF($B930="","",N(J929)+N(H930))</f>
        <v/>
      </c>
      <c r="K930" s="74" t="str">
        <f t="shared" si="920"/>
        <v/>
      </c>
      <c r="L930" s="69" t="str">
        <f>IF($B930="","",PV-J930)</f>
        <v/>
      </c>
      <c r="M930" s="71" t="str">
        <f>IF($B930="","",J930/PV)</f>
        <v/>
      </c>
      <c r="N930" s="72" t="str">
        <f t="shared" si="4"/>
        <v/>
      </c>
    </row>
    <row r="931" ht="14.25" customHeight="1">
      <c r="B931" s="66" t="str">
        <f>IF(ROWS($1:919)&lt;=Nper,ROWS($1:919),"")</f>
        <v/>
      </c>
      <c r="C931" s="67" t="str">
        <f>IF($B931="","",IF($E$7="Weekly",Start_Date+7*(ROWS($1:919)-1),EDATE(Start_Date,VLOOKUP(IF(ASTemp!$E$7="","Monthly",ASTemp!$E$7),Parameters!$B$3:$D$6,3,0)*(ROWS($1:919)-1))))</f>
        <v/>
      </c>
      <c r="D931" s="68" t="str">
        <f t="shared" si="2"/>
        <v/>
      </c>
      <c r="E931" s="65" t="str">
        <f>IF($B931="","",VLOOKUP(MONTH(C931),Parameters!$F$2:$G$13,2,0))</f>
        <v/>
      </c>
      <c r="F931" s="69" t="str">
        <f>IF($B931="","",PV-N(J930))</f>
        <v/>
      </c>
      <c r="G931" s="69" t="str">
        <f>IF($B931="","",PMT(Rate,Nper,-PV,,Type))</f>
        <v/>
      </c>
      <c r="H931" s="69" t="str">
        <f>IF($B931="","",PPMT(Rate,ROWS($1:919),Nper,-PV,,Type))</f>
        <v/>
      </c>
      <c r="I931" s="69" t="str">
        <f>IF($B931="","",IPMT(Rate,ROWS($1:919),Nper,-PV,,Type))</f>
        <v/>
      </c>
      <c r="J931" s="73" t="str">
        <f t="shared" ref="J931:K931" si="921">IF($B931="","",N(J930)+N(H931))</f>
        <v/>
      </c>
      <c r="K931" s="74" t="str">
        <f t="shared" si="921"/>
        <v/>
      </c>
      <c r="L931" s="69" t="str">
        <f>IF($B931="","",PV-J931)</f>
        <v/>
      </c>
      <c r="M931" s="71" t="str">
        <f>IF($B931="","",J931/PV)</f>
        <v/>
      </c>
      <c r="N931" s="72" t="str">
        <f t="shared" si="4"/>
        <v/>
      </c>
    </row>
    <row r="932" ht="14.25" customHeight="1">
      <c r="B932" s="66" t="str">
        <f>IF(ROWS($1:920)&lt;=Nper,ROWS($1:920),"")</f>
        <v/>
      </c>
      <c r="C932" s="67" t="str">
        <f>IF($B932="","",IF($E$7="Weekly",Start_Date+7*(ROWS($1:920)-1),EDATE(Start_Date,VLOOKUP(IF(ASTemp!$E$7="","Monthly",ASTemp!$E$7),Parameters!$B$3:$D$6,3,0)*(ROWS($1:920)-1))))</f>
        <v/>
      </c>
      <c r="D932" s="68" t="str">
        <f t="shared" si="2"/>
        <v/>
      </c>
      <c r="E932" s="65" t="str">
        <f>IF($B932="","",VLOOKUP(MONTH(C932),Parameters!$F$2:$G$13,2,0))</f>
        <v/>
      </c>
      <c r="F932" s="69" t="str">
        <f>IF($B932="","",PV-N(J931))</f>
        <v/>
      </c>
      <c r="G932" s="69" t="str">
        <f>IF($B932="","",PMT(Rate,Nper,-PV,,Type))</f>
        <v/>
      </c>
      <c r="H932" s="69" t="str">
        <f>IF($B932="","",PPMT(Rate,ROWS($1:920),Nper,-PV,,Type))</f>
        <v/>
      </c>
      <c r="I932" s="69" t="str">
        <f>IF($B932="","",IPMT(Rate,ROWS($1:920),Nper,-PV,,Type))</f>
        <v/>
      </c>
      <c r="J932" s="73" t="str">
        <f t="shared" ref="J932:K932" si="922">IF($B932="","",N(J931)+N(H932))</f>
        <v/>
      </c>
      <c r="K932" s="74" t="str">
        <f t="shared" si="922"/>
        <v/>
      </c>
      <c r="L932" s="69" t="str">
        <f>IF($B932="","",PV-J932)</f>
        <v/>
      </c>
      <c r="M932" s="71" t="str">
        <f>IF($B932="","",J932/PV)</f>
        <v/>
      </c>
      <c r="N932" s="72" t="str">
        <f t="shared" si="4"/>
        <v/>
      </c>
    </row>
    <row r="933" ht="14.25" customHeight="1">
      <c r="B933" s="66" t="str">
        <f>IF(ROWS($1:921)&lt;=Nper,ROWS($1:921),"")</f>
        <v/>
      </c>
      <c r="C933" s="67" t="str">
        <f>IF($B933="","",IF($E$7="Weekly",Start_Date+7*(ROWS($1:921)-1),EDATE(Start_Date,VLOOKUP(IF(ASTemp!$E$7="","Monthly",ASTemp!$E$7),Parameters!$B$3:$D$6,3,0)*(ROWS($1:921)-1))))</f>
        <v/>
      </c>
      <c r="D933" s="68" t="str">
        <f t="shared" si="2"/>
        <v/>
      </c>
      <c r="E933" s="65" t="str">
        <f>IF($B933="","",VLOOKUP(MONTH(C933),Parameters!$F$2:$G$13,2,0))</f>
        <v/>
      </c>
      <c r="F933" s="69" t="str">
        <f>IF($B933="","",PV-N(J932))</f>
        <v/>
      </c>
      <c r="G933" s="69" t="str">
        <f>IF($B933="","",PMT(Rate,Nper,-PV,,Type))</f>
        <v/>
      </c>
      <c r="H933" s="69" t="str">
        <f>IF($B933="","",PPMT(Rate,ROWS($1:921),Nper,-PV,,Type))</f>
        <v/>
      </c>
      <c r="I933" s="69" t="str">
        <f>IF($B933="","",IPMT(Rate,ROWS($1:921),Nper,-PV,,Type))</f>
        <v/>
      </c>
      <c r="J933" s="73" t="str">
        <f t="shared" ref="J933:K933" si="923">IF($B933="","",N(J932)+N(H933))</f>
        <v/>
      </c>
      <c r="K933" s="74" t="str">
        <f t="shared" si="923"/>
        <v/>
      </c>
      <c r="L933" s="69" t="str">
        <f>IF($B933="","",PV-J933)</f>
        <v/>
      </c>
      <c r="M933" s="71" t="str">
        <f>IF($B933="","",J933/PV)</f>
        <v/>
      </c>
      <c r="N933" s="72" t="str">
        <f t="shared" si="4"/>
        <v/>
      </c>
    </row>
    <row r="934" ht="14.25" customHeight="1">
      <c r="B934" s="66" t="str">
        <f>IF(ROWS($1:922)&lt;=Nper,ROWS($1:922),"")</f>
        <v/>
      </c>
      <c r="C934" s="67" t="str">
        <f>IF($B934="","",IF($E$7="Weekly",Start_Date+7*(ROWS($1:922)-1),EDATE(Start_Date,VLOOKUP(IF(ASTemp!$E$7="","Monthly",ASTemp!$E$7),Parameters!$B$3:$D$6,3,0)*(ROWS($1:922)-1))))</f>
        <v/>
      </c>
      <c r="D934" s="68" t="str">
        <f t="shared" si="2"/>
        <v/>
      </c>
      <c r="E934" s="65" t="str">
        <f>IF($B934="","",VLOOKUP(MONTH(C934),Parameters!$F$2:$G$13,2,0))</f>
        <v/>
      </c>
      <c r="F934" s="69" t="str">
        <f>IF($B934="","",PV-N(J933))</f>
        <v/>
      </c>
      <c r="G934" s="69" t="str">
        <f>IF($B934="","",PMT(Rate,Nper,-PV,,Type))</f>
        <v/>
      </c>
      <c r="H934" s="69" t="str">
        <f>IF($B934="","",PPMT(Rate,ROWS($1:922),Nper,-PV,,Type))</f>
        <v/>
      </c>
      <c r="I934" s="69" t="str">
        <f>IF($B934="","",IPMT(Rate,ROWS($1:922),Nper,-PV,,Type))</f>
        <v/>
      </c>
      <c r="J934" s="73" t="str">
        <f t="shared" ref="J934:K934" si="924">IF($B934="","",N(J933)+N(H934))</f>
        <v/>
      </c>
      <c r="K934" s="74" t="str">
        <f t="shared" si="924"/>
        <v/>
      </c>
      <c r="L934" s="69" t="str">
        <f>IF($B934="","",PV-J934)</f>
        <v/>
      </c>
      <c r="M934" s="71" t="str">
        <f>IF($B934="","",J934/PV)</f>
        <v/>
      </c>
      <c r="N934" s="72" t="str">
        <f t="shared" si="4"/>
        <v/>
      </c>
    </row>
    <row r="935" ht="14.25" customHeight="1">
      <c r="B935" s="66" t="str">
        <f>IF(ROWS($1:923)&lt;=Nper,ROWS($1:923),"")</f>
        <v/>
      </c>
      <c r="C935" s="67" t="str">
        <f>IF($B935="","",IF($E$7="Weekly",Start_Date+7*(ROWS($1:923)-1),EDATE(Start_Date,VLOOKUP(IF(ASTemp!$E$7="","Monthly",ASTemp!$E$7),Parameters!$B$3:$D$6,3,0)*(ROWS($1:923)-1))))</f>
        <v/>
      </c>
      <c r="D935" s="68" t="str">
        <f t="shared" si="2"/>
        <v/>
      </c>
      <c r="E935" s="65" t="str">
        <f>IF($B935="","",VLOOKUP(MONTH(C935),Parameters!$F$2:$G$13,2,0))</f>
        <v/>
      </c>
      <c r="F935" s="69" t="str">
        <f>IF($B935="","",PV-N(J934))</f>
        <v/>
      </c>
      <c r="G935" s="69" t="str">
        <f>IF($B935="","",PMT(Rate,Nper,-PV,,Type))</f>
        <v/>
      </c>
      <c r="H935" s="69" t="str">
        <f>IF($B935="","",PPMT(Rate,ROWS($1:923),Nper,-PV,,Type))</f>
        <v/>
      </c>
      <c r="I935" s="69" t="str">
        <f>IF($B935="","",IPMT(Rate,ROWS($1:923),Nper,-PV,,Type))</f>
        <v/>
      </c>
      <c r="J935" s="73" t="str">
        <f t="shared" ref="J935:K935" si="925">IF($B935="","",N(J934)+N(H935))</f>
        <v/>
      </c>
      <c r="K935" s="74" t="str">
        <f t="shared" si="925"/>
        <v/>
      </c>
      <c r="L935" s="69" t="str">
        <f>IF($B935="","",PV-J935)</f>
        <v/>
      </c>
      <c r="M935" s="71" t="str">
        <f>IF($B935="","",J935/PV)</f>
        <v/>
      </c>
      <c r="N935" s="72" t="str">
        <f t="shared" si="4"/>
        <v/>
      </c>
    </row>
    <row r="936" ht="14.25" customHeight="1">
      <c r="B936" s="66" t="str">
        <f>IF(ROWS($1:924)&lt;=Nper,ROWS($1:924),"")</f>
        <v/>
      </c>
      <c r="C936" s="67" t="str">
        <f>IF($B936="","",IF($E$7="Weekly",Start_Date+7*(ROWS($1:924)-1),EDATE(Start_Date,VLOOKUP(IF(ASTemp!$E$7="","Monthly",ASTemp!$E$7),Parameters!$B$3:$D$6,3,0)*(ROWS($1:924)-1))))</f>
        <v/>
      </c>
      <c r="D936" s="68" t="str">
        <f t="shared" si="2"/>
        <v/>
      </c>
      <c r="E936" s="65" t="str">
        <f>IF($B936="","",VLOOKUP(MONTH(C936),Parameters!$F$2:$G$13,2,0))</f>
        <v/>
      </c>
      <c r="F936" s="69" t="str">
        <f>IF($B936="","",PV-N(J935))</f>
        <v/>
      </c>
      <c r="G936" s="69" t="str">
        <f>IF($B936="","",PMT(Rate,Nper,-PV,,Type))</f>
        <v/>
      </c>
      <c r="H936" s="69" t="str">
        <f>IF($B936="","",PPMT(Rate,ROWS($1:924),Nper,-PV,,Type))</f>
        <v/>
      </c>
      <c r="I936" s="69" t="str">
        <f>IF($B936="","",IPMT(Rate,ROWS($1:924),Nper,-PV,,Type))</f>
        <v/>
      </c>
      <c r="J936" s="73" t="str">
        <f t="shared" ref="J936:K936" si="926">IF($B936="","",N(J935)+N(H936))</f>
        <v/>
      </c>
      <c r="K936" s="74" t="str">
        <f t="shared" si="926"/>
        <v/>
      </c>
      <c r="L936" s="69" t="str">
        <f>IF($B936="","",PV-J936)</f>
        <v/>
      </c>
      <c r="M936" s="71" t="str">
        <f>IF($B936="","",J936/PV)</f>
        <v/>
      </c>
      <c r="N936" s="72" t="str">
        <f t="shared" si="4"/>
        <v/>
      </c>
    </row>
    <row r="937" ht="14.25" customHeight="1">
      <c r="B937" s="66" t="str">
        <f>IF(ROWS($1:925)&lt;=Nper,ROWS($1:925),"")</f>
        <v/>
      </c>
      <c r="C937" s="67" t="str">
        <f>IF($B937="","",IF($E$7="Weekly",Start_Date+7*(ROWS($1:925)-1),EDATE(Start_Date,VLOOKUP(IF(ASTemp!$E$7="","Monthly",ASTemp!$E$7),Parameters!$B$3:$D$6,3,0)*(ROWS($1:925)-1))))</f>
        <v/>
      </c>
      <c r="D937" s="68" t="str">
        <f t="shared" si="2"/>
        <v/>
      </c>
      <c r="E937" s="65" t="str">
        <f>IF($B937="","",VLOOKUP(MONTH(C937),Parameters!$F$2:$G$13,2,0))</f>
        <v/>
      </c>
      <c r="F937" s="69" t="str">
        <f>IF($B937="","",PV-N(J936))</f>
        <v/>
      </c>
      <c r="G937" s="69" t="str">
        <f>IF($B937="","",PMT(Rate,Nper,-PV,,Type))</f>
        <v/>
      </c>
      <c r="H937" s="69" t="str">
        <f>IF($B937="","",PPMT(Rate,ROWS($1:925),Nper,-PV,,Type))</f>
        <v/>
      </c>
      <c r="I937" s="69" t="str">
        <f>IF($B937="","",IPMT(Rate,ROWS($1:925),Nper,-PV,,Type))</f>
        <v/>
      </c>
      <c r="J937" s="73" t="str">
        <f t="shared" ref="J937:K937" si="927">IF($B937="","",N(J936)+N(H937))</f>
        <v/>
      </c>
      <c r="K937" s="74" t="str">
        <f t="shared" si="927"/>
        <v/>
      </c>
      <c r="L937" s="69" t="str">
        <f>IF($B937="","",PV-J937)</f>
        <v/>
      </c>
      <c r="M937" s="71" t="str">
        <f>IF($B937="","",J937/PV)</f>
        <v/>
      </c>
      <c r="N937" s="72" t="str">
        <f t="shared" si="4"/>
        <v/>
      </c>
    </row>
    <row r="938" ht="14.25" customHeight="1">
      <c r="B938" s="66" t="str">
        <f>IF(ROWS($1:926)&lt;=Nper,ROWS($1:926),"")</f>
        <v/>
      </c>
      <c r="C938" s="67" t="str">
        <f>IF($B938="","",IF($E$7="Weekly",Start_Date+7*(ROWS($1:926)-1),EDATE(Start_Date,VLOOKUP(IF(ASTemp!$E$7="","Monthly",ASTemp!$E$7),Parameters!$B$3:$D$6,3,0)*(ROWS($1:926)-1))))</f>
        <v/>
      </c>
      <c r="D938" s="68" t="str">
        <f t="shared" si="2"/>
        <v/>
      </c>
      <c r="E938" s="65" t="str">
        <f>IF($B938="","",VLOOKUP(MONTH(C938),Parameters!$F$2:$G$13,2,0))</f>
        <v/>
      </c>
      <c r="F938" s="69" t="str">
        <f>IF($B938="","",PV-N(J937))</f>
        <v/>
      </c>
      <c r="G938" s="69" t="str">
        <f>IF($B938="","",PMT(Rate,Nper,-PV,,Type))</f>
        <v/>
      </c>
      <c r="H938" s="69" t="str">
        <f>IF($B938="","",PPMT(Rate,ROWS($1:926),Nper,-PV,,Type))</f>
        <v/>
      </c>
      <c r="I938" s="69" t="str">
        <f>IF($B938="","",IPMT(Rate,ROWS($1:926),Nper,-PV,,Type))</f>
        <v/>
      </c>
      <c r="J938" s="73" t="str">
        <f t="shared" ref="J938:K938" si="928">IF($B938="","",N(J937)+N(H938))</f>
        <v/>
      </c>
      <c r="K938" s="74" t="str">
        <f t="shared" si="928"/>
        <v/>
      </c>
      <c r="L938" s="69" t="str">
        <f>IF($B938="","",PV-J938)</f>
        <v/>
      </c>
      <c r="M938" s="71" t="str">
        <f>IF($B938="","",J938/PV)</f>
        <v/>
      </c>
      <c r="N938" s="72" t="str">
        <f t="shared" si="4"/>
        <v/>
      </c>
    </row>
    <row r="939" ht="14.25" customHeight="1">
      <c r="B939" s="66" t="str">
        <f>IF(ROWS($1:927)&lt;=Nper,ROWS($1:927),"")</f>
        <v/>
      </c>
      <c r="C939" s="67" t="str">
        <f>IF($B939="","",IF($E$7="Weekly",Start_Date+7*(ROWS($1:927)-1),EDATE(Start_Date,VLOOKUP(IF(ASTemp!$E$7="","Monthly",ASTemp!$E$7),Parameters!$B$3:$D$6,3,0)*(ROWS($1:927)-1))))</f>
        <v/>
      </c>
      <c r="D939" s="68" t="str">
        <f t="shared" si="2"/>
        <v/>
      </c>
      <c r="E939" s="65" t="str">
        <f>IF($B939="","",VLOOKUP(MONTH(C939),Parameters!$F$2:$G$13,2,0))</f>
        <v/>
      </c>
      <c r="F939" s="69" t="str">
        <f>IF($B939="","",PV-N(J938))</f>
        <v/>
      </c>
      <c r="G939" s="69" t="str">
        <f>IF($B939="","",PMT(Rate,Nper,-PV,,Type))</f>
        <v/>
      </c>
      <c r="H939" s="69" t="str">
        <f>IF($B939="","",PPMT(Rate,ROWS($1:927),Nper,-PV,,Type))</f>
        <v/>
      </c>
      <c r="I939" s="69" t="str">
        <f>IF($B939="","",IPMT(Rate,ROWS($1:927),Nper,-PV,,Type))</f>
        <v/>
      </c>
      <c r="J939" s="73" t="str">
        <f t="shared" ref="J939:K939" si="929">IF($B939="","",N(J938)+N(H939))</f>
        <v/>
      </c>
      <c r="K939" s="74" t="str">
        <f t="shared" si="929"/>
        <v/>
      </c>
      <c r="L939" s="69" t="str">
        <f>IF($B939="","",PV-J939)</f>
        <v/>
      </c>
      <c r="M939" s="71" t="str">
        <f>IF($B939="","",J939/PV)</f>
        <v/>
      </c>
      <c r="N939" s="72" t="str">
        <f t="shared" si="4"/>
        <v/>
      </c>
    </row>
    <row r="940" ht="14.25" customHeight="1">
      <c r="B940" s="66" t="str">
        <f>IF(ROWS($1:928)&lt;=Nper,ROWS($1:928),"")</f>
        <v/>
      </c>
      <c r="C940" s="67" t="str">
        <f>IF($B940="","",IF($E$7="Weekly",Start_Date+7*(ROWS($1:928)-1),EDATE(Start_Date,VLOOKUP(IF(ASTemp!$E$7="","Monthly",ASTemp!$E$7),Parameters!$B$3:$D$6,3,0)*(ROWS($1:928)-1))))</f>
        <v/>
      </c>
      <c r="D940" s="68" t="str">
        <f t="shared" si="2"/>
        <v/>
      </c>
      <c r="E940" s="65" t="str">
        <f>IF($B940="","",VLOOKUP(MONTH(C940),Parameters!$F$2:$G$13,2,0))</f>
        <v/>
      </c>
      <c r="F940" s="69" t="str">
        <f>IF($B940="","",PV-N(J939))</f>
        <v/>
      </c>
      <c r="G940" s="69" t="str">
        <f>IF($B940="","",PMT(Rate,Nper,-PV,,Type))</f>
        <v/>
      </c>
      <c r="H940" s="69" t="str">
        <f>IF($B940="","",PPMT(Rate,ROWS($1:928),Nper,-PV,,Type))</f>
        <v/>
      </c>
      <c r="I940" s="69" t="str">
        <f>IF($B940="","",IPMT(Rate,ROWS($1:928),Nper,-PV,,Type))</f>
        <v/>
      </c>
      <c r="J940" s="73" t="str">
        <f t="shared" ref="J940:K940" si="930">IF($B940="","",N(J939)+N(H940))</f>
        <v/>
      </c>
      <c r="K940" s="74" t="str">
        <f t="shared" si="930"/>
        <v/>
      </c>
      <c r="L940" s="69" t="str">
        <f>IF($B940="","",PV-J940)</f>
        <v/>
      </c>
      <c r="M940" s="71" t="str">
        <f>IF($B940="","",J940/PV)</f>
        <v/>
      </c>
      <c r="N940" s="72" t="str">
        <f t="shared" si="4"/>
        <v/>
      </c>
    </row>
    <row r="941" ht="14.25" customHeight="1">
      <c r="B941" s="66" t="str">
        <f>IF(ROWS($1:929)&lt;=Nper,ROWS($1:929),"")</f>
        <v/>
      </c>
      <c r="C941" s="67" t="str">
        <f>IF($B941="","",IF($E$7="Weekly",Start_Date+7*(ROWS($1:929)-1),EDATE(Start_Date,VLOOKUP(IF(ASTemp!$E$7="","Monthly",ASTemp!$E$7),Parameters!$B$3:$D$6,3,0)*(ROWS($1:929)-1))))</f>
        <v/>
      </c>
      <c r="D941" s="68" t="str">
        <f t="shared" si="2"/>
        <v/>
      </c>
      <c r="E941" s="65" t="str">
        <f>IF($B941="","",VLOOKUP(MONTH(C941),Parameters!$F$2:$G$13,2,0))</f>
        <v/>
      </c>
      <c r="F941" s="69" t="str">
        <f>IF($B941="","",PV-N(J940))</f>
        <v/>
      </c>
      <c r="G941" s="69" t="str">
        <f>IF($B941="","",PMT(Rate,Nper,-PV,,Type))</f>
        <v/>
      </c>
      <c r="H941" s="69" t="str">
        <f>IF($B941="","",PPMT(Rate,ROWS($1:929),Nper,-PV,,Type))</f>
        <v/>
      </c>
      <c r="I941" s="69" t="str">
        <f>IF($B941="","",IPMT(Rate,ROWS($1:929),Nper,-PV,,Type))</f>
        <v/>
      </c>
      <c r="J941" s="73" t="str">
        <f t="shared" ref="J941:K941" si="931">IF($B941="","",N(J940)+N(H941))</f>
        <v/>
      </c>
      <c r="K941" s="74" t="str">
        <f t="shared" si="931"/>
        <v/>
      </c>
      <c r="L941" s="69" t="str">
        <f>IF($B941="","",PV-J941)</f>
        <v/>
      </c>
      <c r="M941" s="71" t="str">
        <f>IF($B941="","",J941/PV)</f>
        <v/>
      </c>
      <c r="N941" s="72" t="str">
        <f t="shared" si="4"/>
        <v/>
      </c>
    </row>
    <row r="942" ht="14.25" customHeight="1">
      <c r="B942" s="66" t="str">
        <f>IF(ROWS($1:930)&lt;=Nper,ROWS($1:930),"")</f>
        <v/>
      </c>
      <c r="C942" s="67" t="str">
        <f>IF($B942="","",IF($E$7="Weekly",Start_Date+7*(ROWS($1:930)-1),EDATE(Start_Date,VLOOKUP(IF(ASTemp!$E$7="","Monthly",ASTemp!$E$7),Parameters!$B$3:$D$6,3,0)*(ROWS($1:930)-1))))</f>
        <v/>
      </c>
      <c r="D942" s="68" t="str">
        <f t="shared" si="2"/>
        <v/>
      </c>
      <c r="E942" s="65" t="str">
        <f>IF($B942="","",VLOOKUP(MONTH(C942),Parameters!$F$2:$G$13,2,0))</f>
        <v/>
      </c>
      <c r="F942" s="69" t="str">
        <f>IF($B942="","",PV-N(J941))</f>
        <v/>
      </c>
      <c r="G942" s="69" t="str">
        <f>IF($B942="","",PMT(Rate,Nper,-PV,,Type))</f>
        <v/>
      </c>
      <c r="H942" s="69" t="str">
        <f>IF($B942="","",PPMT(Rate,ROWS($1:930),Nper,-PV,,Type))</f>
        <v/>
      </c>
      <c r="I942" s="69" t="str">
        <f>IF($B942="","",IPMT(Rate,ROWS($1:930),Nper,-PV,,Type))</f>
        <v/>
      </c>
      <c r="J942" s="73" t="str">
        <f t="shared" ref="J942:K942" si="932">IF($B942="","",N(J941)+N(H942))</f>
        <v/>
      </c>
      <c r="K942" s="74" t="str">
        <f t="shared" si="932"/>
        <v/>
      </c>
      <c r="L942" s="69" t="str">
        <f>IF($B942="","",PV-J942)</f>
        <v/>
      </c>
      <c r="M942" s="71" t="str">
        <f>IF($B942="","",J942/PV)</f>
        <v/>
      </c>
      <c r="N942" s="72" t="str">
        <f t="shared" si="4"/>
        <v/>
      </c>
    </row>
    <row r="943" ht="14.25" customHeight="1">
      <c r="B943" s="66" t="str">
        <f>IF(ROWS($1:931)&lt;=Nper,ROWS($1:931),"")</f>
        <v/>
      </c>
      <c r="C943" s="67" t="str">
        <f>IF($B943="","",IF($E$7="Weekly",Start_Date+7*(ROWS($1:931)-1),EDATE(Start_Date,VLOOKUP(IF(ASTemp!$E$7="","Monthly",ASTemp!$E$7),Parameters!$B$3:$D$6,3,0)*(ROWS($1:931)-1))))</f>
        <v/>
      </c>
      <c r="D943" s="68" t="str">
        <f t="shared" si="2"/>
        <v/>
      </c>
      <c r="E943" s="65" t="str">
        <f>IF($B943="","",VLOOKUP(MONTH(C943),Parameters!$F$2:$G$13,2,0))</f>
        <v/>
      </c>
      <c r="F943" s="69" t="str">
        <f>IF($B943="","",PV-N(J942))</f>
        <v/>
      </c>
      <c r="G943" s="69" t="str">
        <f>IF($B943="","",PMT(Rate,Nper,-PV,,Type))</f>
        <v/>
      </c>
      <c r="H943" s="69" t="str">
        <f>IF($B943="","",PPMT(Rate,ROWS($1:931),Nper,-PV,,Type))</f>
        <v/>
      </c>
      <c r="I943" s="69" t="str">
        <f>IF($B943="","",IPMT(Rate,ROWS($1:931),Nper,-PV,,Type))</f>
        <v/>
      </c>
      <c r="J943" s="73" t="str">
        <f t="shared" ref="J943:K943" si="933">IF($B943="","",N(J942)+N(H943))</f>
        <v/>
      </c>
      <c r="K943" s="74" t="str">
        <f t="shared" si="933"/>
        <v/>
      </c>
      <c r="L943" s="69" t="str">
        <f>IF($B943="","",PV-J943)</f>
        <v/>
      </c>
      <c r="M943" s="71" t="str">
        <f>IF($B943="","",J943/PV)</f>
        <v/>
      </c>
      <c r="N943" s="72" t="str">
        <f t="shared" si="4"/>
        <v/>
      </c>
    </row>
    <row r="944" ht="14.25" customHeight="1">
      <c r="B944" s="66" t="str">
        <f>IF(ROWS($1:932)&lt;=Nper,ROWS($1:932),"")</f>
        <v/>
      </c>
      <c r="C944" s="67" t="str">
        <f>IF($B944="","",IF($E$7="Weekly",Start_Date+7*(ROWS($1:932)-1),EDATE(Start_Date,VLOOKUP(IF(ASTemp!$E$7="","Monthly",ASTemp!$E$7),Parameters!$B$3:$D$6,3,0)*(ROWS($1:932)-1))))</f>
        <v/>
      </c>
      <c r="D944" s="68" t="str">
        <f t="shared" si="2"/>
        <v/>
      </c>
      <c r="E944" s="65" t="str">
        <f>IF($B944="","",VLOOKUP(MONTH(C944),Parameters!$F$2:$G$13,2,0))</f>
        <v/>
      </c>
      <c r="F944" s="69" t="str">
        <f>IF($B944="","",PV-N(J943))</f>
        <v/>
      </c>
      <c r="G944" s="69" t="str">
        <f>IF($B944="","",PMT(Rate,Nper,-PV,,Type))</f>
        <v/>
      </c>
      <c r="H944" s="69" t="str">
        <f>IF($B944="","",PPMT(Rate,ROWS($1:932),Nper,-PV,,Type))</f>
        <v/>
      </c>
      <c r="I944" s="69" t="str">
        <f>IF($B944="","",IPMT(Rate,ROWS($1:932),Nper,-PV,,Type))</f>
        <v/>
      </c>
      <c r="J944" s="73" t="str">
        <f t="shared" ref="J944:K944" si="934">IF($B944="","",N(J943)+N(H944))</f>
        <v/>
      </c>
      <c r="K944" s="74" t="str">
        <f t="shared" si="934"/>
        <v/>
      </c>
      <c r="L944" s="69" t="str">
        <f>IF($B944="","",PV-J944)</f>
        <v/>
      </c>
      <c r="M944" s="71" t="str">
        <f>IF($B944="","",J944/PV)</f>
        <v/>
      </c>
      <c r="N944" s="72" t="str">
        <f t="shared" si="4"/>
        <v/>
      </c>
    </row>
    <row r="945" ht="14.25" customHeight="1">
      <c r="B945" s="66" t="str">
        <f>IF(ROWS($1:933)&lt;=Nper,ROWS($1:933),"")</f>
        <v/>
      </c>
      <c r="C945" s="67" t="str">
        <f>IF($B945="","",IF($E$7="Weekly",Start_Date+7*(ROWS($1:933)-1),EDATE(Start_Date,VLOOKUP(IF(ASTemp!$E$7="","Monthly",ASTemp!$E$7),Parameters!$B$3:$D$6,3,0)*(ROWS($1:933)-1))))</f>
        <v/>
      </c>
      <c r="D945" s="68" t="str">
        <f t="shared" si="2"/>
        <v/>
      </c>
      <c r="E945" s="65" t="str">
        <f>IF($B945="","",VLOOKUP(MONTH(C945),Parameters!$F$2:$G$13,2,0))</f>
        <v/>
      </c>
      <c r="F945" s="69" t="str">
        <f>IF($B945="","",PV-N(J944))</f>
        <v/>
      </c>
      <c r="G945" s="69" t="str">
        <f>IF($B945="","",PMT(Rate,Nper,-PV,,Type))</f>
        <v/>
      </c>
      <c r="H945" s="69" t="str">
        <f>IF($B945="","",PPMT(Rate,ROWS($1:933),Nper,-PV,,Type))</f>
        <v/>
      </c>
      <c r="I945" s="69" t="str">
        <f>IF($B945="","",IPMT(Rate,ROWS($1:933),Nper,-PV,,Type))</f>
        <v/>
      </c>
      <c r="J945" s="73" t="str">
        <f t="shared" ref="J945:K945" si="935">IF($B945="","",N(J944)+N(H945))</f>
        <v/>
      </c>
      <c r="K945" s="74" t="str">
        <f t="shared" si="935"/>
        <v/>
      </c>
      <c r="L945" s="69" t="str">
        <f>IF($B945="","",PV-J945)</f>
        <v/>
      </c>
      <c r="M945" s="71" t="str">
        <f>IF($B945="","",J945/PV)</f>
        <v/>
      </c>
      <c r="N945" s="72" t="str">
        <f t="shared" si="4"/>
        <v/>
      </c>
    </row>
    <row r="946" ht="14.25" customHeight="1">
      <c r="B946" s="66" t="str">
        <f>IF(ROWS($1:934)&lt;=Nper,ROWS($1:934),"")</f>
        <v/>
      </c>
      <c r="C946" s="67" t="str">
        <f>IF($B946="","",IF($E$7="Weekly",Start_Date+7*(ROWS($1:934)-1),EDATE(Start_Date,VLOOKUP(IF(ASTemp!$E$7="","Monthly",ASTemp!$E$7),Parameters!$B$3:$D$6,3,0)*(ROWS($1:934)-1))))</f>
        <v/>
      </c>
      <c r="D946" s="68" t="str">
        <f t="shared" si="2"/>
        <v/>
      </c>
      <c r="E946" s="65" t="str">
        <f>IF($B946="","",VLOOKUP(MONTH(C946),Parameters!$F$2:$G$13,2,0))</f>
        <v/>
      </c>
      <c r="F946" s="69" t="str">
        <f>IF($B946="","",PV-N(J945))</f>
        <v/>
      </c>
      <c r="G946" s="69" t="str">
        <f>IF($B946="","",PMT(Rate,Nper,-PV,,Type))</f>
        <v/>
      </c>
      <c r="H946" s="69" t="str">
        <f>IF($B946="","",PPMT(Rate,ROWS($1:934),Nper,-PV,,Type))</f>
        <v/>
      </c>
      <c r="I946" s="69" t="str">
        <f>IF($B946="","",IPMT(Rate,ROWS($1:934),Nper,-PV,,Type))</f>
        <v/>
      </c>
      <c r="J946" s="73" t="str">
        <f t="shared" ref="J946:K946" si="936">IF($B946="","",N(J945)+N(H946))</f>
        <v/>
      </c>
      <c r="K946" s="74" t="str">
        <f t="shared" si="936"/>
        <v/>
      </c>
      <c r="L946" s="69" t="str">
        <f>IF($B946="","",PV-J946)</f>
        <v/>
      </c>
      <c r="M946" s="71" t="str">
        <f>IF($B946="","",J946/PV)</f>
        <v/>
      </c>
      <c r="N946" s="72" t="str">
        <f t="shared" si="4"/>
        <v/>
      </c>
    </row>
    <row r="947" ht="14.25" customHeight="1">
      <c r="B947" s="66" t="str">
        <f>IF(ROWS($1:935)&lt;=Nper,ROWS($1:935),"")</f>
        <v/>
      </c>
      <c r="C947" s="67" t="str">
        <f>IF($B947="","",IF($E$7="Weekly",Start_Date+7*(ROWS($1:935)-1),EDATE(Start_Date,VLOOKUP(IF(ASTemp!$E$7="","Monthly",ASTemp!$E$7),Parameters!$B$3:$D$6,3,0)*(ROWS($1:935)-1))))</f>
        <v/>
      </c>
      <c r="D947" s="68" t="str">
        <f t="shared" si="2"/>
        <v/>
      </c>
      <c r="E947" s="65" t="str">
        <f>IF($B947="","",VLOOKUP(MONTH(C947),Parameters!$F$2:$G$13,2,0))</f>
        <v/>
      </c>
      <c r="F947" s="69" t="str">
        <f>IF($B947="","",PV-N(J946))</f>
        <v/>
      </c>
      <c r="G947" s="69" t="str">
        <f>IF($B947="","",PMT(Rate,Nper,-PV,,Type))</f>
        <v/>
      </c>
      <c r="H947" s="69" t="str">
        <f>IF($B947="","",PPMT(Rate,ROWS($1:935),Nper,-PV,,Type))</f>
        <v/>
      </c>
      <c r="I947" s="69" t="str">
        <f>IF($B947="","",IPMT(Rate,ROWS($1:935),Nper,-PV,,Type))</f>
        <v/>
      </c>
      <c r="J947" s="73" t="str">
        <f t="shared" ref="J947:K947" si="937">IF($B947="","",N(J946)+N(H947))</f>
        <v/>
      </c>
      <c r="K947" s="74" t="str">
        <f t="shared" si="937"/>
        <v/>
      </c>
      <c r="L947" s="69" t="str">
        <f>IF($B947="","",PV-J947)</f>
        <v/>
      </c>
      <c r="M947" s="71" t="str">
        <f>IF($B947="","",J947/PV)</f>
        <v/>
      </c>
      <c r="N947" s="72" t="str">
        <f t="shared" si="4"/>
        <v/>
      </c>
    </row>
    <row r="948" ht="14.25" customHeight="1">
      <c r="B948" s="66" t="str">
        <f>IF(ROWS($1:936)&lt;=Nper,ROWS($1:936),"")</f>
        <v/>
      </c>
      <c r="C948" s="67" t="str">
        <f>IF($B948="","",IF($E$7="Weekly",Start_Date+7*(ROWS($1:936)-1),EDATE(Start_Date,VLOOKUP(IF(ASTemp!$E$7="","Monthly",ASTemp!$E$7),Parameters!$B$3:$D$6,3,0)*(ROWS($1:936)-1))))</f>
        <v/>
      </c>
      <c r="D948" s="68" t="str">
        <f t="shared" si="2"/>
        <v/>
      </c>
      <c r="E948" s="65" t="str">
        <f>IF($B948="","",VLOOKUP(MONTH(C948),Parameters!$F$2:$G$13,2,0))</f>
        <v/>
      </c>
      <c r="F948" s="69" t="str">
        <f>IF($B948="","",PV-N(J947))</f>
        <v/>
      </c>
      <c r="G948" s="69" t="str">
        <f>IF($B948="","",PMT(Rate,Nper,-PV,,Type))</f>
        <v/>
      </c>
      <c r="H948" s="69" t="str">
        <f>IF($B948="","",PPMT(Rate,ROWS($1:936),Nper,-PV,,Type))</f>
        <v/>
      </c>
      <c r="I948" s="69" t="str">
        <f>IF($B948="","",IPMT(Rate,ROWS($1:936),Nper,-PV,,Type))</f>
        <v/>
      </c>
      <c r="J948" s="73" t="str">
        <f t="shared" ref="J948:K948" si="938">IF($B948="","",N(J947)+N(H948))</f>
        <v/>
      </c>
      <c r="K948" s="74" t="str">
        <f t="shared" si="938"/>
        <v/>
      </c>
      <c r="L948" s="69" t="str">
        <f>IF($B948="","",PV-J948)</f>
        <v/>
      </c>
      <c r="M948" s="71" t="str">
        <f>IF($B948="","",J948/PV)</f>
        <v/>
      </c>
      <c r="N948" s="72" t="str">
        <f t="shared" si="4"/>
        <v/>
      </c>
    </row>
    <row r="949" ht="14.25" customHeight="1">
      <c r="B949" s="66" t="str">
        <f>IF(ROWS($1:937)&lt;=Nper,ROWS($1:937),"")</f>
        <v/>
      </c>
      <c r="C949" s="67" t="str">
        <f>IF($B949="","",IF($E$7="Weekly",Start_Date+7*(ROWS($1:937)-1),EDATE(Start_Date,VLOOKUP(IF(ASTemp!$E$7="","Monthly",ASTemp!$E$7),Parameters!$B$3:$D$6,3,0)*(ROWS($1:937)-1))))</f>
        <v/>
      </c>
      <c r="D949" s="68" t="str">
        <f t="shared" si="2"/>
        <v/>
      </c>
      <c r="E949" s="65" t="str">
        <f>IF($B949="","",VLOOKUP(MONTH(C949),Parameters!$F$2:$G$13,2,0))</f>
        <v/>
      </c>
      <c r="F949" s="69" t="str">
        <f>IF($B949="","",PV-N(J948))</f>
        <v/>
      </c>
      <c r="G949" s="69" t="str">
        <f>IF($B949="","",PMT(Rate,Nper,-PV,,Type))</f>
        <v/>
      </c>
      <c r="H949" s="69" t="str">
        <f>IF($B949="","",PPMT(Rate,ROWS($1:937),Nper,-PV,,Type))</f>
        <v/>
      </c>
      <c r="I949" s="69" t="str">
        <f>IF($B949="","",IPMT(Rate,ROWS($1:937),Nper,-PV,,Type))</f>
        <v/>
      </c>
      <c r="J949" s="73" t="str">
        <f t="shared" ref="J949:K949" si="939">IF($B949="","",N(J948)+N(H949))</f>
        <v/>
      </c>
      <c r="K949" s="74" t="str">
        <f t="shared" si="939"/>
        <v/>
      </c>
      <c r="L949" s="69" t="str">
        <f>IF($B949="","",PV-J949)</f>
        <v/>
      </c>
      <c r="M949" s="71" t="str">
        <f>IF($B949="","",J949/PV)</f>
        <v/>
      </c>
      <c r="N949" s="72" t="str">
        <f t="shared" si="4"/>
        <v/>
      </c>
    </row>
    <row r="950" ht="14.25" customHeight="1">
      <c r="B950" s="66" t="str">
        <f>IF(ROWS($1:938)&lt;=Nper,ROWS($1:938),"")</f>
        <v/>
      </c>
      <c r="C950" s="67" t="str">
        <f>IF($B950="","",IF($E$7="Weekly",Start_Date+7*(ROWS($1:938)-1),EDATE(Start_Date,VLOOKUP(IF(ASTemp!$E$7="","Monthly",ASTemp!$E$7),Parameters!$B$3:$D$6,3,0)*(ROWS($1:938)-1))))</f>
        <v/>
      </c>
      <c r="D950" s="68" t="str">
        <f t="shared" si="2"/>
        <v/>
      </c>
      <c r="E950" s="65" t="str">
        <f>IF($B950="","",VLOOKUP(MONTH(C950),Parameters!$F$2:$G$13,2,0))</f>
        <v/>
      </c>
      <c r="F950" s="69" t="str">
        <f>IF($B950="","",PV-N(J949))</f>
        <v/>
      </c>
      <c r="G950" s="69" t="str">
        <f>IF($B950="","",PMT(Rate,Nper,-PV,,Type))</f>
        <v/>
      </c>
      <c r="H950" s="69" t="str">
        <f>IF($B950="","",PPMT(Rate,ROWS($1:938),Nper,-PV,,Type))</f>
        <v/>
      </c>
      <c r="I950" s="69" t="str">
        <f>IF($B950="","",IPMT(Rate,ROWS($1:938),Nper,-PV,,Type))</f>
        <v/>
      </c>
      <c r="J950" s="73" t="str">
        <f t="shared" ref="J950:K950" si="940">IF($B950="","",N(J949)+N(H950))</f>
        <v/>
      </c>
      <c r="K950" s="74" t="str">
        <f t="shared" si="940"/>
        <v/>
      </c>
      <c r="L950" s="69" t="str">
        <f>IF($B950="","",PV-J950)</f>
        <v/>
      </c>
      <c r="M950" s="71" t="str">
        <f>IF($B950="","",J950/PV)</f>
        <v/>
      </c>
      <c r="N950" s="72" t="str">
        <f t="shared" si="4"/>
        <v/>
      </c>
    </row>
    <row r="951" ht="14.25" customHeight="1">
      <c r="B951" s="66" t="str">
        <f>IF(ROWS($1:939)&lt;=Nper,ROWS($1:939),"")</f>
        <v/>
      </c>
      <c r="C951" s="67" t="str">
        <f>IF($B951="","",IF($E$7="Weekly",Start_Date+7*(ROWS($1:939)-1),EDATE(Start_Date,VLOOKUP(IF(ASTemp!$E$7="","Monthly",ASTemp!$E$7),Parameters!$B$3:$D$6,3,0)*(ROWS($1:939)-1))))</f>
        <v/>
      </c>
      <c r="D951" s="68" t="str">
        <f t="shared" si="2"/>
        <v/>
      </c>
      <c r="E951" s="65" t="str">
        <f>IF($B951="","",VLOOKUP(MONTH(C951),Parameters!$F$2:$G$13,2,0))</f>
        <v/>
      </c>
      <c r="F951" s="69" t="str">
        <f>IF($B951="","",PV-N(J950))</f>
        <v/>
      </c>
      <c r="G951" s="69" t="str">
        <f>IF($B951="","",PMT(Rate,Nper,-PV,,Type))</f>
        <v/>
      </c>
      <c r="H951" s="69" t="str">
        <f>IF($B951="","",PPMT(Rate,ROWS($1:939),Nper,-PV,,Type))</f>
        <v/>
      </c>
      <c r="I951" s="69" t="str">
        <f>IF($B951="","",IPMT(Rate,ROWS($1:939),Nper,-PV,,Type))</f>
        <v/>
      </c>
      <c r="J951" s="73" t="str">
        <f t="shared" ref="J951:K951" si="941">IF($B951="","",N(J950)+N(H951))</f>
        <v/>
      </c>
      <c r="K951" s="74" t="str">
        <f t="shared" si="941"/>
        <v/>
      </c>
      <c r="L951" s="69" t="str">
        <f>IF($B951="","",PV-J951)</f>
        <v/>
      </c>
      <c r="M951" s="71" t="str">
        <f>IF($B951="","",J951/PV)</f>
        <v/>
      </c>
      <c r="N951" s="72" t="str">
        <f t="shared" si="4"/>
        <v/>
      </c>
    </row>
    <row r="952" ht="14.25" customHeight="1">
      <c r="B952" s="66" t="str">
        <f>IF(ROWS($1:940)&lt;=Nper,ROWS($1:940),"")</f>
        <v/>
      </c>
      <c r="C952" s="67" t="str">
        <f>IF($B952="","",IF($E$7="Weekly",Start_Date+7*(ROWS($1:940)-1),EDATE(Start_Date,VLOOKUP(IF(ASTemp!$E$7="","Monthly",ASTemp!$E$7),Parameters!$B$3:$D$6,3,0)*(ROWS($1:940)-1))))</f>
        <v/>
      </c>
      <c r="D952" s="68" t="str">
        <f t="shared" si="2"/>
        <v/>
      </c>
      <c r="E952" s="65" t="str">
        <f>IF($B952="","",VLOOKUP(MONTH(C952),Parameters!$F$2:$G$13,2,0))</f>
        <v/>
      </c>
      <c r="F952" s="69" t="str">
        <f>IF($B952="","",PV-N(J951))</f>
        <v/>
      </c>
      <c r="G952" s="69" t="str">
        <f>IF($B952="","",PMT(Rate,Nper,-PV,,Type))</f>
        <v/>
      </c>
      <c r="H952" s="69" t="str">
        <f>IF($B952="","",PPMT(Rate,ROWS($1:940),Nper,-PV,,Type))</f>
        <v/>
      </c>
      <c r="I952" s="69" t="str">
        <f>IF($B952="","",IPMT(Rate,ROWS($1:940),Nper,-PV,,Type))</f>
        <v/>
      </c>
      <c r="J952" s="73" t="str">
        <f t="shared" ref="J952:K952" si="942">IF($B952="","",N(J951)+N(H952))</f>
        <v/>
      </c>
      <c r="K952" s="74" t="str">
        <f t="shared" si="942"/>
        <v/>
      </c>
      <c r="L952" s="69" t="str">
        <f>IF($B952="","",PV-J952)</f>
        <v/>
      </c>
      <c r="M952" s="71" t="str">
        <f>IF($B952="","",J952/PV)</f>
        <v/>
      </c>
      <c r="N952" s="72" t="str">
        <f t="shared" si="4"/>
        <v/>
      </c>
    </row>
    <row r="953" ht="14.25" customHeight="1">
      <c r="B953" s="66" t="str">
        <f>IF(ROWS($1:941)&lt;=Nper,ROWS($1:941),"")</f>
        <v/>
      </c>
      <c r="C953" s="67" t="str">
        <f>IF($B953="","",IF($E$7="Weekly",Start_Date+7*(ROWS($1:941)-1),EDATE(Start_Date,VLOOKUP(IF(ASTemp!$E$7="","Monthly",ASTemp!$E$7),Parameters!$B$3:$D$6,3,0)*(ROWS($1:941)-1))))</f>
        <v/>
      </c>
      <c r="D953" s="68" t="str">
        <f t="shared" si="2"/>
        <v/>
      </c>
      <c r="E953" s="65" t="str">
        <f>IF($B953="","",VLOOKUP(MONTH(C953),Parameters!$F$2:$G$13,2,0))</f>
        <v/>
      </c>
      <c r="F953" s="69" t="str">
        <f>IF($B953="","",PV-N(J952))</f>
        <v/>
      </c>
      <c r="G953" s="69" t="str">
        <f>IF($B953="","",PMT(Rate,Nper,-PV,,Type))</f>
        <v/>
      </c>
      <c r="H953" s="69" t="str">
        <f>IF($B953="","",PPMT(Rate,ROWS($1:941),Nper,-PV,,Type))</f>
        <v/>
      </c>
      <c r="I953" s="69" t="str">
        <f>IF($B953="","",IPMT(Rate,ROWS($1:941),Nper,-PV,,Type))</f>
        <v/>
      </c>
      <c r="J953" s="73" t="str">
        <f t="shared" ref="J953:K953" si="943">IF($B953="","",N(J952)+N(H953))</f>
        <v/>
      </c>
      <c r="K953" s="74" t="str">
        <f t="shared" si="943"/>
        <v/>
      </c>
      <c r="L953" s="69" t="str">
        <f>IF($B953="","",PV-J953)</f>
        <v/>
      </c>
      <c r="M953" s="71" t="str">
        <f>IF($B953="","",J953/PV)</f>
        <v/>
      </c>
      <c r="N953" s="72" t="str">
        <f t="shared" si="4"/>
        <v/>
      </c>
    </row>
    <row r="954" ht="14.25" customHeight="1">
      <c r="B954" s="66" t="str">
        <f>IF(ROWS($1:942)&lt;=Nper,ROWS($1:942),"")</f>
        <v/>
      </c>
      <c r="C954" s="67" t="str">
        <f>IF($B954="","",IF($E$7="Weekly",Start_Date+7*(ROWS($1:942)-1),EDATE(Start_Date,VLOOKUP(IF(ASTemp!$E$7="","Monthly",ASTemp!$E$7),Parameters!$B$3:$D$6,3,0)*(ROWS($1:942)-1))))</f>
        <v/>
      </c>
      <c r="D954" s="68" t="str">
        <f t="shared" si="2"/>
        <v/>
      </c>
      <c r="E954" s="65" t="str">
        <f>IF($B954="","",VLOOKUP(MONTH(C954),Parameters!$F$2:$G$13,2,0))</f>
        <v/>
      </c>
      <c r="F954" s="69" t="str">
        <f>IF($B954="","",PV-N(J953))</f>
        <v/>
      </c>
      <c r="G954" s="69" t="str">
        <f>IF($B954="","",PMT(Rate,Nper,-PV,,Type))</f>
        <v/>
      </c>
      <c r="H954" s="69" t="str">
        <f>IF($B954="","",PPMT(Rate,ROWS($1:942),Nper,-PV,,Type))</f>
        <v/>
      </c>
      <c r="I954" s="69" t="str">
        <f>IF($B954="","",IPMT(Rate,ROWS($1:942),Nper,-PV,,Type))</f>
        <v/>
      </c>
      <c r="J954" s="73" t="str">
        <f t="shared" ref="J954:K954" si="944">IF($B954="","",N(J953)+N(H954))</f>
        <v/>
      </c>
      <c r="K954" s="74" t="str">
        <f t="shared" si="944"/>
        <v/>
      </c>
      <c r="L954" s="69" t="str">
        <f>IF($B954="","",PV-J954)</f>
        <v/>
      </c>
      <c r="M954" s="71" t="str">
        <f>IF($B954="","",J954/PV)</f>
        <v/>
      </c>
      <c r="N954" s="72" t="str">
        <f t="shared" si="4"/>
        <v/>
      </c>
    </row>
    <row r="955" ht="14.25" customHeight="1">
      <c r="B955" s="66" t="str">
        <f>IF(ROWS($1:943)&lt;=Nper,ROWS($1:943),"")</f>
        <v/>
      </c>
      <c r="C955" s="67" t="str">
        <f>IF($B955="","",IF($E$7="Weekly",Start_Date+7*(ROWS($1:943)-1),EDATE(Start_Date,VLOOKUP(IF(ASTemp!$E$7="","Monthly",ASTemp!$E$7),Parameters!$B$3:$D$6,3,0)*(ROWS($1:943)-1))))</f>
        <v/>
      </c>
      <c r="D955" s="68" t="str">
        <f t="shared" si="2"/>
        <v/>
      </c>
      <c r="E955" s="65" t="str">
        <f>IF($B955="","",VLOOKUP(MONTH(C955),Parameters!$F$2:$G$13,2,0))</f>
        <v/>
      </c>
      <c r="F955" s="69" t="str">
        <f>IF($B955="","",PV-N(J954))</f>
        <v/>
      </c>
      <c r="G955" s="69" t="str">
        <f>IF($B955="","",PMT(Rate,Nper,-PV,,Type))</f>
        <v/>
      </c>
      <c r="H955" s="69" t="str">
        <f>IF($B955="","",PPMT(Rate,ROWS($1:943),Nper,-PV,,Type))</f>
        <v/>
      </c>
      <c r="I955" s="69" t="str">
        <f>IF($B955="","",IPMT(Rate,ROWS($1:943),Nper,-PV,,Type))</f>
        <v/>
      </c>
      <c r="J955" s="73" t="str">
        <f t="shared" ref="J955:K955" si="945">IF($B955="","",N(J954)+N(H955))</f>
        <v/>
      </c>
      <c r="K955" s="74" t="str">
        <f t="shared" si="945"/>
        <v/>
      </c>
      <c r="L955" s="69" t="str">
        <f>IF($B955="","",PV-J955)</f>
        <v/>
      </c>
      <c r="M955" s="71" t="str">
        <f>IF($B955="","",J955/PV)</f>
        <v/>
      </c>
      <c r="N955" s="72" t="str">
        <f t="shared" si="4"/>
        <v/>
      </c>
    </row>
    <row r="956" ht="14.25" customHeight="1">
      <c r="B956" s="66" t="str">
        <f>IF(ROWS($1:944)&lt;=Nper,ROWS($1:944),"")</f>
        <v/>
      </c>
      <c r="C956" s="67" t="str">
        <f>IF($B956="","",IF($E$7="Weekly",Start_Date+7*(ROWS($1:944)-1),EDATE(Start_Date,VLOOKUP(IF(ASTemp!$E$7="","Monthly",ASTemp!$E$7),Parameters!$B$3:$D$6,3,0)*(ROWS($1:944)-1))))</f>
        <v/>
      </c>
      <c r="D956" s="68" t="str">
        <f t="shared" si="2"/>
        <v/>
      </c>
      <c r="E956" s="65" t="str">
        <f>IF($B956="","",VLOOKUP(MONTH(C956),Parameters!$F$2:$G$13,2,0))</f>
        <v/>
      </c>
      <c r="F956" s="69" t="str">
        <f>IF($B956="","",PV-N(J955))</f>
        <v/>
      </c>
      <c r="G956" s="69" t="str">
        <f>IF($B956="","",PMT(Rate,Nper,-PV,,Type))</f>
        <v/>
      </c>
      <c r="H956" s="69" t="str">
        <f>IF($B956="","",PPMT(Rate,ROWS($1:944),Nper,-PV,,Type))</f>
        <v/>
      </c>
      <c r="I956" s="69" t="str">
        <f>IF($B956="","",IPMT(Rate,ROWS($1:944),Nper,-PV,,Type))</f>
        <v/>
      </c>
      <c r="J956" s="73" t="str">
        <f t="shared" ref="J956:K956" si="946">IF($B956="","",N(J955)+N(H956))</f>
        <v/>
      </c>
      <c r="K956" s="74" t="str">
        <f t="shared" si="946"/>
        <v/>
      </c>
      <c r="L956" s="69" t="str">
        <f>IF($B956="","",PV-J956)</f>
        <v/>
      </c>
      <c r="M956" s="71" t="str">
        <f>IF($B956="","",J956/PV)</f>
        <v/>
      </c>
      <c r="N956" s="72" t="str">
        <f t="shared" si="4"/>
        <v/>
      </c>
    </row>
    <row r="957" ht="14.25" customHeight="1">
      <c r="B957" s="66" t="str">
        <f>IF(ROWS($1:945)&lt;=Nper,ROWS($1:945),"")</f>
        <v/>
      </c>
      <c r="C957" s="67" t="str">
        <f>IF($B957="","",IF($E$7="Weekly",Start_Date+7*(ROWS($1:945)-1),EDATE(Start_Date,VLOOKUP(IF(ASTemp!$E$7="","Monthly",ASTemp!$E$7),Parameters!$B$3:$D$6,3,0)*(ROWS($1:945)-1))))</f>
        <v/>
      </c>
      <c r="D957" s="68" t="str">
        <f t="shared" si="2"/>
        <v/>
      </c>
      <c r="E957" s="65" t="str">
        <f>IF($B957="","",VLOOKUP(MONTH(C957),Parameters!$F$2:$G$13,2,0))</f>
        <v/>
      </c>
      <c r="F957" s="69" t="str">
        <f>IF($B957="","",PV-N(J956))</f>
        <v/>
      </c>
      <c r="G957" s="69" t="str">
        <f>IF($B957="","",PMT(Rate,Nper,-PV,,Type))</f>
        <v/>
      </c>
      <c r="H957" s="69" t="str">
        <f>IF($B957="","",PPMT(Rate,ROWS($1:945),Nper,-PV,,Type))</f>
        <v/>
      </c>
      <c r="I957" s="69" t="str">
        <f>IF($B957="","",IPMT(Rate,ROWS($1:945),Nper,-PV,,Type))</f>
        <v/>
      </c>
      <c r="J957" s="73" t="str">
        <f t="shared" ref="J957:K957" si="947">IF($B957="","",N(J956)+N(H957))</f>
        <v/>
      </c>
      <c r="K957" s="74" t="str">
        <f t="shared" si="947"/>
        <v/>
      </c>
      <c r="L957" s="69" t="str">
        <f>IF($B957="","",PV-J957)</f>
        <v/>
      </c>
      <c r="M957" s="71" t="str">
        <f>IF($B957="","",J957/PV)</f>
        <v/>
      </c>
      <c r="N957" s="72" t="str">
        <f t="shared" si="4"/>
        <v/>
      </c>
    </row>
    <row r="958" ht="14.25" customHeight="1">
      <c r="B958" s="66" t="str">
        <f>IF(ROWS($1:946)&lt;=Nper,ROWS($1:946),"")</f>
        <v/>
      </c>
      <c r="C958" s="67" t="str">
        <f>IF($B958="","",IF($E$7="Weekly",Start_Date+7*(ROWS($1:946)-1),EDATE(Start_Date,VLOOKUP(IF(ASTemp!$E$7="","Monthly",ASTemp!$E$7),Parameters!$B$3:$D$6,3,0)*(ROWS($1:946)-1))))</f>
        <v/>
      </c>
      <c r="D958" s="68" t="str">
        <f t="shared" si="2"/>
        <v/>
      </c>
      <c r="E958" s="65" t="str">
        <f>IF($B958="","",VLOOKUP(MONTH(C958),Parameters!$F$2:$G$13,2,0))</f>
        <v/>
      </c>
      <c r="F958" s="69" t="str">
        <f>IF($B958="","",PV-N(J957))</f>
        <v/>
      </c>
      <c r="G958" s="69" t="str">
        <f>IF($B958="","",PMT(Rate,Nper,-PV,,Type))</f>
        <v/>
      </c>
      <c r="H958" s="69" t="str">
        <f>IF($B958="","",PPMT(Rate,ROWS($1:946),Nper,-PV,,Type))</f>
        <v/>
      </c>
      <c r="I958" s="69" t="str">
        <f>IF($B958="","",IPMT(Rate,ROWS($1:946),Nper,-PV,,Type))</f>
        <v/>
      </c>
      <c r="J958" s="73" t="str">
        <f t="shared" ref="J958:K958" si="948">IF($B958="","",N(J957)+N(H958))</f>
        <v/>
      </c>
      <c r="K958" s="74" t="str">
        <f t="shared" si="948"/>
        <v/>
      </c>
      <c r="L958" s="69" t="str">
        <f>IF($B958="","",PV-J958)</f>
        <v/>
      </c>
      <c r="M958" s="71" t="str">
        <f>IF($B958="","",J958/PV)</f>
        <v/>
      </c>
      <c r="N958" s="72" t="str">
        <f t="shared" si="4"/>
        <v/>
      </c>
    </row>
    <row r="959" ht="14.25" customHeight="1">
      <c r="B959" s="66" t="str">
        <f>IF(ROWS($1:947)&lt;=Nper,ROWS($1:947),"")</f>
        <v/>
      </c>
      <c r="C959" s="67" t="str">
        <f>IF($B959="","",IF($E$7="Weekly",Start_Date+7*(ROWS($1:947)-1),EDATE(Start_Date,VLOOKUP(IF(ASTemp!$E$7="","Monthly",ASTemp!$E$7),Parameters!$B$3:$D$6,3,0)*(ROWS($1:947)-1))))</f>
        <v/>
      </c>
      <c r="D959" s="68" t="str">
        <f t="shared" si="2"/>
        <v/>
      </c>
      <c r="E959" s="65" t="str">
        <f>IF($B959="","",VLOOKUP(MONTH(C959),Parameters!$F$2:$G$13,2,0))</f>
        <v/>
      </c>
      <c r="F959" s="69" t="str">
        <f>IF($B959="","",PV-N(J958))</f>
        <v/>
      </c>
      <c r="G959" s="69" t="str">
        <f>IF($B959="","",PMT(Rate,Nper,-PV,,Type))</f>
        <v/>
      </c>
      <c r="H959" s="69" t="str">
        <f>IF($B959="","",PPMT(Rate,ROWS($1:947),Nper,-PV,,Type))</f>
        <v/>
      </c>
      <c r="I959" s="69" t="str">
        <f>IF($B959="","",IPMT(Rate,ROWS($1:947),Nper,-PV,,Type))</f>
        <v/>
      </c>
      <c r="J959" s="73" t="str">
        <f t="shared" ref="J959:K959" si="949">IF($B959="","",N(J958)+N(H959))</f>
        <v/>
      </c>
      <c r="K959" s="74" t="str">
        <f t="shared" si="949"/>
        <v/>
      </c>
      <c r="L959" s="69" t="str">
        <f>IF($B959="","",PV-J959)</f>
        <v/>
      </c>
      <c r="M959" s="71" t="str">
        <f>IF($B959="","",J959/PV)</f>
        <v/>
      </c>
      <c r="N959" s="72" t="str">
        <f t="shared" si="4"/>
        <v/>
      </c>
    </row>
    <row r="960" ht="14.25" customHeight="1">
      <c r="B960" s="66" t="str">
        <f>IF(ROWS($1:948)&lt;=Nper,ROWS($1:948),"")</f>
        <v/>
      </c>
      <c r="C960" s="67" t="str">
        <f>IF($B960="","",IF($E$7="Weekly",Start_Date+7*(ROWS($1:948)-1),EDATE(Start_Date,VLOOKUP(IF(ASTemp!$E$7="","Monthly",ASTemp!$E$7),Parameters!$B$3:$D$6,3,0)*(ROWS($1:948)-1))))</f>
        <v/>
      </c>
      <c r="D960" s="68" t="str">
        <f t="shared" si="2"/>
        <v/>
      </c>
      <c r="E960" s="65" t="str">
        <f>IF($B960="","",VLOOKUP(MONTH(C960),Parameters!$F$2:$G$13,2,0))</f>
        <v/>
      </c>
      <c r="F960" s="69" t="str">
        <f>IF($B960="","",PV-N(J959))</f>
        <v/>
      </c>
      <c r="G960" s="69" t="str">
        <f>IF($B960="","",PMT(Rate,Nper,-PV,,Type))</f>
        <v/>
      </c>
      <c r="H960" s="69" t="str">
        <f>IF($B960="","",PPMT(Rate,ROWS($1:948),Nper,-PV,,Type))</f>
        <v/>
      </c>
      <c r="I960" s="69" t="str">
        <f>IF($B960="","",IPMT(Rate,ROWS($1:948),Nper,-PV,,Type))</f>
        <v/>
      </c>
      <c r="J960" s="73" t="str">
        <f t="shared" ref="J960:K960" si="950">IF($B960="","",N(J959)+N(H960))</f>
        <v/>
      </c>
      <c r="K960" s="74" t="str">
        <f t="shared" si="950"/>
        <v/>
      </c>
      <c r="L960" s="69" t="str">
        <f>IF($B960="","",PV-J960)</f>
        <v/>
      </c>
      <c r="M960" s="71" t="str">
        <f>IF($B960="","",J960/PV)</f>
        <v/>
      </c>
      <c r="N960" s="72" t="str">
        <f t="shared" si="4"/>
        <v/>
      </c>
    </row>
    <row r="961" ht="14.25" customHeight="1">
      <c r="B961" s="66" t="str">
        <f>IF(ROWS($1:949)&lt;=Nper,ROWS($1:949),"")</f>
        <v/>
      </c>
      <c r="C961" s="67" t="str">
        <f>IF($B961="","",IF($E$7="Weekly",Start_Date+7*(ROWS($1:949)-1),EDATE(Start_Date,VLOOKUP(IF(ASTemp!$E$7="","Monthly",ASTemp!$E$7),Parameters!$B$3:$D$6,3,0)*(ROWS($1:949)-1))))</f>
        <v/>
      </c>
      <c r="D961" s="68" t="str">
        <f t="shared" si="2"/>
        <v/>
      </c>
      <c r="E961" s="65" t="str">
        <f>IF($B961="","",VLOOKUP(MONTH(C961),Parameters!$F$2:$G$13,2,0))</f>
        <v/>
      </c>
      <c r="F961" s="69" t="str">
        <f>IF($B961="","",PV-N(J960))</f>
        <v/>
      </c>
      <c r="G961" s="69" t="str">
        <f>IF($B961="","",PMT(Rate,Nper,-PV,,Type))</f>
        <v/>
      </c>
      <c r="H961" s="69" t="str">
        <f>IF($B961="","",PPMT(Rate,ROWS($1:949),Nper,-PV,,Type))</f>
        <v/>
      </c>
      <c r="I961" s="69" t="str">
        <f>IF($B961="","",IPMT(Rate,ROWS($1:949),Nper,-PV,,Type))</f>
        <v/>
      </c>
      <c r="J961" s="73" t="str">
        <f t="shared" ref="J961:K961" si="951">IF($B961="","",N(J960)+N(H961))</f>
        <v/>
      </c>
      <c r="K961" s="74" t="str">
        <f t="shared" si="951"/>
        <v/>
      </c>
      <c r="L961" s="69" t="str">
        <f>IF($B961="","",PV-J961)</f>
        <v/>
      </c>
      <c r="M961" s="71" t="str">
        <f>IF($B961="","",J961/PV)</f>
        <v/>
      </c>
      <c r="N961" s="72" t="str">
        <f t="shared" si="4"/>
        <v/>
      </c>
    </row>
    <row r="962" ht="14.25" customHeight="1">
      <c r="B962" s="66" t="str">
        <f>IF(ROWS($1:950)&lt;=Nper,ROWS($1:950),"")</f>
        <v/>
      </c>
      <c r="C962" s="67" t="str">
        <f>IF($B962="","",IF($E$7="Weekly",Start_Date+7*(ROWS($1:950)-1),EDATE(Start_Date,VLOOKUP(IF(ASTemp!$E$7="","Monthly",ASTemp!$E$7),Parameters!$B$3:$D$6,3,0)*(ROWS($1:950)-1))))</f>
        <v/>
      </c>
      <c r="D962" s="68" t="str">
        <f t="shared" si="2"/>
        <v/>
      </c>
      <c r="E962" s="65" t="str">
        <f>IF($B962="","",VLOOKUP(MONTH(C962),Parameters!$F$2:$G$13,2,0))</f>
        <v/>
      </c>
      <c r="F962" s="69" t="str">
        <f>IF($B962="","",PV-N(J961))</f>
        <v/>
      </c>
      <c r="G962" s="69" t="str">
        <f>IF($B962="","",PMT(Rate,Nper,-PV,,Type))</f>
        <v/>
      </c>
      <c r="H962" s="69" t="str">
        <f>IF($B962="","",PPMT(Rate,ROWS($1:950),Nper,-PV,,Type))</f>
        <v/>
      </c>
      <c r="I962" s="69" t="str">
        <f>IF($B962="","",IPMT(Rate,ROWS($1:950),Nper,-PV,,Type))</f>
        <v/>
      </c>
      <c r="J962" s="73" t="str">
        <f t="shared" ref="J962:K962" si="952">IF($B962="","",N(J961)+N(H962))</f>
        <v/>
      </c>
      <c r="K962" s="74" t="str">
        <f t="shared" si="952"/>
        <v/>
      </c>
      <c r="L962" s="69" t="str">
        <f>IF($B962="","",PV-J962)</f>
        <v/>
      </c>
      <c r="M962" s="71" t="str">
        <f>IF($B962="","",J962/PV)</f>
        <v/>
      </c>
      <c r="N962" s="72" t="str">
        <f t="shared" si="4"/>
        <v/>
      </c>
    </row>
    <row r="963" ht="14.25" customHeight="1">
      <c r="B963" s="66" t="str">
        <f>IF(ROWS($1:951)&lt;=Nper,ROWS($1:951),"")</f>
        <v/>
      </c>
      <c r="C963" s="67" t="str">
        <f>IF($B963="","",IF($E$7="Weekly",Start_Date+7*(ROWS($1:951)-1),EDATE(Start_Date,VLOOKUP(IF(ASTemp!$E$7="","Monthly",ASTemp!$E$7),Parameters!$B$3:$D$6,3,0)*(ROWS($1:951)-1))))</f>
        <v/>
      </c>
      <c r="D963" s="68" t="str">
        <f t="shared" si="2"/>
        <v/>
      </c>
      <c r="E963" s="65" t="str">
        <f>IF($B963="","",VLOOKUP(MONTH(C963),Parameters!$F$2:$G$13,2,0))</f>
        <v/>
      </c>
      <c r="F963" s="69" t="str">
        <f>IF($B963="","",PV-N(J962))</f>
        <v/>
      </c>
      <c r="G963" s="69" t="str">
        <f>IF($B963="","",PMT(Rate,Nper,-PV,,Type))</f>
        <v/>
      </c>
      <c r="H963" s="69" t="str">
        <f>IF($B963="","",PPMT(Rate,ROWS($1:951),Nper,-PV,,Type))</f>
        <v/>
      </c>
      <c r="I963" s="69" t="str">
        <f>IF($B963="","",IPMT(Rate,ROWS($1:951),Nper,-PV,,Type))</f>
        <v/>
      </c>
      <c r="J963" s="73" t="str">
        <f t="shared" ref="J963:K963" si="953">IF($B963="","",N(J962)+N(H963))</f>
        <v/>
      </c>
      <c r="K963" s="74" t="str">
        <f t="shared" si="953"/>
        <v/>
      </c>
      <c r="L963" s="69" t="str">
        <f>IF($B963="","",PV-J963)</f>
        <v/>
      </c>
      <c r="M963" s="71" t="str">
        <f>IF($B963="","",J963/PV)</f>
        <v/>
      </c>
      <c r="N963" s="72" t="str">
        <f t="shared" si="4"/>
        <v/>
      </c>
    </row>
    <row r="964" ht="14.25" customHeight="1">
      <c r="B964" s="66" t="str">
        <f>IF(ROWS($1:952)&lt;=Nper,ROWS($1:952),"")</f>
        <v/>
      </c>
      <c r="C964" s="67" t="str">
        <f>IF($B964="","",IF($E$7="Weekly",Start_Date+7*(ROWS($1:952)-1),EDATE(Start_Date,VLOOKUP(IF(ASTemp!$E$7="","Monthly",ASTemp!$E$7),Parameters!$B$3:$D$6,3,0)*(ROWS($1:952)-1))))</f>
        <v/>
      </c>
      <c r="D964" s="68" t="str">
        <f t="shared" si="2"/>
        <v/>
      </c>
      <c r="E964" s="65" t="str">
        <f>IF($B964="","",VLOOKUP(MONTH(C964),Parameters!$F$2:$G$13,2,0))</f>
        <v/>
      </c>
      <c r="F964" s="69" t="str">
        <f>IF($B964="","",PV-N(J963))</f>
        <v/>
      </c>
      <c r="G964" s="69" t="str">
        <f>IF($B964="","",PMT(Rate,Nper,-PV,,Type))</f>
        <v/>
      </c>
      <c r="H964" s="69" t="str">
        <f>IF($B964="","",PPMT(Rate,ROWS($1:952),Nper,-PV,,Type))</f>
        <v/>
      </c>
      <c r="I964" s="69" t="str">
        <f>IF($B964="","",IPMT(Rate,ROWS($1:952),Nper,-PV,,Type))</f>
        <v/>
      </c>
      <c r="J964" s="73" t="str">
        <f t="shared" ref="J964:K964" si="954">IF($B964="","",N(J963)+N(H964))</f>
        <v/>
      </c>
      <c r="K964" s="74" t="str">
        <f t="shared" si="954"/>
        <v/>
      </c>
      <c r="L964" s="69" t="str">
        <f>IF($B964="","",PV-J964)</f>
        <v/>
      </c>
      <c r="M964" s="71" t="str">
        <f>IF($B964="","",J964/PV)</f>
        <v/>
      </c>
      <c r="N964" s="72" t="str">
        <f t="shared" si="4"/>
        <v/>
      </c>
    </row>
    <row r="965" ht="14.25" customHeight="1">
      <c r="B965" s="66" t="str">
        <f>IF(ROWS($1:953)&lt;=Nper,ROWS($1:953),"")</f>
        <v/>
      </c>
      <c r="C965" s="67" t="str">
        <f>IF($B965="","",IF($E$7="Weekly",Start_Date+7*(ROWS($1:953)-1),EDATE(Start_Date,VLOOKUP(IF(ASTemp!$E$7="","Monthly",ASTemp!$E$7),Parameters!$B$3:$D$6,3,0)*(ROWS($1:953)-1))))</f>
        <v/>
      </c>
      <c r="D965" s="68" t="str">
        <f t="shared" si="2"/>
        <v/>
      </c>
      <c r="E965" s="65" t="str">
        <f>IF($B965="","",VLOOKUP(MONTH(C965),Parameters!$F$2:$G$13,2,0))</f>
        <v/>
      </c>
      <c r="F965" s="69" t="str">
        <f>IF($B965="","",PV-N(J964))</f>
        <v/>
      </c>
      <c r="G965" s="69" t="str">
        <f>IF($B965="","",PMT(Rate,Nper,-PV,,Type))</f>
        <v/>
      </c>
      <c r="H965" s="69" t="str">
        <f>IF($B965="","",PPMT(Rate,ROWS($1:953),Nper,-PV,,Type))</f>
        <v/>
      </c>
      <c r="I965" s="69" t="str">
        <f>IF($B965="","",IPMT(Rate,ROWS($1:953),Nper,-PV,,Type))</f>
        <v/>
      </c>
      <c r="J965" s="73" t="str">
        <f t="shared" ref="J965:K965" si="955">IF($B965="","",N(J964)+N(H965))</f>
        <v/>
      </c>
      <c r="K965" s="74" t="str">
        <f t="shared" si="955"/>
        <v/>
      </c>
      <c r="L965" s="69" t="str">
        <f>IF($B965="","",PV-J965)</f>
        <v/>
      </c>
      <c r="M965" s="71" t="str">
        <f>IF($B965="","",J965/PV)</f>
        <v/>
      </c>
      <c r="N965" s="72" t="str">
        <f t="shared" si="4"/>
        <v/>
      </c>
    </row>
    <row r="966" ht="14.25" customHeight="1">
      <c r="B966" s="66" t="str">
        <f>IF(ROWS($1:954)&lt;=Nper,ROWS($1:954),"")</f>
        <v/>
      </c>
      <c r="C966" s="67" t="str">
        <f>IF($B966="","",IF($E$7="Weekly",Start_Date+7*(ROWS($1:954)-1),EDATE(Start_Date,VLOOKUP(IF(ASTemp!$E$7="","Monthly",ASTemp!$E$7),Parameters!$B$3:$D$6,3,0)*(ROWS($1:954)-1))))</f>
        <v/>
      </c>
      <c r="D966" s="68" t="str">
        <f t="shared" si="2"/>
        <v/>
      </c>
      <c r="E966" s="65" t="str">
        <f>IF($B966="","",VLOOKUP(MONTH(C966),Parameters!$F$2:$G$13,2,0))</f>
        <v/>
      </c>
      <c r="F966" s="69" t="str">
        <f>IF($B966="","",PV-N(J965))</f>
        <v/>
      </c>
      <c r="G966" s="69" t="str">
        <f>IF($B966="","",PMT(Rate,Nper,-PV,,Type))</f>
        <v/>
      </c>
      <c r="H966" s="69" t="str">
        <f>IF($B966="","",PPMT(Rate,ROWS($1:954),Nper,-PV,,Type))</f>
        <v/>
      </c>
      <c r="I966" s="69" t="str">
        <f>IF($B966="","",IPMT(Rate,ROWS($1:954),Nper,-PV,,Type))</f>
        <v/>
      </c>
      <c r="J966" s="73" t="str">
        <f t="shared" ref="J966:K966" si="956">IF($B966="","",N(J965)+N(H966))</f>
        <v/>
      </c>
      <c r="K966" s="74" t="str">
        <f t="shared" si="956"/>
        <v/>
      </c>
      <c r="L966" s="69" t="str">
        <f>IF($B966="","",PV-J966)</f>
        <v/>
      </c>
      <c r="M966" s="71" t="str">
        <f>IF($B966="","",J966/PV)</f>
        <v/>
      </c>
      <c r="N966" s="72" t="str">
        <f t="shared" si="4"/>
        <v/>
      </c>
    </row>
    <row r="967" ht="14.25" customHeight="1">
      <c r="B967" s="66" t="str">
        <f>IF(ROWS($1:955)&lt;=Nper,ROWS($1:955),"")</f>
        <v/>
      </c>
      <c r="C967" s="67" t="str">
        <f>IF($B967="","",IF($E$7="Weekly",Start_Date+7*(ROWS($1:955)-1),EDATE(Start_Date,VLOOKUP(IF(ASTemp!$E$7="","Monthly",ASTemp!$E$7),Parameters!$B$3:$D$6,3,0)*(ROWS($1:955)-1))))</f>
        <v/>
      </c>
      <c r="D967" s="68" t="str">
        <f t="shared" si="2"/>
        <v/>
      </c>
      <c r="E967" s="65" t="str">
        <f>IF($B967="","",VLOOKUP(MONTH(C967),Parameters!$F$2:$G$13,2,0))</f>
        <v/>
      </c>
      <c r="F967" s="69" t="str">
        <f>IF($B967="","",PV-N(J966))</f>
        <v/>
      </c>
      <c r="G967" s="69" t="str">
        <f>IF($B967="","",PMT(Rate,Nper,-PV,,Type))</f>
        <v/>
      </c>
      <c r="H967" s="69" t="str">
        <f>IF($B967="","",PPMT(Rate,ROWS($1:955),Nper,-PV,,Type))</f>
        <v/>
      </c>
      <c r="I967" s="69" t="str">
        <f>IF($B967="","",IPMT(Rate,ROWS($1:955),Nper,-PV,,Type))</f>
        <v/>
      </c>
      <c r="J967" s="73" t="str">
        <f t="shared" ref="J967:K967" si="957">IF($B967="","",N(J966)+N(H967))</f>
        <v/>
      </c>
      <c r="K967" s="74" t="str">
        <f t="shared" si="957"/>
        <v/>
      </c>
      <c r="L967" s="69" t="str">
        <f>IF($B967="","",PV-J967)</f>
        <v/>
      </c>
      <c r="M967" s="71" t="str">
        <f>IF($B967="","",J967/PV)</f>
        <v/>
      </c>
      <c r="N967" s="72" t="str">
        <f t="shared" si="4"/>
        <v/>
      </c>
    </row>
    <row r="968" ht="14.25" customHeight="1">
      <c r="B968" s="66" t="str">
        <f>IF(ROWS($1:956)&lt;=Nper,ROWS($1:956),"")</f>
        <v/>
      </c>
      <c r="C968" s="67" t="str">
        <f>IF($B968="","",IF($E$7="Weekly",Start_Date+7*(ROWS($1:956)-1),EDATE(Start_Date,VLOOKUP(IF(ASTemp!$E$7="","Monthly",ASTemp!$E$7),Parameters!$B$3:$D$6,3,0)*(ROWS($1:956)-1))))</f>
        <v/>
      </c>
      <c r="D968" s="68" t="str">
        <f t="shared" si="2"/>
        <v/>
      </c>
      <c r="E968" s="65" t="str">
        <f>IF($B968="","",VLOOKUP(MONTH(C968),Parameters!$F$2:$G$13,2,0))</f>
        <v/>
      </c>
      <c r="F968" s="69" t="str">
        <f>IF($B968="","",PV-N(J967))</f>
        <v/>
      </c>
      <c r="G968" s="69" t="str">
        <f>IF($B968="","",PMT(Rate,Nper,-PV,,Type))</f>
        <v/>
      </c>
      <c r="H968" s="69" t="str">
        <f>IF($B968="","",PPMT(Rate,ROWS($1:956),Nper,-PV,,Type))</f>
        <v/>
      </c>
      <c r="I968" s="69" t="str">
        <f>IF($B968="","",IPMT(Rate,ROWS($1:956),Nper,-PV,,Type))</f>
        <v/>
      </c>
      <c r="J968" s="73" t="str">
        <f t="shared" ref="J968:K968" si="958">IF($B968="","",N(J967)+N(H968))</f>
        <v/>
      </c>
      <c r="K968" s="74" t="str">
        <f t="shared" si="958"/>
        <v/>
      </c>
      <c r="L968" s="69" t="str">
        <f>IF($B968="","",PV-J968)</f>
        <v/>
      </c>
      <c r="M968" s="71" t="str">
        <f>IF($B968="","",J968/PV)</f>
        <v/>
      </c>
      <c r="N968" s="72" t="str">
        <f t="shared" si="4"/>
        <v/>
      </c>
    </row>
    <row r="969" ht="14.25" customHeight="1">
      <c r="B969" s="66" t="str">
        <f>IF(ROWS($1:957)&lt;=Nper,ROWS($1:957),"")</f>
        <v/>
      </c>
      <c r="C969" s="67" t="str">
        <f>IF($B969="","",IF($E$7="Weekly",Start_Date+7*(ROWS($1:957)-1),EDATE(Start_Date,VLOOKUP(IF(ASTemp!$E$7="","Monthly",ASTemp!$E$7),Parameters!$B$3:$D$6,3,0)*(ROWS($1:957)-1))))</f>
        <v/>
      </c>
      <c r="D969" s="68" t="str">
        <f t="shared" si="2"/>
        <v/>
      </c>
      <c r="E969" s="65" t="str">
        <f>IF($B969="","",VLOOKUP(MONTH(C969),Parameters!$F$2:$G$13,2,0))</f>
        <v/>
      </c>
      <c r="F969" s="69" t="str">
        <f>IF($B969="","",PV-N(J968))</f>
        <v/>
      </c>
      <c r="G969" s="69" t="str">
        <f>IF($B969="","",PMT(Rate,Nper,-PV,,Type))</f>
        <v/>
      </c>
      <c r="H969" s="69" t="str">
        <f>IF($B969="","",PPMT(Rate,ROWS($1:957),Nper,-PV,,Type))</f>
        <v/>
      </c>
      <c r="I969" s="69" t="str">
        <f>IF($B969="","",IPMT(Rate,ROWS($1:957),Nper,-PV,,Type))</f>
        <v/>
      </c>
      <c r="J969" s="73" t="str">
        <f t="shared" ref="J969:K969" si="959">IF($B969="","",N(J968)+N(H969))</f>
        <v/>
      </c>
      <c r="K969" s="74" t="str">
        <f t="shared" si="959"/>
        <v/>
      </c>
      <c r="L969" s="69" t="str">
        <f>IF($B969="","",PV-J969)</f>
        <v/>
      </c>
      <c r="M969" s="71" t="str">
        <f>IF($B969="","",J969/PV)</f>
        <v/>
      </c>
      <c r="N969" s="72" t="str">
        <f t="shared" si="4"/>
        <v/>
      </c>
    </row>
    <row r="970" ht="14.25" customHeight="1">
      <c r="B970" s="66" t="str">
        <f>IF(ROWS($1:958)&lt;=Nper,ROWS($1:958),"")</f>
        <v/>
      </c>
      <c r="C970" s="67" t="str">
        <f>IF($B970="","",IF($E$7="Weekly",Start_Date+7*(ROWS($1:958)-1),EDATE(Start_Date,VLOOKUP(IF(ASTemp!$E$7="","Monthly",ASTemp!$E$7),Parameters!$B$3:$D$6,3,0)*(ROWS($1:958)-1))))</f>
        <v/>
      </c>
      <c r="D970" s="68" t="str">
        <f t="shared" si="2"/>
        <v/>
      </c>
      <c r="E970" s="65" t="str">
        <f>IF($B970="","",VLOOKUP(MONTH(C970),Parameters!$F$2:$G$13,2,0))</f>
        <v/>
      </c>
      <c r="F970" s="69" t="str">
        <f>IF($B970="","",PV-N(J969))</f>
        <v/>
      </c>
      <c r="G970" s="69" t="str">
        <f>IF($B970="","",PMT(Rate,Nper,-PV,,Type))</f>
        <v/>
      </c>
      <c r="H970" s="69" t="str">
        <f>IF($B970="","",PPMT(Rate,ROWS($1:958),Nper,-PV,,Type))</f>
        <v/>
      </c>
      <c r="I970" s="69" t="str">
        <f>IF($B970="","",IPMT(Rate,ROWS($1:958),Nper,-PV,,Type))</f>
        <v/>
      </c>
      <c r="J970" s="73" t="str">
        <f t="shared" ref="J970:K970" si="960">IF($B970="","",N(J969)+N(H970))</f>
        <v/>
      </c>
      <c r="K970" s="74" t="str">
        <f t="shared" si="960"/>
        <v/>
      </c>
      <c r="L970" s="69" t="str">
        <f>IF($B970="","",PV-J970)</f>
        <v/>
      </c>
      <c r="M970" s="71" t="str">
        <f>IF($B970="","",J970/PV)</f>
        <v/>
      </c>
      <c r="N970" s="72" t="str">
        <f t="shared" si="4"/>
        <v/>
      </c>
    </row>
    <row r="971" ht="14.25" customHeight="1">
      <c r="B971" s="66" t="str">
        <f>IF(ROWS($1:959)&lt;=Nper,ROWS($1:959),"")</f>
        <v/>
      </c>
      <c r="C971" s="67" t="str">
        <f>IF($B971="","",IF($E$7="Weekly",Start_Date+7*(ROWS($1:959)-1),EDATE(Start_Date,VLOOKUP(IF(ASTemp!$E$7="","Monthly",ASTemp!$E$7),Parameters!$B$3:$D$6,3,0)*(ROWS($1:959)-1))))</f>
        <v/>
      </c>
      <c r="D971" s="68" t="str">
        <f t="shared" si="2"/>
        <v/>
      </c>
      <c r="E971" s="65" t="str">
        <f>IF($B971="","",VLOOKUP(MONTH(C971),Parameters!$F$2:$G$13,2,0))</f>
        <v/>
      </c>
      <c r="F971" s="69" t="str">
        <f>IF($B971="","",PV-N(J970))</f>
        <v/>
      </c>
      <c r="G971" s="69" t="str">
        <f>IF($B971="","",PMT(Rate,Nper,-PV,,Type))</f>
        <v/>
      </c>
      <c r="H971" s="69" t="str">
        <f>IF($B971="","",PPMT(Rate,ROWS($1:959),Nper,-PV,,Type))</f>
        <v/>
      </c>
      <c r="I971" s="69" t="str">
        <f>IF($B971="","",IPMT(Rate,ROWS($1:959),Nper,-PV,,Type))</f>
        <v/>
      </c>
      <c r="J971" s="73" t="str">
        <f t="shared" ref="J971:K971" si="961">IF($B971="","",N(J970)+N(H971))</f>
        <v/>
      </c>
      <c r="K971" s="74" t="str">
        <f t="shared" si="961"/>
        <v/>
      </c>
      <c r="L971" s="69" t="str">
        <f>IF($B971="","",PV-J971)</f>
        <v/>
      </c>
      <c r="M971" s="71" t="str">
        <f>IF($B971="","",J971/PV)</f>
        <v/>
      </c>
      <c r="N971" s="72" t="str">
        <f t="shared" si="4"/>
        <v/>
      </c>
    </row>
    <row r="972" ht="14.25" customHeight="1">
      <c r="B972" s="66" t="str">
        <f>IF(ROWS($1:960)&lt;=Nper,ROWS($1:960),"")</f>
        <v/>
      </c>
      <c r="C972" s="67" t="str">
        <f>IF($B972="","",IF($E$7="Weekly",Start_Date+7*(ROWS($1:960)-1),EDATE(Start_Date,VLOOKUP(IF(ASTemp!$E$7="","Monthly",ASTemp!$E$7),Parameters!$B$3:$D$6,3,0)*(ROWS($1:960)-1))))</f>
        <v/>
      </c>
      <c r="D972" s="68" t="str">
        <f t="shared" si="2"/>
        <v/>
      </c>
      <c r="E972" s="65" t="str">
        <f>IF($B972="","",VLOOKUP(MONTH(C972),Parameters!$F$2:$G$13,2,0))</f>
        <v/>
      </c>
      <c r="F972" s="69" t="str">
        <f>IF($B972="","",PV-N(J971))</f>
        <v/>
      </c>
      <c r="G972" s="69" t="str">
        <f>IF($B972="","",PMT(Rate,Nper,-PV,,Type))</f>
        <v/>
      </c>
      <c r="H972" s="69" t="str">
        <f>IF($B972="","",PPMT(Rate,ROWS($1:960),Nper,-PV,,Type))</f>
        <v/>
      </c>
      <c r="I972" s="69" t="str">
        <f>IF($B972="","",IPMT(Rate,ROWS($1:960),Nper,-PV,,Type))</f>
        <v/>
      </c>
      <c r="J972" s="73" t="str">
        <f t="shared" ref="J972:K972" si="962">IF($B972="","",N(J971)+N(H972))</f>
        <v/>
      </c>
      <c r="K972" s="74" t="str">
        <f t="shared" si="962"/>
        <v/>
      </c>
      <c r="L972" s="69" t="str">
        <f>IF($B972="","",PV-J972)</f>
        <v/>
      </c>
      <c r="M972" s="71" t="str">
        <f>IF($B972="","",J972/PV)</f>
        <v/>
      </c>
      <c r="N972" s="72" t="str">
        <f t="shared" si="4"/>
        <v/>
      </c>
    </row>
    <row r="973" ht="14.25" customHeight="1">
      <c r="B973" s="66" t="str">
        <f>IF(ROWS($1:961)&lt;=Nper,ROWS($1:961),"")</f>
        <v/>
      </c>
      <c r="C973" s="67" t="str">
        <f>IF($B973="","",IF($E$7="Weekly",Start_Date+7*(ROWS($1:961)-1),EDATE(Start_Date,VLOOKUP(IF(ASTemp!$E$7="","Monthly",ASTemp!$E$7),Parameters!$B$3:$D$6,3,0)*(ROWS($1:961)-1))))</f>
        <v/>
      </c>
      <c r="D973" s="68" t="str">
        <f t="shared" si="2"/>
        <v/>
      </c>
      <c r="E973" s="65" t="str">
        <f>IF($B973="","",VLOOKUP(MONTH(C973),Parameters!$F$2:$G$13,2,0))</f>
        <v/>
      </c>
      <c r="F973" s="69" t="str">
        <f>IF($B973="","",PV-N(J972))</f>
        <v/>
      </c>
      <c r="G973" s="69" t="str">
        <f>IF($B973="","",PMT(Rate,Nper,-PV,,Type))</f>
        <v/>
      </c>
      <c r="H973" s="69" t="str">
        <f>IF($B973="","",PPMT(Rate,ROWS($1:961),Nper,-PV,,Type))</f>
        <v/>
      </c>
      <c r="I973" s="69" t="str">
        <f>IF($B973="","",IPMT(Rate,ROWS($1:961),Nper,-PV,,Type))</f>
        <v/>
      </c>
      <c r="J973" s="73" t="str">
        <f t="shared" ref="J973:K973" si="963">IF($B973="","",N(J972)+N(H973))</f>
        <v/>
      </c>
      <c r="K973" s="74" t="str">
        <f t="shared" si="963"/>
        <v/>
      </c>
      <c r="L973" s="69" t="str">
        <f>IF($B973="","",PV-J973)</f>
        <v/>
      </c>
      <c r="M973" s="71" t="str">
        <f>IF($B973="","",J973/PV)</f>
        <v/>
      </c>
      <c r="N973" s="72" t="str">
        <f t="shared" si="4"/>
        <v/>
      </c>
    </row>
    <row r="974" ht="14.25" customHeight="1">
      <c r="B974" s="66" t="str">
        <f>IF(ROWS($1:962)&lt;=Nper,ROWS($1:962),"")</f>
        <v/>
      </c>
      <c r="C974" s="67" t="str">
        <f>IF($B974="","",IF($E$7="Weekly",Start_Date+7*(ROWS($1:962)-1),EDATE(Start_Date,VLOOKUP(IF(ASTemp!$E$7="","Monthly",ASTemp!$E$7),Parameters!$B$3:$D$6,3,0)*(ROWS($1:962)-1))))</f>
        <v/>
      </c>
      <c r="D974" s="68" t="str">
        <f t="shared" si="2"/>
        <v/>
      </c>
      <c r="E974" s="65" t="str">
        <f>IF($B974="","",VLOOKUP(MONTH(C974),Parameters!$F$2:$G$13,2,0))</f>
        <v/>
      </c>
      <c r="F974" s="69" t="str">
        <f>IF($B974="","",PV-N(J973))</f>
        <v/>
      </c>
      <c r="G974" s="69" t="str">
        <f>IF($B974="","",PMT(Rate,Nper,-PV,,Type))</f>
        <v/>
      </c>
      <c r="H974" s="69" t="str">
        <f>IF($B974="","",PPMT(Rate,ROWS($1:962),Nper,-PV,,Type))</f>
        <v/>
      </c>
      <c r="I974" s="69" t="str">
        <f>IF($B974="","",IPMT(Rate,ROWS($1:962),Nper,-PV,,Type))</f>
        <v/>
      </c>
      <c r="J974" s="73" t="str">
        <f t="shared" ref="J974:K974" si="964">IF($B974="","",N(J973)+N(H974))</f>
        <v/>
      </c>
      <c r="K974" s="74" t="str">
        <f t="shared" si="964"/>
        <v/>
      </c>
      <c r="L974" s="69" t="str">
        <f>IF($B974="","",PV-J974)</f>
        <v/>
      </c>
      <c r="M974" s="71" t="str">
        <f>IF($B974="","",J974/PV)</f>
        <v/>
      </c>
      <c r="N974" s="72" t="str">
        <f t="shared" si="4"/>
        <v/>
      </c>
    </row>
    <row r="975" ht="14.25" customHeight="1">
      <c r="B975" s="66" t="str">
        <f>IF(ROWS($1:963)&lt;=Nper,ROWS($1:963),"")</f>
        <v/>
      </c>
      <c r="C975" s="67" t="str">
        <f>IF($B975="","",IF($E$7="Weekly",Start_Date+7*(ROWS($1:963)-1),EDATE(Start_Date,VLOOKUP(IF(ASTemp!$E$7="","Monthly",ASTemp!$E$7),Parameters!$B$3:$D$6,3,0)*(ROWS($1:963)-1))))</f>
        <v/>
      </c>
      <c r="D975" s="68" t="str">
        <f t="shared" si="2"/>
        <v/>
      </c>
      <c r="E975" s="65" t="str">
        <f>IF($B975="","",VLOOKUP(MONTH(C975),Parameters!$F$2:$G$13,2,0))</f>
        <v/>
      </c>
      <c r="F975" s="69" t="str">
        <f>IF($B975="","",PV-N(J974))</f>
        <v/>
      </c>
      <c r="G975" s="69" t="str">
        <f>IF($B975="","",PMT(Rate,Nper,-PV,,Type))</f>
        <v/>
      </c>
      <c r="H975" s="69" t="str">
        <f>IF($B975="","",PPMT(Rate,ROWS($1:963),Nper,-PV,,Type))</f>
        <v/>
      </c>
      <c r="I975" s="69" t="str">
        <f>IF($B975="","",IPMT(Rate,ROWS($1:963),Nper,-PV,,Type))</f>
        <v/>
      </c>
      <c r="J975" s="73" t="str">
        <f t="shared" ref="J975:K975" si="965">IF($B975="","",N(J974)+N(H975))</f>
        <v/>
      </c>
      <c r="K975" s="74" t="str">
        <f t="shared" si="965"/>
        <v/>
      </c>
      <c r="L975" s="69" t="str">
        <f>IF($B975="","",PV-J975)</f>
        <v/>
      </c>
      <c r="M975" s="71" t="str">
        <f>IF($B975="","",J975/PV)</f>
        <v/>
      </c>
      <c r="N975" s="72" t="str">
        <f t="shared" si="4"/>
        <v/>
      </c>
    </row>
    <row r="976" ht="14.25" customHeight="1">
      <c r="B976" s="66" t="str">
        <f>IF(ROWS($1:964)&lt;=Nper,ROWS($1:964),"")</f>
        <v/>
      </c>
      <c r="C976" s="67" t="str">
        <f>IF($B976="","",IF($E$7="Weekly",Start_Date+7*(ROWS($1:964)-1),EDATE(Start_Date,VLOOKUP(IF(ASTemp!$E$7="","Monthly",ASTemp!$E$7),Parameters!$B$3:$D$6,3,0)*(ROWS($1:964)-1))))</f>
        <v/>
      </c>
      <c r="D976" s="68" t="str">
        <f t="shared" si="2"/>
        <v/>
      </c>
      <c r="E976" s="65" t="str">
        <f>IF($B976="","",VLOOKUP(MONTH(C976),Parameters!$F$2:$G$13,2,0))</f>
        <v/>
      </c>
      <c r="F976" s="69" t="str">
        <f>IF($B976="","",PV-N(J975))</f>
        <v/>
      </c>
      <c r="G976" s="69" t="str">
        <f>IF($B976="","",PMT(Rate,Nper,-PV,,Type))</f>
        <v/>
      </c>
      <c r="H976" s="69" t="str">
        <f>IF($B976="","",PPMT(Rate,ROWS($1:964),Nper,-PV,,Type))</f>
        <v/>
      </c>
      <c r="I976" s="69" t="str">
        <f>IF($B976="","",IPMT(Rate,ROWS($1:964),Nper,-PV,,Type))</f>
        <v/>
      </c>
      <c r="J976" s="73" t="str">
        <f t="shared" ref="J976:K976" si="966">IF($B976="","",N(J975)+N(H976))</f>
        <v/>
      </c>
      <c r="K976" s="74" t="str">
        <f t="shared" si="966"/>
        <v/>
      </c>
      <c r="L976" s="69" t="str">
        <f>IF($B976="","",PV-J976)</f>
        <v/>
      </c>
      <c r="M976" s="71" t="str">
        <f>IF($B976="","",J976/PV)</f>
        <v/>
      </c>
      <c r="N976" s="72" t="str">
        <f t="shared" si="4"/>
        <v/>
      </c>
    </row>
    <row r="977" ht="14.25" customHeight="1">
      <c r="B977" s="66" t="str">
        <f>IF(ROWS($1:965)&lt;=Nper,ROWS($1:965),"")</f>
        <v/>
      </c>
      <c r="C977" s="67" t="str">
        <f>IF($B977="","",IF($E$7="Weekly",Start_Date+7*(ROWS($1:965)-1),EDATE(Start_Date,VLOOKUP(IF(ASTemp!$E$7="","Monthly",ASTemp!$E$7),Parameters!$B$3:$D$6,3,0)*(ROWS($1:965)-1))))</f>
        <v/>
      </c>
      <c r="D977" s="68" t="str">
        <f t="shared" si="2"/>
        <v/>
      </c>
      <c r="E977" s="65" t="str">
        <f>IF($B977="","",VLOOKUP(MONTH(C977),Parameters!$F$2:$G$13,2,0))</f>
        <v/>
      </c>
      <c r="F977" s="69" t="str">
        <f>IF($B977="","",PV-N(J976))</f>
        <v/>
      </c>
      <c r="G977" s="69" t="str">
        <f>IF($B977="","",PMT(Rate,Nper,-PV,,Type))</f>
        <v/>
      </c>
      <c r="H977" s="69" t="str">
        <f>IF($B977="","",PPMT(Rate,ROWS($1:965),Nper,-PV,,Type))</f>
        <v/>
      </c>
      <c r="I977" s="69" t="str">
        <f>IF($B977="","",IPMT(Rate,ROWS($1:965),Nper,-PV,,Type))</f>
        <v/>
      </c>
      <c r="J977" s="73" t="str">
        <f t="shared" ref="J977:K977" si="967">IF($B977="","",N(J976)+N(H977))</f>
        <v/>
      </c>
      <c r="K977" s="74" t="str">
        <f t="shared" si="967"/>
        <v/>
      </c>
      <c r="L977" s="69" t="str">
        <f>IF($B977="","",PV-J977)</f>
        <v/>
      </c>
      <c r="M977" s="71" t="str">
        <f>IF($B977="","",J977/PV)</f>
        <v/>
      </c>
      <c r="N977" s="72" t="str">
        <f t="shared" si="4"/>
        <v/>
      </c>
    </row>
    <row r="978" ht="14.25" customHeight="1">
      <c r="B978" s="66" t="str">
        <f>IF(ROWS($1:966)&lt;=Nper,ROWS($1:966),"")</f>
        <v/>
      </c>
      <c r="C978" s="67" t="str">
        <f>IF($B978="","",IF($E$7="Weekly",Start_Date+7*(ROWS($1:966)-1),EDATE(Start_Date,VLOOKUP(IF(ASTemp!$E$7="","Monthly",ASTemp!$E$7),Parameters!$B$3:$D$6,3,0)*(ROWS($1:966)-1))))</f>
        <v/>
      </c>
      <c r="D978" s="68" t="str">
        <f t="shared" si="2"/>
        <v/>
      </c>
      <c r="E978" s="65" t="str">
        <f>IF($B978="","",VLOOKUP(MONTH(C978),Parameters!$F$2:$G$13,2,0))</f>
        <v/>
      </c>
      <c r="F978" s="69" t="str">
        <f>IF($B978="","",PV-N(J977))</f>
        <v/>
      </c>
      <c r="G978" s="69" t="str">
        <f>IF($B978="","",PMT(Rate,Nper,-PV,,Type))</f>
        <v/>
      </c>
      <c r="H978" s="69" t="str">
        <f>IF($B978="","",PPMT(Rate,ROWS($1:966),Nper,-PV,,Type))</f>
        <v/>
      </c>
      <c r="I978" s="69" t="str">
        <f>IF($B978="","",IPMT(Rate,ROWS($1:966),Nper,-PV,,Type))</f>
        <v/>
      </c>
      <c r="J978" s="73" t="str">
        <f t="shared" ref="J978:K978" si="968">IF($B978="","",N(J977)+N(H978))</f>
        <v/>
      </c>
      <c r="K978" s="74" t="str">
        <f t="shared" si="968"/>
        <v/>
      </c>
      <c r="L978" s="69" t="str">
        <f>IF($B978="","",PV-J978)</f>
        <v/>
      </c>
      <c r="M978" s="71" t="str">
        <f>IF($B978="","",J978/PV)</f>
        <v/>
      </c>
      <c r="N978" s="72" t="str">
        <f t="shared" si="4"/>
        <v/>
      </c>
    </row>
    <row r="979" ht="14.25" customHeight="1">
      <c r="B979" s="66" t="str">
        <f>IF(ROWS($1:967)&lt;=Nper,ROWS($1:967),"")</f>
        <v/>
      </c>
      <c r="C979" s="67" t="str">
        <f>IF($B979="","",IF($E$7="Weekly",Start_Date+7*(ROWS($1:967)-1),EDATE(Start_Date,VLOOKUP(IF(ASTemp!$E$7="","Monthly",ASTemp!$E$7),Parameters!$B$3:$D$6,3,0)*(ROWS($1:967)-1))))</f>
        <v/>
      </c>
      <c r="D979" s="68" t="str">
        <f t="shared" si="2"/>
        <v/>
      </c>
      <c r="E979" s="65" t="str">
        <f>IF($B979="","",VLOOKUP(MONTH(C979),Parameters!$F$2:$G$13,2,0))</f>
        <v/>
      </c>
      <c r="F979" s="69" t="str">
        <f>IF($B979="","",PV-N(J978))</f>
        <v/>
      </c>
      <c r="G979" s="69" t="str">
        <f>IF($B979="","",PMT(Rate,Nper,-PV,,Type))</f>
        <v/>
      </c>
      <c r="H979" s="69" t="str">
        <f>IF($B979="","",PPMT(Rate,ROWS($1:967),Nper,-PV,,Type))</f>
        <v/>
      </c>
      <c r="I979" s="69" t="str">
        <f>IF($B979="","",IPMT(Rate,ROWS($1:967),Nper,-PV,,Type))</f>
        <v/>
      </c>
      <c r="J979" s="73" t="str">
        <f t="shared" ref="J979:K979" si="969">IF($B979="","",N(J978)+N(H979))</f>
        <v/>
      </c>
      <c r="K979" s="74" t="str">
        <f t="shared" si="969"/>
        <v/>
      </c>
      <c r="L979" s="69" t="str">
        <f>IF($B979="","",PV-J979)</f>
        <v/>
      </c>
      <c r="M979" s="71" t="str">
        <f>IF($B979="","",J979/PV)</f>
        <v/>
      </c>
      <c r="N979" s="72" t="str">
        <f t="shared" si="4"/>
        <v/>
      </c>
    </row>
    <row r="980" ht="14.25" customHeight="1">
      <c r="B980" s="66" t="str">
        <f>IF(ROWS($1:968)&lt;=Nper,ROWS($1:968),"")</f>
        <v/>
      </c>
      <c r="C980" s="67" t="str">
        <f>IF($B980="","",IF($E$7="Weekly",Start_Date+7*(ROWS($1:968)-1),EDATE(Start_Date,VLOOKUP(IF(ASTemp!$E$7="","Monthly",ASTemp!$E$7),Parameters!$B$3:$D$6,3,0)*(ROWS($1:968)-1))))</f>
        <v/>
      </c>
      <c r="D980" s="68" t="str">
        <f t="shared" si="2"/>
        <v/>
      </c>
      <c r="E980" s="65" t="str">
        <f>IF($B980="","",VLOOKUP(MONTH(C980),Parameters!$F$2:$G$13,2,0))</f>
        <v/>
      </c>
      <c r="F980" s="69" t="str">
        <f>IF($B980="","",PV-N(J979))</f>
        <v/>
      </c>
      <c r="G980" s="69" t="str">
        <f>IF($B980="","",PMT(Rate,Nper,-PV,,Type))</f>
        <v/>
      </c>
      <c r="H980" s="69" t="str">
        <f>IF($B980="","",PPMT(Rate,ROWS($1:968),Nper,-PV,,Type))</f>
        <v/>
      </c>
      <c r="I980" s="69" t="str">
        <f>IF($B980="","",IPMT(Rate,ROWS($1:968),Nper,-PV,,Type))</f>
        <v/>
      </c>
      <c r="J980" s="73" t="str">
        <f t="shared" ref="J980:K980" si="970">IF($B980="","",N(J979)+N(H980))</f>
        <v/>
      </c>
      <c r="K980" s="74" t="str">
        <f t="shared" si="970"/>
        <v/>
      </c>
      <c r="L980" s="69" t="str">
        <f>IF($B980="","",PV-J980)</f>
        <v/>
      </c>
      <c r="M980" s="71" t="str">
        <f>IF($B980="","",J980/PV)</f>
        <v/>
      </c>
      <c r="N980" s="72" t="str">
        <f t="shared" si="4"/>
        <v/>
      </c>
    </row>
    <row r="981" ht="14.25" customHeight="1">
      <c r="B981" s="66" t="str">
        <f>IF(ROWS($1:969)&lt;=Nper,ROWS($1:969),"")</f>
        <v/>
      </c>
      <c r="C981" s="67" t="str">
        <f>IF($B981="","",IF($E$7="Weekly",Start_Date+7*(ROWS($1:969)-1),EDATE(Start_Date,VLOOKUP(IF(ASTemp!$E$7="","Monthly",ASTemp!$E$7),Parameters!$B$3:$D$6,3,0)*(ROWS($1:969)-1))))</f>
        <v/>
      </c>
      <c r="D981" s="68" t="str">
        <f t="shared" si="2"/>
        <v/>
      </c>
      <c r="E981" s="65" t="str">
        <f>IF($B981="","",VLOOKUP(MONTH(C981),Parameters!$F$2:$G$13,2,0))</f>
        <v/>
      </c>
      <c r="F981" s="69" t="str">
        <f>IF($B981="","",PV-N(J980))</f>
        <v/>
      </c>
      <c r="G981" s="69" t="str">
        <f>IF($B981="","",PMT(Rate,Nper,-PV,,Type))</f>
        <v/>
      </c>
      <c r="H981" s="69" t="str">
        <f>IF($B981="","",PPMT(Rate,ROWS($1:969),Nper,-PV,,Type))</f>
        <v/>
      </c>
      <c r="I981" s="69" t="str">
        <f>IF($B981="","",IPMT(Rate,ROWS($1:969),Nper,-PV,,Type))</f>
        <v/>
      </c>
      <c r="J981" s="73" t="str">
        <f t="shared" ref="J981:K981" si="971">IF($B981="","",N(J980)+N(H981))</f>
        <v/>
      </c>
      <c r="K981" s="74" t="str">
        <f t="shared" si="971"/>
        <v/>
      </c>
      <c r="L981" s="69" t="str">
        <f>IF($B981="","",PV-J981)</f>
        <v/>
      </c>
      <c r="M981" s="71" t="str">
        <f>IF($B981="","",J981/PV)</f>
        <v/>
      </c>
      <c r="N981" s="72" t="str">
        <f t="shared" si="4"/>
        <v/>
      </c>
    </row>
    <row r="982" ht="14.25" customHeight="1">
      <c r="B982" s="66" t="str">
        <f>IF(ROWS($1:970)&lt;=Nper,ROWS($1:970),"")</f>
        <v/>
      </c>
      <c r="C982" s="67" t="str">
        <f>IF($B982="","",IF($E$7="Weekly",Start_Date+7*(ROWS($1:970)-1),EDATE(Start_Date,VLOOKUP(IF(ASTemp!$E$7="","Monthly",ASTemp!$E$7),Parameters!$B$3:$D$6,3,0)*(ROWS($1:970)-1))))</f>
        <v/>
      </c>
      <c r="D982" s="68" t="str">
        <f t="shared" si="2"/>
        <v/>
      </c>
      <c r="E982" s="65" t="str">
        <f>IF($B982="","",VLOOKUP(MONTH(C982),Parameters!$F$2:$G$13,2,0))</f>
        <v/>
      </c>
      <c r="F982" s="69" t="str">
        <f>IF($B982="","",PV-N(J981))</f>
        <v/>
      </c>
      <c r="G982" s="69" t="str">
        <f>IF($B982="","",PMT(Rate,Nper,-PV,,Type))</f>
        <v/>
      </c>
      <c r="H982" s="69" t="str">
        <f>IF($B982="","",PPMT(Rate,ROWS($1:970),Nper,-PV,,Type))</f>
        <v/>
      </c>
      <c r="I982" s="69" t="str">
        <f>IF($B982="","",IPMT(Rate,ROWS($1:970),Nper,-PV,,Type))</f>
        <v/>
      </c>
      <c r="J982" s="73" t="str">
        <f t="shared" ref="J982:K982" si="972">IF($B982="","",N(J981)+N(H982))</f>
        <v/>
      </c>
      <c r="K982" s="74" t="str">
        <f t="shared" si="972"/>
        <v/>
      </c>
      <c r="L982" s="69" t="str">
        <f>IF($B982="","",PV-J982)</f>
        <v/>
      </c>
      <c r="M982" s="71" t="str">
        <f>IF($B982="","",J982/PV)</f>
        <v/>
      </c>
      <c r="N982" s="72" t="str">
        <f t="shared" si="4"/>
        <v/>
      </c>
    </row>
    <row r="983" ht="14.25" customHeight="1">
      <c r="B983" s="66" t="str">
        <f>IF(ROWS($1:971)&lt;=Nper,ROWS($1:971),"")</f>
        <v/>
      </c>
      <c r="C983" s="67" t="str">
        <f>IF($B983="","",IF($E$7="Weekly",Start_Date+7*(ROWS($1:971)-1),EDATE(Start_Date,VLOOKUP(IF(ASTemp!$E$7="","Monthly",ASTemp!$E$7),Parameters!$B$3:$D$6,3,0)*(ROWS($1:971)-1))))</f>
        <v/>
      </c>
      <c r="D983" s="68" t="str">
        <f t="shared" si="2"/>
        <v/>
      </c>
      <c r="E983" s="65" t="str">
        <f>IF($B983="","",VLOOKUP(MONTH(C983),Parameters!$F$2:$G$13,2,0))</f>
        <v/>
      </c>
      <c r="F983" s="69" t="str">
        <f>IF($B983="","",PV-N(J982))</f>
        <v/>
      </c>
      <c r="G983" s="69" t="str">
        <f>IF($B983="","",PMT(Rate,Nper,-PV,,Type))</f>
        <v/>
      </c>
      <c r="H983" s="69" t="str">
        <f>IF($B983="","",PPMT(Rate,ROWS($1:971),Nper,-PV,,Type))</f>
        <v/>
      </c>
      <c r="I983" s="69" t="str">
        <f>IF($B983="","",IPMT(Rate,ROWS($1:971),Nper,-PV,,Type))</f>
        <v/>
      </c>
      <c r="J983" s="73" t="str">
        <f t="shared" ref="J983:K983" si="973">IF($B983="","",N(J982)+N(H983))</f>
        <v/>
      </c>
      <c r="K983" s="74" t="str">
        <f t="shared" si="973"/>
        <v/>
      </c>
      <c r="L983" s="69" t="str">
        <f>IF($B983="","",PV-J983)</f>
        <v/>
      </c>
      <c r="M983" s="71" t="str">
        <f>IF($B983="","",J983/PV)</f>
        <v/>
      </c>
      <c r="N983" s="72" t="str">
        <f t="shared" si="4"/>
        <v/>
      </c>
    </row>
    <row r="984" ht="14.25" customHeight="1">
      <c r="B984" s="66" t="str">
        <f>IF(ROWS($1:972)&lt;=Nper,ROWS($1:972),"")</f>
        <v/>
      </c>
      <c r="C984" s="67" t="str">
        <f>IF($B984="","",IF($E$7="Weekly",Start_Date+7*(ROWS($1:972)-1),EDATE(Start_Date,VLOOKUP(IF(ASTemp!$E$7="","Monthly",ASTemp!$E$7),Parameters!$B$3:$D$6,3,0)*(ROWS($1:972)-1))))</f>
        <v/>
      </c>
      <c r="D984" s="68" t="str">
        <f t="shared" si="2"/>
        <v/>
      </c>
      <c r="E984" s="65" t="str">
        <f>IF($B984="","",VLOOKUP(MONTH(C984),Parameters!$F$2:$G$13,2,0))</f>
        <v/>
      </c>
      <c r="F984" s="69" t="str">
        <f>IF($B984="","",PV-N(J983))</f>
        <v/>
      </c>
      <c r="G984" s="69" t="str">
        <f>IF($B984="","",PMT(Rate,Nper,-PV,,Type))</f>
        <v/>
      </c>
      <c r="H984" s="69" t="str">
        <f>IF($B984="","",PPMT(Rate,ROWS($1:972),Nper,-PV,,Type))</f>
        <v/>
      </c>
      <c r="I984" s="69" t="str">
        <f>IF($B984="","",IPMT(Rate,ROWS($1:972),Nper,-PV,,Type))</f>
        <v/>
      </c>
      <c r="J984" s="73" t="str">
        <f t="shared" ref="J984:K984" si="974">IF($B984="","",N(J983)+N(H984))</f>
        <v/>
      </c>
      <c r="K984" s="74" t="str">
        <f t="shared" si="974"/>
        <v/>
      </c>
      <c r="L984" s="69" t="str">
        <f>IF($B984="","",PV-J984)</f>
        <v/>
      </c>
      <c r="M984" s="71" t="str">
        <f>IF($B984="","",J984/PV)</f>
        <v/>
      </c>
      <c r="N984" s="72" t="str">
        <f t="shared" si="4"/>
        <v/>
      </c>
    </row>
    <row r="985" ht="14.25" customHeight="1">
      <c r="B985" s="66" t="str">
        <f>IF(ROWS($1:973)&lt;=Nper,ROWS($1:973),"")</f>
        <v/>
      </c>
      <c r="C985" s="67" t="str">
        <f>IF($B985="","",IF($E$7="Weekly",Start_Date+7*(ROWS($1:973)-1),EDATE(Start_Date,VLOOKUP(IF(ASTemp!$E$7="","Monthly",ASTemp!$E$7),Parameters!$B$3:$D$6,3,0)*(ROWS($1:973)-1))))</f>
        <v/>
      </c>
      <c r="D985" s="68" t="str">
        <f t="shared" si="2"/>
        <v/>
      </c>
      <c r="E985" s="65" t="str">
        <f>IF($B985="","",VLOOKUP(MONTH(C985),Parameters!$F$2:$G$13,2,0))</f>
        <v/>
      </c>
      <c r="F985" s="69" t="str">
        <f>IF($B985="","",PV-N(J984))</f>
        <v/>
      </c>
      <c r="G985" s="69" t="str">
        <f>IF($B985="","",PMT(Rate,Nper,-PV,,Type))</f>
        <v/>
      </c>
      <c r="H985" s="69" t="str">
        <f>IF($B985="","",PPMT(Rate,ROWS($1:973),Nper,-PV,,Type))</f>
        <v/>
      </c>
      <c r="I985" s="69" t="str">
        <f>IF($B985="","",IPMT(Rate,ROWS($1:973),Nper,-PV,,Type))</f>
        <v/>
      </c>
      <c r="J985" s="73" t="str">
        <f t="shared" ref="J985:K985" si="975">IF($B985="","",N(J984)+N(H985))</f>
        <v/>
      </c>
      <c r="K985" s="74" t="str">
        <f t="shared" si="975"/>
        <v/>
      </c>
      <c r="L985" s="69" t="str">
        <f>IF($B985="","",PV-J985)</f>
        <v/>
      </c>
      <c r="M985" s="71" t="str">
        <f>IF($B985="","",J985/PV)</f>
        <v/>
      </c>
      <c r="N985" s="72" t="str">
        <f t="shared" si="4"/>
        <v/>
      </c>
    </row>
    <row r="986" ht="14.25" customHeight="1">
      <c r="B986" s="66" t="str">
        <f>IF(ROWS($1:974)&lt;=Nper,ROWS($1:974),"")</f>
        <v/>
      </c>
      <c r="C986" s="67" t="str">
        <f>IF($B986="","",IF($E$7="Weekly",Start_Date+7*(ROWS($1:974)-1),EDATE(Start_Date,VLOOKUP(IF(ASTemp!$E$7="","Monthly",ASTemp!$E$7),Parameters!$B$3:$D$6,3,0)*(ROWS($1:974)-1))))</f>
        <v/>
      </c>
      <c r="D986" s="68" t="str">
        <f t="shared" si="2"/>
        <v/>
      </c>
      <c r="E986" s="65" t="str">
        <f>IF($B986="","",VLOOKUP(MONTH(C986),Parameters!$F$2:$G$13,2,0))</f>
        <v/>
      </c>
      <c r="F986" s="69" t="str">
        <f>IF($B986="","",PV-N(J985))</f>
        <v/>
      </c>
      <c r="G986" s="69" t="str">
        <f>IF($B986="","",PMT(Rate,Nper,-PV,,Type))</f>
        <v/>
      </c>
      <c r="H986" s="69" t="str">
        <f>IF($B986="","",PPMT(Rate,ROWS($1:974),Nper,-PV,,Type))</f>
        <v/>
      </c>
      <c r="I986" s="69" t="str">
        <f>IF($B986="","",IPMT(Rate,ROWS($1:974),Nper,-PV,,Type))</f>
        <v/>
      </c>
      <c r="J986" s="73" t="str">
        <f t="shared" ref="J986:K986" si="976">IF($B986="","",N(J985)+N(H986))</f>
        <v/>
      </c>
      <c r="K986" s="74" t="str">
        <f t="shared" si="976"/>
        <v/>
      </c>
      <c r="L986" s="69" t="str">
        <f>IF($B986="","",PV-J986)</f>
        <v/>
      </c>
      <c r="M986" s="71" t="str">
        <f>IF($B986="","",J986/PV)</f>
        <v/>
      </c>
      <c r="N986" s="72" t="str">
        <f t="shared" si="4"/>
        <v/>
      </c>
    </row>
    <row r="987" ht="14.25" customHeight="1">
      <c r="B987" s="66" t="str">
        <f>IF(ROWS($1:975)&lt;=Nper,ROWS($1:975),"")</f>
        <v/>
      </c>
      <c r="C987" s="67" t="str">
        <f>IF($B987="","",IF($E$7="Weekly",Start_Date+7*(ROWS($1:975)-1),EDATE(Start_Date,VLOOKUP(IF(ASTemp!$E$7="","Monthly",ASTemp!$E$7),Parameters!$B$3:$D$6,3,0)*(ROWS($1:975)-1))))</f>
        <v/>
      </c>
      <c r="D987" s="68" t="str">
        <f t="shared" si="2"/>
        <v/>
      </c>
      <c r="E987" s="65" t="str">
        <f>IF($B987="","",VLOOKUP(MONTH(C987),Parameters!$F$2:$G$13,2,0))</f>
        <v/>
      </c>
      <c r="F987" s="69" t="str">
        <f>IF($B987="","",PV-N(J986))</f>
        <v/>
      </c>
      <c r="G987" s="69" t="str">
        <f>IF($B987="","",PMT(Rate,Nper,-PV,,Type))</f>
        <v/>
      </c>
      <c r="H987" s="69" t="str">
        <f>IF($B987="","",PPMT(Rate,ROWS($1:975),Nper,-PV,,Type))</f>
        <v/>
      </c>
      <c r="I987" s="69" t="str">
        <f>IF($B987="","",IPMT(Rate,ROWS($1:975),Nper,-PV,,Type))</f>
        <v/>
      </c>
      <c r="J987" s="73" t="str">
        <f t="shared" ref="J987:K987" si="977">IF($B987="","",N(J986)+N(H987))</f>
        <v/>
      </c>
      <c r="K987" s="74" t="str">
        <f t="shared" si="977"/>
        <v/>
      </c>
      <c r="L987" s="69" t="str">
        <f>IF($B987="","",PV-J987)</f>
        <v/>
      </c>
      <c r="M987" s="71" t="str">
        <f>IF($B987="","",J987/PV)</f>
        <v/>
      </c>
      <c r="N987" s="72" t="str">
        <f t="shared" si="4"/>
        <v/>
      </c>
    </row>
    <row r="988" ht="14.25" customHeight="1">
      <c r="B988" s="66" t="str">
        <f>IF(ROWS($1:976)&lt;=Nper,ROWS($1:976),"")</f>
        <v/>
      </c>
      <c r="C988" s="67" t="str">
        <f>IF($B988="","",IF($E$7="Weekly",Start_Date+7*(ROWS($1:976)-1),EDATE(Start_Date,VLOOKUP(IF(ASTemp!$E$7="","Monthly",ASTemp!$E$7),Parameters!$B$3:$D$6,3,0)*(ROWS($1:976)-1))))</f>
        <v/>
      </c>
      <c r="D988" s="68" t="str">
        <f t="shared" si="2"/>
        <v/>
      </c>
      <c r="E988" s="65" t="str">
        <f>IF($B988="","",VLOOKUP(MONTH(C988),Parameters!$F$2:$G$13,2,0))</f>
        <v/>
      </c>
      <c r="F988" s="69" t="str">
        <f>IF($B988="","",PV-N(J987))</f>
        <v/>
      </c>
      <c r="G988" s="69" t="str">
        <f>IF($B988="","",PMT(Rate,Nper,-PV,,Type))</f>
        <v/>
      </c>
      <c r="H988" s="69" t="str">
        <f>IF($B988="","",PPMT(Rate,ROWS($1:976),Nper,-PV,,Type))</f>
        <v/>
      </c>
      <c r="I988" s="69" t="str">
        <f>IF($B988="","",IPMT(Rate,ROWS($1:976),Nper,-PV,,Type))</f>
        <v/>
      </c>
      <c r="J988" s="73" t="str">
        <f t="shared" ref="J988:K988" si="978">IF($B988="","",N(J987)+N(H988))</f>
        <v/>
      </c>
      <c r="K988" s="74" t="str">
        <f t="shared" si="978"/>
        <v/>
      </c>
      <c r="L988" s="69" t="str">
        <f>IF($B988="","",PV-J988)</f>
        <v/>
      </c>
      <c r="M988" s="71" t="str">
        <f>IF($B988="","",J988/PV)</f>
        <v/>
      </c>
      <c r="N988" s="72" t="str">
        <f t="shared" si="4"/>
        <v/>
      </c>
    </row>
    <row r="989" ht="14.25" customHeight="1">
      <c r="B989" s="66" t="str">
        <f>IF(ROWS($1:977)&lt;=Nper,ROWS($1:977),"")</f>
        <v/>
      </c>
      <c r="C989" s="67" t="str">
        <f>IF($B989="","",IF($E$7="Weekly",Start_Date+7*(ROWS($1:977)-1),EDATE(Start_Date,VLOOKUP(IF(ASTemp!$E$7="","Monthly",ASTemp!$E$7),Parameters!$B$3:$D$6,3,0)*(ROWS($1:977)-1))))</f>
        <v/>
      </c>
      <c r="D989" s="68" t="str">
        <f t="shared" si="2"/>
        <v/>
      </c>
      <c r="E989" s="65" t="str">
        <f>IF($B989="","",VLOOKUP(MONTH(C989),Parameters!$F$2:$G$13,2,0))</f>
        <v/>
      </c>
      <c r="F989" s="69" t="str">
        <f>IF($B989="","",PV-N(J988))</f>
        <v/>
      </c>
      <c r="G989" s="69" t="str">
        <f>IF($B989="","",PMT(Rate,Nper,-PV,,Type))</f>
        <v/>
      </c>
      <c r="H989" s="69" t="str">
        <f>IF($B989="","",PPMT(Rate,ROWS($1:977),Nper,-PV,,Type))</f>
        <v/>
      </c>
      <c r="I989" s="69" t="str">
        <f>IF($B989="","",IPMT(Rate,ROWS($1:977),Nper,-PV,,Type))</f>
        <v/>
      </c>
      <c r="J989" s="73" t="str">
        <f t="shared" ref="J989:K989" si="979">IF($B989="","",N(J988)+N(H989))</f>
        <v/>
      </c>
      <c r="K989" s="74" t="str">
        <f t="shared" si="979"/>
        <v/>
      </c>
      <c r="L989" s="69" t="str">
        <f>IF($B989="","",PV-J989)</f>
        <v/>
      </c>
      <c r="M989" s="71" t="str">
        <f>IF($B989="","",J989/PV)</f>
        <v/>
      </c>
      <c r="N989" s="72" t="str">
        <f t="shared" si="4"/>
        <v/>
      </c>
    </row>
    <row r="990" ht="14.25" customHeight="1">
      <c r="B990" s="66" t="str">
        <f>IF(ROWS($1:978)&lt;=Nper,ROWS($1:978),"")</f>
        <v/>
      </c>
      <c r="C990" s="67" t="str">
        <f>IF($B990="","",IF($E$7="Weekly",Start_Date+7*(ROWS($1:978)-1),EDATE(Start_Date,VLOOKUP(IF(ASTemp!$E$7="","Monthly",ASTemp!$E$7),Parameters!$B$3:$D$6,3,0)*(ROWS($1:978)-1))))</f>
        <v/>
      </c>
      <c r="D990" s="68" t="str">
        <f t="shared" si="2"/>
        <v/>
      </c>
      <c r="E990" s="65" t="str">
        <f>IF($B990="","",VLOOKUP(MONTH(C990),Parameters!$F$2:$G$13,2,0))</f>
        <v/>
      </c>
      <c r="F990" s="69" t="str">
        <f>IF($B990="","",PV-N(J989))</f>
        <v/>
      </c>
      <c r="G990" s="69" t="str">
        <f>IF($B990="","",PMT(Rate,Nper,-PV,,Type))</f>
        <v/>
      </c>
      <c r="H990" s="69" t="str">
        <f>IF($B990="","",PPMT(Rate,ROWS($1:978),Nper,-PV,,Type))</f>
        <v/>
      </c>
      <c r="I990" s="69" t="str">
        <f>IF($B990="","",IPMT(Rate,ROWS($1:978),Nper,-PV,,Type))</f>
        <v/>
      </c>
      <c r="J990" s="73" t="str">
        <f t="shared" ref="J990:K990" si="980">IF($B990="","",N(J989)+N(H990))</f>
        <v/>
      </c>
      <c r="K990" s="74" t="str">
        <f t="shared" si="980"/>
        <v/>
      </c>
      <c r="L990" s="69" t="str">
        <f>IF($B990="","",PV-J990)</f>
        <v/>
      </c>
      <c r="M990" s="71" t="str">
        <f>IF($B990="","",J990/PV)</f>
        <v/>
      </c>
      <c r="N990" s="72" t="str">
        <f t="shared" si="4"/>
        <v/>
      </c>
    </row>
    <row r="991" ht="14.25" customHeight="1">
      <c r="B991" s="66" t="str">
        <f>IF(ROWS($1:979)&lt;=Nper,ROWS($1:979),"")</f>
        <v/>
      </c>
      <c r="C991" s="67" t="str">
        <f>IF($B991="","",IF($E$7="Weekly",Start_Date+7*(ROWS($1:979)-1),EDATE(Start_Date,VLOOKUP(IF(ASTemp!$E$7="","Monthly",ASTemp!$E$7),Parameters!$B$3:$D$6,3,0)*(ROWS($1:979)-1))))</f>
        <v/>
      </c>
      <c r="D991" s="68" t="str">
        <f t="shared" si="2"/>
        <v/>
      </c>
      <c r="E991" s="65" t="str">
        <f>IF($B991="","",VLOOKUP(MONTH(C991),Parameters!$F$2:$G$13,2,0))</f>
        <v/>
      </c>
      <c r="F991" s="69" t="str">
        <f>IF($B991="","",PV-N(J990))</f>
        <v/>
      </c>
      <c r="G991" s="69" t="str">
        <f>IF($B991="","",PMT(Rate,Nper,-PV,,Type))</f>
        <v/>
      </c>
      <c r="H991" s="69" t="str">
        <f>IF($B991="","",PPMT(Rate,ROWS($1:979),Nper,-PV,,Type))</f>
        <v/>
      </c>
      <c r="I991" s="69" t="str">
        <f>IF($B991="","",IPMT(Rate,ROWS($1:979),Nper,-PV,,Type))</f>
        <v/>
      </c>
      <c r="J991" s="73" t="str">
        <f t="shared" ref="J991:K991" si="981">IF($B991="","",N(J990)+N(H991))</f>
        <v/>
      </c>
      <c r="K991" s="74" t="str">
        <f t="shared" si="981"/>
        <v/>
      </c>
      <c r="L991" s="69" t="str">
        <f>IF($B991="","",PV-J991)</f>
        <v/>
      </c>
      <c r="M991" s="71" t="str">
        <f>IF($B991="","",J991/PV)</f>
        <v/>
      </c>
      <c r="N991" s="72" t="str">
        <f t="shared" si="4"/>
        <v/>
      </c>
    </row>
    <row r="992" ht="14.25" customHeight="1">
      <c r="B992" s="66" t="str">
        <f>IF(ROWS($1:980)&lt;=Nper,ROWS($1:980),"")</f>
        <v/>
      </c>
      <c r="C992" s="67" t="str">
        <f>IF($B992="","",IF($E$7="Weekly",Start_Date+7*(ROWS($1:980)-1),EDATE(Start_Date,VLOOKUP(IF(ASTemp!$E$7="","Monthly",ASTemp!$E$7),Parameters!$B$3:$D$6,3,0)*(ROWS($1:980)-1))))</f>
        <v/>
      </c>
      <c r="D992" s="68" t="str">
        <f t="shared" si="2"/>
        <v/>
      </c>
      <c r="E992" s="65" t="str">
        <f>IF($B992="","",VLOOKUP(MONTH(C992),Parameters!$F$2:$G$13,2,0))</f>
        <v/>
      </c>
      <c r="F992" s="69" t="str">
        <f>IF($B992="","",PV-N(J991))</f>
        <v/>
      </c>
      <c r="G992" s="69" t="str">
        <f>IF($B992="","",PMT(Rate,Nper,-PV,,Type))</f>
        <v/>
      </c>
      <c r="H992" s="69" t="str">
        <f>IF($B992="","",PPMT(Rate,ROWS($1:980),Nper,-PV,,Type))</f>
        <v/>
      </c>
      <c r="I992" s="69" t="str">
        <f>IF($B992="","",IPMT(Rate,ROWS($1:980),Nper,-PV,,Type))</f>
        <v/>
      </c>
      <c r="J992" s="73" t="str">
        <f t="shared" ref="J992:K992" si="982">IF($B992="","",N(J991)+N(H992))</f>
        <v/>
      </c>
      <c r="K992" s="74" t="str">
        <f t="shared" si="982"/>
        <v/>
      </c>
      <c r="L992" s="69" t="str">
        <f>IF($B992="","",PV-J992)</f>
        <v/>
      </c>
      <c r="M992" s="71" t="str">
        <f>IF($B992="","",J992/PV)</f>
        <v/>
      </c>
      <c r="N992" s="72" t="str">
        <f t="shared" si="4"/>
        <v/>
      </c>
    </row>
    <row r="993" ht="14.25" customHeight="1">
      <c r="B993" s="66" t="str">
        <f>IF(ROWS($1:981)&lt;=Nper,ROWS($1:981),"")</f>
        <v/>
      </c>
      <c r="C993" s="67" t="str">
        <f>IF($B993="","",IF($E$7="Weekly",Start_Date+7*(ROWS($1:981)-1),EDATE(Start_Date,VLOOKUP(IF(ASTemp!$E$7="","Monthly",ASTemp!$E$7),Parameters!$B$3:$D$6,3,0)*(ROWS($1:981)-1))))</f>
        <v/>
      </c>
      <c r="D993" s="68" t="str">
        <f t="shared" si="2"/>
        <v/>
      </c>
      <c r="E993" s="65" t="str">
        <f>IF($B993="","",VLOOKUP(MONTH(C993),Parameters!$F$2:$G$13,2,0))</f>
        <v/>
      </c>
      <c r="F993" s="69" t="str">
        <f>IF($B993="","",PV-N(J992))</f>
        <v/>
      </c>
      <c r="G993" s="69" t="str">
        <f>IF($B993="","",PMT(Rate,Nper,-PV,,Type))</f>
        <v/>
      </c>
      <c r="H993" s="69" t="str">
        <f>IF($B993="","",PPMT(Rate,ROWS($1:981),Nper,-PV,,Type))</f>
        <v/>
      </c>
      <c r="I993" s="69" t="str">
        <f>IF($B993="","",IPMT(Rate,ROWS($1:981),Nper,-PV,,Type))</f>
        <v/>
      </c>
      <c r="J993" s="73" t="str">
        <f t="shared" ref="J993:K993" si="983">IF($B993="","",N(J992)+N(H993))</f>
        <v/>
      </c>
      <c r="K993" s="74" t="str">
        <f t="shared" si="983"/>
        <v/>
      </c>
      <c r="L993" s="69" t="str">
        <f>IF($B993="","",PV-J993)</f>
        <v/>
      </c>
      <c r="M993" s="71" t="str">
        <f>IF($B993="","",J993/PV)</f>
        <v/>
      </c>
      <c r="N993" s="72" t="str">
        <f t="shared" si="4"/>
        <v/>
      </c>
    </row>
    <row r="994" ht="14.25" customHeight="1">
      <c r="B994" s="66" t="str">
        <f>IF(ROWS($1:982)&lt;=Nper,ROWS($1:982),"")</f>
        <v/>
      </c>
      <c r="C994" s="67" t="str">
        <f>IF($B994="","",IF($E$7="Weekly",Start_Date+7*(ROWS($1:982)-1),EDATE(Start_Date,VLOOKUP(IF(ASTemp!$E$7="","Monthly",ASTemp!$E$7),Parameters!$B$3:$D$6,3,0)*(ROWS($1:982)-1))))</f>
        <v/>
      </c>
      <c r="D994" s="68" t="str">
        <f t="shared" si="2"/>
        <v/>
      </c>
      <c r="E994" s="65" t="str">
        <f>IF($B994="","",VLOOKUP(MONTH(C994),Parameters!$F$2:$G$13,2,0))</f>
        <v/>
      </c>
      <c r="F994" s="69" t="str">
        <f>IF($B994="","",PV-N(J993))</f>
        <v/>
      </c>
      <c r="G994" s="69" t="str">
        <f>IF($B994="","",PMT(Rate,Nper,-PV,,Type))</f>
        <v/>
      </c>
      <c r="H994" s="69" t="str">
        <f>IF($B994="","",PPMT(Rate,ROWS($1:982),Nper,-PV,,Type))</f>
        <v/>
      </c>
      <c r="I994" s="69" t="str">
        <f>IF($B994="","",IPMT(Rate,ROWS($1:982),Nper,-PV,,Type))</f>
        <v/>
      </c>
      <c r="J994" s="73" t="str">
        <f t="shared" ref="J994:K994" si="984">IF($B994="","",N(J993)+N(H994))</f>
        <v/>
      </c>
      <c r="K994" s="74" t="str">
        <f t="shared" si="984"/>
        <v/>
      </c>
      <c r="L994" s="69" t="str">
        <f>IF($B994="","",PV-J994)</f>
        <v/>
      </c>
      <c r="M994" s="71" t="str">
        <f>IF($B994="","",J994/PV)</f>
        <v/>
      </c>
      <c r="N994" s="72" t="str">
        <f t="shared" si="4"/>
        <v/>
      </c>
    </row>
    <row r="995" ht="14.25" customHeight="1">
      <c r="B995" s="66" t="str">
        <f>IF(ROWS($1:983)&lt;=Nper,ROWS($1:983),"")</f>
        <v/>
      </c>
      <c r="C995" s="67" t="str">
        <f>IF($B995="","",IF($E$7="Weekly",Start_Date+7*(ROWS($1:983)-1),EDATE(Start_Date,VLOOKUP(IF(ASTemp!$E$7="","Monthly",ASTemp!$E$7),Parameters!$B$3:$D$6,3,0)*(ROWS($1:983)-1))))</f>
        <v/>
      </c>
      <c r="D995" s="68" t="str">
        <f t="shared" si="2"/>
        <v/>
      </c>
      <c r="E995" s="65" t="str">
        <f>IF($B995="","",VLOOKUP(MONTH(C995),Parameters!$F$2:$G$13,2,0))</f>
        <v/>
      </c>
      <c r="F995" s="69" t="str">
        <f>IF($B995="","",PV-N(J994))</f>
        <v/>
      </c>
      <c r="G995" s="69" t="str">
        <f>IF($B995="","",PMT(Rate,Nper,-PV,,Type))</f>
        <v/>
      </c>
      <c r="H995" s="69" t="str">
        <f>IF($B995="","",PPMT(Rate,ROWS($1:983),Nper,-PV,,Type))</f>
        <v/>
      </c>
      <c r="I995" s="69" t="str">
        <f>IF($B995="","",IPMT(Rate,ROWS($1:983),Nper,-PV,,Type))</f>
        <v/>
      </c>
      <c r="J995" s="73" t="str">
        <f t="shared" ref="J995:K995" si="985">IF($B995="","",N(J994)+N(H995))</f>
        <v/>
      </c>
      <c r="K995" s="74" t="str">
        <f t="shared" si="985"/>
        <v/>
      </c>
      <c r="L995" s="69" t="str">
        <f>IF($B995="","",PV-J995)</f>
        <v/>
      </c>
      <c r="M995" s="71" t="str">
        <f>IF($B995="","",J995/PV)</f>
        <v/>
      </c>
      <c r="N995" s="72" t="str">
        <f t="shared" si="4"/>
        <v/>
      </c>
    </row>
    <row r="996" ht="14.25" customHeight="1">
      <c r="B996" s="66" t="str">
        <f>IF(ROWS($1:984)&lt;=Nper,ROWS($1:984),"")</f>
        <v/>
      </c>
      <c r="C996" s="67" t="str">
        <f>IF($B996="","",IF($E$7="Weekly",Start_Date+7*(ROWS($1:984)-1),EDATE(Start_Date,VLOOKUP(IF(ASTemp!$E$7="","Monthly",ASTemp!$E$7),Parameters!$B$3:$D$6,3,0)*(ROWS($1:984)-1))))</f>
        <v/>
      </c>
      <c r="D996" s="68" t="str">
        <f t="shared" si="2"/>
        <v/>
      </c>
      <c r="E996" s="65" t="str">
        <f>IF($B996="","",VLOOKUP(MONTH(C996),Parameters!$F$2:$G$13,2,0))</f>
        <v/>
      </c>
      <c r="F996" s="69" t="str">
        <f>IF($B996="","",PV-N(J995))</f>
        <v/>
      </c>
      <c r="G996" s="69" t="str">
        <f>IF($B996="","",PMT(Rate,Nper,-PV,,Type))</f>
        <v/>
      </c>
      <c r="H996" s="69" t="str">
        <f>IF($B996="","",PPMT(Rate,ROWS($1:984),Nper,-PV,,Type))</f>
        <v/>
      </c>
      <c r="I996" s="69" t="str">
        <f>IF($B996="","",IPMT(Rate,ROWS($1:984),Nper,-PV,,Type))</f>
        <v/>
      </c>
      <c r="J996" s="73" t="str">
        <f t="shared" ref="J996:K996" si="986">IF($B996="","",N(J995)+N(H996))</f>
        <v/>
      </c>
      <c r="K996" s="74" t="str">
        <f t="shared" si="986"/>
        <v/>
      </c>
      <c r="L996" s="69" t="str">
        <f>IF($B996="","",PV-J996)</f>
        <v/>
      </c>
      <c r="M996" s="71" t="str">
        <f>IF($B996="","",J996/PV)</f>
        <v/>
      </c>
      <c r="N996" s="72" t="str">
        <f t="shared" si="4"/>
        <v/>
      </c>
    </row>
    <row r="997" ht="14.25" customHeight="1">
      <c r="B997" s="66" t="str">
        <f>IF(ROWS($1:985)&lt;=Nper,ROWS($1:985),"")</f>
        <v/>
      </c>
      <c r="C997" s="67" t="str">
        <f>IF($B997="","",IF($E$7="Weekly",Start_Date+7*(ROWS($1:985)-1),EDATE(Start_Date,VLOOKUP(IF(ASTemp!$E$7="","Monthly",ASTemp!$E$7),Parameters!$B$3:$D$6,3,0)*(ROWS($1:985)-1))))</f>
        <v/>
      </c>
      <c r="D997" s="68" t="str">
        <f t="shared" si="2"/>
        <v/>
      </c>
      <c r="E997" s="65" t="str">
        <f>IF($B997="","",VLOOKUP(MONTH(C997),Parameters!$F$2:$G$13,2,0))</f>
        <v/>
      </c>
      <c r="F997" s="69" t="str">
        <f>IF($B997="","",PV-N(J996))</f>
        <v/>
      </c>
      <c r="G997" s="69" t="str">
        <f>IF($B997="","",PMT(Rate,Nper,-PV,,Type))</f>
        <v/>
      </c>
      <c r="H997" s="69" t="str">
        <f>IF($B997="","",PPMT(Rate,ROWS($1:985),Nper,-PV,,Type))</f>
        <v/>
      </c>
      <c r="I997" s="69" t="str">
        <f>IF($B997="","",IPMT(Rate,ROWS($1:985),Nper,-PV,,Type))</f>
        <v/>
      </c>
      <c r="J997" s="73" t="str">
        <f t="shared" ref="J997:K997" si="987">IF($B997="","",N(J996)+N(H997))</f>
        <v/>
      </c>
      <c r="K997" s="74" t="str">
        <f t="shared" si="987"/>
        <v/>
      </c>
      <c r="L997" s="69" t="str">
        <f>IF($B997="","",PV-J997)</f>
        <v/>
      </c>
      <c r="M997" s="71" t="str">
        <f>IF($B997="","",J997/PV)</f>
        <v/>
      </c>
      <c r="N997" s="72" t="str">
        <f t="shared" si="4"/>
        <v/>
      </c>
    </row>
    <row r="998" ht="14.25" customHeight="1">
      <c r="B998" s="66" t="str">
        <f>IF(ROWS($1:986)&lt;=Nper,ROWS($1:986),"")</f>
        <v/>
      </c>
      <c r="C998" s="67" t="str">
        <f>IF($B998="","",IF($E$7="Weekly",Start_Date+7*(ROWS($1:986)-1),EDATE(Start_Date,VLOOKUP(IF(ASTemp!$E$7="","Monthly",ASTemp!$E$7),Parameters!$B$3:$D$6,3,0)*(ROWS($1:986)-1))))</f>
        <v/>
      </c>
      <c r="D998" s="68" t="str">
        <f t="shared" si="2"/>
        <v/>
      </c>
      <c r="E998" s="65" t="str">
        <f>IF($B998="","",VLOOKUP(MONTH(C998),Parameters!$F$2:$G$13,2,0))</f>
        <v/>
      </c>
      <c r="F998" s="69" t="str">
        <f>IF($B998="","",PV-N(J997))</f>
        <v/>
      </c>
      <c r="G998" s="69" t="str">
        <f>IF($B998="","",PMT(Rate,Nper,-PV,,Type))</f>
        <v/>
      </c>
      <c r="H998" s="69" t="str">
        <f>IF($B998="","",PPMT(Rate,ROWS($1:986),Nper,-PV,,Type))</f>
        <v/>
      </c>
      <c r="I998" s="69" t="str">
        <f>IF($B998="","",IPMT(Rate,ROWS($1:986),Nper,-PV,,Type))</f>
        <v/>
      </c>
      <c r="J998" s="73" t="str">
        <f t="shared" ref="J998:K998" si="988">IF($B998="","",N(J997)+N(H998))</f>
        <v/>
      </c>
      <c r="K998" s="74" t="str">
        <f t="shared" si="988"/>
        <v/>
      </c>
      <c r="L998" s="69" t="str">
        <f>IF($B998="","",PV-J998)</f>
        <v/>
      </c>
      <c r="M998" s="71" t="str">
        <f>IF($B998="","",J998/PV)</f>
        <v/>
      </c>
      <c r="N998" s="72" t="str">
        <f t="shared" si="4"/>
        <v/>
      </c>
    </row>
    <row r="999" ht="14.25" customHeight="1">
      <c r="B999" s="66" t="str">
        <f>IF(ROWS($1:987)&lt;=Nper,ROWS($1:987),"")</f>
        <v/>
      </c>
      <c r="C999" s="67" t="str">
        <f>IF($B999="","",IF($E$7="Weekly",Start_Date+7*(ROWS($1:987)-1),EDATE(Start_Date,VLOOKUP(IF(ASTemp!$E$7="","Monthly",ASTemp!$E$7),Parameters!$B$3:$D$6,3,0)*(ROWS($1:987)-1))))</f>
        <v/>
      </c>
      <c r="D999" s="68" t="str">
        <f t="shared" si="2"/>
        <v/>
      </c>
      <c r="E999" s="65" t="str">
        <f>IF($B999="","",VLOOKUP(MONTH(C999),Parameters!$F$2:$G$13,2,0))</f>
        <v/>
      </c>
      <c r="F999" s="69" t="str">
        <f>IF($B999="","",PV-N(J998))</f>
        <v/>
      </c>
      <c r="G999" s="69" t="str">
        <f>IF($B999="","",PMT(Rate,Nper,-PV,,Type))</f>
        <v/>
      </c>
      <c r="H999" s="69" t="str">
        <f>IF($B999="","",PPMT(Rate,ROWS($1:987),Nper,-PV,,Type))</f>
        <v/>
      </c>
      <c r="I999" s="69" t="str">
        <f>IF($B999="","",IPMT(Rate,ROWS($1:987),Nper,-PV,,Type))</f>
        <v/>
      </c>
      <c r="J999" s="73" t="str">
        <f t="shared" ref="J999:K999" si="989">IF($B999="","",N(J998)+N(H999))</f>
        <v/>
      </c>
      <c r="K999" s="74" t="str">
        <f t="shared" si="989"/>
        <v/>
      </c>
      <c r="L999" s="69" t="str">
        <f>IF($B999="","",PV-J999)</f>
        <v/>
      </c>
      <c r="M999" s="71" t="str">
        <f>IF($B999="","",J999/PV)</f>
        <v/>
      </c>
      <c r="N999" s="72" t="str">
        <f t="shared" si="4"/>
        <v/>
      </c>
    </row>
    <row r="1000" ht="14.25" customHeight="1">
      <c r="B1000" s="66" t="str">
        <f>IF(ROWS($1:988)&lt;=Nper,ROWS($1:988),"")</f>
        <v/>
      </c>
      <c r="C1000" s="67" t="str">
        <f>IF($B1000="","",IF($E$7="Weekly",Start_Date+7*(ROWS($1:988)-1),EDATE(Start_Date,VLOOKUP(IF(ASTemp!$E$7="","Monthly",ASTemp!$E$7),Parameters!$B$3:$D$6,3,0)*(ROWS($1:988)-1))))</f>
        <v/>
      </c>
      <c r="D1000" s="68" t="str">
        <f t="shared" si="2"/>
        <v/>
      </c>
      <c r="E1000" s="65" t="str">
        <f>IF($B1000="","",VLOOKUP(MONTH(C1000),Parameters!$F$2:$G$13,2,0))</f>
        <v/>
      </c>
      <c r="F1000" s="69" t="str">
        <f>IF($B1000="","",PV-N(J999))</f>
        <v/>
      </c>
      <c r="G1000" s="69" t="str">
        <f>IF($B1000="","",PMT(Rate,Nper,-PV,,Type))</f>
        <v/>
      </c>
      <c r="H1000" s="69" t="str">
        <f>IF($B1000="","",PPMT(Rate,ROWS($1:988),Nper,-PV,,Type))</f>
        <v/>
      </c>
      <c r="I1000" s="69" t="str">
        <f>IF($B1000="","",IPMT(Rate,ROWS($1:988),Nper,-PV,,Type))</f>
        <v/>
      </c>
      <c r="J1000" s="73" t="str">
        <f t="shared" ref="J1000:K1000" si="990">IF($B1000="","",N(J999)+N(H1000))</f>
        <v/>
      </c>
      <c r="K1000" s="74" t="str">
        <f t="shared" si="990"/>
        <v/>
      </c>
      <c r="L1000" s="69" t="str">
        <f>IF($B1000="","",PV-J1000)</f>
        <v/>
      </c>
      <c r="M1000" s="71" t="str">
        <f>IF($B1000="","",J1000/PV)</f>
        <v/>
      </c>
      <c r="N1000" s="72" t="str">
        <f t="shared" si="4"/>
        <v/>
      </c>
    </row>
    <row r="1001" ht="14.25" customHeight="1">
      <c r="B1001" s="66" t="str">
        <f>IF(ROWS($1:989)&lt;=Nper,ROWS($1:989),"")</f>
        <v/>
      </c>
      <c r="C1001" s="67" t="str">
        <f>IF($B1001="","",IF($E$7="Weekly",Start_Date+7*(ROWS($1:989)-1),EDATE(Start_Date,VLOOKUP(IF(ASTemp!$E$7="","Monthly",ASTemp!$E$7),Parameters!$B$3:$D$6,3,0)*(ROWS($1:989)-1))))</f>
        <v/>
      </c>
      <c r="D1001" s="68" t="str">
        <f t="shared" si="2"/>
        <v/>
      </c>
      <c r="E1001" s="65" t="str">
        <f>IF($B1001="","",VLOOKUP(MONTH(C1001),Parameters!$F$2:$G$13,2,0))</f>
        <v/>
      </c>
      <c r="F1001" s="69" t="str">
        <f>IF($B1001="","",PV-N(J1000))</f>
        <v/>
      </c>
      <c r="G1001" s="69" t="str">
        <f>IF($B1001="","",PMT(Rate,Nper,-PV,,Type))</f>
        <v/>
      </c>
      <c r="H1001" s="69" t="str">
        <f>IF($B1001="","",PPMT(Rate,ROWS($1:989),Nper,-PV,,Type))</f>
        <v/>
      </c>
      <c r="I1001" s="69" t="str">
        <f>IF($B1001="","",IPMT(Rate,ROWS($1:989),Nper,-PV,,Type))</f>
        <v/>
      </c>
      <c r="J1001" s="73" t="str">
        <f t="shared" ref="J1001:K1001" si="991">IF($B1001="","",N(J1000)+N(H1001))</f>
        <v/>
      </c>
      <c r="K1001" s="74" t="str">
        <f t="shared" si="991"/>
        <v/>
      </c>
      <c r="L1001" s="69" t="str">
        <f>IF($B1001="","",PV-J1001)</f>
        <v/>
      </c>
      <c r="M1001" s="71" t="str">
        <f>IF($B1001="","",J1001/PV)</f>
        <v/>
      </c>
      <c r="N1001" s="72" t="str">
        <f t="shared" si="4"/>
        <v/>
      </c>
    </row>
    <row r="1002" ht="14.25" customHeight="1">
      <c r="B1002" s="66" t="str">
        <f>IF(ROWS($1:990)&lt;=Nper,ROWS($1:990),"")</f>
        <v/>
      </c>
      <c r="C1002" s="67" t="str">
        <f>IF($B1002="","",IF($E$7="Weekly",Start_Date+7*(ROWS($1:990)-1),EDATE(Start_Date,VLOOKUP(IF(ASTemp!$E$7="","Monthly",ASTemp!$E$7),Parameters!$B$3:$D$6,3,0)*(ROWS($1:990)-1))))</f>
        <v/>
      </c>
      <c r="D1002" s="68" t="str">
        <f t="shared" si="2"/>
        <v/>
      </c>
      <c r="E1002" s="65" t="str">
        <f>IF($B1002="","",VLOOKUP(MONTH(C1002),Parameters!$F$2:$G$13,2,0))</f>
        <v/>
      </c>
      <c r="F1002" s="69" t="str">
        <f>IF($B1002="","",PV-N(J1001))</f>
        <v/>
      </c>
      <c r="G1002" s="69" t="str">
        <f>IF($B1002="","",PMT(Rate,Nper,-PV,,Type))</f>
        <v/>
      </c>
      <c r="H1002" s="69" t="str">
        <f>IF($B1002="","",PPMT(Rate,ROWS($1:990),Nper,-PV,,Type))</f>
        <v/>
      </c>
      <c r="I1002" s="69" t="str">
        <f>IF($B1002="","",IPMT(Rate,ROWS($1:990),Nper,-PV,,Type))</f>
        <v/>
      </c>
      <c r="J1002" s="73" t="str">
        <f t="shared" ref="J1002:K1002" si="992">IF($B1002="","",N(J1001)+N(H1002))</f>
        <v/>
      </c>
      <c r="K1002" s="74" t="str">
        <f t="shared" si="992"/>
        <v/>
      </c>
      <c r="L1002" s="69" t="str">
        <f>IF($B1002="","",PV-J1002)</f>
        <v/>
      </c>
      <c r="M1002" s="71" t="str">
        <f>IF($B1002="","",J1002/PV)</f>
        <v/>
      </c>
      <c r="N1002" s="72" t="str">
        <f t="shared" si="4"/>
        <v/>
      </c>
    </row>
    <row r="1003" ht="14.25" customHeight="1">
      <c r="B1003" s="66" t="str">
        <f>IF(ROWS($1:991)&lt;=Nper,ROWS($1:991),"")</f>
        <v/>
      </c>
      <c r="C1003" s="67" t="str">
        <f>IF($B1003="","",IF($E$7="Weekly",Start_Date+7*(ROWS($1:991)-1),EDATE(Start_Date,VLOOKUP(IF(ASTemp!$E$7="","Monthly",ASTemp!$E$7),Parameters!$B$3:$D$6,3,0)*(ROWS($1:991)-1))))</f>
        <v/>
      </c>
      <c r="D1003" s="68" t="str">
        <f t="shared" si="2"/>
        <v/>
      </c>
      <c r="E1003" s="65" t="str">
        <f>IF($B1003="","",VLOOKUP(MONTH(C1003),Parameters!$F$2:$G$13,2,0))</f>
        <v/>
      </c>
      <c r="F1003" s="69" t="str">
        <f>IF($B1003="","",PV-N(J1002))</f>
        <v/>
      </c>
      <c r="G1003" s="69" t="str">
        <f>IF($B1003="","",PMT(Rate,Nper,-PV,,Type))</f>
        <v/>
      </c>
      <c r="H1003" s="69" t="str">
        <f>IF($B1003="","",PPMT(Rate,ROWS($1:991),Nper,-PV,,Type))</f>
        <v/>
      </c>
      <c r="I1003" s="69" t="str">
        <f>IF($B1003="","",IPMT(Rate,ROWS($1:991),Nper,-PV,,Type))</f>
        <v/>
      </c>
      <c r="J1003" s="73" t="str">
        <f t="shared" ref="J1003:K1003" si="993">IF($B1003="","",N(J1002)+N(H1003))</f>
        <v/>
      </c>
      <c r="K1003" s="74" t="str">
        <f t="shared" si="993"/>
        <v/>
      </c>
      <c r="L1003" s="69" t="str">
        <f>IF($B1003="","",PV-J1003)</f>
        <v/>
      </c>
      <c r="M1003" s="71" t="str">
        <f>IF($B1003="","",J1003/PV)</f>
        <v/>
      </c>
      <c r="N1003" s="72" t="str">
        <f t="shared" si="4"/>
        <v/>
      </c>
    </row>
    <row r="1004" ht="14.25" customHeight="1">
      <c r="B1004" s="66" t="str">
        <f>IF(ROWS($1:992)&lt;=Nper,ROWS($1:992),"")</f>
        <v/>
      </c>
      <c r="C1004" s="67" t="str">
        <f>IF($B1004="","",IF($E$7="Weekly",Start_Date+7*(ROWS($1:992)-1),EDATE(Start_Date,VLOOKUP(IF(ASTemp!$E$7="","Monthly",ASTemp!$E$7),Parameters!$B$3:$D$6,3,0)*(ROWS($1:992)-1))))</f>
        <v/>
      </c>
      <c r="D1004" s="68" t="str">
        <f t="shared" si="2"/>
        <v/>
      </c>
      <c r="E1004" s="65" t="str">
        <f>IF($B1004="","",VLOOKUP(MONTH(C1004),Parameters!$F$2:$G$13,2,0))</f>
        <v/>
      </c>
      <c r="F1004" s="69" t="str">
        <f>IF($B1004="","",PV-N(J1003))</f>
        <v/>
      </c>
      <c r="G1004" s="69" t="str">
        <f>IF($B1004="","",PMT(Rate,Nper,-PV,,Type))</f>
        <v/>
      </c>
      <c r="H1004" s="69" t="str">
        <f>IF($B1004="","",PPMT(Rate,ROWS($1:992),Nper,-PV,,Type))</f>
        <v/>
      </c>
      <c r="I1004" s="69" t="str">
        <f>IF($B1004="","",IPMT(Rate,ROWS($1:992),Nper,-PV,,Type))</f>
        <v/>
      </c>
      <c r="J1004" s="73" t="str">
        <f t="shared" ref="J1004:K1004" si="994">IF($B1004="","",N(J1003)+N(H1004))</f>
        <v/>
      </c>
      <c r="K1004" s="74" t="str">
        <f t="shared" si="994"/>
        <v/>
      </c>
      <c r="L1004" s="69" t="str">
        <f>IF($B1004="","",PV-J1004)</f>
        <v/>
      </c>
      <c r="M1004" s="71" t="str">
        <f>IF($B1004="","",J1004/PV)</f>
        <v/>
      </c>
      <c r="N1004" s="72" t="str">
        <f t="shared" si="4"/>
        <v/>
      </c>
    </row>
    <row r="1005" ht="14.25" customHeight="1">
      <c r="B1005" s="66" t="str">
        <f>IF(ROWS($1:993)&lt;=Nper,ROWS($1:993),"")</f>
        <v/>
      </c>
      <c r="C1005" s="67" t="str">
        <f>IF($B1005="","",IF($E$7="Weekly",Start_Date+7*(ROWS($1:993)-1),EDATE(Start_Date,VLOOKUP(IF(ASTemp!$E$7="","Monthly",ASTemp!$E$7),Parameters!$B$3:$D$6,3,0)*(ROWS($1:993)-1))))</f>
        <v/>
      </c>
      <c r="D1005" s="68" t="str">
        <f t="shared" si="2"/>
        <v/>
      </c>
      <c r="E1005" s="65" t="str">
        <f>IF($B1005="","",VLOOKUP(MONTH(C1005),Parameters!$F$2:$G$13,2,0))</f>
        <v/>
      </c>
      <c r="F1005" s="69" t="str">
        <f>IF($B1005="","",PV-N(J1004))</f>
        <v/>
      </c>
      <c r="G1005" s="69" t="str">
        <f>IF($B1005="","",PMT(Rate,Nper,-PV,,Type))</f>
        <v/>
      </c>
      <c r="H1005" s="69" t="str">
        <f>IF($B1005="","",PPMT(Rate,ROWS($1:993),Nper,-PV,,Type))</f>
        <v/>
      </c>
      <c r="I1005" s="69" t="str">
        <f>IF($B1005="","",IPMT(Rate,ROWS($1:993),Nper,-PV,,Type))</f>
        <v/>
      </c>
      <c r="J1005" s="73" t="str">
        <f t="shared" ref="J1005:K1005" si="995">IF($B1005="","",N(J1004)+N(H1005))</f>
        <v/>
      </c>
      <c r="K1005" s="74" t="str">
        <f t="shared" si="995"/>
        <v/>
      </c>
      <c r="L1005" s="69" t="str">
        <f>IF($B1005="","",PV-J1005)</f>
        <v/>
      </c>
      <c r="M1005" s="71" t="str">
        <f>IF($B1005="","",J1005/PV)</f>
        <v/>
      </c>
      <c r="N1005" s="72" t="str">
        <f t="shared" si="4"/>
        <v/>
      </c>
    </row>
    <row r="1006" ht="14.25" customHeight="1">
      <c r="B1006" s="66" t="str">
        <f>IF(ROWS($1:994)&lt;=Nper,ROWS($1:994),"")</f>
        <v/>
      </c>
      <c r="C1006" s="67" t="str">
        <f>IF($B1006="","",IF($E$7="Weekly",Start_Date+7*(ROWS($1:994)-1),EDATE(Start_Date,VLOOKUP(IF(ASTemp!$E$7="","Monthly",ASTemp!$E$7),Parameters!$B$3:$D$6,3,0)*(ROWS($1:994)-1))))</f>
        <v/>
      </c>
      <c r="D1006" s="68" t="str">
        <f t="shared" si="2"/>
        <v/>
      </c>
      <c r="E1006" s="65" t="str">
        <f>IF($B1006="","",VLOOKUP(MONTH(C1006),Parameters!$F$2:$G$13,2,0))</f>
        <v/>
      </c>
      <c r="F1006" s="69" t="str">
        <f>IF($B1006="","",PV-N(J1005))</f>
        <v/>
      </c>
      <c r="G1006" s="69" t="str">
        <f>IF($B1006="","",PMT(Rate,Nper,-PV,,Type))</f>
        <v/>
      </c>
      <c r="H1006" s="69" t="str">
        <f>IF($B1006="","",PPMT(Rate,ROWS($1:994),Nper,-PV,,Type))</f>
        <v/>
      </c>
      <c r="I1006" s="69" t="str">
        <f>IF($B1006="","",IPMT(Rate,ROWS($1:994),Nper,-PV,,Type))</f>
        <v/>
      </c>
      <c r="J1006" s="73" t="str">
        <f t="shared" ref="J1006:K1006" si="996">IF($B1006="","",N(J1005)+N(H1006))</f>
        <v/>
      </c>
      <c r="K1006" s="74" t="str">
        <f t="shared" si="996"/>
        <v/>
      </c>
      <c r="L1006" s="69" t="str">
        <f>IF($B1006="","",PV-J1006)</f>
        <v/>
      </c>
      <c r="M1006" s="71" t="str">
        <f>IF($B1006="","",J1006/PV)</f>
        <v/>
      </c>
      <c r="N1006" s="72" t="str">
        <f t="shared" si="4"/>
        <v/>
      </c>
    </row>
    <row r="1007" ht="14.25" customHeight="1">
      <c r="B1007" s="66" t="str">
        <f>IF(ROWS($1:995)&lt;=Nper,ROWS($1:995),"")</f>
        <v/>
      </c>
      <c r="C1007" s="67" t="str">
        <f>IF($B1007="","",IF($E$7="Weekly",Start_Date+7*(ROWS($1:995)-1),EDATE(Start_Date,VLOOKUP(IF(ASTemp!$E$7="","Monthly",ASTemp!$E$7),Parameters!$B$3:$D$6,3,0)*(ROWS($1:995)-1))))</f>
        <v/>
      </c>
      <c r="D1007" s="68" t="str">
        <f t="shared" si="2"/>
        <v/>
      </c>
      <c r="E1007" s="65" t="str">
        <f>IF($B1007="","",VLOOKUP(MONTH(C1007),Parameters!$F$2:$G$13,2,0))</f>
        <v/>
      </c>
      <c r="F1007" s="69" t="str">
        <f>IF($B1007="","",PV-N(J1006))</f>
        <v/>
      </c>
      <c r="G1007" s="69" t="str">
        <f>IF($B1007="","",PMT(Rate,Nper,-PV,,Type))</f>
        <v/>
      </c>
      <c r="H1007" s="69" t="str">
        <f>IF($B1007="","",PPMT(Rate,ROWS($1:995),Nper,-PV,,Type))</f>
        <v/>
      </c>
      <c r="I1007" s="69" t="str">
        <f>IF($B1007="","",IPMT(Rate,ROWS($1:995),Nper,-PV,,Type))</f>
        <v/>
      </c>
      <c r="J1007" s="73" t="str">
        <f t="shared" ref="J1007:K1007" si="997">IF($B1007="","",N(J1006)+N(H1007))</f>
        <v/>
      </c>
      <c r="K1007" s="74" t="str">
        <f t="shared" si="997"/>
        <v/>
      </c>
      <c r="L1007" s="69" t="str">
        <f>IF($B1007="","",PV-J1007)</f>
        <v/>
      </c>
      <c r="M1007" s="71" t="str">
        <f>IF($B1007="","",J1007/PV)</f>
        <v/>
      </c>
      <c r="N1007" s="72" t="str">
        <f t="shared" si="4"/>
        <v/>
      </c>
    </row>
    <row r="1008" ht="14.25" customHeight="1">
      <c r="B1008" s="66" t="str">
        <f>IF(ROWS($1:996)&lt;=Nper,ROWS($1:996),"")</f>
        <v/>
      </c>
      <c r="C1008" s="67" t="str">
        <f>IF($B1008="","",IF($E$7="Weekly",Start_Date+7*(ROWS($1:996)-1),EDATE(Start_Date,VLOOKUP(IF(ASTemp!$E$7="","Monthly",ASTemp!$E$7),Parameters!$B$3:$D$6,3,0)*(ROWS($1:996)-1))))</f>
        <v/>
      </c>
      <c r="D1008" s="68" t="str">
        <f t="shared" si="2"/>
        <v/>
      </c>
      <c r="E1008" s="65" t="str">
        <f>IF($B1008="","",VLOOKUP(MONTH(C1008),Parameters!$F$2:$G$13,2,0))</f>
        <v/>
      </c>
      <c r="F1008" s="69" t="str">
        <f>IF($B1008="","",PV-N(J1007))</f>
        <v/>
      </c>
      <c r="G1008" s="69" t="str">
        <f>IF($B1008="","",PMT(Rate,Nper,-PV,,Type))</f>
        <v/>
      </c>
      <c r="H1008" s="69" t="str">
        <f>IF($B1008="","",PPMT(Rate,ROWS($1:996),Nper,-PV,,Type))</f>
        <v/>
      </c>
      <c r="I1008" s="69" t="str">
        <f>IF($B1008="","",IPMT(Rate,ROWS($1:996),Nper,-PV,,Type))</f>
        <v/>
      </c>
      <c r="J1008" s="73" t="str">
        <f t="shared" ref="J1008:K1008" si="998">IF($B1008="","",N(J1007)+N(H1008))</f>
        <v/>
      </c>
      <c r="K1008" s="74" t="str">
        <f t="shared" si="998"/>
        <v/>
      </c>
      <c r="L1008" s="69" t="str">
        <f>IF($B1008="","",PV-J1008)</f>
        <v/>
      </c>
      <c r="M1008" s="71" t="str">
        <f>IF($B1008="","",J1008/PV)</f>
        <v/>
      </c>
      <c r="N1008" s="72" t="str">
        <f t="shared" si="4"/>
        <v/>
      </c>
    </row>
    <row r="1009" ht="14.25" customHeight="1">
      <c r="B1009" s="66" t="str">
        <f>IF(ROWS($1:997)&lt;=Nper,ROWS($1:997),"")</f>
        <v/>
      </c>
      <c r="C1009" s="67" t="str">
        <f>IF($B1009="","",IF($E$7="Weekly",Start_Date+7*(ROWS($1:997)-1),EDATE(Start_Date,VLOOKUP(IF(ASTemp!$E$7="","Monthly",ASTemp!$E$7),Parameters!$B$3:$D$6,3,0)*(ROWS($1:997)-1))))</f>
        <v/>
      </c>
      <c r="D1009" s="68" t="str">
        <f t="shared" si="2"/>
        <v/>
      </c>
      <c r="E1009" s="65" t="str">
        <f>IF($B1009="","",VLOOKUP(MONTH(C1009),Parameters!$F$2:$G$13,2,0))</f>
        <v/>
      </c>
      <c r="F1009" s="69" t="str">
        <f>IF($B1009="","",PV-N(J1008))</f>
        <v/>
      </c>
      <c r="G1009" s="69" t="str">
        <f>IF($B1009="","",PMT(Rate,Nper,-PV,,Type))</f>
        <v/>
      </c>
      <c r="H1009" s="69" t="str">
        <f>IF($B1009="","",PPMT(Rate,ROWS($1:997),Nper,-PV,,Type))</f>
        <v/>
      </c>
      <c r="I1009" s="69" t="str">
        <f>IF($B1009="","",IPMT(Rate,ROWS($1:997),Nper,-PV,,Type))</f>
        <v/>
      </c>
      <c r="J1009" s="73" t="str">
        <f t="shared" ref="J1009:K1009" si="999">IF($B1009="","",N(J1008)+N(H1009))</f>
        <v/>
      </c>
      <c r="K1009" s="74" t="str">
        <f t="shared" si="999"/>
        <v/>
      </c>
      <c r="L1009" s="69" t="str">
        <f>IF($B1009="","",PV-J1009)</f>
        <v/>
      </c>
      <c r="M1009" s="71" t="str">
        <f>IF($B1009="","",J1009/PV)</f>
        <v/>
      </c>
      <c r="N1009" s="72" t="str">
        <f t="shared" si="4"/>
        <v/>
      </c>
    </row>
    <row r="1010" ht="14.25" customHeight="1">
      <c r="B1010" s="66" t="str">
        <f>IF(ROWS($1:998)&lt;=Nper,ROWS($1:998),"")</f>
        <v/>
      </c>
      <c r="C1010" s="67" t="str">
        <f>IF($B1010="","",IF($E$7="Weekly",Start_Date+7*(ROWS($1:998)-1),EDATE(Start_Date,VLOOKUP(IF(ASTemp!$E$7="","Monthly",ASTemp!$E$7),Parameters!$B$3:$D$6,3,0)*(ROWS($1:998)-1))))</f>
        <v/>
      </c>
      <c r="D1010" s="68" t="str">
        <f t="shared" si="2"/>
        <v/>
      </c>
      <c r="E1010" s="65" t="str">
        <f>IF($B1010="","",VLOOKUP(MONTH(C1010),Parameters!$F$2:$G$13,2,0))</f>
        <v/>
      </c>
      <c r="F1010" s="69" t="str">
        <f>IF($B1010="","",PV-N(J1009))</f>
        <v/>
      </c>
      <c r="G1010" s="69" t="str">
        <f>IF($B1010="","",PMT(Rate,Nper,-PV,,Type))</f>
        <v/>
      </c>
      <c r="H1010" s="69" t="str">
        <f>IF($B1010="","",PPMT(Rate,ROWS($1:998),Nper,-PV,,Type))</f>
        <v/>
      </c>
      <c r="I1010" s="69" t="str">
        <f>IF($B1010="","",IPMT(Rate,ROWS($1:998),Nper,-PV,,Type))</f>
        <v/>
      </c>
      <c r="J1010" s="73" t="str">
        <f t="shared" ref="J1010:K1010" si="1000">IF($B1010="","",N(J1009)+N(H1010))</f>
        <v/>
      </c>
      <c r="K1010" s="74" t="str">
        <f t="shared" si="1000"/>
        <v/>
      </c>
      <c r="L1010" s="69" t="str">
        <f>IF($B1010="","",PV-J1010)</f>
        <v/>
      </c>
      <c r="M1010" s="71" t="str">
        <f>IF($B1010="","",J1010/PV)</f>
        <v/>
      </c>
      <c r="N1010" s="72" t="str">
        <f t="shared" si="4"/>
        <v/>
      </c>
    </row>
    <row r="1011" ht="14.25" customHeight="1">
      <c r="B1011" s="66" t="str">
        <f>IF(ROWS($1:999)&lt;=Nper,ROWS($1:999),"")</f>
        <v/>
      </c>
      <c r="C1011" s="67" t="str">
        <f>IF($B1011="","",IF($E$7="Weekly",Start_Date+7*(ROWS($1:999)-1),EDATE(Start_Date,VLOOKUP(IF(ASTemp!$E$7="","Monthly",ASTemp!$E$7),Parameters!$B$3:$D$6,3,0)*(ROWS($1:999)-1))))</f>
        <v/>
      </c>
      <c r="D1011" s="68" t="str">
        <f t="shared" si="2"/>
        <v/>
      </c>
      <c r="E1011" s="65" t="str">
        <f>IF($B1011="","",VLOOKUP(MONTH(C1011),Parameters!$F$2:$G$13,2,0))</f>
        <v/>
      </c>
      <c r="F1011" s="69" t="str">
        <f>IF($B1011="","",PV-N(J1010))</f>
        <v/>
      </c>
      <c r="G1011" s="69" t="str">
        <f>IF($B1011="","",PMT(Rate,Nper,-PV,,Type))</f>
        <v/>
      </c>
      <c r="H1011" s="69" t="str">
        <f>IF($B1011="","",PPMT(Rate,ROWS($1:999),Nper,-PV,,Type))</f>
        <v/>
      </c>
      <c r="I1011" s="69" t="str">
        <f>IF($B1011="","",IPMT(Rate,ROWS($1:999),Nper,-PV,,Type))</f>
        <v/>
      </c>
      <c r="J1011" s="73" t="str">
        <f t="shared" ref="J1011:K1011" si="1001">IF($B1011="","",N(J1010)+N(H1011))</f>
        <v/>
      </c>
      <c r="K1011" s="74" t="str">
        <f t="shared" si="1001"/>
        <v/>
      </c>
      <c r="L1011" s="69" t="str">
        <f>IF($B1011="","",PV-J1011)</f>
        <v/>
      </c>
      <c r="M1011" s="71" t="str">
        <f>IF($B1011="","",J1011/PV)</f>
        <v/>
      </c>
      <c r="N1011" s="72" t="str">
        <f t="shared" si="4"/>
        <v/>
      </c>
    </row>
    <row r="1012" ht="14.25" customHeight="1">
      <c r="B1012" s="66" t="str">
        <f>IF(ROWS($1:1000)&lt;=Nper,ROWS($1:1000),"")</f>
        <v/>
      </c>
      <c r="C1012" s="67" t="str">
        <f>IF($B1012="","",IF($E$7="Weekly",Start_Date+7*(ROWS($1:1000)-1),EDATE(Start_Date,VLOOKUP(IF(ASTemp!$E$7="","Monthly",ASTemp!$E$7),Parameters!$B$3:$D$6,3,0)*(ROWS($1:1000)-1))))</f>
        <v/>
      </c>
      <c r="D1012" s="68" t="str">
        <f t="shared" si="2"/>
        <v/>
      </c>
      <c r="E1012" s="65" t="str">
        <f>IF($B1012="","",VLOOKUP(MONTH(C1012),Parameters!$F$2:$G$13,2,0))</f>
        <v/>
      </c>
      <c r="F1012" s="69" t="str">
        <f>IF($B1012="","",PV-N(J1011))</f>
        <v/>
      </c>
      <c r="G1012" s="69" t="str">
        <f>IF($B1012="","",PMT(Rate,Nper,-PV,,Type))</f>
        <v/>
      </c>
      <c r="H1012" s="69" t="str">
        <f>IF($B1012="","",PPMT(Rate,ROWS($1:1000),Nper,-PV,,Type))</f>
        <v/>
      </c>
      <c r="I1012" s="69" t="str">
        <f>IF($B1012="","",IPMT(Rate,ROWS($1:1000),Nper,-PV,,Type))</f>
        <v/>
      </c>
      <c r="J1012" s="73" t="str">
        <f t="shared" ref="J1012:K1012" si="1002">IF($B1012="","",N(J1011)+N(H1012))</f>
        <v/>
      </c>
      <c r="K1012" s="74" t="str">
        <f t="shared" si="1002"/>
        <v/>
      </c>
      <c r="L1012" s="69" t="str">
        <f>IF($B1012="","",PV-J1012)</f>
        <v/>
      </c>
      <c r="M1012" s="71" t="str">
        <f>IF($B1012="","",J1012/PV)</f>
        <v/>
      </c>
      <c r="N1012" s="72" t="str">
        <f t="shared" si="4"/>
        <v/>
      </c>
    </row>
    <row r="1013" ht="14.25" customHeight="1">
      <c r="B1013" s="66" t="str">
        <f>IF(ROWS($1:1001)&lt;=Nper,ROWS($1:1001),"")</f>
        <v/>
      </c>
      <c r="C1013" s="67" t="str">
        <f>IF($B1013="","",IF($E$7="Weekly",Start_Date+7*(ROWS($1:1001)-1),EDATE(Start_Date,VLOOKUP(IF(ASTemp!$E$7="","Monthly",ASTemp!$E$7),Parameters!$B$3:$D$6,3,0)*(ROWS($1:1001)-1))))</f>
        <v/>
      </c>
      <c r="D1013" s="68" t="str">
        <f t="shared" si="2"/>
        <v/>
      </c>
      <c r="E1013" s="65" t="str">
        <f>IF($B1013="","",VLOOKUP(MONTH(C1013),Parameters!$F$2:$G$13,2,0))</f>
        <v/>
      </c>
      <c r="F1013" s="69" t="str">
        <f>IF($B1013="","",PV-N(J1012))</f>
        <v/>
      </c>
      <c r="G1013" s="69" t="str">
        <f>IF($B1013="","",PMT(Rate,Nper,-PV,,Type))</f>
        <v/>
      </c>
      <c r="H1013" s="69" t="str">
        <f>IF($B1013="","",PPMT(Rate,ROWS($1:1001),Nper,-PV,,Type))</f>
        <v/>
      </c>
      <c r="I1013" s="69" t="str">
        <f>IF($B1013="","",IPMT(Rate,ROWS($1:1001),Nper,-PV,,Type))</f>
        <v/>
      </c>
      <c r="J1013" s="73" t="str">
        <f t="shared" ref="J1013:K1013" si="1003">IF($B1013="","",N(J1012)+N(H1013))</f>
        <v/>
      </c>
      <c r="K1013" s="74" t="str">
        <f t="shared" si="1003"/>
        <v/>
      </c>
      <c r="L1013" s="69" t="str">
        <f>IF($B1013="","",PV-J1013)</f>
        <v/>
      </c>
      <c r="M1013" s="71" t="str">
        <f>IF($B1013="","",J1013/PV)</f>
        <v/>
      </c>
      <c r="N1013" s="72" t="str">
        <f t="shared" si="4"/>
        <v/>
      </c>
    </row>
    <row r="1014" ht="14.25" customHeight="1">
      <c r="B1014" s="66" t="str">
        <f>IF(ROWS($1:1002)&lt;=Nper,ROWS($1:1002),"")</f>
        <v/>
      </c>
      <c r="C1014" s="67" t="str">
        <f>IF($B1014="","",IF($E$7="Weekly",Start_Date+7*(ROWS($1:1002)-1),EDATE(Start_Date,VLOOKUP(IF(ASTemp!$E$7="","Monthly",ASTemp!$E$7),Parameters!$B$3:$D$6,3,0)*(ROWS($1:1002)-1))))</f>
        <v/>
      </c>
      <c r="D1014" s="68" t="str">
        <f t="shared" si="2"/>
        <v/>
      </c>
      <c r="E1014" s="65" t="str">
        <f>IF($B1014="","",VLOOKUP(MONTH(C1014),Parameters!$F$2:$G$13,2,0))</f>
        <v/>
      </c>
      <c r="F1014" s="69" t="str">
        <f>IF($B1014="","",PV-N(J1013))</f>
        <v/>
      </c>
      <c r="G1014" s="69" t="str">
        <f>IF($B1014="","",PMT(Rate,Nper,-PV,,Type))</f>
        <v/>
      </c>
      <c r="H1014" s="69" t="str">
        <f>IF($B1014="","",PPMT(Rate,ROWS($1:1002),Nper,-PV,,Type))</f>
        <v/>
      </c>
      <c r="I1014" s="69" t="str">
        <f>IF($B1014="","",IPMT(Rate,ROWS($1:1002),Nper,-PV,,Type))</f>
        <v/>
      </c>
      <c r="J1014" s="73" t="str">
        <f t="shared" ref="J1014:K1014" si="1004">IF($B1014="","",N(J1013)+N(H1014))</f>
        <v/>
      </c>
      <c r="K1014" s="74" t="str">
        <f t="shared" si="1004"/>
        <v/>
      </c>
      <c r="L1014" s="69" t="str">
        <f>IF($B1014="","",PV-J1014)</f>
        <v/>
      </c>
      <c r="M1014" s="71" t="str">
        <f>IF($B1014="","",J1014/PV)</f>
        <v/>
      </c>
      <c r="N1014" s="72" t="str">
        <f t="shared" si="4"/>
        <v/>
      </c>
    </row>
    <row r="1015" ht="14.25" customHeight="1">
      <c r="B1015" s="66" t="str">
        <f>IF(ROWS($1:1003)&lt;=Nper,ROWS($1:1003),"")</f>
        <v/>
      </c>
      <c r="C1015" s="67" t="str">
        <f>IF($B1015="","",IF($E$7="Weekly",Start_Date+7*(ROWS($1:1003)-1),EDATE(Start_Date,VLOOKUP(IF(ASTemp!$E$7="","Monthly",ASTemp!$E$7),Parameters!$B$3:$D$6,3,0)*(ROWS($1:1003)-1))))</f>
        <v/>
      </c>
      <c r="D1015" s="68" t="str">
        <f t="shared" si="2"/>
        <v/>
      </c>
      <c r="E1015" s="65" t="str">
        <f>IF($B1015="","",VLOOKUP(MONTH(C1015),Parameters!$F$2:$G$13,2,0))</f>
        <v/>
      </c>
      <c r="F1015" s="69" t="str">
        <f>IF($B1015="","",PV-N(J1014))</f>
        <v/>
      </c>
      <c r="G1015" s="69" t="str">
        <f>IF($B1015="","",PMT(Rate,Nper,-PV,,Type))</f>
        <v/>
      </c>
      <c r="H1015" s="69" t="str">
        <f>IF($B1015="","",PPMT(Rate,ROWS($1:1003),Nper,-PV,,Type))</f>
        <v/>
      </c>
      <c r="I1015" s="69" t="str">
        <f>IF($B1015="","",IPMT(Rate,ROWS($1:1003),Nper,-PV,,Type))</f>
        <v/>
      </c>
      <c r="J1015" s="73" t="str">
        <f t="shared" ref="J1015:K1015" si="1005">IF($B1015="","",N(J1014)+N(H1015))</f>
        <v/>
      </c>
      <c r="K1015" s="74" t="str">
        <f t="shared" si="1005"/>
        <v/>
      </c>
      <c r="L1015" s="69" t="str">
        <f>IF($B1015="","",PV-J1015)</f>
        <v/>
      </c>
      <c r="M1015" s="71" t="str">
        <f>IF($B1015="","",J1015/PV)</f>
        <v/>
      </c>
      <c r="N1015" s="72" t="str">
        <f t="shared" si="4"/>
        <v/>
      </c>
    </row>
    <row r="1016" ht="14.25" customHeight="1">
      <c r="B1016" s="66" t="str">
        <f>IF(ROWS($1:1004)&lt;=Nper,ROWS($1:1004),"")</f>
        <v/>
      </c>
      <c r="C1016" s="67" t="str">
        <f>IF($B1016="","",IF($E$7="Weekly",Start_Date+7*(ROWS($1:1004)-1),EDATE(Start_Date,VLOOKUP(IF(ASTemp!$E$7="","Monthly",ASTemp!$E$7),Parameters!$B$3:$D$6,3,0)*(ROWS($1:1004)-1))))</f>
        <v/>
      </c>
      <c r="D1016" s="68" t="str">
        <f t="shared" si="2"/>
        <v/>
      </c>
      <c r="E1016" s="65" t="str">
        <f>IF($B1016="","",VLOOKUP(MONTH(C1016),Parameters!$F$2:$G$13,2,0))</f>
        <v/>
      </c>
      <c r="F1016" s="69" t="str">
        <f>IF($B1016="","",PV-N(J1015))</f>
        <v/>
      </c>
      <c r="G1016" s="69" t="str">
        <f>IF($B1016="","",PMT(Rate,Nper,-PV,,Type))</f>
        <v/>
      </c>
      <c r="H1016" s="69" t="str">
        <f>IF($B1016="","",PPMT(Rate,ROWS($1:1004),Nper,-PV,,Type))</f>
        <v/>
      </c>
      <c r="I1016" s="69" t="str">
        <f>IF($B1016="","",IPMT(Rate,ROWS($1:1004),Nper,-PV,,Type))</f>
        <v/>
      </c>
      <c r="J1016" s="73" t="str">
        <f t="shared" ref="J1016:K1016" si="1006">IF($B1016="","",N(J1015)+N(H1016))</f>
        <v/>
      </c>
      <c r="K1016" s="74" t="str">
        <f t="shared" si="1006"/>
        <v/>
      </c>
      <c r="L1016" s="69" t="str">
        <f>IF($B1016="","",PV-J1016)</f>
        <v/>
      </c>
      <c r="M1016" s="71" t="str">
        <f>IF($B1016="","",J1016/PV)</f>
        <v/>
      </c>
      <c r="N1016" s="72" t="str">
        <f t="shared" si="4"/>
        <v/>
      </c>
    </row>
    <row r="1017" ht="14.25" customHeight="1">
      <c r="B1017" s="66" t="str">
        <f>IF(ROWS($1:1005)&lt;=Nper,ROWS($1:1005),"")</f>
        <v/>
      </c>
      <c r="C1017" s="67" t="str">
        <f>IF($B1017="","",IF($E$7="Weekly",Start_Date+7*(ROWS($1:1005)-1),EDATE(Start_Date,VLOOKUP(IF(ASTemp!$E$7="","Monthly",ASTemp!$E$7),Parameters!$B$3:$D$6,3,0)*(ROWS($1:1005)-1))))</f>
        <v/>
      </c>
      <c r="D1017" s="68" t="str">
        <f t="shared" si="2"/>
        <v/>
      </c>
      <c r="E1017" s="65" t="str">
        <f>IF($B1017="","",VLOOKUP(MONTH(C1017),Parameters!$F$2:$G$13,2,0))</f>
        <v/>
      </c>
      <c r="F1017" s="69" t="str">
        <f>IF($B1017="","",PV-N(J1016))</f>
        <v/>
      </c>
      <c r="G1017" s="69" t="str">
        <f>IF($B1017="","",PMT(Rate,Nper,-PV,,Type))</f>
        <v/>
      </c>
      <c r="H1017" s="69" t="str">
        <f>IF($B1017="","",PPMT(Rate,ROWS($1:1005),Nper,-PV,,Type))</f>
        <v/>
      </c>
      <c r="I1017" s="69" t="str">
        <f>IF($B1017="","",IPMT(Rate,ROWS($1:1005),Nper,-PV,,Type))</f>
        <v/>
      </c>
      <c r="J1017" s="73" t="str">
        <f t="shared" ref="J1017:K1017" si="1007">IF($B1017="","",N(J1016)+N(H1017))</f>
        <v/>
      </c>
      <c r="K1017" s="74" t="str">
        <f t="shared" si="1007"/>
        <v/>
      </c>
      <c r="L1017" s="69" t="str">
        <f>IF($B1017="","",PV-J1017)</f>
        <v/>
      </c>
      <c r="M1017" s="71" t="str">
        <f>IF($B1017="","",J1017/PV)</f>
        <v/>
      </c>
      <c r="N1017" s="72" t="str">
        <f t="shared" si="4"/>
        <v/>
      </c>
    </row>
    <row r="1018" ht="14.25" customHeight="1">
      <c r="B1018" s="66" t="str">
        <f>IF(ROWS($1:1006)&lt;=Nper,ROWS($1:1006),"")</f>
        <v/>
      </c>
      <c r="C1018" s="67" t="str">
        <f>IF($B1018="","",IF($E$7="Weekly",Start_Date+7*(ROWS($1:1006)-1),EDATE(Start_Date,VLOOKUP(IF(ASTemp!$E$7="","Monthly",ASTemp!$E$7),Parameters!$B$3:$D$6,3,0)*(ROWS($1:1006)-1))))</f>
        <v/>
      </c>
      <c r="D1018" s="68" t="str">
        <f t="shared" si="2"/>
        <v/>
      </c>
      <c r="E1018" s="65" t="str">
        <f>IF($B1018="","",VLOOKUP(MONTH(C1018),Parameters!$F$2:$G$13,2,0))</f>
        <v/>
      </c>
      <c r="F1018" s="69" t="str">
        <f>IF($B1018="","",PV-N(J1017))</f>
        <v/>
      </c>
      <c r="G1018" s="69" t="str">
        <f>IF($B1018="","",PMT(Rate,Nper,-PV,,Type))</f>
        <v/>
      </c>
      <c r="H1018" s="69" t="str">
        <f>IF($B1018="","",PPMT(Rate,ROWS($1:1006),Nper,-PV,,Type))</f>
        <v/>
      </c>
      <c r="I1018" s="69" t="str">
        <f>IF($B1018="","",IPMT(Rate,ROWS($1:1006),Nper,-PV,,Type))</f>
        <v/>
      </c>
      <c r="J1018" s="73" t="str">
        <f t="shared" ref="J1018:K1018" si="1008">IF($B1018="","",N(J1017)+N(H1018))</f>
        <v/>
      </c>
      <c r="K1018" s="74" t="str">
        <f t="shared" si="1008"/>
        <v/>
      </c>
      <c r="L1018" s="69" t="str">
        <f>IF($B1018="","",PV-J1018)</f>
        <v/>
      </c>
      <c r="M1018" s="71" t="str">
        <f>IF($B1018="","",J1018/PV)</f>
        <v/>
      </c>
      <c r="N1018" s="72" t="str">
        <f t="shared" si="4"/>
        <v/>
      </c>
    </row>
    <row r="1019" ht="14.25" customHeight="1">
      <c r="B1019" s="66" t="str">
        <f>IF(ROWS($1:1007)&lt;=Nper,ROWS($1:1007),"")</f>
        <v/>
      </c>
      <c r="C1019" s="67" t="str">
        <f>IF($B1019="","",IF($E$7="Weekly",Start_Date+7*(ROWS($1:1007)-1),EDATE(Start_Date,VLOOKUP(IF(ASTemp!$E$7="","Monthly",ASTemp!$E$7),Parameters!$B$3:$D$6,3,0)*(ROWS($1:1007)-1))))</f>
        <v/>
      </c>
      <c r="D1019" s="68" t="str">
        <f t="shared" si="2"/>
        <v/>
      </c>
      <c r="E1019" s="65" t="str">
        <f>IF($B1019="","",VLOOKUP(MONTH(C1019),Parameters!$F$2:$G$13,2,0))</f>
        <v/>
      </c>
      <c r="F1019" s="69" t="str">
        <f>IF($B1019="","",PV-N(J1018))</f>
        <v/>
      </c>
      <c r="G1019" s="69" t="str">
        <f>IF($B1019="","",PMT(Rate,Nper,-PV,,Type))</f>
        <v/>
      </c>
      <c r="H1019" s="69" t="str">
        <f>IF($B1019="","",PPMT(Rate,ROWS($1:1007),Nper,-PV,,Type))</f>
        <v/>
      </c>
      <c r="I1019" s="69" t="str">
        <f>IF($B1019="","",IPMT(Rate,ROWS($1:1007),Nper,-PV,,Type))</f>
        <v/>
      </c>
      <c r="J1019" s="73" t="str">
        <f t="shared" ref="J1019:K1019" si="1009">IF($B1019="","",N(J1018)+N(H1019))</f>
        <v/>
      </c>
      <c r="K1019" s="74" t="str">
        <f t="shared" si="1009"/>
        <v/>
      </c>
      <c r="L1019" s="69" t="str">
        <f>IF($B1019="","",PV-J1019)</f>
        <v/>
      </c>
      <c r="M1019" s="71" t="str">
        <f>IF($B1019="","",J1019/PV)</f>
        <v/>
      </c>
      <c r="N1019" s="72" t="str">
        <f t="shared" si="4"/>
        <v/>
      </c>
    </row>
    <row r="1020" ht="14.25" customHeight="1">
      <c r="B1020" s="66" t="str">
        <f>IF(ROWS($1:1008)&lt;=Nper,ROWS($1:1008),"")</f>
        <v/>
      </c>
      <c r="C1020" s="67" t="str">
        <f>IF($B1020="","",IF($E$7="Weekly",Start_Date+7*(ROWS($1:1008)-1),EDATE(Start_Date,VLOOKUP(IF(ASTemp!$E$7="","Monthly",ASTemp!$E$7),Parameters!$B$3:$D$6,3,0)*(ROWS($1:1008)-1))))</f>
        <v/>
      </c>
      <c r="D1020" s="68" t="str">
        <f t="shared" si="2"/>
        <v/>
      </c>
      <c r="E1020" s="65" t="str">
        <f>IF($B1020="","",VLOOKUP(MONTH(C1020),Parameters!$F$2:$G$13,2,0))</f>
        <v/>
      </c>
      <c r="F1020" s="69" t="str">
        <f>IF($B1020="","",PV-N(J1019))</f>
        <v/>
      </c>
      <c r="G1020" s="69" t="str">
        <f>IF($B1020="","",PMT(Rate,Nper,-PV,,Type))</f>
        <v/>
      </c>
      <c r="H1020" s="69" t="str">
        <f>IF($B1020="","",PPMT(Rate,ROWS($1:1008),Nper,-PV,,Type))</f>
        <v/>
      </c>
      <c r="I1020" s="69" t="str">
        <f>IF($B1020="","",IPMT(Rate,ROWS($1:1008),Nper,-PV,,Type))</f>
        <v/>
      </c>
      <c r="J1020" s="73" t="str">
        <f t="shared" ref="J1020:K1020" si="1010">IF($B1020="","",N(J1019)+N(H1020))</f>
        <v/>
      </c>
      <c r="K1020" s="74" t="str">
        <f t="shared" si="1010"/>
        <v/>
      </c>
      <c r="L1020" s="69" t="str">
        <f>IF($B1020="","",PV-J1020)</f>
        <v/>
      </c>
      <c r="M1020" s="71" t="str">
        <f>IF($B1020="","",J1020/PV)</f>
        <v/>
      </c>
      <c r="N1020" s="72" t="str">
        <f t="shared" si="4"/>
        <v/>
      </c>
    </row>
    <row r="1021" ht="14.25" customHeight="1">
      <c r="B1021" s="66" t="str">
        <f>IF(ROWS($1:1009)&lt;=Nper,ROWS($1:1009),"")</f>
        <v/>
      </c>
      <c r="C1021" s="67" t="str">
        <f>IF($B1021="","",IF($E$7="Weekly",Start_Date+7*(ROWS($1:1009)-1),EDATE(Start_Date,VLOOKUP(IF(ASTemp!$E$7="","Monthly",ASTemp!$E$7),Parameters!$B$3:$D$6,3,0)*(ROWS($1:1009)-1))))</f>
        <v/>
      </c>
      <c r="D1021" s="68" t="str">
        <f t="shared" si="2"/>
        <v/>
      </c>
      <c r="E1021" s="65" t="str">
        <f>IF($B1021="","",VLOOKUP(MONTH(C1021),Parameters!$F$2:$G$13,2,0))</f>
        <v/>
      </c>
      <c r="F1021" s="69" t="str">
        <f>IF($B1021="","",PV-N(J1020))</f>
        <v/>
      </c>
      <c r="G1021" s="69" t="str">
        <f>IF($B1021="","",PMT(Rate,Nper,-PV,,Type))</f>
        <v/>
      </c>
      <c r="H1021" s="69" t="str">
        <f>IF($B1021="","",PPMT(Rate,ROWS($1:1009),Nper,-PV,,Type))</f>
        <v/>
      </c>
      <c r="I1021" s="69" t="str">
        <f>IF($B1021="","",IPMT(Rate,ROWS($1:1009),Nper,-PV,,Type))</f>
        <v/>
      </c>
      <c r="J1021" s="73" t="str">
        <f t="shared" ref="J1021:K1021" si="1011">IF($B1021="","",N(J1020)+N(H1021))</f>
        <v/>
      </c>
      <c r="K1021" s="74" t="str">
        <f t="shared" si="1011"/>
        <v/>
      </c>
      <c r="L1021" s="69" t="str">
        <f>IF($B1021="","",PV-J1021)</f>
        <v/>
      </c>
      <c r="M1021" s="71" t="str">
        <f>IF($B1021="","",J1021/PV)</f>
        <v/>
      </c>
      <c r="N1021" s="72" t="str">
        <f t="shared" si="4"/>
        <v/>
      </c>
    </row>
    <row r="1022" ht="14.25" customHeight="1">
      <c r="B1022" s="66" t="str">
        <f>IF(ROWS($1:1010)&lt;=Nper,ROWS($1:1010),"")</f>
        <v/>
      </c>
      <c r="C1022" s="67" t="str">
        <f>IF($B1022="","",IF($E$7="Weekly",Start_Date+7*(ROWS($1:1010)-1),EDATE(Start_Date,VLOOKUP(IF(ASTemp!$E$7="","Monthly",ASTemp!$E$7),Parameters!$B$3:$D$6,3,0)*(ROWS($1:1010)-1))))</f>
        <v/>
      </c>
      <c r="D1022" s="68" t="str">
        <f t="shared" si="2"/>
        <v/>
      </c>
      <c r="E1022" s="65" t="str">
        <f>IF($B1022="","",VLOOKUP(MONTH(C1022),Parameters!$F$2:$G$13,2,0))</f>
        <v/>
      </c>
      <c r="F1022" s="69" t="str">
        <f>IF($B1022="","",PV-N(J1021))</f>
        <v/>
      </c>
      <c r="G1022" s="69" t="str">
        <f>IF($B1022="","",PMT(Rate,Nper,-PV,,Type))</f>
        <v/>
      </c>
      <c r="H1022" s="69" t="str">
        <f>IF($B1022="","",PPMT(Rate,ROWS($1:1010),Nper,-PV,,Type))</f>
        <v/>
      </c>
      <c r="I1022" s="69" t="str">
        <f>IF($B1022="","",IPMT(Rate,ROWS($1:1010),Nper,-PV,,Type))</f>
        <v/>
      </c>
      <c r="J1022" s="73" t="str">
        <f t="shared" ref="J1022:K1022" si="1012">IF($B1022="","",N(J1021)+N(H1022))</f>
        <v/>
      </c>
      <c r="K1022" s="74" t="str">
        <f t="shared" si="1012"/>
        <v/>
      </c>
      <c r="L1022" s="69" t="str">
        <f>IF($B1022="","",PV-J1022)</f>
        <v/>
      </c>
      <c r="M1022" s="71" t="str">
        <f>IF($B1022="","",J1022/PV)</f>
        <v/>
      </c>
      <c r="N1022" s="72" t="str">
        <f t="shared" si="4"/>
        <v/>
      </c>
    </row>
    <row r="1023" ht="14.25" customHeight="1">
      <c r="B1023" s="66" t="str">
        <f>IF(ROWS($1:1011)&lt;=Nper,ROWS($1:1011),"")</f>
        <v/>
      </c>
      <c r="C1023" s="67" t="str">
        <f>IF($B1023="","",IF($E$7="Weekly",Start_Date+7*(ROWS($1:1011)-1),EDATE(Start_Date,VLOOKUP(IF(ASTemp!$E$7="","Monthly",ASTemp!$E$7),Parameters!$B$3:$D$6,3,0)*(ROWS($1:1011)-1))))</f>
        <v/>
      </c>
      <c r="D1023" s="68" t="str">
        <f t="shared" si="2"/>
        <v/>
      </c>
      <c r="E1023" s="65" t="str">
        <f>IF($B1023="","",VLOOKUP(MONTH(C1023),Parameters!$F$2:$G$13,2,0))</f>
        <v/>
      </c>
      <c r="F1023" s="69" t="str">
        <f>IF($B1023="","",PV-N(J1022))</f>
        <v/>
      </c>
      <c r="G1023" s="69" t="str">
        <f>IF($B1023="","",PMT(Rate,Nper,-PV,,Type))</f>
        <v/>
      </c>
      <c r="H1023" s="69" t="str">
        <f>IF($B1023="","",PPMT(Rate,ROWS($1:1011),Nper,-PV,,Type))</f>
        <v/>
      </c>
      <c r="I1023" s="69" t="str">
        <f>IF($B1023="","",IPMT(Rate,ROWS($1:1011),Nper,-PV,,Type))</f>
        <v/>
      </c>
      <c r="J1023" s="73" t="str">
        <f t="shared" ref="J1023:K1023" si="1013">IF($B1023="","",N(J1022)+N(H1023))</f>
        <v/>
      </c>
      <c r="K1023" s="74" t="str">
        <f t="shared" si="1013"/>
        <v/>
      </c>
      <c r="L1023" s="69" t="str">
        <f>IF($B1023="","",PV-J1023)</f>
        <v/>
      </c>
      <c r="M1023" s="71" t="str">
        <f>IF($B1023="","",J1023/PV)</f>
        <v/>
      </c>
      <c r="N1023" s="72" t="str">
        <f t="shared" si="4"/>
        <v/>
      </c>
    </row>
    <row r="1024" ht="14.25" customHeight="1">
      <c r="B1024" s="66" t="str">
        <f>IF(ROWS($1:1012)&lt;=Nper,ROWS($1:1012),"")</f>
        <v/>
      </c>
      <c r="C1024" s="67" t="str">
        <f>IF($B1024="","",IF($E$7="Weekly",Start_Date+7*(ROWS($1:1012)-1),EDATE(Start_Date,VLOOKUP(IF(ASTemp!$E$7="","Monthly",ASTemp!$E$7),Parameters!$B$3:$D$6,3,0)*(ROWS($1:1012)-1))))</f>
        <v/>
      </c>
      <c r="D1024" s="68" t="str">
        <f t="shared" si="2"/>
        <v/>
      </c>
      <c r="E1024" s="65" t="str">
        <f>IF($B1024="","",VLOOKUP(MONTH(C1024),Parameters!$F$2:$G$13,2,0))</f>
        <v/>
      </c>
      <c r="F1024" s="69" t="str">
        <f>IF($B1024="","",PV-N(J1023))</f>
        <v/>
      </c>
      <c r="G1024" s="69" t="str">
        <f>IF($B1024="","",PMT(Rate,Nper,-PV,,Type))</f>
        <v/>
      </c>
      <c r="H1024" s="69" t="str">
        <f>IF($B1024="","",PPMT(Rate,ROWS($1:1012),Nper,-PV,,Type))</f>
        <v/>
      </c>
      <c r="I1024" s="69" t="str">
        <f>IF($B1024="","",IPMT(Rate,ROWS($1:1012),Nper,-PV,,Type))</f>
        <v/>
      </c>
      <c r="J1024" s="73" t="str">
        <f t="shared" ref="J1024:K1024" si="1014">IF($B1024="","",N(J1023)+N(H1024))</f>
        <v/>
      </c>
      <c r="K1024" s="74" t="str">
        <f t="shared" si="1014"/>
        <v/>
      </c>
      <c r="L1024" s="69" t="str">
        <f>IF($B1024="","",PV-J1024)</f>
        <v/>
      </c>
      <c r="M1024" s="71" t="str">
        <f>IF($B1024="","",J1024/PV)</f>
        <v/>
      </c>
      <c r="N1024" s="72" t="str">
        <f t="shared" si="4"/>
        <v/>
      </c>
    </row>
    <row r="1025" ht="14.25" customHeight="1">
      <c r="B1025" s="66" t="str">
        <f>IF(ROWS($1:1013)&lt;=Nper,ROWS($1:1013),"")</f>
        <v/>
      </c>
      <c r="C1025" s="67" t="str">
        <f>IF($B1025="","",IF($E$7="Weekly",Start_Date+7*(ROWS($1:1013)-1),EDATE(Start_Date,VLOOKUP(IF(ASTemp!$E$7="","Monthly",ASTemp!$E$7),Parameters!$B$3:$D$6,3,0)*(ROWS($1:1013)-1))))</f>
        <v/>
      </c>
      <c r="D1025" s="68" t="str">
        <f t="shared" si="2"/>
        <v/>
      </c>
      <c r="E1025" s="65" t="str">
        <f>IF($B1025="","",VLOOKUP(MONTH(C1025),Parameters!$F$2:$G$13,2,0))</f>
        <v/>
      </c>
      <c r="F1025" s="69" t="str">
        <f>IF($B1025="","",PV-N(J1024))</f>
        <v/>
      </c>
      <c r="G1025" s="69" t="str">
        <f>IF($B1025="","",PMT(Rate,Nper,-PV,,Type))</f>
        <v/>
      </c>
      <c r="H1025" s="69" t="str">
        <f>IF($B1025="","",PPMT(Rate,ROWS($1:1013),Nper,-PV,,Type))</f>
        <v/>
      </c>
      <c r="I1025" s="69" t="str">
        <f>IF($B1025="","",IPMT(Rate,ROWS($1:1013),Nper,-PV,,Type))</f>
        <v/>
      </c>
      <c r="J1025" s="73" t="str">
        <f t="shared" ref="J1025:K1025" si="1015">IF($B1025="","",N(J1024)+N(H1025))</f>
        <v/>
      </c>
      <c r="K1025" s="74" t="str">
        <f t="shared" si="1015"/>
        <v/>
      </c>
      <c r="L1025" s="69" t="str">
        <f>IF($B1025="","",PV-J1025)</f>
        <v/>
      </c>
      <c r="M1025" s="71" t="str">
        <f>IF($B1025="","",J1025/PV)</f>
        <v/>
      </c>
      <c r="N1025" s="72" t="str">
        <f t="shared" si="4"/>
        <v/>
      </c>
    </row>
    <row r="1026" ht="14.25" customHeight="1">
      <c r="B1026" s="66" t="str">
        <f>IF(ROWS($1:1014)&lt;=Nper,ROWS($1:1014),"")</f>
        <v/>
      </c>
      <c r="C1026" s="67" t="str">
        <f>IF($B1026="","",IF($E$7="Weekly",Start_Date+7*(ROWS($1:1014)-1),EDATE(Start_Date,VLOOKUP(IF(ASTemp!$E$7="","Monthly",ASTemp!$E$7),Parameters!$B$3:$D$6,3,0)*(ROWS($1:1014)-1))))</f>
        <v/>
      </c>
      <c r="D1026" s="68" t="str">
        <f t="shared" si="2"/>
        <v/>
      </c>
      <c r="E1026" s="65" t="str">
        <f>IF($B1026="","",VLOOKUP(MONTH(C1026),Parameters!$F$2:$G$13,2,0))</f>
        <v/>
      </c>
      <c r="F1026" s="69" t="str">
        <f>IF($B1026="","",PV-N(J1025))</f>
        <v/>
      </c>
      <c r="G1026" s="69" t="str">
        <f>IF($B1026="","",PMT(Rate,Nper,-PV,,Type))</f>
        <v/>
      </c>
      <c r="H1026" s="69" t="str">
        <f>IF($B1026="","",PPMT(Rate,ROWS($1:1014),Nper,-PV,,Type))</f>
        <v/>
      </c>
      <c r="I1026" s="69" t="str">
        <f>IF($B1026="","",IPMT(Rate,ROWS($1:1014),Nper,-PV,,Type))</f>
        <v/>
      </c>
      <c r="J1026" s="73" t="str">
        <f t="shared" ref="J1026:K1026" si="1016">IF($B1026="","",N(J1025)+N(H1026))</f>
        <v/>
      </c>
      <c r="K1026" s="74" t="str">
        <f t="shared" si="1016"/>
        <v/>
      </c>
      <c r="L1026" s="69" t="str">
        <f>IF($B1026="","",PV-J1026)</f>
        <v/>
      </c>
      <c r="M1026" s="71" t="str">
        <f>IF($B1026="","",J1026/PV)</f>
        <v/>
      </c>
      <c r="N1026" s="72" t="str">
        <f t="shared" si="4"/>
        <v/>
      </c>
    </row>
    <row r="1027" ht="14.25" customHeight="1">
      <c r="B1027" s="66" t="str">
        <f>IF(ROWS($1:1015)&lt;=Nper,ROWS($1:1015),"")</f>
        <v/>
      </c>
      <c r="C1027" s="67" t="str">
        <f>IF($B1027="","",IF($E$7="Weekly",Start_Date+7*(ROWS($1:1015)-1),EDATE(Start_Date,VLOOKUP(IF(ASTemp!$E$7="","Monthly",ASTemp!$E$7),Parameters!$B$3:$D$6,3,0)*(ROWS($1:1015)-1))))</f>
        <v/>
      </c>
      <c r="D1027" s="68" t="str">
        <f t="shared" si="2"/>
        <v/>
      </c>
      <c r="E1027" s="65" t="str">
        <f>IF($B1027="","",VLOOKUP(MONTH(C1027),Parameters!$F$2:$G$13,2,0))</f>
        <v/>
      </c>
      <c r="F1027" s="69" t="str">
        <f>IF($B1027="","",PV-N(J1026))</f>
        <v/>
      </c>
      <c r="G1027" s="69" t="str">
        <f>IF($B1027="","",PMT(Rate,Nper,-PV,,Type))</f>
        <v/>
      </c>
      <c r="H1027" s="69" t="str">
        <f>IF($B1027="","",PPMT(Rate,ROWS($1:1015),Nper,-PV,,Type))</f>
        <v/>
      </c>
      <c r="I1027" s="69" t="str">
        <f>IF($B1027="","",IPMT(Rate,ROWS($1:1015),Nper,-PV,,Type))</f>
        <v/>
      </c>
      <c r="J1027" s="73" t="str">
        <f t="shared" ref="J1027:K1027" si="1017">IF($B1027="","",N(J1026)+N(H1027))</f>
        <v/>
      </c>
      <c r="K1027" s="74" t="str">
        <f t="shared" si="1017"/>
        <v/>
      </c>
      <c r="L1027" s="69" t="str">
        <f>IF($B1027="","",PV-J1027)</f>
        <v/>
      </c>
      <c r="M1027" s="71" t="str">
        <f>IF($B1027="","",J1027/PV)</f>
        <v/>
      </c>
      <c r="N1027" s="72" t="str">
        <f t="shared" si="4"/>
        <v/>
      </c>
    </row>
    <row r="1028" ht="14.25" customHeight="1">
      <c r="B1028" s="66" t="str">
        <f>IF(ROWS($1:1016)&lt;=Nper,ROWS($1:1016),"")</f>
        <v/>
      </c>
      <c r="C1028" s="67" t="str">
        <f>IF($B1028="","",IF($E$7="Weekly",Start_Date+7*(ROWS($1:1016)-1),EDATE(Start_Date,VLOOKUP(IF(ASTemp!$E$7="","Monthly",ASTemp!$E$7),Parameters!$B$3:$D$6,3,0)*(ROWS($1:1016)-1))))</f>
        <v/>
      </c>
      <c r="D1028" s="68" t="str">
        <f t="shared" si="2"/>
        <v/>
      </c>
      <c r="E1028" s="65" t="str">
        <f>IF($B1028="","",VLOOKUP(MONTH(C1028),Parameters!$F$2:$G$13,2,0))</f>
        <v/>
      </c>
      <c r="F1028" s="69" t="str">
        <f>IF($B1028="","",PV-N(J1027))</f>
        <v/>
      </c>
      <c r="G1028" s="69" t="str">
        <f>IF($B1028="","",PMT(Rate,Nper,-PV,,Type))</f>
        <v/>
      </c>
      <c r="H1028" s="69" t="str">
        <f>IF($B1028="","",PPMT(Rate,ROWS($1:1016),Nper,-PV,,Type))</f>
        <v/>
      </c>
      <c r="I1028" s="69" t="str">
        <f>IF($B1028="","",IPMT(Rate,ROWS($1:1016),Nper,-PV,,Type))</f>
        <v/>
      </c>
      <c r="J1028" s="73" t="str">
        <f t="shared" ref="J1028:K1028" si="1018">IF($B1028="","",N(J1027)+N(H1028))</f>
        <v/>
      </c>
      <c r="K1028" s="74" t="str">
        <f t="shared" si="1018"/>
        <v/>
      </c>
      <c r="L1028" s="69" t="str">
        <f>IF($B1028="","",PV-J1028)</f>
        <v/>
      </c>
      <c r="M1028" s="71" t="str">
        <f>IF($B1028="","",J1028/PV)</f>
        <v/>
      </c>
      <c r="N1028" s="72" t="str">
        <f t="shared" si="4"/>
        <v/>
      </c>
    </row>
    <row r="1029" ht="14.25" customHeight="1">
      <c r="B1029" s="66" t="str">
        <f>IF(ROWS($1:1017)&lt;=Nper,ROWS($1:1017),"")</f>
        <v/>
      </c>
      <c r="C1029" s="67" t="str">
        <f>IF($B1029="","",IF($E$7="Weekly",Start_Date+7*(ROWS($1:1017)-1),EDATE(Start_Date,VLOOKUP(IF(ASTemp!$E$7="","Monthly",ASTemp!$E$7),Parameters!$B$3:$D$6,3,0)*(ROWS($1:1017)-1))))</f>
        <v/>
      </c>
      <c r="D1029" s="68" t="str">
        <f t="shared" si="2"/>
        <v/>
      </c>
      <c r="E1029" s="65" t="str">
        <f>IF($B1029="","",VLOOKUP(MONTH(C1029),Parameters!$F$2:$G$13,2,0))</f>
        <v/>
      </c>
      <c r="F1029" s="69" t="str">
        <f>IF($B1029="","",PV-N(J1028))</f>
        <v/>
      </c>
      <c r="G1029" s="69" t="str">
        <f>IF($B1029="","",PMT(Rate,Nper,-PV,,Type))</f>
        <v/>
      </c>
      <c r="H1029" s="69" t="str">
        <f>IF($B1029="","",PPMT(Rate,ROWS($1:1017),Nper,-PV,,Type))</f>
        <v/>
      </c>
      <c r="I1029" s="69" t="str">
        <f>IF($B1029="","",IPMT(Rate,ROWS($1:1017),Nper,-PV,,Type))</f>
        <v/>
      </c>
      <c r="J1029" s="73" t="str">
        <f t="shared" ref="J1029:K1029" si="1019">IF($B1029="","",N(J1028)+N(H1029))</f>
        <v/>
      </c>
      <c r="K1029" s="74" t="str">
        <f t="shared" si="1019"/>
        <v/>
      </c>
      <c r="L1029" s="69" t="str">
        <f>IF($B1029="","",PV-J1029)</f>
        <v/>
      </c>
      <c r="M1029" s="71" t="str">
        <f>IF($B1029="","",J1029/PV)</f>
        <v/>
      </c>
      <c r="N1029" s="72" t="str">
        <f t="shared" si="4"/>
        <v/>
      </c>
    </row>
    <row r="1030" ht="14.25" customHeight="1">
      <c r="B1030" s="66" t="str">
        <f>IF(ROWS($1:1018)&lt;=Nper,ROWS($1:1018),"")</f>
        <v/>
      </c>
      <c r="C1030" s="67" t="str">
        <f>IF($B1030="","",IF($E$7="Weekly",Start_Date+7*(ROWS($1:1018)-1),EDATE(Start_Date,VLOOKUP(IF(ASTemp!$E$7="","Monthly",ASTemp!$E$7),Parameters!$B$3:$D$6,3,0)*(ROWS($1:1018)-1))))</f>
        <v/>
      </c>
      <c r="D1030" s="68" t="str">
        <f t="shared" si="2"/>
        <v/>
      </c>
      <c r="E1030" s="65" t="str">
        <f>IF($B1030="","",VLOOKUP(MONTH(C1030),Parameters!$F$2:$G$13,2,0))</f>
        <v/>
      </c>
      <c r="F1030" s="69" t="str">
        <f>IF($B1030="","",PV-N(J1029))</f>
        <v/>
      </c>
      <c r="G1030" s="69" t="str">
        <f>IF($B1030="","",PMT(Rate,Nper,-PV,,Type))</f>
        <v/>
      </c>
      <c r="H1030" s="69" t="str">
        <f>IF($B1030="","",PPMT(Rate,ROWS($1:1018),Nper,-PV,,Type))</f>
        <v/>
      </c>
      <c r="I1030" s="69" t="str">
        <f>IF($B1030="","",IPMT(Rate,ROWS($1:1018),Nper,-PV,,Type))</f>
        <v/>
      </c>
      <c r="J1030" s="73" t="str">
        <f t="shared" ref="J1030:K1030" si="1020">IF($B1030="","",N(J1029)+N(H1030))</f>
        <v/>
      </c>
      <c r="K1030" s="74" t="str">
        <f t="shared" si="1020"/>
        <v/>
      </c>
      <c r="L1030" s="69" t="str">
        <f>IF($B1030="","",PV-J1030)</f>
        <v/>
      </c>
      <c r="M1030" s="71" t="str">
        <f>IF($B1030="","",J1030/PV)</f>
        <v/>
      </c>
      <c r="N1030" s="72" t="str">
        <f t="shared" si="4"/>
        <v/>
      </c>
    </row>
    <row r="1031" ht="14.25" customHeight="1">
      <c r="B1031" s="66" t="str">
        <f>IF(ROWS($1:1019)&lt;=Nper,ROWS($1:1019),"")</f>
        <v/>
      </c>
      <c r="C1031" s="67" t="str">
        <f>IF($B1031="","",IF($E$7="Weekly",Start_Date+7*(ROWS($1:1019)-1),EDATE(Start_Date,VLOOKUP(IF(ASTemp!$E$7="","Monthly",ASTemp!$E$7),Parameters!$B$3:$D$6,3,0)*(ROWS($1:1019)-1))))</f>
        <v/>
      </c>
      <c r="D1031" s="68" t="str">
        <f t="shared" si="2"/>
        <v/>
      </c>
      <c r="E1031" s="65" t="str">
        <f>IF($B1031="","",VLOOKUP(MONTH(C1031),Parameters!$F$2:$G$13,2,0))</f>
        <v/>
      </c>
      <c r="F1031" s="69" t="str">
        <f>IF($B1031="","",PV-N(J1030))</f>
        <v/>
      </c>
      <c r="G1031" s="69" t="str">
        <f>IF($B1031="","",PMT(Rate,Nper,-PV,,Type))</f>
        <v/>
      </c>
      <c r="H1031" s="69" t="str">
        <f>IF($B1031="","",PPMT(Rate,ROWS($1:1019),Nper,-PV,,Type))</f>
        <v/>
      </c>
      <c r="I1031" s="69" t="str">
        <f>IF($B1031="","",IPMT(Rate,ROWS($1:1019),Nper,-PV,,Type))</f>
        <v/>
      </c>
      <c r="J1031" s="73" t="str">
        <f t="shared" ref="J1031:K1031" si="1021">IF($B1031="","",N(J1030)+N(H1031))</f>
        <v/>
      </c>
      <c r="K1031" s="74" t="str">
        <f t="shared" si="1021"/>
        <v/>
      </c>
      <c r="L1031" s="69" t="str">
        <f>IF($B1031="","",PV-J1031)</f>
        <v/>
      </c>
      <c r="M1031" s="71" t="str">
        <f>IF($B1031="","",J1031/PV)</f>
        <v/>
      </c>
      <c r="N1031" s="72" t="str">
        <f t="shared" si="4"/>
        <v/>
      </c>
    </row>
    <row r="1032" ht="14.25" customHeight="1">
      <c r="B1032" s="66" t="str">
        <f>IF(ROWS($1:1020)&lt;=Nper,ROWS($1:1020),"")</f>
        <v/>
      </c>
      <c r="C1032" s="67" t="str">
        <f>IF($B1032="","",IF($E$7="Weekly",Start_Date+7*(ROWS($1:1020)-1),EDATE(Start_Date,VLOOKUP(IF(ASTemp!$E$7="","Monthly",ASTemp!$E$7),Parameters!$B$3:$D$6,3,0)*(ROWS($1:1020)-1))))</f>
        <v/>
      </c>
      <c r="D1032" s="68" t="str">
        <f t="shared" si="2"/>
        <v/>
      </c>
      <c r="E1032" s="65" t="str">
        <f>IF($B1032="","",VLOOKUP(MONTH(C1032),Parameters!$F$2:$G$13,2,0))</f>
        <v/>
      </c>
      <c r="F1032" s="69" t="str">
        <f>IF($B1032="","",PV-N(J1031))</f>
        <v/>
      </c>
      <c r="G1032" s="69" t="str">
        <f>IF($B1032="","",PMT(Rate,Nper,-PV,,Type))</f>
        <v/>
      </c>
      <c r="H1032" s="69" t="str">
        <f>IF($B1032="","",PPMT(Rate,ROWS($1:1020),Nper,-PV,,Type))</f>
        <v/>
      </c>
      <c r="I1032" s="69" t="str">
        <f>IF($B1032="","",IPMT(Rate,ROWS($1:1020),Nper,-PV,,Type))</f>
        <v/>
      </c>
      <c r="J1032" s="73" t="str">
        <f t="shared" ref="J1032:K1032" si="1022">IF($B1032="","",N(J1031)+N(H1032))</f>
        <v/>
      </c>
      <c r="K1032" s="74" t="str">
        <f t="shared" si="1022"/>
        <v/>
      </c>
      <c r="L1032" s="69" t="str">
        <f>IF($B1032="","",PV-J1032)</f>
        <v/>
      </c>
      <c r="M1032" s="71" t="str">
        <f>IF($B1032="","",J1032/PV)</f>
        <v/>
      </c>
      <c r="N1032" s="72" t="str">
        <f t="shared" si="4"/>
        <v/>
      </c>
    </row>
    <row r="1033" ht="14.25" customHeight="1">
      <c r="B1033" s="66" t="str">
        <f>IF(ROWS($1:1021)&lt;=Nper,ROWS($1:1021),"")</f>
        <v/>
      </c>
      <c r="C1033" s="67" t="str">
        <f>IF($B1033="","",IF($E$7="Weekly",Start_Date+7*(ROWS($1:1021)-1),EDATE(Start_Date,VLOOKUP(IF(ASTemp!$E$7="","Monthly",ASTemp!$E$7),Parameters!$B$3:$D$6,3,0)*(ROWS($1:1021)-1))))</f>
        <v/>
      </c>
      <c r="D1033" s="68" t="str">
        <f t="shared" si="2"/>
        <v/>
      </c>
      <c r="E1033" s="65" t="str">
        <f>IF($B1033="","",VLOOKUP(MONTH(C1033),Parameters!$F$2:$G$13,2,0))</f>
        <v/>
      </c>
      <c r="F1033" s="69" t="str">
        <f>IF($B1033="","",PV-N(J1032))</f>
        <v/>
      </c>
      <c r="G1033" s="69" t="str">
        <f>IF($B1033="","",PMT(Rate,Nper,-PV,,Type))</f>
        <v/>
      </c>
      <c r="H1033" s="69" t="str">
        <f>IF($B1033="","",PPMT(Rate,ROWS($1:1021),Nper,-PV,,Type))</f>
        <v/>
      </c>
      <c r="I1033" s="69" t="str">
        <f>IF($B1033="","",IPMT(Rate,ROWS($1:1021),Nper,-PV,,Type))</f>
        <v/>
      </c>
      <c r="J1033" s="73" t="str">
        <f t="shared" ref="J1033:K1033" si="1023">IF($B1033="","",N(J1032)+N(H1033))</f>
        <v/>
      </c>
      <c r="K1033" s="74" t="str">
        <f t="shared" si="1023"/>
        <v/>
      </c>
      <c r="L1033" s="69" t="str">
        <f>IF($B1033="","",PV-J1033)</f>
        <v/>
      </c>
      <c r="M1033" s="71" t="str">
        <f>IF($B1033="","",J1033/PV)</f>
        <v/>
      </c>
      <c r="N1033" s="72" t="str">
        <f t="shared" si="4"/>
        <v/>
      </c>
    </row>
    <row r="1034" ht="14.25" customHeight="1">
      <c r="B1034" s="66" t="str">
        <f>IF(ROWS($1:1022)&lt;=Nper,ROWS($1:1022),"")</f>
        <v/>
      </c>
      <c r="C1034" s="67" t="str">
        <f>IF($B1034="","",IF($E$7="Weekly",Start_Date+7*(ROWS($1:1022)-1),EDATE(Start_Date,VLOOKUP(IF(ASTemp!$E$7="","Monthly",ASTemp!$E$7),Parameters!$B$3:$D$6,3,0)*(ROWS($1:1022)-1))))</f>
        <v/>
      </c>
      <c r="D1034" s="68" t="str">
        <f t="shared" si="2"/>
        <v/>
      </c>
      <c r="E1034" s="65" t="str">
        <f>IF($B1034="","",VLOOKUP(MONTH(C1034),Parameters!$F$2:$G$13,2,0))</f>
        <v/>
      </c>
      <c r="F1034" s="69" t="str">
        <f>IF($B1034="","",PV-N(J1033))</f>
        <v/>
      </c>
      <c r="G1034" s="69" t="str">
        <f>IF($B1034="","",PMT(Rate,Nper,-PV,,Type))</f>
        <v/>
      </c>
      <c r="H1034" s="69" t="str">
        <f>IF($B1034="","",PPMT(Rate,ROWS($1:1022),Nper,-PV,,Type))</f>
        <v/>
      </c>
      <c r="I1034" s="69" t="str">
        <f>IF($B1034="","",IPMT(Rate,ROWS($1:1022),Nper,-PV,,Type))</f>
        <v/>
      </c>
      <c r="J1034" s="73" t="str">
        <f t="shared" ref="J1034:K1034" si="1024">IF($B1034="","",N(J1033)+N(H1034))</f>
        <v/>
      </c>
      <c r="K1034" s="74" t="str">
        <f t="shared" si="1024"/>
        <v/>
      </c>
      <c r="L1034" s="69" t="str">
        <f>IF($B1034="","",PV-J1034)</f>
        <v/>
      </c>
      <c r="M1034" s="71" t="str">
        <f>IF($B1034="","",J1034/PV)</f>
        <v/>
      </c>
      <c r="N1034" s="72" t="str">
        <f t="shared" si="4"/>
        <v/>
      </c>
    </row>
    <row r="1035" ht="14.25" customHeight="1">
      <c r="B1035" s="66" t="str">
        <f>IF(ROWS($1:1023)&lt;=Nper,ROWS($1:1023),"")</f>
        <v/>
      </c>
      <c r="C1035" s="67" t="str">
        <f>IF($B1035="","",IF($E$7="Weekly",Start_Date+7*(ROWS($1:1023)-1),EDATE(Start_Date,VLOOKUP(IF(ASTemp!$E$7="","Monthly",ASTemp!$E$7),Parameters!$B$3:$D$6,3,0)*(ROWS($1:1023)-1))))</f>
        <v/>
      </c>
      <c r="D1035" s="68" t="str">
        <f t="shared" si="2"/>
        <v/>
      </c>
      <c r="E1035" s="65" t="str">
        <f>IF($B1035="","",VLOOKUP(MONTH(C1035),Parameters!$F$2:$G$13,2,0))</f>
        <v/>
      </c>
      <c r="F1035" s="69" t="str">
        <f>IF($B1035="","",PV-N(J1034))</f>
        <v/>
      </c>
      <c r="G1035" s="69" t="str">
        <f>IF($B1035="","",PMT(Rate,Nper,-PV,,Type))</f>
        <v/>
      </c>
      <c r="H1035" s="69" t="str">
        <f>IF($B1035="","",PPMT(Rate,ROWS($1:1023),Nper,-PV,,Type))</f>
        <v/>
      </c>
      <c r="I1035" s="69" t="str">
        <f>IF($B1035="","",IPMT(Rate,ROWS($1:1023),Nper,-PV,,Type))</f>
        <v/>
      </c>
      <c r="J1035" s="73" t="str">
        <f t="shared" ref="J1035:K1035" si="1025">IF($B1035="","",N(J1034)+N(H1035))</f>
        <v/>
      </c>
      <c r="K1035" s="74" t="str">
        <f t="shared" si="1025"/>
        <v/>
      </c>
      <c r="L1035" s="69" t="str">
        <f>IF($B1035="","",PV-J1035)</f>
        <v/>
      </c>
      <c r="M1035" s="71" t="str">
        <f>IF($B1035="","",J1035/PV)</f>
        <v/>
      </c>
      <c r="N1035" s="72" t="str">
        <f t="shared" si="4"/>
        <v/>
      </c>
    </row>
    <row r="1036" ht="14.25" customHeight="1">
      <c r="B1036" s="66" t="str">
        <f>IF(ROWS($1:1024)&lt;=Nper,ROWS($1:1024),"")</f>
        <v/>
      </c>
      <c r="C1036" s="67" t="str">
        <f>IF($B1036="","",IF($E$7="Weekly",Start_Date+7*(ROWS($1:1024)-1),EDATE(Start_Date,VLOOKUP(IF(ASTemp!$E$7="","Monthly",ASTemp!$E$7),Parameters!$B$3:$D$6,3,0)*(ROWS($1:1024)-1))))</f>
        <v/>
      </c>
      <c r="D1036" s="68" t="str">
        <f t="shared" si="2"/>
        <v/>
      </c>
      <c r="E1036" s="65" t="str">
        <f>IF($B1036="","",VLOOKUP(MONTH(C1036),Parameters!$F$2:$G$13,2,0))</f>
        <v/>
      </c>
      <c r="F1036" s="69" t="str">
        <f>IF($B1036="","",PV-N(J1035))</f>
        <v/>
      </c>
      <c r="G1036" s="69" t="str">
        <f>IF($B1036="","",PMT(Rate,Nper,-PV,,Type))</f>
        <v/>
      </c>
      <c r="H1036" s="69" t="str">
        <f>IF($B1036="","",PPMT(Rate,ROWS($1:1024),Nper,-PV,,Type))</f>
        <v/>
      </c>
      <c r="I1036" s="69" t="str">
        <f>IF($B1036="","",IPMT(Rate,ROWS($1:1024),Nper,-PV,,Type))</f>
        <v/>
      </c>
      <c r="J1036" s="73" t="str">
        <f t="shared" ref="J1036:K1036" si="1026">IF($B1036="","",N(J1035)+N(H1036))</f>
        <v/>
      </c>
      <c r="K1036" s="74" t="str">
        <f t="shared" si="1026"/>
        <v/>
      </c>
      <c r="L1036" s="69" t="str">
        <f>IF($B1036="","",PV-J1036)</f>
        <v/>
      </c>
      <c r="M1036" s="71" t="str">
        <f>IF($B1036="","",J1036/PV)</f>
        <v/>
      </c>
      <c r="N1036" s="72" t="str">
        <f t="shared" si="4"/>
        <v/>
      </c>
    </row>
    <row r="1037" ht="14.25" customHeight="1">
      <c r="B1037" s="66" t="str">
        <f>IF(ROWS($1:1025)&lt;=Nper,ROWS($1:1025),"")</f>
        <v/>
      </c>
      <c r="C1037" s="67" t="str">
        <f>IF($B1037="","",IF($E$7="Weekly",Start_Date+7*(ROWS($1:1025)-1),EDATE(Start_Date,VLOOKUP(IF(ASTemp!$E$7="","Monthly",ASTemp!$E$7),Parameters!$B$3:$D$6,3,0)*(ROWS($1:1025)-1))))</f>
        <v/>
      </c>
      <c r="D1037" s="68" t="str">
        <f t="shared" si="2"/>
        <v/>
      </c>
      <c r="E1037" s="65" t="str">
        <f>IF($B1037="","",VLOOKUP(MONTH(C1037),Parameters!$F$2:$G$13,2,0))</f>
        <v/>
      </c>
      <c r="F1037" s="69" t="str">
        <f>IF($B1037="","",PV-N(J1036))</f>
        <v/>
      </c>
      <c r="G1037" s="69" t="str">
        <f>IF($B1037="","",PMT(Rate,Nper,-PV,,Type))</f>
        <v/>
      </c>
      <c r="H1037" s="69" t="str">
        <f>IF($B1037="","",PPMT(Rate,ROWS($1:1025),Nper,-PV,,Type))</f>
        <v/>
      </c>
      <c r="I1037" s="69" t="str">
        <f>IF($B1037="","",IPMT(Rate,ROWS($1:1025),Nper,-PV,,Type))</f>
        <v/>
      </c>
      <c r="J1037" s="73" t="str">
        <f t="shared" ref="J1037:K1037" si="1027">IF($B1037="","",N(J1036)+N(H1037))</f>
        <v/>
      </c>
      <c r="K1037" s="74" t="str">
        <f t="shared" si="1027"/>
        <v/>
      </c>
      <c r="L1037" s="69" t="str">
        <f>IF($B1037="","",PV-J1037)</f>
        <v/>
      </c>
      <c r="M1037" s="71" t="str">
        <f>IF($B1037="","",J1037/PV)</f>
        <v/>
      </c>
      <c r="N1037" s="72" t="str">
        <f t="shared" si="4"/>
        <v/>
      </c>
    </row>
    <row r="1038" ht="14.25" customHeight="1">
      <c r="B1038" s="66" t="str">
        <f>IF(ROWS($1:1026)&lt;=Nper,ROWS($1:1026),"")</f>
        <v/>
      </c>
      <c r="C1038" s="67" t="str">
        <f>IF($B1038="","",IF($E$7="Weekly",Start_Date+7*(ROWS($1:1026)-1),EDATE(Start_Date,VLOOKUP(IF(ASTemp!$E$7="","Monthly",ASTemp!$E$7),Parameters!$B$3:$D$6,3,0)*(ROWS($1:1026)-1))))</f>
        <v/>
      </c>
      <c r="D1038" s="68" t="str">
        <f t="shared" si="2"/>
        <v/>
      </c>
      <c r="E1038" s="65" t="str">
        <f>IF($B1038="","",VLOOKUP(MONTH(C1038),Parameters!$F$2:$G$13,2,0))</f>
        <v/>
      </c>
      <c r="F1038" s="69" t="str">
        <f>IF($B1038="","",PV-N(J1037))</f>
        <v/>
      </c>
      <c r="G1038" s="69" t="str">
        <f>IF($B1038="","",PMT(Rate,Nper,-PV,,Type))</f>
        <v/>
      </c>
      <c r="H1038" s="69" t="str">
        <f>IF($B1038="","",PPMT(Rate,ROWS($1:1026),Nper,-PV,,Type))</f>
        <v/>
      </c>
      <c r="I1038" s="69" t="str">
        <f>IF($B1038="","",IPMT(Rate,ROWS($1:1026),Nper,-PV,,Type))</f>
        <v/>
      </c>
      <c r="J1038" s="73" t="str">
        <f t="shared" ref="J1038:K1038" si="1028">IF($B1038="","",N(J1037)+N(H1038))</f>
        <v/>
      </c>
      <c r="K1038" s="74" t="str">
        <f t="shared" si="1028"/>
        <v/>
      </c>
      <c r="L1038" s="69" t="str">
        <f>IF($B1038="","",PV-J1038)</f>
        <v/>
      </c>
      <c r="M1038" s="71" t="str">
        <f>IF($B1038="","",J1038/PV)</f>
        <v/>
      </c>
      <c r="N1038" s="72" t="str">
        <f t="shared" si="4"/>
        <v/>
      </c>
    </row>
    <row r="1039" ht="14.25" customHeight="1">
      <c r="B1039" s="66" t="str">
        <f>IF(ROWS($1:1027)&lt;=Nper,ROWS($1:1027),"")</f>
        <v/>
      </c>
      <c r="C1039" s="67" t="str">
        <f>IF($B1039="","",IF($E$7="Weekly",Start_Date+7*(ROWS($1:1027)-1),EDATE(Start_Date,VLOOKUP(IF(ASTemp!$E$7="","Monthly",ASTemp!$E$7),Parameters!$B$3:$D$6,3,0)*(ROWS($1:1027)-1))))</f>
        <v/>
      </c>
      <c r="D1039" s="68" t="str">
        <f t="shared" si="2"/>
        <v/>
      </c>
      <c r="E1039" s="65" t="str">
        <f>IF($B1039="","",VLOOKUP(MONTH(C1039),Parameters!$F$2:$G$13,2,0))</f>
        <v/>
      </c>
      <c r="F1039" s="69" t="str">
        <f>IF($B1039="","",PV-N(J1038))</f>
        <v/>
      </c>
      <c r="G1039" s="69" t="str">
        <f>IF($B1039="","",PMT(Rate,Nper,-PV,,Type))</f>
        <v/>
      </c>
      <c r="H1039" s="69" t="str">
        <f>IF($B1039="","",PPMT(Rate,ROWS($1:1027),Nper,-PV,,Type))</f>
        <v/>
      </c>
      <c r="I1039" s="69" t="str">
        <f>IF($B1039="","",IPMT(Rate,ROWS($1:1027),Nper,-PV,,Type))</f>
        <v/>
      </c>
      <c r="J1039" s="73" t="str">
        <f t="shared" ref="J1039:K1039" si="1029">IF($B1039="","",N(J1038)+N(H1039))</f>
        <v/>
      </c>
      <c r="K1039" s="74" t="str">
        <f t="shared" si="1029"/>
        <v/>
      </c>
      <c r="L1039" s="69" t="str">
        <f>IF($B1039="","",PV-J1039)</f>
        <v/>
      </c>
      <c r="M1039" s="71" t="str">
        <f>IF($B1039="","",J1039/PV)</f>
        <v/>
      </c>
      <c r="N1039" s="72" t="str">
        <f t="shared" si="4"/>
        <v/>
      </c>
    </row>
    <row r="1040" ht="14.25" customHeight="1">
      <c r="B1040" s="66" t="str">
        <f>IF(ROWS($1:1028)&lt;=Nper,ROWS($1:1028),"")</f>
        <v/>
      </c>
      <c r="C1040" s="67" t="str">
        <f>IF($B1040="","",IF($E$7="Weekly",Start_Date+7*(ROWS($1:1028)-1),EDATE(Start_Date,VLOOKUP(IF(ASTemp!$E$7="","Monthly",ASTemp!$E$7),Parameters!$B$3:$D$6,3,0)*(ROWS($1:1028)-1))))</f>
        <v/>
      </c>
      <c r="D1040" s="68" t="str">
        <f t="shared" si="2"/>
        <v/>
      </c>
      <c r="E1040" s="65" t="str">
        <f>IF($B1040="","",VLOOKUP(MONTH(C1040),Parameters!$F$2:$G$13,2,0))</f>
        <v/>
      </c>
      <c r="F1040" s="69" t="str">
        <f>IF($B1040="","",PV-N(J1039))</f>
        <v/>
      </c>
      <c r="G1040" s="69" t="str">
        <f>IF($B1040="","",PMT(Rate,Nper,-PV,,Type))</f>
        <v/>
      </c>
      <c r="H1040" s="69" t="str">
        <f>IF($B1040="","",PPMT(Rate,ROWS($1:1028),Nper,-PV,,Type))</f>
        <v/>
      </c>
      <c r="I1040" s="69" t="str">
        <f>IF($B1040="","",IPMT(Rate,ROWS($1:1028),Nper,-PV,,Type))</f>
        <v/>
      </c>
      <c r="J1040" s="73" t="str">
        <f t="shared" ref="J1040:K1040" si="1030">IF($B1040="","",N(J1039)+N(H1040))</f>
        <v/>
      </c>
      <c r="K1040" s="74" t="str">
        <f t="shared" si="1030"/>
        <v/>
      </c>
      <c r="L1040" s="69" t="str">
        <f>IF($B1040="","",PV-J1040)</f>
        <v/>
      </c>
      <c r="M1040" s="71" t="str">
        <f>IF($B1040="","",J1040/PV)</f>
        <v/>
      </c>
      <c r="N1040" s="72" t="str">
        <f t="shared" si="4"/>
        <v/>
      </c>
    </row>
    <row r="1041" ht="14.25" customHeight="1">
      <c r="B1041" s="66" t="str">
        <f>IF(ROWS($1:1029)&lt;=Nper,ROWS($1:1029),"")</f>
        <v/>
      </c>
      <c r="C1041" s="67" t="str">
        <f>IF($B1041="","",IF($E$7="Weekly",Start_Date+7*(ROWS($1:1029)-1),EDATE(Start_Date,VLOOKUP(IF(ASTemp!$E$7="","Monthly",ASTemp!$E$7),Parameters!$B$3:$D$6,3,0)*(ROWS($1:1029)-1))))</f>
        <v/>
      </c>
      <c r="D1041" s="68" t="str">
        <f t="shared" si="2"/>
        <v/>
      </c>
      <c r="E1041" s="65" t="str">
        <f>IF($B1041="","",VLOOKUP(MONTH(C1041),Parameters!$F$2:$G$13,2,0))</f>
        <v/>
      </c>
      <c r="F1041" s="69" t="str">
        <f>IF($B1041="","",PV-N(J1040))</f>
        <v/>
      </c>
      <c r="G1041" s="69" t="str">
        <f>IF($B1041="","",PMT(Rate,Nper,-PV,,Type))</f>
        <v/>
      </c>
      <c r="H1041" s="69" t="str">
        <f>IF($B1041="","",PPMT(Rate,ROWS($1:1029),Nper,-PV,,Type))</f>
        <v/>
      </c>
      <c r="I1041" s="69" t="str">
        <f>IF($B1041="","",IPMT(Rate,ROWS($1:1029),Nper,-PV,,Type))</f>
        <v/>
      </c>
      <c r="J1041" s="73" t="str">
        <f t="shared" ref="J1041:K1041" si="1031">IF($B1041="","",N(J1040)+N(H1041))</f>
        <v/>
      </c>
      <c r="K1041" s="74" t="str">
        <f t="shared" si="1031"/>
        <v/>
      </c>
      <c r="L1041" s="69" t="str">
        <f>IF($B1041="","",PV-J1041)</f>
        <v/>
      </c>
      <c r="M1041" s="71" t="str">
        <f>IF($B1041="","",J1041/PV)</f>
        <v/>
      </c>
      <c r="N1041" s="72" t="str">
        <f t="shared" si="4"/>
        <v/>
      </c>
    </row>
    <row r="1042" ht="14.25" customHeight="1">
      <c r="B1042" s="66" t="str">
        <f>IF(ROWS($1:1030)&lt;=Nper,ROWS($1:1030),"")</f>
        <v/>
      </c>
      <c r="C1042" s="67" t="str">
        <f>IF($B1042="","",IF($E$7="Weekly",Start_Date+7*(ROWS($1:1030)-1),EDATE(Start_Date,VLOOKUP(IF(ASTemp!$E$7="","Monthly",ASTemp!$E$7),Parameters!$B$3:$D$6,3,0)*(ROWS($1:1030)-1))))</f>
        <v/>
      </c>
      <c r="D1042" s="68" t="str">
        <f t="shared" si="2"/>
        <v/>
      </c>
      <c r="E1042" s="65" t="str">
        <f>IF($B1042="","",VLOOKUP(MONTH(C1042),Parameters!$F$2:$G$13,2,0))</f>
        <v/>
      </c>
      <c r="F1042" s="69" t="str">
        <f>IF($B1042="","",PV-N(J1041))</f>
        <v/>
      </c>
      <c r="G1042" s="69" t="str">
        <f>IF($B1042="","",PMT(Rate,Nper,-PV,,Type))</f>
        <v/>
      </c>
      <c r="H1042" s="69" t="str">
        <f>IF($B1042="","",PPMT(Rate,ROWS($1:1030),Nper,-PV,,Type))</f>
        <v/>
      </c>
      <c r="I1042" s="69" t="str">
        <f>IF($B1042="","",IPMT(Rate,ROWS($1:1030),Nper,-PV,,Type))</f>
        <v/>
      </c>
      <c r="J1042" s="73" t="str">
        <f t="shared" ref="J1042:K1042" si="1032">IF($B1042="","",N(J1041)+N(H1042))</f>
        <v/>
      </c>
      <c r="K1042" s="74" t="str">
        <f t="shared" si="1032"/>
        <v/>
      </c>
      <c r="L1042" s="69" t="str">
        <f>IF($B1042="","",PV-J1042)</f>
        <v/>
      </c>
      <c r="M1042" s="71" t="str">
        <f>IF($B1042="","",J1042/PV)</f>
        <v/>
      </c>
      <c r="N1042" s="72" t="str">
        <f t="shared" si="4"/>
        <v/>
      </c>
    </row>
    <row r="1043" ht="14.25" customHeight="1">
      <c r="B1043" s="66" t="str">
        <f>IF(ROWS($1:1031)&lt;=Nper,ROWS($1:1031),"")</f>
        <v/>
      </c>
      <c r="C1043" s="67" t="str">
        <f>IF($B1043="","",IF($E$7="Weekly",Start_Date+7*(ROWS($1:1031)-1),EDATE(Start_Date,VLOOKUP(IF(ASTemp!$E$7="","Monthly",ASTemp!$E$7),Parameters!$B$3:$D$6,3,0)*(ROWS($1:1031)-1))))</f>
        <v/>
      </c>
      <c r="D1043" s="68" t="str">
        <f t="shared" si="2"/>
        <v/>
      </c>
      <c r="E1043" s="65" t="str">
        <f>IF($B1043="","",VLOOKUP(MONTH(C1043),Parameters!$F$2:$G$13,2,0))</f>
        <v/>
      </c>
      <c r="F1043" s="69" t="str">
        <f>IF($B1043="","",PV-N(J1042))</f>
        <v/>
      </c>
      <c r="G1043" s="69" t="str">
        <f>IF($B1043="","",PMT(Rate,Nper,-PV,,Type))</f>
        <v/>
      </c>
      <c r="H1043" s="69" t="str">
        <f>IF($B1043="","",PPMT(Rate,ROWS($1:1031),Nper,-PV,,Type))</f>
        <v/>
      </c>
      <c r="I1043" s="69" t="str">
        <f>IF($B1043="","",IPMT(Rate,ROWS($1:1031),Nper,-PV,,Type))</f>
        <v/>
      </c>
      <c r="J1043" s="73" t="str">
        <f t="shared" ref="J1043:K1043" si="1033">IF($B1043="","",N(J1042)+N(H1043))</f>
        <v/>
      </c>
      <c r="K1043" s="74" t="str">
        <f t="shared" si="1033"/>
        <v/>
      </c>
      <c r="L1043" s="69" t="str">
        <f>IF($B1043="","",PV-J1043)</f>
        <v/>
      </c>
      <c r="M1043" s="71" t="str">
        <f>IF($B1043="","",J1043/PV)</f>
        <v/>
      </c>
      <c r="N1043" s="72" t="str">
        <f t="shared" si="4"/>
        <v/>
      </c>
    </row>
    <row r="1044" ht="14.25" customHeight="1">
      <c r="B1044" s="66" t="str">
        <f>IF(ROWS($1:1032)&lt;=Nper,ROWS($1:1032),"")</f>
        <v/>
      </c>
      <c r="C1044" s="67" t="str">
        <f>IF($B1044="","",IF($E$7="Weekly",Start_Date+7*(ROWS($1:1032)-1),EDATE(Start_Date,VLOOKUP(IF(ASTemp!$E$7="","Monthly",ASTemp!$E$7),Parameters!$B$3:$D$6,3,0)*(ROWS($1:1032)-1))))</f>
        <v/>
      </c>
      <c r="D1044" s="68" t="str">
        <f t="shared" si="2"/>
        <v/>
      </c>
      <c r="E1044" s="65" t="str">
        <f>IF($B1044="","",VLOOKUP(MONTH(C1044),Parameters!$F$2:$G$13,2,0))</f>
        <v/>
      </c>
      <c r="F1044" s="69" t="str">
        <f>IF($B1044="","",PV-N(J1043))</f>
        <v/>
      </c>
      <c r="G1044" s="69" t="str">
        <f>IF($B1044="","",PMT(Rate,Nper,-PV,,Type))</f>
        <v/>
      </c>
      <c r="H1044" s="69" t="str">
        <f>IF($B1044="","",PPMT(Rate,ROWS($1:1032),Nper,-PV,,Type))</f>
        <v/>
      </c>
      <c r="I1044" s="69" t="str">
        <f>IF($B1044="","",IPMT(Rate,ROWS($1:1032),Nper,-PV,,Type))</f>
        <v/>
      </c>
      <c r="J1044" s="73" t="str">
        <f t="shared" ref="J1044:K1044" si="1034">IF($B1044="","",N(J1043)+N(H1044))</f>
        <v/>
      </c>
      <c r="K1044" s="74" t="str">
        <f t="shared" si="1034"/>
        <v/>
      </c>
      <c r="L1044" s="69" t="str">
        <f>IF($B1044="","",PV-J1044)</f>
        <v/>
      </c>
      <c r="M1044" s="71" t="str">
        <f>IF($B1044="","",J1044/PV)</f>
        <v/>
      </c>
      <c r="N1044" s="72" t="str">
        <f t="shared" si="4"/>
        <v/>
      </c>
    </row>
    <row r="1045" ht="14.25" customHeight="1">
      <c r="B1045" s="66" t="str">
        <f>IF(ROWS($1:1033)&lt;=Nper,ROWS($1:1033),"")</f>
        <v/>
      </c>
      <c r="C1045" s="67" t="str">
        <f>IF($B1045="","",IF($E$7="Weekly",Start_Date+7*(ROWS($1:1033)-1),EDATE(Start_Date,VLOOKUP(IF(ASTemp!$E$7="","Monthly",ASTemp!$E$7),Parameters!$B$3:$D$6,3,0)*(ROWS($1:1033)-1))))</f>
        <v/>
      </c>
      <c r="D1045" s="68" t="str">
        <f t="shared" si="2"/>
        <v/>
      </c>
      <c r="E1045" s="65" t="str">
        <f>IF($B1045="","",VLOOKUP(MONTH(C1045),Parameters!$F$2:$G$13,2,0))</f>
        <v/>
      </c>
      <c r="F1045" s="69" t="str">
        <f>IF($B1045="","",PV-N(J1044))</f>
        <v/>
      </c>
      <c r="G1045" s="69" t="str">
        <f>IF($B1045="","",PMT(Rate,Nper,-PV,,Type))</f>
        <v/>
      </c>
      <c r="H1045" s="69" t="str">
        <f>IF($B1045="","",PPMT(Rate,ROWS($1:1033),Nper,-PV,,Type))</f>
        <v/>
      </c>
      <c r="I1045" s="69" t="str">
        <f>IF($B1045="","",IPMT(Rate,ROWS($1:1033),Nper,-PV,,Type))</f>
        <v/>
      </c>
      <c r="J1045" s="73" t="str">
        <f t="shared" ref="J1045:K1045" si="1035">IF($B1045="","",N(J1044)+N(H1045))</f>
        <v/>
      </c>
      <c r="K1045" s="74" t="str">
        <f t="shared" si="1035"/>
        <v/>
      </c>
      <c r="L1045" s="69" t="str">
        <f>IF($B1045="","",PV-J1045)</f>
        <v/>
      </c>
      <c r="M1045" s="71" t="str">
        <f>IF($B1045="","",J1045/PV)</f>
        <v/>
      </c>
      <c r="N1045" s="72" t="str">
        <f t="shared" si="4"/>
        <v/>
      </c>
    </row>
    <row r="1046" ht="14.25" customHeight="1">
      <c r="B1046" s="66" t="str">
        <f>IF(ROWS($1:1034)&lt;=Nper,ROWS($1:1034),"")</f>
        <v/>
      </c>
      <c r="C1046" s="67" t="str">
        <f>IF($B1046="","",IF($E$7="Weekly",Start_Date+7*(ROWS($1:1034)-1),EDATE(Start_Date,VLOOKUP(IF(ASTemp!$E$7="","Monthly",ASTemp!$E$7),Parameters!$B$3:$D$6,3,0)*(ROWS($1:1034)-1))))</f>
        <v/>
      </c>
      <c r="D1046" s="68" t="str">
        <f t="shared" si="2"/>
        <v/>
      </c>
      <c r="E1046" s="65" t="str">
        <f>IF($B1046="","",VLOOKUP(MONTH(C1046),Parameters!$F$2:$G$13,2,0))</f>
        <v/>
      </c>
      <c r="F1046" s="69" t="str">
        <f>IF($B1046="","",PV-N(J1045))</f>
        <v/>
      </c>
      <c r="G1046" s="69" t="str">
        <f>IF($B1046="","",PMT(Rate,Nper,-PV,,Type))</f>
        <v/>
      </c>
      <c r="H1046" s="69" t="str">
        <f>IF($B1046="","",PPMT(Rate,ROWS($1:1034),Nper,-PV,,Type))</f>
        <v/>
      </c>
      <c r="I1046" s="69" t="str">
        <f>IF($B1046="","",IPMT(Rate,ROWS($1:1034),Nper,-PV,,Type))</f>
        <v/>
      </c>
      <c r="J1046" s="73" t="str">
        <f t="shared" ref="J1046:K1046" si="1036">IF($B1046="","",N(J1045)+N(H1046))</f>
        <v/>
      </c>
      <c r="K1046" s="74" t="str">
        <f t="shared" si="1036"/>
        <v/>
      </c>
      <c r="L1046" s="69" t="str">
        <f>IF($B1046="","",PV-J1046)</f>
        <v/>
      </c>
      <c r="M1046" s="71" t="str">
        <f>IF($B1046="","",J1046/PV)</f>
        <v/>
      </c>
      <c r="N1046" s="72" t="str">
        <f t="shared" si="4"/>
        <v/>
      </c>
    </row>
    <row r="1047" ht="14.25" customHeight="1">
      <c r="B1047" s="66" t="str">
        <f>IF(ROWS($1:1035)&lt;=Nper,ROWS($1:1035),"")</f>
        <v/>
      </c>
      <c r="C1047" s="67" t="str">
        <f>IF($B1047="","",IF($E$7="Weekly",Start_Date+7*(ROWS($1:1035)-1),EDATE(Start_Date,VLOOKUP(IF(ASTemp!$E$7="","Monthly",ASTemp!$E$7),Parameters!$B$3:$D$6,3,0)*(ROWS($1:1035)-1))))</f>
        <v/>
      </c>
      <c r="D1047" s="68" t="str">
        <f t="shared" si="2"/>
        <v/>
      </c>
      <c r="E1047" s="65" t="str">
        <f>IF($B1047="","",VLOOKUP(MONTH(C1047),Parameters!$F$2:$G$13,2,0))</f>
        <v/>
      </c>
      <c r="F1047" s="69" t="str">
        <f>IF($B1047="","",PV-N(J1046))</f>
        <v/>
      </c>
      <c r="G1047" s="69" t="str">
        <f>IF($B1047="","",PMT(Rate,Nper,-PV,,Type))</f>
        <v/>
      </c>
      <c r="H1047" s="69" t="str">
        <f>IF($B1047="","",PPMT(Rate,ROWS($1:1035),Nper,-PV,,Type))</f>
        <v/>
      </c>
      <c r="I1047" s="69" t="str">
        <f>IF($B1047="","",IPMT(Rate,ROWS($1:1035),Nper,-PV,,Type))</f>
        <v/>
      </c>
      <c r="J1047" s="73" t="str">
        <f t="shared" ref="J1047:K1047" si="1037">IF($B1047="","",N(J1046)+N(H1047))</f>
        <v/>
      </c>
      <c r="K1047" s="74" t="str">
        <f t="shared" si="1037"/>
        <v/>
      </c>
      <c r="L1047" s="69" t="str">
        <f>IF($B1047="","",PV-J1047)</f>
        <v/>
      </c>
      <c r="M1047" s="71" t="str">
        <f>IF($B1047="","",J1047/PV)</f>
        <v/>
      </c>
      <c r="N1047" s="72" t="str">
        <f t="shared" si="4"/>
        <v/>
      </c>
    </row>
    <row r="1048" ht="14.25" customHeight="1">
      <c r="B1048" s="66" t="str">
        <f>IF(ROWS($1:1036)&lt;=Nper,ROWS($1:1036),"")</f>
        <v/>
      </c>
      <c r="C1048" s="67" t="str">
        <f>IF($B1048="","",IF($E$7="Weekly",Start_Date+7*(ROWS($1:1036)-1),EDATE(Start_Date,VLOOKUP(IF(ASTemp!$E$7="","Monthly",ASTemp!$E$7),Parameters!$B$3:$D$6,3,0)*(ROWS($1:1036)-1))))</f>
        <v/>
      </c>
      <c r="D1048" s="68" t="str">
        <f t="shared" si="2"/>
        <v/>
      </c>
      <c r="E1048" s="65" t="str">
        <f>IF($B1048="","",VLOOKUP(MONTH(C1048),Parameters!$F$2:$G$13,2,0))</f>
        <v/>
      </c>
      <c r="F1048" s="69" t="str">
        <f>IF($B1048="","",PV-N(J1047))</f>
        <v/>
      </c>
      <c r="G1048" s="69" t="str">
        <f>IF($B1048="","",PMT(Rate,Nper,-PV,,Type))</f>
        <v/>
      </c>
      <c r="H1048" s="69" t="str">
        <f>IF($B1048="","",PPMT(Rate,ROWS($1:1036),Nper,-PV,,Type))</f>
        <v/>
      </c>
      <c r="I1048" s="69" t="str">
        <f>IF($B1048="","",IPMT(Rate,ROWS($1:1036),Nper,-PV,,Type))</f>
        <v/>
      </c>
      <c r="J1048" s="73" t="str">
        <f t="shared" ref="J1048:K1048" si="1038">IF($B1048="","",N(J1047)+N(H1048))</f>
        <v/>
      </c>
      <c r="K1048" s="74" t="str">
        <f t="shared" si="1038"/>
        <v/>
      </c>
      <c r="L1048" s="69" t="str">
        <f>IF($B1048="","",PV-J1048)</f>
        <v/>
      </c>
      <c r="M1048" s="71" t="str">
        <f>IF($B1048="","",J1048/PV)</f>
        <v/>
      </c>
      <c r="N1048" s="72" t="str">
        <f t="shared" si="4"/>
        <v/>
      </c>
    </row>
    <row r="1049" ht="14.25" customHeight="1">
      <c r="B1049" s="66" t="str">
        <f>IF(ROWS($1:1037)&lt;=Nper,ROWS($1:1037),"")</f>
        <v/>
      </c>
      <c r="C1049" s="67" t="str">
        <f>IF($B1049="","",IF($E$7="Weekly",Start_Date+7*(ROWS($1:1037)-1),EDATE(Start_Date,VLOOKUP(IF(ASTemp!$E$7="","Monthly",ASTemp!$E$7),Parameters!$B$3:$D$6,3,0)*(ROWS($1:1037)-1))))</f>
        <v/>
      </c>
      <c r="D1049" s="68" t="str">
        <f t="shared" si="2"/>
        <v/>
      </c>
      <c r="E1049" s="65" t="str">
        <f>IF($B1049="","",VLOOKUP(MONTH(C1049),Parameters!$F$2:$G$13,2,0))</f>
        <v/>
      </c>
      <c r="F1049" s="69" t="str">
        <f>IF($B1049="","",PV-N(J1048))</f>
        <v/>
      </c>
      <c r="G1049" s="69" t="str">
        <f>IF($B1049="","",PMT(Rate,Nper,-PV,,Type))</f>
        <v/>
      </c>
      <c r="H1049" s="69" t="str">
        <f>IF($B1049="","",PPMT(Rate,ROWS($1:1037),Nper,-PV,,Type))</f>
        <v/>
      </c>
      <c r="I1049" s="69" t="str">
        <f>IF($B1049="","",IPMT(Rate,ROWS($1:1037),Nper,-PV,,Type))</f>
        <v/>
      </c>
      <c r="J1049" s="73" t="str">
        <f t="shared" ref="J1049:K1049" si="1039">IF($B1049="","",N(J1048)+N(H1049))</f>
        <v/>
      </c>
      <c r="K1049" s="74" t="str">
        <f t="shared" si="1039"/>
        <v/>
      </c>
      <c r="L1049" s="69" t="str">
        <f>IF($B1049="","",PV-J1049)</f>
        <v/>
      </c>
      <c r="M1049" s="71" t="str">
        <f>IF($B1049="","",J1049/PV)</f>
        <v/>
      </c>
      <c r="N1049" s="72" t="str">
        <f t="shared" si="4"/>
        <v/>
      </c>
    </row>
    <row r="1050" ht="14.25" customHeight="1">
      <c r="B1050" s="66" t="str">
        <f>IF(ROWS($1:1038)&lt;=Nper,ROWS($1:1038),"")</f>
        <v/>
      </c>
      <c r="C1050" s="67" t="str">
        <f>IF($B1050="","",IF($E$7="Weekly",Start_Date+7*(ROWS($1:1038)-1),EDATE(Start_Date,VLOOKUP(IF(ASTemp!$E$7="","Monthly",ASTemp!$E$7),Parameters!$B$3:$D$6,3,0)*(ROWS($1:1038)-1))))</f>
        <v/>
      </c>
      <c r="D1050" s="68" t="str">
        <f t="shared" si="2"/>
        <v/>
      </c>
      <c r="E1050" s="65" t="str">
        <f>IF($B1050="","",VLOOKUP(MONTH(C1050),Parameters!$F$2:$G$13,2,0))</f>
        <v/>
      </c>
      <c r="F1050" s="69" t="str">
        <f>IF($B1050="","",PV-N(J1049))</f>
        <v/>
      </c>
      <c r="G1050" s="69" t="str">
        <f>IF($B1050="","",PMT(Rate,Nper,-PV,,Type))</f>
        <v/>
      </c>
      <c r="H1050" s="69" t="str">
        <f>IF($B1050="","",PPMT(Rate,ROWS($1:1038),Nper,-PV,,Type))</f>
        <v/>
      </c>
      <c r="I1050" s="69" t="str">
        <f>IF($B1050="","",IPMT(Rate,ROWS($1:1038),Nper,-PV,,Type))</f>
        <v/>
      </c>
      <c r="J1050" s="73" t="str">
        <f t="shared" ref="J1050:K1050" si="1040">IF($B1050="","",N(J1049)+N(H1050))</f>
        <v/>
      </c>
      <c r="K1050" s="74" t="str">
        <f t="shared" si="1040"/>
        <v/>
      </c>
      <c r="L1050" s="69" t="str">
        <f>IF($B1050="","",PV-J1050)</f>
        <v/>
      </c>
      <c r="M1050" s="71" t="str">
        <f>IF($B1050="","",J1050/PV)</f>
        <v/>
      </c>
      <c r="N1050" s="72" t="str">
        <f t="shared" si="4"/>
        <v/>
      </c>
    </row>
    <row r="1051" ht="14.25" customHeight="1">
      <c r="B1051" s="66" t="str">
        <f>IF(ROWS($1:1039)&lt;=Nper,ROWS($1:1039),"")</f>
        <v/>
      </c>
      <c r="C1051" s="67" t="str">
        <f>IF($B1051="","",IF($E$7="Weekly",Start_Date+7*(ROWS($1:1039)-1),EDATE(Start_Date,VLOOKUP(IF(ASTemp!$E$7="","Monthly",ASTemp!$E$7),Parameters!$B$3:$D$6,3,0)*(ROWS($1:1039)-1))))</f>
        <v/>
      </c>
      <c r="D1051" s="68" t="str">
        <f t="shared" si="2"/>
        <v/>
      </c>
      <c r="E1051" s="65" t="str">
        <f>IF($B1051="","",VLOOKUP(MONTH(C1051),Parameters!$F$2:$G$13,2,0))</f>
        <v/>
      </c>
      <c r="F1051" s="69" t="str">
        <f>IF($B1051="","",PV-N(J1050))</f>
        <v/>
      </c>
      <c r="G1051" s="69" t="str">
        <f>IF($B1051="","",PMT(Rate,Nper,-PV,,Type))</f>
        <v/>
      </c>
      <c r="H1051" s="69" t="str">
        <f>IF($B1051="","",PPMT(Rate,ROWS($1:1039),Nper,-PV,,Type))</f>
        <v/>
      </c>
      <c r="I1051" s="69" t="str">
        <f>IF($B1051="","",IPMT(Rate,ROWS($1:1039),Nper,-PV,,Type))</f>
        <v/>
      </c>
      <c r="J1051" s="73" t="str">
        <f t="shared" ref="J1051:K1051" si="1041">IF($B1051="","",N(J1050)+N(H1051))</f>
        <v/>
      </c>
      <c r="K1051" s="74" t="str">
        <f t="shared" si="1041"/>
        <v/>
      </c>
      <c r="L1051" s="69" t="str">
        <f>IF($B1051="","",PV-J1051)</f>
        <v/>
      </c>
      <c r="M1051" s="71" t="str">
        <f>IF($B1051="","",J1051/PV)</f>
        <v/>
      </c>
      <c r="N1051" s="72" t="str">
        <f t="shared" si="4"/>
        <v/>
      </c>
    </row>
    <row r="1052" ht="14.25" customHeight="1">
      <c r="B1052" s="66" t="str">
        <f>IF(ROWS($1:1040)&lt;=Nper,ROWS($1:1040),"")</f>
        <v/>
      </c>
      <c r="C1052" s="67" t="str">
        <f>IF($B1052="","",IF($E$7="Weekly",Start_Date+7*(ROWS($1:1040)-1),EDATE(Start_Date,VLOOKUP(IF(ASTemp!$E$7="","Monthly",ASTemp!$E$7),Parameters!$B$3:$D$6,3,0)*(ROWS($1:1040)-1))))</f>
        <v/>
      </c>
      <c r="D1052" s="68" t="str">
        <f t="shared" si="2"/>
        <v/>
      </c>
      <c r="E1052" s="65" t="str">
        <f>IF($B1052="","",VLOOKUP(MONTH(C1052),Parameters!$F$2:$G$13,2,0))</f>
        <v/>
      </c>
      <c r="F1052" s="69" t="str">
        <f>IF($B1052="","",PV-N(J1051))</f>
        <v/>
      </c>
      <c r="G1052" s="69" t="str">
        <f>IF($B1052="","",PMT(Rate,Nper,-PV,,Type))</f>
        <v/>
      </c>
      <c r="H1052" s="69" t="str">
        <f>IF($B1052="","",PPMT(Rate,ROWS($1:1040),Nper,-PV,,Type))</f>
        <v/>
      </c>
      <c r="I1052" s="69" t="str">
        <f>IF($B1052="","",IPMT(Rate,ROWS($1:1040),Nper,-PV,,Type))</f>
        <v/>
      </c>
      <c r="J1052" s="73" t="str">
        <f t="shared" ref="J1052:K1052" si="1042">IF($B1052="","",N(J1051)+N(H1052))</f>
        <v/>
      </c>
      <c r="K1052" s="74" t="str">
        <f t="shared" si="1042"/>
        <v/>
      </c>
      <c r="L1052" s="69" t="str">
        <f>IF($B1052="","",PV-J1052)</f>
        <v/>
      </c>
      <c r="M1052" s="71" t="str">
        <f>IF($B1052="","",J1052/PV)</f>
        <v/>
      </c>
      <c r="N1052" s="72" t="str">
        <f t="shared" si="4"/>
        <v/>
      </c>
    </row>
    <row r="1053" ht="14.25" customHeight="1">
      <c r="B1053" s="66" t="str">
        <f>IF(ROWS($1:1041)&lt;=Nper,ROWS($1:1041),"")</f>
        <v/>
      </c>
      <c r="C1053" s="67" t="str">
        <f>IF($B1053="","",IF($E$7="Weekly",Start_Date+7*(ROWS($1:1041)-1),EDATE(Start_Date,VLOOKUP(IF(ASTemp!$E$7="","Monthly",ASTemp!$E$7),Parameters!$B$3:$D$6,3,0)*(ROWS($1:1041)-1))))</f>
        <v/>
      </c>
      <c r="D1053" s="68" t="str">
        <f t="shared" si="2"/>
        <v/>
      </c>
      <c r="E1053" s="65" t="str">
        <f>IF($B1053="","",VLOOKUP(MONTH(C1053),Parameters!$F$2:$G$13,2,0))</f>
        <v/>
      </c>
      <c r="F1053" s="69" t="str">
        <f>IF($B1053="","",PV-N(J1052))</f>
        <v/>
      </c>
      <c r="G1053" s="69" t="str">
        <f>IF($B1053="","",PMT(Rate,Nper,-PV,,Type))</f>
        <v/>
      </c>
      <c r="H1053" s="69" t="str">
        <f>IF($B1053="","",PPMT(Rate,ROWS($1:1041),Nper,-PV,,Type))</f>
        <v/>
      </c>
      <c r="I1053" s="69" t="str">
        <f>IF($B1053="","",IPMT(Rate,ROWS($1:1041),Nper,-PV,,Type))</f>
        <v/>
      </c>
      <c r="J1053" s="73" t="str">
        <f t="shared" ref="J1053:K1053" si="1043">IF($B1053="","",N(J1052)+N(H1053))</f>
        <v/>
      </c>
      <c r="K1053" s="74" t="str">
        <f t="shared" si="1043"/>
        <v/>
      </c>
      <c r="L1053" s="69" t="str">
        <f>IF($B1053="","",PV-J1053)</f>
        <v/>
      </c>
      <c r="M1053" s="71" t="str">
        <f>IF($B1053="","",J1053/PV)</f>
        <v/>
      </c>
      <c r="N1053" s="72" t="str">
        <f t="shared" si="4"/>
        <v/>
      </c>
    </row>
    <row r="1054" ht="14.25" customHeight="1">
      <c r="B1054" s="66" t="str">
        <f>IF(ROWS($1:1042)&lt;=Nper,ROWS($1:1042),"")</f>
        <v/>
      </c>
      <c r="C1054" s="67" t="str">
        <f>IF($B1054="","",IF($E$7="Weekly",Start_Date+7*(ROWS($1:1042)-1),EDATE(Start_Date,VLOOKUP(IF(ASTemp!$E$7="","Monthly",ASTemp!$E$7),Parameters!$B$3:$D$6,3,0)*(ROWS($1:1042)-1))))</f>
        <v/>
      </c>
      <c r="D1054" s="68" t="str">
        <f t="shared" si="2"/>
        <v/>
      </c>
      <c r="E1054" s="65" t="str">
        <f>IF($B1054="","",VLOOKUP(MONTH(C1054),Parameters!$F$2:$G$13,2,0))</f>
        <v/>
      </c>
      <c r="F1054" s="69" t="str">
        <f>IF($B1054="","",PV-N(J1053))</f>
        <v/>
      </c>
      <c r="G1054" s="69" t="str">
        <f>IF($B1054="","",PMT(Rate,Nper,-PV,,Type))</f>
        <v/>
      </c>
      <c r="H1054" s="69" t="str">
        <f>IF($B1054="","",PPMT(Rate,ROWS($1:1042),Nper,-PV,,Type))</f>
        <v/>
      </c>
      <c r="I1054" s="69" t="str">
        <f>IF($B1054="","",IPMT(Rate,ROWS($1:1042),Nper,-PV,,Type))</f>
        <v/>
      </c>
      <c r="J1054" s="73" t="str">
        <f t="shared" ref="J1054:K1054" si="1044">IF($B1054="","",N(J1053)+N(H1054))</f>
        <v/>
      </c>
      <c r="K1054" s="74" t="str">
        <f t="shared" si="1044"/>
        <v/>
      </c>
      <c r="L1054" s="69" t="str">
        <f>IF($B1054="","",PV-J1054)</f>
        <v/>
      </c>
      <c r="M1054" s="71" t="str">
        <f>IF($B1054="","",J1054/PV)</f>
        <v/>
      </c>
      <c r="N1054" s="72" t="str">
        <f t="shared" si="4"/>
        <v/>
      </c>
    </row>
    <row r="1055" ht="14.25" customHeight="1">
      <c r="B1055" s="66" t="str">
        <f>IF(ROWS($1:1043)&lt;=Nper,ROWS($1:1043),"")</f>
        <v/>
      </c>
      <c r="C1055" s="67" t="str">
        <f>IF($B1055="","",IF($E$7="Weekly",Start_Date+7*(ROWS($1:1043)-1),EDATE(Start_Date,VLOOKUP(IF(ASTemp!$E$7="","Monthly",ASTemp!$E$7),Parameters!$B$3:$D$6,3,0)*(ROWS($1:1043)-1))))</f>
        <v/>
      </c>
      <c r="D1055" s="68" t="str">
        <f t="shared" si="2"/>
        <v/>
      </c>
      <c r="E1055" s="65" t="str">
        <f>IF($B1055="","",VLOOKUP(MONTH(C1055),Parameters!$F$2:$G$13,2,0))</f>
        <v/>
      </c>
      <c r="F1055" s="69" t="str">
        <f>IF($B1055="","",PV-N(J1054))</f>
        <v/>
      </c>
      <c r="G1055" s="69" t="str">
        <f>IF($B1055="","",PMT(Rate,Nper,-PV,,Type))</f>
        <v/>
      </c>
      <c r="H1055" s="69" t="str">
        <f>IF($B1055="","",PPMT(Rate,ROWS($1:1043),Nper,-PV,,Type))</f>
        <v/>
      </c>
      <c r="I1055" s="69" t="str">
        <f>IF($B1055="","",IPMT(Rate,ROWS($1:1043),Nper,-PV,,Type))</f>
        <v/>
      </c>
      <c r="J1055" s="73" t="str">
        <f t="shared" ref="J1055:K1055" si="1045">IF($B1055="","",N(J1054)+N(H1055))</f>
        <v/>
      </c>
      <c r="K1055" s="74" t="str">
        <f t="shared" si="1045"/>
        <v/>
      </c>
      <c r="L1055" s="69" t="str">
        <f>IF($B1055="","",PV-J1055)</f>
        <v/>
      </c>
      <c r="M1055" s="71" t="str">
        <f>IF($B1055="","",J1055/PV)</f>
        <v/>
      </c>
      <c r="N1055" s="72" t="str">
        <f t="shared" si="4"/>
        <v/>
      </c>
    </row>
    <row r="1056" ht="14.25" customHeight="1">
      <c r="B1056" s="66" t="str">
        <f>IF(ROWS($1:1044)&lt;=Nper,ROWS($1:1044),"")</f>
        <v/>
      </c>
      <c r="C1056" s="67" t="str">
        <f>IF($B1056="","",IF($E$7="Weekly",Start_Date+7*(ROWS($1:1044)-1),EDATE(Start_Date,VLOOKUP(IF(ASTemp!$E$7="","Monthly",ASTemp!$E$7),Parameters!$B$3:$D$6,3,0)*(ROWS($1:1044)-1))))</f>
        <v/>
      </c>
      <c r="D1056" s="68" t="str">
        <f t="shared" si="2"/>
        <v/>
      </c>
      <c r="E1056" s="65" t="str">
        <f>IF($B1056="","",VLOOKUP(MONTH(C1056),Parameters!$F$2:$G$13,2,0))</f>
        <v/>
      </c>
      <c r="F1056" s="69" t="str">
        <f>IF($B1056="","",PV-N(J1055))</f>
        <v/>
      </c>
      <c r="G1056" s="69" t="str">
        <f>IF($B1056="","",PMT(Rate,Nper,-PV,,Type))</f>
        <v/>
      </c>
      <c r="H1056" s="69" t="str">
        <f>IF($B1056="","",PPMT(Rate,ROWS($1:1044),Nper,-PV,,Type))</f>
        <v/>
      </c>
      <c r="I1056" s="69" t="str">
        <f>IF($B1056="","",IPMT(Rate,ROWS($1:1044),Nper,-PV,,Type))</f>
        <v/>
      </c>
      <c r="J1056" s="73" t="str">
        <f t="shared" ref="J1056:K1056" si="1046">IF($B1056="","",N(J1055)+N(H1056))</f>
        <v/>
      </c>
      <c r="K1056" s="74" t="str">
        <f t="shared" si="1046"/>
        <v/>
      </c>
      <c r="L1056" s="69" t="str">
        <f>IF($B1056="","",PV-J1056)</f>
        <v/>
      </c>
      <c r="M1056" s="71" t="str">
        <f>IF($B1056="","",J1056/PV)</f>
        <v/>
      </c>
      <c r="N1056" s="72" t="str">
        <f t="shared" si="4"/>
        <v/>
      </c>
    </row>
    <row r="1057" ht="14.25" customHeight="1">
      <c r="B1057" s="66" t="str">
        <f>IF(ROWS($1:1045)&lt;=Nper,ROWS($1:1045),"")</f>
        <v/>
      </c>
      <c r="C1057" s="67" t="str">
        <f>IF($B1057="","",IF($E$7="Weekly",Start_Date+7*(ROWS($1:1045)-1),EDATE(Start_Date,VLOOKUP(IF(ASTemp!$E$7="","Monthly",ASTemp!$E$7),Parameters!$B$3:$D$6,3,0)*(ROWS($1:1045)-1))))</f>
        <v/>
      </c>
      <c r="D1057" s="68" t="str">
        <f t="shared" si="2"/>
        <v/>
      </c>
      <c r="E1057" s="65" t="str">
        <f>IF($B1057="","",VLOOKUP(MONTH(C1057),Parameters!$F$2:$G$13,2,0))</f>
        <v/>
      </c>
      <c r="F1057" s="69" t="str">
        <f>IF($B1057="","",PV-N(J1056))</f>
        <v/>
      </c>
      <c r="G1057" s="69" t="str">
        <f>IF($B1057="","",PMT(Rate,Nper,-PV,,Type))</f>
        <v/>
      </c>
      <c r="H1057" s="69" t="str">
        <f>IF($B1057="","",PPMT(Rate,ROWS($1:1045),Nper,-PV,,Type))</f>
        <v/>
      </c>
      <c r="I1057" s="69" t="str">
        <f>IF($B1057="","",IPMT(Rate,ROWS($1:1045),Nper,-PV,,Type))</f>
        <v/>
      </c>
      <c r="J1057" s="73" t="str">
        <f t="shared" ref="J1057:K1057" si="1047">IF($B1057="","",N(J1056)+N(H1057))</f>
        <v/>
      </c>
      <c r="K1057" s="74" t="str">
        <f t="shared" si="1047"/>
        <v/>
      </c>
      <c r="L1057" s="69" t="str">
        <f>IF($B1057="","",PV-J1057)</f>
        <v/>
      </c>
      <c r="M1057" s="71" t="str">
        <f>IF($B1057="","",J1057/PV)</f>
        <v/>
      </c>
      <c r="N1057" s="72" t="str">
        <f t="shared" si="4"/>
        <v/>
      </c>
    </row>
    <row r="1058" ht="14.25" customHeight="1">
      <c r="B1058" s="66" t="str">
        <f>IF(ROWS($1:1046)&lt;=Nper,ROWS($1:1046),"")</f>
        <v/>
      </c>
      <c r="C1058" s="67" t="str">
        <f>IF($B1058="","",IF($E$7="Weekly",Start_Date+7*(ROWS($1:1046)-1),EDATE(Start_Date,VLOOKUP(IF(ASTemp!$E$7="","Monthly",ASTemp!$E$7),Parameters!$B$3:$D$6,3,0)*(ROWS($1:1046)-1))))</f>
        <v/>
      </c>
      <c r="D1058" s="68" t="str">
        <f t="shared" si="2"/>
        <v/>
      </c>
      <c r="E1058" s="65" t="str">
        <f>IF($B1058="","",VLOOKUP(MONTH(C1058),Parameters!$F$2:$G$13,2,0))</f>
        <v/>
      </c>
      <c r="F1058" s="69" t="str">
        <f>IF($B1058="","",PV-N(J1057))</f>
        <v/>
      </c>
      <c r="G1058" s="69" t="str">
        <f>IF($B1058="","",PMT(Rate,Nper,-PV,,Type))</f>
        <v/>
      </c>
      <c r="H1058" s="69" t="str">
        <f>IF($B1058="","",PPMT(Rate,ROWS($1:1046),Nper,-PV,,Type))</f>
        <v/>
      </c>
      <c r="I1058" s="69" t="str">
        <f>IF($B1058="","",IPMT(Rate,ROWS($1:1046),Nper,-PV,,Type))</f>
        <v/>
      </c>
      <c r="J1058" s="73" t="str">
        <f t="shared" ref="J1058:K1058" si="1048">IF($B1058="","",N(J1057)+N(H1058))</f>
        <v/>
      </c>
      <c r="K1058" s="74" t="str">
        <f t="shared" si="1048"/>
        <v/>
      </c>
      <c r="L1058" s="69" t="str">
        <f>IF($B1058="","",PV-J1058)</f>
        <v/>
      </c>
      <c r="M1058" s="71" t="str">
        <f>IF($B1058="","",J1058/PV)</f>
        <v/>
      </c>
      <c r="N1058" s="72" t="str">
        <f t="shared" si="4"/>
        <v/>
      </c>
    </row>
    <row r="1059" ht="14.25" customHeight="1">
      <c r="B1059" s="66" t="str">
        <f>IF(ROWS($1:1047)&lt;=Nper,ROWS($1:1047),"")</f>
        <v/>
      </c>
      <c r="C1059" s="67" t="str">
        <f>IF($B1059="","",IF($E$7="Weekly",Start_Date+7*(ROWS($1:1047)-1),EDATE(Start_Date,VLOOKUP(IF(ASTemp!$E$7="","Monthly",ASTemp!$E$7),Parameters!$B$3:$D$6,3,0)*(ROWS($1:1047)-1))))</f>
        <v/>
      </c>
      <c r="D1059" s="68" t="str">
        <f t="shared" si="2"/>
        <v/>
      </c>
      <c r="E1059" s="65" t="str">
        <f>IF($B1059="","",VLOOKUP(MONTH(C1059),Parameters!$F$2:$G$13,2,0))</f>
        <v/>
      </c>
      <c r="F1059" s="69" t="str">
        <f>IF($B1059="","",PV-N(J1058))</f>
        <v/>
      </c>
      <c r="G1059" s="69" t="str">
        <f>IF($B1059="","",PMT(Rate,Nper,-PV,,Type))</f>
        <v/>
      </c>
      <c r="H1059" s="69" t="str">
        <f>IF($B1059="","",PPMT(Rate,ROWS($1:1047),Nper,-PV,,Type))</f>
        <v/>
      </c>
      <c r="I1059" s="69" t="str">
        <f>IF($B1059="","",IPMT(Rate,ROWS($1:1047),Nper,-PV,,Type))</f>
        <v/>
      </c>
      <c r="J1059" s="73" t="str">
        <f t="shared" ref="J1059:K1059" si="1049">IF($B1059="","",N(J1058)+N(H1059))</f>
        <v/>
      </c>
      <c r="K1059" s="74" t="str">
        <f t="shared" si="1049"/>
        <v/>
      </c>
      <c r="L1059" s="69" t="str">
        <f>IF($B1059="","",PV-J1059)</f>
        <v/>
      </c>
      <c r="M1059" s="71" t="str">
        <f>IF($B1059="","",J1059/PV)</f>
        <v/>
      </c>
      <c r="N1059" s="72" t="str">
        <f t="shared" si="4"/>
        <v/>
      </c>
    </row>
    <row r="1060" ht="14.25" customHeight="1">
      <c r="B1060" s="66" t="str">
        <f>IF(ROWS($1:1048)&lt;=Nper,ROWS($1:1048),"")</f>
        <v/>
      </c>
      <c r="C1060" s="67" t="str">
        <f>IF($B1060="","",IF($E$7="Weekly",Start_Date+7*(ROWS($1:1048)-1),EDATE(Start_Date,VLOOKUP(IF(ASTemp!$E$7="","Monthly",ASTemp!$E$7),Parameters!$B$3:$D$6,3,0)*(ROWS($1:1048)-1))))</f>
        <v/>
      </c>
      <c r="D1060" s="68" t="str">
        <f t="shared" si="2"/>
        <v/>
      </c>
      <c r="E1060" s="65" t="str">
        <f>IF($B1060="","",VLOOKUP(MONTH(C1060),Parameters!$F$2:$G$13,2,0))</f>
        <v/>
      </c>
      <c r="F1060" s="69" t="str">
        <f>IF($B1060="","",PV-N(J1059))</f>
        <v/>
      </c>
      <c r="G1060" s="69" t="str">
        <f>IF($B1060="","",PMT(Rate,Nper,-PV,,Type))</f>
        <v/>
      </c>
      <c r="H1060" s="69" t="str">
        <f>IF($B1060="","",PPMT(Rate,ROWS($1:1048),Nper,-PV,,Type))</f>
        <v/>
      </c>
      <c r="I1060" s="69" t="str">
        <f>IF($B1060="","",IPMT(Rate,ROWS($1:1048),Nper,-PV,,Type))</f>
        <v/>
      </c>
      <c r="J1060" s="73" t="str">
        <f t="shared" ref="J1060:K1060" si="1050">IF($B1060="","",N(J1059)+N(H1060))</f>
        <v/>
      </c>
      <c r="K1060" s="74" t="str">
        <f t="shared" si="1050"/>
        <v/>
      </c>
      <c r="L1060" s="69" t="str">
        <f>IF($B1060="","",PV-J1060)</f>
        <v/>
      </c>
      <c r="M1060" s="71" t="str">
        <f>IF($B1060="","",J1060/PV)</f>
        <v/>
      </c>
      <c r="N1060" s="72" t="str">
        <f t="shared" si="4"/>
        <v/>
      </c>
    </row>
    <row r="1061" ht="14.25" customHeight="1">
      <c r="B1061" s="66" t="str">
        <f>IF(ROWS($1:1049)&lt;=Nper,ROWS($1:1049),"")</f>
        <v/>
      </c>
      <c r="C1061" s="67" t="str">
        <f>IF($B1061="","",IF($E$7="Weekly",Start_Date+7*(ROWS($1:1049)-1),EDATE(Start_Date,VLOOKUP(IF(ASTemp!$E$7="","Monthly",ASTemp!$E$7),Parameters!$B$3:$D$6,3,0)*(ROWS($1:1049)-1))))</f>
        <v/>
      </c>
      <c r="D1061" s="68" t="str">
        <f t="shared" si="2"/>
        <v/>
      </c>
      <c r="E1061" s="65" t="str">
        <f>IF($B1061="","",VLOOKUP(MONTH(C1061),Parameters!$F$2:$G$13,2,0))</f>
        <v/>
      </c>
      <c r="F1061" s="69" t="str">
        <f>IF($B1061="","",PV-N(J1060))</f>
        <v/>
      </c>
      <c r="G1061" s="69" t="str">
        <f>IF($B1061="","",PMT(Rate,Nper,-PV,,Type))</f>
        <v/>
      </c>
      <c r="H1061" s="69" t="str">
        <f>IF($B1061="","",PPMT(Rate,ROWS($1:1049),Nper,-PV,,Type))</f>
        <v/>
      </c>
      <c r="I1061" s="69" t="str">
        <f>IF($B1061="","",IPMT(Rate,ROWS($1:1049),Nper,-PV,,Type))</f>
        <v/>
      </c>
      <c r="J1061" s="73" t="str">
        <f t="shared" ref="J1061:K1061" si="1051">IF($B1061="","",N(J1060)+N(H1061))</f>
        <v/>
      </c>
      <c r="K1061" s="74" t="str">
        <f t="shared" si="1051"/>
        <v/>
      </c>
      <c r="L1061" s="69" t="str">
        <f>IF($B1061="","",PV-J1061)</f>
        <v/>
      </c>
      <c r="M1061" s="71" t="str">
        <f>IF($B1061="","",J1061/PV)</f>
        <v/>
      </c>
      <c r="N1061" s="72" t="str">
        <f t="shared" si="4"/>
        <v/>
      </c>
    </row>
    <row r="1062" ht="14.25" customHeight="1">
      <c r="B1062" s="66" t="str">
        <f>IF(ROWS($1:1050)&lt;=Nper,ROWS($1:1050),"")</f>
        <v/>
      </c>
      <c r="C1062" s="67" t="str">
        <f>IF($B1062="","",IF($E$7="Weekly",Start_Date+7*(ROWS($1:1050)-1),EDATE(Start_Date,VLOOKUP(IF(ASTemp!$E$7="","Monthly",ASTemp!$E$7),Parameters!$B$3:$D$6,3,0)*(ROWS($1:1050)-1))))</f>
        <v/>
      </c>
      <c r="D1062" s="68" t="str">
        <f t="shared" si="2"/>
        <v/>
      </c>
      <c r="E1062" s="65" t="str">
        <f>IF($B1062="","",VLOOKUP(MONTH(C1062),Parameters!$F$2:$G$13,2,0))</f>
        <v/>
      </c>
      <c r="F1062" s="69" t="str">
        <f>IF($B1062="","",PV-N(J1061))</f>
        <v/>
      </c>
      <c r="G1062" s="69" t="str">
        <f>IF($B1062="","",PMT(Rate,Nper,-PV,,Type))</f>
        <v/>
      </c>
      <c r="H1062" s="69" t="str">
        <f>IF($B1062="","",PPMT(Rate,ROWS($1:1050),Nper,-PV,,Type))</f>
        <v/>
      </c>
      <c r="I1062" s="69" t="str">
        <f>IF($B1062="","",IPMT(Rate,ROWS($1:1050),Nper,-PV,,Type))</f>
        <v/>
      </c>
      <c r="J1062" s="73" t="str">
        <f t="shared" ref="J1062:K1062" si="1052">IF($B1062="","",N(J1061)+N(H1062))</f>
        <v/>
      </c>
      <c r="K1062" s="74" t="str">
        <f t="shared" si="1052"/>
        <v/>
      </c>
      <c r="L1062" s="69" t="str">
        <f>IF($B1062="","",PV-J1062)</f>
        <v/>
      </c>
      <c r="M1062" s="71" t="str">
        <f>IF($B1062="","",J1062/PV)</f>
        <v/>
      </c>
      <c r="N1062" s="72" t="str">
        <f t="shared" si="4"/>
        <v/>
      </c>
    </row>
    <row r="1063" ht="14.25" customHeight="1">
      <c r="B1063" s="66" t="str">
        <f>IF(ROWS($1:1051)&lt;=Nper,ROWS($1:1051),"")</f>
        <v/>
      </c>
      <c r="C1063" s="67" t="str">
        <f>IF($B1063="","",IF($E$7="Weekly",Start_Date+7*(ROWS($1:1051)-1),EDATE(Start_Date,VLOOKUP(IF(ASTemp!$E$7="","Monthly",ASTemp!$E$7),Parameters!$B$3:$D$6,3,0)*(ROWS($1:1051)-1))))</f>
        <v/>
      </c>
      <c r="D1063" s="68" t="str">
        <f t="shared" si="2"/>
        <v/>
      </c>
      <c r="E1063" s="65" t="str">
        <f>IF($B1063="","",VLOOKUP(MONTH(C1063),Parameters!$F$2:$G$13,2,0))</f>
        <v/>
      </c>
      <c r="F1063" s="69" t="str">
        <f>IF($B1063="","",PV-N(J1062))</f>
        <v/>
      </c>
      <c r="G1063" s="69" t="str">
        <f>IF($B1063="","",PMT(Rate,Nper,-PV,,Type))</f>
        <v/>
      </c>
      <c r="H1063" s="69" t="str">
        <f>IF($B1063="","",PPMT(Rate,ROWS($1:1051),Nper,-PV,,Type))</f>
        <v/>
      </c>
      <c r="I1063" s="69" t="str">
        <f>IF($B1063="","",IPMT(Rate,ROWS($1:1051),Nper,-PV,,Type))</f>
        <v/>
      </c>
      <c r="J1063" s="73" t="str">
        <f t="shared" ref="J1063:K1063" si="1053">IF($B1063="","",N(J1062)+N(H1063))</f>
        <v/>
      </c>
      <c r="K1063" s="74" t="str">
        <f t="shared" si="1053"/>
        <v/>
      </c>
      <c r="L1063" s="69" t="str">
        <f>IF($B1063="","",PV-J1063)</f>
        <v/>
      </c>
      <c r="M1063" s="71" t="str">
        <f>IF($B1063="","",J1063/PV)</f>
        <v/>
      </c>
      <c r="N1063" s="72" t="str">
        <f t="shared" si="4"/>
        <v/>
      </c>
    </row>
    <row r="1064" ht="14.25" customHeight="1">
      <c r="B1064" s="66" t="str">
        <f>IF(ROWS($1:1052)&lt;=Nper,ROWS($1:1052),"")</f>
        <v/>
      </c>
      <c r="C1064" s="67" t="str">
        <f>IF($B1064="","",IF($E$7="Weekly",Start_Date+7*(ROWS($1:1052)-1),EDATE(Start_Date,VLOOKUP(IF(ASTemp!$E$7="","Monthly",ASTemp!$E$7),Parameters!$B$3:$D$6,3,0)*(ROWS($1:1052)-1))))</f>
        <v/>
      </c>
      <c r="D1064" s="68" t="str">
        <f t="shared" si="2"/>
        <v/>
      </c>
      <c r="E1064" s="65" t="str">
        <f>IF($B1064="","",VLOOKUP(MONTH(C1064),Parameters!$F$2:$G$13,2,0))</f>
        <v/>
      </c>
      <c r="F1064" s="69" t="str">
        <f>IF($B1064="","",PV-N(J1063))</f>
        <v/>
      </c>
      <c r="G1064" s="69" t="str">
        <f>IF($B1064="","",PMT(Rate,Nper,-PV,,Type))</f>
        <v/>
      </c>
      <c r="H1064" s="69" t="str">
        <f>IF($B1064="","",PPMT(Rate,ROWS($1:1052),Nper,-PV,,Type))</f>
        <v/>
      </c>
      <c r="I1064" s="69" t="str">
        <f>IF($B1064="","",IPMT(Rate,ROWS($1:1052),Nper,-PV,,Type))</f>
        <v/>
      </c>
      <c r="J1064" s="73" t="str">
        <f t="shared" ref="J1064:K1064" si="1054">IF($B1064="","",N(J1063)+N(H1064))</f>
        <v/>
      </c>
      <c r="K1064" s="74" t="str">
        <f t="shared" si="1054"/>
        <v/>
      </c>
      <c r="L1064" s="69" t="str">
        <f>IF($B1064="","",PV-J1064)</f>
        <v/>
      </c>
      <c r="M1064" s="71" t="str">
        <f>IF($B1064="","",J1064/PV)</f>
        <v/>
      </c>
      <c r="N1064" s="72" t="str">
        <f t="shared" si="4"/>
        <v/>
      </c>
    </row>
    <row r="1065" ht="14.25" customHeight="1">
      <c r="B1065" s="66" t="str">
        <f>IF(ROWS($1:1053)&lt;=Nper,ROWS($1:1053),"")</f>
        <v/>
      </c>
      <c r="C1065" s="67" t="str">
        <f>IF($B1065="","",IF($E$7="Weekly",Start_Date+7*(ROWS($1:1053)-1),EDATE(Start_Date,VLOOKUP(IF(ASTemp!$E$7="","Monthly",ASTemp!$E$7),Parameters!$B$3:$D$6,3,0)*(ROWS($1:1053)-1))))</f>
        <v/>
      </c>
      <c r="D1065" s="68" t="str">
        <f t="shared" si="2"/>
        <v/>
      </c>
      <c r="E1065" s="65" t="str">
        <f>IF($B1065="","",VLOOKUP(MONTH(C1065),Parameters!$F$2:$G$13,2,0))</f>
        <v/>
      </c>
      <c r="F1065" s="69" t="str">
        <f>IF($B1065="","",PV-N(J1064))</f>
        <v/>
      </c>
      <c r="G1065" s="69" t="str">
        <f>IF($B1065="","",PMT(Rate,Nper,-PV,,Type))</f>
        <v/>
      </c>
      <c r="H1065" s="69" t="str">
        <f>IF($B1065="","",PPMT(Rate,ROWS($1:1053),Nper,-PV,,Type))</f>
        <v/>
      </c>
      <c r="I1065" s="69" t="str">
        <f>IF($B1065="","",IPMT(Rate,ROWS($1:1053),Nper,-PV,,Type))</f>
        <v/>
      </c>
      <c r="J1065" s="73" t="str">
        <f t="shared" ref="J1065:K1065" si="1055">IF($B1065="","",N(J1064)+N(H1065))</f>
        <v/>
      </c>
      <c r="K1065" s="74" t="str">
        <f t="shared" si="1055"/>
        <v/>
      </c>
      <c r="L1065" s="69" t="str">
        <f>IF($B1065="","",PV-J1065)</f>
        <v/>
      </c>
      <c r="M1065" s="71" t="str">
        <f>IF($B1065="","",J1065/PV)</f>
        <v/>
      </c>
      <c r="N1065" s="72" t="str">
        <f t="shared" si="4"/>
        <v/>
      </c>
    </row>
    <row r="1066" ht="14.25" customHeight="1">
      <c r="B1066" s="66" t="str">
        <f>IF(ROWS($1:1054)&lt;=Nper,ROWS($1:1054),"")</f>
        <v/>
      </c>
      <c r="C1066" s="67" t="str">
        <f>IF($B1066="","",IF($E$7="Weekly",Start_Date+7*(ROWS($1:1054)-1),EDATE(Start_Date,VLOOKUP(IF(ASTemp!$E$7="","Monthly",ASTemp!$E$7),Parameters!$B$3:$D$6,3,0)*(ROWS($1:1054)-1))))</f>
        <v/>
      </c>
      <c r="D1066" s="68" t="str">
        <f t="shared" si="2"/>
        <v/>
      </c>
      <c r="E1066" s="65" t="str">
        <f>IF($B1066="","",VLOOKUP(MONTH(C1066),Parameters!$F$2:$G$13,2,0))</f>
        <v/>
      </c>
      <c r="F1066" s="69" t="str">
        <f>IF($B1066="","",PV-N(J1065))</f>
        <v/>
      </c>
      <c r="G1066" s="69" t="str">
        <f>IF($B1066="","",PMT(Rate,Nper,-PV,,Type))</f>
        <v/>
      </c>
      <c r="H1066" s="69" t="str">
        <f>IF($B1066="","",PPMT(Rate,ROWS($1:1054),Nper,-PV,,Type))</f>
        <v/>
      </c>
      <c r="I1066" s="69" t="str">
        <f>IF($B1066="","",IPMT(Rate,ROWS($1:1054),Nper,-PV,,Type))</f>
        <v/>
      </c>
      <c r="J1066" s="73" t="str">
        <f t="shared" ref="J1066:K1066" si="1056">IF($B1066="","",N(J1065)+N(H1066))</f>
        <v/>
      </c>
      <c r="K1066" s="74" t="str">
        <f t="shared" si="1056"/>
        <v/>
      </c>
      <c r="L1066" s="69" t="str">
        <f>IF($B1066="","",PV-J1066)</f>
        <v/>
      </c>
      <c r="M1066" s="71" t="str">
        <f>IF($B1066="","",J1066/PV)</f>
        <v/>
      </c>
      <c r="N1066" s="72" t="str">
        <f t="shared" si="4"/>
        <v/>
      </c>
    </row>
    <row r="1067" ht="14.25" customHeight="1">
      <c r="B1067" s="66" t="str">
        <f>IF(ROWS($1:1055)&lt;=Nper,ROWS($1:1055),"")</f>
        <v/>
      </c>
      <c r="C1067" s="67" t="str">
        <f>IF($B1067="","",IF($E$7="Weekly",Start_Date+7*(ROWS($1:1055)-1),EDATE(Start_Date,VLOOKUP(IF(ASTemp!$E$7="","Monthly",ASTemp!$E$7),Parameters!$B$3:$D$6,3,0)*(ROWS($1:1055)-1))))</f>
        <v/>
      </c>
      <c r="D1067" s="68" t="str">
        <f t="shared" si="2"/>
        <v/>
      </c>
      <c r="E1067" s="65" t="str">
        <f>IF($B1067="","",VLOOKUP(MONTH(C1067),Parameters!$F$2:$G$13,2,0))</f>
        <v/>
      </c>
      <c r="F1067" s="69" t="str">
        <f>IF($B1067="","",PV-N(J1066))</f>
        <v/>
      </c>
      <c r="G1067" s="69" t="str">
        <f>IF($B1067="","",PMT(Rate,Nper,-PV,,Type))</f>
        <v/>
      </c>
      <c r="H1067" s="69" t="str">
        <f>IF($B1067="","",PPMT(Rate,ROWS($1:1055),Nper,-PV,,Type))</f>
        <v/>
      </c>
      <c r="I1067" s="69" t="str">
        <f>IF($B1067="","",IPMT(Rate,ROWS($1:1055),Nper,-PV,,Type))</f>
        <v/>
      </c>
      <c r="J1067" s="73" t="str">
        <f t="shared" ref="J1067:K1067" si="1057">IF($B1067="","",N(J1066)+N(H1067))</f>
        <v/>
      </c>
      <c r="K1067" s="74" t="str">
        <f t="shared" si="1057"/>
        <v/>
      </c>
      <c r="L1067" s="69" t="str">
        <f>IF($B1067="","",PV-J1067)</f>
        <v/>
      </c>
      <c r="M1067" s="71" t="str">
        <f>IF($B1067="","",J1067/PV)</f>
        <v/>
      </c>
      <c r="N1067" s="72" t="str">
        <f t="shared" si="4"/>
        <v/>
      </c>
    </row>
    <row r="1068" ht="14.25" customHeight="1">
      <c r="B1068" s="66" t="str">
        <f>IF(ROWS($1:1056)&lt;=Nper,ROWS($1:1056),"")</f>
        <v/>
      </c>
      <c r="C1068" s="67" t="str">
        <f>IF($B1068="","",IF($E$7="Weekly",Start_Date+7*(ROWS($1:1056)-1),EDATE(Start_Date,VLOOKUP(IF(ASTemp!$E$7="","Monthly",ASTemp!$E$7),Parameters!$B$3:$D$6,3,0)*(ROWS($1:1056)-1))))</f>
        <v/>
      </c>
      <c r="D1068" s="68" t="str">
        <f t="shared" si="2"/>
        <v/>
      </c>
      <c r="E1068" s="65" t="str">
        <f>IF($B1068="","",VLOOKUP(MONTH(C1068),Parameters!$F$2:$G$13,2,0))</f>
        <v/>
      </c>
      <c r="F1068" s="69" t="str">
        <f>IF($B1068="","",PV-N(J1067))</f>
        <v/>
      </c>
      <c r="G1068" s="69" t="str">
        <f>IF($B1068="","",PMT(Rate,Nper,-PV,,Type))</f>
        <v/>
      </c>
      <c r="H1068" s="69" t="str">
        <f>IF($B1068="","",PPMT(Rate,ROWS($1:1056),Nper,-PV,,Type))</f>
        <v/>
      </c>
      <c r="I1068" s="69" t="str">
        <f>IF($B1068="","",IPMT(Rate,ROWS($1:1056),Nper,-PV,,Type))</f>
        <v/>
      </c>
      <c r="J1068" s="73" t="str">
        <f t="shared" ref="J1068:K1068" si="1058">IF($B1068="","",N(J1067)+N(H1068))</f>
        <v/>
      </c>
      <c r="K1068" s="74" t="str">
        <f t="shared" si="1058"/>
        <v/>
      </c>
      <c r="L1068" s="69" t="str">
        <f>IF($B1068="","",PV-J1068)</f>
        <v/>
      </c>
      <c r="M1068" s="71" t="str">
        <f>IF($B1068="","",J1068/PV)</f>
        <v/>
      </c>
      <c r="N1068" s="72" t="str">
        <f t="shared" si="4"/>
        <v/>
      </c>
    </row>
    <row r="1069" ht="14.25" customHeight="1">
      <c r="B1069" s="66" t="str">
        <f>IF(ROWS($1:1057)&lt;=Nper,ROWS($1:1057),"")</f>
        <v/>
      </c>
      <c r="C1069" s="67" t="str">
        <f>IF($B1069="","",IF($E$7="Weekly",Start_Date+7*(ROWS($1:1057)-1),EDATE(Start_Date,VLOOKUP(IF(ASTemp!$E$7="","Monthly",ASTemp!$E$7),Parameters!$B$3:$D$6,3,0)*(ROWS($1:1057)-1))))</f>
        <v/>
      </c>
      <c r="D1069" s="68" t="str">
        <f t="shared" si="2"/>
        <v/>
      </c>
      <c r="E1069" s="65" t="str">
        <f>IF($B1069="","",VLOOKUP(MONTH(C1069),Parameters!$F$2:$G$13,2,0))</f>
        <v/>
      </c>
      <c r="F1069" s="69" t="str">
        <f>IF($B1069="","",PV-N(J1068))</f>
        <v/>
      </c>
      <c r="G1069" s="69" t="str">
        <f>IF($B1069="","",PMT(Rate,Nper,-PV,,Type))</f>
        <v/>
      </c>
      <c r="H1069" s="69" t="str">
        <f>IF($B1069="","",PPMT(Rate,ROWS($1:1057),Nper,-PV,,Type))</f>
        <v/>
      </c>
      <c r="I1069" s="69" t="str">
        <f>IF($B1069="","",IPMT(Rate,ROWS($1:1057),Nper,-PV,,Type))</f>
        <v/>
      </c>
      <c r="J1069" s="73" t="str">
        <f t="shared" ref="J1069:K1069" si="1059">IF($B1069="","",N(J1068)+N(H1069))</f>
        <v/>
      </c>
      <c r="K1069" s="74" t="str">
        <f t="shared" si="1059"/>
        <v/>
      </c>
      <c r="L1069" s="69" t="str">
        <f>IF($B1069="","",PV-J1069)</f>
        <v/>
      </c>
      <c r="M1069" s="71" t="str">
        <f>IF($B1069="","",J1069/PV)</f>
        <v/>
      </c>
      <c r="N1069" s="72" t="str">
        <f t="shared" si="4"/>
        <v/>
      </c>
    </row>
    <row r="1070" ht="14.25" customHeight="1">
      <c r="B1070" s="66" t="str">
        <f>IF(ROWS($1:1058)&lt;=Nper,ROWS($1:1058),"")</f>
        <v/>
      </c>
      <c r="C1070" s="67" t="str">
        <f>IF($B1070="","",IF($E$7="Weekly",Start_Date+7*(ROWS($1:1058)-1),EDATE(Start_Date,VLOOKUP(IF(ASTemp!$E$7="","Monthly",ASTemp!$E$7),Parameters!$B$3:$D$6,3,0)*(ROWS($1:1058)-1))))</f>
        <v/>
      </c>
      <c r="D1070" s="68" t="str">
        <f t="shared" si="2"/>
        <v/>
      </c>
      <c r="E1070" s="65" t="str">
        <f>IF($B1070="","",VLOOKUP(MONTH(C1070),Parameters!$F$2:$G$13,2,0))</f>
        <v/>
      </c>
      <c r="F1070" s="69" t="str">
        <f>IF($B1070="","",PV-N(J1069))</f>
        <v/>
      </c>
      <c r="G1070" s="69" t="str">
        <f>IF($B1070="","",PMT(Rate,Nper,-PV,,Type))</f>
        <v/>
      </c>
      <c r="H1070" s="69" t="str">
        <f>IF($B1070="","",PPMT(Rate,ROWS($1:1058),Nper,-PV,,Type))</f>
        <v/>
      </c>
      <c r="I1070" s="69" t="str">
        <f>IF($B1070="","",IPMT(Rate,ROWS($1:1058),Nper,-PV,,Type))</f>
        <v/>
      </c>
      <c r="J1070" s="73" t="str">
        <f t="shared" ref="J1070:K1070" si="1060">IF($B1070="","",N(J1069)+N(H1070))</f>
        <v/>
      </c>
      <c r="K1070" s="74" t="str">
        <f t="shared" si="1060"/>
        <v/>
      </c>
      <c r="L1070" s="69" t="str">
        <f>IF($B1070="","",PV-J1070)</f>
        <v/>
      </c>
      <c r="M1070" s="71" t="str">
        <f>IF($B1070="","",J1070/PV)</f>
        <v/>
      </c>
      <c r="N1070" s="72" t="str">
        <f t="shared" si="4"/>
        <v/>
      </c>
    </row>
    <row r="1071" ht="14.25" customHeight="1">
      <c r="B1071" s="66" t="str">
        <f>IF(ROWS($1:1059)&lt;=Nper,ROWS($1:1059),"")</f>
        <v/>
      </c>
      <c r="C1071" s="67" t="str">
        <f>IF($B1071="","",IF($E$7="Weekly",Start_Date+7*(ROWS($1:1059)-1),EDATE(Start_Date,VLOOKUP(IF(ASTemp!$E$7="","Monthly",ASTemp!$E$7),Parameters!$B$3:$D$6,3,0)*(ROWS($1:1059)-1))))</f>
        <v/>
      </c>
      <c r="D1071" s="68" t="str">
        <f t="shared" si="2"/>
        <v/>
      </c>
      <c r="E1071" s="65" t="str">
        <f>IF($B1071="","",VLOOKUP(MONTH(C1071),Parameters!$F$2:$G$13,2,0))</f>
        <v/>
      </c>
      <c r="F1071" s="69" t="str">
        <f>IF($B1071="","",PV-N(J1070))</f>
        <v/>
      </c>
      <c r="G1071" s="69" t="str">
        <f>IF($B1071="","",PMT(Rate,Nper,-PV,,Type))</f>
        <v/>
      </c>
      <c r="H1071" s="69" t="str">
        <f>IF($B1071="","",PPMT(Rate,ROWS($1:1059),Nper,-PV,,Type))</f>
        <v/>
      </c>
      <c r="I1071" s="69" t="str">
        <f>IF($B1071="","",IPMT(Rate,ROWS($1:1059),Nper,-PV,,Type))</f>
        <v/>
      </c>
      <c r="J1071" s="73" t="str">
        <f t="shared" ref="J1071:K1071" si="1061">IF($B1071="","",N(J1070)+N(H1071))</f>
        <v/>
      </c>
      <c r="K1071" s="74" t="str">
        <f t="shared" si="1061"/>
        <v/>
      </c>
      <c r="L1071" s="69" t="str">
        <f>IF($B1071="","",PV-J1071)</f>
        <v/>
      </c>
      <c r="M1071" s="71" t="str">
        <f>IF($B1071="","",J1071/PV)</f>
        <v/>
      </c>
      <c r="N1071" s="72" t="str">
        <f t="shared" si="4"/>
        <v/>
      </c>
    </row>
    <row r="1072" ht="14.25" customHeight="1">
      <c r="B1072" s="66" t="str">
        <f>IF(ROWS($1:1060)&lt;=Nper,ROWS($1:1060),"")</f>
        <v/>
      </c>
      <c r="C1072" s="67" t="str">
        <f>IF($B1072="","",IF($E$7="Weekly",Start_Date+7*(ROWS($1:1060)-1),EDATE(Start_Date,VLOOKUP(IF(ASTemp!$E$7="","Monthly",ASTemp!$E$7),Parameters!$B$3:$D$6,3,0)*(ROWS($1:1060)-1))))</f>
        <v/>
      </c>
      <c r="D1072" s="68" t="str">
        <f t="shared" si="2"/>
        <v/>
      </c>
      <c r="E1072" s="65" t="str">
        <f>IF($B1072="","",VLOOKUP(MONTH(C1072),Parameters!$F$2:$G$13,2,0))</f>
        <v/>
      </c>
      <c r="F1072" s="69" t="str">
        <f>IF($B1072="","",PV-N(J1071))</f>
        <v/>
      </c>
      <c r="G1072" s="69" t="str">
        <f>IF($B1072="","",PMT(Rate,Nper,-PV,,Type))</f>
        <v/>
      </c>
      <c r="H1072" s="69" t="str">
        <f>IF($B1072="","",PPMT(Rate,ROWS($1:1060),Nper,-PV,,Type))</f>
        <v/>
      </c>
      <c r="I1072" s="69" t="str">
        <f>IF($B1072="","",IPMT(Rate,ROWS($1:1060),Nper,-PV,,Type))</f>
        <v/>
      </c>
      <c r="J1072" s="73" t="str">
        <f t="shared" ref="J1072:K1072" si="1062">IF($B1072="","",N(J1071)+N(H1072))</f>
        <v/>
      </c>
      <c r="K1072" s="74" t="str">
        <f t="shared" si="1062"/>
        <v/>
      </c>
      <c r="L1072" s="69" t="str">
        <f>IF($B1072="","",PV-J1072)</f>
        <v/>
      </c>
      <c r="M1072" s="71" t="str">
        <f>IF($B1072="","",J1072/PV)</f>
        <v/>
      </c>
      <c r="N1072" s="72" t="str">
        <f t="shared" si="4"/>
        <v/>
      </c>
    </row>
    <row r="1073" ht="14.25" customHeight="1">
      <c r="B1073" s="66" t="str">
        <f>IF(ROWS($1:1061)&lt;=Nper,ROWS($1:1061),"")</f>
        <v/>
      </c>
      <c r="C1073" s="67" t="str">
        <f>IF($B1073="","",IF($E$7="Weekly",Start_Date+7*(ROWS($1:1061)-1),EDATE(Start_Date,VLOOKUP(IF(ASTemp!$E$7="","Monthly",ASTemp!$E$7),Parameters!$B$3:$D$6,3,0)*(ROWS($1:1061)-1))))</f>
        <v/>
      </c>
      <c r="D1073" s="68" t="str">
        <f t="shared" si="2"/>
        <v/>
      </c>
      <c r="E1073" s="65" t="str">
        <f>IF($B1073="","",VLOOKUP(MONTH(C1073),Parameters!$F$2:$G$13,2,0))</f>
        <v/>
      </c>
      <c r="F1073" s="69" t="str">
        <f>IF($B1073="","",PV-N(J1072))</f>
        <v/>
      </c>
      <c r="G1073" s="69" t="str">
        <f>IF($B1073="","",PMT(Rate,Nper,-PV,,Type))</f>
        <v/>
      </c>
      <c r="H1073" s="69" t="str">
        <f>IF($B1073="","",PPMT(Rate,ROWS($1:1061),Nper,-PV,,Type))</f>
        <v/>
      </c>
      <c r="I1073" s="69" t="str">
        <f>IF($B1073="","",IPMT(Rate,ROWS($1:1061),Nper,-PV,,Type))</f>
        <v/>
      </c>
      <c r="J1073" s="73" t="str">
        <f t="shared" ref="J1073:K1073" si="1063">IF($B1073="","",N(J1072)+N(H1073))</f>
        <v/>
      </c>
      <c r="K1073" s="74" t="str">
        <f t="shared" si="1063"/>
        <v/>
      </c>
      <c r="L1073" s="69" t="str">
        <f>IF($B1073="","",PV-J1073)</f>
        <v/>
      </c>
      <c r="M1073" s="71" t="str">
        <f>IF($B1073="","",J1073/PV)</f>
        <v/>
      </c>
      <c r="N1073" s="72" t="str">
        <f t="shared" si="4"/>
        <v/>
      </c>
    </row>
    <row r="1074" ht="14.25" customHeight="1">
      <c r="B1074" s="66" t="str">
        <f>IF(ROWS($1:1062)&lt;=Nper,ROWS($1:1062),"")</f>
        <v/>
      </c>
      <c r="C1074" s="67" t="str">
        <f>IF($B1074="","",IF($E$7="Weekly",Start_Date+7*(ROWS($1:1062)-1),EDATE(Start_Date,VLOOKUP(IF(ASTemp!$E$7="","Monthly",ASTemp!$E$7),Parameters!$B$3:$D$6,3,0)*(ROWS($1:1062)-1))))</f>
        <v/>
      </c>
      <c r="D1074" s="68" t="str">
        <f t="shared" si="2"/>
        <v/>
      </c>
      <c r="E1074" s="65" t="str">
        <f>IF($B1074="","",VLOOKUP(MONTH(C1074),Parameters!$F$2:$G$13,2,0))</f>
        <v/>
      </c>
      <c r="F1074" s="69" t="str">
        <f>IF($B1074="","",PV-N(J1073))</f>
        <v/>
      </c>
      <c r="G1074" s="69" t="str">
        <f>IF($B1074="","",PMT(Rate,Nper,-PV,,Type))</f>
        <v/>
      </c>
      <c r="H1074" s="69" t="str">
        <f>IF($B1074="","",PPMT(Rate,ROWS($1:1062),Nper,-PV,,Type))</f>
        <v/>
      </c>
      <c r="I1074" s="69" t="str">
        <f>IF($B1074="","",IPMT(Rate,ROWS($1:1062),Nper,-PV,,Type))</f>
        <v/>
      </c>
      <c r="J1074" s="73" t="str">
        <f t="shared" ref="J1074:K1074" si="1064">IF($B1074="","",N(J1073)+N(H1074))</f>
        <v/>
      </c>
      <c r="K1074" s="74" t="str">
        <f t="shared" si="1064"/>
        <v/>
      </c>
      <c r="L1074" s="69" t="str">
        <f>IF($B1074="","",PV-J1074)</f>
        <v/>
      </c>
      <c r="M1074" s="71" t="str">
        <f>IF($B1074="","",J1074/PV)</f>
        <v/>
      </c>
      <c r="N1074" s="72" t="str">
        <f t="shared" si="4"/>
        <v/>
      </c>
    </row>
    <row r="1075" ht="14.25" customHeight="1">
      <c r="B1075" s="66" t="str">
        <f>IF(ROWS($1:1063)&lt;=Nper,ROWS($1:1063),"")</f>
        <v/>
      </c>
      <c r="C1075" s="67" t="str">
        <f>IF($B1075="","",IF($E$7="Weekly",Start_Date+7*(ROWS($1:1063)-1),EDATE(Start_Date,VLOOKUP(IF(ASTemp!$E$7="","Monthly",ASTemp!$E$7),Parameters!$B$3:$D$6,3,0)*(ROWS($1:1063)-1))))</f>
        <v/>
      </c>
      <c r="D1075" s="68" t="str">
        <f t="shared" si="2"/>
        <v/>
      </c>
      <c r="E1075" s="65" t="str">
        <f>IF($B1075="","",VLOOKUP(MONTH(C1075),Parameters!$F$2:$G$13,2,0))</f>
        <v/>
      </c>
      <c r="F1075" s="69" t="str">
        <f>IF($B1075="","",PV-N(J1074))</f>
        <v/>
      </c>
      <c r="G1075" s="69" t="str">
        <f>IF($B1075="","",PMT(Rate,Nper,-PV,,Type))</f>
        <v/>
      </c>
      <c r="H1075" s="69" t="str">
        <f>IF($B1075="","",PPMT(Rate,ROWS($1:1063),Nper,-PV,,Type))</f>
        <v/>
      </c>
      <c r="I1075" s="69" t="str">
        <f>IF($B1075="","",IPMT(Rate,ROWS($1:1063),Nper,-PV,,Type))</f>
        <v/>
      </c>
      <c r="J1075" s="73" t="str">
        <f t="shared" ref="J1075:K1075" si="1065">IF($B1075="","",N(J1074)+N(H1075))</f>
        <v/>
      </c>
      <c r="K1075" s="74" t="str">
        <f t="shared" si="1065"/>
        <v/>
      </c>
      <c r="L1075" s="69" t="str">
        <f>IF($B1075="","",PV-J1075)</f>
        <v/>
      </c>
      <c r="M1075" s="71" t="str">
        <f>IF($B1075="","",J1075/PV)</f>
        <v/>
      </c>
      <c r="N1075" s="72" t="str">
        <f t="shared" si="4"/>
        <v/>
      </c>
    </row>
    <row r="1076" ht="14.25" customHeight="1">
      <c r="B1076" s="66" t="str">
        <f>IF(ROWS($1:1064)&lt;=Nper,ROWS($1:1064),"")</f>
        <v/>
      </c>
      <c r="C1076" s="67" t="str">
        <f>IF($B1076="","",IF($E$7="Weekly",Start_Date+7*(ROWS($1:1064)-1),EDATE(Start_Date,VLOOKUP(IF(ASTemp!$E$7="","Monthly",ASTemp!$E$7),Parameters!$B$3:$D$6,3,0)*(ROWS($1:1064)-1))))</f>
        <v/>
      </c>
      <c r="D1076" s="68" t="str">
        <f t="shared" si="2"/>
        <v/>
      </c>
      <c r="E1076" s="65" t="str">
        <f>IF($B1076="","",VLOOKUP(MONTH(C1076),Parameters!$F$2:$G$13,2,0))</f>
        <v/>
      </c>
      <c r="F1076" s="69" t="str">
        <f>IF($B1076="","",PV-N(J1075))</f>
        <v/>
      </c>
      <c r="G1076" s="69" t="str">
        <f>IF($B1076="","",PMT(Rate,Nper,-PV,,Type))</f>
        <v/>
      </c>
      <c r="H1076" s="69" t="str">
        <f>IF($B1076="","",PPMT(Rate,ROWS($1:1064),Nper,-PV,,Type))</f>
        <v/>
      </c>
      <c r="I1076" s="69" t="str">
        <f>IF($B1076="","",IPMT(Rate,ROWS($1:1064),Nper,-PV,,Type))</f>
        <v/>
      </c>
      <c r="J1076" s="73" t="str">
        <f t="shared" ref="J1076:K1076" si="1066">IF($B1076="","",N(J1075)+N(H1076))</f>
        <v/>
      </c>
      <c r="K1076" s="74" t="str">
        <f t="shared" si="1066"/>
        <v/>
      </c>
      <c r="L1076" s="69" t="str">
        <f>IF($B1076="","",PV-J1076)</f>
        <v/>
      </c>
      <c r="M1076" s="71" t="str">
        <f>IF($B1076="","",J1076/PV)</f>
        <v/>
      </c>
      <c r="N1076" s="72" t="str">
        <f t="shared" si="4"/>
        <v/>
      </c>
    </row>
    <row r="1077" ht="14.25" customHeight="1">
      <c r="B1077" s="66" t="str">
        <f>IF(ROWS($1:1065)&lt;=Nper,ROWS($1:1065),"")</f>
        <v/>
      </c>
      <c r="C1077" s="67" t="str">
        <f>IF($B1077="","",IF($E$7="Weekly",Start_Date+7*(ROWS($1:1065)-1),EDATE(Start_Date,VLOOKUP(IF(ASTemp!$E$7="","Monthly",ASTemp!$E$7),Parameters!$B$3:$D$6,3,0)*(ROWS($1:1065)-1))))</f>
        <v/>
      </c>
      <c r="D1077" s="68" t="str">
        <f t="shared" si="2"/>
        <v/>
      </c>
      <c r="E1077" s="65" t="str">
        <f>IF($B1077="","",VLOOKUP(MONTH(C1077),Parameters!$F$2:$G$13,2,0))</f>
        <v/>
      </c>
      <c r="F1077" s="69" t="str">
        <f>IF($B1077="","",PV-N(J1076))</f>
        <v/>
      </c>
      <c r="G1077" s="69" t="str">
        <f>IF($B1077="","",PMT(Rate,Nper,-PV,,Type))</f>
        <v/>
      </c>
      <c r="H1077" s="69" t="str">
        <f>IF($B1077="","",PPMT(Rate,ROWS($1:1065),Nper,-PV,,Type))</f>
        <v/>
      </c>
      <c r="I1077" s="69" t="str">
        <f>IF($B1077="","",IPMT(Rate,ROWS($1:1065),Nper,-PV,,Type))</f>
        <v/>
      </c>
      <c r="J1077" s="73" t="str">
        <f t="shared" ref="J1077:K1077" si="1067">IF($B1077="","",N(J1076)+N(H1077))</f>
        <v/>
      </c>
      <c r="K1077" s="74" t="str">
        <f t="shared" si="1067"/>
        <v/>
      </c>
      <c r="L1077" s="69" t="str">
        <f>IF($B1077="","",PV-J1077)</f>
        <v/>
      </c>
      <c r="M1077" s="71" t="str">
        <f>IF($B1077="","",J1077/PV)</f>
        <v/>
      </c>
      <c r="N1077" s="72" t="str">
        <f t="shared" si="4"/>
        <v/>
      </c>
    </row>
    <row r="1078" ht="14.25" customHeight="1">
      <c r="B1078" s="66" t="str">
        <f>IF(ROWS($1:1066)&lt;=Nper,ROWS($1:1066),"")</f>
        <v/>
      </c>
      <c r="C1078" s="67" t="str">
        <f>IF($B1078="","",IF($E$7="Weekly",Start_Date+7*(ROWS($1:1066)-1),EDATE(Start_Date,VLOOKUP(IF(ASTemp!$E$7="","Monthly",ASTemp!$E$7),Parameters!$B$3:$D$6,3,0)*(ROWS($1:1066)-1))))</f>
        <v/>
      </c>
      <c r="D1078" s="68" t="str">
        <f t="shared" si="2"/>
        <v/>
      </c>
      <c r="E1078" s="65" t="str">
        <f>IF($B1078="","",VLOOKUP(MONTH(C1078),Parameters!$F$2:$G$13,2,0))</f>
        <v/>
      </c>
      <c r="F1078" s="69" t="str">
        <f>IF($B1078="","",PV-N(J1077))</f>
        <v/>
      </c>
      <c r="G1078" s="69" t="str">
        <f>IF($B1078="","",PMT(Rate,Nper,-PV,,Type))</f>
        <v/>
      </c>
      <c r="H1078" s="69" t="str">
        <f>IF($B1078="","",PPMT(Rate,ROWS($1:1066),Nper,-PV,,Type))</f>
        <v/>
      </c>
      <c r="I1078" s="69" t="str">
        <f>IF($B1078="","",IPMT(Rate,ROWS($1:1066),Nper,-PV,,Type))</f>
        <v/>
      </c>
      <c r="J1078" s="73" t="str">
        <f t="shared" ref="J1078:K1078" si="1068">IF($B1078="","",N(J1077)+N(H1078))</f>
        <v/>
      </c>
      <c r="K1078" s="74" t="str">
        <f t="shared" si="1068"/>
        <v/>
      </c>
      <c r="L1078" s="69" t="str">
        <f>IF($B1078="","",PV-J1078)</f>
        <v/>
      </c>
      <c r="M1078" s="71" t="str">
        <f>IF($B1078="","",J1078/PV)</f>
        <v/>
      </c>
      <c r="N1078" s="72" t="str">
        <f t="shared" si="4"/>
        <v/>
      </c>
    </row>
    <row r="1079" ht="14.25" customHeight="1">
      <c r="B1079" s="66" t="str">
        <f>IF(ROWS($1:1067)&lt;=Nper,ROWS($1:1067),"")</f>
        <v/>
      </c>
      <c r="C1079" s="67" t="str">
        <f>IF($B1079="","",IF($E$7="Weekly",Start_Date+7*(ROWS($1:1067)-1),EDATE(Start_Date,VLOOKUP(IF(ASTemp!$E$7="","Monthly",ASTemp!$E$7),Parameters!$B$3:$D$6,3,0)*(ROWS($1:1067)-1))))</f>
        <v/>
      </c>
      <c r="D1079" s="68" t="str">
        <f t="shared" si="2"/>
        <v/>
      </c>
      <c r="E1079" s="65" t="str">
        <f>IF($B1079="","",VLOOKUP(MONTH(C1079),Parameters!$F$2:$G$13,2,0))</f>
        <v/>
      </c>
      <c r="F1079" s="69" t="str">
        <f>IF($B1079="","",PV-N(J1078))</f>
        <v/>
      </c>
      <c r="G1079" s="69" t="str">
        <f>IF($B1079="","",PMT(Rate,Nper,-PV,,Type))</f>
        <v/>
      </c>
      <c r="H1079" s="69" t="str">
        <f>IF($B1079="","",PPMT(Rate,ROWS($1:1067),Nper,-PV,,Type))</f>
        <v/>
      </c>
      <c r="I1079" s="69" t="str">
        <f>IF($B1079="","",IPMT(Rate,ROWS($1:1067),Nper,-PV,,Type))</f>
        <v/>
      </c>
      <c r="J1079" s="73" t="str">
        <f t="shared" ref="J1079:K1079" si="1069">IF($B1079="","",N(J1078)+N(H1079))</f>
        <v/>
      </c>
      <c r="K1079" s="74" t="str">
        <f t="shared" si="1069"/>
        <v/>
      </c>
      <c r="L1079" s="69" t="str">
        <f>IF($B1079="","",PV-J1079)</f>
        <v/>
      </c>
      <c r="M1079" s="71" t="str">
        <f>IF($B1079="","",J1079/PV)</f>
        <v/>
      </c>
      <c r="N1079" s="72" t="str">
        <f t="shared" si="4"/>
        <v/>
      </c>
    </row>
    <row r="1080" ht="14.25" customHeight="1">
      <c r="B1080" s="66" t="str">
        <f>IF(ROWS($1:1068)&lt;=Nper,ROWS($1:1068),"")</f>
        <v/>
      </c>
      <c r="C1080" s="67" t="str">
        <f>IF($B1080="","",IF($E$7="Weekly",Start_Date+7*(ROWS($1:1068)-1),EDATE(Start_Date,VLOOKUP(IF(ASTemp!$E$7="","Monthly",ASTemp!$E$7),Parameters!$B$3:$D$6,3,0)*(ROWS($1:1068)-1))))</f>
        <v/>
      </c>
      <c r="D1080" s="68" t="str">
        <f t="shared" si="2"/>
        <v/>
      </c>
      <c r="E1080" s="65" t="str">
        <f>IF($B1080="","",VLOOKUP(MONTH(C1080),Parameters!$F$2:$G$13,2,0))</f>
        <v/>
      </c>
      <c r="F1080" s="69" t="str">
        <f>IF($B1080="","",PV-N(J1079))</f>
        <v/>
      </c>
      <c r="G1080" s="69" t="str">
        <f>IF($B1080="","",PMT(Rate,Nper,-PV,,Type))</f>
        <v/>
      </c>
      <c r="H1080" s="69" t="str">
        <f>IF($B1080="","",PPMT(Rate,ROWS($1:1068),Nper,-PV,,Type))</f>
        <v/>
      </c>
      <c r="I1080" s="69" t="str">
        <f>IF($B1080="","",IPMT(Rate,ROWS($1:1068),Nper,-PV,,Type))</f>
        <v/>
      </c>
      <c r="J1080" s="73" t="str">
        <f t="shared" ref="J1080:K1080" si="1070">IF($B1080="","",N(J1079)+N(H1080))</f>
        <v/>
      </c>
      <c r="K1080" s="74" t="str">
        <f t="shared" si="1070"/>
        <v/>
      </c>
      <c r="L1080" s="69" t="str">
        <f>IF($B1080="","",PV-J1080)</f>
        <v/>
      </c>
      <c r="M1080" s="71" t="str">
        <f>IF($B1080="","",J1080/PV)</f>
        <v/>
      </c>
      <c r="N1080" s="72" t="str">
        <f t="shared" si="4"/>
        <v/>
      </c>
    </row>
    <row r="1081" ht="14.25" customHeight="1">
      <c r="B1081" s="66" t="str">
        <f>IF(ROWS($1:1069)&lt;=Nper,ROWS($1:1069),"")</f>
        <v/>
      </c>
      <c r="C1081" s="67" t="str">
        <f>IF($B1081="","",IF($E$7="Weekly",Start_Date+7*(ROWS($1:1069)-1),EDATE(Start_Date,VLOOKUP(IF(ASTemp!$E$7="","Monthly",ASTemp!$E$7),Parameters!$B$3:$D$6,3,0)*(ROWS($1:1069)-1))))</f>
        <v/>
      </c>
      <c r="D1081" s="68" t="str">
        <f t="shared" si="2"/>
        <v/>
      </c>
      <c r="E1081" s="65" t="str">
        <f>IF($B1081="","",VLOOKUP(MONTH(C1081),Parameters!$F$2:$G$13,2,0))</f>
        <v/>
      </c>
      <c r="F1081" s="69" t="str">
        <f>IF($B1081="","",PV-N(J1080))</f>
        <v/>
      </c>
      <c r="G1081" s="69" t="str">
        <f>IF($B1081="","",PMT(Rate,Nper,-PV,,Type))</f>
        <v/>
      </c>
      <c r="H1081" s="69" t="str">
        <f>IF($B1081="","",PPMT(Rate,ROWS($1:1069),Nper,-PV,,Type))</f>
        <v/>
      </c>
      <c r="I1081" s="69" t="str">
        <f>IF($B1081="","",IPMT(Rate,ROWS($1:1069),Nper,-PV,,Type))</f>
        <v/>
      </c>
      <c r="J1081" s="73" t="str">
        <f t="shared" ref="J1081:K1081" si="1071">IF($B1081="","",N(J1080)+N(H1081))</f>
        <v/>
      </c>
      <c r="K1081" s="74" t="str">
        <f t="shared" si="1071"/>
        <v/>
      </c>
      <c r="L1081" s="69" t="str">
        <f>IF($B1081="","",PV-J1081)</f>
        <v/>
      </c>
      <c r="M1081" s="71" t="str">
        <f>IF($B1081="","",J1081/PV)</f>
        <v/>
      </c>
      <c r="N1081" s="72" t="str">
        <f t="shared" si="4"/>
        <v/>
      </c>
    </row>
    <row r="1082" ht="14.25" customHeight="1">
      <c r="B1082" s="66" t="str">
        <f>IF(ROWS($1:1070)&lt;=Nper,ROWS($1:1070),"")</f>
        <v/>
      </c>
      <c r="C1082" s="67" t="str">
        <f>IF($B1082="","",IF($E$7="Weekly",Start_Date+7*(ROWS($1:1070)-1),EDATE(Start_Date,VLOOKUP(IF(ASTemp!$E$7="","Monthly",ASTemp!$E$7),Parameters!$B$3:$D$6,3,0)*(ROWS($1:1070)-1))))</f>
        <v/>
      </c>
      <c r="D1082" s="68" t="str">
        <f t="shared" si="2"/>
        <v/>
      </c>
      <c r="E1082" s="65" t="str">
        <f>IF($B1082="","",VLOOKUP(MONTH(C1082),Parameters!$F$2:$G$13,2,0))</f>
        <v/>
      </c>
      <c r="F1082" s="69" t="str">
        <f>IF($B1082="","",PV-N(J1081))</f>
        <v/>
      </c>
      <c r="G1082" s="69" t="str">
        <f>IF($B1082="","",PMT(Rate,Nper,-PV,,Type))</f>
        <v/>
      </c>
      <c r="H1082" s="69" t="str">
        <f>IF($B1082="","",PPMT(Rate,ROWS($1:1070),Nper,-PV,,Type))</f>
        <v/>
      </c>
      <c r="I1082" s="69" t="str">
        <f>IF($B1082="","",IPMT(Rate,ROWS($1:1070),Nper,-PV,,Type))</f>
        <v/>
      </c>
      <c r="J1082" s="73" t="str">
        <f t="shared" ref="J1082:K1082" si="1072">IF($B1082="","",N(J1081)+N(H1082))</f>
        <v/>
      </c>
      <c r="K1082" s="74" t="str">
        <f t="shared" si="1072"/>
        <v/>
      </c>
      <c r="L1082" s="69" t="str">
        <f>IF($B1082="","",PV-J1082)</f>
        <v/>
      </c>
      <c r="M1082" s="71" t="str">
        <f>IF($B1082="","",J1082/PV)</f>
        <v/>
      </c>
      <c r="N1082" s="72" t="str">
        <f t="shared" si="4"/>
        <v/>
      </c>
    </row>
    <row r="1083" ht="14.25" customHeight="1">
      <c r="B1083" s="66" t="str">
        <f>IF(ROWS($1:1071)&lt;=Nper,ROWS($1:1071),"")</f>
        <v/>
      </c>
      <c r="C1083" s="67" t="str">
        <f>IF($B1083="","",IF($E$7="Weekly",Start_Date+7*(ROWS($1:1071)-1),EDATE(Start_Date,VLOOKUP(IF(ASTemp!$E$7="","Monthly",ASTemp!$E$7),Parameters!$B$3:$D$6,3,0)*(ROWS($1:1071)-1))))</f>
        <v/>
      </c>
      <c r="D1083" s="68" t="str">
        <f t="shared" si="2"/>
        <v/>
      </c>
      <c r="E1083" s="65" t="str">
        <f>IF($B1083="","",VLOOKUP(MONTH(C1083),Parameters!$F$2:$G$13,2,0))</f>
        <v/>
      </c>
      <c r="F1083" s="69" t="str">
        <f>IF($B1083="","",PV-N(J1082))</f>
        <v/>
      </c>
      <c r="G1083" s="69" t="str">
        <f>IF($B1083="","",PMT(Rate,Nper,-PV,,Type))</f>
        <v/>
      </c>
      <c r="H1083" s="69" t="str">
        <f>IF($B1083="","",PPMT(Rate,ROWS($1:1071),Nper,-PV,,Type))</f>
        <v/>
      </c>
      <c r="I1083" s="69" t="str">
        <f>IF($B1083="","",IPMT(Rate,ROWS($1:1071),Nper,-PV,,Type))</f>
        <v/>
      </c>
      <c r="J1083" s="73" t="str">
        <f t="shared" ref="J1083:K1083" si="1073">IF($B1083="","",N(J1082)+N(H1083))</f>
        <v/>
      </c>
      <c r="K1083" s="74" t="str">
        <f t="shared" si="1073"/>
        <v/>
      </c>
      <c r="L1083" s="69" t="str">
        <f>IF($B1083="","",PV-J1083)</f>
        <v/>
      </c>
      <c r="M1083" s="71" t="str">
        <f>IF($B1083="","",J1083/PV)</f>
        <v/>
      </c>
      <c r="N1083" s="72" t="str">
        <f t="shared" si="4"/>
        <v/>
      </c>
    </row>
    <row r="1084" ht="14.25" customHeight="1">
      <c r="B1084" s="66" t="str">
        <f>IF(ROWS($1:1072)&lt;=Nper,ROWS($1:1072),"")</f>
        <v/>
      </c>
      <c r="C1084" s="67" t="str">
        <f>IF($B1084="","",IF($E$7="Weekly",Start_Date+7*(ROWS($1:1072)-1),EDATE(Start_Date,VLOOKUP(IF(ASTemp!$E$7="","Monthly",ASTemp!$E$7),Parameters!$B$3:$D$6,3,0)*(ROWS($1:1072)-1))))</f>
        <v/>
      </c>
      <c r="D1084" s="68" t="str">
        <f t="shared" si="2"/>
        <v/>
      </c>
      <c r="E1084" s="65" t="str">
        <f>IF($B1084="","",VLOOKUP(MONTH(C1084),Parameters!$F$2:$G$13,2,0))</f>
        <v/>
      </c>
      <c r="F1084" s="69" t="str">
        <f>IF($B1084="","",PV-N(J1083))</f>
        <v/>
      </c>
      <c r="G1084" s="69" t="str">
        <f>IF($B1084="","",PMT(Rate,Nper,-PV,,Type))</f>
        <v/>
      </c>
      <c r="H1084" s="69" t="str">
        <f>IF($B1084="","",PPMT(Rate,ROWS($1:1072),Nper,-PV,,Type))</f>
        <v/>
      </c>
      <c r="I1084" s="69" t="str">
        <f>IF($B1084="","",IPMT(Rate,ROWS($1:1072),Nper,-PV,,Type))</f>
        <v/>
      </c>
      <c r="J1084" s="73" t="str">
        <f t="shared" ref="J1084:K1084" si="1074">IF($B1084="","",N(J1083)+N(H1084))</f>
        <v/>
      </c>
      <c r="K1084" s="74" t="str">
        <f t="shared" si="1074"/>
        <v/>
      </c>
      <c r="L1084" s="69" t="str">
        <f>IF($B1084="","",PV-J1084)</f>
        <v/>
      </c>
      <c r="M1084" s="71" t="str">
        <f>IF($B1084="","",J1084/PV)</f>
        <v/>
      </c>
      <c r="N1084" s="72" t="str">
        <f t="shared" si="4"/>
        <v/>
      </c>
    </row>
    <row r="1085" ht="14.25" customHeight="1">
      <c r="B1085" s="66" t="str">
        <f>IF(ROWS($1:1073)&lt;=Nper,ROWS($1:1073),"")</f>
        <v/>
      </c>
      <c r="C1085" s="67" t="str">
        <f>IF($B1085="","",IF($E$7="Weekly",Start_Date+7*(ROWS($1:1073)-1),EDATE(Start_Date,VLOOKUP(IF(ASTemp!$E$7="","Monthly",ASTemp!$E$7),Parameters!$B$3:$D$6,3,0)*(ROWS($1:1073)-1))))</f>
        <v/>
      </c>
      <c r="D1085" s="68" t="str">
        <f t="shared" si="2"/>
        <v/>
      </c>
      <c r="E1085" s="65" t="str">
        <f>IF($B1085="","",VLOOKUP(MONTH(C1085),Parameters!$F$2:$G$13,2,0))</f>
        <v/>
      </c>
      <c r="F1085" s="69" t="str">
        <f>IF($B1085="","",PV-N(J1084))</f>
        <v/>
      </c>
      <c r="G1085" s="69" t="str">
        <f>IF($B1085="","",PMT(Rate,Nper,-PV,,Type))</f>
        <v/>
      </c>
      <c r="H1085" s="69" t="str">
        <f>IF($B1085="","",PPMT(Rate,ROWS($1:1073),Nper,-PV,,Type))</f>
        <v/>
      </c>
      <c r="I1085" s="69" t="str">
        <f>IF($B1085="","",IPMT(Rate,ROWS($1:1073),Nper,-PV,,Type))</f>
        <v/>
      </c>
      <c r="J1085" s="73" t="str">
        <f t="shared" ref="J1085:K1085" si="1075">IF($B1085="","",N(J1084)+N(H1085))</f>
        <v/>
      </c>
      <c r="K1085" s="74" t="str">
        <f t="shared" si="1075"/>
        <v/>
      </c>
      <c r="L1085" s="69" t="str">
        <f>IF($B1085="","",PV-J1085)</f>
        <v/>
      </c>
      <c r="M1085" s="71" t="str">
        <f>IF($B1085="","",J1085/PV)</f>
        <v/>
      </c>
      <c r="N1085" s="72" t="str">
        <f t="shared" si="4"/>
        <v/>
      </c>
    </row>
    <row r="1086" ht="14.25" customHeight="1">
      <c r="B1086" s="66" t="str">
        <f>IF(ROWS($1:1074)&lt;=Nper,ROWS($1:1074),"")</f>
        <v/>
      </c>
      <c r="C1086" s="67" t="str">
        <f>IF($B1086="","",IF($E$7="Weekly",Start_Date+7*(ROWS($1:1074)-1),EDATE(Start_Date,VLOOKUP(IF(ASTemp!$E$7="","Monthly",ASTemp!$E$7),Parameters!$B$3:$D$6,3,0)*(ROWS($1:1074)-1))))</f>
        <v/>
      </c>
      <c r="D1086" s="68" t="str">
        <f t="shared" si="2"/>
        <v/>
      </c>
      <c r="E1086" s="65" t="str">
        <f>IF($B1086="","",VLOOKUP(MONTH(C1086),Parameters!$F$2:$G$13,2,0))</f>
        <v/>
      </c>
      <c r="F1086" s="69" t="str">
        <f>IF($B1086="","",PV-N(J1085))</f>
        <v/>
      </c>
      <c r="G1086" s="69" t="str">
        <f>IF($B1086="","",PMT(Rate,Nper,-PV,,Type))</f>
        <v/>
      </c>
      <c r="H1086" s="69" t="str">
        <f>IF($B1086="","",PPMT(Rate,ROWS($1:1074),Nper,-PV,,Type))</f>
        <v/>
      </c>
      <c r="I1086" s="69" t="str">
        <f>IF($B1086="","",IPMT(Rate,ROWS($1:1074),Nper,-PV,,Type))</f>
        <v/>
      </c>
      <c r="J1086" s="73" t="str">
        <f t="shared" ref="J1086:K1086" si="1076">IF($B1086="","",N(J1085)+N(H1086))</f>
        <v/>
      </c>
      <c r="K1086" s="74" t="str">
        <f t="shared" si="1076"/>
        <v/>
      </c>
      <c r="L1086" s="69" t="str">
        <f>IF($B1086="","",PV-J1086)</f>
        <v/>
      </c>
      <c r="M1086" s="71" t="str">
        <f>IF($B1086="","",J1086/PV)</f>
        <v/>
      </c>
      <c r="N1086" s="72" t="str">
        <f t="shared" si="4"/>
        <v/>
      </c>
    </row>
    <row r="1087" ht="14.25" customHeight="1">
      <c r="B1087" s="66" t="str">
        <f>IF(ROWS($1:1075)&lt;=Nper,ROWS($1:1075),"")</f>
        <v/>
      </c>
      <c r="C1087" s="67" t="str">
        <f>IF($B1087="","",IF($E$7="Weekly",Start_Date+7*(ROWS($1:1075)-1),EDATE(Start_Date,VLOOKUP(IF(ASTemp!$E$7="","Monthly",ASTemp!$E$7),Parameters!$B$3:$D$6,3,0)*(ROWS($1:1075)-1))))</f>
        <v/>
      </c>
      <c r="D1087" s="68" t="str">
        <f t="shared" si="2"/>
        <v/>
      </c>
      <c r="E1087" s="65" t="str">
        <f>IF($B1087="","",VLOOKUP(MONTH(C1087),Parameters!$F$2:$G$13,2,0))</f>
        <v/>
      </c>
      <c r="F1087" s="69" t="str">
        <f>IF($B1087="","",PV-N(J1086))</f>
        <v/>
      </c>
      <c r="G1087" s="69" t="str">
        <f>IF($B1087="","",PMT(Rate,Nper,-PV,,Type))</f>
        <v/>
      </c>
      <c r="H1087" s="69" t="str">
        <f>IF($B1087="","",PPMT(Rate,ROWS($1:1075),Nper,-PV,,Type))</f>
        <v/>
      </c>
      <c r="I1087" s="69" t="str">
        <f>IF($B1087="","",IPMT(Rate,ROWS($1:1075),Nper,-PV,,Type))</f>
        <v/>
      </c>
      <c r="J1087" s="73" t="str">
        <f t="shared" ref="J1087:K1087" si="1077">IF($B1087="","",N(J1086)+N(H1087))</f>
        <v/>
      </c>
      <c r="K1087" s="74" t="str">
        <f t="shared" si="1077"/>
        <v/>
      </c>
      <c r="L1087" s="69" t="str">
        <f>IF($B1087="","",PV-J1087)</f>
        <v/>
      </c>
      <c r="M1087" s="71" t="str">
        <f>IF($B1087="","",J1087/PV)</f>
        <v/>
      </c>
      <c r="N1087" s="72" t="str">
        <f t="shared" si="4"/>
        <v/>
      </c>
    </row>
    <row r="1088" ht="14.25" customHeight="1">
      <c r="B1088" s="66" t="str">
        <f>IF(ROWS($1:1076)&lt;=Nper,ROWS($1:1076),"")</f>
        <v/>
      </c>
      <c r="C1088" s="67" t="str">
        <f>IF($B1088="","",IF($E$7="Weekly",Start_Date+7*(ROWS($1:1076)-1),EDATE(Start_Date,VLOOKUP(IF(ASTemp!$E$7="","Monthly",ASTemp!$E$7),Parameters!$B$3:$D$6,3,0)*(ROWS($1:1076)-1))))</f>
        <v/>
      </c>
      <c r="D1088" s="68" t="str">
        <f t="shared" si="2"/>
        <v/>
      </c>
      <c r="E1088" s="65" t="str">
        <f>IF($B1088="","",VLOOKUP(MONTH(C1088),Parameters!$F$2:$G$13,2,0))</f>
        <v/>
      </c>
      <c r="F1088" s="69" t="str">
        <f>IF($B1088="","",PV-N(J1087))</f>
        <v/>
      </c>
      <c r="G1088" s="69" t="str">
        <f>IF($B1088="","",PMT(Rate,Nper,-PV,,Type))</f>
        <v/>
      </c>
      <c r="H1088" s="69" t="str">
        <f>IF($B1088="","",PPMT(Rate,ROWS($1:1076),Nper,-PV,,Type))</f>
        <v/>
      </c>
      <c r="I1088" s="69" t="str">
        <f>IF($B1088="","",IPMT(Rate,ROWS($1:1076),Nper,-PV,,Type))</f>
        <v/>
      </c>
      <c r="J1088" s="73" t="str">
        <f t="shared" ref="J1088:K1088" si="1078">IF($B1088="","",N(J1087)+N(H1088))</f>
        <v/>
      </c>
      <c r="K1088" s="74" t="str">
        <f t="shared" si="1078"/>
        <v/>
      </c>
      <c r="L1088" s="69" t="str">
        <f>IF($B1088="","",PV-J1088)</f>
        <v/>
      </c>
      <c r="M1088" s="71" t="str">
        <f>IF($B1088="","",J1088/PV)</f>
        <v/>
      </c>
      <c r="N1088" s="72" t="str">
        <f t="shared" si="4"/>
        <v/>
      </c>
    </row>
    <row r="1089" ht="14.25" customHeight="1">
      <c r="B1089" s="66" t="str">
        <f>IF(ROWS($1:1077)&lt;=Nper,ROWS($1:1077),"")</f>
        <v/>
      </c>
      <c r="C1089" s="67" t="str">
        <f>IF($B1089="","",IF($E$7="Weekly",Start_Date+7*(ROWS($1:1077)-1),EDATE(Start_Date,VLOOKUP(IF(ASTemp!$E$7="","Monthly",ASTemp!$E$7),Parameters!$B$3:$D$6,3,0)*(ROWS($1:1077)-1))))</f>
        <v/>
      </c>
      <c r="D1089" s="68" t="str">
        <f t="shared" si="2"/>
        <v/>
      </c>
      <c r="E1089" s="65" t="str">
        <f>IF($B1089="","",VLOOKUP(MONTH(C1089),Parameters!$F$2:$G$13,2,0))</f>
        <v/>
      </c>
      <c r="F1089" s="69" t="str">
        <f>IF($B1089="","",PV-N(J1088))</f>
        <v/>
      </c>
      <c r="G1089" s="69" t="str">
        <f>IF($B1089="","",PMT(Rate,Nper,-PV,,Type))</f>
        <v/>
      </c>
      <c r="H1089" s="69" t="str">
        <f>IF($B1089="","",PPMT(Rate,ROWS($1:1077),Nper,-PV,,Type))</f>
        <v/>
      </c>
      <c r="I1089" s="69" t="str">
        <f>IF($B1089="","",IPMT(Rate,ROWS($1:1077),Nper,-PV,,Type))</f>
        <v/>
      </c>
      <c r="J1089" s="73" t="str">
        <f t="shared" ref="J1089:K1089" si="1079">IF($B1089="","",N(J1088)+N(H1089))</f>
        <v/>
      </c>
      <c r="K1089" s="74" t="str">
        <f t="shared" si="1079"/>
        <v/>
      </c>
      <c r="L1089" s="69" t="str">
        <f>IF($B1089="","",PV-J1089)</f>
        <v/>
      </c>
      <c r="M1089" s="71" t="str">
        <f>IF($B1089="","",J1089/PV)</f>
        <v/>
      </c>
      <c r="N1089" s="72" t="str">
        <f t="shared" si="4"/>
        <v/>
      </c>
    </row>
    <row r="1090" ht="14.25" customHeight="1">
      <c r="B1090" s="66" t="str">
        <f>IF(ROWS($1:1078)&lt;=Nper,ROWS($1:1078),"")</f>
        <v/>
      </c>
      <c r="C1090" s="67" t="str">
        <f>IF($B1090="","",IF($E$7="Weekly",Start_Date+7*(ROWS($1:1078)-1),EDATE(Start_Date,VLOOKUP(IF(ASTemp!$E$7="","Monthly",ASTemp!$E$7),Parameters!$B$3:$D$6,3,0)*(ROWS($1:1078)-1))))</f>
        <v/>
      </c>
      <c r="D1090" s="68" t="str">
        <f t="shared" si="2"/>
        <v/>
      </c>
      <c r="E1090" s="65" t="str">
        <f>IF($B1090="","",VLOOKUP(MONTH(C1090),Parameters!$F$2:$G$13,2,0))</f>
        <v/>
      </c>
      <c r="F1090" s="69" t="str">
        <f>IF($B1090="","",PV-N(J1089))</f>
        <v/>
      </c>
      <c r="G1090" s="69" t="str">
        <f>IF($B1090="","",PMT(Rate,Nper,-PV,,Type))</f>
        <v/>
      </c>
      <c r="H1090" s="69" t="str">
        <f>IF($B1090="","",PPMT(Rate,ROWS($1:1078),Nper,-PV,,Type))</f>
        <v/>
      </c>
      <c r="I1090" s="69" t="str">
        <f>IF($B1090="","",IPMT(Rate,ROWS($1:1078),Nper,-PV,,Type))</f>
        <v/>
      </c>
      <c r="J1090" s="73" t="str">
        <f t="shared" ref="J1090:K1090" si="1080">IF($B1090="","",N(J1089)+N(H1090))</f>
        <v/>
      </c>
      <c r="K1090" s="74" t="str">
        <f t="shared" si="1080"/>
        <v/>
      </c>
      <c r="L1090" s="69" t="str">
        <f>IF($B1090="","",PV-J1090)</f>
        <v/>
      </c>
      <c r="M1090" s="71" t="str">
        <f>IF($B1090="","",J1090/PV)</f>
        <v/>
      </c>
      <c r="N1090" s="72" t="str">
        <f t="shared" si="4"/>
        <v/>
      </c>
    </row>
    <row r="1091" ht="14.25" customHeight="1">
      <c r="B1091" s="66" t="str">
        <f>IF(ROWS($1:1079)&lt;=Nper,ROWS($1:1079),"")</f>
        <v/>
      </c>
      <c r="C1091" s="67" t="str">
        <f>IF($B1091="","",IF($E$7="Weekly",Start_Date+7*(ROWS($1:1079)-1),EDATE(Start_Date,VLOOKUP(IF(ASTemp!$E$7="","Monthly",ASTemp!$E$7),Parameters!$B$3:$D$6,3,0)*(ROWS($1:1079)-1))))</f>
        <v/>
      </c>
      <c r="D1091" s="68" t="str">
        <f t="shared" si="2"/>
        <v/>
      </c>
      <c r="E1091" s="65" t="str">
        <f>IF($B1091="","",VLOOKUP(MONTH(C1091),Parameters!$F$2:$G$13,2,0))</f>
        <v/>
      </c>
      <c r="F1091" s="69" t="str">
        <f>IF($B1091="","",PV-N(J1090))</f>
        <v/>
      </c>
      <c r="G1091" s="69" t="str">
        <f>IF($B1091="","",PMT(Rate,Nper,-PV,,Type))</f>
        <v/>
      </c>
      <c r="H1091" s="69" t="str">
        <f>IF($B1091="","",PPMT(Rate,ROWS($1:1079),Nper,-PV,,Type))</f>
        <v/>
      </c>
      <c r="I1091" s="69" t="str">
        <f>IF($B1091="","",IPMT(Rate,ROWS($1:1079),Nper,-PV,,Type))</f>
        <v/>
      </c>
      <c r="J1091" s="73" t="str">
        <f t="shared" ref="J1091:K1091" si="1081">IF($B1091="","",N(J1090)+N(H1091))</f>
        <v/>
      </c>
      <c r="K1091" s="74" t="str">
        <f t="shared" si="1081"/>
        <v/>
      </c>
      <c r="L1091" s="69" t="str">
        <f>IF($B1091="","",PV-J1091)</f>
        <v/>
      </c>
      <c r="M1091" s="71" t="str">
        <f>IF($B1091="","",J1091/PV)</f>
        <v/>
      </c>
      <c r="N1091" s="72" t="str">
        <f t="shared" si="4"/>
        <v/>
      </c>
    </row>
    <row r="1092" ht="14.25" customHeight="1">
      <c r="B1092" s="66" t="str">
        <f>IF(ROWS($1:1080)&lt;=Nper,ROWS($1:1080),"")</f>
        <v/>
      </c>
      <c r="C1092" s="67" t="str">
        <f>IF($B1092="","",IF($E$7="Weekly",Start_Date+7*(ROWS($1:1080)-1),EDATE(Start_Date,VLOOKUP(IF(ASTemp!$E$7="","Monthly",ASTemp!$E$7),Parameters!$B$3:$D$6,3,0)*(ROWS($1:1080)-1))))</f>
        <v/>
      </c>
      <c r="D1092" s="68" t="str">
        <f t="shared" si="2"/>
        <v/>
      </c>
      <c r="E1092" s="65" t="str">
        <f>IF($B1092="","",VLOOKUP(MONTH(C1092),Parameters!$F$2:$G$13,2,0))</f>
        <v/>
      </c>
      <c r="F1092" s="69" t="str">
        <f>IF($B1092="","",PV-N(J1091))</f>
        <v/>
      </c>
      <c r="G1092" s="69" t="str">
        <f>IF($B1092="","",PMT(Rate,Nper,-PV,,Type))</f>
        <v/>
      </c>
      <c r="H1092" s="69" t="str">
        <f>IF($B1092="","",PPMT(Rate,ROWS($1:1080),Nper,-PV,,Type))</f>
        <v/>
      </c>
      <c r="I1092" s="69" t="str">
        <f>IF($B1092="","",IPMT(Rate,ROWS($1:1080),Nper,-PV,,Type))</f>
        <v/>
      </c>
      <c r="J1092" s="73" t="str">
        <f t="shared" ref="J1092:K1092" si="1082">IF($B1092="","",N(J1091)+N(H1092))</f>
        <v/>
      </c>
      <c r="K1092" s="74" t="str">
        <f t="shared" si="1082"/>
        <v/>
      </c>
      <c r="L1092" s="69" t="str">
        <f>IF($B1092="","",PV-J1092)</f>
        <v/>
      </c>
      <c r="M1092" s="71" t="str">
        <f>IF($B1092="","",J1092/PV)</f>
        <v/>
      </c>
      <c r="N1092" s="72" t="str">
        <f t="shared" si="4"/>
        <v/>
      </c>
    </row>
    <row r="1093" ht="14.25" customHeight="1">
      <c r="B1093" s="66" t="str">
        <f>IF(ROWS($1:1081)&lt;=Nper,ROWS($1:1081),"")</f>
        <v/>
      </c>
      <c r="C1093" s="67" t="str">
        <f>IF($B1093="","",IF($E$7="Weekly",Start_Date+7*(ROWS($1:1081)-1),EDATE(Start_Date,VLOOKUP(IF(ASTemp!$E$7="","Monthly",ASTemp!$E$7),Parameters!$B$3:$D$6,3,0)*(ROWS($1:1081)-1))))</f>
        <v/>
      </c>
      <c r="D1093" s="68" t="str">
        <f t="shared" si="2"/>
        <v/>
      </c>
      <c r="E1093" s="65" t="str">
        <f>IF($B1093="","",VLOOKUP(MONTH(C1093),Parameters!$F$2:$G$13,2,0))</f>
        <v/>
      </c>
      <c r="F1093" s="69" t="str">
        <f>IF($B1093="","",PV-N(J1092))</f>
        <v/>
      </c>
      <c r="G1093" s="69" t="str">
        <f>IF($B1093="","",PMT(Rate,Nper,-PV,,Type))</f>
        <v/>
      </c>
      <c r="H1093" s="69" t="str">
        <f>IF($B1093="","",PPMT(Rate,ROWS($1:1081),Nper,-PV,,Type))</f>
        <v/>
      </c>
      <c r="I1093" s="69" t="str">
        <f>IF($B1093="","",IPMT(Rate,ROWS($1:1081),Nper,-PV,,Type))</f>
        <v/>
      </c>
      <c r="J1093" s="73" t="str">
        <f t="shared" ref="J1093:K1093" si="1083">IF($B1093="","",N(J1092)+N(H1093))</f>
        <v/>
      </c>
      <c r="K1093" s="74" t="str">
        <f t="shared" si="1083"/>
        <v/>
      </c>
      <c r="L1093" s="69" t="str">
        <f>IF($B1093="","",PV-J1093)</f>
        <v/>
      </c>
      <c r="M1093" s="71" t="str">
        <f>IF($B1093="","",J1093/PV)</f>
        <v/>
      </c>
      <c r="N1093" s="72" t="str">
        <f t="shared" si="4"/>
        <v/>
      </c>
    </row>
    <row r="1094" ht="14.25" customHeight="1">
      <c r="B1094" s="66" t="str">
        <f>IF(ROWS($1:1082)&lt;=Nper,ROWS($1:1082),"")</f>
        <v/>
      </c>
      <c r="C1094" s="67" t="str">
        <f>IF($B1094="","",IF($E$7="Weekly",Start_Date+7*(ROWS($1:1082)-1),EDATE(Start_Date,VLOOKUP(IF(ASTemp!$E$7="","Monthly",ASTemp!$E$7),Parameters!$B$3:$D$6,3,0)*(ROWS($1:1082)-1))))</f>
        <v/>
      </c>
      <c r="D1094" s="68" t="str">
        <f t="shared" si="2"/>
        <v/>
      </c>
      <c r="E1094" s="65" t="str">
        <f>IF($B1094="","",VLOOKUP(MONTH(C1094),Parameters!$F$2:$G$13,2,0))</f>
        <v/>
      </c>
      <c r="F1094" s="69" t="str">
        <f>IF($B1094="","",PV-N(J1093))</f>
        <v/>
      </c>
      <c r="G1094" s="69" t="str">
        <f>IF($B1094="","",PMT(Rate,Nper,-PV,,Type))</f>
        <v/>
      </c>
      <c r="H1094" s="69" t="str">
        <f>IF($B1094="","",PPMT(Rate,ROWS($1:1082),Nper,-PV,,Type))</f>
        <v/>
      </c>
      <c r="I1094" s="69" t="str">
        <f>IF($B1094="","",IPMT(Rate,ROWS($1:1082),Nper,-PV,,Type))</f>
        <v/>
      </c>
      <c r="J1094" s="73" t="str">
        <f t="shared" ref="J1094:K1094" si="1084">IF($B1094="","",N(J1093)+N(H1094))</f>
        <v/>
      </c>
      <c r="K1094" s="74" t="str">
        <f t="shared" si="1084"/>
        <v/>
      </c>
      <c r="L1094" s="69" t="str">
        <f>IF($B1094="","",PV-J1094)</f>
        <v/>
      </c>
      <c r="M1094" s="71" t="str">
        <f>IF($B1094="","",J1094/PV)</f>
        <v/>
      </c>
      <c r="N1094" s="72" t="str">
        <f t="shared" si="4"/>
        <v/>
      </c>
    </row>
    <row r="1095" ht="14.25" customHeight="1">
      <c r="B1095" s="66" t="str">
        <f>IF(ROWS($1:1083)&lt;=Nper,ROWS($1:1083),"")</f>
        <v/>
      </c>
      <c r="C1095" s="67" t="str">
        <f>IF($B1095="","",IF($E$7="Weekly",Start_Date+7*(ROWS($1:1083)-1),EDATE(Start_Date,VLOOKUP(IF(ASTemp!$E$7="","Monthly",ASTemp!$E$7),Parameters!$B$3:$D$6,3,0)*(ROWS($1:1083)-1))))</f>
        <v/>
      </c>
      <c r="D1095" s="68" t="str">
        <f t="shared" si="2"/>
        <v/>
      </c>
      <c r="E1095" s="65" t="str">
        <f>IF($B1095="","",VLOOKUP(MONTH(C1095),Parameters!$F$2:$G$13,2,0))</f>
        <v/>
      </c>
      <c r="F1095" s="69" t="str">
        <f>IF($B1095="","",PV-N(J1094))</f>
        <v/>
      </c>
      <c r="G1095" s="69" t="str">
        <f>IF($B1095="","",PMT(Rate,Nper,-PV,,Type))</f>
        <v/>
      </c>
      <c r="H1095" s="69" t="str">
        <f>IF($B1095="","",PPMT(Rate,ROWS($1:1083),Nper,-PV,,Type))</f>
        <v/>
      </c>
      <c r="I1095" s="69" t="str">
        <f>IF($B1095="","",IPMT(Rate,ROWS($1:1083),Nper,-PV,,Type))</f>
        <v/>
      </c>
      <c r="J1095" s="73" t="str">
        <f t="shared" ref="J1095:K1095" si="1085">IF($B1095="","",N(J1094)+N(H1095))</f>
        <v/>
      </c>
      <c r="K1095" s="74" t="str">
        <f t="shared" si="1085"/>
        <v/>
      </c>
      <c r="L1095" s="69" t="str">
        <f>IF($B1095="","",PV-J1095)</f>
        <v/>
      </c>
      <c r="M1095" s="71" t="str">
        <f>IF($B1095="","",J1095/PV)</f>
        <v/>
      </c>
      <c r="N1095" s="72" t="str">
        <f t="shared" si="4"/>
        <v/>
      </c>
    </row>
    <row r="1096" ht="14.25" customHeight="1">
      <c r="B1096" s="66" t="str">
        <f>IF(ROWS($1:1084)&lt;=Nper,ROWS($1:1084),"")</f>
        <v/>
      </c>
      <c r="C1096" s="67" t="str">
        <f>IF($B1096="","",IF($E$7="Weekly",Start_Date+7*(ROWS($1:1084)-1),EDATE(Start_Date,VLOOKUP(IF(ASTemp!$E$7="","Monthly",ASTemp!$E$7),Parameters!$B$3:$D$6,3,0)*(ROWS($1:1084)-1))))</f>
        <v/>
      </c>
      <c r="D1096" s="68" t="str">
        <f t="shared" si="2"/>
        <v/>
      </c>
      <c r="E1096" s="65" t="str">
        <f>IF($B1096="","",VLOOKUP(MONTH(C1096),Parameters!$F$2:$G$13,2,0))</f>
        <v/>
      </c>
      <c r="F1096" s="69" t="str">
        <f>IF($B1096="","",PV-N(J1095))</f>
        <v/>
      </c>
      <c r="G1096" s="69" t="str">
        <f>IF($B1096="","",PMT(Rate,Nper,-PV,,Type))</f>
        <v/>
      </c>
      <c r="H1096" s="69" t="str">
        <f>IF($B1096="","",PPMT(Rate,ROWS($1:1084),Nper,-PV,,Type))</f>
        <v/>
      </c>
      <c r="I1096" s="69" t="str">
        <f>IF($B1096="","",IPMT(Rate,ROWS($1:1084),Nper,-PV,,Type))</f>
        <v/>
      </c>
      <c r="J1096" s="73" t="str">
        <f t="shared" ref="J1096:K1096" si="1086">IF($B1096="","",N(J1095)+N(H1096))</f>
        <v/>
      </c>
      <c r="K1096" s="74" t="str">
        <f t="shared" si="1086"/>
        <v/>
      </c>
      <c r="L1096" s="69" t="str">
        <f>IF($B1096="","",PV-J1096)</f>
        <v/>
      </c>
      <c r="M1096" s="71" t="str">
        <f>IF($B1096="","",J1096/PV)</f>
        <v/>
      </c>
      <c r="N1096" s="72" t="str">
        <f t="shared" si="4"/>
        <v/>
      </c>
    </row>
    <row r="1097" ht="14.25" customHeight="1">
      <c r="B1097" s="66" t="str">
        <f>IF(ROWS($1:1085)&lt;=Nper,ROWS($1:1085),"")</f>
        <v/>
      </c>
      <c r="C1097" s="67" t="str">
        <f>IF($B1097="","",IF($E$7="Weekly",Start_Date+7*(ROWS($1:1085)-1),EDATE(Start_Date,VLOOKUP(IF(ASTemp!$E$7="","Monthly",ASTemp!$E$7),Parameters!$B$3:$D$6,3,0)*(ROWS($1:1085)-1))))</f>
        <v/>
      </c>
      <c r="D1097" s="68" t="str">
        <f t="shared" si="2"/>
        <v/>
      </c>
      <c r="E1097" s="65" t="str">
        <f>IF($B1097="","",VLOOKUP(MONTH(C1097),Parameters!$F$2:$G$13,2,0))</f>
        <v/>
      </c>
      <c r="F1097" s="69" t="str">
        <f>IF($B1097="","",PV-N(J1096))</f>
        <v/>
      </c>
      <c r="G1097" s="69" t="str">
        <f>IF($B1097="","",PMT(Rate,Nper,-PV,,Type))</f>
        <v/>
      </c>
      <c r="H1097" s="69" t="str">
        <f>IF($B1097="","",PPMT(Rate,ROWS($1:1085),Nper,-PV,,Type))</f>
        <v/>
      </c>
      <c r="I1097" s="69" t="str">
        <f>IF($B1097="","",IPMT(Rate,ROWS($1:1085),Nper,-PV,,Type))</f>
        <v/>
      </c>
      <c r="J1097" s="73" t="str">
        <f t="shared" ref="J1097:K1097" si="1087">IF($B1097="","",N(J1096)+N(H1097))</f>
        <v/>
      </c>
      <c r="K1097" s="74" t="str">
        <f t="shared" si="1087"/>
        <v/>
      </c>
      <c r="L1097" s="69" t="str">
        <f>IF($B1097="","",PV-J1097)</f>
        <v/>
      </c>
      <c r="M1097" s="71" t="str">
        <f>IF($B1097="","",J1097/PV)</f>
        <v/>
      </c>
      <c r="N1097" s="72" t="str">
        <f t="shared" si="4"/>
        <v/>
      </c>
    </row>
    <row r="1098" ht="14.25" customHeight="1">
      <c r="B1098" s="66" t="str">
        <f>IF(ROWS($1:1086)&lt;=Nper,ROWS($1:1086),"")</f>
        <v/>
      </c>
      <c r="C1098" s="67" t="str">
        <f>IF($B1098="","",IF($E$7="Weekly",Start_Date+7*(ROWS($1:1086)-1),EDATE(Start_Date,VLOOKUP(IF(ASTemp!$E$7="","Monthly",ASTemp!$E$7),Parameters!$B$3:$D$6,3,0)*(ROWS($1:1086)-1))))</f>
        <v/>
      </c>
      <c r="D1098" s="68" t="str">
        <f t="shared" si="2"/>
        <v/>
      </c>
      <c r="E1098" s="65" t="str">
        <f>IF($B1098="","",VLOOKUP(MONTH(C1098),Parameters!$F$2:$G$13,2,0))</f>
        <v/>
      </c>
      <c r="F1098" s="69" t="str">
        <f>IF($B1098="","",PV-N(J1097))</f>
        <v/>
      </c>
      <c r="G1098" s="69" t="str">
        <f>IF($B1098="","",PMT(Rate,Nper,-PV,,Type))</f>
        <v/>
      </c>
      <c r="H1098" s="69" t="str">
        <f>IF($B1098="","",PPMT(Rate,ROWS($1:1086),Nper,-PV,,Type))</f>
        <v/>
      </c>
      <c r="I1098" s="69" t="str">
        <f>IF($B1098="","",IPMT(Rate,ROWS($1:1086),Nper,-PV,,Type))</f>
        <v/>
      </c>
      <c r="J1098" s="73" t="str">
        <f t="shared" ref="J1098:K1098" si="1088">IF($B1098="","",N(J1097)+N(H1098))</f>
        <v/>
      </c>
      <c r="K1098" s="74" t="str">
        <f t="shared" si="1088"/>
        <v/>
      </c>
      <c r="L1098" s="69" t="str">
        <f>IF($B1098="","",PV-J1098)</f>
        <v/>
      </c>
      <c r="M1098" s="71" t="str">
        <f>IF($B1098="","",J1098/PV)</f>
        <v/>
      </c>
      <c r="N1098" s="72" t="str">
        <f t="shared" si="4"/>
        <v/>
      </c>
    </row>
    <row r="1099" ht="14.25" customHeight="1">
      <c r="B1099" s="66" t="str">
        <f>IF(ROWS($1:1087)&lt;=Nper,ROWS($1:1087),"")</f>
        <v/>
      </c>
      <c r="C1099" s="67" t="str">
        <f>IF($B1099="","",IF($E$7="Weekly",Start_Date+7*(ROWS($1:1087)-1),EDATE(Start_Date,VLOOKUP(IF(ASTemp!$E$7="","Monthly",ASTemp!$E$7),Parameters!$B$3:$D$6,3,0)*(ROWS($1:1087)-1))))</f>
        <v/>
      </c>
      <c r="D1099" s="68" t="str">
        <f t="shared" si="2"/>
        <v/>
      </c>
      <c r="E1099" s="65" t="str">
        <f>IF($B1099="","",VLOOKUP(MONTH(C1099),Parameters!$F$2:$G$13,2,0))</f>
        <v/>
      </c>
      <c r="F1099" s="69" t="str">
        <f>IF($B1099="","",PV-N(J1098))</f>
        <v/>
      </c>
      <c r="G1099" s="69" t="str">
        <f>IF($B1099="","",PMT(Rate,Nper,-PV,,Type))</f>
        <v/>
      </c>
      <c r="H1099" s="69" t="str">
        <f>IF($B1099="","",PPMT(Rate,ROWS($1:1087),Nper,-PV,,Type))</f>
        <v/>
      </c>
      <c r="I1099" s="69" t="str">
        <f>IF($B1099="","",IPMT(Rate,ROWS($1:1087),Nper,-PV,,Type))</f>
        <v/>
      </c>
      <c r="J1099" s="73" t="str">
        <f t="shared" ref="J1099:K1099" si="1089">IF($B1099="","",N(J1098)+N(H1099))</f>
        <v/>
      </c>
      <c r="K1099" s="74" t="str">
        <f t="shared" si="1089"/>
        <v/>
      </c>
      <c r="L1099" s="69" t="str">
        <f>IF($B1099="","",PV-J1099)</f>
        <v/>
      </c>
      <c r="M1099" s="71" t="str">
        <f>IF($B1099="","",J1099/PV)</f>
        <v/>
      </c>
      <c r="N1099" s="72" t="str">
        <f t="shared" si="4"/>
        <v/>
      </c>
    </row>
    <row r="1100" ht="14.25" customHeight="1">
      <c r="B1100" s="66" t="str">
        <f>IF(ROWS($1:1088)&lt;=Nper,ROWS($1:1088),"")</f>
        <v/>
      </c>
      <c r="C1100" s="67" t="str">
        <f>IF($B1100="","",IF($E$7="Weekly",Start_Date+7*(ROWS($1:1088)-1),EDATE(Start_Date,VLOOKUP(IF(ASTemp!$E$7="","Monthly",ASTemp!$E$7),Parameters!$B$3:$D$6,3,0)*(ROWS($1:1088)-1))))</f>
        <v/>
      </c>
      <c r="D1100" s="68" t="str">
        <f t="shared" si="2"/>
        <v/>
      </c>
      <c r="E1100" s="65" t="str">
        <f>IF($B1100="","",VLOOKUP(MONTH(C1100),Parameters!$F$2:$G$13,2,0))</f>
        <v/>
      </c>
      <c r="F1100" s="69" t="str">
        <f>IF($B1100="","",PV-N(J1099))</f>
        <v/>
      </c>
      <c r="G1100" s="69" t="str">
        <f>IF($B1100="","",PMT(Rate,Nper,-PV,,Type))</f>
        <v/>
      </c>
      <c r="H1100" s="69" t="str">
        <f>IF($B1100="","",PPMT(Rate,ROWS($1:1088),Nper,-PV,,Type))</f>
        <v/>
      </c>
      <c r="I1100" s="69" t="str">
        <f>IF($B1100="","",IPMT(Rate,ROWS($1:1088),Nper,-PV,,Type))</f>
        <v/>
      </c>
      <c r="J1100" s="73" t="str">
        <f t="shared" ref="J1100:K1100" si="1090">IF($B1100="","",N(J1099)+N(H1100))</f>
        <v/>
      </c>
      <c r="K1100" s="74" t="str">
        <f t="shared" si="1090"/>
        <v/>
      </c>
      <c r="L1100" s="69" t="str">
        <f>IF($B1100="","",PV-J1100)</f>
        <v/>
      </c>
      <c r="M1100" s="71" t="str">
        <f>IF($B1100="","",J1100/PV)</f>
        <v/>
      </c>
      <c r="N1100" s="72" t="str">
        <f t="shared" si="4"/>
        <v/>
      </c>
    </row>
    <row r="1101" ht="14.25" customHeight="1">
      <c r="B1101" s="66" t="str">
        <f>IF(ROWS($1:1089)&lt;=Nper,ROWS($1:1089),"")</f>
        <v/>
      </c>
      <c r="C1101" s="67" t="str">
        <f>IF($B1101="","",IF($E$7="Weekly",Start_Date+7*(ROWS($1:1089)-1),EDATE(Start_Date,VLOOKUP(IF(ASTemp!$E$7="","Monthly",ASTemp!$E$7),Parameters!$B$3:$D$6,3,0)*(ROWS($1:1089)-1))))</f>
        <v/>
      </c>
      <c r="D1101" s="68" t="str">
        <f t="shared" si="2"/>
        <v/>
      </c>
      <c r="E1101" s="65" t="str">
        <f>IF($B1101="","",VLOOKUP(MONTH(C1101),Parameters!$F$2:$G$13,2,0))</f>
        <v/>
      </c>
      <c r="F1101" s="69" t="str">
        <f>IF($B1101="","",PV-N(J1100))</f>
        <v/>
      </c>
      <c r="G1101" s="69" t="str">
        <f>IF($B1101="","",PMT(Rate,Nper,-PV,,Type))</f>
        <v/>
      </c>
      <c r="H1101" s="69" t="str">
        <f>IF($B1101="","",PPMT(Rate,ROWS($1:1089),Nper,-PV,,Type))</f>
        <v/>
      </c>
      <c r="I1101" s="69" t="str">
        <f>IF($B1101="","",IPMT(Rate,ROWS($1:1089),Nper,-PV,,Type))</f>
        <v/>
      </c>
      <c r="J1101" s="73" t="str">
        <f t="shared" ref="J1101:K1101" si="1091">IF($B1101="","",N(J1100)+N(H1101))</f>
        <v/>
      </c>
      <c r="K1101" s="74" t="str">
        <f t="shared" si="1091"/>
        <v/>
      </c>
      <c r="L1101" s="69" t="str">
        <f>IF($B1101="","",PV-J1101)</f>
        <v/>
      </c>
      <c r="M1101" s="71" t="str">
        <f>IF($B1101="","",J1101/PV)</f>
        <v/>
      </c>
      <c r="N1101" s="72" t="str">
        <f t="shared" si="4"/>
        <v/>
      </c>
    </row>
    <row r="1102" ht="14.25" customHeight="1">
      <c r="B1102" s="66" t="str">
        <f>IF(ROWS($1:1090)&lt;=Nper,ROWS($1:1090),"")</f>
        <v/>
      </c>
      <c r="C1102" s="67" t="str">
        <f>IF($B1102="","",IF($E$7="Weekly",Start_Date+7*(ROWS($1:1090)-1),EDATE(Start_Date,VLOOKUP(IF(ASTemp!$E$7="","Monthly",ASTemp!$E$7),Parameters!$B$3:$D$6,3,0)*(ROWS($1:1090)-1))))</f>
        <v/>
      </c>
      <c r="D1102" s="68" t="str">
        <f t="shared" si="2"/>
        <v/>
      </c>
      <c r="E1102" s="65" t="str">
        <f>IF($B1102="","",VLOOKUP(MONTH(C1102),Parameters!$F$2:$G$13,2,0))</f>
        <v/>
      </c>
      <c r="F1102" s="69" t="str">
        <f>IF($B1102="","",PV-N(J1101))</f>
        <v/>
      </c>
      <c r="G1102" s="69" t="str">
        <f>IF($B1102="","",PMT(Rate,Nper,-PV,,Type))</f>
        <v/>
      </c>
      <c r="H1102" s="69" t="str">
        <f>IF($B1102="","",PPMT(Rate,ROWS($1:1090),Nper,-PV,,Type))</f>
        <v/>
      </c>
      <c r="I1102" s="69" t="str">
        <f>IF($B1102="","",IPMT(Rate,ROWS($1:1090),Nper,-PV,,Type))</f>
        <v/>
      </c>
      <c r="J1102" s="73" t="str">
        <f t="shared" ref="J1102:K1102" si="1092">IF($B1102="","",N(J1101)+N(H1102))</f>
        <v/>
      </c>
      <c r="K1102" s="74" t="str">
        <f t="shared" si="1092"/>
        <v/>
      </c>
      <c r="L1102" s="69" t="str">
        <f>IF($B1102="","",PV-J1102)</f>
        <v/>
      </c>
      <c r="M1102" s="71" t="str">
        <f>IF($B1102="","",J1102/PV)</f>
        <v/>
      </c>
      <c r="N1102" s="72" t="str">
        <f t="shared" si="4"/>
        <v/>
      </c>
    </row>
    <row r="1103" ht="14.25" customHeight="1">
      <c r="B1103" s="66" t="str">
        <f>IF(ROWS($1:1091)&lt;=Nper,ROWS($1:1091),"")</f>
        <v/>
      </c>
      <c r="C1103" s="67" t="str">
        <f>IF($B1103="","",IF($E$7="Weekly",Start_Date+7*(ROWS($1:1091)-1),EDATE(Start_Date,VLOOKUP(IF(ASTemp!$E$7="","Monthly",ASTemp!$E$7),Parameters!$B$3:$D$6,3,0)*(ROWS($1:1091)-1))))</f>
        <v/>
      </c>
      <c r="D1103" s="68" t="str">
        <f t="shared" si="2"/>
        <v/>
      </c>
      <c r="E1103" s="65" t="str">
        <f>IF($B1103="","",VLOOKUP(MONTH(C1103),Parameters!$F$2:$G$13,2,0))</f>
        <v/>
      </c>
      <c r="F1103" s="69" t="str">
        <f>IF($B1103="","",PV-N(J1102))</f>
        <v/>
      </c>
      <c r="G1103" s="69" t="str">
        <f>IF($B1103="","",PMT(Rate,Nper,-PV,,Type))</f>
        <v/>
      </c>
      <c r="H1103" s="69" t="str">
        <f>IF($B1103="","",PPMT(Rate,ROWS($1:1091),Nper,-PV,,Type))</f>
        <v/>
      </c>
      <c r="I1103" s="69" t="str">
        <f>IF($B1103="","",IPMT(Rate,ROWS($1:1091),Nper,-PV,,Type))</f>
        <v/>
      </c>
      <c r="J1103" s="73" t="str">
        <f t="shared" ref="J1103:K1103" si="1093">IF($B1103="","",N(J1102)+N(H1103))</f>
        <v/>
      </c>
      <c r="K1103" s="74" t="str">
        <f t="shared" si="1093"/>
        <v/>
      </c>
      <c r="L1103" s="69" t="str">
        <f>IF($B1103="","",PV-J1103)</f>
        <v/>
      </c>
      <c r="M1103" s="71" t="str">
        <f>IF($B1103="","",J1103/PV)</f>
        <v/>
      </c>
      <c r="N1103" s="72" t="str">
        <f t="shared" si="4"/>
        <v/>
      </c>
    </row>
    <row r="1104" ht="14.25" customHeight="1">
      <c r="B1104" s="66" t="str">
        <f>IF(ROWS($1:1092)&lt;=Nper,ROWS($1:1092),"")</f>
        <v/>
      </c>
      <c r="C1104" s="67" t="str">
        <f>IF($B1104="","",IF($E$7="Weekly",Start_Date+7*(ROWS($1:1092)-1),EDATE(Start_Date,VLOOKUP(IF(ASTemp!$E$7="","Monthly",ASTemp!$E$7),Parameters!$B$3:$D$6,3,0)*(ROWS($1:1092)-1))))</f>
        <v/>
      </c>
      <c r="D1104" s="68" t="str">
        <f t="shared" si="2"/>
        <v/>
      </c>
      <c r="E1104" s="65" t="str">
        <f>IF($B1104="","",VLOOKUP(MONTH(C1104),Parameters!$F$2:$G$13,2,0))</f>
        <v/>
      </c>
      <c r="F1104" s="69" t="str">
        <f>IF($B1104="","",PV-N(J1103))</f>
        <v/>
      </c>
      <c r="G1104" s="69" t="str">
        <f>IF($B1104="","",PMT(Rate,Nper,-PV,,Type))</f>
        <v/>
      </c>
      <c r="H1104" s="69" t="str">
        <f>IF($B1104="","",PPMT(Rate,ROWS($1:1092),Nper,-PV,,Type))</f>
        <v/>
      </c>
      <c r="I1104" s="69" t="str">
        <f>IF($B1104="","",IPMT(Rate,ROWS($1:1092),Nper,-PV,,Type))</f>
        <v/>
      </c>
      <c r="J1104" s="73" t="str">
        <f t="shared" ref="J1104:K1104" si="1094">IF($B1104="","",N(J1103)+N(H1104))</f>
        <v/>
      </c>
      <c r="K1104" s="74" t="str">
        <f t="shared" si="1094"/>
        <v/>
      </c>
      <c r="L1104" s="69" t="str">
        <f>IF($B1104="","",PV-J1104)</f>
        <v/>
      </c>
      <c r="M1104" s="71" t="str">
        <f>IF($B1104="","",J1104/PV)</f>
        <v/>
      </c>
      <c r="N1104" s="72" t="str">
        <f t="shared" si="4"/>
        <v/>
      </c>
    </row>
    <row r="1105" ht="14.25" customHeight="1">
      <c r="B1105" s="66" t="str">
        <f>IF(ROWS($1:1093)&lt;=Nper,ROWS($1:1093),"")</f>
        <v/>
      </c>
      <c r="C1105" s="67" t="str">
        <f>IF($B1105="","",IF($E$7="Weekly",Start_Date+7*(ROWS($1:1093)-1),EDATE(Start_Date,VLOOKUP(IF(ASTemp!$E$7="","Monthly",ASTemp!$E$7),Parameters!$B$3:$D$6,3,0)*(ROWS($1:1093)-1))))</f>
        <v/>
      </c>
      <c r="D1105" s="68" t="str">
        <f t="shared" si="2"/>
        <v/>
      </c>
      <c r="E1105" s="65" t="str">
        <f>IF($B1105="","",VLOOKUP(MONTH(C1105),Parameters!$F$2:$G$13,2,0))</f>
        <v/>
      </c>
      <c r="F1105" s="69" t="str">
        <f>IF($B1105="","",PV-N(J1104))</f>
        <v/>
      </c>
      <c r="G1105" s="69" t="str">
        <f>IF($B1105="","",PMT(Rate,Nper,-PV,,Type))</f>
        <v/>
      </c>
      <c r="H1105" s="69" t="str">
        <f>IF($B1105="","",PPMT(Rate,ROWS($1:1093),Nper,-PV,,Type))</f>
        <v/>
      </c>
      <c r="I1105" s="69" t="str">
        <f>IF($B1105="","",IPMT(Rate,ROWS($1:1093),Nper,-PV,,Type))</f>
        <v/>
      </c>
      <c r="J1105" s="73" t="str">
        <f t="shared" ref="J1105:K1105" si="1095">IF($B1105="","",N(J1104)+N(H1105))</f>
        <v/>
      </c>
      <c r="K1105" s="74" t="str">
        <f t="shared" si="1095"/>
        <v/>
      </c>
      <c r="L1105" s="69" t="str">
        <f>IF($B1105="","",PV-J1105)</f>
        <v/>
      </c>
      <c r="M1105" s="71" t="str">
        <f>IF($B1105="","",J1105/PV)</f>
        <v/>
      </c>
      <c r="N1105" s="72" t="str">
        <f t="shared" si="4"/>
        <v/>
      </c>
    </row>
    <row r="1106" ht="14.25" customHeight="1">
      <c r="B1106" s="66" t="str">
        <f>IF(ROWS($1:1094)&lt;=Nper,ROWS($1:1094),"")</f>
        <v/>
      </c>
      <c r="C1106" s="67" t="str">
        <f>IF($B1106="","",IF($E$7="Weekly",Start_Date+7*(ROWS($1:1094)-1),EDATE(Start_Date,VLOOKUP(IF(ASTemp!$E$7="","Monthly",ASTemp!$E$7),Parameters!$B$3:$D$6,3,0)*(ROWS($1:1094)-1))))</f>
        <v/>
      </c>
      <c r="D1106" s="68" t="str">
        <f t="shared" si="2"/>
        <v/>
      </c>
      <c r="E1106" s="65" t="str">
        <f>IF($B1106="","",VLOOKUP(MONTH(C1106),Parameters!$F$2:$G$13,2,0))</f>
        <v/>
      </c>
      <c r="F1106" s="69" t="str">
        <f>IF($B1106="","",PV-N(J1105))</f>
        <v/>
      </c>
      <c r="G1106" s="69" t="str">
        <f>IF($B1106="","",PMT(Rate,Nper,-PV,,Type))</f>
        <v/>
      </c>
      <c r="H1106" s="69" t="str">
        <f>IF($B1106="","",PPMT(Rate,ROWS($1:1094),Nper,-PV,,Type))</f>
        <v/>
      </c>
      <c r="I1106" s="69" t="str">
        <f>IF($B1106="","",IPMT(Rate,ROWS($1:1094),Nper,-PV,,Type))</f>
        <v/>
      </c>
      <c r="J1106" s="73" t="str">
        <f t="shared" ref="J1106:K1106" si="1096">IF($B1106="","",N(J1105)+N(H1106))</f>
        <v/>
      </c>
      <c r="K1106" s="74" t="str">
        <f t="shared" si="1096"/>
        <v/>
      </c>
      <c r="L1106" s="69" t="str">
        <f>IF($B1106="","",PV-J1106)</f>
        <v/>
      </c>
      <c r="M1106" s="71" t="str">
        <f>IF($B1106="","",J1106/PV)</f>
        <v/>
      </c>
      <c r="N1106" s="72" t="str">
        <f t="shared" si="4"/>
        <v/>
      </c>
    </row>
    <row r="1107" ht="14.25" customHeight="1">
      <c r="B1107" s="66" t="str">
        <f>IF(ROWS($1:1095)&lt;=Nper,ROWS($1:1095),"")</f>
        <v/>
      </c>
      <c r="C1107" s="67" t="str">
        <f>IF($B1107="","",IF($E$7="Weekly",Start_Date+7*(ROWS($1:1095)-1),EDATE(Start_Date,VLOOKUP(IF(ASTemp!$E$7="","Monthly",ASTemp!$E$7),Parameters!$B$3:$D$6,3,0)*(ROWS($1:1095)-1))))</f>
        <v/>
      </c>
      <c r="D1107" s="68" t="str">
        <f t="shared" si="2"/>
        <v/>
      </c>
      <c r="E1107" s="65" t="str">
        <f>IF($B1107="","",VLOOKUP(MONTH(C1107),Parameters!$F$2:$G$13,2,0))</f>
        <v/>
      </c>
      <c r="F1107" s="69" t="str">
        <f>IF($B1107="","",PV-N(J1106))</f>
        <v/>
      </c>
      <c r="G1107" s="69" t="str">
        <f>IF($B1107="","",PMT(Rate,Nper,-PV,,Type))</f>
        <v/>
      </c>
      <c r="H1107" s="69" t="str">
        <f>IF($B1107="","",PPMT(Rate,ROWS($1:1095),Nper,-PV,,Type))</f>
        <v/>
      </c>
      <c r="I1107" s="69" t="str">
        <f>IF($B1107="","",IPMT(Rate,ROWS($1:1095),Nper,-PV,,Type))</f>
        <v/>
      </c>
      <c r="J1107" s="73" t="str">
        <f t="shared" ref="J1107:K1107" si="1097">IF($B1107="","",N(J1106)+N(H1107))</f>
        <v/>
      </c>
      <c r="K1107" s="74" t="str">
        <f t="shared" si="1097"/>
        <v/>
      </c>
      <c r="L1107" s="69" t="str">
        <f>IF($B1107="","",PV-J1107)</f>
        <v/>
      </c>
      <c r="M1107" s="71" t="str">
        <f>IF($B1107="","",J1107/PV)</f>
        <v/>
      </c>
      <c r="N1107" s="72" t="str">
        <f t="shared" si="4"/>
        <v/>
      </c>
    </row>
    <row r="1108" ht="14.25" customHeight="1">
      <c r="B1108" s="66" t="str">
        <f>IF(ROWS($1:1096)&lt;=Nper,ROWS($1:1096),"")</f>
        <v/>
      </c>
      <c r="C1108" s="67" t="str">
        <f>IF($B1108="","",IF($E$7="Weekly",Start_Date+7*(ROWS($1:1096)-1),EDATE(Start_Date,VLOOKUP(IF(ASTemp!$E$7="","Monthly",ASTemp!$E$7),Parameters!$B$3:$D$6,3,0)*(ROWS($1:1096)-1))))</f>
        <v/>
      </c>
      <c r="D1108" s="68" t="str">
        <f t="shared" si="2"/>
        <v/>
      </c>
      <c r="E1108" s="65" t="str">
        <f>IF($B1108="","",VLOOKUP(MONTH(C1108),Parameters!$F$2:$G$13,2,0))</f>
        <v/>
      </c>
      <c r="F1108" s="69" t="str">
        <f>IF($B1108="","",PV-N(J1107))</f>
        <v/>
      </c>
      <c r="G1108" s="69" t="str">
        <f>IF($B1108="","",PMT(Rate,Nper,-PV,,Type))</f>
        <v/>
      </c>
      <c r="H1108" s="69" t="str">
        <f>IF($B1108="","",PPMT(Rate,ROWS($1:1096),Nper,-PV,,Type))</f>
        <v/>
      </c>
      <c r="I1108" s="69" t="str">
        <f>IF($B1108="","",IPMT(Rate,ROWS($1:1096),Nper,-PV,,Type))</f>
        <v/>
      </c>
      <c r="J1108" s="73" t="str">
        <f t="shared" ref="J1108:K1108" si="1098">IF($B1108="","",N(J1107)+N(H1108))</f>
        <v/>
      </c>
      <c r="K1108" s="74" t="str">
        <f t="shared" si="1098"/>
        <v/>
      </c>
      <c r="L1108" s="69" t="str">
        <f>IF($B1108="","",PV-J1108)</f>
        <v/>
      </c>
      <c r="M1108" s="71" t="str">
        <f>IF($B1108="","",J1108/PV)</f>
        <v/>
      </c>
      <c r="N1108" s="72" t="str">
        <f t="shared" si="4"/>
        <v/>
      </c>
    </row>
    <row r="1109" ht="14.25" customHeight="1">
      <c r="B1109" s="66" t="str">
        <f>IF(ROWS($1:1097)&lt;=Nper,ROWS($1:1097),"")</f>
        <v/>
      </c>
      <c r="C1109" s="67" t="str">
        <f>IF($B1109="","",IF($E$7="Weekly",Start_Date+7*(ROWS($1:1097)-1),EDATE(Start_Date,VLOOKUP(IF(ASTemp!$E$7="","Monthly",ASTemp!$E$7),Parameters!$B$3:$D$6,3,0)*(ROWS($1:1097)-1))))</f>
        <v/>
      </c>
      <c r="D1109" s="68" t="str">
        <f t="shared" si="2"/>
        <v/>
      </c>
      <c r="E1109" s="65" t="str">
        <f>IF($B1109="","",VLOOKUP(MONTH(C1109),Parameters!$F$2:$G$13,2,0))</f>
        <v/>
      </c>
      <c r="F1109" s="69" t="str">
        <f>IF($B1109="","",PV-N(J1108))</f>
        <v/>
      </c>
      <c r="G1109" s="69" t="str">
        <f>IF($B1109="","",PMT(Rate,Nper,-PV,,Type))</f>
        <v/>
      </c>
      <c r="H1109" s="69" t="str">
        <f>IF($B1109="","",PPMT(Rate,ROWS($1:1097),Nper,-PV,,Type))</f>
        <v/>
      </c>
      <c r="I1109" s="69" t="str">
        <f>IF($B1109="","",IPMT(Rate,ROWS($1:1097),Nper,-PV,,Type))</f>
        <v/>
      </c>
      <c r="J1109" s="73" t="str">
        <f t="shared" ref="J1109:K1109" si="1099">IF($B1109="","",N(J1108)+N(H1109))</f>
        <v/>
      </c>
      <c r="K1109" s="74" t="str">
        <f t="shared" si="1099"/>
        <v/>
      </c>
      <c r="L1109" s="69" t="str">
        <f>IF($B1109="","",PV-J1109)</f>
        <v/>
      </c>
      <c r="M1109" s="71" t="str">
        <f>IF($B1109="","",J1109/PV)</f>
        <v/>
      </c>
      <c r="N1109" s="72" t="str">
        <f t="shared" si="4"/>
        <v/>
      </c>
    </row>
    <row r="1110" ht="14.25" customHeight="1">
      <c r="B1110" s="66" t="str">
        <f>IF(ROWS($1:1098)&lt;=Nper,ROWS($1:1098),"")</f>
        <v/>
      </c>
      <c r="C1110" s="67" t="str">
        <f>IF($B1110="","",IF($E$7="Weekly",Start_Date+7*(ROWS($1:1098)-1),EDATE(Start_Date,VLOOKUP(IF(ASTemp!$E$7="","Monthly",ASTemp!$E$7),Parameters!$B$3:$D$6,3,0)*(ROWS($1:1098)-1))))</f>
        <v/>
      </c>
      <c r="D1110" s="68" t="str">
        <f t="shared" si="2"/>
        <v/>
      </c>
      <c r="E1110" s="65" t="str">
        <f>IF($B1110="","",VLOOKUP(MONTH(C1110),Parameters!$F$2:$G$13,2,0))</f>
        <v/>
      </c>
      <c r="F1110" s="69" t="str">
        <f>IF($B1110="","",PV-N(J1109))</f>
        <v/>
      </c>
      <c r="G1110" s="69" t="str">
        <f>IF($B1110="","",PMT(Rate,Nper,-PV,,Type))</f>
        <v/>
      </c>
      <c r="H1110" s="69" t="str">
        <f>IF($B1110="","",PPMT(Rate,ROWS($1:1098),Nper,-PV,,Type))</f>
        <v/>
      </c>
      <c r="I1110" s="69" t="str">
        <f>IF($B1110="","",IPMT(Rate,ROWS($1:1098),Nper,-PV,,Type))</f>
        <v/>
      </c>
      <c r="J1110" s="73" t="str">
        <f t="shared" ref="J1110:K1110" si="1100">IF($B1110="","",N(J1109)+N(H1110))</f>
        <v/>
      </c>
      <c r="K1110" s="74" t="str">
        <f t="shared" si="1100"/>
        <v/>
      </c>
      <c r="L1110" s="69" t="str">
        <f>IF($B1110="","",PV-J1110)</f>
        <v/>
      </c>
      <c r="M1110" s="71" t="str">
        <f>IF($B1110="","",J1110/PV)</f>
        <v/>
      </c>
      <c r="N1110" s="72" t="str">
        <f t="shared" si="4"/>
        <v/>
      </c>
    </row>
    <row r="1111" ht="14.25" customHeight="1">
      <c r="B1111" s="66" t="str">
        <f>IF(ROWS($1:1099)&lt;=Nper,ROWS($1:1099),"")</f>
        <v/>
      </c>
      <c r="C1111" s="67" t="str">
        <f>IF($B1111="","",IF($E$7="Weekly",Start_Date+7*(ROWS($1:1099)-1),EDATE(Start_Date,VLOOKUP(IF(ASTemp!$E$7="","Monthly",ASTemp!$E$7),Parameters!$B$3:$D$6,3,0)*(ROWS($1:1099)-1))))</f>
        <v/>
      </c>
      <c r="D1111" s="68" t="str">
        <f t="shared" si="2"/>
        <v/>
      </c>
      <c r="E1111" s="65" t="str">
        <f>IF($B1111="","",VLOOKUP(MONTH(C1111),Parameters!$F$2:$G$13,2,0))</f>
        <v/>
      </c>
      <c r="F1111" s="69" t="str">
        <f>IF($B1111="","",PV-N(J1110))</f>
        <v/>
      </c>
      <c r="G1111" s="69" t="str">
        <f>IF($B1111="","",PMT(Rate,Nper,-PV,,Type))</f>
        <v/>
      </c>
      <c r="H1111" s="69" t="str">
        <f>IF($B1111="","",PPMT(Rate,ROWS($1:1099),Nper,-PV,,Type))</f>
        <v/>
      </c>
      <c r="I1111" s="69" t="str">
        <f>IF($B1111="","",IPMT(Rate,ROWS($1:1099),Nper,-PV,,Type))</f>
        <v/>
      </c>
      <c r="J1111" s="73" t="str">
        <f t="shared" ref="J1111:K1111" si="1101">IF($B1111="","",N(J1110)+N(H1111))</f>
        <v/>
      </c>
      <c r="K1111" s="74" t="str">
        <f t="shared" si="1101"/>
        <v/>
      </c>
      <c r="L1111" s="69" t="str">
        <f>IF($B1111="","",PV-J1111)</f>
        <v/>
      </c>
      <c r="M1111" s="71" t="str">
        <f>IF($B1111="","",J1111/PV)</f>
        <v/>
      </c>
      <c r="N1111" s="72" t="str">
        <f t="shared" si="4"/>
        <v/>
      </c>
    </row>
    <row r="1112" ht="14.25" customHeight="1">
      <c r="B1112" s="66" t="str">
        <f>IF(ROWS($1:1100)&lt;=Nper,ROWS($1:1100),"")</f>
        <v/>
      </c>
      <c r="C1112" s="67" t="str">
        <f>IF($B1112="","",IF($E$7="Weekly",Start_Date+7*(ROWS($1:1100)-1),EDATE(Start_Date,VLOOKUP(IF(ASTemp!$E$7="","Monthly",ASTemp!$E$7),Parameters!$B$3:$D$6,3,0)*(ROWS($1:1100)-1))))</f>
        <v/>
      </c>
      <c r="D1112" s="68" t="str">
        <f t="shared" si="2"/>
        <v/>
      </c>
      <c r="E1112" s="65" t="str">
        <f>IF($B1112="","",VLOOKUP(MONTH(C1112),Parameters!$F$2:$G$13,2,0))</f>
        <v/>
      </c>
      <c r="F1112" s="69" t="str">
        <f>IF($B1112="","",PV-N(J1111))</f>
        <v/>
      </c>
      <c r="G1112" s="69" t="str">
        <f>IF($B1112="","",PMT(Rate,Nper,-PV,,Type))</f>
        <v/>
      </c>
      <c r="H1112" s="69" t="str">
        <f>IF($B1112="","",PPMT(Rate,ROWS($1:1100),Nper,-PV,,Type))</f>
        <v/>
      </c>
      <c r="I1112" s="69" t="str">
        <f>IF($B1112="","",IPMT(Rate,ROWS($1:1100),Nper,-PV,,Type))</f>
        <v/>
      </c>
      <c r="J1112" s="73" t="str">
        <f t="shared" ref="J1112:K1112" si="1102">IF($B1112="","",N(J1111)+N(H1112))</f>
        <v/>
      </c>
      <c r="K1112" s="74" t="str">
        <f t="shared" si="1102"/>
        <v/>
      </c>
      <c r="L1112" s="69" t="str">
        <f>IF($B1112="","",PV-J1112)</f>
        <v/>
      </c>
      <c r="M1112" s="71" t="str">
        <f>IF($B1112="","",J1112/PV)</f>
        <v/>
      </c>
      <c r="N1112" s="72" t="str">
        <f t="shared" si="4"/>
        <v/>
      </c>
    </row>
    <row r="1113" ht="14.25" customHeight="1">
      <c r="B1113" s="66" t="str">
        <f>IF(ROWS($1:1101)&lt;=Nper,ROWS($1:1101),"")</f>
        <v/>
      </c>
      <c r="C1113" s="67" t="str">
        <f>IF($B1113="","",IF($E$7="Weekly",Start_Date+7*(ROWS($1:1101)-1),EDATE(Start_Date,VLOOKUP(IF(ASTemp!$E$7="","Monthly",ASTemp!$E$7),Parameters!$B$3:$D$6,3,0)*(ROWS($1:1101)-1))))</f>
        <v/>
      </c>
      <c r="D1113" s="68" t="str">
        <f t="shared" si="2"/>
        <v/>
      </c>
      <c r="E1113" s="65" t="str">
        <f>IF($B1113="","",VLOOKUP(MONTH(C1113),Parameters!$F$2:$G$13,2,0))</f>
        <v/>
      </c>
      <c r="F1113" s="69" t="str">
        <f>IF($B1113="","",PV-N(J1112))</f>
        <v/>
      </c>
      <c r="G1113" s="69" t="str">
        <f>IF($B1113="","",PMT(Rate,Nper,-PV,,Type))</f>
        <v/>
      </c>
      <c r="H1113" s="69" t="str">
        <f>IF($B1113="","",PPMT(Rate,ROWS($1:1101),Nper,-PV,,Type))</f>
        <v/>
      </c>
      <c r="I1113" s="69" t="str">
        <f>IF($B1113="","",IPMT(Rate,ROWS($1:1101),Nper,-PV,,Type))</f>
        <v/>
      </c>
      <c r="J1113" s="73" t="str">
        <f t="shared" ref="J1113:K1113" si="1103">IF($B1113="","",N(J1112)+N(H1113))</f>
        <v/>
      </c>
      <c r="K1113" s="74" t="str">
        <f t="shared" si="1103"/>
        <v/>
      </c>
      <c r="L1113" s="69" t="str">
        <f>IF($B1113="","",PV-J1113)</f>
        <v/>
      </c>
      <c r="M1113" s="71" t="str">
        <f>IF($B1113="","",J1113/PV)</f>
        <v/>
      </c>
      <c r="N1113" s="72" t="str">
        <f t="shared" si="4"/>
        <v/>
      </c>
    </row>
    <row r="1114" ht="14.25" customHeight="1">
      <c r="B1114" s="66" t="str">
        <f>IF(ROWS($1:1102)&lt;=Nper,ROWS($1:1102),"")</f>
        <v/>
      </c>
      <c r="C1114" s="67" t="str">
        <f>IF($B1114="","",IF($E$7="Weekly",Start_Date+7*(ROWS($1:1102)-1),EDATE(Start_Date,VLOOKUP(IF(ASTemp!$E$7="","Monthly",ASTemp!$E$7),Parameters!$B$3:$D$6,3,0)*(ROWS($1:1102)-1))))</f>
        <v/>
      </c>
      <c r="D1114" s="68" t="str">
        <f t="shared" si="2"/>
        <v/>
      </c>
      <c r="E1114" s="65" t="str">
        <f>IF($B1114="","",VLOOKUP(MONTH(C1114),Parameters!$F$2:$G$13,2,0))</f>
        <v/>
      </c>
      <c r="F1114" s="69" t="str">
        <f>IF($B1114="","",PV-N(J1113))</f>
        <v/>
      </c>
      <c r="G1114" s="69" t="str">
        <f>IF($B1114="","",PMT(Rate,Nper,-PV,,Type))</f>
        <v/>
      </c>
      <c r="H1114" s="69" t="str">
        <f>IF($B1114="","",PPMT(Rate,ROWS($1:1102),Nper,-PV,,Type))</f>
        <v/>
      </c>
      <c r="I1114" s="69" t="str">
        <f>IF($B1114="","",IPMT(Rate,ROWS($1:1102),Nper,-PV,,Type))</f>
        <v/>
      </c>
      <c r="J1114" s="73" t="str">
        <f t="shared" ref="J1114:K1114" si="1104">IF($B1114="","",N(J1113)+N(H1114))</f>
        <v/>
      </c>
      <c r="K1114" s="74" t="str">
        <f t="shared" si="1104"/>
        <v/>
      </c>
      <c r="L1114" s="69" t="str">
        <f>IF($B1114="","",PV-J1114)</f>
        <v/>
      </c>
      <c r="M1114" s="71" t="str">
        <f>IF($B1114="","",J1114/PV)</f>
        <v/>
      </c>
      <c r="N1114" s="72" t="str">
        <f t="shared" si="4"/>
        <v/>
      </c>
    </row>
    <row r="1115" ht="14.25" customHeight="1">
      <c r="B1115" s="66" t="str">
        <f>IF(ROWS($1:1103)&lt;=Nper,ROWS($1:1103),"")</f>
        <v/>
      </c>
      <c r="C1115" s="67" t="str">
        <f>IF($B1115="","",IF($E$7="Weekly",Start_Date+7*(ROWS($1:1103)-1),EDATE(Start_Date,VLOOKUP(IF(ASTemp!$E$7="","Monthly",ASTemp!$E$7),Parameters!$B$3:$D$6,3,0)*(ROWS($1:1103)-1))))</f>
        <v/>
      </c>
      <c r="D1115" s="68" t="str">
        <f t="shared" si="2"/>
        <v/>
      </c>
      <c r="E1115" s="65" t="str">
        <f>IF($B1115="","",VLOOKUP(MONTH(C1115),Parameters!$F$2:$G$13,2,0))</f>
        <v/>
      </c>
      <c r="F1115" s="69" t="str">
        <f>IF($B1115="","",PV-N(J1114))</f>
        <v/>
      </c>
      <c r="G1115" s="69" t="str">
        <f>IF($B1115="","",PMT(Rate,Nper,-PV,,Type))</f>
        <v/>
      </c>
      <c r="H1115" s="69" t="str">
        <f>IF($B1115="","",PPMT(Rate,ROWS($1:1103),Nper,-PV,,Type))</f>
        <v/>
      </c>
      <c r="I1115" s="69" t="str">
        <f>IF($B1115="","",IPMT(Rate,ROWS($1:1103),Nper,-PV,,Type))</f>
        <v/>
      </c>
      <c r="J1115" s="73" t="str">
        <f t="shared" ref="J1115:K1115" si="1105">IF($B1115="","",N(J1114)+N(H1115))</f>
        <v/>
      </c>
      <c r="K1115" s="74" t="str">
        <f t="shared" si="1105"/>
        <v/>
      </c>
      <c r="L1115" s="69" t="str">
        <f>IF($B1115="","",PV-J1115)</f>
        <v/>
      </c>
      <c r="M1115" s="71" t="str">
        <f>IF($B1115="","",J1115/PV)</f>
        <v/>
      </c>
      <c r="N1115" s="72" t="str">
        <f t="shared" si="4"/>
        <v/>
      </c>
    </row>
    <row r="1116" ht="14.25" customHeight="1">
      <c r="B1116" s="66" t="str">
        <f>IF(ROWS($1:1104)&lt;=Nper,ROWS($1:1104),"")</f>
        <v/>
      </c>
      <c r="C1116" s="67" t="str">
        <f>IF($B1116="","",IF($E$7="Weekly",Start_Date+7*(ROWS($1:1104)-1),EDATE(Start_Date,VLOOKUP(IF(ASTemp!$E$7="","Monthly",ASTemp!$E$7),Parameters!$B$3:$D$6,3,0)*(ROWS($1:1104)-1))))</f>
        <v/>
      </c>
      <c r="D1116" s="68" t="str">
        <f t="shared" si="2"/>
        <v/>
      </c>
      <c r="E1116" s="65" t="str">
        <f>IF($B1116="","",VLOOKUP(MONTH(C1116),Parameters!$F$2:$G$13,2,0))</f>
        <v/>
      </c>
      <c r="F1116" s="69" t="str">
        <f>IF($B1116="","",PV-N(J1115))</f>
        <v/>
      </c>
      <c r="G1116" s="69" t="str">
        <f>IF($B1116="","",PMT(Rate,Nper,-PV,,Type))</f>
        <v/>
      </c>
      <c r="H1116" s="69" t="str">
        <f>IF($B1116="","",PPMT(Rate,ROWS($1:1104),Nper,-PV,,Type))</f>
        <v/>
      </c>
      <c r="I1116" s="69" t="str">
        <f>IF($B1116="","",IPMT(Rate,ROWS($1:1104),Nper,-PV,,Type))</f>
        <v/>
      </c>
      <c r="J1116" s="73" t="str">
        <f t="shared" ref="J1116:K1116" si="1106">IF($B1116="","",N(J1115)+N(H1116))</f>
        <v/>
      </c>
      <c r="K1116" s="74" t="str">
        <f t="shared" si="1106"/>
        <v/>
      </c>
      <c r="L1116" s="69" t="str">
        <f>IF($B1116="","",PV-J1116)</f>
        <v/>
      </c>
      <c r="M1116" s="71" t="str">
        <f>IF($B1116="","",J1116/PV)</f>
        <v/>
      </c>
      <c r="N1116" s="72" t="str">
        <f t="shared" si="4"/>
        <v/>
      </c>
    </row>
    <row r="1117" ht="14.25" customHeight="1">
      <c r="B1117" s="66" t="str">
        <f>IF(ROWS($1:1105)&lt;=Nper,ROWS($1:1105),"")</f>
        <v/>
      </c>
      <c r="C1117" s="67" t="str">
        <f>IF($B1117="","",IF($E$7="Weekly",Start_Date+7*(ROWS($1:1105)-1),EDATE(Start_Date,VLOOKUP(IF(ASTemp!$E$7="","Monthly",ASTemp!$E$7),Parameters!$B$3:$D$6,3,0)*(ROWS($1:1105)-1))))</f>
        <v/>
      </c>
      <c r="D1117" s="68" t="str">
        <f t="shared" si="2"/>
        <v/>
      </c>
      <c r="E1117" s="65" t="str">
        <f>IF($B1117="","",VLOOKUP(MONTH(C1117),Parameters!$F$2:$G$13,2,0))</f>
        <v/>
      </c>
      <c r="F1117" s="69" t="str">
        <f>IF($B1117="","",PV-N(J1116))</f>
        <v/>
      </c>
      <c r="G1117" s="69" t="str">
        <f>IF($B1117="","",PMT(Rate,Nper,-PV,,Type))</f>
        <v/>
      </c>
      <c r="H1117" s="69" t="str">
        <f>IF($B1117="","",PPMT(Rate,ROWS($1:1105),Nper,-PV,,Type))</f>
        <v/>
      </c>
      <c r="I1117" s="69" t="str">
        <f>IF($B1117="","",IPMT(Rate,ROWS($1:1105),Nper,-PV,,Type))</f>
        <v/>
      </c>
      <c r="J1117" s="73" t="str">
        <f t="shared" ref="J1117:K1117" si="1107">IF($B1117="","",N(J1116)+N(H1117))</f>
        <v/>
      </c>
      <c r="K1117" s="74" t="str">
        <f t="shared" si="1107"/>
        <v/>
      </c>
      <c r="L1117" s="69" t="str">
        <f>IF($B1117="","",PV-J1117)</f>
        <v/>
      </c>
      <c r="M1117" s="71" t="str">
        <f>IF($B1117="","",J1117/PV)</f>
        <v/>
      </c>
      <c r="N1117" s="72" t="str">
        <f t="shared" si="4"/>
        <v/>
      </c>
    </row>
    <row r="1118" ht="14.25" customHeight="1">
      <c r="B1118" s="66" t="str">
        <f>IF(ROWS($1:1106)&lt;=Nper,ROWS($1:1106),"")</f>
        <v/>
      </c>
      <c r="C1118" s="67" t="str">
        <f>IF($B1118="","",IF($E$7="Weekly",Start_Date+7*(ROWS($1:1106)-1),EDATE(Start_Date,VLOOKUP(IF(ASTemp!$E$7="","Monthly",ASTemp!$E$7),Parameters!$B$3:$D$6,3,0)*(ROWS($1:1106)-1))))</f>
        <v/>
      </c>
      <c r="D1118" s="68" t="str">
        <f t="shared" si="2"/>
        <v/>
      </c>
      <c r="E1118" s="65" t="str">
        <f>IF($B1118="","",VLOOKUP(MONTH(C1118),Parameters!$F$2:$G$13,2,0))</f>
        <v/>
      </c>
      <c r="F1118" s="69" t="str">
        <f>IF($B1118="","",PV-N(J1117))</f>
        <v/>
      </c>
      <c r="G1118" s="69" t="str">
        <f>IF($B1118="","",PMT(Rate,Nper,-PV,,Type))</f>
        <v/>
      </c>
      <c r="H1118" s="69" t="str">
        <f>IF($B1118="","",PPMT(Rate,ROWS($1:1106),Nper,-PV,,Type))</f>
        <v/>
      </c>
      <c r="I1118" s="69" t="str">
        <f>IF($B1118="","",IPMT(Rate,ROWS($1:1106),Nper,-PV,,Type))</f>
        <v/>
      </c>
      <c r="J1118" s="73" t="str">
        <f t="shared" ref="J1118:K1118" si="1108">IF($B1118="","",N(J1117)+N(H1118))</f>
        <v/>
      </c>
      <c r="K1118" s="74" t="str">
        <f t="shared" si="1108"/>
        <v/>
      </c>
      <c r="L1118" s="69" t="str">
        <f>IF($B1118="","",PV-J1118)</f>
        <v/>
      </c>
      <c r="M1118" s="71" t="str">
        <f>IF($B1118="","",J1118/PV)</f>
        <v/>
      </c>
      <c r="N1118" s="72" t="str">
        <f t="shared" si="4"/>
        <v/>
      </c>
    </row>
    <row r="1119" ht="14.25" customHeight="1">
      <c r="B1119" s="66" t="str">
        <f>IF(ROWS($1:1107)&lt;=Nper,ROWS($1:1107),"")</f>
        <v/>
      </c>
      <c r="C1119" s="67" t="str">
        <f>IF($B1119="","",IF($E$7="Weekly",Start_Date+7*(ROWS($1:1107)-1),EDATE(Start_Date,VLOOKUP(IF(ASTemp!$E$7="","Monthly",ASTemp!$E$7),Parameters!$B$3:$D$6,3,0)*(ROWS($1:1107)-1))))</f>
        <v/>
      </c>
      <c r="D1119" s="68" t="str">
        <f t="shared" si="2"/>
        <v/>
      </c>
      <c r="E1119" s="65" t="str">
        <f>IF($B1119="","",VLOOKUP(MONTH(C1119),Parameters!$F$2:$G$13,2,0))</f>
        <v/>
      </c>
      <c r="F1119" s="69" t="str">
        <f>IF($B1119="","",PV-N(J1118))</f>
        <v/>
      </c>
      <c r="G1119" s="69" t="str">
        <f>IF($B1119="","",PMT(Rate,Nper,-PV,,Type))</f>
        <v/>
      </c>
      <c r="H1119" s="69" t="str">
        <f>IF($B1119="","",PPMT(Rate,ROWS($1:1107),Nper,-PV,,Type))</f>
        <v/>
      </c>
      <c r="I1119" s="69" t="str">
        <f>IF($B1119="","",IPMT(Rate,ROWS($1:1107),Nper,-PV,,Type))</f>
        <v/>
      </c>
      <c r="J1119" s="73" t="str">
        <f t="shared" ref="J1119:K1119" si="1109">IF($B1119="","",N(J1118)+N(H1119))</f>
        <v/>
      </c>
      <c r="K1119" s="74" t="str">
        <f t="shared" si="1109"/>
        <v/>
      </c>
      <c r="L1119" s="69" t="str">
        <f>IF($B1119="","",PV-J1119)</f>
        <v/>
      </c>
      <c r="M1119" s="71" t="str">
        <f>IF($B1119="","",J1119/PV)</f>
        <v/>
      </c>
      <c r="N1119" s="72" t="str">
        <f t="shared" si="4"/>
        <v/>
      </c>
    </row>
    <row r="1120" ht="14.25" customHeight="1">
      <c r="B1120" s="66" t="str">
        <f>IF(ROWS($1:1108)&lt;=Nper,ROWS($1:1108),"")</f>
        <v/>
      </c>
      <c r="C1120" s="67" t="str">
        <f>IF($B1120="","",IF($E$7="Weekly",Start_Date+7*(ROWS($1:1108)-1),EDATE(Start_Date,VLOOKUP(IF(ASTemp!$E$7="","Monthly",ASTemp!$E$7),Parameters!$B$3:$D$6,3,0)*(ROWS($1:1108)-1))))</f>
        <v/>
      </c>
      <c r="D1120" s="68" t="str">
        <f t="shared" si="2"/>
        <v/>
      </c>
      <c r="E1120" s="65" t="str">
        <f>IF($B1120="","",VLOOKUP(MONTH(C1120),Parameters!$F$2:$G$13,2,0))</f>
        <v/>
      </c>
      <c r="F1120" s="69" t="str">
        <f>IF($B1120="","",PV-N(J1119))</f>
        <v/>
      </c>
      <c r="G1120" s="69" t="str">
        <f>IF($B1120="","",PMT(Rate,Nper,-PV,,Type))</f>
        <v/>
      </c>
      <c r="H1120" s="69" t="str">
        <f>IF($B1120="","",PPMT(Rate,ROWS($1:1108),Nper,-PV,,Type))</f>
        <v/>
      </c>
      <c r="I1120" s="69" t="str">
        <f>IF($B1120="","",IPMT(Rate,ROWS($1:1108),Nper,-PV,,Type))</f>
        <v/>
      </c>
      <c r="J1120" s="73" t="str">
        <f t="shared" ref="J1120:K1120" si="1110">IF($B1120="","",N(J1119)+N(H1120))</f>
        <v/>
      </c>
      <c r="K1120" s="74" t="str">
        <f t="shared" si="1110"/>
        <v/>
      </c>
      <c r="L1120" s="69" t="str">
        <f>IF($B1120="","",PV-J1120)</f>
        <v/>
      </c>
      <c r="M1120" s="71" t="str">
        <f>IF($B1120="","",J1120/PV)</f>
        <v/>
      </c>
      <c r="N1120" s="72" t="str">
        <f t="shared" si="4"/>
        <v/>
      </c>
    </row>
    <row r="1121" ht="14.25" customHeight="1">
      <c r="B1121" s="66" t="str">
        <f>IF(ROWS($1:1109)&lt;=Nper,ROWS($1:1109),"")</f>
        <v/>
      </c>
      <c r="C1121" s="67" t="str">
        <f>IF($B1121="","",IF($E$7="Weekly",Start_Date+7*(ROWS($1:1109)-1),EDATE(Start_Date,VLOOKUP(IF(ASTemp!$E$7="","Monthly",ASTemp!$E$7),Parameters!$B$3:$D$6,3,0)*(ROWS($1:1109)-1))))</f>
        <v/>
      </c>
      <c r="D1121" s="68" t="str">
        <f t="shared" si="2"/>
        <v/>
      </c>
      <c r="E1121" s="65" t="str">
        <f>IF($B1121="","",VLOOKUP(MONTH(C1121),Parameters!$F$2:$G$13,2,0))</f>
        <v/>
      </c>
      <c r="F1121" s="69" t="str">
        <f>IF($B1121="","",PV-N(J1120))</f>
        <v/>
      </c>
      <c r="G1121" s="69" t="str">
        <f>IF($B1121="","",PMT(Rate,Nper,-PV,,Type))</f>
        <v/>
      </c>
      <c r="H1121" s="69" t="str">
        <f>IF($B1121="","",PPMT(Rate,ROWS($1:1109),Nper,-PV,,Type))</f>
        <v/>
      </c>
      <c r="I1121" s="69" t="str">
        <f>IF($B1121="","",IPMT(Rate,ROWS($1:1109),Nper,-PV,,Type))</f>
        <v/>
      </c>
      <c r="J1121" s="73" t="str">
        <f t="shared" ref="J1121:K1121" si="1111">IF($B1121="","",N(J1120)+N(H1121))</f>
        <v/>
      </c>
      <c r="K1121" s="74" t="str">
        <f t="shared" si="1111"/>
        <v/>
      </c>
      <c r="L1121" s="69" t="str">
        <f>IF($B1121="","",PV-J1121)</f>
        <v/>
      </c>
      <c r="M1121" s="71" t="str">
        <f>IF($B1121="","",J1121/PV)</f>
        <v/>
      </c>
      <c r="N1121" s="72" t="str">
        <f t="shared" si="4"/>
        <v/>
      </c>
    </row>
    <row r="1122" ht="14.25" customHeight="1">
      <c r="B1122" s="66" t="str">
        <f>IF(ROWS($1:1110)&lt;=Nper,ROWS($1:1110),"")</f>
        <v/>
      </c>
      <c r="C1122" s="67" t="str">
        <f>IF($B1122="","",IF($E$7="Weekly",Start_Date+7*(ROWS($1:1110)-1),EDATE(Start_Date,VLOOKUP(IF(ASTemp!$E$7="","Monthly",ASTemp!$E$7),Parameters!$B$3:$D$6,3,0)*(ROWS($1:1110)-1))))</f>
        <v/>
      </c>
      <c r="D1122" s="68" t="str">
        <f t="shared" si="2"/>
        <v/>
      </c>
      <c r="E1122" s="65" t="str">
        <f>IF($B1122="","",VLOOKUP(MONTH(C1122),Parameters!$F$2:$G$13,2,0))</f>
        <v/>
      </c>
      <c r="F1122" s="69" t="str">
        <f>IF($B1122="","",PV-N(J1121))</f>
        <v/>
      </c>
      <c r="G1122" s="69" t="str">
        <f>IF($B1122="","",PMT(Rate,Nper,-PV,,Type))</f>
        <v/>
      </c>
      <c r="H1122" s="69" t="str">
        <f>IF($B1122="","",PPMT(Rate,ROWS($1:1110),Nper,-PV,,Type))</f>
        <v/>
      </c>
      <c r="I1122" s="69" t="str">
        <f>IF($B1122="","",IPMT(Rate,ROWS($1:1110),Nper,-PV,,Type))</f>
        <v/>
      </c>
      <c r="J1122" s="73" t="str">
        <f t="shared" ref="J1122:K1122" si="1112">IF($B1122="","",N(J1121)+N(H1122))</f>
        <v/>
      </c>
      <c r="K1122" s="74" t="str">
        <f t="shared" si="1112"/>
        <v/>
      </c>
      <c r="L1122" s="69" t="str">
        <f>IF($B1122="","",PV-J1122)</f>
        <v/>
      </c>
      <c r="M1122" s="71" t="str">
        <f>IF($B1122="","",J1122/PV)</f>
        <v/>
      </c>
      <c r="N1122" s="72" t="str">
        <f t="shared" si="4"/>
        <v/>
      </c>
    </row>
    <row r="1123" ht="14.25" customHeight="1">
      <c r="B1123" s="66" t="str">
        <f>IF(ROWS($1:1111)&lt;=Nper,ROWS($1:1111),"")</f>
        <v/>
      </c>
      <c r="C1123" s="67" t="str">
        <f>IF($B1123="","",IF($E$7="Weekly",Start_Date+7*(ROWS($1:1111)-1),EDATE(Start_Date,VLOOKUP(IF(ASTemp!$E$7="","Monthly",ASTemp!$E$7),Parameters!$B$3:$D$6,3,0)*(ROWS($1:1111)-1))))</f>
        <v/>
      </c>
      <c r="D1123" s="68" t="str">
        <f t="shared" si="2"/>
        <v/>
      </c>
      <c r="E1123" s="65" t="str">
        <f>IF($B1123="","",VLOOKUP(MONTH(C1123),Parameters!$F$2:$G$13,2,0))</f>
        <v/>
      </c>
      <c r="F1123" s="69" t="str">
        <f>IF($B1123="","",PV-N(J1122))</f>
        <v/>
      </c>
      <c r="G1123" s="69" t="str">
        <f>IF($B1123="","",PMT(Rate,Nper,-PV,,Type))</f>
        <v/>
      </c>
      <c r="H1123" s="69" t="str">
        <f>IF($B1123="","",PPMT(Rate,ROWS($1:1111),Nper,-PV,,Type))</f>
        <v/>
      </c>
      <c r="I1123" s="69" t="str">
        <f>IF($B1123="","",IPMT(Rate,ROWS($1:1111),Nper,-PV,,Type))</f>
        <v/>
      </c>
      <c r="J1123" s="73" t="str">
        <f t="shared" ref="J1123:K1123" si="1113">IF($B1123="","",N(J1122)+N(H1123))</f>
        <v/>
      </c>
      <c r="K1123" s="74" t="str">
        <f t="shared" si="1113"/>
        <v/>
      </c>
      <c r="L1123" s="69" t="str">
        <f>IF($B1123="","",PV-J1123)</f>
        <v/>
      </c>
      <c r="M1123" s="71" t="str">
        <f>IF($B1123="","",J1123/PV)</f>
        <v/>
      </c>
      <c r="N1123" s="72" t="str">
        <f t="shared" si="4"/>
        <v/>
      </c>
    </row>
    <row r="1124" ht="14.25" customHeight="1">
      <c r="B1124" s="66" t="str">
        <f>IF(ROWS($1:1112)&lt;=Nper,ROWS($1:1112),"")</f>
        <v/>
      </c>
      <c r="C1124" s="67" t="str">
        <f>IF($B1124="","",IF($E$7="Weekly",Start_Date+7*(ROWS($1:1112)-1),EDATE(Start_Date,VLOOKUP(IF(ASTemp!$E$7="","Monthly",ASTemp!$E$7),Parameters!$B$3:$D$6,3,0)*(ROWS($1:1112)-1))))</f>
        <v/>
      </c>
      <c r="D1124" s="68" t="str">
        <f t="shared" si="2"/>
        <v/>
      </c>
      <c r="E1124" s="65" t="str">
        <f>IF($B1124="","",VLOOKUP(MONTH(C1124),Parameters!$F$2:$G$13,2,0))</f>
        <v/>
      </c>
      <c r="F1124" s="69" t="str">
        <f>IF($B1124="","",PV-N(J1123))</f>
        <v/>
      </c>
      <c r="G1124" s="69" t="str">
        <f>IF($B1124="","",PMT(Rate,Nper,-PV,,Type))</f>
        <v/>
      </c>
      <c r="H1124" s="69" t="str">
        <f>IF($B1124="","",PPMT(Rate,ROWS($1:1112),Nper,-PV,,Type))</f>
        <v/>
      </c>
      <c r="I1124" s="69" t="str">
        <f>IF($B1124="","",IPMT(Rate,ROWS($1:1112),Nper,-PV,,Type))</f>
        <v/>
      </c>
      <c r="J1124" s="73" t="str">
        <f t="shared" ref="J1124:K1124" si="1114">IF($B1124="","",N(J1123)+N(H1124))</f>
        <v/>
      </c>
      <c r="K1124" s="74" t="str">
        <f t="shared" si="1114"/>
        <v/>
      </c>
      <c r="L1124" s="69" t="str">
        <f>IF($B1124="","",PV-J1124)</f>
        <v/>
      </c>
      <c r="M1124" s="71" t="str">
        <f>IF($B1124="","",J1124/PV)</f>
        <v/>
      </c>
      <c r="N1124" s="72" t="str">
        <f t="shared" si="4"/>
        <v/>
      </c>
    </row>
    <row r="1125" ht="14.25" customHeight="1">
      <c r="B1125" s="66" t="str">
        <f>IF(ROWS($1:1113)&lt;=Nper,ROWS($1:1113),"")</f>
        <v/>
      </c>
      <c r="C1125" s="67" t="str">
        <f>IF($B1125="","",IF($E$7="Weekly",Start_Date+7*(ROWS($1:1113)-1),EDATE(Start_Date,VLOOKUP(IF(ASTemp!$E$7="","Monthly",ASTemp!$E$7),Parameters!$B$3:$D$6,3,0)*(ROWS($1:1113)-1))))</f>
        <v/>
      </c>
      <c r="D1125" s="68" t="str">
        <f t="shared" si="2"/>
        <v/>
      </c>
      <c r="E1125" s="65" t="str">
        <f>IF($B1125="","",VLOOKUP(MONTH(C1125),Parameters!$F$2:$G$13,2,0))</f>
        <v/>
      </c>
      <c r="F1125" s="69" t="str">
        <f>IF($B1125="","",PV-N(J1124))</f>
        <v/>
      </c>
      <c r="G1125" s="69" t="str">
        <f>IF($B1125="","",PMT(Rate,Nper,-PV,,Type))</f>
        <v/>
      </c>
      <c r="H1125" s="69" t="str">
        <f>IF($B1125="","",PPMT(Rate,ROWS($1:1113),Nper,-PV,,Type))</f>
        <v/>
      </c>
      <c r="I1125" s="69" t="str">
        <f>IF($B1125="","",IPMT(Rate,ROWS($1:1113),Nper,-PV,,Type))</f>
        <v/>
      </c>
      <c r="J1125" s="73" t="str">
        <f t="shared" ref="J1125:K1125" si="1115">IF($B1125="","",N(J1124)+N(H1125))</f>
        <v/>
      </c>
      <c r="K1125" s="74" t="str">
        <f t="shared" si="1115"/>
        <v/>
      </c>
      <c r="L1125" s="69" t="str">
        <f>IF($B1125="","",PV-J1125)</f>
        <v/>
      </c>
      <c r="M1125" s="71" t="str">
        <f>IF($B1125="","",J1125/PV)</f>
        <v/>
      </c>
      <c r="N1125" s="72" t="str">
        <f t="shared" si="4"/>
        <v/>
      </c>
    </row>
    <row r="1126" ht="14.25" customHeight="1">
      <c r="B1126" s="66" t="str">
        <f>IF(ROWS($1:1114)&lt;=Nper,ROWS($1:1114),"")</f>
        <v/>
      </c>
      <c r="C1126" s="67" t="str">
        <f>IF($B1126="","",IF($E$7="Weekly",Start_Date+7*(ROWS($1:1114)-1),EDATE(Start_Date,VLOOKUP(IF(ASTemp!$E$7="","Monthly",ASTemp!$E$7),Parameters!$B$3:$D$6,3,0)*(ROWS($1:1114)-1))))</f>
        <v/>
      </c>
      <c r="D1126" s="68" t="str">
        <f t="shared" si="2"/>
        <v/>
      </c>
      <c r="E1126" s="65" t="str">
        <f>IF($B1126="","",VLOOKUP(MONTH(C1126),Parameters!$F$2:$G$13,2,0))</f>
        <v/>
      </c>
      <c r="F1126" s="69" t="str">
        <f>IF($B1126="","",PV-N(J1125))</f>
        <v/>
      </c>
      <c r="G1126" s="69" t="str">
        <f>IF($B1126="","",PMT(Rate,Nper,-PV,,Type))</f>
        <v/>
      </c>
      <c r="H1126" s="69" t="str">
        <f>IF($B1126="","",PPMT(Rate,ROWS($1:1114),Nper,-PV,,Type))</f>
        <v/>
      </c>
      <c r="I1126" s="69" t="str">
        <f>IF($B1126="","",IPMT(Rate,ROWS($1:1114),Nper,-PV,,Type))</f>
        <v/>
      </c>
      <c r="J1126" s="73" t="str">
        <f t="shared" ref="J1126:K1126" si="1116">IF($B1126="","",N(J1125)+N(H1126))</f>
        <v/>
      </c>
      <c r="K1126" s="74" t="str">
        <f t="shared" si="1116"/>
        <v/>
      </c>
      <c r="L1126" s="69" t="str">
        <f>IF($B1126="","",PV-J1126)</f>
        <v/>
      </c>
      <c r="M1126" s="71" t="str">
        <f>IF($B1126="","",J1126/PV)</f>
        <v/>
      </c>
      <c r="N1126" s="72" t="str">
        <f t="shared" si="4"/>
        <v/>
      </c>
    </row>
    <row r="1127" ht="14.25" customHeight="1">
      <c r="B1127" s="66" t="str">
        <f>IF(ROWS($1:1115)&lt;=Nper,ROWS($1:1115),"")</f>
        <v/>
      </c>
      <c r="C1127" s="67" t="str">
        <f>IF($B1127="","",IF($E$7="Weekly",Start_Date+7*(ROWS($1:1115)-1),EDATE(Start_Date,VLOOKUP(IF(ASTemp!$E$7="","Monthly",ASTemp!$E$7),Parameters!$B$3:$D$6,3,0)*(ROWS($1:1115)-1))))</f>
        <v/>
      </c>
      <c r="D1127" s="68" t="str">
        <f t="shared" si="2"/>
        <v/>
      </c>
      <c r="E1127" s="65" t="str">
        <f>IF($B1127="","",VLOOKUP(MONTH(C1127),Parameters!$F$2:$G$13,2,0))</f>
        <v/>
      </c>
      <c r="F1127" s="69" t="str">
        <f>IF($B1127="","",PV-N(J1126))</f>
        <v/>
      </c>
      <c r="G1127" s="69" t="str">
        <f>IF($B1127="","",PMT(Rate,Nper,-PV,,Type))</f>
        <v/>
      </c>
      <c r="H1127" s="69" t="str">
        <f>IF($B1127="","",PPMT(Rate,ROWS($1:1115),Nper,-PV,,Type))</f>
        <v/>
      </c>
      <c r="I1127" s="69" t="str">
        <f>IF($B1127="","",IPMT(Rate,ROWS($1:1115),Nper,-PV,,Type))</f>
        <v/>
      </c>
      <c r="J1127" s="73" t="str">
        <f t="shared" ref="J1127:K1127" si="1117">IF($B1127="","",N(J1126)+N(H1127))</f>
        <v/>
      </c>
      <c r="K1127" s="74" t="str">
        <f t="shared" si="1117"/>
        <v/>
      </c>
      <c r="L1127" s="69" t="str">
        <f>IF($B1127="","",PV-J1127)</f>
        <v/>
      </c>
      <c r="M1127" s="71" t="str">
        <f>IF($B1127="","",J1127/PV)</f>
        <v/>
      </c>
      <c r="N1127" s="72" t="str">
        <f t="shared" si="4"/>
        <v/>
      </c>
    </row>
    <row r="1128" ht="14.25" customHeight="1">
      <c r="B1128" s="66" t="str">
        <f>IF(ROWS($1:1116)&lt;=Nper,ROWS($1:1116),"")</f>
        <v/>
      </c>
      <c r="C1128" s="67" t="str">
        <f>IF($B1128="","",IF($E$7="Weekly",Start_Date+7*(ROWS($1:1116)-1),EDATE(Start_Date,VLOOKUP(IF(ASTemp!$E$7="","Monthly",ASTemp!$E$7),Parameters!$B$3:$D$6,3,0)*(ROWS($1:1116)-1))))</f>
        <v/>
      </c>
      <c r="D1128" s="68" t="str">
        <f t="shared" si="2"/>
        <v/>
      </c>
      <c r="E1128" s="65" t="str">
        <f>IF($B1128="","",VLOOKUP(MONTH(C1128),Parameters!$F$2:$G$13,2,0))</f>
        <v/>
      </c>
      <c r="F1128" s="69" t="str">
        <f>IF($B1128="","",PV-N(J1127))</f>
        <v/>
      </c>
      <c r="G1128" s="69" t="str">
        <f>IF($B1128="","",PMT(Rate,Nper,-PV,,Type))</f>
        <v/>
      </c>
      <c r="H1128" s="69" t="str">
        <f>IF($B1128="","",PPMT(Rate,ROWS($1:1116),Nper,-PV,,Type))</f>
        <v/>
      </c>
      <c r="I1128" s="69" t="str">
        <f>IF($B1128="","",IPMT(Rate,ROWS($1:1116),Nper,-PV,,Type))</f>
        <v/>
      </c>
      <c r="J1128" s="73" t="str">
        <f t="shared" ref="J1128:K1128" si="1118">IF($B1128="","",N(J1127)+N(H1128))</f>
        <v/>
      </c>
      <c r="K1128" s="74" t="str">
        <f t="shared" si="1118"/>
        <v/>
      </c>
      <c r="L1128" s="69" t="str">
        <f>IF($B1128="","",PV-J1128)</f>
        <v/>
      </c>
      <c r="M1128" s="71" t="str">
        <f>IF($B1128="","",J1128/PV)</f>
        <v/>
      </c>
      <c r="N1128" s="72" t="str">
        <f t="shared" si="4"/>
        <v/>
      </c>
    </row>
    <row r="1129" ht="14.25" customHeight="1">
      <c r="B1129" s="66" t="str">
        <f>IF(ROWS($1:1117)&lt;=Nper,ROWS($1:1117),"")</f>
        <v/>
      </c>
      <c r="C1129" s="67" t="str">
        <f>IF($B1129="","",IF($E$7="Weekly",Start_Date+7*(ROWS($1:1117)-1),EDATE(Start_Date,VLOOKUP(IF(ASTemp!$E$7="","Monthly",ASTemp!$E$7),Parameters!$B$3:$D$6,3,0)*(ROWS($1:1117)-1))))</f>
        <v/>
      </c>
      <c r="D1129" s="68" t="str">
        <f t="shared" si="2"/>
        <v/>
      </c>
      <c r="E1129" s="65" t="str">
        <f>IF($B1129="","",VLOOKUP(MONTH(C1129),Parameters!$F$2:$G$13,2,0))</f>
        <v/>
      </c>
      <c r="F1129" s="69" t="str">
        <f>IF($B1129="","",PV-N(J1128))</f>
        <v/>
      </c>
      <c r="G1129" s="69" t="str">
        <f>IF($B1129="","",PMT(Rate,Nper,-PV,,Type))</f>
        <v/>
      </c>
      <c r="H1129" s="69" t="str">
        <f>IF($B1129="","",PPMT(Rate,ROWS($1:1117),Nper,-PV,,Type))</f>
        <v/>
      </c>
      <c r="I1129" s="69" t="str">
        <f>IF($B1129="","",IPMT(Rate,ROWS($1:1117),Nper,-PV,,Type))</f>
        <v/>
      </c>
      <c r="J1129" s="73" t="str">
        <f t="shared" ref="J1129:K1129" si="1119">IF($B1129="","",N(J1128)+N(H1129))</f>
        <v/>
      </c>
      <c r="K1129" s="74" t="str">
        <f t="shared" si="1119"/>
        <v/>
      </c>
      <c r="L1129" s="69" t="str">
        <f>IF($B1129="","",PV-J1129)</f>
        <v/>
      </c>
      <c r="M1129" s="71" t="str">
        <f>IF($B1129="","",J1129/PV)</f>
        <v/>
      </c>
      <c r="N1129" s="72" t="str">
        <f t="shared" si="4"/>
        <v/>
      </c>
    </row>
    <row r="1130" ht="14.25" customHeight="1">
      <c r="B1130" s="66" t="str">
        <f>IF(ROWS($1:1118)&lt;=Nper,ROWS($1:1118),"")</f>
        <v/>
      </c>
      <c r="C1130" s="67" t="str">
        <f>IF($B1130="","",IF($E$7="Weekly",Start_Date+7*(ROWS($1:1118)-1),EDATE(Start_Date,VLOOKUP(IF(ASTemp!$E$7="","Monthly",ASTemp!$E$7),Parameters!$B$3:$D$6,3,0)*(ROWS($1:1118)-1))))</f>
        <v/>
      </c>
      <c r="D1130" s="68" t="str">
        <f t="shared" si="2"/>
        <v/>
      </c>
      <c r="E1130" s="65" t="str">
        <f>IF($B1130="","",VLOOKUP(MONTH(C1130),Parameters!$F$2:$G$13,2,0))</f>
        <v/>
      </c>
      <c r="F1130" s="69" t="str">
        <f>IF($B1130="","",PV-N(J1129))</f>
        <v/>
      </c>
      <c r="G1130" s="69" t="str">
        <f>IF($B1130="","",PMT(Rate,Nper,-PV,,Type))</f>
        <v/>
      </c>
      <c r="H1130" s="69" t="str">
        <f>IF($B1130="","",PPMT(Rate,ROWS($1:1118),Nper,-PV,,Type))</f>
        <v/>
      </c>
      <c r="I1130" s="69" t="str">
        <f>IF($B1130="","",IPMT(Rate,ROWS($1:1118),Nper,-PV,,Type))</f>
        <v/>
      </c>
      <c r="J1130" s="73" t="str">
        <f t="shared" ref="J1130:K1130" si="1120">IF($B1130="","",N(J1129)+N(H1130))</f>
        <v/>
      </c>
      <c r="K1130" s="74" t="str">
        <f t="shared" si="1120"/>
        <v/>
      </c>
      <c r="L1130" s="69" t="str">
        <f>IF($B1130="","",PV-J1130)</f>
        <v/>
      </c>
      <c r="M1130" s="71" t="str">
        <f>IF($B1130="","",J1130/PV)</f>
        <v/>
      </c>
      <c r="N1130" s="72" t="str">
        <f t="shared" si="4"/>
        <v/>
      </c>
    </row>
    <row r="1131" ht="14.25" customHeight="1">
      <c r="B1131" s="66" t="str">
        <f>IF(ROWS($1:1119)&lt;=Nper,ROWS($1:1119),"")</f>
        <v/>
      </c>
      <c r="C1131" s="67" t="str">
        <f>IF($B1131="","",IF($E$7="Weekly",Start_Date+7*(ROWS($1:1119)-1),EDATE(Start_Date,VLOOKUP(IF(ASTemp!$E$7="","Monthly",ASTemp!$E$7),Parameters!$B$3:$D$6,3,0)*(ROWS($1:1119)-1))))</f>
        <v/>
      </c>
      <c r="D1131" s="68" t="str">
        <f t="shared" si="2"/>
        <v/>
      </c>
      <c r="E1131" s="65" t="str">
        <f>IF($B1131="","",VLOOKUP(MONTH(C1131),Parameters!$F$2:$G$13,2,0))</f>
        <v/>
      </c>
      <c r="F1131" s="69" t="str">
        <f>IF($B1131="","",PV-N(J1130))</f>
        <v/>
      </c>
      <c r="G1131" s="69" t="str">
        <f>IF($B1131="","",PMT(Rate,Nper,-PV,,Type))</f>
        <v/>
      </c>
      <c r="H1131" s="69" t="str">
        <f>IF($B1131="","",PPMT(Rate,ROWS($1:1119),Nper,-PV,,Type))</f>
        <v/>
      </c>
      <c r="I1131" s="69" t="str">
        <f>IF($B1131="","",IPMT(Rate,ROWS($1:1119),Nper,-PV,,Type))</f>
        <v/>
      </c>
      <c r="J1131" s="73" t="str">
        <f t="shared" ref="J1131:K1131" si="1121">IF($B1131="","",N(J1130)+N(H1131))</f>
        <v/>
      </c>
      <c r="K1131" s="74" t="str">
        <f t="shared" si="1121"/>
        <v/>
      </c>
      <c r="L1131" s="69" t="str">
        <f>IF($B1131="","",PV-J1131)</f>
        <v/>
      </c>
      <c r="M1131" s="71" t="str">
        <f>IF($B1131="","",J1131/PV)</f>
        <v/>
      </c>
      <c r="N1131" s="72" t="str">
        <f t="shared" si="4"/>
        <v/>
      </c>
    </row>
    <row r="1132" ht="14.25" customHeight="1">
      <c r="B1132" s="66" t="str">
        <f>IF(ROWS($1:1120)&lt;=Nper,ROWS($1:1120),"")</f>
        <v/>
      </c>
      <c r="C1132" s="67" t="str">
        <f>IF($B1132="","",IF($E$7="Weekly",Start_Date+7*(ROWS($1:1120)-1),EDATE(Start_Date,VLOOKUP(IF(ASTemp!$E$7="","Monthly",ASTemp!$E$7),Parameters!$B$3:$D$6,3,0)*(ROWS($1:1120)-1))))</f>
        <v/>
      </c>
      <c r="D1132" s="68" t="str">
        <f t="shared" si="2"/>
        <v/>
      </c>
      <c r="E1132" s="65" t="str">
        <f>IF($B1132="","",VLOOKUP(MONTH(C1132),Parameters!$F$2:$G$13,2,0))</f>
        <v/>
      </c>
      <c r="F1132" s="69" t="str">
        <f>IF($B1132="","",PV-N(J1131))</f>
        <v/>
      </c>
      <c r="G1132" s="69" t="str">
        <f>IF($B1132="","",PMT(Rate,Nper,-PV,,Type))</f>
        <v/>
      </c>
      <c r="H1132" s="69" t="str">
        <f>IF($B1132="","",PPMT(Rate,ROWS($1:1120),Nper,-PV,,Type))</f>
        <v/>
      </c>
      <c r="I1132" s="69" t="str">
        <f>IF($B1132="","",IPMT(Rate,ROWS($1:1120),Nper,-PV,,Type))</f>
        <v/>
      </c>
      <c r="J1132" s="73" t="str">
        <f t="shared" ref="J1132:K1132" si="1122">IF($B1132="","",N(J1131)+N(H1132))</f>
        <v/>
      </c>
      <c r="K1132" s="74" t="str">
        <f t="shared" si="1122"/>
        <v/>
      </c>
      <c r="L1132" s="69" t="str">
        <f>IF($B1132="","",PV-J1132)</f>
        <v/>
      </c>
      <c r="M1132" s="71" t="str">
        <f>IF($B1132="","",J1132/PV)</f>
        <v/>
      </c>
      <c r="N1132" s="72" t="str">
        <f t="shared" si="4"/>
        <v/>
      </c>
    </row>
    <row r="1133" ht="14.25" customHeight="1">
      <c r="B1133" s="66" t="str">
        <f>IF(ROWS($1:1121)&lt;=Nper,ROWS($1:1121),"")</f>
        <v/>
      </c>
      <c r="C1133" s="67" t="str">
        <f>IF($B1133="","",IF($E$7="Weekly",Start_Date+7*(ROWS($1:1121)-1),EDATE(Start_Date,VLOOKUP(IF(ASTemp!$E$7="","Monthly",ASTemp!$E$7),Parameters!$B$3:$D$6,3,0)*(ROWS($1:1121)-1))))</f>
        <v/>
      </c>
      <c r="D1133" s="68" t="str">
        <f t="shared" si="2"/>
        <v/>
      </c>
      <c r="E1133" s="65" t="str">
        <f>IF($B1133="","",VLOOKUP(MONTH(C1133),Parameters!$F$2:$G$13,2,0))</f>
        <v/>
      </c>
      <c r="F1133" s="69" t="str">
        <f>IF($B1133="","",PV-N(J1132))</f>
        <v/>
      </c>
      <c r="G1133" s="69" t="str">
        <f>IF($B1133="","",PMT(Rate,Nper,-PV,,Type))</f>
        <v/>
      </c>
      <c r="H1133" s="69" t="str">
        <f>IF($B1133="","",PPMT(Rate,ROWS($1:1121),Nper,-PV,,Type))</f>
        <v/>
      </c>
      <c r="I1133" s="69" t="str">
        <f>IF($B1133="","",IPMT(Rate,ROWS($1:1121),Nper,-PV,,Type))</f>
        <v/>
      </c>
      <c r="J1133" s="73" t="str">
        <f t="shared" ref="J1133:K1133" si="1123">IF($B1133="","",N(J1132)+N(H1133))</f>
        <v/>
      </c>
      <c r="K1133" s="74" t="str">
        <f t="shared" si="1123"/>
        <v/>
      </c>
      <c r="L1133" s="69" t="str">
        <f>IF($B1133="","",PV-J1133)</f>
        <v/>
      </c>
      <c r="M1133" s="71" t="str">
        <f>IF($B1133="","",J1133/PV)</f>
        <v/>
      </c>
      <c r="N1133" s="72" t="str">
        <f t="shared" si="4"/>
        <v/>
      </c>
    </row>
    <row r="1134" ht="14.25" customHeight="1">
      <c r="B1134" s="66" t="str">
        <f>IF(ROWS($1:1122)&lt;=Nper,ROWS($1:1122),"")</f>
        <v/>
      </c>
      <c r="C1134" s="67" t="str">
        <f>IF($B1134="","",IF($E$7="Weekly",Start_Date+7*(ROWS($1:1122)-1),EDATE(Start_Date,VLOOKUP(IF(ASTemp!$E$7="","Monthly",ASTemp!$E$7),Parameters!$B$3:$D$6,3,0)*(ROWS($1:1122)-1))))</f>
        <v/>
      </c>
      <c r="D1134" s="68" t="str">
        <f t="shared" si="2"/>
        <v/>
      </c>
      <c r="E1134" s="65" t="str">
        <f>IF($B1134="","",VLOOKUP(MONTH(C1134),Parameters!$F$2:$G$13,2,0))</f>
        <v/>
      </c>
      <c r="F1134" s="69" t="str">
        <f>IF($B1134="","",PV-N(J1133))</f>
        <v/>
      </c>
      <c r="G1134" s="69" t="str">
        <f>IF($B1134="","",PMT(Rate,Nper,-PV,,Type))</f>
        <v/>
      </c>
      <c r="H1134" s="69" t="str">
        <f>IF($B1134="","",PPMT(Rate,ROWS($1:1122),Nper,-PV,,Type))</f>
        <v/>
      </c>
      <c r="I1134" s="69" t="str">
        <f>IF($B1134="","",IPMT(Rate,ROWS($1:1122),Nper,-PV,,Type))</f>
        <v/>
      </c>
      <c r="J1134" s="73" t="str">
        <f t="shared" ref="J1134:K1134" si="1124">IF($B1134="","",N(J1133)+N(H1134))</f>
        <v/>
      </c>
      <c r="K1134" s="74" t="str">
        <f t="shared" si="1124"/>
        <v/>
      </c>
      <c r="L1134" s="69" t="str">
        <f>IF($B1134="","",PV-J1134)</f>
        <v/>
      </c>
      <c r="M1134" s="71" t="str">
        <f>IF($B1134="","",J1134/PV)</f>
        <v/>
      </c>
      <c r="N1134" s="72" t="str">
        <f t="shared" si="4"/>
        <v/>
      </c>
    </row>
    <row r="1135" ht="14.25" customHeight="1">
      <c r="B1135" s="66" t="str">
        <f>IF(ROWS($1:1123)&lt;=Nper,ROWS($1:1123),"")</f>
        <v/>
      </c>
      <c r="C1135" s="67" t="str">
        <f>IF($B1135="","",IF($E$7="Weekly",Start_Date+7*(ROWS($1:1123)-1),EDATE(Start_Date,VLOOKUP(IF(ASTemp!$E$7="","Monthly",ASTemp!$E$7),Parameters!$B$3:$D$6,3,0)*(ROWS($1:1123)-1))))</f>
        <v/>
      </c>
      <c r="D1135" s="68" t="str">
        <f t="shared" si="2"/>
        <v/>
      </c>
      <c r="E1135" s="65" t="str">
        <f>IF($B1135="","",VLOOKUP(MONTH(C1135),Parameters!$F$2:$G$13,2,0))</f>
        <v/>
      </c>
      <c r="F1135" s="69" t="str">
        <f>IF($B1135="","",PV-N(J1134))</f>
        <v/>
      </c>
      <c r="G1135" s="69" t="str">
        <f>IF($B1135="","",PMT(Rate,Nper,-PV,,Type))</f>
        <v/>
      </c>
      <c r="H1135" s="69" t="str">
        <f>IF($B1135="","",PPMT(Rate,ROWS($1:1123),Nper,-PV,,Type))</f>
        <v/>
      </c>
      <c r="I1135" s="69" t="str">
        <f>IF($B1135="","",IPMT(Rate,ROWS($1:1123),Nper,-PV,,Type))</f>
        <v/>
      </c>
      <c r="J1135" s="73" t="str">
        <f t="shared" ref="J1135:K1135" si="1125">IF($B1135="","",N(J1134)+N(H1135))</f>
        <v/>
      </c>
      <c r="K1135" s="74" t="str">
        <f t="shared" si="1125"/>
        <v/>
      </c>
      <c r="L1135" s="69" t="str">
        <f>IF($B1135="","",PV-J1135)</f>
        <v/>
      </c>
      <c r="M1135" s="71" t="str">
        <f>IF($B1135="","",J1135/PV)</f>
        <v/>
      </c>
      <c r="N1135" s="72" t="str">
        <f t="shared" si="4"/>
        <v/>
      </c>
    </row>
    <row r="1136" ht="14.25" customHeight="1">
      <c r="B1136" s="66" t="str">
        <f>IF(ROWS($1:1124)&lt;=Nper,ROWS($1:1124),"")</f>
        <v/>
      </c>
      <c r="C1136" s="67" t="str">
        <f>IF($B1136="","",IF($E$7="Weekly",Start_Date+7*(ROWS($1:1124)-1),EDATE(Start_Date,VLOOKUP(IF(ASTemp!$E$7="","Monthly",ASTemp!$E$7),Parameters!$B$3:$D$6,3,0)*(ROWS($1:1124)-1))))</f>
        <v/>
      </c>
      <c r="D1136" s="68" t="str">
        <f t="shared" si="2"/>
        <v/>
      </c>
      <c r="E1136" s="65" t="str">
        <f>IF($B1136="","",VLOOKUP(MONTH(C1136),Parameters!$F$2:$G$13,2,0))</f>
        <v/>
      </c>
      <c r="F1136" s="69" t="str">
        <f>IF($B1136="","",PV-N(J1135))</f>
        <v/>
      </c>
      <c r="G1136" s="69" t="str">
        <f>IF($B1136="","",PMT(Rate,Nper,-PV,,Type))</f>
        <v/>
      </c>
      <c r="H1136" s="69" t="str">
        <f>IF($B1136="","",PPMT(Rate,ROWS($1:1124),Nper,-PV,,Type))</f>
        <v/>
      </c>
      <c r="I1136" s="69" t="str">
        <f>IF($B1136="","",IPMT(Rate,ROWS($1:1124),Nper,-PV,,Type))</f>
        <v/>
      </c>
      <c r="J1136" s="73" t="str">
        <f t="shared" ref="J1136:K1136" si="1126">IF($B1136="","",N(J1135)+N(H1136))</f>
        <v/>
      </c>
      <c r="K1136" s="74" t="str">
        <f t="shared" si="1126"/>
        <v/>
      </c>
      <c r="L1136" s="69" t="str">
        <f>IF($B1136="","",PV-J1136)</f>
        <v/>
      </c>
      <c r="M1136" s="71" t="str">
        <f>IF($B1136="","",J1136/PV)</f>
        <v/>
      </c>
      <c r="N1136" s="72" t="str">
        <f t="shared" si="4"/>
        <v/>
      </c>
    </row>
    <row r="1137" ht="14.25" customHeight="1">
      <c r="B1137" s="66" t="str">
        <f>IF(ROWS($1:1125)&lt;=Nper,ROWS($1:1125),"")</f>
        <v/>
      </c>
      <c r="C1137" s="67" t="str">
        <f>IF($B1137="","",IF($E$7="Weekly",Start_Date+7*(ROWS($1:1125)-1),EDATE(Start_Date,VLOOKUP(IF(ASTemp!$E$7="","Monthly",ASTemp!$E$7),Parameters!$B$3:$D$6,3,0)*(ROWS($1:1125)-1))))</f>
        <v/>
      </c>
      <c r="D1137" s="68" t="str">
        <f t="shared" si="2"/>
        <v/>
      </c>
      <c r="E1137" s="65" t="str">
        <f>IF($B1137="","",VLOOKUP(MONTH(C1137),Parameters!$F$2:$G$13,2,0))</f>
        <v/>
      </c>
      <c r="F1137" s="69" t="str">
        <f>IF($B1137="","",PV-N(J1136))</f>
        <v/>
      </c>
      <c r="G1137" s="69" t="str">
        <f>IF($B1137="","",PMT(Rate,Nper,-PV,,Type))</f>
        <v/>
      </c>
      <c r="H1137" s="69" t="str">
        <f>IF($B1137="","",PPMT(Rate,ROWS($1:1125),Nper,-PV,,Type))</f>
        <v/>
      </c>
      <c r="I1137" s="69" t="str">
        <f>IF($B1137="","",IPMT(Rate,ROWS($1:1125),Nper,-PV,,Type))</f>
        <v/>
      </c>
      <c r="J1137" s="73" t="str">
        <f t="shared" ref="J1137:K1137" si="1127">IF($B1137="","",N(J1136)+N(H1137))</f>
        <v/>
      </c>
      <c r="K1137" s="74" t="str">
        <f t="shared" si="1127"/>
        <v/>
      </c>
      <c r="L1137" s="69" t="str">
        <f>IF($B1137="","",PV-J1137)</f>
        <v/>
      </c>
      <c r="M1137" s="71" t="str">
        <f>IF($B1137="","",J1137/PV)</f>
        <v/>
      </c>
      <c r="N1137" s="72" t="str">
        <f t="shared" si="4"/>
        <v/>
      </c>
    </row>
    <row r="1138" ht="14.25" customHeight="1">
      <c r="B1138" s="66" t="str">
        <f>IF(ROWS($1:1126)&lt;=Nper,ROWS($1:1126),"")</f>
        <v/>
      </c>
      <c r="C1138" s="67" t="str">
        <f>IF($B1138="","",IF($E$7="Weekly",Start_Date+7*(ROWS($1:1126)-1),EDATE(Start_Date,VLOOKUP(IF(ASTemp!$E$7="","Monthly",ASTemp!$E$7),Parameters!$B$3:$D$6,3,0)*(ROWS($1:1126)-1))))</f>
        <v/>
      </c>
      <c r="D1138" s="68" t="str">
        <f t="shared" si="2"/>
        <v/>
      </c>
      <c r="E1138" s="65" t="str">
        <f>IF($B1138="","",VLOOKUP(MONTH(C1138),Parameters!$F$2:$G$13,2,0))</f>
        <v/>
      </c>
      <c r="F1138" s="69" t="str">
        <f>IF($B1138="","",PV-N(J1137))</f>
        <v/>
      </c>
      <c r="G1138" s="69" t="str">
        <f>IF($B1138="","",PMT(Rate,Nper,-PV,,Type))</f>
        <v/>
      </c>
      <c r="H1138" s="69" t="str">
        <f>IF($B1138="","",PPMT(Rate,ROWS($1:1126),Nper,-PV,,Type))</f>
        <v/>
      </c>
      <c r="I1138" s="69" t="str">
        <f>IF($B1138="","",IPMT(Rate,ROWS($1:1126),Nper,-PV,,Type))</f>
        <v/>
      </c>
      <c r="J1138" s="73" t="str">
        <f t="shared" ref="J1138:K1138" si="1128">IF($B1138="","",N(J1137)+N(H1138))</f>
        <v/>
      </c>
      <c r="K1138" s="74" t="str">
        <f t="shared" si="1128"/>
        <v/>
      </c>
      <c r="L1138" s="69" t="str">
        <f>IF($B1138="","",PV-J1138)</f>
        <v/>
      </c>
      <c r="M1138" s="71" t="str">
        <f>IF($B1138="","",J1138/PV)</f>
        <v/>
      </c>
      <c r="N1138" s="72" t="str">
        <f t="shared" si="4"/>
        <v/>
      </c>
    </row>
    <row r="1139" ht="14.25" customHeight="1">
      <c r="B1139" s="66" t="str">
        <f>IF(ROWS($1:1127)&lt;=Nper,ROWS($1:1127),"")</f>
        <v/>
      </c>
      <c r="C1139" s="67" t="str">
        <f>IF($B1139="","",IF($E$7="Weekly",Start_Date+7*(ROWS($1:1127)-1),EDATE(Start_Date,VLOOKUP(IF(ASTemp!$E$7="","Monthly",ASTemp!$E$7),Parameters!$B$3:$D$6,3,0)*(ROWS($1:1127)-1))))</f>
        <v/>
      </c>
      <c r="D1139" s="68" t="str">
        <f t="shared" si="2"/>
        <v/>
      </c>
      <c r="E1139" s="65" t="str">
        <f>IF($B1139="","",VLOOKUP(MONTH(C1139),Parameters!$F$2:$G$13,2,0))</f>
        <v/>
      </c>
      <c r="F1139" s="69" t="str">
        <f>IF($B1139="","",PV-N(J1138))</f>
        <v/>
      </c>
      <c r="G1139" s="69" t="str">
        <f>IF($B1139="","",PMT(Rate,Nper,-PV,,Type))</f>
        <v/>
      </c>
      <c r="H1139" s="69" t="str">
        <f>IF($B1139="","",PPMT(Rate,ROWS($1:1127),Nper,-PV,,Type))</f>
        <v/>
      </c>
      <c r="I1139" s="69" t="str">
        <f>IF($B1139="","",IPMT(Rate,ROWS($1:1127),Nper,-PV,,Type))</f>
        <v/>
      </c>
      <c r="J1139" s="73" t="str">
        <f t="shared" ref="J1139:K1139" si="1129">IF($B1139="","",N(J1138)+N(H1139))</f>
        <v/>
      </c>
      <c r="K1139" s="74" t="str">
        <f t="shared" si="1129"/>
        <v/>
      </c>
      <c r="L1139" s="69" t="str">
        <f>IF($B1139="","",PV-J1139)</f>
        <v/>
      </c>
      <c r="M1139" s="71" t="str">
        <f>IF($B1139="","",J1139/PV)</f>
        <v/>
      </c>
      <c r="N1139" s="72" t="str">
        <f t="shared" si="4"/>
        <v/>
      </c>
    </row>
    <row r="1140" ht="14.25" customHeight="1">
      <c r="B1140" s="66" t="str">
        <f>IF(ROWS($1:1128)&lt;=Nper,ROWS($1:1128),"")</f>
        <v/>
      </c>
      <c r="C1140" s="67" t="str">
        <f>IF($B1140="","",IF($E$7="Weekly",Start_Date+7*(ROWS($1:1128)-1),EDATE(Start_Date,VLOOKUP(IF(ASTemp!$E$7="","Monthly",ASTemp!$E$7),Parameters!$B$3:$D$6,3,0)*(ROWS($1:1128)-1))))</f>
        <v/>
      </c>
      <c r="D1140" s="68" t="str">
        <f t="shared" si="2"/>
        <v/>
      </c>
      <c r="E1140" s="65" t="str">
        <f>IF($B1140="","",VLOOKUP(MONTH(C1140),Parameters!$F$2:$G$13,2,0))</f>
        <v/>
      </c>
      <c r="F1140" s="69" t="str">
        <f>IF($B1140="","",PV-N(J1139))</f>
        <v/>
      </c>
      <c r="G1140" s="69" t="str">
        <f>IF($B1140="","",PMT(Rate,Nper,-PV,,Type))</f>
        <v/>
      </c>
      <c r="H1140" s="69" t="str">
        <f>IF($B1140="","",PPMT(Rate,ROWS($1:1128),Nper,-PV,,Type))</f>
        <v/>
      </c>
      <c r="I1140" s="69" t="str">
        <f>IF($B1140="","",IPMT(Rate,ROWS($1:1128),Nper,-PV,,Type))</f>
        <v/>
      </c>
      <c r="J1140" s="73" t="str">
        <f t="shared" ref="J1140:K1140" si="1130">IF($B1140="","",N(J1139)+N(H1140))</f>
        <v/>
      </c>
      <c r="K1140" s="74" t="str">
        <f t="shared" si="1130"/>
        <v/>
      </c>
      <c r="L1140" s="69" t="str">
        <f>IF($B1140="","",PV-J1140)</f>
        <v/>
      </c>
      <c r="M1140" s="71" t="str">
        <f>IF($B1140="","",J1140/PV)</f>
        <v/>
      </c>
      <c r="N1140" s="72" t="str">
        <f t="shared" si="4"/>
        <v/>
      </c>
    </row>
    <row r="1141" ht="14.25" customHeight="1">
      <c r="B1141" s="66" t="str">
        <f>IF(ROWS($1:1129)&lt;=Nper,ROWS($1:1129),"")</f>
        <v/>
      </c>
      <c r="C1141" s="67" t="str">
        <f>IF($B1141="","",IF($E$7="Weekly",Start_Date+7*(ROWS($1:1129)-1),EDATE(Start_Date,VLOOKUP(IF(ASTemp!$E$7="","Monthly",ASTemp!$E$7),Parameters!$B$3:$D$6,3,0)*(ROWS($1:1129)-1))))</f>
        <v/>
      </c>
      <c r="D1141" s="68" t="str">
        <f t="shared" si="2"/>
        <v/>
      </c>
      <c r="E1141" s="65" t="str">
        <f>IF($B1141="","",VLOOKUP(MONTH(C1141),Parameters!$F$2:$G$13,2,0))</f>
        <v/>
      </c>
      <c r="F1141" s="69" t="str">
        <f>IF($B1141="","",PV-N(J1140))</f>
        <v/>
      </c>
      <c r="G1141" s="69" t="str">
        <f>IF($B1141="","",PMT(Rate,Nper,-PV,,Type))</f>
        <v/>
      </c>
      <c r="H1141" s="69" t="str">
        <f>IF($B1141="","",PPMT(Rate,ROWS($1:1129),Nper,-PV,,Type))</f>
        <v/>
      </c>
      <c r="I1141" s="69" t="str">
        <f>IF($B1141="","",IPMT(Rate,ROWS($1:1129),Nper,-PV,,Type))</f>
        <v/>
      </c>
      <c r="J1141" s="73" t="str">
        <f t="shared" ref="J1141:K1141" si="1131">IF($B1141="","",N(J1140)+N(H1141))</f>
        <v/>
      </c>
      <c r="K1141" s="74" t="str">
        <f t="shared" si="1131"/>
        <v/>
      </c>
      <c r="L1141" s="69" t="str">
        <f>IF($B1141="","",PV-J1141)</f>
        <v/>
      </c>
      <c r="M1141" s="71" t="str">
        <f>IF($B1141="","",J1141/PV)</f>
        <v/>
      </c>
      <c r="N1141" s="72" t="str">
        <f t="shared" si="4"/>
        <v/>
      </c>
    </row>
    <row r="1142" ht="14.25" customHeight="1">
      <c r="B1142" s="66" t="str">
        <f>IF(ROWS($1:1130)&lt;=Nper,ROWS($1:1130),"")</f>
        <v/>
      </c>
      <c r="C1142" s="67" t="str">
        <f>IF($B1142="","",IF($E$7="Weekly",Start_Date+7*(ROWS($1:1130)-1),EDATE(Start_Date,VLOOKUP(IF(ASTemp!$E$7="","Monthly",ASTemp!$E$7),Parameters!$B$3:$D$6,3,0)*(ROWS($1:1130)-1))))</f>
        <v/>
      </c>
      <c r="D1142" s="68" t="str">
        <f t="shared" si="2"/>
        <v/>
      </c>
      <c r="E1142" s="65" t="str">
        <f>IF($B1142="","",VLOOKUP(MONTH(C1142),Parameters!$F$2:$G$13,2,0))</f>
        <v/>
      </c>
      <c r="F1142" s="69" t="str">
        <f>IF($B1142="","",PV-N(J1141))</f>
        <v/>
      </c>
      <c r="G1142" s="69" t="str">
        <f>IF($B1142="","",PMT(Rate,Nper,-PV,,Type))</f>
        <v/>
      </c>
      <c r="H1142" s="69" t="str">
        <f>IF($B1142="","",PPMT(Rate,ROWS($1:1130),Nper,-PV,,Type))</f>
        <v/>
      </c>
      <c r="I1142" s="69" t="str">
        <f>IF($B1142="","",IPMT(Rate,ROWS($1:1130),Nper,-PV,,Type))</f>
        <v/>
      </c>
      <c r="J1142" s="73" t="str">
        <f t="shared" ref="J1142:K1142" si="1132">IF($B1142="","",N(J1141)+N(H1142))</f>
        <v/>
      </c>
      <c r="K1142" s="74" t="str">
        <f t="shared" si="1132"/>
        <v/>
      </c>
      <c r="L1142" s="69" t="str">
        <f>IF($B1142="","",PV-J1142)</f>
        <v/>
      </c>
      <c r="M1142" s="71" t="str">
        <f>IF($B1142="","",J1142/PV)</f>
        <v/>
      </c>
      <c r="N1142" s="72" t="str">
        <f t="shared" si="4"/>
        <v/>
      </c>
    </row>
    <row r="1143" ht="14.25" customHeight="1">
      <c r="B1143" s="66" t="str">
        <f>IF(ROWS($1:1131)&lt;=Nper,ROWS($1:1131),"")</f>
        <v/>
      </c>
      <c r="C1143" s="67" t="str">
        <f>IF($B1143="","",IF($E$7="Weekly",Start_Date+7*(ROWS($1:1131)-1),EDATE(Start_Date,VLOOKUP(IF(ASTemp!$E$7="","Monthly",ASTemp!$E$7),Parameters!$B$3:$D$6,3,0)*(ROWS($1:1131)-1))))</f>
        <v/>
      </c>
      <c r="D1143" s="68" t="str">
        <f t="shared" si="2"/>
        <v/>
      </c>
      <c r="E1143" s="65" t="str">
        <f>IF($B1143="","",VLOOKUP(MONTH(C1143),Parameters!$F$2:$G$13,2,0))</f>
        <v/>
      </c>
      <c r="F1143" s="69" t="str">
        <f>IF($B1143="","",PV-N(J1142))</f>
        <v/>
      </c>
      <c r="G1143" s="69" t="str">
        <f>IF($B1143="","",PMT(Rate,Nper,-PV,,Type))</f>
        <v/>
      </c>
      <c r="H1143" s="69" t="str">
        <f>IF($B1143="","",PPMT(Rate,ROWS($1:1131),Nper,-PV,,Type))</f>
        <v/>
      </c>
      <c r="I1143" s="69" t="str">
        <f>IF($B1143="","",IPMT(Rate,ROWS($1:1131),Nper,-PV,,Type))</f>
        <v/>
      </c>
      <c r="J1143" s="73" t="str">
        <f t="shared" ref="J1143:K1143" si="1133">IF($B1143="","",N(J1142)+N(H1143))</f>
        <v/>
      </c>
      <c r="K1143" s="74" t="str">
        <f t="shared" si="1133"/>
        <v/>
      </c>
      <c r="L1143" s="69" t="str">
        <f>IF($B1143="","",PV-J1143)</f>
        <v/>
      </c>
      <c r="M1143" s="71" t="str">
        <f>IF($B1143="","",J1143/PV)</f>
        <v/>
      </c>
      <c r="N1143" s="72" t="str">
        <f t="shared" si="4"/>
        <v/>
      </c>
    </row>
    <row r="1144" ht="14.25" customHeight="1">
      <c r="B1144" s="66" t="str">
        <f>IF(ROWS($1:1132)&lt;=Nper,ROWS($1:1132),"")</f>
        <v/>
      </c>
      <c r="C1144" s="67" t="str">
        <f>IF($B1144="","",IF($E$7="Weekly",Start_Date+7*(ROWS($1:1132)-1),EDATE(Start_Date,VLOOKUP(IF(ASTemp!$E$7="","Monthly",ASTemp!$E$7),Parameters!$B$3:$D$6,3,0)*(ROWS($1:1132)-1))))</f>
        <v/>
      </c>
      <c r="D1144" s="68" t="str">
        <f t="shared" si="2"/>
        <v/>
      </c>
      <c r="E1144" s="65" t="str">
        <f>IF($B1144="","",VLOOKUP(MONTH(C1144),Parameters!$F$2:$G$13,2,0))</f>
        <v/>
      </c>
      <c r="F1144" s="69" t="str">
        <f>IF($B1144="","",PV-N(J1143))</f>
        <v/>
      </c>
      <c r="G1144" s="69" t="str">
        <f>IF($B1144="","",PMT(Rate,Nper,-PV,,Type))</f>
        <v/>
      </c>
      <c r="H1144" s="69" t="str">
        <f>IF($B1144="","",PPMT(Rate,ROWS($1:1132),Nper,-PV,,Type))</f>
        <v/>
      </c>
      <c r="I1144" s="69" t="str">
        <f>IF($B1144="","",IPMT(Rate,ROWS($1:1132),Nper,-PV,,Type))</f>
        <v/>
      </c>
      <c r="J1144" s="73" t="str">
        <f t="shared" ref="J1144:K1144" si="1134">IF($B1144="","",N(J1143)+N(H1144))</f>
        <v/>
      </c>
      <c r="K1144" s="74" t="str">
        <f t="shared" si="1134"/>
        <v/>
      </c>
      <c r="L1144" s="69" t="str">
        <f>IF($B1144="","",PV-J1144)</f>
        <v/>
      </c>
      <c r="M1144" s="71" t="str">
        <f>IF($B1144="","",J1144/PV)</f>
        <v/>
      </c>
      <c r="N1144" s="72" t="str">
        <f t="shared" si="4"/>
        <v/>
      </c>
    </row>
    <row r="1145" ht="14.25" customHeight="1">
      <c r="B1145" s="66" t="str">
        <f>IF(ROWS($1:1133)&lt;=Nper,ROWS($1:1133),"")</f>
        <v/>
      </c>
      <c r="C1145" s="67" t="str">
        <f>IF($B1145="","",IF($E$7="Weekly",Start_Date+7*(ROWS($1:1133)-1),EDATE(Start_Date,VLOOKUP(IF(ASTemp!$E$7="","Monthly",ASTemp!$E$7),Parameters!$B$3:$D$6,3,0)*(ROWS($1:1133)-1))))</f>
        <v/>
      </c>
      <c r="D1145" s="68" t="str">
        <f t="shared" si="2"/>
        <v/>
      </c>
      <c r="E1145" s="65" t="str">
        <f>IF($B1145="","",VLOOKUP(MONTH(C1145),Parameters!$F$2:$G$13,2,0))</f>
        <v/>
      </c>
      <c r="F1145" s="69" t="str">
        <f>IF($B1145="","",PV-N(J1144))</f>
        <v/>
      </c>
      <c r="G1145" s="69" t="str">
        <f>IF($B1145="","",PMT(Rate,Nper,-PV,,Type))</f>
        <v/>
      </c>
      <c r="H1145" s="69" t="str">
        <f>IF($B1145="","",PPMT(Rate,ROWS($1:1133),Nper,-PV,,Type))</f>
        <v/>
      </c>
      <c r="I1145" s="69" t="str">
        <f>IF($B1145="","",IPMT(Rate,ROWS($1:1133),Nper,-PV,,Type))</f>
        <v/>
      </c>
      <c r="J1145" s="73" t="str">
        <f t="shared" ref="J1145:K1145" si="1135">IF($B1145="","",N(J1144)+N(H1145))</f>
        <v/>
      </c>
      <c r="K1145" s="74" t="str">
        <f t="shared" si="1135"/>
        <v/>
      </c>
      <c r="L1145" s="69" t="str">
        <f>IF($B1145="","",PV-J1145)</f>
        <v/>
      </c>
      <c r="M1145" s="71" t="str">
        <f>IF($B1145="","",J1145/PV)</f>
        <v/>
      </c>
      <c r="N1145" s="72" t="str">
        <f t="shared" si="4"/>
        <v/>
      </c>
    </row>
    <row r="1146" ht="14.25" customHeight="1">
      <c r="B1146" s="66" t="str">
        <f>IF(ROWS($1:1134)&lt;=Nper,ROWS($1:1134),"")</f>
        <v/>
      </c>
      <c r="C1146" s="67" t="str">
        <f>IF($B1146="","",IF($E$7="Weekly",Start_Date+7*(ROWS($1:1134)-1),EDATE(Start_Date,VLOOKUP(IF(ASTemp!$E$7="","Monthly",ASTemp!$E$7),Parameters!$B$3:$D$6,3,0)*(ROWS($1:1134)-1))))</f>
        <v/>
      </c>
      <c r="D1146" s="68" t="str">
        <f t="shared" si="2"/>
        <v/>
      </c>
      <c r="E1146" s="65" t="str">
        <f>IF($B1146="","",VLOOKUP(MONTH(C1146),Parameters!$F$2:$G$13,2,0))</f>
        <v/>
      </c>
      <c r="F1146" s="69" t="str">
        <f>IF($B1146="","",PV-N(J1145))</f>
        <v/>
      </c>
      <c r="G1146" s="69" t="str">
        <f>IF($B1146="","",PMT(Rate,Nper,-PV,,Type))</f>
        <v/>
      </c>
      <c r="H1146" s="69" t="str">
        <f>IF($B1146="","",PPMT(Rate,ROWS($1:1134),Nper,-PV,,Type))</f>
        <v/>
      </c>
      <c r="I1146" s="69" t="str">
        <f>IF($B1146="","",IPMT(Rate,ROWS($1:1134),Nper,-PV,,Type))</f>
        <v/>
      </c>
      <c r="J1146" s="73" t="str">
        <f t="shared" ref="J1146:K1146" si="1136">IF($B1146="","",N(J1145)+N(H1146))</f>
        <v/>
      </c>
      <c r="K1146" s="74" t="str">
        <f t="shared" si="1136"/>
        <v/>
      </c>
      <c r="L1146" s="69" t="str">
        <f>IF($B1146="","",PV-J1146)</f>
        <v/>
      </c>
      <c r="M1146" s="71" t="str">
        <f>IF($B1146="","",J1146/PV)</f>
        <v/>
      </c>
      <c r="N1146" s="72" t="str">
        <f t="shared" si="4"/>
        <v/>
      </c>
    </row>
    <row r="1147" ht="14.25" customHeight="1">
      <c r="B1147" s="66" t="str">
        <f>IF(ROWS($1:1135)&lt;=Nper,ROWS($1:1135),"")</f>
        <v/>
      </c>
      <c r="C1147" s="67" t="str">
        <f>IF($B1147="","",IF($E$7="Weekly",Start_Date+7*(ROWS($1:1135)-1),EDATE(Start_Date,VLOOKUP(IF(ASTemp!$E$7="","Monthly",ASTemp!$E$7),Parameters!$B$3:$D$6,3,0)*(ROWS($1:1135)-1))))</f>
        <v/>
      </c>
      <c r="D1147" s="68" t="str">
        <f t="shared" si="2"/>
        <v/>
      </c>
      <c r="E1147" s="65" t="str">
        <f>IF($B1147="","",VLOOKUP(MONTH(C1147),Parameters!$F$2:$G$13,2,0))</f>
        <v/>
      </c>
      <c r="F1147" s="69" t="str">
        <f>IF($B1147="","",PV-N(J1146))</f>
        <v/>
      </c>
      <c r="G1147" s="69" t="str">
        <f>IF($B1147="","",PMT(Rate,Nper,-PV,,Type))</f>
        <v/>
      </c>
      <c r="H1147" s="69" t="str">
        <f>IF($B1147="","",PPMT(Rate,ROWS($1:1135),Nper,-PV,,Type))</f>
        <v/>
      </c>
      <c r="I1147" s="69" t="str">
        <f>IF($B1147="","",IPMT(Rate,ROWS($1:1135),Nper,-PV,,Type))</f>
        <v/>
      </c>
      <c r="J1147" s="73" t="str">
        <f t="shared" ref="J1147:K1147" si="1137">IF($B1147="","",N(J1146)+N(H1147))</f>
        <v/>
      </c>
      <c r="K1147" s="74" t="str">
        <f t="shared" si="1137"/>
        <v/>
      </c>
      <c r="L1147" s="69" t="str">
        <f>IF($B1147="","",PV-J1147)</f>
        <v/>
      </c>
      <c r="M1147" s="71" t="str">
        <f>IF($B1147="","",J1147/PV)</f>
        <v/>
      </c>
      <c r="N1147" s="72" t="str">
        <f t="shared" si="4"/>
        <v/>
      </c>
    </row>
    <row r="1148" ht="14.25" customHeight="1">
      <c r="B1148" s="66" t="str">
        <f>IF(ROWS($1:1136)&lt;=Nper,ROWS($1:1136),"")</f>
        <v/>
      </c>
      <c r="C1148" s="67" t="str">
        <f>IF($B1148="","",IF($E$7="Weekly",Start_Date+7*(ROWS($1:1136)-1),EDATE(Start_Date,VLOOKUP(IF(ASTemp!$E$7="","Monthly",ASTemp!$E$7),Parameters!$B$3:$D$6,3,0)*(ROWS($1:1136)-1))))</f>
        <v/>
      </c>
      <c r="D1148" s="68" t="str">
        <f t="shared" si="2"/>
        <v/>
      </c>
      <c r="E1148" s="65" t="str">
        <f>IF($B1148="","",VLOOKUP(MONTH(C1148),Parameters!$F$2:$G$13,2,0))</f>
        <v/>
      </c>
      <c r="F1148" s="69" t="str">
        <f>IF($B1148="","",PV-N(J1147))</f>
        <v/>
      </c>
      <c r="G1148" s="69" t="str">
        <f>IF($B1148="","",PMT(Rate,Nper,-PV,,Type))</f>
        <v/>
      </c>
      <c r="H1148" s="69" t="str">
        <f>IF($B1148="","",PPMT(Rate,ROWS($1:1136),Nper,-PV,,Type))</f>
        <v/>
      </c>
      <c r="I1148" s="69" t="str">
        <f>IF($B1148="","",IPMT(Rate,ROWS($1:1136),Nper,-PV,,Type))</f>
        <v/>
      </c>
      <c r="J1148" s="73" t="str">
        <f t="shared" ref="J1148:K1148" si="1138">IF($B1148="","",N(J1147)+N(H1148))</f>
        <v/>
      </c>
      <c r="K1148" s="74" t="str">
        <f t="shared" si="1138"/>
        <v/>
      </c>
      <c r="L1148" s="69" t="str">
        <f>IF($B1148="","",PV-J1148)</f>
        <v/>
      </c>
      <c r="M1148" s="71" t="str">
        <f>IF($B1148="","",J1148/PV)</f>
        <v/>
      </c>
      <c r="N1148" s="72" t="str">
        <f t="shared" si="4"/>
        <v/>
      </c>
    </row>
    <row r="1149" ht="14.25" customHeight="1">
      <c r="B1149" s="66" t="str">
        <f>IF(ROWS($1:1137)&lt;=Nper,ROWS($1:1137),"")</f>
        <v/>
      </c>
      <c r="C1149" s="67" t="str">
        <f>IF($B1149="","",IF($E$7="Weekly",Start_Date+7*(ROWS($1:1137)-1),EDATE(Start_Date,VLOOKUP(IF(ASTemp!$E$7="","Monthly",ASTemp!$E$7),Parameters!$B$3:$D$6,3,0)*(ROWS($1:1137)-1))))</f>
        <v/>
      </c>
      <c r="D1149" s="68" t="str">
        <f t="shared" si="2"/>
        <v/>
      </c>
      <c r="E1149" s="65" t="str">
        <f>IF($B1149="","",VLOOKUP(MONTH(C1149),Parameters!$F$2:$G$13,2,0))</f>
        <v/>
      </c>
      <c r="F1149" s="69" t="str">
        <f>IF($B1149="","",PV-N(J1148))</f>
        <v/>
      </c>
      <c r="G1149" s="69" t="str">
        <f>IF($B1149="","",PMT(Rate,Nper,-PV,,Type))</f>
        <v/>
      </c>
      <c r="H1149" s="69" t="str">
        <f>IF($B1149="","",PPMT(Rate,ROWS($1:1137),Nper,-PV,,Type))</f>
        <v/>
      </c>
      <c r="I1149" s="69" t="str">
        <f>IF($B1149="","",IPMT(Rate,ROWS($1:1137),Nper,-PV,,Type))</f>
        <v/>
      </c>
      <c r="J1149" s="73" t="str">
        <f t="shared" ref="J1149:K1149" si="1139">IF($B1149="","",N(J1148)+N(H1149))</f>
        <v/>
      </c>
      <c r="K1149" s="74" t="str">
        <f t="shared" si="1139"/>
        <v/>
      </c>
      <c r="L1149" s="69" t="str">
        <f>IF($B1149="","",PV-J1149)</f>
        <v/>
      </c>
      <c r="M1149" s="71" t="str">
        <f>IF($B1149="","",J1149/PV)</f>
        <v/>
      </c>
      <c r="N1149" s="72" t="str">
        <f t="shared" si="4"/>
        <v/>
      </c>
    </row>
    <row r="1150" ht="14.25" customHeight="1">
      <c r="B1150" s="66" t="str">
        <f>IF(ROWS($1:1138)&lt;=Nper,ROWS($1:1138),"")</f>
        <v/>
      </c>
      <c r="C1150" s="67" t="str">
        <f>IF($B1150="","",IF($E$7="Weekly",Start_Date+7*(ROWS($1:1138)-1),EDATE(Start_Date,VLOOKUP(IF(ASTemp!$E$7="","Monthly",ASTemp!$E$7),Parameters!$B$3:$D$6,3,0)*(ROWS($1:1138)-1))))</f>
        <v/>
      </c>
      <c r="D1150" s="68" t="str">
        <f t="shared" si="2"/>
        <v/>
      </c>
      <c r="E1150" s="65" t="str">
        <f>IF($B1150="","",VLOOKUP(MONTH(C1150),Parameters!$F$2:$G$13,2,0))</f>
        <v/>
      </c>
      <c r="F1150" s="69" t="str">
        <f>IF($B1150="","",PV-N(J1149))</f>
        <v/>
      </c>
      <c r="G1150" s="69" t="str">
        <f>IF($B1150="","",PMT(Rate,Nper,-PV,,Type))</f>
        <v/>
      </c>
      <c r="H1150" s="69" t="str">
        <f>IF($B1150="","",PPMT(Rate,ROWS($1:1138),Nper,-PV,,Type))</f>
        <v/>
      </c>
      <c r="I1150" s="69" t="str">
        <f>IF($B1150="","",IPMT(Rate,ROWS($1:1138),Nper,-PV,,Type))</f>
        <v/>
      </c>
      <c r="J1150" s="73" t="str">
        <f t="shared" ref="J1150:K1150" si="1140">IF($B1150="","",N(J1149)+N(H1150))</f>
        <v/>
      </c>
      <c r="K1150" s="74" t="str">
        <f t="shared" si="1140"/>
        <v/>
      </c>
      <c r="L1150" s="69" t="str">
        <f>IF($B1150="","",PV-J1150)</f>
        <v/>
      </c>
      <c r="M1150" s="71" t="str">
        <f>IF($B1150="","",J1150/PV)</f>
        <v/>
      </c>
      <c r="N1150" s="72" t="str">
        <f t="shared" si="4"/>
        <v/>
      </c>
    </row>
    <row r="1151" ht="14.25" customHeight="1">
      <c r="B1151" s="66" t="str">
        <f>IF(ROWS($1:1139)&lt;=Nper,ROWS($1:1139),"")</f>
        <v/>
      </c>
      <c r="C1151" s="67" t="str">
        <f>IF($B1151="","",IF($E$7="Weekly",Start_Date+7*(ROWS($1:1139)-1),EDATE(Start_Date,VLOOKUP(IF(ASTemp!$E$7="","Monthly",ASTemp!$E$7),Parameters!$B$3:$D$6,3,0)*(ROWS($1:1139)-1))))</f>
        <v/>
      </c>
      <c r="D1151" s="68" t="str">
        <f t="shared" si="2"/>
        <v/>
      </c>
      <c r="E1151" s="65" t="str">
        <f>IF($B1151="","",VLOOKUP(MONTH(C1151),Parameters!$F$2:$G$13,2,0))</f>
        <v/>
      </c>
      <c r="F1151" s="69" t="str">
        <f>IF($B1151="","",PV-N(J1150))</f>
        <v/>
      </c>
      <c r="G1151" s="69" t="str">
        <f>IF($B1151="","",PMT(Rate,Nper,-PV,,Type))</f>
        <v/>
      </c>
      <c r="H1151" s="69" t="str">
        <f>IF($B1151="","",PPMT(Rate,ROWS($1:1139),Nper,-PV,,Type))</f>
        <v/>
      </c>
      <c r="I1151" s="69" t="str">
        <f>IF($B1151="","",IPMT(Rate,ROWS($1:1139),Nper,-PV,,Type))</f>
        <v/>
      </c>
      <c r="J1151" s="73" t="str">
        <f t="shared" ref="J1151:K1151" si="1141">IF($B1151="","",N(J1150)+N(H1151))</f>
        <v/>
      </c>
      <c r="K1151" s="74" t="str">
        <f t="shared" si="1141"/>
        <v/>
      </c>
      <c r="L1151" s="69" t="str">
        <f>IF($B1151="","",PV-J1151)</f>
        <v/>
      </c>
      <c r="M1151" s="71" t="str">
        <f>IF($B1151="","",J1151/PV)</f>
        <v/>
      </c>
      <c r="N1151" s="72" t="str">
        <f t="shared" si="4"/>
        <v/>
      </c>
    </row>
    <row r="1152" ht="14.25" customHeight="1">
      <c r="B1152" s="66" t="str">
        <f>IF(ROWS($1:1140)&lt;=Nper,ROWS($1:1140),"")</f>
        <v/>
      </c>
      <c r="C1152" s="67" t="str">
        <f>IF($B1152="","",IF($E$7="Weekly",Start_Date+7*(ROWS($1:1140)-1),EDATE(Start_Date,VLOOKUP(IF(ASTemp!$E$7="","Monthly",ASTemp!$E$7),Parameters!$B$3:$D$6,3,0)*(ROWS($1:1140)-1))))</f>
        <v/>
      </c>
      <c r="D1152" s="68" t="str">
        <f t="shared" si="2"/>
        <v/>
      </c>
      <c r="E1152" s="65" t="str">
        <f>IF($B1152="","",VLOOKUP(MONTH(C1152),Parameters!$F$2:$G$13,2,0))</f>
        <v/>
      </c>
      <c r="F1152" s="69" t="str">
        <f>IF($B1152="","",PV-N(J1151))</f>
        <v/>
      </c>
      <c r="G1152" s="69" t="str">
        <f>IF($B1152="","",PMT(Rate,Nper,-PV,,Type))</f>
        <v/>
      </c>
      <c r="H1152" s="69" t="str">
        <f>IF($B1152="","",PPMT(Rate,ROWS($1:1140),Nper,-PV,,Type))</f>
        <v/>
      </c>
      <c r="I1152" s="69" t="str">
        <f>IF($B1152="","",IPMT(Rate,ROWS($1:1140),Nper,-PV,,Type))</f>
        <v/>
      </c>
      <c r="J1152" s="73" t="str">
        <f t="shared" ref="J1152:K1152" si="1142">IF($B1152="","",N(J1151)+N(H1152))</f>
        <v/>
      </c>
      <c r="K1152" s="74" t="str">
        <f t="shared" si="1142"/>
        <v/>
      </c>
      <c r="L1152" s="69" t="str">
        <f>IF($B1152="","",PV-J1152)</f>
        <v/>
      </c>
      <c r="M1152" s="71" t="str">
        <f>IF($B1152="","",J1152/PV)</f>
        <v/>
      </c>
      <c r="N1152" s="72" t="str">
        <f t="shared" si="4"/>
        <v/>
      </c>
    </row>
    <row r="1153" ht="14.25" customHeight="1">
      <c r="B1153" s="66" t="str">
        <f>IF(ROWS($1:1141)&lt;=Nper,ROWS($1:1141),"")</f>
        <v/>
      </c>
      <c r="C1153" s="67" t="str">
        <f>IF($B1153="","",IF($E$7="Weekly",Start_Date+7*(ROWS($1:1141)-1),EDATE(Start_Date,VLOOKUP(IF(ASTemp!$E$7="","Monthly",ASTemp!$E$7),Parameters!$B$3:$D$6,3,0)*(ROWS($1:1141)-1))))</f>
        <v/>
      </c>
      <c r="D1153" s="68" t="str">
        <f t="shared" si="2"/>
        <v/>
      </c>
      <c r="E1153" s="65" t="str">
        <f>IF($B1153="","",VLOOKUP(MONTH(C1153),Parameters!$F$2:$G$13,2,0))</f>
        <v/>
      </c>
      <c r="F1153" s="69" t="str">
        <f>IF($B1153="","",PV-N(J1152))</f>
        <v/>
      </c>
      <c r="G1153" s="69" t="str">
        <f>IF($B1153="","",PMT(Rate,Nper,-PV,,Type))</f>
        <v/>
      </c>
      <c r="H1153" s="69" t="str">
        <f>IF($B1153="","",PPMT(Rate,ROWS($1:1141),Nper,-PV,,Type))</f>
        <v/>
      </c>
      <c r="I1153" s="69" t="str">
        <f>IF($B1153="","",IPMT(Rate,ROWS($1:1141),Nper,-PV,,Type))</f>
        <v/>
      </c>
      <c r="J1153" s="73" t="str">
        <f t="shared" ref="J1153:K1153" si="1143">IF($B1153="","",N(J1152)+N(H1153))</f>
        <v/>
      </c>
      <c r="K1153" s="74" t="str">
        <f t="shared" si="1143"/>
        <v/>
      </c>
      <c r="L1153" s="69" t="str">
        <f>IF($B1153="","",PV-J1153)</f>
        <v/>
      </c>
      <c r="M1153" s="71" t="str">
        <f>IF($B1153="","",J1153/PV)</f>
        <v/>
      </c>
      <c r="N1153" s="72" t="str">
        <f t="shared" si="4"/>
        <v/>
      </c>
    </row>
    <row r="1154" ht="14.25" customHeight="1">
      <c r="B1154" s="66" t="str">
        <f>IF(ROWS($1:1142)&lt;=Nper,ROWS($1:1142),"")</f>
        <v/>
      </c>
      <c r="C1154" s="67" t="str">
        <f>IF($B1154="","",IF($E$7="Weekly",Start_Date+7*(ROWS($1:1142)-1),EDATE(Start_Date,VLOOKUP(IF(ASTemp!$E$7="","Monthly",ASTemp!$E$7),Parameters!$B$3:$D$6,3,0)*(ROWS($1:1142)-1))))</f>
        <v/>
      </c>
      <c r="D1154" s="68" t="str">
        <f t="shared" si="2"/>
        <v/>
      </c>
      <c r="E1154" s="65" t="str">
        <f>IF($B1154="","",VLOOKUP(MONTH(C1154),Parameters!$F$2:$G$13,2,0))</f>
        <v/>
      </c>
      <c r="F1154" s="69" t="str">
        <f>IF($B1154="","",PV-N(J1153))</f>
        <v/>
      </c>
      <c r="G1154" s="69" t="str">
        <f>IF($B1154="","",PMT(Rate,Nper,-PV,,Type))</f>
        <v/>
      </c>
      <c r="H1154" s="69" t="str">
        <f>IF($B1154="","",PPMT(Rate,ROWS($1:1142),Nper,-PV,,Type))</f>
        <v/>
      </c>
      <c r="I1154" s="69" t="str">
        <f>IF($B1154="","",IPMT(Rate,ROWS($1:1142),Nper,-PV,,Type))</f>
        <v/>
      </c>
      <c r="J1154" s="73" t="str">
        <f t="shared" ref="J1154:K1154" si="1144">IF($B1154="","",N(J1153)+N(H1154))</f>
        <v/>
      </c>
      <c r="K1154" s="74" t="str">
        <f t="shared" si="1144"/>
        <v/>
      </c>
      <c r="L1154" s="69" t="str">
        <f>IF($B1154="","",PV-J1154)</f>
        <v/>
      </c>
      <c r="M1154" s="71" t="str">
        <f>IF($B1154="","",J1154/PV)</f>
        <v/>
      </c>
      <c r="N1154" s="72" t="str">
        <f t="shared" si="4"/>
        <v/>
      </c>
    </row>
    <row r="1155" ht="14.25" customHeight="1">
      <c r="B1155" s="66" t="str">
        <f>IF(ROWS($1:1143)&lt;=Nper,ROWS($1:1143),"")</f>
        <v/>
      </c>
      <c r="C1155" s="67" t="str">
        <f>IF($B1155="","",IF($E$7="Weekly",Start_Date+7*(ROWS($1:1143)-1),EDATE(Start_Date,VLOOKUP(IF(ASTemp!$E$7="","Monthly",ASTemp!$E$7),Parameters!$B$3:$D$6,3,0)*(ROWS($1:1143)-1))))</f>
        <v/>
      </c>
      <c r="D1155" s="68" t="str">
        <f t="shared" si="2"/>
        <v/>
      </c>
      <c r="E1155" s="65" t="str">
        <f>IF($B1155="","",VLOOKUP(MONTH(C1155),Parameters!$F$2:$G$13,2,0))</f>
        <v/>
      </c>
      <c r="F1155" s="69" t="str">
        <f>IF($B1155="","",PV-N(J1154))</f>
        <v/>
      </c>
      <c r="G1155" s="69" t="str">
        <f>IF($B1155="","",PMT(Rate,Nper,-PV,,Type))</f>
        <v/>
      </c>
      <c r="H1155" s="69" t="str">
        <f>IF($B1155="","",PPMT(Rate,ROWS($1:1143),Nper,-PV,,Type))</f>
        <v/>
      </c>
      <c r="I1155" s="69" t="str">
        <f>IF($B1155="","",IPMT(Rate,ROWS($1:1143),Nper,-PV,,Type))</f>
        <v/>
      </c>
      <c r="J1155" s="73" t="str">
        <f t="shared" ref="J1155:K1155" si="1145">IF($B1155="","",N(J1154)+N(H1155))</f>
        <v/>
      </c>
      <c r="K1155" s="74" t="str">
        <f t="shared" si="1145"/>
        <v/>
      </c>
      <c r="L1155" s="69" t="str">
        <f>IF($B1155="","",PV-J1155)</f>
        <v/>
      </c>
      <c r="M1155" s="71" t="str">
        <f>IF($B1155="","",J1155/PV)</f>
        <v/>
      </c>
      <c r="N1155" s="72" t="str">
        <f t="shared" si="4"/>
        <v/>
      </c>
    </row>
    <row r="1156" ht="14.25" customHeight="1">
      <c r="B1156" s="66" t="str">
        <f>IF(ROWS($1:1144)&lt;=Nper,ROWS($1:1144),"")</f>
        <v/>
      </c>
      <c r="C1156" s="67" t="str">
        <f>IF($B1156="","",IF($E$7="Weekly",Start_Date+7*(ROWS($1:1144)-1),EDATE(Start_Date,VLOOKUP(IF(ASTemp!$E$7="","Monthly",ASTemp!$E$7),Parameters!$B$3:$D$6,3,0)*(ROWS($1:1144)-1))))</f>
        <v/>
      </c>
      <c r="D1156" s="68" t="str">
        <f t="shared" si="2"/>
        <v/>
      </c>
      <c r="E1156" s="65" t="str">
        <f>IF($B1156="","",VLOOKUP(MONTH(C1156),Parameters!$F$2:$G$13,2,0))</f>
        <v/>
      </c>
      <c r="F1156" s="69" t="str">
        <f>IF($B1156="","",PV-N(J1155))</f>
        <v/>
      </c>
      <c r="G1156" s="69" t="str">
        <f>IF($B1156="","",PMT(Rate,Nper,-PV,,Type))</f>
        <v/>
      </c>
      <c r="H1156" s="69" t="str">
        <f>IF($B1156="","",PPMT(Rate,ROWS($1:1144),Nper,-PV,,Type))</f>
        <v/>
      </c>
      <c r="I1156" s="69" t="str">
        <f>IF($B1156="","",IPMT(Rate,ROWS($1:1144),Nper,-PV,,Type))</f>
        <v/>
      </c>
      <c r="J1156" s="73" t="str">
        <f t="shared" ref="J1156:K1156" si="1146">IF($B1156="","",N(J1155)+N(H1156))</f>
        <v/>
      </c>
      <c r="K1156" s="74" t="str">
        <f t="shared" si="1146"/>
        <v/>
      </c>
      <c r="L1156" s="69" t="str">
        <f>IF($B1156="","",PV-J1156)</f>
        <v/>
      </c>
      <c r="M1156" s="71" t="str">
        <f>IF($B1156="","",J1156/PV)</f>
        <v/>
      </c>
      <c r="N1156" s="72" t="str">
        <f t="shared" si="4"/>
        <v/>
      </c>
    </row>
    <row r="1157" ht="14.25" customHeight="1">
      <c r="B1157" s="66" t="str">
        <f>IF(ROWS($1:1145)&lt;=Nper,ROWS($1:1145),"")</f>
        <v/>
      </c>
      <c r="C1157" s="67" t="str">
        <f>IF($B1157="","",IF($E$7="Weekly",Start_Date+7*(ROWS($1:1145)-1),EDATE(Start_Date,VLOOKUP(IF(ASTemp!$E$7="","Monthly",ASTemp!$E$7),Parameters!$B$3:$D$6,3,0)*(ROWS($1:1145)-1))))</f>
        <v/>
      </c>
      <c r="D1157" s="68" t="str">
        <f t="shared" si="2"/>
        <v/>
      </c>
      <c r="E1157" s="65" t="str">
        <f>IF($B1157="","",VLOOKUP(MONTH(C1157),Parameters!$F$2:$G$13,2,0))</f>
        <v/>
      </c>
      <c r="F1157" s="69" t="str">
        <f>IF($B1157="","",PV-N(J1156))</f>
        <v/>
      </c>
      <c r="G1157" s="69" t="str">
        <f>IF($B1157="","",PMT(Rate,Nper,-PV,,Type))</f>
        <v/>
      </c>
      <c r="H1157" s="69" t="str">
        <f>IF($B1157="","",PPMT(Rate,ROWS($1:1145),Nper,-PV,,Type))</f>
        <v/>
      </c>
      <c r="I1157" s="69" t="str">
        <f>IF($B1157="","",IPMT(Rate,ROWS($1:1145),Nper,-PV,,Type))</f>
        <v/>
      </c>
      <c r="J1157" s="73" t="str">
        <f t="shared" ref="J1157:K1157" si="1147">IF($B1157="","",N(J1156)+N(H1157))</f>
        <v/>
      </c>
      <c r="K1157" s="74" t="str">
        <f t="shared" si="1147"/>
        <v/>
      </c>
      <c r="L1157" s="69" t="str">
        <f>IF($B1157="","",PV-J1157)</f>
        <v/>
      </c>
      <c r="M1157" s="71" t="str">
        <f>IF($B1157="","",J1157/PV)</f>
        <v/>
      </c>
      <c r="N1157" s="72" t="str">
        <f t="shared" si="4"/>
        <v/>
      </c>
    </row>
    <row r="1158" ht="14.25" customHeight="1">
      <c r="B1158" s="66" t="str">
        <f>IF(ROWS($1:1146)&lt;=Nper,ROWS($1:1146),"")</f>
        <v/>
      </c>
      <c r="C1158" s="67" t="str">
        <f>IF($B1158="","",IF($E$7="Weekly",Start_Date+7*(ROWS($1:1146)-1),EDATE(Start_Date,VLOOKUP(IF(ASTemp!$E$7="","Monthly",ASTemp!$E$7),Parameters!$B$3:$D$6,3,0)*(ROWS($1:1146)-1))))</f>
        <v/>
      </c>
      <c r="D1158" s="68" t="str">
        <f t="shared" si="2"/>
        <v/>
      </c>
      <c r="E1158" s="65" t="str">
        <f>IF($B1158="","",VLOOKUP(MONTH(C1158),Parameters!$F$2:$G$13,2,0))</f>
        <v/>
      </c>
      <c r="F1158" s="69" t="str">
        <f>IF($B1158="","",PV-N(J1157))</f>
        <v/>
      </c>
      <c r="G1158" s="69" t="str">
        <f>IF($B1158="","",PMT(Rate,Nper,-PV,,Type))</f>
        <v/>
      </c>
      <c r="H1158" s="69" t="str">
        <f>IF($B1158="","",PPMT(Rate,ROWS($1:1146),Nper,-PV,,Type))</f>
        <v/>
      </c>
      <c r="I1158" s="69" t="str">
        <f>IF($B1158="","",IPMT(Rate,ROWS($1:1146),Nper,-PV,,Type))</f>
        <v/>
      </c>
      <c r="J1158" s="73" t="str">
        <f t="shared" ref="J1158:K1158" si="1148">IF($B1158="","",N(J1157)+N(H1158))</f>
        <v/>
      </c>
      <c r="K1158" s="74" t="str">
        <f t="shared" si="1148"/>
        <v/>
      </c>
      <c r="L1158" s="69" t="str">
        <f>IF($B1158="","",PV-J1158)</f>
        <v/>
      </c>
      <c r="M1158" s="71" t="str">
        <f>IF($B1158="","",J1158/PV)</f>
        <v/>
      </c>
      <c r="N1158" s="72" t="str">
        <f t="shared" si="4"/>
        <v/>
      </c>
    </row>
    <row r="1159" ht="14.25" customHeight="1">
      <c r="B1159" s="66" t="str">
        <f>IF(ROWS($1:1147)&lt;=Nper,ROWS($1:1147),"")</f>
        <v/>
      </c>
      <c r="C1159" s="67" t="str">
        <f>IF($B1159="","",IF($E$7="Weekly",Start_Date+7*(ROWS($1:1147)-1),EDATE(Start_Date,VLOOKUP(IF(ASTemp!$E$7="","Monthly",ASTemp!$E$7),Parameters!$B$3:$D$6,3,0)*(ROWS($1:1147)-1))))</f>
        <v/>
      </c>
      <c r="D1159" s="68" t="str">
        <f t="shared" si="2"/>
        <v/>
      </c>
      <c r="E1159" s="65" t="str">
        <f>IF($B1159="","",VLOOKUP(MONTH(C1159),Parameters!$F$2:$G$13,2,0))</f>
        <v/>
      </c>
      <c r="F1159" s="69" t="str">
        <f>IF($B1159="","",PV-N(J1158))</f>
        <v/>
      </c>
      <c r="G1159" s="69" t="str">
        <f>IF($B1159="","",PMT(Rate,Nper,-PV,,Type))</f>
        <v/>
      </c>
      <c r="H1159" s="69" t="str">
        <f>IF($B1159="","",PPMT(Rate,ROWS($1:1147),Nper,-PV,,Type))</f>
        <v/>
      </c>
      <c r="I1159" s="69" t="str">
        <f>IF($B1159="","",IPMT(Rate,ROWS($1:1147),Nper,-PV,,Type))</f>
        <v/>
      </c>
      <c r="J1159" s="73" t="str">
        <f t="shared" ref="J1159:K1159" si="1149">IF($B1159="","",N(J1158)+N(H1159))</f>
        <v/>
      </c>
      <c r="K1159" s="74" t="str">
        <f t="shared" si="1149"/>
        <v/>
      </c>
      <c r="L1159" s="69" t="str">
        <f>IF($B1159="","",PV-J1159)</f>
        <v/>
      </c>
      <c r="M1159" s="71" t="str">
        <f>IF($B1159="","",J1159/PV)</f>
        <v/>
      </c>
      <c r="N1159" s="72" t="str">
        <f t="shared" si="4"/>
        <v/>
      </c>
    </row>
    <row r="1160" ht="14.25" customHeight="1">
      <c r="B1160" s="66" t="str">
        <f>IF(ROWS($1:1148)&lt;=Nper,ROWS($1:1148),"")</f>
        <v/>
      </c>
      <c r="C1160" s="67" t="str">
        <f>IF($B1160="","",IF($E$7="Weekly",Start_Date+7*(ROWS($1:1148)-1),EDATE(Start_Date,VLOOKUP(IF(ASTemp!$E$7="","Monthly",ASTemp!$E$7),Parameters!$B$3:$D$6,3,0)*(ROWS($1:1148)-1))))</f>
        <v/>
      </c>
      <c r="D1160" s="68" t="str">
        <f t="shared" si="2"/>
        <v/>
      </c>
      <c r="E1160" s="65" t="str">
        <f>IF($B1160="","",VLOOKUP(MONTH(C1160),Parameters!$F$2:$G$13,2,0))</f>
        <v/>
      </c>
      <c r="F1160" s="69" t="str">
        <f>IF($B1160="","",PV-N(J1159))</f>
        <v/>
      </c>
      <c r="G1160" s="69" t="str">
        <f>IF($B1160="","",PMT(Rate,Nper,-PV,,Type))</f>
        <v/>
      </c>
      <c r="H1160" s="69" t="str">
        <f>IF($B1160="","",PPMT(Rate,ROWS($1:1148),Nper,-PV,,Type))</f>
        <v/>
      </c>
      <c r="I1160" s="69" t="str">
        <f>IF($B1160="","",IPMT(Rate,ROWS($1:1148),Nper,-PV,,Type))</f>
        <v/>
      </c>
      <c r="J1160" s="73" t="str">
        <f t="shared" ref="J1160:K1160" si="1150">IF($B1160="","",N(J1159)+N(H1160))</f>
        <v/>
      </c>
      <c r="K1160" s="74" t="str">
        <f t="shared" si="1150"/>
        <v/>
      </c>
      <c r="L1160" s="69" t="str">
        <f>IF($B1160="","",PV-J1160)</f>
        <v/>
      </c>
      <c r="M1160" s="71" t="str">
        <f>IF($B1160="","",J1160/PV)</f>
        <v/>
      </c>
      <c r="N1160" s="72" t="str">
        <f t="shared" si="4"/>
        <v/>
      </c>
    </row>
    <row r="1161" ht="14.25" customHeight="1">
      <c r="B1161" s="66" t="str">
        <f>IF(ROWS($1:1149)&lt;=Nper,ROWS($1:1149),"")</f>
        <v/>
      </c>
      <c r="C1161" s="67" t="str">
        <f>IF($B1161="","",IF($E$7="Weekly",Start_Date+7*(ROWS($1:1149)-1),EDATE(Start_Date,VLOOKUP(IF(ASTemp!$E$7="","Monthly",ASTemp!$E$7),Parameters!$B$3:$D$6,3,0)*(ROWS($1:1149)-1))))</f>
        <v/>
      </c>
      <c r="D1161" s="68" t="str">
        <f t="shared" si="2"/>
        <v/>
      </c>
      <c r="E1161" s="65" t="str">
        <f>IF($B1161="","",VLOOKUP(MONTH(C1161),Parameters!$F$2:$G$13,2,0))</f>
        <v/>
      </c>
      <c r="F1161" s="69" t="str">
        <f>IF($B1161="","",PV-N(J1160))</f>
        <v/>
      </c>
      <c r="G1161" s="69" t="str">
        <f>IF($B1161="","",PMT(Rate,Nper,-PV,,Type))</f>
        <v/>
      </c>
      <c r="H1161" s="69" t="str">
        <f>IF($B1161="","",PPMT(Rate,ROWS($1:1149),Nper,-PV,,Type))</f>
        <v/>
      </c>
      <c r="I1161" s="69" t="str">
        <f>IF($B1161="","",IPMT(Rate,ROWS($1:1149),Nper,-PV,,Type))</f>
        <v/>
      </c>
      <c r="J1161" s="73" t="str">
        <f t="shared" ref="J1161:K1161" si="1151">IF($B1161="","",N(J1160)+N(H1161))</f>
        <v/>
      </c>
      <c r="K1161" s="74" t="str">
        <f t="shared" si="1151"/>
        <v/>
      </c>
      <c r="L1161" s="69" t="str">
        <f>IF($B1161="","",PV-J1161)</f>
        <v/>
      </c>
      <c r="M1161" s="71" t="str">
        <f>IF($B1161="","",J1161/PV)</f>
        <v/>
      </c>
      <c r="N1161" s="72" t="str">
        <f t="shared" si="4"/>
        <v/>
      </c>
    </row>
    <row r="1162" ht="14.25" customHeight="1">
      <c r="B1162" s="66" t="str">
        <f>IF(ROWS($1:1150)&lt;=Nper,ROWS($1:1150),"")</f>
        <v/>
      </c>
      <c r="C1162" s="67" t="str">
        <f>IF($B1162="","",IF($E$7="Weekly",Start_Date+7*(ROWS($1:1150)-1),EDATE(Start_Date,VLOOKUP(IF(ASTemp!$E$7="","Monthly",ASTemp!$E$7),Parameters!$B$3:$D$6,3,0)*(ROWS($1:1150)-1))))</f>
        <v/>
      </c>
      <c r="D1162" s="68" t="str">
        <f t="shared" si="2"/>
        <v/>
      </c>
      <c r="E1162" s="65" t="str">
        <f>IF($B1162="","",VLOOKUP(MONTH(C1162),Parameters!$F$2:$G$13,2,0))</f>
        <v/>
      </c>
      <c r="F1162" s="69" t="str">
        <f>IF($B1162="","",PV-N(J1161))</f>
        <v/>
      </c>
      <c r="G1162" s="69" t="str">
        <f>IF($B1162="","",PMT(Rate,Nper,-PV,,Type))</f>
        <v/>
      </c>
      <c r="H1162" s="69" t="str">
        <f>IF($B1162="","",PPMT(Rate,ROWS($1:1150),Nper,-PV,,Type))</f>
        <v/>
      </c>
      <c r="I1162" s="69" t="str">
        <f>IF($B1162="","",IPMT(Rate,ROWS($1:1150),Nper,-PV,,Type))</f>
        <v/>
      </c>
      <c r="J1162" s="73" t="str">
        <f t="shared" ref="J1162:K1162" si="1152">IF($B1162="","",N(J1161)+N(H1162))</f>
        <v/>
      </c>
      <c r="K1162" s="74" t="str">
        <f t="shared" si="1152"/>
        <v/>
      </c>
      <c r="L1162" s="69" t="str">
        <f>IF($B1162="","",PV-J1162)</f>
        <v/>
      </c>
      <c r="M1162" s="71" t="str">
        <f>IF($B1162="","",J1162/PV)</f>
        <v/>
      </c>
      <c r="N1162" s="72" t="str">
        <f t="shared" si="4"/>
        <v/>
      </c>
    </row>
    <row r="1163" ht="14.25" customHeight="1">
      <c r="B1163" s="66" t="str">
        <f>IF(ROWS($1:1151)&lt;=Nper,ROWS($1:1151),"")</f>
        <v/>
      </c>
      <c r="C1163" s="67" t="str">
        <f>IF($B1163="","",IF($E$7="Weekly",Start_Date+7*(ROWS($1:1151)-1),EDATE(Start_Date,VLOOKUP(IF(ASTemp!$E$7="","Monthly",ASTemp!$E$7),Parameters!$B$3:$D$6,3,0)*(ROWS($1:1151)-1))))</f>
        <v/>
      </c>
      <c r="D1163" s="68" t="str">
        <f t="shared" si="2"/>
        <v/>
      </c>
      <c r="E1163" s="65" t="str">
        <f>IF($B1163="","",VLOOKUP(MONTH(C1163),Parameters!$F$2:$G$13,2,0))</f>
        <v/>
      </c>
      <c r="F1163" s="69" t="str">
        <f>IF($B1163="","",PV-N(J1162))</f>
        <v/>
      </c>
      <c r="G1163" s="69" t="str">
        <f>IF($B1163="","",PMT(Rate,Nper,-PV,,Type))</f>
        <v/>
      </c>
      <c r="H1163" s="69" t="str">
        <f>IF($B1163="","",PPMT(Rate,ROWS($1:1151),Nper,-PV,,Type))</f>
        <v/>
      </c>
      <c r="I1163" s="69" t="str">
        <f>IF($B1163="","",IPMT(Rate,ROWS($1:1151),Nper,-PV,,Type))</f>
        <v/>
      </c>
      <c r="J1163" s="73" t="str">
        <f t="shared" ref="J1163:K1163" si="1153">IF($B1163="","",N(J1162)+N(H1163))</f>
        <v/>
      </c>
      <c r="K1163" s="74" t="str">
        <f t="shared" si="1153"/>
        <v/>
      </c>
      <c r="L1163" s="69" t="str">
        <f>IF($B1163="","",PV-J1163)</f>
        <v/>
      </c>
      <c r="M1163" s="71" t="str">
        <f>IF($B1163="","",J1163/PV)</f>
        <v/>
      </c>
      <c r="N1163" s="72" t="str">
        <f t="shared" si="4"/>
        <v/>
      </c>
    </row>
    <row r="1164" ht="14.25" customHeight="1">
      <c r="B1164" s="66" t="str">
        <f>IF(ROWS($1:1152)&lt;=Nper,ROWS($1:1152),"")</f>
        <v/>
      </c>
      <c r="C1164" s="67" t="str">
        <f>IF($B1164="","",IF($E$7="Weekly",Start_Date+7*(ROWS($1:1152)-1),EDATE(Start_Date,VLOOKUP(IF(ASTemp!$E$7="","Monthly",ASTemp!$E$7),Parameters!$B$3:$D$6,3,0)*(ROWS($1:1152)-1))))</f>
        <v/>
      </c>
      <c r="D1164" s="68" t="str">
        <f t="shared" si="2"/>
        <v/>
      </c>
      <c r="E1164" s="65" t="str">
        <f>IF($B1164="","",VLOOKUP(MONTH(C1164),Parameters!$F$2:$G$13,2,0))</f>
        <v/>
      </c>
      <c r="F1164" s="69" t="str">
        <f>IF($B1164="","",PV-N(J1163))</f>
        <v/>
      </c>
      <c r="G1164" s="69" t="str">
        <f>IF($B1164="","",PMT(Rate,Nper,-PV,,Type))</f>
        <v/>
      </c>
      <c r="H1164" s="69" t="str">
        <f>IF($B1164="","",PPMT(Rate,ROWS($1:1152),Nper,-PV,,Type))</f>
        <v/>
      </c>
      <c r="I1164" s="69" t="str">
        <f>IF($B1164="","",IPMT(Rate,ROWS($1:1152),Nper,-PV,,Type))</f>
        <v/>
      </c>
      <c r="J1164" s="73" t="str">
        <f t="shared" ref="J1164:K1164" si="1154">IF($B1164="","",N(J1163)+N(H1164))</f>
        <v/>
      </c>
      <c r="K1164" s="74" t="str">
        <f t="shared" si="1154"/>
        <v/>
      </c>
      <c r="L1164" s="69" t="str">
        <f>IF($B1164="","",PV-J1164)</f>
        <v/>
      </c>
      <c r="M1164" s="71" t="str">
        <f>IF($B1164="","",J1164/PV)</f>
        <v/>
      </c>
      <c r="N1164" s="72" t="str">
        <f t="shared" si="4"/>
        <v/>
      </c>
    </row>
    <row r="1165" ht="14.25" customHeight="1">
      <c r="B1165" s="66" t="str">
        <f>IF(ROWS($1:1153)&lt;=Nper,ROWS($1:1153),"")</f>
        <v/>
      </c>
      <c r="C1165" s="67" t="str">
        <f>IF($B1165="","",IF($E$7="Weekly",Start_Date+7*(ROWS($1:1153)-1),EDATE(Start_Date,VLOOKUP(IF(ASTemp!$E$7="","Monthly",ASTemp!$E$7),Parameters!$B$3:$D$6,3,0)*(ROWS($1:1153)-1))))</f>
        <v/>
      </c>
      <c r="D1165" s="68" t="str">
        <f t="shared" si="2"/>
        <v/>
      </c>
      <c r="E1165" s="65" t="str">
        <f>IF($B1165="","",VLOOKUP(MONTH(C1165),Parameters!$F$2:$G$13,2,0))</f>
        <v/>
      </c>
      <c r="F1165" s="69" t="str">
        <f>IF($B1165="","",PV-N(J1164))</f>
        <v/>
      </c>
      <c r="G1165" s="69" t="str">
        <f>IF($B1165="","",PMT(Rate,Nper,-PV,,Type))</f>
        <v/>
      </c>
      <c r="H1165" s="69" t="str">
        <f>IF($B1165="","",PPMT(Rate,ROWS($1:1153),Nper,-PV,,Type))</f>
        <v/>
      </c>
      <c r="I1165" s="69" t="str">
        <f>IF($B1165="","",IPMT(Rate,ROWS($1:1153),Nper,-PV,,Type))</f>
        <v/>
      </c>
      <c r="J1165" s="73" t="str">
        <f t="shared" ref="J1165:K1165" si="1155">IF($B1165="","",N(J1164)+N(H1165))</f>
        <v/>
      </c>
      <c r="K1165" s="74" t="str">
        <f t="shared" si="1155"/>
        <v/>
      </c>
      <c r="L1165" s="69" t="str">
        <f>IF($B1165="","",PV-J1165)</f>
        <v/>
      </c>
      <c r="M1165" s="71" t="str">
        <f>IF($B1165="","",J1165/PV)</f>
        <v/>
      </c>
      <c r="N1165" s="72" t="str">
        <f t="shared" si="4"/>
        <v/>
      </c>
    </row>
    <row r="1166" ht="14.25" customHeight="1">
      <c r="B1166" s="66" t="str">
        <f>IF(ROWS($1:1154)&lt;=Nper,ROWS($1:1154),"")</f>
        <v/>
      </c>
      <c r="C1166" s="67" t="str">
        <f>IF($B1166="","",IF($E$7="Weekly",Start_Date+7*(ROWS($1:1154)-1),EDATE(Start_Date,VLOOKUP(IF(ASTemp!$E$7="","Monthly",ASTemp!$E$7),Parameters!$B$3:$D$6,3,0)*(ROWS($1:1154)-1))))</f>
        <v/>
      </c>
      <c r="D1166" s="68" t="str">
        <f t="shared" si="2"/>
        <v/>
      </c>
      <c r="E1166" s="65" t="str">
        <f>IF($B1166="","",VLOOKUP(MONTH(C1166),Parameters!$F$2:$G$13,2,0))</f>
        <v/>
      </c>
      <c r="F1166" s="69" t="str">
        <f>IF($B1166="","",PV-N(J1165))</f>
        <v/>
      </c>
      <c r="G1166" s="69" t="str">
        <f>IF($B1166="","",PMT(Rate,Nper,-PV,,Type))</f>
        <v/>
      </c>
      <c r="H1166" s="69" t="str">
        <f>IF($B1166="","",PPMT(Rate,ROWS($1:1154),Nper,-PV,,Type))</f>
        <v/>
      </c>
      <c r="I1166" s="69" t="str">
        <f>IF($B1166="","",IPMT(Rate,ROWS($1:1154),Nper,-PV,,Type))</f>
        <v/>
      </c>
      <c r="J1166" s="73" t="str">
        <f t="shared" ref="J1166:K1166" si="1156">IF($B1166="","",N(J1165)+N(H1166))</f>
        <v/>
      </c>
      <c r="K1166" s="74" t="str">
        <f t="shared" si="1156"/>
        <v/>
      </c>
      <c r="L1166" s="69" t="str">
        <f>IF($B1166="","",PV-J1166)</f>
        <v/>
      </c>
      <c r="M1166" s="71" t="str">
        <f>IF($B1166="","",J1166/PV)</f>
        <v/>
      </c>
      <c r="N1166" s="72" t="str">
        <f t="shared" si="4"/>
        <v/>
      </c>
    </row>
    <row r="1167" ht="14.25" customHeight="1">
      <c r="B1167" s="66" t="str">
        <f>IF(ROWS($1:1155)&lt;=Nper,ROWS($1:1155),"")</f>
        <v/>
      </c>
      <c r="C1167" s="67" t="str">
        <f>IF($B1167="","",IF($E$7="Weekly",Start_Date+7*(ROWS($1:1155)-1),EDATE(Start_Date,VLOOKUP(IF(ASTemp!$E$7="","Monthly",ASTemp!$E$7),Parameters!$B$3:$D$6,3,0)*(ROWS($1:1155)-1))))</f>
        <v/>
      </c>
      <c r="D1167" s="68" t="str">
        <f t="shared" si="2"/>
        <v/>
      </c>
      <c r="E1167" s="65" t="str">
        <f>IF($B1167="","",VLOOKUP(MONTH(C1167),Parameters!$F$2:$G$13,2,0))</f>
        <v/>
      </c>
      <c r="F1167" s="69" t="str">
        <f>IF($B1167="","",PV-N(J1166))</f>
        <v/>
      </c>
      <c r="G1167" s="69" t="str">
        <f>IF($B1167="","",PMT(Rate,Nper,-PV,,Type))</f>
        <v/>
      </c>
      <c r="H1167" s="69" t="str">
        <f>IF($B1167="","",PPMT(Rate,ROWS($1:1155),Nper,-PV,,Type))</f>
        <v/>
      </c>
      <c r="I1167" s="69" t="str">
        <f>IF($B1167="","",IPMT(Rate,ROWS($1:1155),Nper,-PV,,Type))</f>
        <v/>
      </c>
      <c r="J1167" s="73" t="str">
        <f t="shared" ref="J1167:K1167" si="1157">IF($B1167="","",N(J1166)+N(H1167))</f>
        <v/>
      </c>
      <c r="K1167" s="74" t="str">
        <f t="shared" si="1157"/>
        <v/>
      </c>
      <c r="L1167" s="69" t="str">
        <f>IF($B1167="","",PV-J1167)</f>
        <v/>
      </c>
      <c r="M1167" s="71" t="str">
        <f>IF($B1167="","",J1167/PV)</f>
        <v/>
      </c>
      <c r="N1167" s="72" t="str">
        <f t="shared" si="4"/>
        <v/>
      </c>
    </row>
    <row r="1168" ht="14.25" customHeight="1">
      <c r="B1168" s="66" t="str">
        <f>IF(ROWS($1:1156)&lt;=Nper,ROWS($1:1156),"")</f>
        <v/>
      </c>
      <c r="C1168" s="67" t="str">
        <f>IF($B1168="","",IF($E$7="Weekly",Start_Date+7*(ROWS($1:1156)-1),EDATE(Start_Date,VLOOKUP(IF(ASTemp!$E$7="","Monthly",ASTemp!$E$7),Parameters!$B$3:$D$6,3,0)*(ROWS($1:1156)-1))))</f>
        <v/>
      </c>
      <c r="D1168" s="68" t="str">
        <f t="shared" si="2"/>
        <v/>
      </c>
      <c r="E1168" s="65" t="str">
        <f>IF($B1168="","",VLOOKUP(MONTH(C1168),Parameters!$F$2:$G$13,2,0))</f>
        <v/>
      </c>
      <c r="F1168" s="69" t="str">
        <f>IF($B1168="","",PV-N(J1167))</f>
        <v/>
      </c>
      <c r="G1168" s="69" t="str">
        <f>IF($B1168="","",PMT(Rate,Nper,-PV,,Type))</f>
        <v/>
      </c>
      <c r="H1168" s="69" t="str">
        <f>IF($B1168="","",PPMT(Rate,ROWS($1:1156),Nper,-PV,,Type))</f>
        <v/>
      </c>
      <c r="I1168" s="69" t="str">
        <f>IF($B1168="","",IPMT(Rate,ROWS($1:1156),Nper,-PV,,Type))</f>
        <v/>
      </c>
      <c r="J1168" s="73" t="str">
        <f t="shared" ref="J1168:K1168" si="1158">IF($B1168="","",N(J1167)+N(H1168))</f>
        <v/>
      </c>
      <c r="K1168" s="74" t="str">
        <f t="shared" si="1158"/>
        <v/>
      </c>
      <c r="L1168" s="69" t="str">
        <f>IF($B1168="","",PV-J1168)</f>
        <v/>
      </c>
      <c r="M1168" s="71" t="str">
        <f>IF($B1168="","",J1168/PV)</f>
        <v/>
      </c>
      <c r="N1168" s="72" t="str">
        <f t="shared" si="4"/>
        <v/>
      </c>
    </row>
    <row r="1169" ht="14.25" customHeight="1">
      <c r="B1169" s="66" t="str">
        <f>IF(ROWS($1:1157)&lt;=Nper,ROWS($1:1157),"")</f>
        <v/>
      </c>
      <c r="C1169" s="67" t="str">
        <f>IF($B1169="","",IF($E$7="Weekly",Start_Date+7*(ROWS($1:1157)-1),EDATE(Start_Date,VLOOKUP(IF(ASTemp!$E$7="","Monthly",ASTemp!$E$7),Parameters!$B$3:$D$6,3,0)*(ROWS($1:1157)-1))))</f>
        <v/>
      </c>
      <c r="D1169" s="68" t="str">
        <f t="shared" si="2"/>
        <v/>
      </c>
      <c r="E1169" s="65" t="str">
        <f>IF($B1169="","",VLOOKUP(MONTH(C1169),Parameters!$F$2:$G$13,2,0))</f>
        <v/>
      </c>
      <c r="F1169" s="69" t="str">
        <f>IF($B1169="","",PV-N(J1168))</f>
        <v/>
      </c>
      <c r="G1169" s="69" t="str">
        <f>IF($B1169="","",PMT(Rate,Nper,-PV,,Type))</f>
        <v/>
      </c>
      <c r="H1169" s="69" t="str">
        <f>IF($B1169="","",PPMT(Rate,ROWS($1:1157),Nper,-PV,,Type))</f>
        <v/>
      </c>
      <c r="I1169" s="69" t="str">
        <f>IF($B1169="","",IPMT(Rate,ROWS($1:1157),Nper,-PV,,Type))</f>
        <v/>
      </c>
      <c r="J1169" s="73" t="str">
        <f t="shared" ref="J1169:K1169" si="1159">IF($B1169="","",N(J1168)+N(H1169))</f>
        <v/>
      </c>
      <c r="K1169" s="74" t="str">
        <f t="shared" si="1159"/>
        <v/>
      </c>
      <c r="L1169" s="69" t="str">
        <f>IF($B1169="","",PV-J1169)</f>
        <v/>
      </c>
      <c r="M1169" s="71" t="str">
        <f>IF($B1169="","",J1169/PV)</f>
        <v/>
      </c>
      <c r="N1169" s="72" t="str">
        <f t="shared" si="4"/>
        <v/>
      </c>
    </row>
    <row r="1170" ht="14.25" customHeight="1">
      <c r="B1170" s="66" t="str">
        <f>IF(ROWS($1:1158)&lt;=Nper,ROWS($1:1158),"")</f>
        <v/>
      </c>
      <c r="C1170" s="67" t="str">
        <f>IF($B1170="","",IF($E$7="Weekly",Start_Date+7*(ROWS($1:1158)-1),EDATE(Start_Date,VLOOKUP(IF(ASTemp!$E$7="","Monthly",ASTemp!$E$7),Parameters!$B$3:$D$6,3,0)*(ROWS($1:1158)-1))))</f>
        <v/>
      </c>
      <c r="D1170" s="68" t="str">
        <f t="shared" si="2"/>
        <v/>
      </c>
      <c r="E1170" s="65" t="str">
        <f>IF($B1170="","",VLOOKUP(MONTH(C1170),Parameters!$F$2:$G$13,2,0))</f>
        <v/>
      </c>
      <c r="F1170" s="69" t="str">
        <f>IF($B1170="","",PV-N(J1169))</f>
        <v/>
      </c>
      <c r="G1170" s="69" t="str">
        <f>IF($B1170="","",PMT(Rate,Nper,-PV,,Type))</f>
        <v/>
      </c>
      <c r="H1170" s="69" t="str">
        <f>IF($B1170="","",PPMT(Rate,ROWS($1:1158),Nper,-PV,,Type))</f>
        <v/>
      </c>
      <c r="I1170" s="69" t="str">
        <f>IF($B1170="","",IPMT(Rate,ROWS($1:1158),Nper,-PV,,Type))</f>
        <v/>
      </c>
      <c r="J1170" s="73" t="str">
        <f t="shared" ref="J1170:K1170" si="1160">IF($B1170="","",N(J1169)+N(H1170))</f>
        <v/>
      </c>
      <c r="K1170" s="74" t="str">
        <f t="shared" si="1160"/>
        <v/>
      </c>
      <c r="L1170" s="69" t="str">
        <f>IF($B1170="","",PV-J1170)</f>
        <v/>
      </c>
      <c r="M1170" s="71" t="str">
        <f>IF($B1170="","",J1170/PV)</f>
        <v/>
      </c>
      <c r="N1170" s="72" t="str">
        <f t="shared" si="4"/>
        <v/>
      </c>
    </row>
    <row r="1171" ht="14.25" customHeight="1">
      <c r="B1171" s="66" t="str">
        <f>IF(ROWS($1:1159)&lt;=Nper,ROWS($1:1159),"")</f>
        <v/>
      </c>
      <c r="C1171" s="67" t="str">
        <f>IF($B1171="","",IF($E$7="Weekly",Start_Date+7*(ROWS($1:1159)-1),EDATE(Start_Date,VLOOKUP(IF(ASTemp!$E$7="","Monthly",ASTemp!$E$7),Parameters!$B$3:$D$6,3,0)*(ROWS($1:1159)-1))))</f>
        <v/>
      </c>
      <c r="D1171" s="68" t="str">
        <f t="shared" si="2"/>
        <v/>
      </c>
      <c r="E1171" s="65" t="str">
        <f>IF($B1171="","",VLOOKUP(MONTH(C1171),Parameters!$F$2:$G$13,2,0))</f>
        <v/>
      </c>
      <c r="F1171" s="69" t="str">
        <f>IF($B1171="","",PV-N(J1170))</f>
        <v/>
      </c>
      <c r="G1171" s="69" t="str">
        <f>IF($B1171="","",PMT(Rate,Nper,-PV,,Type))</f>
        <v/>
      </c>
      <c r="H1171" s="69" t="str">
        <f>IF($B1171="","",PPMT(Rate,ROWS($1:1159),Nper,-PV,,Type))</f>
        <v/>
      </c>
      <c r="I1171" s="69" t="str">
        <f>IF($B1171="","",IPMT(Rate,ROWS($1:1159),Nper,-PV,,Type))</f>
        <v/>
      </c>
      <c r="J1171" s="73" t="str">
        <f t="shared" ref="J1171:K1171" si="1161">IF($B1171="","",N(J1170)+N(H1171))</f>
        <v/>
      </c>
      <c r="K1171" s="74" t="str">
        <f t="shared" si="1161"/>
        <v/>
      </c>
      <c r="L1171" s="69" t="str">
        <f>IF($B1171="","",PV-J1171)</f>
        <v/>
      </c>
      <c r="M1171" s="71" t="str">
        <f>IF($B1171="","",J1171/PV)</f>
        <v/>
      </c>
      <c r="N1171" s="72" t="str">
        <f t="shared" si="4"/>
        <v/>
      </c>
    </row>
    <row r="1172" ht="14.25" customHeight="1">
      <c r="B1172" s="66" t="str">
        <f>IF(ROWS($1:1160)&lt;=Nper,ROWS($1:1160),"")</f>
        <v/>
      </c>
      <c r="C1172" s="67" t="str">
        <f>IF($B1172="","",IF($E$7="Weekly",Start_Date+7*(ROWS($1:1160)-1),EDATE(Start_Date,VLOOKUP(IF(ASTemp!$E$7="","Monthly",ASTemp!$E$7),Parameters!$B$3:$D$6,3,0)*(ROWS($1:1160)-1))))</f>
        <v/>
      </c>
      <c r="D1172" s="68" t="str">
        <f t="shared" si="2"/>
        <v/>
      </c>
      <c r="E1172" s="65" t="str">
        <f>IF($B1172="","",VLOOKUP(MONTH(C1172),Parameters!$F$2:$G$13,2,0))</f>
        <v/>
      </c>
      <c r="F1172" s="69" t="str">
        <f>IF($B1172="","",PV-N(J1171))</f>
        <v/>
      </c>
      <c r="G1172" s="69" t="str">
        <f>IF($B1172="","",PMT(Rate,Nper,-PV,,Type))</f>
        <v/>
      </c>
      <c r="H1172" s="69" t="str">
        <f>IF($B1172="","",PPMT(Rate,ROWS($1:1160),Nper,-PV,,Type))</f>
        <v/>
      </c>
      <c r="I1172" s="69" t="str">
        <f>IF($B1172="","",IPMT(Rate,ROWS($1:1160),Nper,-PV,,Type))</f>
        <v/>
      </c>
      <c r="J1172" s="73" t="str">
        <f t="shared" ref="J1172:K1172" si="1162">IF($B1172="","",N(J1171)+N(H1172))</f>
        <v/>
      </c>
      <c r="K1172" s="74" t="str">
        <f t="shared" si="1162"/>
        <v/>
      </c>
      <c r="L1172" s="69" t="str">
        <f>IF($B1172="","",PV-J1172)</f>
        <v/>
      </c>
      <c r="M1172" s="71" t="str">
        <f>IF($B1172="","",J1172/PV)</f>
        <v/>
      </c>
      <c r="N1172" s="72" t="str">
        <f t="shared" si="4"/>
        <v/>
      </c>
    </row>
    <row r="1173" ht="14.25" customHeight="1">
      <c r="B1173" s="66" t="str">
        <f>IF(ROWS($1:1161)&lt;=Nper,ROWS($1:1161),"")</f>
        <v/>
      </c>
      <c r="C1173" s="67" t="str">
        <f>IF($B1173="","",IF($E$7="Weekly",Start_Date+7*(ROWS($1:1161)-1),EDATE(Start_Date,VLOOKUP(IF(ASTemp!$E$7="","Monthly",ASTemp!$E$7),Parameters!$B$3:$D$6,3,0)*(ROWS($1:1161)-1))))</f>
        <v/>
      </c>
      <c r="D1173" s="68" t="str">
        <f t="shared" si="2"/>
        <v/>
      </c>
      <c r="E1173" s="65" t="str">
        <f>IF($B1173="","",VLOOKUP(MONTH(C1173),Parameters!$F$2:$G$13,2,0))</f>
        <v/>
      </c>
      <c r="F1173" s="69" t="str">
        <f>IF($B1173="","",PV-N(J1172))</f>
        <v/>
      </c>
      <c r="G1173" s="69" t="str">
        <f>IF($B1173="","",PMT(Rate,Nper,-PV,,Type))</f>
        <v/>
      </c>
      <c r="H1173" s="69" t="str">
        <f>IF($B1173="","",PPMT(Rate,ROWS($1:1161),Nper,-PV,,Type))</f>
        <v/>
      </c>
      <c r="I1173" s="69" t="str">
        <f>IF($B1173="","",IPMT(Rate,ROWS($1:1161),Nper,-PV,,Type))</f>
        <v/>
      </c>
      <c r="J1173" s="73" t="str">
        <f t="shared" ref="J1173:K1173" si="1163">IF($B1173="","",N(J1172)+N(H1173))</f>
        <v/>
      </c>
      <c r="K1173" s="74" t="str">
        <f t="shared" si="1163"/>
        <v/>
      </c>
      <c r="L1173" s="69" t="str">
        <f>IF($B1173="","",PV-J1173)</f>
        <v/>
      </c>
      <c r="M1173" s="71" t="str">
        <f>IF($B1173="","",J1173/PV)</f>
        <v/>
      </c>
      <c r="N1173" s="72" t="str">
        <f t="shared" si="4"/>
        <v/>
      </c>
    </row>
    <row r="1174" ht="14.25" customHeight="1">
      <c r="B1174" s="66" t="str">
        <f>IF(ROWS($1:1162)&lt;=Nper,ROWS($1:1162),"")</f>
        <v/>
      </c>
      <c r="C1174" s="67" t="str">
        <f>IF($B1174="","",IF($E$7="Weekly",Start_Date+7*(ROWS($1:1162)-1),EDATE(Start_Date,VLOOKUP(IF(ASTemp!$E$7="","Monthly",ASTemp!$E$7),Parameters!$B$3:$D$6,3,0)*(ROWS($1:1162)-1))))</f>
        <v/>
      </c>
      <c r="D1174" s="68" t="str">
        <f t="shared" si="2"/>
        <v/>
      </c>
      <c r="E1174" s="65" t="str">
        <f>IF($B1174="","",VLOOKUP(MONTH(C1174),Parameters!$F$2:$G$13,2,0))</f>
        <v/>
      </c>
      <c r="F1174" s="69" t="str">
        <f>IF($B1174="","",PV-N(J1173))</f>
        <v/>
      </c>
      <c r="G1174" s="69" t="str">
        <f>IF($B1174="","",PMT(Rate,Nper,-PV,,Type))</f>
        <v/>
      </c>
      <c r="H1174" s="69" t="str">
        <f>IF($B1174="","",PPMT(Rate,ROWS($1:1162),Nper,-PV,,Type))</f>
        <v/>
      </c>
      <c r="I1174" s="69" t="str">
        <f>IF($B1174="","",IPMT(Rate,ROWS($1:1162),Nper,-PV,,Type))</f>
        <v/>
      </c>
      <c r="J1174" s="73" t="str">
        <f t="shared" ref="J1174:K1174" si="1164">IF($B1174="","",N(J1173)+N(H1174))</f>
        <v/>
      </c>
      <c r="K1174" s="74" t="str">
        <f t="shared" si="1164"/>
        <v/>
      </c>
      <c r="L1174" s="69" t="str">
        <f>IF($B1174="","",PV-J1174)</f>
        <v/>
      </c>
      <c r="M1174" s="71" t="str">
        <f>IF($B1174="","",J1174/PV)</f>
        <v/>
      </c>
      <c r="N1174" s="72" t="str">
        <f t="shared" si="4"/>
        <v/>
      </c>
    </row>
    <row r="1175" ht="14.25" customHeight="1">
      <c r="B1175" s="66" t="str">
        <f>IF(ROWS($1:1163)&lt;=Nper,ROWS($1:1163),"")</f>
        <v/>
      </c>
      <c r="C1175" s="67" t="str">
        <f>IF($B1175="","",IF($E$7="Weekly",Start_Date+7*(ROWS($1:1163)-1),EDATE(Start_Date,VLOOKUP(IF(ASTemp!$E$7="","Monthly",ASTemp!$E$7),Parameters!$B$3:$D$6,3,0)*(ROWS($1:1163)-1))))</f>
        <v/>
      </c>
      <c r="D1175" s="68" t="str">
        <f t="shared" si="2"/>
        <v/>
      </c>
      <c r="E1175" s="65" t="str">
        <f>IF($B1175="","",VLOOKUP(MONTH(C1175),Parameters!$F$2:$G$13,2,0))</f>
        <v/>
      </c>
      <c r="F1175" s="69" t="str">
        <f>IF($B1175="","",PV-N(J1174))</f>
        <v/>
      </c>
      <c r="G1175" s="69" t="str">
        <f>IF($B1175="","",PMT(Rate,Nper,-PV,,Type))</f>
        <v/>
      </c>
      <c r="H1175" s="69" t="str">
        <f>IF($B1175="","",PPMT(Rate,ROWS($1:1163),Nper,-PV,,Type))</f>
        <v/>
      </c>
      <c r="I1175" s="69" t="str">
        <f>IF($B1175="","",IPMT(Rate,ROWS($1:1163),Nper,-PV,,Type))</f>
        <v/>
      </c>
      <c r="J1175" s="73" t="str">
        <f t="shared" ref="J1175:K1175" si="1165">IF($B1175="","",N(J1174)+N(H1175))</f>
        <v/>
      </c>
      <c r="K1175" s="74" t="str">
        <f t="shared" si="1165"/>
        <v/>
      </c>
      <c r="L1175" s="69" t="str">
        <f>IF($B1175="","",PV-J1175)</f>
        <v/>
      </c>
      <c r="M1175" s="71" t="str">
        <f>IF($B1175="","",J1175/PV)</f>
        <v/>
      </c>
      <c r="N1175" s="72" t="str">
        <f t="shared" si="4"/>
        <v/>
      </c>
    </row>
    <row r="1176" ht="14.25" customHeight="1">
      <c r="B1176" s="66" t="str">
        <f>IF(ROWS($1:1164)&lt;=Nper,ROWS($1:1164),"")</f>
        <v/>
      </c>
      <c r="C1176" s="67" t="str">
        <f>IF($B1176="","",IF($E$7="Weekly",Start_Date+7*(ROWS($1:1164)-1),EDATE(Start_Date,VLOOKUP(IF(ASTemp!$E$7="","Monthly",ASTemp!$E$7),Parameters!$B$3:$D$6,3,0)*(ROWS($1:1164)-1))))</f>
        <v/>
      </c>
      <c r="D1176" s="68" t="str">
        <f t="shared" si="2"/>
        <v/>
      </c>
      <c r="E1176" s="65" t="str">
        <f>IF($B1176="","",VLOOKUP(MONTH(C1176),Parameters!$F$2:$G$13,2,0))</f>
        <v/>
      </c>
      <c r="F1176" s="69" t="str">
        <f>IF($B1176="","",PV-N(J1175))</f>
        <v/>
      </c>
      <c r="G1176" s="69" t="str">
        <f>IF($B1176="","",PMT(Rate,Nper,-PV,,Type))</f>
        <v/>
      </c>
      <c r="H1176" s="69" t="str">
        <f>IF($B1176="","",PPMT(Rate,ROWS($1:1164),Nper,-PV,,Type))</f>
        <v/>
      </c>
      <c r="I1176" s="69" t="str">
        <f>IF($B1176="","",IPMT(Rate,ROWS($1:1164),Nper,-PV,,Type))</f>
        <v/>
      </c>
      <c r="J1176" s="73" t="str">
        <f t="shared" ref="J1176:K1176" si="1166">IF($B1176="","",N(J1175)+N(H1176))</f>
        <v/>
      </c>
      <c r="K1176" s="74" t="str">
        <f t="shared" si="1166"/>
        <v/>
      </c>
      <c r="L1176" s="69" t="str">
        <f>IF($B1176="","",PV-J1176)</f>
        <v/>
      </c>
      <c r="M1176" s="71" t="str">
        <f>IF($B1176="","",J1176/PV)</f>
        <v/>
      </c>
      <c r="N1176" s="72" t="str">
        <f t="shared" si="4"/>
        <v/>
      </c>
    </row>
    <row r="1177" ht="14.25" customHeight="1">
      <c r="B1177" s="66" t="str">
        <f>IF(ROWS($1:1165)&lt;=Nper,ROWS($1:1165),"")</f>
        <v/>
      </c>
      <c r="C1177" s="67" t="str">
        <f>IF($B1177="","",IF($E$7="Weekly",Start_Date+7*(ROWS($1:1165)-1),EDATE(Start_Date,VLOOKUP(IF(ASTemp!$E$7="","Monthly",ASTemp!$E$7),Parameters!$B$3:$D$6,3,0)*(ROWS($1:1165)-1))))</f>
        <v/>
      </c>
      <c r="D1177" s="68" t="str">
        <f t="shared" si="2"/>
        <v/>
      </c>
      <c r="E1177" s="65" t="str">
        <f>IF($B1177="","",VLOOKUP(MONTH(C1177),Parameters!$F$2:$G$13,2,0))</f>
        <v/>
      </c>
      <c r="F1177" s="69" t="str">
        <f>IF($B1177="","",PV-N(J1176))</f>
        <v/>
      </c>
      <c r="G1177" s="69" t="str">
        <f>IF($B1177="","",PMT(Rate,Nper,-PV,,Type))</f>
        <v/>
      </c>
      <c r="H1177" s="69" t="str">
        <f>IF($B1177="","",PPMT(Rate,ROWS($1:1165),Nper,-PV,,Type))</f>
        <v/>
      </c>
      <c r="I1177" s="69" t="str">
        <f>IF($B1177="","",IPMT(Rate,ROWS($1:1165),Nper,-PV,,Type))</f>
        <v/>
      </c>
      <c r="J1177" s="73" t="str">
        <f t="shared" ref="J1177:K1177" si="1167">IF($B1177="","",N(J1176)+N(H1177))</f>
        <v/>
      </c>
      <c r="K1177" s="74" t="str">
        <f t="shared" si="1167"/>
        <v/>
      </c>
      <c r="L1177" s="69" t="str">
        <f>IF($B1177="","",PV-J1177)</f>
        <v/>
      </c>
      <c r="M1177" s="71" t="str">
        <f>IF($B1177="","",J1177/PV)</f>
        <v/>
      </c>
      <c r="N1177" s="72" t="str">
        <f t="shared" si="4"/>
        <v/>
      </c>
    </row>
    <row r="1178" ht="14.25" customHeight="1">
      <c r="B1178" s="66" t="str">
        <f>IF(ROWS($1:1166)&lt;=Nper,ROWS($1:1166),"")</f>
        <v/>
      </c>
      <c r="C1178" s="67" t="str">
        <f>IF($B1178="","",IF($E$7="Weekly",Start_Date+7*(ROWS($1:1166)-1),EDATE(Start_Date,VLOOKUP(IF(ASTemp!$E$7="","Monthly",ASTemp!$E$7),Parameters!$B$3:$D$6,3,0)*(ROWS($1:1166)-1))))</f>
        <v/>
      </c>
      <c r="D1178" s="68" t="str">
        <f t="shared" si="2"/>
        <v/>
      </c>
      <c r="E1178" s="65" t="str">
        <f>IF($B1178="","",VLOOKUP(MONTH(C1178),Parameters!$F$2:$G$13,2,0))</f>
        <v/>
      </c>
      <c r="F1178" s="69" t="str">
        <f>IF($B1178="","",PV-N(J1177))</f>
        <v/>
      </c>
      <c r="G1178" s="69" t="str">
        <f>IF($B1178="","",PMT(Rate,Nper,-PV,,Type))</f>
        <v/>
      </c>
      <c r="H1178" s="69" t="str">
        <f>IF($B1178="","",PPMT(Rate,ROWS($1:1166),Nper,-PV,,Type))</f>
        <v/>
      </c>
      <c r="I1178" s="69" t="str">
        <f>IF($B1178="","",IPMT(Rate,ROWS($1:1166),Nper,-PV,,Type))</f>
        <v/>
      </c>
      <c r="J1178" s="73" t="str">
        <f t="shared" ref="J1178:K1178" si="1168">IF($B1178="","",N(J1177)+N(H1178))</f>
        <v/>
      </c>
      <c r="K1178" s="74" t="str">
        <f t="shared" si="1168"/>
        <v/>
      </c>
      <c r="L1178" s="69" t="str">
        <f>IF($B1178="","",PV-J1178)</f>
        <v/>
      </c>
      <c r="M1178" s="71" t="str">
        <f>IF($B1178="","",J1178/PV)</f>
        <v/>
      </c>
      <c r="N1178" s="72" t="str">
        <f t="shared" si="4"/>
        <v/>
      </c>
    </row>
    <row r="1179" ht="14.25" customHeight="1">
      <c r="B1179" s="66" t="str">
        <f>IF(ROWS($1:1167)&lt;=Nper,ROWS($1:1167),"")</f>
        <v/>
      </c>
      <c r="C1179" s="67" t="str">
        <f>IF($B1179="","",IF($E$7="Weekly",Start_Date+7*(ROWS($1:1167)-1),EDATE(Start_Date,VLOOKUP(IF(ASTemp!$E$7="","Monthly",ASTemp!$E$7),Parameters!$B$3:$D$6,3,0)*(ROWS($1:1167)-1))))</f>
        <v/>
      </c>
      <c r="D1179" s="68" t="str">
        <f t="shared" si="2"/>
        <v/>
      </c>
      <c r="E1179" s="65" t="str">
        <f>IF($B1179="","",VLOOKUP(MONTH(C1179),Parameters!$F$2:$G$13,2,0))</f>
        <v/>
      </c>
      <c r="F1179" s="69" t="str">
        <f>IF($B1179="","",PV-N(J1178))</f>
        <v/>
      </c>
      <c r="G1179" s="69" t="str">
        <f>IF($B1179="","",PMT(Rate,Nper,-PV,,Type))</f>
        <v/>
      </c>
      <c r="H1179" s="69" t="str">
        <f>IF($B1179="","",PPMT(Rate,ROWS($1:1167),Nper,-PV,,Type))</f>
        <v/>
      </c>
      <c r="I1179" s="69" t="str">
        <f>IF($B1179="","",IPMT(Rate,ROWS($1:1167),Nper,-PV,,Type))</f>
        <v/>
      </c>
      <c r="J1179" s="73" t="str">
        <f t="shared" ref="J1179:K1179" si="1169">IF($B1179="","",N(J1178)+N(H1179))</f>
        <v/>
      </c>
      <c r="K1179" s="74" t="str">
        <f t="shared" si="1169"/>
        <v/>
      </c>
      <c r="L1179" s="69" t="str">
        <f>IF($B1179="","",PV-J1179)</f>
        <v/>
      </c>
      <c r="M1179" s="71" t="str">
        <f>IF($B1179="","",J1179/PV)</f>
        <v/>
      </c>
      <c r="N1179" s="72" t="str">
        <f t="shared" si="4"/>
        <v/>
      </c>
    </row>
    <row r="1180" ht="14.25" customHeight="1">
      <c r="B1180" s="66" t="str">
        <f>IF(ROWS($1:1168)&lt;=Nper,ROWS($1:1168),"")</f>
        <v/>
      </c>
      <c r="C1180" s="67" t="str">
        <f>IF($B1180="","",IF($E$7="Weekly",Start_Date+7*(ROWS($1:1168)-1),EDATE(Start_Date,VLOOKUP(IF(ASTemp!$E$7="","Monthly",ASTemp!$E$7),Parameters!$B$3:$D$6,3,0)*(ROWS($1:1168)-1))))</f>
        <v/>
      </c>
      <c r="D1180" s="68" t="str">
        <f t="shared" si="2"/>
        <v/>
      </c>
      <c r="E1180" s="65" t="str">
        <f>IF($B1180="","",VLOOKUP(MONTH(C1180),Parameters!$F$2:$G$13,2,0))</f>
        <v/>
      </c>
      <c r="F1180" s="69" t="str">
        <f>IF($B1180="","",PV-N(J1179))</f>
        <v/>
      </c>
      <c r="G1180" s="69" t="str">
        <f>IF($B1180="","",PMT(Rate,Nper,-PV,,Type))</f>
        <v/>
      </c>
      <c r="H1180" s="69" t="str">
        <f>IF($B1180="","",PPMT(Rate,ROWS($1:1168),Nper,-PV,,Type))</f>
        <v/>
      </c>
      <c r="I1180" s="69" t="str">
        <f>IF($B1180="","",IPMT(Rate,ROWS($1:1168),Nper,-PV,,Type))</f>
        <v/>
      </c>
      <c r="J1180" s="73" t="str">
        <f t="shared" ref="J1180:K1180" si="1170">IF($B1180="","",N(J1179)+N(H1180))</f>
        <v/>
      </c>
      <c r="K1180" s="74" t="str">
        <f t="shared" si="1170"/>
        <v/>
      </c>
      <c r="L1180" s="69" t="str">
        <f>IF($B1180="","",PV-J1180)</f>
        <v/>
      </c>
      <c r="M1180" s="71" t="str">
        <f>IF($B1180="","",J1180/PV)</f>
        <v/>
      </c>
      <c r="N1180" s="72" t="str">
        <f t="shared" si="4"/>
        <v/>
      </c>
    </row>
    <row r="1181" ht="14.25" customHeight="1">
      <c r="B1181" s="66" t="str">
        <f>IF(ROWS($1:1169)&lt;=Nper,ROWS($1:1169),"")</f>
        <v/>
      </c>
      <c r="C1181" s="67" t="str">
        <f>IF($B1181="","",IF($E$7="Weekly",Start_Date+7*(ROWS($1:1169)-1),EDATE(Start_Date,VLOOKUP(IF(ASTemp!$E$7="","Monthly",ASTemp!$E$7),Parameters!$B$3:$D$6,3,0)*(ROWS($1:1169)-1))))</f>
        <v/>
      </c>
      <c r="D1181" s="68" t="str">
        <f t="shared" si="2"/>
        <v/>
      </c>
      <c r="E1181" s="65" t="str">
        <f>IF($B1181="","",VLOOKUP(MONTH(C1181),Parameters!$F$2:$G$13,2,0))</f>
        <v/>
      </c>
      <c r="F1181" s="69" t="str">
        <f>IF($B1181="","",PV-N(J1180))</f>
        <v/>
      </c>
      <c r="G1181" s="69" t="str">
        <f>IF($B1181="","",PMT(Rate,Nper,-PV,,Type))</f>
        <v/>
      </c>
      <c r="H1181" s="69" t="str">
        <f>IF($B1181="","",PPMT(Rate,ROWS($1:1169),Nper,-PV,,Type))</f>
        <v/>
      </c>
      <c r="I1181" s="69" t="str">
        <f>IF($B1181="","",IPMT(Rate,ROWS($1:1169),Nper,-PV,,Type))</f>
        <v/>
      </c>
      <c r="J1181" s="73" t="str">
        <f t="shared" ref="J1181:K1181" si="1171">IF($B1181="","",N(J1180)+N(H1181))</f>
        <v/>
      </c>
      <c r="K1181" s="74" t="str">
        <f t="shared" si="1171"/>
        <v/>
      </c>
      <c r="L1181" s="69" t="str">
        <f>IF($B1181="","",PV-J1181)</f>
        <v/>
      </c>
      <c r="M1181" s="71" t="str">
        <f>IF($B1181="","",J1181/PV)</f>
        <v/>
      </c>
      <c r="N1181" s="72" t="str">
        <f t="shared" si="4"/>
        <v/>
      </c>
    </row>
    <row r="1182" ht="14.25" customHeight="1">
      <c r="B1182" s="66" t="str">
        <f>IF(ROWS($1:1170)&lt;=Nper,ROWS($1:1170),"")</f>
        <v/>
      </c>
      <c r="C1182" s="67" t="str">
        <f>IF($B1182="","",IF($E$7="Weekly",Start_Date+7*(ROWS($1:1170)-1),EDATE(Start_Date,VLOOKUP(IF(ASTemp!$E$7="","Monthly",ASTemp!$E$7),Parameters!$B$3:$D$6,3,0)*(ROWS($1:1170)-1))))</f>
        <v/>
      </c>
      <c r="D1182" s="68" t="str">
        <f t="shared" si="2"/>
        <v/>
      </c>
      <c r="E1182" s="65" t="str">
        <f>IF($B1182="","",VLOOKUP(MONTH(C1182),Parameters!$F$2:$G$13,2,0))</f>
        <v/>
      </c>
      <c r="F1182" s="69" t="str">
        <f>IF($B1182="","",PV-N(J1181))</f>
        <v/>
      </c>
      <c r="G1182" s="69" t="str">
        <f>IF($B1182="","",PMT(Rate,Nper,-PV,,Type))</f>
        <v/>
      </c>
      <c r="H1182" s="69" t="str">
        <f>IF($B1182="","",PPMT(Rate,ROWS($1:1170),Nper,-PV,,Type))</f>
        <v/>
      </c>
      <c r="I1182" s="69" t="str">
        <f>IF($B1182="","",IPMT(Rate,ROWS($1:1170),Nper,-PV,,Type))</f>
        <v/>
      </c>
      <c r="J1182" s="73" t="str">
        <f t="shared" ref="J1182:K1182" si="1172">IF($B1182="","",N(J1181)+N(H1182))</f>
        <v/>
      </c>
      <c r="K1182" s="74" t="str">
        <f t="shared" si="1172"/>
        <v/>
      </c>
      <c r="L1182" s="69" t="str">
        <f>IF($B1182="","",PV-J1182)</f>
        <v/>
      </c>
      <c r="M1182" s="71" t="str">
        <f>IF($B1182="","",J1182/PV)</f>
        <v/>
      </c>
      <c r="N1182" s="72" t="str">
        <f t="shared" si="4"/>
        <v/>
      </c>
    </row>
    <row r="1183" ht="14.25" customHeight="1">
      <c r="B1183" s="66" t="str">
        <f>IF(ROWS($1:1171)&lt;=Nper,ROWS($1:1171),"")</f>
        <v/>
      </c>
      <c r="C1183" s="67" t="str">
        <f>IF($B1183="","",IF($E$7="Weekly",Start_Date+7*(ROWS($1:1171)-1),EDATE(Start_Date,VLOOKUP(IF(ASTemp!$E$7="","Monthly",ASTemp!$E$7),Parameters!$B$3:$D$6,3,0)*(ROWS($1:1171)-1))))</f>
        <v/>
      </c>
      <c r="D1183" s="68" t="str">
        <f t="shared" si="2"/>
        <v/>
      </c>
      <c r="E1183" s="65" t="str">
        <f>IF($B1183="","",VLOOKUP(MONTH(C1183),Parameters!$F$2:$G$13,2,0))</f>
        <v/>
      </c>
      <c r="F1183" s="69" t="str">
        <f>IF($B1183="","",PV-N(J1182))</f>
        <v/>
      </c>
      <c r="G1183" s="69" t="str">
        <f>IF($B1183="","",PMT(Rate,Nper,-PV,,Type))</f>
        <v/>
      </c>
      <c r="H1183" s="69" t="str">
        <f>IF($B1183="","",PPMT(Rate,ROWS($1:1171),Nper,-PV,,Type))</f>
        <v/>
      </c>
      <c r="I1183" s="69" t="str">
        <f>IF($B1183="","",IPMT(Rate,ROWS($1:1171),Nper,-PV,,Type))</f>
        <v/>
      </c>
      <c r="J1183" s="73" t="str">
        <f t="shared" ref="J1183:K1183" si="1173">IF($B1183="","",N(J1182)+N(H1183))</f>
        <v/>
      </c>
      <c r="K1183" s="74" t="str">
        <f t="shared" si="1173"/>
        <v/>
      </c>
      <c r="L1183" s="69" t="str">
        <f>IF($B1183="","",PV-J1183)</f>
        <v/>
      </c>
      <c r="M1183" s="71" t="str">
        <f>IF($B1183="","",J1183/PV)</f>
        <v/>
      </c>
      <c r="N1183" s="72" t="str">
        <f t="shared" si="4"/>
        <v/>
      </c>
    </row>
    <row r="1184" ht="14.25" customHeight="1">
      <c r="B1184" s="66" t="str">
        <f>IF(ROWS($1:1172)&lt;=Nper,ROWS($1:1172),"")</f>
        <v/>
      </c>
      <c r="C1184" s="67" t="str">
        <f>IF($B1184="","",IF($E$7="Weekly",Start_Date+7*(ROWS($1:1172)-1),EDATE(Start_Date,VLOOKUP(IF(ASTemp!$E$7="","Monthly",ASTemp!$E$7),Parameters!$B$3:$D$6,3,0)*(ROWS($1:1172)-1))))</f>
        <v/>
      </c>
      <c r="D1184" s="68" t="str">
        <f t="shared" si="2"/>
        <v/>
      </c>
      <c r="E1184" s="65" t="str">
        <f>IF($B1184="","",VLOOKUP(MONTH(C1184),Parameters!$F$2:$G$13,2,0))</f>
        <v/>
      </c>
      <c r="F1184" s="69" t="str">
        <f>IF($B1184="","",PV-N(J1183))</f>
        <v/>
      </c>
      <c r="G1184" s="69" t="str">
        <f>IF($B1184="","",PMT(Rate,Nper,-PV,,Type))</f>
        <v/>
      </c>
      <c r="H1184" s="69" t="str">
        <f>IF($B1184="","",PPMT(Rate,ROWS($1:1172),Nper,-PV,,Type))</f>
        <v/>
      </c>
      <c r="I1184" s="69" t="str">
        <f>IF($B1184="","",IPMT(Rate,ROWS($1:1172),Nper,-PV,,Type))</f>
        <v/>
      </c>
      <c r="J1184" s="73" t="str">
        <f t="shared" ref="J1184:K1184" si="1174">IF($B1184="","",N(J1183)+N(H1184))</f>
        <v/>
      </c>
      <c r="K1184" s="74" t="str">
        <f t="shared" si="1174"/>
        <v/>
      </c>
      <c r="L1184" s="69" t="str">
        <f>IF($B1184="","",PV-J1184)</f>
        <v/>
      </c>
      <c r="M1184" s="71" t="str">
        <f>IF($B1184="","",J1184/PV)</f>
        <v/>
      </c>
      <c r="N1184" s="72" t="str">
        <f t="shared" si="4"/>
        <v/>
      </c>
    </row>
    <row r="1185" ht="14.25" customHeight="1">
      <c r="B1185" s="66" t="str">
        <f>IF(ROWS($1:1173)&lt;=Nper,ROWS($1:1173),"")</f>
        <v/>
      </c>
      <c r="C1185" s="67" t="str">
        <f>IF($B1185="","",IF($E$7="Weekly",Start_Date+7*(ROWS($1:1173)-1),EDATE(Start_Date,VLOOKUP(IF(ASTemp!$E$7="","Monthly",ASTemp!$E$7),Parameters!$B$3:$D$6,3,0)*(ROWS($1:1173)-1))))</f>
        <v/>
      </c>
      <c r="D1185" s="68" t="str">
        <f t="shared" si="2"/>
        <v/>
      </c>
      <c r="E1185" s="65" t="str">
        <f>IF($B1185="","",VLOOKUP(MONTH(C1185),Parameters!$F$2:$G$13,2,0))</f>
        <v/>
      </c>
      <c r="F1185" s="69" t="str">
        <f>IF($B1185="","",PV-N(J1184))</f>
        <v/>
      </c>
      <c r="G1185" s="69" t="str">
        <f>IF($B1185="","",PMT(Rate,Nper,-PV,,Type))</f>
        <v/>
      </c>
      <c r="H1185" s="69" t="str">
        <f>IF($B1185="","",PPMT(Rate,ROWS($1:1173),Nper,-PV,,Type))</f>
        <v/>
      </c>
      <c r="I1185" s="69" t="str">
        <f>IF($B1185="","",IPMT(Rate,ROWS($1:1173),Nper,-PV,,Type))</f>
        <v/>
      </c>
      <c r="J1185" s="73" t="str">
        <f t="shared" ref="J1185:K1185" si="1175">IF($B1185="","",N(J1184)+N(H1185))</f>
        <v/>
      </c>
      <c r="K1185" s="74" t="str">
        <f t="shared" si="1175"/>
        <v/>
      </c>
      <c r="L1185" s="69" t="str">
        <f>IF($B1185="","",PV-J1185)</f>
        <v/>
      </c>
      <c r="M1185" s="71" t="str">
        <f>IF($B1185="","",J1185/PV)</f>
        <v/>
      </c>
      <c r="N1185" s="72" t="str">
        <f t="shared" si="4"/>
        <v/>
      </c>
    </row>
    <row r="1186" ht="14.25" customHeight="1">
      <c r="B1186" s="66" t="str">
        <f>IF(ROWS($1:1174)&lt;=Nper,ROWS($1:1174),"")</f>
        <v/>
      </c>
      <c r="C1186" s="67" t="str">
        <f>IF($B1186="","",IF($E$7="Weekly",Start_Date+7*(ROWS($1:1174)-1),EDATE(Start_Date,VLOOKUP(IF(ASTemp!$E$7="","Monthly",ASTemp!$E$7),Parameters!$B$3:$D$6,3,0)*(ROWS($1:1174)-1))))</f>
        <v/>
      </c>
      <c r="D1186" s="68" t="str">
        <f t="shared" si="2"/>
        <v/>
      </c>
      <c r="E1186" s="65" t="str">
        <f>IF($B1186="","",VLOOKUP(MONTH(C1186),Parameters!$F$2:$G$13,2,0))</f>
        <v/>
      </c>
      <c r="F1186" s="69" t="str">
        <f>IF($B1186="","",PV-N(J1185))</f>
        <v/>
      </c>
      <c r="G1186" s="69" t="str">
        <f>IF($B1186="","",PMT(Rate,Nper,-PV,,Type))</f>
        <v/>
      </c>
      <c r="H1186" s="69" t="str">
        <f>IF($B1186="","",PPMT(Rate,ROWS($1:1174),Nper,-PV,,Type))</f>
        <v/>
      </c>
      <c r="I1186" s="69" t="str">
        <f>IF($B1186="","",IPMT(Rate,ROWS($1:1174),Nper,-PV,,Type))</f>
        <v/>
      </c>
      <c r="J1186" s="73" t="str">
        <f t="shared" ref="J1186:K1186" si="1176">IF($B1186="","",N(J1185)+N(H1186))</f>
        <v/>
      </c>
      <c r="K1186" s="74" t="str">
        <f t="shared" si="1176"/>
        <v/>
      </c>
      <c r="L1186" s="69" t="str">
        <f>IF($B1186="","",PV-J1186)</f>
        <v/>
      </c>
      <c r="M1186" s="71" t="str">
        <f>IF($B1186="","",J1186/PV)</f>
        <v/>
      </c>
      <c r="N1186" s="72" t="str">
        <f t="shared" si="4"/>
        <v/>
      </c>
    </row>
    <row r="1187" ht="14.25" customHeight="1">
      <c r="B1187" s="66" t="str">
        <f>IF(ROWS($1:1175)&lt;=Nper,ROWS($1:1175),"")</f>
        <v/>
      </c>
      <c r="C1187" s="67" t="str">
        <f>IF($B1187="","",IF($E$7="Weekly",Start_Date+7*(ROWS($1:1175)-1),EDATE(Start_Date,VLOOKUP(IF(ASTemp!$E$7="","Monthly",ASTemp!$E$7),Parameters!$B$3:$D$6,3,0)*(ROWS($1:1175)-1))))</f>
        <v/>
      </c>
      <c r="D1187" s="68" t="str">
        <f t="shared" si="2"/>
        <v/>
      </c>
      <c r="E1187" s="65" t="str">
        <f>IF($B1187="","",VLOOKUP(MONTH(C1187),Parameters!$F$2:$G$13,2,0))</f>
        <v/>
      </c>
      <c r="F1187" s="69" t="str">
        <f>IF($B1187="","",PV-N(J1186))</f>
        <v/>
      </c>
      <c r="G1187" s="69" t="str">
        <f>IF($B1187="","",PMT(Rate,Nper,-PV,,Type))</f>
        <v/>
      </c>
      <c r="H1187" s="69" t="str">
        <f>IF($B1187="","",PPMT(Rate,ROWS($1:1175),Nper,-PV,,Type))</f>
        <v/>
      </c>
      <c r="I1187" s="69" t="str">
        <f>IF($B1187="","",IPMT(Rate,ROWS($1:1175),Nper,-PV,,Type))</f>
        <v/>
      </c>
      <c r="J1187" s="73" t="str">
        <f t="shared" ref="J1187:K1187" si="1177">IF($B1187="","",N(J1186)+N(H1187))</f>
        <v/>
      </c>
      <c r="K1187" s="74" t="str">
        <f t="shared" si="1177"/>
        <v/>
      </c>
      <c r="L1187" s="69" t="str">
        <f>IF($B1187="","",PV-J1187)</f>
        <v/>
      </c>
      <c r="M1187" s="71" t="str">
        <f>IF($B1187="","",J1187/PV)</f>
        <v/>
      </c>
      <c r="N1187" s="72" t="str">
        <f t="shared" si="4"/>
        <v/>
      </c>
    </row>
    <row r="1188" ht="14.25" customHeight="1">
      <c r="B1188" s="66" t="str">
        <f>IF(ROWS($1:1176)&lt;=Nper,ROWS($1:1176),"")</f>
        <v/>
      </c>
      <c r="C1188" s="67" t="str">
        <f>IF($B1188="","",IF($E$7="Weekly",Start_Date+7*(ROWS($1:1176)-1),EDATE(Start_Date,VLOOKUP(IF(ASTemp!$E$7="","Monthly",ASTemp!$E$7),Parameters!$B$3:$D$6,3,0)*(ROWS($1:1176)-1))))</f>
        <v/>
      </c>
      <c r="D1188" s="68" t="str">
        <f t="shared" si="2"/>
        <v/>
      </c>
      <c r="E1188" s="65" t="str">
        <f>IF($B1188="","",VLOOKUP(MONTH(C1188),Parameters!$F$2:$G$13,2,0))</f>
        <v/>
      </c>
      <c r="F1188" s="69" t="str">
        <f>IF($B1188="","",PV-N(J1187))</f>
        <v/>
      </c>
      <c r="G1188" s="69" t="str">
        <f>IF($B1188="","",PMT(Rate,Nper,-PV,,Type))</f>
        <v/>
      </c>
      <c r="H1188" s="69" t="str">
        <f>IF($B1188="","",PPMT(Rate,ROWS($1:1176),Nper,-PV,,Type))</f>
        <v/>
      </c>
      <c r="I1188" s="69" t="str">
        <f>IF($B1188="","",IPMT(Rate,ROWS($1:1176),Nper,-PV,,Type))</f>
        <v/>
      </c>
      <c r="J1188" s="73" t="str">
        <f t="shared" ref="J1188:K1188" si="1178">IF($B1188="","",N(J1187)+N(H1188))</f>
        <v/>
      </c>
      <c r="K1188" s="74" t="str">
        <f t="shared" si="1178"/>
        <v/>
      </c>
      <c r="L1188" s="69" t="str">
        <f>IF($B1188="","",PV-J1188)</f>
        <v/>
      </c>
      <c r="M1188" s="71" t="str">
        <f>IF($B1188="","",J1188/PV)</f>
        <v/>
      </c>
      <c r="N1188" s="72" t="str">
        <f t="shared" si="4"/>
        <v/>
      </c>
    </row>
    <row r="1189" ht="14.25" customHeight="1">
      <c r="B1189" s="66" t="str">
        <f>IF(ROWS($1:1177)&lt;=Nper,ROWS($1:1177),"")</f>
        <v/>
      </c>
      <c r="C1189" s="67" t="str">
        <f>IF($B1189="","",IF($E$7="Weekly",Start_Date+7*(ROWS($1:1177)-1),EDATE(Start_Date,VLOOKUP(IF(ASTemp!$E$7="","Monthly",ASTemp!$E$7),Parameters!$B$3:$D$6,3,0)*(ROWS($1:1177)-1))))</f>
        <v/>
      </c>
      <c r="D1189" s="68" t="str">
        <f t="shared" si="2"/>
        <v/>
      </c>
      <c r="E1189" s="65" t="str">
        <f>IF($B1189="","",VLOOKUP(MONTH(C1189),Parameters!$F$2:$G$13,2,0))</f>
        <v/>
      </c>
      <c r="F1189" s="69" t="str">
        <f>IF($B1189="","",PV-N(J1188))</f>
        <v/>
      </c>
      <c r="G1189" s="69" t="str">
        <f>IF($B1189="","",PMT(Rate,Nper,-PV,,Type))</f>
        <v/>
      </c>
      <c r="H1189" s="69" t="str">
        <f>IF($B1189="","",PPMT(Rate,ROWS($1:1177),Nper,-PV,,Type))</f>
        <v/>
      </c>
      <c r="I1189" s="69" t="str">
        <f>IF($B1189="","",IPMT(Rate,ROWS($1:1177),Nper,-PV,,Type))</f>
        <v/>
      </c>
      <c r="J1189" s="73" t="str">
        <f t="shared" ref="J1189:K1189" si="1179">IF($B1189="","",N(J1188)+N(H1189))</f>
        <v/>
      </c>
      <c r="K1189" s="74" t="str">
        <f t="shared" si="1179"/>
        <v/>
      </c>
      <c r="L1189" s="69" t="str">
        <f>IF($B1189="","",PV-J1189)</f>
        <v/>
      </c>
      <c r="M1189" s="71" t="str">
        <f>IF($B1189="","",J1189/PV)</f>
        <v/>
      </c>
      <c r="N1189" s="72" t="str">
        <f t="shared" si="4"/>
        <v/>
      </c>
    </row>
    <row r="1190" ht="14.25" customHeight="1">
      <c r="B1190" s="66" t="str">
        <f>IF(ROWS($1:1178)&lt;=Nper,ROWS($1:1178),"")</f>
        <v/>
      </c>
      <c r="C1190" s="67" t="str">
        <f>IF($B1190="","",IF($E$7="Weekly",Start_Date+7*(ROWS($1:1178)-1),EDATE(Start_Date,VLOOKUP(IF(ASTemp!$E$7="","Monthly",ASTemp!$E$7),Parameters!$B$3:$D$6,3,0)*(ROWS($1:1178)-1))))</f>
        <v/>
      </c>
      <c r="D1190" s="68" t="str">
        <f t="shared" si="2"/>
        <v/>
      </c>
      <c r="E1190" s="65" t="str">
        <f>IF($B1190="","",VLOOKUP(MONTH(C1190),Parameters!$F$2:$G$13,2,0))</f>
        <v/>
      </c>
      <c r="F1190" s="69" t="str">
        <f>IF($B1190="","",PV-N(J1189))</f>
        <v/>
      </c>
      <c r="G1190" s="69" t="str">
        <f>IF($B1190="","",PMT(Rate,Nper,-PV,,Type))</f>
        <v/>
      </c>
      <c r="H1190" s="69" t="str">
        <f>IF($B1190="","",PPMT(Rate,ROWS($1:1178),Nper,-PV,,Type))</f>
        <v/>
      </c>
      <c r="I1190" s="69" t="str">
        <f>IF($B1190="","",IPMT(Rate,ROWS($1:1178),Nper,-PV,,Type))</f>
        <v/>
      </c>
      <c r="J1190" s="73" t="str">
        <f t="shared" ref="J1190:K1190" si="1180">IF($B1190="","",N(J1189)+N(H1190))</f>
        <v/>
      </c>
      <c r="K1190" s="74" t="str">
        <f t="shared" si="1180"/>
        <v/>
      </c>
      <c r="L1190" s="69" t="str">
        <f>IF($B1190="","",PV-J1190)</f>
        <v/>
      </c>
      <c r="M1190" s="71" t="str">
        <f>IF($B1190="","",J1190/PV)</f>
        <v/>
      </c>
      <c r="N1190" s="72" t="str">
        <f t="shared" si="4"/>
        <v/>
      </c>
    </row>
    <row r="1191" ht="14.25" customHeight="1">
      <c r="B1191" s="66" t="str">
        <f>IF(ROWS($1:1179)&lt;=Nper,ROWS($1:1179),"")</f>
        <v/>
      </c>
      <c r="C1191" s="67" t="str">
        <f>IF($B1191="","",IF($E$7="Weekly",Start_Date+7*(ROWS($1:1179)-1),EDATE(Start_Date,VLOOKUP(IF(ASTemp!$E$7="","Monthly",ASTemp!$E$7),Parameters!$B$3:$D$6,3,0)*(ROWS($1:1179)-1))))</f>
        <v/>
      </c>
      <c r="D1191" s="68" t="str">
        <f t="shared" si="2"/>
        <v/>
      </c>
      <c r="E1191" s="65" t="str">
        <f>IF($B1191="","",VLOOKUP(MONTH(C1191),Parameters!$F$2:$G$13,2,0))</f>
        <v/>
      </c>
      <c r="F1191" s="69" t="str">
        <f>IF($B1191="","",PV-N(J1190))</f>
        <v/>
      </c>
      <c r="G1191" s="69" t="str">
        <f>IF($B1191="","",PMT(Rate,Nper,-PV,,Type))</f>
        <v/>
      </c>
      <c r="H1191" s="69" t="str">
        <f>IF($B1191="","",PPMT(Rate,ROWS($1:1179),Nper,-PV,,Type))</f>
        <v/>
      </c>
      <c r="I1191" s="69" t="str">
        <f>IF($B1191="","",IPMT(Rate,ROWS($1:1179),Nper,-PV,,Type))</f>
        <v/>
      </c>
      <c r="J1191" s="73" t="str">
        <f t="shared" ref="J1191:K1191" si="1181">IF($B1191="","",N(J1190)+N(H1191))</f>
        <v/>
      </c>
      <c r="K1191" s="74" t="str">
        <f t="shared" si="1181"/>
        <v/>
      </c>
      <c r="L1191" s="69" t="str">
        <f>IF($B1191="","",PV-J1191)</f>
        <v/>
      </c>
      <c r="M1191" s="71" t="str">
        <f>IF($B1191="","",J1191/PV)</f>
        <v/>
      </c>
      <c r="N1191" s="72" t="str">
        <f t="shared" si="4"/>
        <v/>
      </c>
    </row>
    <row r="1192" ht="14.25" customHeight="1">
      <c r="B1192" s="66" t="str">
        <f>IF(ROWS($1:1180)&lt;=Nper,ROWS($1:1180),"")</f>
        <v/>
      </c>
      <c r="C1192" s="67" t="str">
        <f>IF($B1192="","",IF($E$7="Weekly",Start_Date+7*(ROWS($1:1180)-1),EDATE(Start_Date,VLOOKUP(IF(ASTemp!$E$7="","Monthly",ASTemp!$E$7),Parameters!$B$3:$D$6,3,0)*(ROWS($1:1180)-1))))</f>
        <v/>
      </c>
      <c r="D1192" s="68" t="str">
        <f t="shared" si="2"/>
        <v/>
      </c>
      <c r="E1192" s="65" t="str">
        <f>IF($B1192="","",VLOOKUP(MONTH(C1192),Parameters!$F$2:$G$13,2,0))</f>
        <v/>
      </c>
      <c r="F1192" s="69" t="str">
        <f>IF($B1192="","",PV-N(J1191))</f>
        <v/>
      </c>
      <c r="G1192" s="69" t="str">
        <f>IF($B1192="","",PMT(Rate,Nper,-PV,,Type))</f>
        <v/>
      </c>
      <c r="H1192" s="69" t="str">
        <f>IF($B1192="","",PPMT(Rate,ROWS($1:1180),Nper,-PV,,Type))</f>
        <v/>
      </c>
      <c r="I1192" s="69" t="str">
        <f>IF($B1192="","",IPMT(Rate,ROWS($1:1180),Nper,-PV,,Type))</f>
        <v/>
      </c>
      <c r="J1192" s="73" t="str">
        <f t="shared" ref="J1192:K1192" si="1182">IF($B1192="","",N(J1191)+N(H1192))</f>
        <v/>
      </c>
      <c r="K1192" s="74" t="str">
        <f t="shared" si="1182"/>
        <v/>
      </c>
      <c r="L1192" s="69" t="str">
        <f>IF($B1192="","",PV-J1192)</f>
        <v/>
      </c>
      <c r="M1192" s="71" t="str">
        <f>IF($B1192="","",J1192/PV)</f>
        <v/>
      </c>
      <c r="N1192" s="72" t="str">
        <f t="shared" si="4"/>
        <v/>
      </c>
    </row>
    <row r="1193" ht="14.25" customHeight="1">
      <c r="B1193" s="66" t="str">
        <f>IF(ROWS($1:1181)&lt;=Nper,ROWS($1:1181),"")</f>
        <v/>
      </c>
      <c r="C1193" s="67" t="str">
        <f>IF($B1193="","",IF($E$7="Weekly",Start_Date+7*(ROWS($1:1181)-1),EDATE(Start_Date,VLOOKUP(IF(ASTemp!$E$7="","Monthly",ASTemp!$E$7),Parameters!$B$3:$D$6,3,0)*(ROWS($1:1181)-1))))</f>
        <v/>
      </c>
      <c r="D1193" s="68" t="str">
        <f t="shared" si="2"/>
        <v/>
      </c>
      <c r="E1193" s="65" t="str">
        <f>IF($B1193="","",VLOOKUP(MONTH(C1193),Parameters!$F$2:$G$13,2,0))</f>
        <v/>
      </c>
      <c r="F1193" s="69" t="str">
        <f>IF($B1193="","",PV-N(J1192))</f>
        <v/>
      </c>
      <c r="G1193" s="69" t="str">
        <f>IF($B1193="","",PMT(Rate,Nper,-PV,,Type))</f>
        <v/>
      </c>
      <c r="H1193" s="69" t="str">
        <f>IF($B1193="","",PPMT(Rate,ROWS($1:1181),Nper,-PV,,Type))</f>
        <v/>
      </c>
      <c r="I1193" s="69" t="str">
        <f>IF($B1193="","",IPMT(Rate,ROWS($1:1181),Nper,-PV,,Type))</f>
        <v/>
      </c>
      <c r="J1193" s="73" t="str">
        <f t="shared" ref="J1193:K1193" si="1183">IF($B1193="","",N(J1192)+N(H1193))</f>
        <v/>
      </c>
      <c r="K1193" s="74" t="str">
        <f t="shared" si="1183"/>
        <v/>
      </c>
      <c r="L1193" s="69" t="str">
        <f>IF($B1193="","",PV-J1193)</f>
        <v/>
      </c>
      <c r="M1193" s="71" t="str">
        <f>IF($B1193="","",J1193/PV)</f>
        <v/>
      </c>
      <c r="N1193" s="72" t="str">
        <f t="shared" si="4"/>
        <v/>
      </c>
    </row>
    <row r="1194" ht="14.25" customHeight="1">
      <c r="B1194" s="66" t="str">
        <f>IF(ROWS($1:1182)&lt;=Nper,ROWS($1:1182),"")</f>
        <v/>
      </c>
      <c r="C1194" s="67" t="str">
        <f>IF($B1194="","",IF($E$7="Weekly",Start_Date+7*(ROWS($1:1182)-1),EDATE(Start_Date,VLOOKUP(IF(ASTemp!$E$7="","Monthly",ASTemp!$E$7),Parameters!$B$3:$D$6,3,0)*(ROWS($1:1182)-1))))</f>
        <v/>
      </c>
      <c r="D1194" s="68" t="str">
        <f t="shared" si="2"/>
        <v/>
      </c>
      <c r="E1194" s="65" t="str">
        <f>IF($B1194="","",VLOOKUP(MONTH(C1194),Parameters!$F$2:$G$13,2,0))</f>
        <v/>
      </c>
      <c r="F1194" s="69" t="str">
        <f>IF($B1194="","",PV-N(J1193))</f>
        <v/>
      </c>
      <c r="G1194" s="69" t="str">
        <f>IF($B1194="","",PMT(Rate,Nper,-PV,,Type))</f>
        <v/>
      </c>
      <c r="H1194" s="69" t="str">
        <f>IF($B1194="","",PPMT(Rate,ROWS($1:1182),Nper,-PV,,Type))</f>
        <v/>
      </c>
      <c r="I1194" s="69" t="str">
        <f>IF($B1194="","",IPMT(Rate,ROWS($1:1182),Nper,-PV,,Type))</f>
        <v/>
      </c>
      <c r="J1194" s="73" t="str">
        <f t="shared" ref="J1194:K1194" si="1184">IF($B1194="","",N(J1193)+N(H1194))</f>
        <v/>
      </c>
      <c r="K1194" s="74" t="str">
        <f t="shared" si="1184"/>
        <v/>
      </c>
      <c r="L1194" s="69" t="str">
        <f>IF($B1194="","",PV-J1194)</f>
        <v/>
      </c>
      <c r="M1194" s="71" t="str">
        <f>IF($B1194="","",J1194/PV)</f>
        <v/>
      </c>
      <c r="N1194" s="72" t="str">
        <f t="shared" si="4"/>
        <v/>
      </c>
    </row>
    <row r="1195" ht="14.25" customHeight="1">
      <c r="B1195" s="66" t="str">
        <f>IF(ROWS($1:1183)&lt;=Nper,ROWS($1:1183),"")</f>
        <v/>
      </c>
      <c r="C1195" s="67" t="str">
        <f>IF($B1195="","",IF($E$7="Weekly",Start_Date+7*(ROWS($1:1183)-1),EDATE(Start_Date,VLOOKUP(IF(ASTemp!$E$7="","Monthly",ASTemp!$E$7),Parameters!$B$3:$D$6,3,0)*(ROWS($1:1183)-1))))</f>
        <v/>
      </c>
      <c r="D1195" s="68" t="str">
        <f t="shared" si="2"/>
        <v/>
      </c>
      <c r="E1195" s="65" t="str">
        <f>IF($B1195="","",VLOOKUP(MONTH(C1195),Parameters!$F$2:$G$13,2,0))</f>
        <v/>
      </c>
      <c r="F1195" s="69" t="str">
        <f>IF($B1195="","",PV-N(J1194))</f>
        <v/>
      </c>
      <c r="G1195" s="69" t="str">
        <f>IF($B1195="","",PMT(Rate,Nper,-PV,,Type))</f>
        <v/>
      </c>
      <c r="H1195" s="69" t="str">
        <f>IF($B1195="","",PPMT(Rate,ROWS($1:1183),Nper,-PV,,Type))</f>
        <v/>
      </c>
      <c r="I1195" s="69" t="str">
        <f>IF($B1195="","",IPMT(Rate,ROWS($1:1183),Nper,-PV,,Type))</f>
        <v/>
      </c>
      <c r="J1195" s="73" t="str">
        <f t="shared" ref="J1195:K1195" si="1185">IF($B1195="","",N(J1194)+N(H1195))</f>
        <v/>
      </c>
      <c r="K1195" s="74" t="str">
        <f t="shared" si="1185"/>
        <v/>
      </c>
      <c r="L1195" s="69" t="str">
        <f>IF($B1195="","",PV-J1195)</f>
        <v/>
      </c>
      <c r="M1195" s="71" t="str">
        <f>IF($B1195="","",J1195/PV)</f>
        <v/>
      </c>
      <c r="N1195" s="72" t="str">
        <f t="shared" si="4"/>
        <v/>
      </c>
    </row>
    <row r="1196" ht="14.25" customHeight="1">
      <c r="B1196" s="66" t="str">
        <f>IF(ROWS($1:1184)&lt;=Nper,ROWS($1:1184),"")</f>
        <v/>
      </c>
      <c r="C1196" s="67" t="str">
        <f>IF($B1196="","",IF($E$7="Weekly",Start_Date+7*(ROWS($1:1184)-1),EDATE(Start_Date,VLOOKUP(IF(ASTemp!$E$7="","Monthly",ASTemp!$E$7),Parameters!$B$3:$D$6,3,0)*(ROWS($1:1184)-1))))</f>
        <v/>
      </c>
      <c r="D1196" s="68" t="str">
        <f t="shared" si="2"/>
        <v/>
      </c>
      <c r="E1196" s="65" t="str">
        <f>IF($B1196="","",VLOOKUP(MONTH(C1196),Parameters!$F$2:$G$13,2,0))</f>
        <v/>
      </c>
      <c r="F1196" s="69" t="str">
        <f>IF($B1196="","",PV-N(J1195))</f>
        <v/>
      </c>
      <c r="G1196" s="69" t="str">
        <f>IF($B1196="","",PMT(Rate,Nper,-PV,,Type))</f>
        <v/>
      </c>
      <c r="H1196" s="69" t="str">
        <f>IF($B1196="","",PPMT(Rate,ROWS($1:1184),Nper,-PV,,Type))</f>
        <v/>
      </c>
      <c r="I1196" s="69" t="str">
        <f>IF($B1196="","",IPMT(Rate,ROWS($1:1184),Nper,-PV,,Type))</f>
        <v/>
      </c>
      <c r="J1196" s="73" t="str">
        <f t="shared" ref="J1196:K1196" si="1186">IF($B1196="","",N(J1195)+N(H1196))</f>
        <v/>
      </c>
      <c r="K1196" s="74" t="str">
        <f t="shared" si="1186"/>
        <v/>
      </c>
      <c r="L1196" s="69" t="str">
        <f>IF($B1196="","",PV-J1196)</f>
        <v/>
      </c>
      <c r="M1196" s="71" t="str">
        <f>IF($B1196="","",J1196/PV)</f>
        <v/>
      </c>
      <c r="N1196" s="72" t="str">
        <f t="shared" si="4"/>
        <v/>
      </c>
    </row>
    <row r="1197" ht="14.25" customHeight="1">
      <c r="B1197" s="66" t="str">
        <f>IF(ROWS($1:1185)&lt;=Nper,ROWS($1:1185),"")</f>
        <v/>
      </c>
      <c r="C1197" s="67" t="str">
        <f>IF($B1197="","",IF($E$7="Weekly",Start_Date+7*(ROWS($1:1185)-1),EDATE(Start_Date,VLOOKUP(IF(ASTemp!$E$7="","Monthly",ASTemp!$E$7),Parameters!$B$3:$D$6,3,0)*(ROWS($1:1185)-1))))</f>
        <v/>
      </c>
      <c r="D1197" s="68" t="str">
        <f t="shared" si="2"/>
        <v/>
      </c>
      <c r="E1197" s="65" t="str">
        <f>IF($B1197="","",VLOOKUP(MONTH(C1197),Parameters!$F$2:$G$13,2,0))</f>
        <v/>
      </c>
      <c r="F1197" s="69" t="str">
        <f>IF($B1197="","",PV-N(J1196))</f>
        <v/>
      </c>
      <c r="G1197" s="69" t="str">
        <f>IF($B1197="","",PMT(Rate,Nper,-PV,,Type))</f>
        <v/>
      </c>
      <c r="H1197" s="69" t="str">
        <f>IF($B1197="","",PPMT(Rate,ROWS($1:1185),Nper,-PV,,Type))</f>
        <v/>
      </c>
      <c r="I1197" s="69" t="str">
        <f>IF($B1197="","",IPMT(Rate,ROWS($1:1185),Nper,-PV,,Type))</f>
        <v/>
      </c>
      <c r="J1197" s="73" t="str">
        <f t="shared" ref="J1197:K1197" si="1187">IF($B1197="","",N(J1196)+N(H1197))</f>
        <v/>
      </c>
      <c r="K1197" s="74" t="str">
        <f t="shared" si="1187"/>
        <v/>
      </c>
      <c r="L1197" s="69" t="str">
        <f>IF($B1197="","",PV-J1197)</f>
        <v/>
      </c>
      <c r="M1197" s="71" t="str">
        <f>IF($B1197="","",J1197/PV)</f>
        <v/>
      </c>
      <c r="N1197" s="72" t="str">
        <f t="shared" si="4"/>
        <v/>
      </c>
    </row>
    <row r="1198" ht="14.25" customHeight="1">
      <c r="B1198" s="66" t="str">
        <f>IF(ROWS($1:1186)&lt;=Nper,ROWS($1:1186),"")</f>
        <v/>
      </c>
      <c r="C1198" s="67" t="str">
        <f>IF($B1198="","",IF($E$7="Weekly",Start_Date+7*(ROWS($1:1186)-1),EDATE(Start_Date,VLOOKUP(IF(ASTemp!$E$7="","Monthly",ASTemp!$E$7),Parameters!$B$3:$D$6,3,0)*(ROWS($1:1186)-1))))</f>
        <v/>
      </c>
      <c r="D1198" s="68" t="str">
        <f t="shared" si="2"/>
        <v/>
      </c>
      <c r="E1198" s="65" t="str">
        <f>IF($B1198="","",VLOOKUP(MONTH(C1198),Parameters!$F$2:$G$13,2,0))</f>
        <v/>
      </c>
      <c r="F1198" s="69" t="str">
        <f>IF($B1198="","",PV-N(J1197))</f>
        <v/>
      </c>
      <c r="G1198" s="69" t="str">
        <f>IF($B1198="","",PMT(Rate,Nper,-PV,,Type))</f>
        <v/>
      </c>
      <c r="H1198" s="69" t="str">
        <f>IF($B1198="","",PPMT(Rate,ROWS($1:1186),Nper,-PV,,Type))</f>
        <v/>
      </c>
      <c r="I1198" s="69" t="str">
        <f>IF($B1198="","",IPMT(Rate,ROWS($1:1186),Nper,-PV,,Type))</f>
        <v/>
      </c>
      <c r="J1198" s="73" t="str">
        <f t="shared" ref="J1198:K1198" si="1188">IF($B1198="","",N(J1197)+N(H1198))</f>
        <v/>
      </c>
      <c r="K1198" s="74" t="str">
        <f t="shared" si="1188"/>
        <v/>
      </c>
      <c r="L1198" s="69" t="str">
        <f>IF($B1198="","",PV-J1198)</f>
        <v/>
      </c>
      <c r="M1198" s="71" t="str">
        <f>IF($B1198="","",J1198/PV)</f>
        <v/>
      </c>
      <c r="N1198" s="72" t="str">
        <f t="shared" si="4"/>
        <v/>
      </c>
    </row>
    <row r="1199" ht="14.25" customHeight="1">
      <c r="B1199" s="66" t="str">
        <f>IF(ROWS($1:1187)&lt;=Nper,ROWS($1:1187),"")</f>
        <v/>
      </c>
      <c r="C1199" s="67" t="str">
        <f>IF($B1199="","",IF($E$7="Weekly",Start_Date+7*(ROWS($1:1187)-1),EDATE(Start_Date,VLOOKUP(IF(ASTemp!$E$7="","Monthly",ASTemp!$E$7),Parameters!$B$3:$D$6,3,0)*(ROWS($1:1187)-1))))</f>
        <v/>
      </c>
      <c r="D1199" s="68" t="str">
        <f t="shared" si="2"/>
        <v/>
      </c>
      <c r="E1199" s="65" t="str">
        <f>IF($B1199="","",VLOOKUP(MONTH(C1199),Parameters!$F$2:$G$13,2,0))</f>
        <v/>
      </c>
      <c r="F1199" s="69" t="str">
        <f>IF($B1199="","",PV-N(J1198))</f>
        <v/>
      </c>
      <c r="G1199" s="69" t="str">
        <f>IF($B1199="","",PMT(Rate,Nper,-PV,,Type))</f>
        <v/>
      </c>
      <c r="H1199" s="69" t="str">
        <f>IF($B1199="","",PPMT(Rate,ROWS($1:1187),Nper,-PV,,Type))</f>
        <v/>
      </c>
      <c r="I1199" s="69" t="str">
        <f>IF($B1199="","",IPMT(Rate,ROWS($1:1187),Nper,-PV,,Type))</f>
        <v/>
      </c>
      <c r="J1199" s="73" t="str">
        <f t="shared" ref="J1199:K1199" si="1189">IF($B1199="","",N(J1198)+N(H1199))</f>
        <v/>
      </c>
      <c r="K1199" s="74" t="str">
        <f t="shared" si="1189"/>
        <v/>
      </c>
      <c r="L1199" s="69" t="str">
        <f>IF($B1199="","",PV-J1199)</f>
        <v/>
      </c>
      <c r="M1199" s="71" t="str">
        <f>IF($B1199="","",J1199/PV)</f>
        <v/>
      </c>
      <c r="N1199" s="72" t="str">
        <f t="shared" si="4"/>
        <v/>
      </c>
    </row>
    <row r="1200" ht="14.25" customHeight="1">
      <c r="B1200" s="66" t="str">
        <f>IF(ROWS($1:1188)&lt;=Nper,ROWS($1:1188),"")</f>
        <v/>
      </c>
      <c r="C1200" s="67" t="str">
        <f>IF($B1200="","",IF($E$7="Weekly",Start_Date+7*(ROWS($1:1188)-1),EDATE(Start_Date,VLOOKUP(IF(ASTemp!$E$7="","Monthly",ASTemp!$E$7),Parameters!$B$3:$D$6,3,0)*(ROWS($1:1188)-1))))</f>
        <v/>
      </c>
      <c r="D1200" s="68" t="str">
        <f t="shared" si="2"/>
        <v/>
      </c>
      <c r="E1200" s="65" t="str">
        <f>IF($B1200="","",VLOOKUP(MONTH(C1200),Parameters!$F$2:$G$13,2,0))</f>
        <v/>
      </c>
      <c r="F1200" s="69" t="str">
        <f>IF($B1200="","",PV-N(J1199))</f>
        <v/>
      </c>
      <c r="G1200" s="69" t="str">
        <f>IF($B1200="","",PMT(Rate,Nper,-PV,,Type))</f>
        <v/>
      </c>
      <c r="H1200" s="69" t="str">
        <f>IF($B1200="","",PPMT(Rate,ROWS($1:1188),Nper,-PV,,Type))</f>
        <v/>
      </c>
      <c r="I1200" s="69" t="str">
        <f>IF($B1200="","",IPMT(Rate,ROWS($1:1188),Nper,-PV,,Type))</f>
        <v/>
      </c>
      <c r="J1200" s="73" t="str">
        <f t="shared" ref="J1200:K1200" si="1190">IF($B1200="","",N(J1199)+N(H1200))</f>
        <v/>
      </c>
      <c r="K1200" s="74" t="str">
        <f t="shared" si="1190"/>
        <v/>
      </c>
      <c r="L1200" s="69" t="str">
        <f>IF($B1200="","",PV-J1200)</f>
        <v/>
      </c>
      <c r="M1200" s="71" t="str">
        <f>IF($B1200="","",J1200/PV)</f>
        <v/>
      </c>
      <c r="N1200" s="72" t="str">
        <f t="shared" si="4"/>
        <v/>
      </c>
    </row>
    <row r="1201" ht="14.25" customHeight="1">
      <c r="B1201" s="66" t="str">
        <f>IF(ROWS($1:1189)&lt;=Nper,ROWS($1:1189),"")</f>
        <v/>
      </c>
      <c r="C1201" s="67" t="str">
        <f>IF($B1201="","",IF($E$7="Weekly",Start_Date+7*(ROWS($1:1189)-1),EDATE(Start_Date,VLOOKUP(IF(ASTemp!$E$7="","Monthly",ASTemp!$E$7),Parameters!$B$3:$D$6,3,0)*(ROWS($1:1189)-1))))</f>
        <v/>
      </c>
      <c r="D1201" s="68" t="str">
        <f t="shared" si="2"/>
        <v/>
      </c>
      <c r="E1201" s="65" t="str">
        <f>IF($B1201="","",VLOOKUP(MONTH(C1201),Parameters!$F$2:$G$13,2,0))</f>
        <v/>
      </c>
      <c r="F1201" s="69" t="str">
        <f>IF($B1201="","",PV-N(J1200))</f>
        <v/>
      </c>
      <c r="G1201" s="69" t="str">
        <f>IF($B1201="","",PMT(Rate,Nper,-PV,,Type))</f>
        <v/>
      </c>
      <c r="H1201" s="69" t="str">
        <f>IF($B1201="","",PPMT(Rate,ROWS($1:1189),Nper,-PV,,Type))</f>
        <v/>
      </c>
      <c r="I1201" s="69" t="str">
        <f>IF($B1201="","",IPMT(Rate,ROWS($1:1189),Nper,-PV,,Type))</f>
        <v/>
      </c>
      <c r="J1201" s="73" t="str">
        <f t="shared" ref="J1201:K1201" si="1191">IF($B1201="","",N(J1200)+N(H1201))</f>
        <v/>
      </c>
      <c r="K1201" s="74" t="str">
        <f t="shared" si="1191"/>
        <v/>
      </c>
      <c r="L1201" s="69" t="str">
        <f>IF($B1201="","",PV-J1201)</f>
        <v/>
      </c>
      <c r="M1201" s="71" t="str">
        <f>IF($B1201="","",J1201/PV)</f>
        <v/>
      </c>
      <c r="N1201" s="72" t="str">
        <f t="shared" si="4"/>
        <v/>
      </c>
    </row>
    <row r="1202" ht="14.25" customHeight="1">
      <c r="B1202" s="66" t="str">
        <f>IF(ROWS($1:1190)&lt;=Nper,ROWS($1:1190),"")</f>
        <v/>
      </c>
      <c r="C1202" s="67" t="str">
        <f>IF($B1202="","",IF($E$7="Weekly",Start_Date+7*(ROWS($1:1190)-1),EDATE(Start_Date,VLOOKUP(IF(ASTemp!$E$7="","Monthly",ASTemp!$E$7),Parameters!$B$3:$D$6,3,0)*(ROWS($1:1190)-1))))</f>
        <v/>
      </c>
      <c r="D1202" s="68" t="str">
        <f t="shared" si="2"/>
        <v/>
      </c>
      <c r="E1202" s="65" t="str">
        <f>IF($B1202="","",VLOOKUP(MONTH(C1202),Parameters!$F$2:$G$13,2,0))</f>
        <v/>
      </c>
      <c r="F1202" s="69" t="str">
        <f>IF($B1202="","",PV-N(J1201))</f>
        <v/>
      </c>
      <c r="G1202" s="69" t="str">
        <f>IF($B1202="","",PMT(Rate,Nper,-PV,,Type))</f>
        <v/>
      </c>
      <c r="H1202" s="69" t="str">
        <f>IF($B1202="","",PPMT(Rate,ROWS($1:1190),Nper,-PV,,Type))</f>
        <v/>
      </c>
      <c r="I1202" s="69" t="str">
        <f>IF($B1202="","",IPMT(Rate,ROWS($1:1190),Nper,-PV,,Type))</f>
        <v/>
      </c>
      <c r="J1202" s="73" t="str">
        <f t="shared" ref="J1202:K1202" si="1192">IF($B1202="","",N(J1201)+N(H1202))</f>
        <v/>
      </c>
      <c r="K1202" s="74" t="str">
        <f t="shared" si="1192"/>
        <v/>
      </c>
      <c r="L1202" s="69" t="str">
        <f>IF($B1202="","",PV-J1202)</f>
        <v/>
      </c>
      <c r="M1202" s="71" t="str">
        <f>IF($B1202="","",J1202/PV)</f>
        <v/>
      </c>
      <c r="N1202" s="72" t="str">
        <f t="shared" si="4"/>
        <v/>
      </c>
    </row>
    <row r="1203" ht="14.25" customHeight="1">
      <c r="B1203" s="66" t="str">
        <f>IF(ROWS($1:1191)&lt;=Nper,ROWS($1:1191),"")</f>
        <v/>
      </c>
      <c r="C1203" s="67" t="str">
        <f>IF($B1203="","",IF($E$7="Weekly",Start_Date+7*(ROWS($1:1191)-1),EDATE(Start_Date,VLOOKUP(IF(ASTemp!$E$7="","Monthly",ASTemp!$E$7),Parameters!$B$3:$D$6,3,0)*(ROWS($1:1191)-1))))</f>
        <v/>
      </c>
      <c r="D1203" s="68" t="str">
        <f t="shared" si="2"/>
        <v/>
      </c>
      <c r="E1203" s="65" t="str">
        <f>IF($B1203="","",VLOOKUP(MONTH(C1203),Parameters!$F$2:$G$13,2,0))</f>
        <v/>
      </c>
      <c r="F1203" s="69" t="str">
        <f>IF($B1203="","",PV-N(J1202))</f>
        <v/>
      </c>
      <c r="G1203" s="69" t="str">
        <f>IF($B1203="","",PMT(Rate,Nper,-PV,,Type))</f>
        <v/>
      </c>
      <c r="H1203" s="69" t="str">
        <f>IF($B1203="","",PPMT(Rate,ROWS($1:1191),Nper,-PV,,Type))</f>
        <v/>
      </c>
      <c r="I1203" s="69" t="str">
        <f>IF($B1203="","",IPMT(Rate,ROWS($1:1191),Nper,-PV,,Type))</f>
        <v/>
      </c>
      <c r="J1203" s="73" t="str">
        <f t="shared" ref="J1203:K1203" si="1193">IF($B1203="","",N(J1202)+N(H1203))</f>
        <v/>
      </c>
      <c r="K1203" s="74" t="str">
        <f t="shared" si="1193"/>
        <v/>
      </c>
      <c r="L1203" s="69" t="str">
        <f>IF($B1203="","",PV-J1203)</f>
        <v/>
      </c>
      <c r="M1203" s="71" t="str">
        <f>IF($B1203="","",J1203/PV)</f>
        <v/>
      </c>
      <c r="N1203" s="72" t="str">
        <f t="shared" si="4"/>
        <v/>
      </c>
    </row>
    <row r="1204" ht="14.25" customHeight="1">
      <c r="B1204" s="66" t="str">
        <f>IF(ROWS($1:1192)&lt;=Nper,ROWS($1:1192),"")</f>
        <v/>
      </c>
      <c r="C1204" s="67" t="str">
        <f>IF($B1204="","",IF($E$7="Weekly",Start_Date+7*(ROWS($1:1192)-1),EDATE(Start_Date,VLOOKUP(IF(ASTemp!$E$7="","Monthly",ASTemp!$E$7),Parameters!$B$3:$D$6,3,0)*(ROWS($1:1192)-1))))</f>
        <v/>
      </c>
      <c r="D1204" s="68" t="str">
        <f t="shared" si="2"/>
        <v/>
      </c>
      <c r="E1204" s="65" t="str">
        <f>IF($B1204="","",VLOOKUP(MONTH(C1204),Parameters!$F$2:$G$13,2,0))</f>
        <v/>
      </c>
      <c r="F1204" s="69" t="str">
        <f>IF($B1204="","",PV-N(J1203))</f>
        <v/>
      </c>
      <c r="G1204" s="69" t="str">
        <f>IF($B1204="","",PMT(Rate,Nper,-PV,,Type))</f>
        <v/>
      </c>
      <c r="H1204" s="69" t="str">
        <f>IF($B1204="","",PPMT(Rate,ROWS($1:1192),Nper,-PV,,Type))</f>
        <v/>
      </c>
      <c r="I1204" s="69" t="str">
        <f>IF($B1204="","",IPMT(Rate,ROWS($1:1192),Nper,-PV,,Type))</f>
        <v/>
      </c>
      <c r="J1204" s="73" t="str">
        <f t="shared" ref="J1204:K1204" si="1194">IF($B1204="","",N(J1203)+N(H1204))</f>
        <v/>
      </c>
      <c r="K1204" s="74" t="str">
        <f t="shared" si="1194"/>
        <v/>
      </c>
      <c r="L1204" s="69" t="str">
        <f>IF($B1204="","",PV-J1204)</f>
        <v/>
      </c>
      <c r="M1204" s="71" t="str">
        <f>IF($B1204="","",J1204/PV)</f>
        <v/>
      </c>
      <c r="N1204" s="72" t="str">
        <f t="shared" si="4"/>
        <v/>
      </c>
    </row>
    <row r="1205" ht="14.25" customHeight="1">
      <c r="B1205" s="66" t="str">
        <f>IF(ROWS($1:1193)&lt;=Nper,ROWS($1:1193),"")</f>
        <v/>
      </c>
      <c r="C1205" s="67" t="str">
        <f>IF($B1205="","",IF($E$7="Weekly",Start_Date+7*(ROWS($1:1193)-1),EDATE(Start_Date,VLOOKUP(IF(ASTemp!$E$7="","Monthly",ASTemp!$E$7),Parameters!$B$3:$D$6,3,0)*(ROWS($1:1193)-1))))</f>
        <v/>
      </c>
      <c r="D1205" s="68" t="str">
        <f t="shared" si="2"/>
        <v/>
      </c>
      <c r="E1205" s="65" t="str">
        <f>IF($B1205="","",VLOOKUP(MONTH(C1205),Parameters!$F$2:$G$13,2,0))</f>
        <v/>
      </c>
      <c r="F1205" s="69" t="str">
        <f>IF($B1205="","",PV-N(J1204))</f>
        <v/>
      </c>
      <c r="G1205" s="69" t="str">
        <f>IF($B1205="","",PMT(Rate,Nper,-PV,,Type))</f>
        <v/>
      </c>
      <c r="H1205" s="69" t="str">
        <f>IF($B1205="","",PPMT(Rate,ROWS($1:1193),Nper,-PV,,Type))</f>
        <v/>
      </c>
      <c r="I1205" s="69" t="str">
        <f>IF($B1205="","",IPMT(Rate,ROWS($1:1193),Nper,-PV,,Type))</f>
        <v/>
      </c>
      <c r="J1205" s="73" t="str">
        <f t="shared" ref="J1205:K1205" si="1195">IF($B1205="","",N(J1204)+N(H1205))</f>
        <v/>
      </c>
      <c r="K1205" s="74" t="str">
        <f t="shared" si="1195"/>
        <v/>
      </c>
      <c r="L1205" s="69" t="str">
        <f>IF($B1205="","",PV-J1205)</f>
        <v/>
      </c>
      <c r="M1205" s="71" t="str">
        <f>IF($B1205="","",J1205/PV)</f>
        <v/>
      </c>
      <c r="N1205" s="72" t="str">
        <f t="shared" si="4"/>
        <v/>
      </c>
    </row>
    <row r="1206" ht="14.25" customHeight="1">
      <c r="B1206" s="66" t="str">
        <f>IF(ROWS($1:1194)&lt;=Nper,ROWS($1:1194),"")</f>
        <v/>
      </c>
      <c r="C1206" s="67" t="str">
        <f>IF($B1206="","",IF($E$7="Weekly",Start_Date+7*(ROWS($1:1194)-1),EDATE(Start_Date,VLOOKUP(IF(ASTemp!$E$7="","Monthly",ASTemp!$E$7),Parameters!$B$3:$D$6,3,0)*(ROWS($1:1194)-1))))</f>
        <v/>
      </c>
      <c r="D1206" s="68" t="str">
        <f t="shared" si="2"/>
        <v/>
      </c>
      <c r="E1206" s="65" t="str">
        <f>IF($B1206="","",VLOOKUP(MONTH(C1206),Parameters!$F$2:$G$13,2,0))</f>
        <v/>
      </c>
      <c r="F1206" s="69" t="str">
        <f>IF($B1206="","",PV-N(J1205))</f>
        <v/>
      </c>
      <c r="G1206" s="69" t="str">
        <f>IF($B1206="","",PMT(Rate,Nper,-PV,,Type))</f>
        <v/>
      </c>
      <c r="H1206" s="69" t="str">
        <f>IF($B1206="","",PPMT(Rate,ROWS($1:1194),Nper,-PV,,Type))</f>
        <v/>
      </c>
      <c r="I1206" s="69" t="str">
        <f>IF($B1206="","",IPMT(Rate,ROWS($1:1194),Nper,-PV,,Type))</f>
        <v/>
      </c>
      <c r="J1206" s="73" t="str">
        <f t="shared" ref="J1206:K1206" si="1196">IF($B1206="","",N(J1205)+N(H1206))</f>
        <v/>
      </c>
      <c r="K1206" s="74" t="str">
        <f t="shared" si="1196"/>
        <v/>
      </c>
      <c r="L1206" s="69" t="str">
        <f>IF($B1206="","",PV-J1206)</f>
        <v/>
      </c>
      <c r="M1206" s="71" t="str">
        <f>IF($B1206="","",J1206/PV)</f>
        <v/>
      </c>
      <c r="N1206" s="72" t="str">
        <f t="shared" si="4"/>
        <v/>
      </c>
    </row>
    <row r="1207" ht="14.25" customHeight="1">
      <c r="B1207" s="66" t="str">
        <f>IF(ROWS($1:1195)&lt;=Nper,ROWS($1:1195),"")</f>
        <v/>
      </c>
      <c r="C1207" s="67" t="str">
        <f>IF($B1207="","",IF($E$7="Weekly",Start_Date+7*(ROWS($1:1195)-1),EDATE(Start_Date,VLOOKUP(IF(ASTemp!$E$7="","Monthly",ASTemp!$E$7),Parameters!$B$3:$D$6,3,0)*(ROWS($1:1195)-1))))</f>
        <v/>
      </c>
      <c r="D1207" s="68" t="str">
        <f t="shared" si="2"/>
        <v/>
      </c>
      <c r="E1207" s="65" t="str">
        <f>IF($B1207="","",VLOOKUP(MONTH(C1207),Parameters!$F$2:$G$13,2,0))</f>
        <v/>
      </c>
      <c r="F1207" s="69" t="str">
        <f>IF($B1207="","",PV-N(J1206))</f>
        <v/>
      </c>
      <c r="G1207" s="69" t="str">
        <f>IF($B1207="","",PMT(Rate,Nper,-PV,,Type))</f>
        <v/>
      </c>
      <c r="H1207" s="69" t="str">
        <f>IF($B1207="","",PPMT(Rate,ROWS($1:1195),Nper,-PV,,Type))</f>
        <v/>
      </c>
      <c r="I1207" s="69" t="str">
        <f>IF($B1207="","",IPMT(Rate,ROWS($1:1195),Nper,-PV,,Type))</f>
        <v/>
      </c>
      <c r="J1207" s="73" t="str">
        <f t="shared" ref="J1207:K1207" si="1197">IF($B1207="","",N(J1206)+N(H1207))</f>
        <v/>
      </c>
      <c r="K1207" s="74" t="str">
        <f t="shared" si="1197"/>
        <v/>
      </c>
      <c r="L1207" s="69" t="str">
        <f>IF($B1207="","",PV-J1207)</f>
        <v/>
      </c>
      <c r="M1207" s="71" t="str">
        <f>IF($B1207="","",J1207/PV)</f>
        <v/>
      </c>
      <c r="N1207" s="72" t="str">
        <f t="shared" si="4"/>
        <v/>
      </c>
    </row>
    <row r="1208" ht="14.25" customHeight="1">
      <c r="B1208" s="66" t="str">
        <f>IF(ROWS($1:1196)&lt;=Nper,ROWS($1:1196),"")</f>
        <v/>
      </c>
      <c r="C1208" s="67" t="str">
        <f>IF($B1208="","",IF($E$7="Weekly",Start_Date+7*(ROWS($1:1196)-1),EDATE(Start_Date,VLOOKUP(IF(ASTemp!$E$7="","Monthly",ASTemp!$E$7),Parameters!$B$3:$D$6,3,0)*(ROWS($1:1196)-1))))</f>
        <v/>
      </c>
      <c r="D1208" s="68" t="str">
        <f t="shared" si="2"/>
        <v/>
      </c>
      <c r="E1208" s="65" t="str">
        <f>IF($B1208="","",VLOOKUP(MONTH(C1208),Parameters!$F$2:$G$13,2,0))</f>
        <v/>
      </c>
      <c r="F1208" s="69" t="str">
        <f>IF($B1208="","",PV-N(J1207))</f>
        <v/>
      </c>
      <c r="G1208" s="69" t="str">
        <f>IF($B1208="","",PMT(Rate,Nper,-PV,,Type))</f>
        <v/>
      </c>
      <c r="H1208" s="69" t="str">
        <f>IF($B1208="","",PPMT(Rate,ROWS($1:1196),Nper,-PV,,Type))</f>
        <v/>
      </c>
      <c r="I1208" s="69" t="str">
        <f>IF($B1208="","",IPMT(Rate,ROWS($1:1196),Nper,-PV,,Type))</f>
        <v/>
      </c>
      <c r="J1208" s="73" t="str">
        <f t="shared" ref="J1208:K1208" si="1198">IF($B1208="","",N(J1207)+N(H1208))</f>
        <v/>
      </c>
      <c r="K1208" s="74" t="str">
        <f t="shared" si="1198"/>
        <v/>
      </c>
      <c r="L1208" s="69" t="str">
        <f>IF($B1208="","",PV-J1208)</f>
        <v/>
      </c>
      <c r="M1208" s="71" t="str">
        <f>IF($B1208="","",J1208/PV)</f>
        <v/>
      </c>
      <c r="N1208" s="72" t="str">
        <f t="shared" si="4"/>
        <v/>
      </c>
    </row>
    <row r="1209" ht="14.25" customHeight="1">
      <c r="B1209" s="66" t="str">
        <f>IF(ROWS($1:1197)&lt;=Nper,ROWS($1:1197),"")</f>
        <v/>
      </c>
      <c r="C1209" s="67" t="str">
        <f>IF($B1209="","",IF($E$7="Weekly",Start_Date+7*(ROWS($1:1197)-1),EDATE(Start_Date,VLOOKUP(IF(ASTemp!$E$7="","Monthly",ASTemp!$E$7),Parameters!$B$3:$D$6,3,0)*(ROWS($1:1197)-1))))</f>
        <v/>
      </c>
      <c r="D1209" s="68" t="str">
        <f t="shared" si="2"/>
        <v/>
      </c>
      <c r="E1209" s="65" t="str">
        <f>IF($B1209="","",VLOOKUP(MONTH(C1209),Parameters!$F$2:$G$13,2,0))</f>
        <v/>
      </c>
      <c r="F1209" s="69" t="str">
        <f>IF($B1209="","",PV-N(J1208))</f>
        <v/>
      </c>
      <c r="G1209" s="69" t="str">
        <f>IF($B1209="","",PMT(Rate,Nper,-PV,,Type))</f>
        <v/>
      </c>
      <c r="H1209" s="69" t="str">
        <f>IF($B1209="","",PPMT(Rate,ROWS($1:1197),Nper,-PV,,Type))</f>
        <v/>
      </c>
      <c r="I1209" s="69" t="str">
        <f>IF($B1209="","",IPMT(Rate,ROWS($1:1197),Nper,-PV,,Type))</f>
        <v/>
      </c>
      <c r="J1209" s="73" t="str">
        <f t="shared" ref="J1209:K1209" si="1199">IF($B1209="","",N(J1208)+N(H1209))</f>
        <v/>
      </c>
      <c r="K1209" s="74" t="str">
        <f t="shared" si="1199"/>
        <v/>
      </c>
      <c r="L1209" s="69" t="str">
        <f>IF($B1209="","",PV-J1209)</f>
        <v/>
      </c>
      <c r="M1209" s="71" t="str">
        <f>IF($B1209="","",J1209/PV)</f>
        <v/>
      </c>
      <c r="N1209" s="72" t="str">
        <f t="shared" si="4"/>
        <v/>
      </c>
    </row>
    <row r="1210" ht="14.25" customHeight="1">
      <c r="B1210" s="66" t="str">
        <f>IF(ROWS($1:1198)&lt;=Nper,ROWS($1:1198),"")</f>
        <v/>
      </c>
      <c r="C1210" s="67" t="str">
        <f>IF($B1210="","",IF($E$7="Weekly",Start_Date+7*(ROWS($1:1198)-1),EDATE(Start_Date,VLOOKUP(IF(ASTemp!$E$7="","Monthly",ASTemp!$E$7),Parameters!$B$3:$D$6,3,0)*(ROWS($1:1198)-1))))</f>
        <v/>
      </c>
      <c r="D1210" s="68" t="str">
        <f t="shared" si="2"/>
        <v/>
      </c>
      <c r="E1210" s="65" t="str">
        <f>IF($B1210="","",VLOOKUP(MONTH(C1210),Parameters!$F$2:$G$13,2,0))</f>
        <v/>
      </c>
      <c r="F1210" s="69" t="str">
        <f>IF($B1210="","",PV-N(J1209))</f>
        <v/>
      </c>
      <c r="G1210" s="69" t="str">
        <f>IF($B1210="","",PMT(Rate,Nper,-PV,,Type))</f>
        <v/>
      </c>
      <c r="H1210" s="69" t="str">
        <f>IF($B1210="","",PPMT(Rate,ROWS($1:1198),Nper,-PV,,Type))</f>
        <v/>
      </c>
      <c r="I1210" s="69" t="str">
        <f>IF($B1210="","",IPMT(Rate,ROWS($1:1198),Nper,-PV,,Type))</f>
        <v/>
      </c>
      <c r="J1210" s="73" t="str">
        <f t="shared" ref="J1210:K1210" si="1200">IF($B1210="","",N(J1209)+N(H1210))</f>
        <v/>
      </c>
      <c r="K1210" s="74" t="str">
        <f t="shared" si="1200"/>
        <v/>
      </c>
      <c r="L1210" s="69" t="str">
        <f>IF($B1210="","",PV-J1210)</f>
        <v/>
      </c>
      <c r="M1210" s="71" t="str">
        <f>IF($B1210="","",J1210/PV)</f>
        <v/>
      </c>
      <c r="N1210" s="72" t="str">
        <f t="shared" si="4"/>
        <v/>
      </c>
    </row>
    <row r="1211" ht="14.25" customHeight="1">
      <c r="B1211" s="66" t="str">
        <f>IF(ROWS($1:1199)&lt;=Nper,ROWS($1:1199),"")</f>
        <v/>
      </c>
      <c r="C1211" s="67" t="str">
        <f>IF($B1211="","",IF($E$7="Weekly",Start_Date+7*(ROWS($1:1199)-1),EDATE(Start_Date,VLOOKUP(IF(ASTemp!$E$7="","Monthly",ASTemp!$E$7),Parameters!$B$3:$D$6,3,0)*(ROWS($1:1199)-1))))</f>
        <v/>
      </c>
      <c r="D1211" s="68" t="str">
        <f t="shared" si="2"/>
        <v/>
      </c>
      <c r="E1211" s="65" t="str">
        <f>IF($B1211="","",VLOOKUP(MONTH(C1211),Parameters!$F$2:$G$13,2,0))</f>
        <v/>
      </c>
      <c r="F1211" s="69" t="str">
        <f>IF($B1211="","",PV-N(J1210))</f>
        <v/>
      </c>
      <c r="G1211" s="69" t="str">
        <f>IF($B1211="","",PMT(Rate,Nper,-PV,,Type))</f>
        <v/>
      </c>
      <c r="H1211" s="69" t="str">
        <f>IF($B1211="","",PPMT(Rate,ROWS($1:1199),Nper,-PV,,Type))</f>
        <v/>
      </c>
      <c r="I1211" s="69" t="str">
        <f>IF($B1211="","",IPMT(Rate,ROWS($1:1199),Nper,-PV,,Type))</f>
        <v/>
      </c>
      <c r="J1211" s="73" t="str">
        <f t="shared" ref="J1211:K1211" si="1201">IF($B1211="","",N(J1210)+N(H1211))</f>
        <v/>
      </c>
      <c r="K1211" s="74" t="str">
        <f t="shared" si="1201"/>
        <v/>
      </c>
      <c r="L1211" s="69" t="str">
        <f>IF($B1211="","",PV-J1211)</f>
        <v/>
      </c>
      <c r="M1211" s="71" t="str">
        <f>IF($B1211="","",J1211/PV)</f>
        <v/>
      </c>
      <c r="N1211" s="72" t="str">
        <f t="shared" si="4"/>
        <v/>
      </c>
    </row>
    <row r="1212" ht="14.25" customHeight="1">
      <c r="B1212" s="66" t="str">
        <f>IF(ROWS($1:1200)&lt;=Nper,ROWS($1:1200),"")</f>
        <v/>
      </c>
      <c r="C1212" s="67" t="str">
        <f>IF($B1212="","",IF($E$7="Weekly",Start_Date+7*(ROWS($1:1200)-1),EDATE(Start_Date,VLOOKUP(IF(ASTemp!$E$7="","Monthly",ASTemp!$E$7),Parameters!$B$3:$D$6,3,0)*(ROWS($1:1200)-1))))</f>
        <v/>
      </c>
      <c r="D1212" s="68" t="str">
        <f t="shared" si="2"/>
        <v/>
      </c>
      <c r="E1212" s="65" t="str">
        <f>IF($B1212="","",VLOOKUP(MONTH(C1212),Parameters!$F$2:$G$13,2,0))</f>
        <v/>
      </c>
      <c r="F1212" s="69" t="str">
        <f>IF($B1212="","",PV-N(J1211))</f>
        <v/>
      </c>
      <c r="G1212" s="69" t="str">
        <f>IF($B1212="","",PMT(Rate,Nper,-PV,,Type))</f>
        <v/>
      </c>
      <c r="H1212" s="69" t="str">
        <f>IF($B1212="","",PPMT(Rate,ROWS($1:1200),Nper,-PV,,Type))</f>
        <v/>
      </c>
      <c r="I1212" s="69" t="str">
        <f>IF($B1212="","",IPMT(Rate,ROWS($1:1200),Nper,-PV,,Type))</f>
        <v/>
      </c>
      <c r="J1212" s="73" t="str">
        <f t="shared" ref="J1212:K1212" si="1202">IF($B1212="","",N(J1211)+N(H1212))</f>
        <v/>
      </c>
      <c r="K1212" s="74" t="str">
        <f t="shared" si="1202"/>
        <v/>
      </c>
      <c r="L1212" s="69" t="str">
        <f>IF($B1212="","",PV-J1212)</f>
        <v/>
      </c>
      <c r="M1212" s="71" t="str">
        <f>IF($B1212="","",J1212/PV)</f>
        <v/>
      </c>
      <c r="N1212" s="72" t="str">
        <f t="shared" si="4"/>
        <v/>
      </c>
    </row>
    <row r="1213" ht="14.25" customHeight="1">
      <c r="B1213" s="66" t="str">
        <f>IF(ROWS($1:1201)&lt;=Nper,ROWS($1:1201),"")</f>
        <v/>
      </c>
      <c r="C1213" s="67" t="str">
        <f>IF($B1213="","",IF($E$7="Weekly",Start_Date+7*(ROWS($1:1201)-1),EDATE(Start_Date,VLOOKUP(IF(ASTemp!$E$7="","Monthly",ASTemp!$E$7),Parameters!$B$3:$D$6,3,0)*(ROWS($1:1201)-1))))</f>
        <v/>
      </c>
      <c r="D1213" s="68" t="str">
        <f t="shared" si="2"/>
        <v/>
      </c>
      <c r="E1213" s="65" t="str">
        <f>IF($B1213="","",VLOOKUP(MONTH(C1213),Parameters!$F$2:$G$13,2,0))</f>
        <v/>
      </c>
      <c r="F1213" s="69" t="str">
        <f>IF($B1213="","",PV-N(J1212))</f>
        <v/>
      </c>
      <c r="G1213" s="69" t="str">
        <f>IF($B1213="","",PMT(Rate,Nper,-PV,,Type))</f>
        <v/>
      </c>
      <c r="H1213" s="69" t="str">
        <f>IF($B1213="","",PPMT(Rate,ROWS($1:1201),Nper,-PV,,Type))</f>
        <v/>
      </c>
      <c r="I1213" s="69" t="str">
        <f>IF($B1213="","",IPMT(Rate,ROWS($1:1201),Nper,-PV,,Type))</f>
        <v/>
      </c>
      <c r="J1213" s="73" t="str">
        <f t="shared" ref="J1213:K1213" si="1203">IF($B1213="","",N(J1212)+N(H1213))</f>
        <v/>
      </c>
      <c r="K1213" s="74" t="str">
        <f t="shared" si="1203"/>
        <v/>
      </c>
      <c r="L1213" s="69" t="str">
        <f>IF($B1213="","",PV-J1213)</f>
        <v/>
      </c>
      <c r="M1213" s="71" t="str">
        <f>IF($B1213="","",J1213/PV)</f>
        <v/>
      </c>
      <c r="N1213" s="72" t="str">
        <f t="shared" si="4"/>
        <v/>
      </c>
    </row>
    <row r="1214" ht="14.25" customHeight="1">
      <c r="B1214" s="66" t="str">
        <f>IF(ROWS($1:1202)&lt;=Nper,ROWS($1:1202),"")</f>
        <v/>
      </c>
      <c r="C1214" s="67" t="str">
        <f>IF($B1214="","",IF($E$7="Weekly",Start_Date+7*(ROWS($1:1202)-1),EDATE(Start_Date,VLOOKUP(IF(ASTemp!$E$7="","Monthly",ASTemp!$E$7),Parameters!$B$3:$D$6,3,0)*(ROWS($1:1202)-1))))</f>
        <v/>
      </c>
      <c r="D1214" s="68" t="str">
        <f t="shared" si="2"/>
        <v/>
      </c>
      <c r="E1214" s="65" t="str">
        <f>IF($B1214="","",VLOOKUP(MONTH(C1214),Parameters!$F$2:$G$13,2,0))</f>
        <v/>
      </c>
      <c r="F1214" s="69" t="str">
        <f>IF($B1214="","",PV-N(J1213))</f>
        <v/>
      </c>
      <c r="G1214" s="69" t="str">
        <f>IF($B1214="","",PMT(Rate,Nper,-PV,,Type))</f>
        <v/>
      </c>
      <c r="H1214" s="69" t="str">
        <f>IF($B1214="","",PPMT(Rate,ROWS($1:1202),Nper,-PV,,Type))</f>
        <v/>
      </c>
      <c r="I1214" s="69" t="str">
        <f>IF($B1214="","",IPMT(Rate,ROWS($1:1202),Nper,-PV,,Type))</f>
        <v/>
      </c>
      <c r="J1214" s="73" t="str">
        <f t="shared" ref="J1214:K1214" si="1204">IF($B1214="","",N(J1213)+N(H1214))</f>
        <v/>
      </c>
      <c r="K1214" s="74" t="str">
        <f t="shared" si="1204"/>
        <v/>
      </c>
      <c r="L1214" s="69" t="str">
        <f>IF($B1214="","",PV-J1214)</f>
        <v/>
      </c>
      <c r="M1214" s="71" t="str">
        <f>IF($B1214="","",J1214/PV)</f>
        <v/>
      </c>
      <c r="N1214" s="72" t="str">
        <f t="shared" si="4"/>
        <v/>
      </c>
    </row>
    <row r="1215" ht="14.25" customHeight="1">
      <c r="B1215" s="66" t="str">
        <f>IF(ROWS($1:1203)&lt;=Nper,ROWS($1:1203),"")</f>
        <v/>
      </c>
      <c r="C1215" s="67" t="str">
        <f>IF($B1215="","",IF($E$7="Weekly",Start_Date+7*(ROWS($1:1203)-1),EDATE(Start_Date,VLOOKUP(IF(ASTemp!$E$7="","Monthly",ASTemp!$E$7),Parameters!$B$3:$D$6,3,0)*(ROWS($1:1203)-1))))</f>
        <v/>
      </c>
      <c r="D1215" s="68" t="str">
        <f t="shared" si="2"/>
        <v/>
      </c>
      <c r="E1215" s="65" t="str">
        <f>IF($B1215="","",VLOOKUP(MONTH(C1215),Parameters!$F$2:$G$13,2,0))</f>
        <v/>
      </c>
      <c r="F1215" s="69" t="str">
        <f>IF($B1215="","",PV-N(J1214))</f>
        <v/>
      </c>
      <c r="G1215" s="69" t="str">
        <f>IF($B1215="","",PMT(Rate,Nper,-PV,,Type))</f>
        <v/>
      </c>
      <c r="H1215" s="69" t="str">
        <f>IF($B1215="","",PPMT(Rate,ROWS($1:1203),Nper,-PV,,Type))</f>
        <v/>
      </c>
      <c r="I1215" s="69" t="str">
        <f>IF($B1215="","",IPMT(Rate,ROWS($1:1203),Nper,-PV,,Type))</f>
        <v/>
      </c>
      <c r="J1215" s="73" t="str">
        <f t="shared" ref="J1215:K1215" si="1205">IF($B1215="","",N(J1214)+N(H1215))</f>
        <v/>
      </c>
      <c r="K1215" s="74" t="str">
        <f t="shared" si="1205"/>
        <v/>
      </c>
      <c r="L1215" s="69" t="str">
        <f>IF($B1215="","",PV-J1215)</f>
        <v/>
      </c>
      <c r="M1215" s="71" t="str">
        <f>IF($B1215="","",J1215/PV)</f>
        <v/>
      </c>
      <c r="N1215" s="72" t="str">
        <f t="shared" si="4"/>
        <v/>
      </c>
    </row>
    <row r="1216" ht="14.25" customHeight="1">
      <c r="B1216" s="66" t="str">
        <f>IF(ROWS($1:1204)&lt;=Nper,ROWS($1:1204),"")</f>
        <v/>
      </c>
      <c r="C1216" s="67" t="str">
        <f>IF($B1216="","",IF($E$7="Weekly",Start_Date+7*(ROWS($1:1204)-1),EDATE(Start_Date,VLOOKUP(IF(ASTemp!$E$7="","Monthly",ASTemp!$E$7),Parameters!$B$3:$D$6,3,0)*(ROWS($1:1204)-1))))</f>
        <v/>
      </c>
      <c r="D1216" s="68" t="str">
        <f t="shared" si="2"/>
        <v/>
      </c>
      <c r="E1216" s="65" t="str">
        <f>IF($B1216="","",VLOOKUP(MONTH(C1216),Parameters!$F$2:$G$13,2,0))</f>
        <v/>
      </c>
      <c r="F1216" s="69" t="str">
        <f>IF($B1216="","",PV-N(J1215))</f>
        <v/>
      </c>
      <c r="G1216" s="69" t="str">
        <f>IF($B1216="","",PMT(Rate,Nper,-PV,,Type))</f>
        <v/>
      </c>
      <c r="H1216" s="69" t="str">
        <f>IF($B1216="","",PPMT(Rate,ROWS($1:1204),Nper,-PV,,Type))</f>
        <v/>
      </c>
      <c r="I1216" s="69" t="str">
        <f>IF($B1216="","",IPMT(Rate,ROWS($1:1204),Nper,-PV,,Type))</f>
        <v/>
      </c>
      <c r="J1216" s="73" t="str">
        <f t="shared" ref="J1216:K1216" si="1206">IF($B1216="","",N(J1215)+N(H1216))</f>
        <v/>
      </c>
      <c r="K1216" s="74" t="str">
        <f t="shared" si="1206"/>
        <v/>
      </c>
      <c r="L1216" s="69" t="str">
        <f>IF($B1216="","",PV-J1216)</f>
        <v/>
      </c>
      <c r="M1216" s="71" t="str">
        <f>IF($B1216="","",J1216/PV)</f>
        <v/>
      </c>
      <c r="N1216" s="72" t="str">
        <f t="shared" si="4"/>
        <v/>
      </c>
    </row>
    <row r="1217" ht="14.25" customHeight="1">
      <c r="B1217" s="66" t="str">
        <f>IF(ROWS($1:1205)&lt;=Nper,ROWS($1:1205),"")</f>
        <v/>
      </c>
      <c r="C1217" s="67" t="str">
        <f>IF($B1217="","",IF($E$7="Weekly",Start_Date+7*(ROWS($1:1205)-1),EDATE(Start_Date,VLOOKUP(IF(ASTemp!$E$7="","Monthly",ASTemp!$E$7),Parameters!$B$3:$D$6,3,0)*(ROWS($1:1205)-1))))</f>
        <v/>
      </c>
      <c r="D1217" s="68" t="str">
        <f t="shared" si="2"/>
        <v/>
      </c>
      <c r="E1217" s="65" t="str">
        <f>IF($B1217="","",VLOOKUP(MONTH(C1217),Parameters!$F$2:$G$13,2,0))</f>
        <v/>
      </c>
      <c r="F1217" s="69" t="str">
        <f>IF($B1217="","",PV-N(J1216))</f>
        <v/>
      </c>
      <c r="G1217" s="69" t="str">
        <f>IF($B1217="","",PMT(Rate,Nper,-PV,,Type))</f>
        <v/>
      </c>
      <c r="H1217" s="69" t="str">
        <f>IF($B1217="","",PPMT(Rate,ROWS($1:1205),Nper,-PV,,Type))</f>
        <v/>
      </c>
      <c r="I1217" s="69" t="str">
        <f>IF($B1217="","",IPMT(Rate,ROWS($1:1205),Nper,-PV,,Type))</f>
        <v/>
      </c>
      <c r="J1217" s="73" t="str">
        <f t="shared" ref="J1217:K1217" si="1207">IF($B1217="","",N(J1216)+N(H1217))</f>
        <v/>
      </c>
      <c r="K1217" s="74" t="str">
        <f t="shared" si="1207"/>
        <v/>
      </c>
      <c r="L1217" s="69" t="str">
        <f>IF($B1217="","",PV-J1217)</f>
        <v/>
      </c>
      <c r="M1217" s="71" t="str">
        <f>IF($B1217="","",J1217/PV)</f>
        <v/>
      </c>
      <c r="N1217" s="72" t="str">
        <f t="shared" si="4"/>
        <v/>
      </c>
    </row>
    <row r="1218" ht="14.25" customHeight="1">
      <c r="B1218" s="66" t="str">
        <f>IF(ROWS($1:1206)&lt;=Nper,ROWS($1:1206),"")</f>
        <v/>
      </c>
      <c r="C1218" s="67" t="str">
        <f>IF($B1218="","",IF($E$7="Weekly",Start_Date+7*(ROWS($1:1206)-1),EDATE(Start_Date,VLOOKUP(IF(ASTemp!$E$7="","Monthly",ASTemp!$E$7),Parameters!$B$3:$D$6,3,0)*(ROWS($1:1206)-1))))</f>
        <v/>
      </c>
      <c r="D1218" s="68" t="str">
        <f t="shared" si="2"/>
        <v/>
      </c>
      <c r="E1218" s="65" t="str">
        <f>IF($B1218="","",VLOOKUP(MONTH(C1218),Parameters!$F$2:$G$13,2,0))</f>
        <v/>
      </c>
      <c r="F1218" s="69" t="str">
        <f>IF($B1218="","",PV-N(J1217))</f>
        <v/>
      </c>
      <c r="G1218" s="69" t="str">
        <f>IF($B1218="","",PMT(Rate,Nper,-PV,,Type))</f>
        <v/>
      </c>
      <c r="H1218" s="69" t="str">
        <f>IF($B1218="","",PPMT(Rate,ROWS($1:1206),Nper,-PV,,Type))</f>
        <v/>
      </c>
      <c r="I1218" s="69" t="str">
        <f>IF($B1218="","",IPMT(Rate,ROWS($1:1206),Nper,-PV,,Type))</f>
        <v/>
      </c>
      <c r="J1218" s="73" t="str">
        <f t="shared" ref="J1218:K1218" si="1208">IF($B1218="","",N(J1217)+N(H1218))</f>
        <v/>
      </c>
      <c r="K1218" s="74" t="str">
        <f t="shared" si="1208"/>
        <v/>
      </c>
      <c r="L1218" s="69" t="str">
        <f>IF($B1218="","",PV-J1218)</f>
        <v/>
      </c>
      <c r="M1218" s="71" t="str">
        <f>IF($B1218="","",J1218/PV)</f>
        <v/>
      </c>
      <c r="N1218" s="72" t="str">
        <f t="shared" si="4"/>
        <v/>
      </c>
    </row>
    <row r="1219" ht="14.25" customHeight="1">
      <c r="B1219" s="66" t="str">
        <f>IF(ROWS($1:1207)&lt;=Nper,ROWS($1:1207),"")</f>
        <v/>
      </c>
      <c r="C1219" s="67" t="str">
        <f>IF($B1219="","",IF($E$7="Weekly",Start_Date+7*(ROWS($1:1207)-1),EDATE(Start_Date,VLOOKUP(IF(ASTemp!$E$7="","Monthly",ASTemp!$E$7),Parameters!$B$3:$D$6,3,0)*(ROWS($1:1207)-1))))</f>
        <v/>
      </c>
      <c r="D1219" s="68" t="str">
        <f t="shared" si="2"/>
        <v/>
      </c>
      <c r="E1219" s="65" t="str">
        <f>IF($B1219="","",VLOOKUP(MONTH(C1219),Parameters!$F$2:$G$13,2,0))</f>
        <v/>
      </c>
      <c r="F1219" s="69" t="str">
        <f>IF($B1219="","",PV-N(J1218))</f>
        <v/>
      </c>
      <c r="G1219" s="69" t="str">
        <f>IF($B1219="","",PMT(Rate,Nper,-PV,,Type))</f>
        <v/>
      </c>
      <c r="H1219" s="69" t="str">
        <f>IF($B1219="","",PPMT(Rate,ROWS($1:1207),Nper,-PV,,Type))</f>
        <v/>
      </c>
      <c r="I1219" s="69" t="str">
        <f>IF($B1219="","",IPMT(Rate,ROWS($1:1207),Nper,-PV,,Type))</f>
        <v/>
      </c>
      <c r="J1219" s="73" t="str">
        <f t="shared" ref="J1219:K1219" si="1209">IF($B1219="","",N(J1218)+N(H1219))</f>
        <v/>
      </c>
      <c r="K1219" s="74" t="str">
        <f t="shared" si="1209"/>
        <v/>
      </c>
      <c r="L1219" s="69" t="str">
        <f>IF($B1219="","",PV-J1219)</f>
        <v/>
      </c>
      <c r="M1219" s="71" t="str">
        <f>IF($B1219="","",J1219/PV)</f>
        <v/>
      </c>
      <c r="N1219" s="72" t="str">
        <f t="shared" si="4"/>
        <v/>
      </c>
    </row>
    <row r="1220" ht="14.25" customHeight="1">
      <c r="B1220" s="66" t="str">
        <f>IF(ROWS($1:1208)&lt;=Nper,ROWS($1:1208),"")</f>
        <v/>
      </c>
      <c r="C1220" s="67" t="str">
        <f>IF($B1220="","",IF($E$7="Weekly",Start_Date+7*(ROWS($1:1208)-1),EDATE(Start_Date,VLOOKUP(IF(ASTemp!$E$7="","Monthly",ASTemp!$E$7),Parameters!$B$3:$D$6,3,0)*(ROWS($1:1208)-1))))</f>
        <v/>
      </c>
      <c r="D1220" s="68" t="str">
        <f t="shared" si="2"/>
        <v/>
      </c>
      <c r="E1220" s="65" t="str">
        <f>IF($B1220="","",VLOOKUP(MONTH(C1220),Parameters!$F$2:$G$13,2,0))</f>
        <v/>
      </c>
      <c r="F1220" s="69" t="str">
        <f>IF($B1220="","",PV-N(J1219))</f>
        <v/>
      </c>
      <c r="G1220" s="69" t="str">
        <f>IF($B1220="","",PMT(Rate,Nper,-PV,,Type))</f>
        <v/>
      </c>
      <c r="H1220" s="69" t="str">
        <f>IF($B1220="","",PPMT(Rate,ROWS($1:1208),Nper,-PV,,Type))</f>
        <v/>
      </c>
      <c r="I1220" s="69" t="str">
        <f>IF($B1220="","",IPMT(Rate,ROWS($1:1208),Nper,-PV,,Type))</f>
        <v/>
      </c>
      <c r="J1220" s="73" t="str">
        <f t="shared" ref="J1220:K1220" si="1210">IF($B1220="","",N(J1219)+N(H1220))</f>
        <v/>
      </c>
      <c r="K1220" s="74" t="str">
        <f t="shared" si="1210"/>
        <v/>
      </c>
      <c r="L1220" s="69" t="str">
        <f>IF($B1220="","",PV-J1220)</f>
        <v/>
      </c>
      <c r="M1220" s="71" t="str">
        <f>IF($B1220="","",J1220/PV)</f>
        <v/>
      </c>
      <c r="N1220" s="72" t="str">
        <f t="shared" si="4"/>
        <v/>
      </c>
    </row>
    <row r="1221" ht="14.25" customHeight="1">
      <c r="B1221" s="66" t="str">
        <f>IF(ROWS($1:1209)&lt;=Nper,ROWS($1:1209),"")</f>
        <v/>
      </c>
      <c r="C1221" s="67" t="str">
        <f>IF($B1221="","",IF($E$7="Weekly",Start_Date+7*(ROWS($1:1209)-1),EDATE(Start_Date,VLOOKUP(IF(ASTemp!$E$7="","Monthly",ASTemp!$E$7),Parameters!$B$3:$D$6,3,0)*(ROWS($1:1209)-1))))</f>
        <v/>
      </c>
      <c r="D1221" s="68" t="str">
        <f t="shared" si="2"/>
        <v/>
      </c>
      <c r="E1221" s="65" t="str">
        <f>IF($B1221="","",VLOOKUP(MONTH(C1221),Parameters!$F$2:$G$13,2,0))</f>
        <v/>
      </c>
      <c r="F1221" s="69" t="str">
        <f>IF($B1221="","",PV-N(J1220))</f>
        <v/>
      </c>
      <c r="G1221" s="69" t="str">
        <f>IF($B1221="","",PMT(Rate,Nper,-PV,,Type))</f>
        <v/>
      </c>
      <c r="H1221" s="69" t="str">
        <f>IF($B1221="","",PPMT(Rate,ROWS($1:1209),Nper,-PV,,Type))</f>
        <v/>
      </c>
      <c r="I1221" s="69" t="str">
        <f>IF($B1221="","",IPMT(Rate,ROWS($1:1209),Nper,-PV,,Type))</f>
        <v/>
      </c>
      <c r="J1221" s="73" t="str">
        <f t="shared" ref="J1221:K1221" si="1211">IF($B1221="","",N(J1220)+N(H1221))</f>
        <v/>
      </c>
      <c r="K1221" s="74" t="str">
        <f t="shared" si="1211"/>
        <v/>
      </c>
      <c r="L1221" s="69" t="str">
        <f>IF($B1221="","",PV-J1221)</f>
        <v/>
      </c>
      <c r="M1221" s="71" t="str">
        <f>IF($B1221="","",J1221/PV)</f>
        <v/>
      </c>
      <c r="N1221" s="72" t="str">
        <f t="shared" si="4"/>
        <v/>
      </c>
    </row>
    <row r="1222" ht="14.25" customHeight="1">
      <c r="B1222" s="66" t="str">
        <f>IF(ROWS($1:1210)&lt;=Nper,ROWS($1:1210),"")</f>
        <v/>
      </c>
      <c r="C1222" s="67" t="str">
        <f>IF($B1222="","",IF($E$7="Weekly",Start_Date+7*(ROWS($1:1210)-1),EDATE(Start_Date,VLOOKUP(IF(ASTemp!$E$7="","Monthly",ASTemp!$E$7),Parameters!$B$3:$D$6,3,0)*(ROWS($1:1210)-1))))</f>
        <v/>
      </c>
      <c r="D1222" s="68" t="str">
        <f t="shared" si="2"/>
        <v/>
      </c>
      <c r="E1222" s="65" t="str">
        <f>IF($B1222="","",VLOOKUP(MONTH(C1222),Parameters!$F$2:$G$13,2,0))</f>
        <v/>
      </c>
      <c r="F1222" s="69" t="str">
        <f>IF($B1222="","",PV-N(J1221))</f>
        <v/>
      </c>
      <c r="G1222" s="69" t="str">
        <f>IF($B1222="","",PMT(Rate,Nper,-PV,,Type))</f>
        <v/>
      </c>
      <c r="H1222" s="69" t="str">
        <f>IF($B1222="","",PPMT(Rate,ROWS($1:1210),Nper,-PV,,Type))</f>
        <v/>
      </c>
      <c r="I1222" s="69" t="str">
        <f>IF($B1222="","",IPMT(Rate,ROWS($1:1210),Nper,-PV,,Type))</f>
        <v/>
      </c>
      <c r="J1222" s="73" t="str">
        <f t="shared" ref="J1222:K1222" si="1212">IF($B1222="","",N(J1221)+N(H1222))</f>
        <v/>
      </c>
      <c r="K1222" s="74" t="str">
        <f t="shared" si="1212"/>
        <v/>
      </c>
      <c r="L1222" s="69" t="str">
        <f>IF($B1222="","",PV-J1222)</f>
        <v/>
      </c>
      <c r="M1222" s="71" t="str">
        <f>IF($B1222="","",J1222/PV)</f>
        <v/>
      </c>
      <c r="N1222" s="72" t="str">
        <f t="shared" si="4"/>
        <v/>
      </c>
    </row>
    <row r="1223" ht="14.25" customHeight="1">
      <c r="B1223" s="66" t="str">
        <f>IF(ROWS($1:1211)&lt;=Nper,ROWS($1:1211),"")</f>
        <v/>
      </c>
      <c r="C1223" s="67" t="str">
        <f>IF($B1223="","",IF($E$7="Weekly",Start_Date+7*(ROWS($1:1211)-1),EDATE(Start_Date,VLOOKUP(IF(ASTemp!$E$7="","Monthly",ASTemp!$E$7),Parameters!$B$3:$D$6,3,0)*(ROWS($1:1211)-1))))</f>
        <v/>
      </c>
      <c r="D1223" s="68" t="str">
        <f t="shared" si="2"/>
        <v/>
      </c>
      <c r="E1223" s="65" t="str">
        <f>IF($B1223="","",VLOOKUP(MONTH(C1223),Parameters!$F$2:$G$13,2,0))</f>
        <v/>
      </c>
      <c r="F1223" s="69" t="str">
        <f>IF($B1223="","",PV-N(J1222))</f>
        <v/>
      </c>
      <c r="G1223" s="69" t="str">
        <f>IF($B1223="","",PMT(Rate,Nper,-PV,,Type))</f>
        <v/>
      </c>
      <c r="H1223" s="69" t="str">
        <f>IF($B1223="","",PPMT(Rate,ROWS($1:1211),Nper,-PV,,Type))</f>
        <v/>
      </c>
      <c r="I1223" s="69" t="str">
        <f>IF($B1223="","",IPMT(Rate,ROWS($1:1211),Nper,-PV,,Type))</f>
        <v/>
      </c>
      <c r="J1223" s="73" t="str">
        <f t="shared" ref="J1223:K1223" si="1213">IF($B1223="","",N(J1222)+N(H1223))</f>
        <v/>
      </c>
      <c r="K1223" s="74" t="str">
        <f t="shared" si="1213"/>
        <v/>
      </c>
      <c r="L1223" s="69" t="str">
        <f>IF($B1223="","",PV-J1223)</f>
        <v/>
      </c>
      <c r="M1223" s="71" t="str">
        <f>IF($B1223="","",J1223/PV)</f>
        <v/>
      </c>
      <c r="N1223" s="72" t="str">
        <f t="shared" si="4"/>
        <v/>
      </c>
    </row>
    <row r="1224" ht="14.25" customHeight="1">
      <c r="B1224" s="66" t="str">
        <f>IF(ROWS($1:1212)&lt;=Nper,ROWS($1:1212),"")</f>
        <v/>
      </c>
      <c r="C1224" s="67" t="str">
        <f>IF($B1224="","",IF($E$7="Weekly",Start_Date+7*(ROWS($1:1212)-1),EDATE(Start_Date,VLOOKUP(IF(ASTemp!$E$7="","Monthly",ASTemp!$E$7),Parameters!$B$3:$D$6,3,0)*(ROWS($1:1212)-1))))</f>
        <v/>
      </c>
      <c r="D1224" s="68" t="str">
        <f t="shared" si="2"/>
        <v/>
      </c>
      <c r="E1224" s="65" t="str">
        <f>IF($B1224="","",VLOOKUP(MONTH(C1224),Parameters!$F$2:$G$13,2,0))</f>
        <v/>
      </c>
      <c r="F1224" s="69" t="str">
        <f>IF($B1224="","",PV-N(J1223))</f>
        <v/>
      </c>
      <c r="G1224" s="69" t="str">
        <f>IF($B1224="","",PMT(Rate,Nper,-PV,,Type))</f>
        <v/>
      </c>
      <c r="H1224" s="69" t="str">
        <f>IF($B1224="","",PPMT(Rate,ROWS($1:1212),Nper,-PV,,Type))</f>
        <v/>
      </c>
      <c r="I1224" s="69" t="str">
        <f>IF($B1224="","",IPMT(Rate,ROWS($1:1212),Nper,-PV,,Type))</f>
        <v/>
      </c>
      <c r="J1224" s="73" t="str">
        <f t="shared" ref="J1224:K1224" si="1214">IF($B1224="","",N(J1223)+N(H1224))</f>
        <v/>
      </c>
      <c r="K1224" s="74" t="str">
        <f t="shared" si="1214"/>
        <v/>
      </c>
      <c r="L1224" s="69" t="str">
        <f>IF($B1224="","",PV-J1224)</f>
        <v/>
      </c>
      <c r="M1224" s="71" t="str">
        <f>IF($B1224="","",J1224/PV)</f>
        <v/>
      </c>
      <c r="N1224" s="72" t="str">
        <f t="shared" si="4"/>
        <v/>
      </c>
    </row>
    <row r="1225" ht="14.25" customHeight="1">
      <c r="B1225" s="66" t="str">
        <f>IF(ROWS($1:1213)&lt;=Nper,ROWS($1:1213),"")</f>
        <v/>
      </c>
      <c r="C1225" s="67" t="str">
        <f>IF($B1225="","",IF($E$7="Weekly",Start_Date+7*(ROWS($1:1213)-1),EDATE(Start_Date,VLOOKUP(IF(ASTemp!$E$7="","Monthly",ASTemp!$E$7),Parameters!$B$3:$D$6,3,0)*(ROWS($1:1213)-1))))</f>
        <v/>
      </c>
      <c r="D1225" s="68" t="str">
        <f t="shared" si="2"/>
        <v/>
      </c>
      <c r="E1225" s="65" t="str">
        <f>IF($B1225="","",VLOOKUP(MONTH(C1225),Parameters!$F$2:$G$13,2,0))</f>
        <v/>
      </c>
      <c r="F1225" s="69" t="str">
        <f>IF($B1225="","",PV-N(J1224))</f>
        <v/>
      </c>
      <c r="G1225" s="69" t="str">
        <f>IF($B1225="","",PMT(Rate,Nper,-PV,,Type))</f>
        <v/>
      </c>
      <c r="H1225" s="69" t="str">
        <f>IF($B1225="","",PPMT(Rate,ROWS($1:1213),Nper,-PV,,Type))</f>
        <v/>
      </c>
      <c r="I1225" s="69" t="str">
        <f>IF($B1225="","",IPMT(Rate,ROWS($1:1213),Nper,-PV,,Type))</f>
        <v/>
      </c>
      <c r="J1225" s="73" t="str">
        <f t="shared" ref="J1225:K1225" si="1215">IF($B1225="","",N(J1224)+N(H1225))</f>
        <v/>
      </c>
      <c r="K1225" s="74" t="str">
        <f t="shared" si="1215"/>
        <v/>
      </c>
      <c r="L1225" s="69" t="str">
        <f>IF($B1225="","",PV-J1225)</f>
        <v/>
      </c>
      <c r="M1225" s="71" t="str">
        <f>IF($B1225="","",J1225/PV)</f>
        <v/>
      </c>
      <c r="N1225" s="72" t="str">
        <f t="shared" si="4"/>
        <v/>
      </c>
    </row>
    <row r="1226" ht="14.25" customHeight="1">
      <c r="B1226" s="66" t="str">
        <f>IF(ROWS($1:1214)&lt;=Nper,ROWS($1:1214),"")</f>
        <v/>
      </c>
      <c r="C1226" s="67" t="str">
        <f>IF($B1226="","",IF($E$7="Weekly",Start_Date+7*(ROWS($1:1214)-1),EDATE(Start_Date,VLOOKUP(IF(ASTemp!$E$7="","Monthly",ASTemp!$E$7),Parameters!$B$3:$D$6,3,0)*(ROWS($1:1214)-1))))</f>
        <v/>
      </c>
      <c r="D1226" s="68" t="str">
        <f t="shared" si="2"/>
        <v/>
      </c>
      <c r="E1226" s="65" t="str">
        <f>IF($B1226="","",VLOOKUP(MONTH(C1226),Parameters!$F$2:$G$13,2,0))</f>
        <v/>
      </c>
      <c r="F1226" s="69" t="str">
        <f>IF($B1226="","",PV-N(J1225))</f>
        <v/>
      </c>
      <c r="G1226" s="69" t="str">
        <f>IF($B1226="","",PMT(Rate,Nper,-PV,,Type))</f>
        <v/>
      </c>
      <c r="H1226" s="69" t="str">
        <f>IF($B1226="","",PPMT(Rate,ROWS($1:1214),Nper,-PV,,Type))</f>
        <v/>
      </c>
      <c r="I1226" s="69" t="str">
        <f>IF($B1226="","",IPMT(Rate,ROWS($1:1214),Nper,-PV,,Type))</f>
        <v/>
      </c>
      <c r="J1226" s="73" t="str">
        <f t="shared" ref="J1226:K1226" si="1216">IF($B1226="","",N(J1225)+N(H1226))</f>
        <v/>
      </c>
      <c r="K1226" s="74" t="str">
        <f t="shared" si="1216"/>
        <v/>
      </c>
      <c r="L1226" s="69" t="str">
        <f>IF($B1226="","",PV-J1226)</f>
        <v/>
      </c>
      <c r="M1226" s="71" t="str">
        <f>IF($B1226="","",J1226/PV)</f>
        <v/>
      </c>
      <c r="N1226" s="72" t="str">
        <f t="shared" si="4"/>
        <v/>
      </c>
    </row>
    <row r="1227" ht="14.25" customHeight="1">
      <c r="B1227" s="66" t="str">
        <f>IF(ROWS($1:1215)&lt;=Nper,ROWS($1:1215),"")</f>
        <v/>
      </c>
      <c r="C1227" s="67" t="str">
        <f>IF($B1227="","",IF($E$7="Weekly",Start_Date+7*(ROWS($1:1215)-1),EDATE(Start_Date,VLOOKUP(IF(ASTemp!$E$7="","Monthly",ASTemp!$E$7),Parameters!$B$3:$D$6,3,0)*(ROWS($1:1215)-1))))</f>
        <v/>
      </c>
      <c r="D1227" s="68" t="str">
        <f t="shared" si="2"/>
        <v/>
      </c>
      <c r="E1227" s="65" t="str">
        <f>IF($B1227="","",VLOOKUP(MONTH(C1227),Parameters!$F$2:$G$13,2,0))</f>
        <v/>
      </c>
      <c r="F1227" s="69" t="str">
        <f>IF($B1227="","",PV-N(J1226))</f>
        <v/>
      </c>
      <c r="G1227" s="69" t="str">
        <f>IF($B1227="","",PMT(Rate,Nper,-PV,,Type))</f>
        <v/>
      </c>
      <c r="H1227" s="69" t="str">
        <f>IF($B1227="","",PPMT(Rate,ROWS($1:1215),Nper,-PV,,Type))</f>
        <v/>
      </c>
      <c r="I1227" s="69" t="str">
        <f>IF($B1227="","",IPMT(Rate,ROWS($1:1215),Nper,-PV,,Type))</f>
        <v/>
      </c>
      <c r="J1227" s="73" t="str">
        <f t="shared" ref="J1227:K1227" si="1217">IF($B1227="","",N(J1226)+N(H1227))</f>
        <v/>
      </c>
      <c r="K1227" s="74" t="str">
        <f t="shared" si="1217"/>
        <v/>
      </c>
      <c r="L1227" s="69" t="str">
        <f>IF($B1227="","",PV-J1227)</f>
        <v/>
      </c>
      <c r="M1227" s="71" t="str">
        <f>IF($B1227="","",J1227/PV)</f>
        <v/>
      </c>
      <c r="N1227" s="72" t="str">
        <f t="shared" si="4"/>
        <v/>
      </c>
    </row>
    <row r="1228" ht="14.25" customHeight="1">
      <c r="B1228" s="66" t="str">
        <f>IF(ROWS($1:1216)&lt;=Nper,ROWS($1:1216),"")</f>
        <v/>
      </c>
      <c r="C1228" s="67" t="str">
        <f>IF($B1228="","",IF($E$7="Weekly",Start_Date+7*(ROWS($1:1216)-1),EDATE(Start_Date,VLOOKUP(IF(ASTemp!$E$7="","Monthly",ASTemp!$E$7),Parameters!$B$3:$D$6,3,0)*(ROWS($1:1216)-1))))</f>
        <v/>
      </c>
      <c r="D1228" s="68" t="str">
        <f t="shared" si="2"/>
        <v/>
      </c>
      <c r="E1228" s="65" t="str">
        <f>IF($B1228="","",VLOOKUP(MONTH(C1228),Parameters!$F$2:$G$13,2,0))</f>
        <v/>
      </c>
      <c r="F1228" s="69" t="str">
        <f>IF($B1228="","",PV-N(J1227))</f>
        <v/>
      </c>
      <c r="G1228" s="69" t="str">
        <f>IF($B1228="","",PMT(Rate,Nper,-PV,,Type))</f>
        <v/>
      </c>
      <c r="H1228" s="69" t="str">
        <f>IF($B1228="","",PPMT(Rate,ROWS($1:1216),Nper,-PV,,Type))</f>
        <v/>
      </c>
      <c r="I1228" s="69" t="str">
        <f>IF($B1228="","",IPMT(Rate,ROWS($1:1216),Nper,-PV,,Type))</f>
        <v/>
      </c>
      <c r="J1228" s="73" t="str">
        <f t="shared" ref="J1228:K1228" si="1218">IF($B1228="","",N(J1227)+N(H1228))</f>
        <v/>
      </c>
      <c r="K1228" s="74" t="str">
        <f t="shared" si="1218"/>
        <v/>
      </c>
      <c r="L1228" s="69" t="str">
        <f>IF($B1228="","",PV-J1228)</f>
        <v/>
      </c>
      <c r="M1228" s="71" t="str">
        <f>IF($B1228="","",J1228/PV)</f>
        <v/>
      </c>
      <c r="N1228" s="72" t="str">
        <f t="shared" si="4"/>
        <v/>
      </c>
    </row>
    <row r="1229" ht="14.25" customHeight="1">
      <c r="B1229" s="66" t="str">
        <f>IF(ROWS($1:1217)&lt;=Nper,ROWS($1:1217),"")</f>
        <v/>
      </c>
      <c r="C1229" s="67" t="str">
        <f>IF($B1229="","",IF($E$7="Weekly",Start_Date+7*(ROWS($1:1217)-1),EDATE(Start_Date,VLOOKUP(IF(ASTemp!$E$7="","Monthly",ASTemp!$E$7),Parameters!$B$3:$D$6,3,0)*(ROWS($1:1217)-1))))</f>
        <v/>
      </c>
      <c r="D1229" s="68" t="str">
        <f t="shared" si="2"/>
        <v/>
      </c>
      <c r="E1229" s="65" t="str">
        <f>IF($B1229="","",VLOOKUP(MONTH(C1229),Parameters!$F$2:$G$13,2,0))</f>
        <v/>
      </c>
      <c r="F1229" s="69" t="str">
        <f>IF($B1229="","",PV-N(J1228))</f>
        <v/>
      </c>
      <c r="G1229" s="69" t="str">
        <f>IF($B1229="","",PMT(Rate,Nper,-PV,,Type))</f>
        <v/>
      </c>
      <c r="H1229" s="69" t="str">
        <f>IF($B1229="","",PPMT(Rate,ROWS($1:1217),Nper,-PV,,Type))</f>
        <v/>
      </c>
      <c r="I1229" s="69" t="str">
        <f>IF($B1229="","",IPMT(Rate,ROWS($1:1217),Nper,-PV,,Type))</f>
        <v/>
      </c>
      <c r="J1229" s="73" t="str">
        <f t="shared" ref="J1229:K1229" si="1219">IF($B1229="","",N(J1228)+N(H1229))</f>
        <v/>
      </c>
      <c r="K1229" s="74" t="str">
        <f t="shared" si="1219"/>
        <v/>
      </c>
      <c r="L1229" s="69" t="str">
        <f>IF($B1229="","",PV-J1229)</f>
        <v/>
      </c>
      <c r="M1229" s="71" t="str">
        <f>IF($B1229="","",J1229/PV)</f>
        <v/>
      </c>
      <c r="N1229" s="72" t="str">
        <f t="shared" si="4"/>
        <v/>
      </c>
    </row>
    <row r="1230" ht="14.25" customHeight="1">
      <c r="B1230" s="66" t="str">
        <f>IF(ROWS($1:1218)&lt;=Nper,ROWS($1:1218),"")</f>
        <v/>
      </c>
      <c r="C1230" s="67" t="str">
        <f>IF($B1230="","",IF($E$7="Weekly",Start_Date+7*(ROWS($1:1218)-1),EDATE(Start_Date,VLOOKUP(IF(ASTemp!$E$7="","Monthly",ASTemp!$E$7),Parameters!$B$3:$D$6,3,0)*(ROWS($1:1218)-1))))</f>
        <v/>
      </c>
      <c r="D1230" s="68" t="str">
        <f t="shared" si="2"/>
        <v/>
      </c>
      <c r="E1230" s="65" t="str">
        <f>IF($B1230="","",VLOOKUP(MONTH(C1230),Parameters!$F$2:$G$13,2,0))</f>
        <v/>
      </c>
      <c r="F1230" s="69" t="str">
        <f>IF($B1230="","",PV-N(J1229))</f>
        <v/>
      </c>
      <c r="G1230" s="69" t="str">
        <f>IF($B1230="","",PMT(Rate,Nper,-PV,,Type))</f>
        <v/>
      </c>
      <c r="H1230" s="69" t="str">
        <f>IF($B1230="","",PPMT(Rate,ROWS($1:1218),Nper,-PV,,Type))</f>
        <v/>
      </c>
      <c r="I1230" s="69" t="str">
        <f>IF($B1230="","",IPMT(Rate,ROWS($1:1218),Nper,-PV,,Type))</f>
        <v/>
      </c>
      <c r="J1230" s="73" t="str">
        <f t="shared" ref="J1230:K1230" si="1220">IF($B1230="","",N(J1229)+N(H1230))</f>
        <v/>
      </c>
      <c r="K1230" s="74" t="str">
        <f t="shared" si="1220"/>
        <v/>
      </c>
      <c r="L1230" s="69" t="str">
        <f>IF($B1230="","",PV-J1230)</f>
        <v/>
      </c>
      <c r="M1230" s="71" t="str">
        <f>IF($B1230="","",J1230/PV)</f>
        <v/>
      </c>
      <c r="N1230" s="72" t="str">
        <f t="shared" si="4"/>
        <v/>
      </c>
    </row>
    <row r="1231" ht="14.25" customHeight="1">
      <c r="B1231" s="66" t="str">
        <f>IF(ROWS($1:1219)&lt;=Nper,ROWS($1:1219),"")</f>
        <v/>
      </c>
      <c r="C1231" s="67" t="str">
        <f>IF($B1231="","",IF($E$7="Weekly",Start_Date+7*(ROWS($1:1219)-1),EDATE(Start_Date,VLOOKUP(IF(ASTemp!$E$7="","Monthly",ASTemp!$E$7),Parameters!$B$3:$D$6,3,0)*(ROWS($1:1219)-1))))</f>
        <v/>
      </c>
      <c r="D1231" s="68" t="str">
        <f t="shared" si="2"/>
        <v/>
      </c>
      <c r="E1231" s="65" t="str">
        <f>IF($B1231="","",VLOOKUP(MONTH(C1231),Parameters!$F$2:$G$13,2,0))</f>
        <v/>
      </c>
      <c r="F1231" s="69" t="str">
        <f>IF($B1231="","",PV-N(J1230))</f>
        <v/>
      </c>
      <c r="G1231" s="69" t="str">
        <f>IF($B1231="","",PMT(Rate,Nper,-PV,,Type))</f>
        <v/>
      </c>
      <c r="H1231" s="69" t="str">
        <f>IF($B1231="","",PPMT(Rate,ROWS($1:1219),Nper,-PV,,Type))</f>
        <v/>
      </c>
      <c r="I1231" s="69" t="str">
        <f>IF($B1231="","",IPMT(Rate,ROWS($1:1219),Nper,-PV,,Type))</f>
        <v/>
      </c>
      <c r="J1231" s="73" t="str">
        <f t="shared" ref="J1231:K1231" si="1221">IF($B1231="","",N(J1230)+N(H1231))</f>
        <v/>
      </c>
      <c r="K1231" s="74" t="str">
        <f t="shared" si="1221"/>
        <v/>
      </c>
      <c r="L1231" s="69" t="str">
        <f>IF($B1231="","",PV-J1231)</f>
        <v/>
      </c>
      <c r="M1231" s="71" t="str">
        <f>IF($B1231="","",J1231/PV)</f>
        <v/>
      </c>
      <c r="N1231" s="72" t="str">
        <f t="shared" si="4"/>
        <v/>
      </c>
    </row>
    <row r="1232" ht="14.25" customHeight="1">
      <c r="B1232" s="66" t="str">
        <f>IF(ROWS($1:1220)&lt;=Nper,ROWS($1:1220),"")</f>
        <v/>
      </c>
      <c r="C1232" s="67" t="str">
        <f>IF($B1232="","",IF($E$7="Weekly",Start_Date+7*(ROWS($1:1220)-1),EDATE(Start_Date,VLOOKUP(IF(ASTemp!$E$7="","Monthly",ASTemp!$E$7),Parameters!$B$3:$D$6,3,0)*(ROWS($1:1220)-1))))</f>
        <v/>
      </c>
      <c r="D1232" s="68" t="str">
        <f t="shared" si="2"/>
        <v/>
      </c>
      <c r="E1232" s="65" t="str">
        <f>IF($B1232="","",VLOOKUP(MONTH(C1232),Parameters!$F$2:$G$13,2,0))</f>
        <v/>
      </c>
      <c r="F1232" s="69" t="str">
        <f>IF($B1232="","",PV-N(J1231))</f>
        <v/>
      </c>
      <c r="G1232" s="69" t="str">
        <f>IF($B1232="","",PMT(Rate,Nper,-PV,,Type))</f>
        <v/>
      </c>
      <c r="H1232" s="69" t="str">
        <f>IF($B1232="","",PPMT(Rate,ROWS($1:1220),Nper,-PV,,Type))</f>
        <v/>
      </c>
      <c r="I1232" s="69" t="str">
        <f>IF($B1232="","",IPMT(Rate,ROWS($1:1220),Nper,-PV,,Type))</f>
        <v/>
      </c>
      <c r="J1232" s="73" t="str">
        <f t="shared" ref="J1232:K1232" si="1222">IF($B1232="","",N(J1231)+N(H1232))</f>
        <v/>
      </c>
      <c r="K1232" s="74" t="str">
        <f t="shared" si="1222"/>
        <v/>
      </c>
      <c r="L1232" s="69" t="str">
        <f>IF($B1232="","",PV-J1232)</f>
        <v/>
      </c>
      <c r="M1232" s="71" t="str">
        <f>IF($B1232="","",J1232/PV)</f>
        <v/>
      </c>
      <c r="N1232" s="72" t="str">
        <f t="shared" si="4"/>
        <v/>
      </c>
    </row>
    <row r="1233" ht="14.25" customHeight="1">
      <c r="B1233" s="66" t="str">
        <f>IF(ROWS($1:1221)&lt;=Nper,ROWS($1:1221),"")</f>
        <v/>
      </c>
      <c r="C1233" s="67" t="str">
        <f>IF($B1233="","",IF($E$7="Weekly",Start_Date+7*(ROWS($1:1221)-1),EDATE(Start_Date,VLOOKUP(IF(ASTemp!$E$7="","Monthly",ASTemp!$E$7),Parameters!$B$3:$D$6,3,0)*(ROWS($1:1221)-1))))</f>
        <v/>
      </c>
      <c r="D1233" s="68" t="str">
        <f t="shared" si="2"/>
        <v/>
      </c>
      <c r="E1233" s="65" t="str">
        <f>IF($B1233="","",VLOOKUP(MONTH(C1233),Parameters!$F$2:$G$13,2,0))</f>
        <v/>
      </c>
      <c r="F1233" s="69" t="str">
        <f>IF($B1233="","",PV-N(J1232))</f>
        <v/>
      </c>
      <c r="G1233" s="69" t="str">
        <f>IF($B1233="","",PMT(Rate,Nper,-PV,,Type))</f>
        <v/>
      </c>
      <c r="H1233" s="69" t="str">
        <f>IF($B1233="","",PPMT(Rate,ROWS($1:1221),Nper,-PV,,Type))</f>
        <v/>
      </c>
      <c r="I1233" s="69" t="str">
        <f>IF($B1233="","",IPMT(Rate,ROWS($1:1221),Nper,-PV,,Type))</f>
        <v/>
      </c>
      <c r="J1233" s="73" t="str">
        <f t="shared" ref="J1233:K1233" si="1223">IF($B1233="","",N(J1232)+N(H1233))</f>
        <v/>
      </c>
      <c r="K1233" s="74" t="str">
        <f t="shared" si="1223"/>
        <v/>
      </c>
      <c r="L1233" s="69" t="str">
        <f>IF($B1233="","",PV-J1233)</f>
        <v/>
      </c>
      <c r="M1233" s="71" t="str">
        <f>IF($B1233="","",J1233/PV)</f>
        <v/>
      </c>
      <c r="N1233" s="72" t="str">
        <f t="shared" si="4"/>
        <v/>
      </c>
    </row>
    <row r="1234" ht="14.25" customHeight="1">
      <c r="B1234" s="66" t="str">
        <f>IF(ROWS($1:1222)&lt;=Nper,ROWS($1:1222),"")</f>
        <v/>
      </c>
      <c r="C1234" s="67" t="str">
        <f>IF($B1234="","",IF($E$7="Weekly",Start_Date+7*(ROWS($1:1222)-1),EDATE(Start_Date,VLOOKUP(IF(ASTemp!$E$7="","Monthly",ASTemp!$E$7),Parameters!$B$3:$D$6,3,0)*(ROWS($1:1222)-1))))</f>
        <v/>
      </c>
      <c r="D1234" s="68" t="str">
        <f t="shared" si="2"/>
        <v/>
      </c>
      <c r="E1234" s="65" t="str">
        <f>IF($B1234="","",VLOOKUP(MONTH(C1234),Parameters!$F$2:$G$13,2,0))</f>
        <v/>
      </c>
      <c r="F1234" s="69" t="str">
        <f>IF($B1234="","",PV-N(J1233))</f>
        <v/>
      </c>
      <c r="G1234" s="69" t="str">
        <f>IF($B1234="","",PMT(Rate,Nper,-PV,,Type))</f>
        <v/>
      </c>
      <c r="H1234" s="69" t="str">
        <f>IF($B1234="","",PPMT(Rate,ROWS($1:1222),Nper,-PV,,Type))</f>
        <v/>
      </c>
      <c r="I1234" s="69" t="str">
        <f>IF($B1234="","",IPMT(Rate,ROWS($1:1222),Nper,-PV,,Type))</f>
        <v/>
      </c>
      <c r="J1234" s="73" t="str">
        <f t="shared" ref="J1234:K1234" si="1224">IF($B1234="","",N(J1233)+N(H1234))</f>
        <v/>
      </c>
      <c r="K1234" s="74" t="str">
        <f t="shared" si="1224"/>
        <v/>
      </c>
      <c r="L1234" s="69" t="str">
        <f>IF($B1234="","",PV-J1234)</f>
        <v/>
      </c>
      <c r="M1234" s="71" t="str">
        <f>IF($B1234="","",J1234/PV)</f>
        <v/>
      </c>
      <c r="N1234" s="72" t="str">
        <f t="shared" si="4"/>
        <v/>
      </c>
    </row>
    <row r="1235" ht="14.25" customHeight="1">
      <c r="B1235" s="66" t="str">
        <f>IF(ROWS($1:1223)&lt;=Nper,ROWS($1:1223),"")</f>
        <v/>
      </c>
      <c r="C1235" s="67" t="str">
        <f>IF($B1235="","",IF($E$7="Weekly",Start_Date+7*(ROWS($1:1223)-1),EDATE(Start_Date,VLOOKUP(IF(ASTemp!$E$7="","Monthly",ASTemp!$E$7),Parameters!$B$3:$D$6,3,0)*(ROWS($1:1223)-1))))</f>
        <v/>
      </c>
      <c r="D1235" s="68" t="str">
        <f t="shared" si="2"/>
        <v/>
      </c>
      <c r="E1235" s="65" t="str">
        <f>IF($B1235="","",VLOOKUP(MONTH(C1235),Parameters!$F$2:$G$13,2,0))</f>
        <v/>
      </c>
      <c r="F1235" s="69" t="str">
        <f>IF($B1235="","",PV-N(J1234))</f>
        <v/>
      </c>
      <c r="G1235" s="69" t="str">
        <f>IF($B1235="","",PMT(Rate,Nper,-PV,,Type))</f>
        <v/>
      </c>
      <c r="H1235" s="69" t="str">
        <f>IF($B1235="","",PPMT(Rate,ROWS($1:1223),Nper,-PV,,Type))</f>
        <v/>
      </c>
      <c r="I1235" s="69" t="str">
        <f>IF($B1235="","",IPMT(Rate,ROWS($1:1223),Nper,-PV,,Type))</f>
        <v/>
      </c>
      <c r="J1235" s="73" t="str">
        <f t="shared" ref="J1235:K1235" si="1225">IF($B1235="","",N(J1234)+N(H1235))</f>
        <v/>
      </c>
      <c r="K1235" s="74" t="str">
        <f t="shared" si="1225"/>
        <v/>
      </c>
      <c r="L1235" s="69" t="str">
        <f>IF($B1235="","",PV-J1235)</f>
        <v/>
      </c>
      <c r="M1235" s="71" t="str">
        <f>IF($B1235="","",J1235/PV)</f>
        <v/>
      </c>
      <c r="N1235" s="72" t="str">
        <f t="shared" si="4"/>
        <v/>
      </c>
    </row>
    <row r="1236" ht="14.25" customHeight="1">
      <c r="B1236" s="66" t="str">
        <f>IF(ROWS($1:1224)&lt;=Nper,ROWS($1:1224),"")</f>
        <v/>
      </c>
      <c r="C1236" s="67" t="str">
        <f>IF($B1236="","",IF($E$7="Weekly",Start_Date+7*(ROWS($1:1224)-1),EDATE(Start_Date,VLOOKUP(IF(ASTemp!$E$7="","Monthly",ASTemp!$E$7),Parameters!$B$3:$D$6,3,0)*(ROWS($1:1224)-1))))</f>
        <v/>
      </c>
      <c r="D1236" s="68" t="str">
        <f t="shared" si="2"/>
        <v/>
      </c>
      <c r="E1236" s="65" t="str">
        <f>IF($B1236="","",VLOOKUP(MONTH(C1236),Parameters!$F$2:$G$13,2,0))</f>
        <v/>
      </c>
      <c r="F1236" s="69" t="str">
        <f>IF($B1236="","",PV-N(J1235))</f>
        <v/>
      </c>
      <c r="G1236" s="69" t="str">
        <f>IF($B1236="","",PMT(Rate,Nper,-PV,,Type))</f>
        <v/>
      </c>
      <c r="H1236" s="69" t="str">
        <f>IF($B1236="","",PPMT(Rate,ROWS($1:1224),Nper,-PV,,Type))</f>
        <v/>
      </c>
      <c r="I1236" s="69" t="str">
        <f>IF($B1236="","",IPMT(Rate,ROWS($1:1224),Nper,-PV,,Type))</f>
        <v/>
      </c>
      <c r="J1236" s="73" t="str">
        <f t="shared" ref="J1236:K1236" si="1226">IF($B1236="","",N(J1235)+N(H1236))</f>
        <v/>
      </c>
      <c r="K1236" s="74" t="str">
        <f t="shared" si="1226"/>
        <v/>
      </c>
      <c r="L1236" s="69" t="str">
        <f>IF($B1236="","",PV-J1236)</f>
        <v/>
      </c>
      <c r="M1236" s="71" t="str">
        <f>IF($B1236="","",J1236/PV)</f>
        <v/>
      </c>
      <c r="N1236" s="72" t="str">
        <f t="shared" si="4"/>
        <v/>
      </c>
    </row>
    <row r="1237" ht="14.25" customHeight="1">
      <c r="B1237" s="66" t="str">
        <f>IF(ROWS($1:1225)&lt;=Nper,ROWS($1:1225),"")</f>
        <v/>
      </c>
      <c r="C1237" s="67" t="str">
        <f>IF($B1237="","",IF($E$7="Weekly",Start_Date+7*(ROWS($1:1225)-1),EDATE(Start_Date,VLOOKUP(IF(ASTemp!$E$7="","Monthly",ASTemp!$E$7),Parameters!$B$3:$D$6,3,0)*(ROWS($1:1225)-1))))</f>
        <v/>
      </c>
      <c r="D1237" s="68" t="str">
        <f t="shared" si="2"/>
        <v/>
      </c>
      <c r="E1237" s="65" t="str">
        <f>IF($B1237="","",VLOOKUP(MONTH(C1237),Parameters!$F$2:$G$13,2,0))</f>
        <v/>
      </c>
      <c r="F1237" s="69" t="str">
        <f>IF($B1237="","",PV-N(J1236))</f>
        <v/>
      </c>
      <c r="G1237" s="69" t="str">
        <f>IF($B1237="","",PMT(Rate,Nper,-PV,,Type))</f>
        <v/>
      </c>
      <c r="H1237" s="69" t="str">
        <f>IF($B1237="","",PPMT(Rate,ROWS($1:1225),Nper,-PV,,Type))</f>
        <v/>
      </c>
      <c r="I1237" s="69" t="str">
        <f>IF($B1237="","",IPMT(Rate,ROWS($1:1225),Nper,-PV,,Type))</f>
        <v/>
      </c>
      <c r="J1237" s="73" t="str">
        <f t="shared" ref="J1237:K1237" si="1227">IF($B1237="","",N(J1236)+N(H1237))</f>
        <v/>
      </c>
      <c r="K1237" s="74" t="str">
        <f t="shared" si="1227"/>
        <v/>
      </c>
      <c r="L1237" s="69" t="str">
        <f>IF($B1237="","",PV-J1237)</f>
        <v/>
      </c>
      <c r="M1237" s="71" t="str">
        <f>IF($B1237="","",J1237/PV)</f>
        <v/>
      </c>
      <c r="N1237" s="72" t="str">
        <f t="shared" si="4"/>
        <v/>
      </c>
    </row>
    <row r="1238" ht="14.25" customHeight="1">
      <c r="B1238" s="66" t="str">
        <f>IF(ROWS($1:1226)&lt;=Nper,ROWS($1:1226),"")</f>
        <v/>
      </c>
      <c r="C1238" s="67" t="str">
        <f>IF($B1238="","",IF($E$7="Weekly",Start_Date+7*(ROWS($1:1226)-1),EDATE(Start_Date,VLOOKUP(IF(ASTemp!$E$7="","Monthly",ASTemp!$E$7),Parameters!$B$3:$D$6,3,0)*(ROWS($1:1226)-1))))</f>
        <v/>
      </c>
      <c r="D1238" s="68" t="str">
        <f t="shared" si="2"/>
        <v/>
      </c>
      <c r="E1238" s="65" t="str">
        <f>IF($B1238="","",VLOOKUP(MONTH(C1238),Parameters!$F$2:$G$13,2,0))</f>
        <v/>
      </c>
      <c r="F1238" s="69" t="str">
        <f>IF($B1238="","",PV-N(J1237))</f>
        <v/>
      </c>
      <c r="G1238" s="69" t="str">
        <f>IF($B1238="","",PMT(Rate,Nper,-PV,,Type))</f>
        <v/>
      </c>
      <c r="H1238" s="69" t="str">
        <f>IF($B1238="","",PPMT(Rate,ROWS($1:1226),Nper,-PV,,Type))</f>
        <v/>
      </c>
      <c r="I1238" s="69" t="str">
        <f>IF($B1238="","",IPMT(Rate,ROWS($1:1226),Nper,-PV,,Type))</f>
        <v/>
      </c>
      <c r="J1238" s="73" t="str">
        <f t="shared" ref="J1238:K1238" si="1228">IF($B1238="","",N(J1237)+N(H1238))</f>
        <v/>
      </c>
      <c r="K1238" s="74" t="str">
        <f t="shared" si="1228"/>
        <v/>
      </c>
      <c r="L1238" s="69" t="str">
        <f>IF($B1238="","",PV-J1238)</f>
        <v/>
      </c>
      <c r="M1238" s="71" t="str">
        <f>IF($B1238="","",J1238/PV)</f>
        <v/>
      </c>
      <c r="N1238" s="72" t="str">
        <f t="shared" si="4"/>
        <v/>
      </c>
    </row>
    <row r="1239" ht="14.25" customHeight="1">
      <c r="B1239" s="66" t="str">
        <f>IF(ROWS($1:1227)&lt;=Nper,ROWS($1:1227),"")</f>
        <v/>
      </c>
      <c r="C1239" s="67" t="str">
        <f>IF($B1239="","",IF($E$7="Weekly",Start_Date+7*(ROWS($1:1227)-1),EDATE(Start_Date,VLOOKUP(IF(ASTemp!$E$7="","Monthly",ASTemp!$E$7),Parameters!$B$3:$D$6,3,0)*(ROWS($1:1227)-1))))</f>
        <v/>
      </c>
      <c r="D1239" s="68" t="str">
        <f t="shared" si="2"/>
        <v/>
      </c>
      <c r="E1239" s="65" t="str">
        <f>IF($B1239="","",VLOOKUP(MONTH(C1239),Parameters!$F$2:$G$13,2,0))</f>
        <v/>
      </c>
      <c r="F1239" s="69" t="str">
        <f>IF($B1239="","",PV-N(J1238))</f>
        <v/>
      </c>
      <c r="G1239" s="69" t="str">
        <f>IF($B1239="","",PMT(Rate,Nper,-PV,,Type))</f>
        <v/>
      </c>
      <c r="H1239" s="69" t="str">
        <f>IF($B1239="","",PPMT(Rate,ROWS($1:1227),Nper,-PV,,Type))</f>
        <v/>
      </c>
      <c r="I1239" s="69" t="str">
        <f>IF($B1239="","",IPMT(Rate,ROWS($1:1227),Nper,-PV,,Type))</f>
        <v/>
      </c>
      <c r="J1239" s="73" t="str">
        <f t="shared" ref="J1239:K1239" si="1229">IF($B1239="","",N(J1238)+N(H1239))</f>
        <v/>
      </c>
      <c r="K1239" s="74" t="str">
        <f t="shared" si="1229"/>
        <v/>
      </c>
      <c r="L1239" s="69" t="str">
        <f>IF($B1239="","",PV-J1239)</f>
        <v/>
      </c>
      <c r="M1239" s="71" t="str">
        <f>IF($B1239="","",J1239/PV)</f>
        <v/>
      </c>
      <c r="N1239" s="72" t="str">
        <f t="shared" si="4"/>
        <v/>
      </c>
    </row>
    <row r="1240" ht="14.25" customHeight="1">
      <c r="B1240" s="66" t="str">
        <f>IF(ROWS($1:1228)&lt;=Nper,ROWS($1:1228),"")</f>
        <v/>
      </c>
      <c r="C1240" s="67" t="str">
        <f>IF($B1240="","",IF($E$7="Weekly",Start_Date+7*(ROWS($1:1228)-1),EDATE(Start_Date,VLOOKUP(IF(ASTemp!$E$7="","Monthly",ASTemp!$E$7),Parameters!$B$3:$D$6,3,0)*(ROWS($1:1228)-1))))</f>
        <v/>
      </c>
      <c r="D1240" s="68" t="str">
        <f t="shared" si="2"/>
        <v/>
      </c>
      <c r="E1240" s="65" t="str">
        <f>IF($B1240="","",VLOOKUP(MONTH(C1240),Parameters!$F$2:$G$13,2,0))</f>
        <v/>
      </c>
      <c r="F1240" s="69" t="str">
        <f>IF($B1240="","",PV-N(J1239))</f>
        <v/>
      </c>
      <c r="G1240" s="69" t="str">
        <f>IF($B1240="","",PMT(Rate,Nper,-PV,,Type))</f>
        <v/>
      </c>
      <c r="H1240" s="69" t="str">
        <f>IF($B1240="","",PPMT(Rate,ROWS($1:1228),Nper,-PV,,Type))</f>
        <v/>
      </c>
      <c r="I1240" s="69" t="str">
        <f>IF($B1240="","",IPMT(Rate,ROWS($1:1228),Nper,-PV,,Type))</f>
        <v/>
      </c>
      <c r="J1240" s="73" t="str">
        <f t="shared" ref="J1240:K1240" si="1230">IF($B1240="","",N(J1239)+N(H1240))</f>
        <v/>
      </c>
      <c r="K1240" s="74" t="str">
        <f t="shared" si="1230"/>
        <v/>
      </c>
      <c r="L1240" s="69" t="str">
        <f>IF($B1240="","",PV-J1240)</f>
        <v/>
      </c>
      <c r="M1240" s="71" t="str">
        <f>IF($B1240="","",J1240/PV)</f>
        <v/>
      </c>
      <c r="N1240" s="72" t="str">
        <f t="shared" si="4"/>
        <v/>
      </c>
    </row>
    <row r="1241" ht="14.25" customHeight="1">
      <c r="B1241" s="66" t="str">
        <f>IF(ROWS($1:1229)&lt;=Nper,ROWS($1:1229),"")</f>
        <v/>
      </c>
      <c r="C1241" s="67" t="str">
        <f>IF($B1241="","",IF($E$7="Weekly",Start_Date+7*(ROWS($1:1229)-1),EDATE(Start_Date,VLOOKUP(IF(ASTemp!$E$7="","Monthly",ASTemp!$E$7),Parameters!$B$3:$D$6,3,0)*(ROWS($1:1229)-1))))</f>
        <v/>
      </c>
      <c r="D1241" s="68" t="str">
        <f t="shared" si="2"/>
        <v/>
      </c>
      <c r="E1241" s="65" t="str">
        <f>IF($B1241="","",VLOOKUP(MONTH(C1241),Parameters!$F$2:$G$13,2,0))</f>
        <v/>
      </c>
      <c r="F1241" s="69" t="str">
        <f>IF($B1241="","",PV-N(J1240))</f>
        <v/>
      </c>
      <c r="G1241" s="69" t="str">
        <f>IF($B1241="","",PMT(Rate,Nper,-PV,,Type))</f>
        <v/>
      </c>
      <c r="H1241" s="69" t="str">
        <f>IF($B1241="","",PPMT(Rate,ROWS($1:1229),Nper,-PV,,Type))</f>
        <v/>
      </c>
      <c r="I1241" s="69" t="str">
        <f>IF($B1241="","",IPMT(Rate,ROWS($1:1229),Nper,-PV,,Type))</f>
        <v/>
      </c>
      <c r="J1241" s="73" t="str">
        <f t="shared" ref="J1241:K1241" si="1231">IF($B1241="","",N(J1240)+N(H1241))</f>
        <v/>
      </c>
      <c r="K1241" s="74" t="str">
        <f t="shared" si="1231"/>
        <v/>
      </c>
      <c r="L1241" s="69" t="str">
        <f>IF($B1241="","",PV-J1241)</f>
        <v/>
      </c>
      <c r="M1241" s="71" t="str">
        <f>IF($B1241="","",J1241/PV)</f>
        <v/>
      </c>
      <c r="N1241" s="72" t="str">
        <f t="shared" si="4"/>
        <v/>
      </c>
    </row>
    <row r="1242" ht="14.25" customHeight="1">
      <c r="B1242" s="66" t="str">
        <f>IF(ROWS($1:1230)&lt;=Nper,ROWS($1:1230),"")</f>
        <v/>
      </c>
      <c r="C1242" s="67" t="str">
        <f>IF($B1242="","",IF($E$7="Weekly",Start_Date+7*(ROWS($1:1230)-1),EDATE(Start_Date,VLOOKUP(IF(ASTemp!$E$7="","Monthly",ASTemp!$E$7),Parameters!$B$3:$D$6,3,0)*(ROWS($1:1230)-1))))</f>
        <v/>
      </c>
      <c r="D1242" s="68" t="str">
        <f t="shared" si="2"/>
        <v/>
      </c>
      <c r="E1242" s="65" t="str">
        <f>IF($B1242="","",VLOOKUP(MONTH(C1242),Parameters!$F$2:$G$13,2,0))</f>
        <v/>
      </c>
      <c r="F1242" s="69" t="str">
        <f>IF($B1242="","",PV-N(J1241))</f>
        <v/>
      </c>
      <c r="G1242" s="69" t="str">
        <f>IF($B1242="","",PMT(Rate,Nper,-PV,,Type))</f>
        <v/>
      </c>
      <c r="H1242" s="69" t="str">
        <f>IF($B1242="","",PPMT(Rate,ROWS($1:1230),Nper,-PV,,Type))</f>
        <v/>
      </c>
      <c r="I1242" s="69" t="str">
        <f>IF($B1242="","",IPMT(Rate,ROWS($1:1230),Nper,-PV,,Type))</f>
        <v/>
      </c>
      <c r="J1242" s="73" t="str">
        <f t="shared" ref="J1242:K1242" si="1232">IF($B1242="","",N(J1241)+N(H1242))</f>
        <v/>
      </c>
      <c r="K1242" s="74" t="str">
        <f t="shared" si="1232"/>
        <v/>
      </c>
      <c r="L1242" s="69" t="str">
        <f>IF($B1242="","",PV-J1242)</f>
        <v/>
      </c>
      <c r="M1242" s="71" t="str">
        <f>IF($B1242="","",J1242/PV)</f>
        <v/>
      </c>
      <c r="N1242" s="72" t="str">
        <f t="shared" si="4"/>
        <v/>
      </c>
    </row>
    <row r="1243" ht="14.25" customHeight="1">
      <c r="B1243" s="66" t="str">
        <f>IF(ROWS($1:1231)&lt;=Nper,ROWS($1:1231),"")</f>
        <v/>
      </c>
      <c r="C1243" s="67" t="str">
        <f>IF($B1243="","",IF($E$7="Weekly",Start_Date+7*(ROWS($1:1231)-1),EDATE(Start_Date,VLOOKUP(IF(ASTemp!$E$7="","Monthly",ASTemp!$E$7),Parameters!$B$3:$D$6,3,0)*(ROWS($1:1231)-1))))</f>
        <v/>
      </c>
      <c r="D1243" s="68" t="str">
        <f t="shared" si="2"/>
        <v/>
      </c>
      <c r="E1243" s="65" t="str">
        <f>IF($B1243="","",VLOOKUP(MONTH(C1243),Parameters!$F$2:$G$13,2,0))</f>
        <v/>
      </c>
      <c r="F1243" s="69" t="str">
        <f>IF($B1243="","",PV-N(J1242))</f>
        <v/>
      </c>
      <c r="G1243" s="69" t="str">
        <f>IF($B1243="","",PMT(Rate,Nper,-PV,,Type))</f>
        <v/>
      </c>
      <c r="H1243" s="69" t="str">
        <f>IF($B1243="","",PPMT(Rate,ROWS($1:1231),Nper,-PV,,Type))</f>
        <v/>
      </c>
      <c r="I1243" s="69" t="str">
        <f>IF($B1243="","",IPMT(Rate,ROWS($1:1231),Nper,-PV,,Type))</f>
        <v/>
      </c>
      <c r="J1243" s="73" t="str">
        <f t="shared" ref="J1243:K1243" si="1233">IF($B1243="","",N(J1242)+N(H1243))</f>
        <v/>
      </c>
      <c r="K1243" s="74" t="str">
        <f t="shared" si="1233"/>
        <v/>
      </c>
      <c r="L1243" s="69" t="str">
        <f>IF($B1243="","",PV-J1243)</f>
        <v/>
      </c>
      <c r="M1243" s="71" t="str">
        <f>IF($B1243="","",J1243/PV)</f>
        <v/>
      </c>
      <c r="N1243" s="72" t="str">
        <f t="shared" si="4"/>
        <v/>
      </c>
    </row>
    <row r="1244" ht="14.25" customHeight="1">
      <c r="B1244" s="66" t="str">
        <f>IF(ROWS($1:1232)&lt;=Nper,ROWS($1:1232),"")</f>
        <v/>
      </c>
      <c r="C1244" s="67" t="str">
        <f>IF($B1244="","",IF($E$7="Weekly",Start_Date+7*(ROWS($1:1232)-1),EDATE(Start_Date,VLOOKUP(IF(ASTemp!$E$7="","Monthly",ASTemp!$E$7),Parameters!$B$3:$D$6,3,0)*(ROWS($1:1232)-1))))</f>
        <v/>
      </c>
      <c r="D1244" s="68" t="str">
        <f t="shared" si="2"/>
        <v/>
      </c>
      <c r="E1244" s="65" t="str">
        <f>IF($B1244="","",VLOOKUP(MONTH(C1244),Parameters!$F$2:$G$13,2,0))</f>
        <v/>
      </c>
      <c r="F1244" s="69" t="str">
        <f>IF($B1244="","",PV-N(J1243))</f>
        <v/>
      </c>
      <c r="G1244" s="69" t="str">
        <f>IF($B1244="","",PMT(Rate,Nper,-PV,,Type))</f>
        <v/>
      </c>
      <c r="H1244" s="69" t="str">
        <f>IF($B1244="","",PPMT(Rate,ROWS($1:1232),Nper,-PV,,Type))</f>
        <v/>
      </c>
      <c r="I1244" s="69" t="str">
        <f>IF($B1244="","",IPMT(Rate,ROWS($1:1232),Nper,-PV,,Type))</f>
        <v/>
      </c>
      <c r="J1244" s="73" t="str">
        <f t="shared" ref="J1244:K1244" si="1234">IF($B1244="","",N(J1243)+N(H1244))</f>
        <v/>
      </c>
      <c r="K1244" s="74" t="str">
        <f t="shared" si="1234"/>
        <v/>
      </c>
      <c r="L1244" s="69" t="str">
        <f>IF($B1244="","",PV-J1244)</f>
        <v/>
      </c>
      <c r="M1244" s="71" t="str">
        <f>IF($B1244="","",J1244/PV)</f>
        <v/>
      </c>
      <c r="N1244" s="72" t="str">
        <f t="shared" si="4"/>
        <v/>
      </c>
    </row>
    <row r="1245" ht="14.25" customHeight="1">
      <c r="B1245" s="66" t="str">
        <f>IF(ROWS($1:1233)&lt;=Nper,ROWS($1:1233),"")</f>
        <v/>
      </c>
      <c r="C1245" s="67" t="str">
        <f>IF($B1245="","",IF($E$7="Weekly",Start_Date+7*(ROWS($1:1233)-1),EDATE(Start_Date,VLOOKUP(IF(ASTemp!$E$7="","Monthly",ASTemp!$E$7),Parameters!$B$3:$D$6,3,0)*(ROWS($1:1233)-1))))</f>
        <v/>
      </c>
      <c r="D1245" s="68" t="str">
        <f t="shared" si="2"/>
        <v/>
      </c>
      <c r="E1245" s="65" t="str">
        <f>IF($B1245="","",VLOOKUP(MONTH(C1245),Parameters!$F$2:$G$13,2,0))</f>
        <v/>
      </c>
      <c r="F1245" s="69" t="str">
        <f>IF($B1245="","",PV-N(J1244))</f>
        <v/>
      </c>
      <c r="G1245" s="69" t="str">
        <f>IF($B1245="","",PMT(Rate,Nper,-PV,,Type))</f>
        <v/>
      </c>
      <c r="H1245" s="69" t="str">
        <f>IF($B1245="","",PPMT(Rate,ROWS($1:1233),Nper,-PV,,Type))</f>
        <v/>
      </c>
      <c r="I1245" s="69" t="str">
        <f>IF($B1245="","",IPMT(Rate,ROWS($1:1233),Nper,-PV,,Type))</f>
        <v/>
      </c>
      <c r="J1245" s="73" t="str">
        <f t="shared" ref="J1245:K1245" si="1235">IF($B1245="","",N(J1244)+N(H1245))</f>
        <v/>
      </c>
      <c r="K1245" s="74" t="str">
        <f t="shared" si="1235"/>
        <v/>
      </c>
      <c r="L1245" s="69" t="str">
        <f>IF($B1245="","",PV-J1245)</f>
        <v/>
      </c>
      <c r="M1245" s="71" t="str">
        <f>IF($B1245="","",J1245/PV)</f>
        <v/>
      </c>
      <c r="N1245" s="72" t="str">
        <f t="shared" si="4"/>
        <v/>
      </c>
    </row>
    <row r="1246" ht="14.25" customHeight="1">
      <c r="B1246" s="66" t="str">
        <f>IF(ROWS($1:1234)&lt;=Nper,ROWS($1:1234),"")</f>
        <v/>
      </c>
      <c r="C1246" s="67" t="str">
        <f>IF($B1246="","",IF($E$7="Weekly",Start_Date+7*(ROWS($1:1234)-1),EDATE(Start_Date,VLOOKUP(IF(ASTemp!$E$7="","Monthly",ASTemp!$E$7),Parameters!$B$3:$D$6,3,0)*(ROWS($1:1234)-1))))</f>
        <v/>
      </c>
      <c r="D1246" s="68" t="str">
        <f t="shared" si="2"/>
        <v/>
      </c>
      <c r="E1246" s="65" t="str">
        <f>IF($B1246="","",VLOOKUP(MONTH(C1246),Parameters!$F$2:$G$13,2,0))</f>
        <v/>
      </c>
      <c r="F1246" s="69" t="str">
        <f>IF($B1246="","",PV-N(J1245))</f>
        <v/>
      </c>
      <c r="G1246" s="69" t="str">
        <f>IF($B1246="","",PMT(Rate,Nper,-PV,,Type))</f>
        <v/>
      </c>
      <c r="H1246" s="69" t="str">
        <f>IF($B1246="","",PPMT(Rate,ROWS($1:1234),Nper,-PV,,Type))</f>
        <v/>
      </c>
      <c r="I1246" s="69" t="str">
        <f>IF($B1246="","",IPMT(Rate,ROWS($1:1234),Nper,-PV,,Type))</f>
        <v/>
      </c>
      <c r="J1246" s="73" t="str">
        <f t="shared" ref="J1246:K1246" si="1236">IF($B1246="","",N(J1245)+N(H1246))</f>
        <v/>
      </c>
      <c r="K1246" s="74" t="str">
        <f t="shared" si="1236"/>
        <v/>
      </c>
      <c r="L1246" s="69" t="str">
        <f>IF($B1246="","",PV-J1246)</f>
        <v/>
      </c>
      <c r="M1246" s="71" t="str">
        <f>IF($B1246="","",J1246/PV)</f>
        <v/>
      </c>
      <c r="N1246" s="72" t="str">
        <f t="shared" si="4"/>
        <v/>
      </c>
    </row>
    <row r="1247" ht="14.25" customHeight="1">
      <c r="B1247" s="66" t="str">
        <f>IF(ROWS($1:1235)&lt;=Nper,ROWS($1:1235),"")</f>
        <v/>
      </c>
      <c r="C1247" s="67" t="str">
        <f>IF($B1247="","",IF($E$7="Weekly",Start_Date+7*(ROWS($1:1235)-1),EDATE(Start_Date,VLOOKUP(IF(ASTemp!$E$7="","Monthly",ASTemp!$E$7),Parameters!$B$3:$D$6,3,0)*(ROWS($1:1235)-1))))</f>
        <v/>
      </c>
      <c r="D1247" s="68" t="str">
        <f t="shared" si="2"/>
        <v/>
      </c>
      <c r="E1247" s="65" t="str">
        <f>IF($B1247="","",VLOOKUP(MONTH(C1247),Parameters!$F$2:$G$13,2,0))</f>
        <v/>
      </c>
      <c r="F1247" s="69" t="str">
        <f>IF($B1247="","",PV-N(J1246))</f>
        <v/>
      </c>
      <c r="G1247" s="69" t="str">
        <f>IF($B1247="","",PMT(Rate,Nper,-PV,,Type))</f>
        <v/>
      </c>
      <c r="H1247" s="69" t="str">
        <f>IF($B1247="","",PPMT(Rate,ROWS($1:1235),Nper,-PV,,Type))</f>
        <v/>
      </c>
      <c r="I1247" s="69" t="str">
        <f>IF($B1247="","",IPMT(Rate,ROWS($1:1235),Nper,-PV,,Type))</f>
        <v/>
      </c>
      <c r="J1247" s="73" t="str">
        <f t="shared" ref="J1247:K1247" si="1237">IF($B1247="","",N(J1246)+N(H1247))</f>
        <v/>
      </c>
      <c r="K1247" s="74" t="str">
        <f t="shared" si="1237"/>
        <v/>
      </c>
      <c r="L1247" s="69" t="str">
        <f>IF($B1247="","",PV-J1247)</f>
        <v/>
      </c>
      <c r="M1247" s="71" t="str">
        <f>IF($B1247="","",J1247/PV)</f>
        <v/>
      </c>
      <c r="N1247" s="72" t="str">
        <f t="shared" si="4"/>
        <v/>
      </c>
    </row>
    <row r="1248" ht="14.25" customHeight="1">
      <c r="B1248" s="66" t="str">
        <f>IF(ROWS($1:1236)&lt;=Nper,ROWS($1:1236),"")</f>
        <v/>
      </c>
      <c r="C1248" s="67" t="str">
        <f>IF($B1248="","",IF($E$7="Weekly",Start_Date+7*(ROWS($1:1236)-1),EDATE(Start_Date,VLOOKUP(IF(ASTemp!$E$7="","Monthly",ASTemp!$E$7),Parameters!$B$3:$D$6,3,0)*(ROWS($1:1236)-1))))</f>
        <v/>
      </c>
      <c r="D1248" s="68" t="str">
        <f t="shared" si="2"/>
        <v/>
      </c>
      <c r="E1248" s="65" t="str">
        <f>IF($B1248="","",VLOOKUP(MONTH(C1248),Parameters!$F$2:$G$13,2,0))</f>
        <v/>
      </c>
      <c r="F1248" s="69" t="str">
        <f>IF($B1248="","",PV-N(J1247))</f>
        <v/>
      </c>
      <c r="G1248" s="69" t="str">
        <f>IF($B1248="","",PMT(Rate,Nper,-PV,,Type))</f>
        <v/>
      </c>
      <c r="H1248" s="69" t="str">
        <f>IF($B1248="","",PPMT(Rate,ROWS($1:1236),Nper,-PV,,Type))</f>
        <v/>
      </c>
      <c r="I1248" s="69" t="str">
        <f>IF($B1248="","",IPMT(Rate,ROWS($1:1236),Nper,-PV,,Type))</f>
        <v/>
      </c>
      <c r="J1248" s="73" t="str">
        <f t="shared" ref="J1248:K1248" si="1238">IF($B1248="","",N(J1247)+N(H1248))</f>
        <v/>
      </c>
      <c r="K1248" s="74" t="str">
        <f t="shared" si="1238"/>
        <v/>
      </c>
      <c r="L1248" s="69" t="str">
        <f>IF($B1248="","",PV-J1248)</f>
        <v/>
      </c>
      <c r="M1248" s="71" t="str">
        <f>IF($B1248="","",J1248/PV)</f>
        <v/>
      </c>
      <c r="N1248" s="72" t="str">
        <f t="shared" si="4"/>
        <v/>
      </c>
    </row>
    <row r="1249" ht="14.25" customHeight="1">
      <c r="B1249" s="66" t="str">
        <f>IF(ROWS($1:1237)&lt;=Nper,ROWS($1:1237),"")</f>
        <v/>
      </c>
      <c r="C1249" s="67" t="str">
        <f>IF($B1249="","",IF($E$7="Weekly",Start_Date+7*(ROWS($1:1237)-1),EDATE(Start_Date,VLOOKUP(IF(ASTemp!$E$7="","Monthly",ASTemp!$E$7),Parameters!$B$3:$D$6,3,0)*(ROWS($1:1237)-1))))</f>
        <v/>
      </c>
      <c r="D1249" s="68" t="str">
        <f t="shared" si="2"/>
        <v/>
      </c>
      <c r="E1249" s="65" t="str">
        <f>IF($B1249="","",VLOOKUP(MONTH(C1249),Parameters!$F$2:$G$13,2,0))</f>
        <v/>
      </c>
      <c r="F1249" s="69" t="str">
        <f>IF($B1249="","",PV-N(J1248))</f>
        <v/>
      </c>
      <c r="G1249" s="69" t="str">
        <f>IF($B1249="","",PMT(Rate,Nper,-PV,,Type))</f>
        <v/>
      </c>
      <c r="H1249" s="69" t="str">
        <f>IF($B1249="","",PPMT(Rate,ROWS($1:1237),Nper,-PV,,Type))</f>
        <v/>
      </c>
      <c r="I1249" s="69" t="str">
        <f>IF($B1249="","",IPMT(Rate,ROWS($1:1237),Nper,-PV,,Type))</f>
        <v/>
      </c>
      <c r="J1249" s="73" t="str">
        <f t="shared" ref="J1249:K1249" si="1239">IF($B1249="","",N(J1248)+N(H1249))</f>
        <v/>
      </c>
      <c r="K1249" s="74" t="str">
        <f t="shared" si="1239"/>
        <v/>
      </c>
      <c r="L1249" s="69" t="str">
        <f>IF($B1249="","",PV-J1249)</f>
        <v/>
      </c>
      <c r="M1249" s="71" t="str">
        <f>IF($B1249="","",J1249/PV)</f>
        <v/>
      </c>
      <c r="N1249" s="72" t="str">
        <f t="shared" si="4"/>
        <v/>
      </c>
    </row>
    <row r="1250" ht="14.25" customHeight="1">
      <c r="B1250" s="66" t="str">
        <f>IF(ROWS($1:1238)&lt;=Nper,ROWS($1:1238),"")</f>
        <v/>
      </c>
      <c r="C1250" s="67" t="str">
        <f>IF($B1250="","",IF($E$7="Weekly",Start_Date+7*(ROWS($1:1238)-1),EDATE(Start_Date,VLOOKUP(IF(ASTemp!$E$7="","Monthly",ASTemp!$E$7),Parameters!$B$3:$D$6,3,0)*(ROWS($1:1238)-1))))</f>
        <v/>
      </c>
      <c r="D1250" s="68" t="str">
        <f t="shared" si="2"/>
        <v/>
      </c>
      <c r="E1250" s="65" t="str">
        <f>IF($B1250="","",VLOOKUP(MONTH(C1250),Parameters!$F$2:$G$13,2,0))</f>
        <v/>
      </c>
      <c r="F1250" s="69" t="str">
        <f>IF($B1250="","",PV-N(J1249))</f>
        <v/>
      </c>
      <c r="G1250" s="69" t="str">
        <f>IF($B1250="","",PMT(Rate,Nper,-PV,,Type))</f>
        <v/>
      </c>
      <c r="H1250" s="69" t="str">
        <f>IF($B1250="","",PPMT(Rate,ROWS($1:1238),Nper,-PV,,Type))</f>
        <v/>
      </c>
      <c r="I1250" s="69" t="str">
        <f>IF($B1250="","",IPMT(Rate,ROWS($1:1238),Nper,-PV,,Type))</f>
        <v/>
      </c>
      <c r="J1250" s="73" t="str">
        <f t="shared" ref="J1250:K1250" si="1240">IF($B1250="","",N(J1249)+N(H1250))</f>
        <v/>
      </c>
      <c r="K1250" s="74" t="str">
        <f t="shared" si="1240"/>
        <v/>
      </c>
      <c r="L1250" s="69" t="str">
        <f>IF($B1250="","",PV-J1250)</f>
        <v/>
      </c>
      <c r="M1250" s="71" t="str">
        <f>IF($B1250="","",J1250/PV)</f>
        <v/>
      </c>
      <c r="N1250" s="72" t="str">
        <f t="shared" si="4"/>
        <v/>
      </c>
    </row>
    <row r="1251" ht="14.25" customHeight="1">
      <c r="B1251" s="66" t="str">
        <f>IF(ROWS($1:1239)&lt;=Nper,ROWS($1:1239),"")</f>
        <v/>
      </c>
      <c r="C1251" s="67" t="str">
        <f>IF($B1251="","",IF($E$7="Weekly",Start_Date+7*(ROWS($1:1239)-1),EDATE(Start_Date,VLOOKUP(IF(ASTemp!$E$7="","Monthly",ASTemp!$E$7),Parameters!$B$3:$D$6,3,0)*(ROWS($1:1239)-1))))</f>
        <v/>
      </c>
      <c r="D1251" s="68" t="str">
        <f t="shared" si="2"/>
        <v/>
      </c>
      <c r="E1251" s="65" t="str">
        <f>IF($B1251="","",VLOOKUP(MONTH(C1251),Parameters!$F$2:$G$13,2,0))</f>
        <v/>
      </c>
      <c r="F1251" s="69" t="str">
        <f>IF($B1251="","",PV-N(J1250))</f>
        <v/>
      </c>
      <c r="G1251" s="69" t="str">
        <f>IF($B1251="","",PMT(Rate,Nper,-PV,,Type))</f>
        <v/>
      </c>
      <c r="H1251" s="69" t="str">
        <f>IF($B1251="","",PPMT(Rate,ROWS($1:1239),Nper,-PV,,Type))</f>
        <v/>
      </c>
      <c r="I1251" s="69" t="str">
        <f>IF($B1251="","",IPMT(Rate,ROWS($1:1239),Nper,-PV,,Type))</f>
        <v/>
      </c>
      <c r="J1251" s="73" t="str">
        <f t="shared" ref="J1251:K1251" si="1241">IF($B1251="","",N(J1250)+N(H1251))</f>
        <v/>
      </c>
      <c r="K1251" s="74" t="str">
        <f t="shared" si="1241"/>
        <v/>
      </c>
      <c r="L1251" s="69" t="str">
        <f>IF($B1251="","",PV-J1251)</f>
        <v/>
      </c>
      <c r="M1251" s="71" t="str">
        <f>IF($B1251="","",J1251/PV)</f>
        <v/>
      </c>
      <c r="N1251" s="72" t="str">
        <f t="shared" si="4"/>
        <v/>
      </c>
    </row>
    <row r="1252" ht="14.25" customHeight="1">
      <c r="B1252" s="66" t="str">
        <f>IF(ROWS($1:1240)&lt;=Nper,ROWS($1:1240),"")</f>
        <v/>
      </c>
      <c r="C1252" s="67" t="str">
        <f>IF($B1252="","",IF($E$7="Weekly",Start_Date+7*(ROWS($1:1240)-1),EDATE(Start_Date,VLOOKUP(IF(ASTemp!$E$7="","Monthly",ASTemp!$E$7),Parameters!$B$3:$D$6,3,0)*(ROWS($1:1240)-1))))</f>
        <v/>
      </c>
      <c r="D1252" s="68" t="str">
        <f t="shared" si="2"/>
        <v/>
      </c>
      <c r="E1252" s="65" t="str">
        <f>IF($B1252="","",VLOOKUP(MONTH(C1252),Parameters!$F$2:$G$13,2,0))</f>
        <v/>
      </c>
      <c r="F1252" s="69" t="str">
        <f>IF($B1252="","",PV-N(J1251))</f>
        <v/>
      </c>
      <c r="G1252" s="69" t="str">
        <f>IF($B1252="","",PMT(Rate,Nper,-PV,,Type))</f>
        <v/>
      </c>
      <c r="H1252" s="69" t="str">
        <f>IF($B1252="","",PPMT(Rate,ROWS($1:1240),Nper,-PV,,Type))</f>
        <v/>
      </c>
      <c r="I1252" s="69" t="str">
        <f>IF($B1252="","",IPMT(Rate,ROWS($1:1240),Nper,-PV,,Type))</f>
        <v/>
      </c>
      <c r="J1252" s="73" t="str">
        <f t="shared" ref="J1252:K1252" si="1242">IF($B1252="","",N(J1251)+N(H1252))</f>
        <v/>
      </c>
      <c r="K1252" s="74" t="str">
        <f t="shared" si="1242"/>
        <v/>
      </c>
      <c r="L1252" s="69" t="str">
        <f>IF($B1252="","",PV-J1252)</f>
        <v/>
      </c>
      <c r="M1252" s="71" t="str">
        <f>IF($B1252="","",J1252/PV)</f>
        <v/>
      </c>
      <c r="N1252" s="72" t="str">
        <f t="shared" si="4"/>
        <v/>
      </c>
    </row>
    <row r="1253" ht="14.25" customHeight="1">
      <c r="B1253" s="66" t="str">
        <f>IF(ROWS($1:1241)&lt;=Nper,ROWS($1:1241),"")</f>
        <v/>
      </c>
      <c r="C1253" s="67" t="str">
        <f>IF($B1253="","",IF($E$7="Weekly",Start_Date+7*(ROWS($1:1241)-1),EDATE(Start_Date,VLOOKUP(IF(ASTemp!$E$7="","Monthly",ASTemp!$E$7),Parameters!$B$3:$D$6,3,0)*(ROWS($1:1241)-1))))</f>
        <v/>
      </c>
      <c r="D1253" s="68" t="str">
        <f t="shared" si="2"/>
        <v/>
      </c>
      <c r="E1253" s="65" t="str">
        <f>IF($B1253="","",VLOOKUP(MONTH(C1253),Parameters!$F$2:$G$13,2,0))</f>
        <v/>
      </c>
      <c r="F1253" s="69" t="str">
        <f>IF($B1253="","",PV-N(J1252))</f>
        <v/>
      </c>
      <c r="G1253" s="69" t="str">
        <f>IF($B1253="","",PMT(Rate,Nper,-PV,,Type))</f>
        <v/>
      </c>
      <c r="H1253" s="69" t="str">
        <f>IF($B1253="","",PPMT(Rate,ROWS($1:1241),Nper,-PV,,Type))</f>
        <v/>
      </c>
      <c r="I1253" s="69" t="str">
        <f>IF($B1253="","",IPMT(Rate,ROWS($1:1241),Nper,-PV,,Type))</f>
        <v/>
      </c>
      <c r="J1253" s="73" t="str">
        <f t="shared" ref="J1253:K1253" si="1243">IF($B1253="","",N(J1252)+N(H1253))</f>
        <v/>
      </c>
      <c r="K1253" s="74" t="str">
        <f t="shared" si="1243"/>
        <v/>
      </c>
      <c r="L1253" s="69" t="str">
        <f>IF($B1253="","",PV-J1253)</f>
        <v/>
      </c>
      <c r="M1253" s="71" t="str">
        <f>IF($B1253="","",J1253/PV)</f>
        <v/>
      </c>
      <c r="N1253" s="72" t="str">
        <f t="shared" si="4"/>
        <v/>
      </c>
    </row>
    <row r="1254" ht="14.25" customHeight="1">
      <c r="B1254" s="66" t="str">
        <f>IF(ROWS($1:1242)&lt;=Nper,ROWS($1:1242),"")</f>
        <v/>
      </c>
      <c r="C1254" s="67" t="str">
        <f>IF($B1254="","",IF($E$7="Weekly",Start_Date+7*(ROWS($1:1242)-1),EDATE(Start_Date,VLOOKUP(IF(ASTemp!$E$7="","Monthly",ASTemp!$E$7),Parameters!$B$3:$D$6,3,0)*(ROWS($1:1242)-1))))</f>
        <v/>
      </c>
      <c r="D1254" s="68" t="str">
        <f t="shared" si="2"/>
        <v/>
      </c>
      <c r="E1254" s="65" t="str">
        <f>IF($B1254="","",VLOOKUP(MONTH(C1254),Parameters!$F$2:$G$13,2,0))</f>
        <v/>
      </c>
      <c r="F1254" s="69" t="str">
        <f>IF($B1254="","",PV-N(J1253))</f>
        <v/>
      </c>
      <c r="G1254" s="69" t="str">
        <f>IF($B1254="","",PMT(Rate,Nper,-PV,,Type))</f>
        <v/>
      </c>
      <c r="H1254" s="69" t="str">
        <f>IF($B1254="","",PPMT(Rate,ROWS($1:1242),Nper,-PV,,Type))</f>
        <v/>
      </c>
      <c r="I1254" s="69" t="str">
        <f>IF($B1254="","",IPMT(Rate,ROWS($1:1242),Nper,-PV,,Type))</f>
        <v/>
      </c>
      <c r="J1254" s="73" t="str">
        <f t="shared" ref="J1254:K1254" si="1244">IF($B1254="","",N(J1253)+N(H1254))</f>
        <v/>
      </c>
      <c r="K1254" s="74" t="str">
        <f t="shared" si="1244"/>
        <v/>
      </c>
      <c r="L1254" s="69" t="str">
        <f>IF($B1254="","",PV-J1254)</f>
        <v/>
      </c>
      <c r="M1254" s="71" t="str">
        <f>IF($B1254="","",J1254/PV)</f>
        <v/>
      </c>
      <c r="N1254" s="72" t="str">
        <f t="shared" si="4"/>
        <v/>
      </c>
    </row>
    <row r="1255" ht="14.25" customHeight="1">
      <c r="B1255" s="66" t="str">
        <f>IF(ROWS($1:1243)&lt;=Nper,ROWS($1:1243),"")</f>
        <v/>
      </c>
      <c r="C1255" s="67" t="str">
        <f>IF($B1255="","",IF($E$7="Weekly",Start_Date+7*(ROWS($1:1243)-1),EDATE(Start_Date,VLOOKUP(IF(ASTemp!$E$7="","Monthly",ASTemp!$E$7),Parameters!$B$3:$D$6,3,0)*(ROWS($1:1243)-1))))</f>
        <v/>
      </c>
      <c r="D1255" s="68" t="str">
        <f t="shared" si="2"/>
        <v/>
      </c>
      <c r="E1255" s="65" t="str">
        <f>IF($B1255="","",VLOOKUP(MONTH(C1255),Parameters!$F$2:$G$13,2,0))</f>
        <v/>
      </c>
      <c r="F1255" s="69" t="str">
        <f>IF($B1255="","",PV-N(J1254))</f>
        <v/>
      </c>
      <c r="G1255" s="69" t="str">
        <f>IF($B1255="","",PMT(Rate,Nper,-PV,,Type))</f>
        <v/>
      </c>
      <c r="H1255" s="69" t="str">
        <f>IF($B1255="","",PPMT(Rate,ROWS($1:1243),Nper,-PV,,Type))</f>
        <v/>
      </c>
      <c r="I1255" s="69" t="str">
        <f>IF($B1255="","",IPMT(Rate,ROWS($1:1243),Nper,-PV,,Type))</f>
        <v/>
      </c>
      <c r="J1255" s="73" t="str">
        <f t="shared" ref="J1255:K1255" si="1245">IF($B1255="","",N(J1254)+N(H1255))</f>
        <v/>
      </c>
      <c r="K1255" s="74" t="str">
        <f t="shared" si="1245"/>
        <v/>
      </c>
      <c r="L1255" s="69" t="str">
        <f>IF($B1255="","",PV-J1255)</f>
        <v/>
      </c>
      <c r="M1255" s="71" t="str">
        <f>IF($B1255="","",J1255/PV)</f>
        <v/>
      </c>
      <c r="N1255" s="72" t="str">
        <f t="shared" si="4"/>
        <v/>
      </c>
    </row>
    <row r="1256" ht="14.25" customHeight="1">
      <c r="B1256" s="66" t="str">
        <f>IF(ROWS($1:1244)&lt;=Nper,ROWS($1:1244),"")</f>
        <v/>
      </c>
      <c r="C1256" s="67" t="str">
        <f>IF($B1256="","",IF($E$7="Weekly",Start_Date+7*(ROWS($1:1244)-1),EDATE(Start_Date,VLOOKUP(IF(ASTemp!$E$7="","Monthly",ASTemp!$E$7),Parameters!$B$3:$D$6,3,0)*(ROWS($1:1244)-1))))</f>
        <v/>
      </c>
      <c r="D1256" s="68" t="str">
        <f t="shared" si="2"/>
        <v/>
      </c>
      <c r="E1256" s="65" t="str">
        <f>IF($B1256="","",VLOOKUP(MONTH(C1256),Parameters!$F$2:$G$13,2,0))</f>
        <v/>
      </c>
      <c r="F1256" s="69" t="str">
        <f>IF($B1256="","",PV-N(J1255))</f>
        <v/>
      </c>
      <c r="G1256" s="69" t="str">
        <f>IF($B1256="","",PMT(Rate,Nper,-PV,,Type))</f>
        <v/>
      </c>
      <c r="H1256" s="69" t="str">
        <f>IF($B1256="","",PPMT(Rate,ROWS($1:1244),Nper,-PV,,Type))</f>
        <v/>
      </c>
      <c r="I1256" s="69" t="str">
        <f>IF($B1256="","",IPMT(Rate,ROWS($1:1244),Nper,-PV,,Type))</f>
        <v/>
      </c>
      <c r="J1256" s="73" t="str">
        <f t="shared" ref="J1256:K1256" si="1246">IF($B1256="","",N(J1255)+N(H1256))</f>
        <v/>
      </c>
      <c r="K1256" s="74" t="str">
        <f t="shared" si="1246"/>
        <v/>
      </c>
      <c r="L1256" s="69" t="str">
        <f>IF($B1256="","",PV-J1256)</f>
        <v/>
      </c>
      <c r="M1256" s="71" t="str">
        <f>IF($B1256="","",J1256/PV)</f>
        <v/>
      </c>
      <c r="N1256" s="72" t="str">
        <f t="shared" si="4"/>
        <v/>
      </c>
    </row>
    <row r="1257" ht="14.25" customHeight="1">
      <c r="B1257" s="66" t="str">
        <f>IF(ROWS($1:1245)&lt;=Nper,ROWS($1:1245),"")</f>
        <v/>
      </c>
      <c r="C1257" s="67" t="str">
        <f>IF($B1257="","",IF($E$7="Weekly",Start_Date+7*(ROWS($1:1245)-1),EDATE(Start_Date,VLOOKUP(IF(ASTemp!$E$7="","Monthly",ASTemp!$E$7),Parameters!$B$3:$D$6,3,0)*(ROWS($1:1245)-1))))</f>
        <v/>
      </c>
      <c r="D1257" s="68" t="str">
        <f t="shared" si="2"/>
        <v/>
      </c>
      <c r="E1257" s="65" t="str">
        <f>IF($B1257="","",VLOOKUP(MONTH(C1257),Parameters!$F$2:$G$13,2,0))</f>
        <v/>
      </c>
      <c r="F1257" s="69" t="str">
        <f>IF($B1257="","",PV-N(J1256))</f>
        <v/>
      </c>
      <c r="G1257" s="69" t="str">
        <f>IF($B1257="","",PMT(Rate,Nper,-PV,,Type))</f>
        <v/>
      </c>
      <c r="H1257" s="69" t="str">
        <f>IF($B1257="","",PPMT(Rate,ROWS($1:1245),Nper,-PV,,Type))</f>
        <v/>
      </c>
      <c r="I1257" s="69" t="str">
        <f>IF($B1257="","",IPMT(Rate,ROWS($1:1245),Nper,-PV,,Type))</f>
        <v/>
      </c>
      <c r="J1257" s="73" t="str">
        <f t="shared" ref="J1257:K1257" si="1247">IF($B1257="","",N(J1256)+N(H1257))</f>
        <v/>
      </c>
      <c r="K1257" s="74" t="str">
        <f t="shared" si="1247"/>
        <v/>
      </c>
      <c r="L1257" s="69" t="str">
        <f>IF($B1257="","",PV-J1257)</f>
        <v/>
      </c>
      <c r="M1257" s="71" t="str">
        <f>IF($B1257="","",J1257/PV)</f>
        <v/>
      </c>
      <c r="N1257" s="72" t="str">
        <f t="shared" si="4"/>
        <v/>
      </c>
    </row>
    <row r="1258" ht="14.25" customHeight="1">
      <c r="B1258" s="66" t="str">
        <f>IF(ROWS($1:1246)&lt;=Nper,ROWS($1:1246),"")</f>
        <v/>
      </c>
      <c r="C1258" s="67" t="str">
        <f>IF($B1258="","",IF($E$7="Weekly",Start_Date+7*(ROWS($1:1246)-1),EDATE(Start_Date,VLOOKUP(IF(ASTemp!$E$7="","Monthly",ASTemp!$E$7),Parameters!$B$3:$D$6,3,0)*(ROWS($1:1246)-1))))</f>
        <v/>
      </c>
      <c r="D1258" s="68" t="str">
        <f t="shared" si="2"/>
        <v/>
      </c>
      <c r="E1258" s="65" t="str">
        <f>IF($B1258="","",VLOOKUP(MONTH(C1258),Parameters!$F$2:$G$13,2,0))</f>
        <v/>
      </c>
      <c r="F1258" s="69" t="str">
        <f>IF($B1258="","",PV-N(J1257))</f>
        <v/>
      </c>
      <c r="G1258" s="69" t="str">
        <f>IF($B1258="","",PMT(Rate,Nper,-PV,,Type))</f>
        <v/>
      </c>
      <c r="H1258" s="69" t="str">
        <f>IF($B1258="","",PPMT(Rate,ROWS($1:1246),Nper,-PV,,Type))</f>
        <v/>
      </c>
      <c r="I1258" s="69" t="str">
        <f>IF($B1258="","",IPMT(Rate,ROWS($1:1246),Nper,-PV,,Type))</f>
        <v/>
      </c>
      <c r="J1258" s="73" t="str">
        <f t="shared" ref="J1258:K1258" si="1248">IF($B1258="","",N(J1257)+N(H1258))</f>
        <v/>
      </c>
      <c r="K1258" s="74" t="str">
        <f t="shared" si="1248"/>
        <v/>
      </c>
      <c r="L1258" s="69" t="str">
        <f>IF($B1258="","",PV-J1258)</f>
        <v/>
      </c>
      <c r="M1258" s="71" t="str">
        <f>IF($B1258="","",J1258/PV)</f>
        <v/>
      </c>
      <c r="N1258" s="72" t="str">
        <f t="shared" si="4"/>
        <v/>
      </c>
    </row>
    <row r="1259" ht="14.25" customHeight="1">
      <c r="B1259" s="66" t="str">
        <f>IF(ROWS($1:1247)&lt;=Nper,ROWS($1:1247),"")</f>
        <v/>
      </c>
      <c r="C1259" s="67" t="str">
        <f>IF($B1259="","",IF($E$7="Weekly",Start_Date+7*(ROWS($1:1247)-1),EDATE(Start_Date,VLOOKUP(IF(ASTemp!$E$7="","Monthly",ASTemp!$E$7),Parameters!$B$3:$D$6,3,0)*(ROWS($1:1247)-1))))</f>
        <v/>
      </c>
      <c r="D1259" s="68" t="str">
        <f t="shared" si="2"/>
        <v/>
      </c>
      <c r="E1259" s="65" t="str">
        <f>IF($B1259="","",VLOOKUP(MONTH(C1259),Parameters!$F$2:$G$13,2,0))</f>
        <v/>
      </c>
      <c r="F1259" s="69" t="str">
        <f>IF($B1259="","",PV-N(J1258))</f>
        <v/>
      </c>
      <c r="G1259" s="69" t="str">
        <f>IF($B1259="","",PMT(Rate,Nper,-PV,,Type))</f>
        <v/>
      </c>
      <c r="H1259" s="69" t="str">
        <f>IF($B1259="","",PPMT(Rate,ROWS($1:1247),Nper,-PV,,Type))</f>
        <v/>
      </c>
      <c r="I1259" s="69" t="str">
        <f>IF($B1259="","",IPMT(Rate,ROWS($1:1247),Nper,-PV,,Type))</f>
        <v/>
      </c>
      <c r="J1259" s="73" t="str">
        <f t="shared" ref="J1259:K1259" si="1249">IF($B1259="","",N(J1258)+N(H1259))</f>
        <v/>
      </c>
      <c r="K1259" s="74" t="str">
        <f t="shared" si="1249"/>
        <v/>
      </c>
      <c r="L1259" s="69" t="str">
        <f>IF($B1259="","",PV-J1259)</f>
        <v/>
      </c>
      <c r="M1259" s="71" t="str">
        <f>IF($B1259="","",J1259/PV)</f>
        <v/>
      </c>
      <c r="N1259" s="72" t="str">
        <f t="shared" si="4"/>
        <v/>
      </c>
    </row>
    <row r="1260" ht="14.25" customHeight="1">
      <c r="B1260" s="66" t="str">
        <f>IF(ROWS($1:1248)&lt;=Nper,ROWS($1:1248),"")</f>
        <v/>
      </c>
      <c r="C1260" s="67" t="str">
        <f>IF($B1260="","",IF($E$7="Weekly",Start_Date+7*(ROWS($1:1248)-1),EDATE(Start_Date,VLOOKUP(IF(ASTemp!$E$7="","Monthly",ASTemp!$E$7),Parameters!$B$3:$D$6,3,0)*(ROWS($1:1248)-1))))</f>
        <v/>
      </c>
      <c r="D1260" s="68" t="str">
        <f t="shared" si="2"/>
        <v/>
      </c>
      <c r="E1260" s="65" t="str">
        <f>IF($B1260="","",VLOOKUP(MONTH(C1260),Parameters!$F$2:$G$13,2,0))</f>
        <v/>
      </c>
      <c r="F1260" s="69" t="str">
        <f>IF($B1260="","",PV-N(J1259))</f>
        <v/>
      </c>
      <c r="G1260" s="69" t="str">
        <f>IF($B1260="","",PMT(Rate,Nper,-PV,,Type))</f>
        <v/>
      </c>
      <c r="H1260" s="69" t="str">
        <f>IF($B1260="","",PPMT(Rate,ROWS($1:1248),Nper,-PV,,Type))</f>
        <v/>
      </c>
      <c r="I1260" s="69" t="str">
        <f>IF($B1260="","",IPMT(Rate,ROWS($1:1248),Nper,-PV,,Type))</f>
        <v/>
      </c>
      <c r="J1260" s="73" t="str">
        <f t="shared" ref="J1260:K1260" si="1250">IF($B1260="","",N(J1259)+N(H1260))</f>
        <v/>
      </c>
      <c r="K1260" s="74" t="str">
        <f t="shared" si="1250"/>
        <v/>
      </c>
      <c r="L1260" s="69" t="str">
        <f>IF($B1260="","",PV-J1260)</f>
        <v/>
      </c>
      <c r="M1260" s="71" t="str">
        <f>IF($B1260="","",J1260/PV)</f>
        <v/>
      </c>
      <c r="N1260" s="72" t="str">
        <f t="shared" si="4"/>
        <v/>
      </c>
    </row>
    <row r="1261" ht="14.25" customHeight="1">
      <c r="B1261" s="66" t="str">
        <f>IF(ROWS($1:1249)&lt;=Nper,ROWS($1:1249),"")</f>
        <v/>
      </c>
      <c r="C1261" s="67" t="str">
        <f>IF($B1261="","",IF($E$7="Weekly",Start_Date+7*(ROWS($1:1249)-1),EDATE(Start_Date,VLOOKUP(IF(ASTemp!$E$7="","Monthly",ASTemp!$E$7),Parameters!$B$3:$D$6,3,0)*(ROWS($1:1249)-1))))</f>
        <v/>
      </c>
      <c r="D1261" s="68" t="str">
        <f t="shared" si="2"/>
        <v/>
      </c>
      <c r="E1261" s="65" t="str">
        <f>IF($B1261="","",VLOOKUP(MONTH(C1261),Parameters!$F$2:$G$13,2,0))</f>
        <v/>
      </c>
      <c r="F1261" s="69" t="str">
        <f>IF($B1261="","",PV-N(J1260))</f>
        <v/>
      </c>
      <c r="G1261" s="69" t="str">
        <f>IF($B1261="","",PMT(Rate,Nper,-PV,,Type))</f>
        <v/>
      </c>
      <c r="H1261" s="69" t="str">
        <f>IF($B1261="","",PPMT(Rate,ROWS($1:1249),Nper,-PV,,Type))</f>
        <v/>
      </c>
      <c r="I1261" s="69" t="str">
        <f>IF($B1261="","",IPMT(Rate,ROWS($1:1249),Nper,-PV,,Type))</f>
        <v/>
      </c>
      <c r="J1261" s="73" t="str">
        <f t="shared" ref="J1261:K1261" si="1251">IF($B1261="","",N(J1260)+N(H1261))</f>
        <v/>
      </c>
      <c r="K1261" s="74" t="str">
        <f t="shared" si="1251"/>
        <v/>
      </c>
      <c r="L1261" s="69" t="str">
        <f>IF($B1261="","",PV-J1261)</f>
        <v/>
      </c>
      <c r="M1261" s="71" t="str">
        <f>IF($B1261="","",J1261/PV)</f>
        <v/>
      </c>
      <c r="N1261" s="72" t="str">
        <f t="shared" si="4"/>
        <v/>
      </c>
    </row>
    <row r="1262" ht="14.25" customHeight="1">
      <c r="B1262" s="66" t="str">
        <f>IF(ROWS($1:1250)&lt;=Nper,ROWS($1:1250),"")</f>
        <v/>
      </c>
      <c r="C1262" s="67" t="str">
        <f>IF($B1262="","",IF($E$7="Weekly",Start_Date+7*(ROWS($1:1250)-1),EDATE(Start_Date,VLOOKUP(IF(ASTemp!$E$7="","Monthly",ASTemp!$E$7),Parameters!$B$3:$D$6,3,0)*(ROWS($1:1250)-1))))</f>
        <v/>
      </c>
      <c r="D1262" s="68" t="str">
        <f t="shared" si="2"/>
        <v/>
      </c>
      <c r="E1262" s="65" t="str">
        <f>IF($B1262="","",VLOOKUP(MONTH(C1262),Parameters!$F$2:$G$13,2,0))</f>
        <v/>
      </c>
      <c r="F1262" s="69" t="str">
        <f>IF($B1262="","",PV-N(J1261))</f>
        <v/>
      </c>
      <c r="G1262" s="69" t="str">
        <f>IF($B1262="","",PMT(Rate,Nper,-PV,,Type))</f>
        <v/>
      </c>
      <c r="H1262" s="69" t="str">
        <f>IF($B1262="","",PPMT(Rate,ROWS($1:1250),Nper,-PV,,Type))</f>
        <v/>
      </c>
      <c r="I1262" s="69" t="str">
        <f>IF($B1262="","",IPMT(Rate,ROWS($1:1250),Nper,-PV,,Type))</f>
        <v/>
      </c>
      <c r="J1262" s="73" t="str">
        <f t="shared" ref="J1262:K1262" si="1252">IF($B1262="","",N(J1261)+N(H1262))</f>
        <v/>
      </c>
      <c r="K1262" s="74" t="str">
        <f t="shared" si="1252"/>
        <v/>
      </c>
      <c r="L1262" s="69" t="str">
        <f>IF($B1262="","",PV-J1262)</f>
        <v/>
      </c>
      <c r="M1262" s="71" t="str">
        <f>IF($B1262="","",J1262/PV)</f>
        <v/>
      </c>
      <c r="N1262" s="72" t="str">
        <f t="shared" si="4"/>
        <v/>
      </c>
    </row>
    <row r="1263" ht="14.25" customHeight="1">
      <c r="B1263" s="66" t="str">
        <f>IF(ROWS($1:1251)&lt;=Nper,ROWS($1:1251),"")</f>
        <v/>
      </c>
      <c r="C1263" s="67" t="str">
        <f>IF($B1263="","",IF($E$7="Weekly",Start_Date+7*(ROWS($1:1251)-1),EDATE(Start_Date,VLOOKUP(IF(ASTemp!$E$7="","Monthly",ASTemp!$E$7),Parameters!$B$3:$D$6,3,0)*(ROWS($1:1251)-1))))</f>
        <v/>
      </c>
      <c r="D1263" s="68" t="str">
        <f t="shared" si="2"/>
        <v/>
      </c>
      <c r="E1263" s="65" t="str">
        <f>IF($B1263="","",VLOOKUP(MONTH(C1263),Parameters!$F$2:$G$13,2,0))</f>
        <v/>
      </c>
      <c r="F1263" s="69" t="str">
        <f>IF($B1263="","",PV-N(J1262))</f>
        <v/>
      </c>
      <c r="G1263" s="69" t="str">
        <f>IF($B1263="","",PMT(Rate,Nper,-PV,,Type))</f>
        <v/>
      </c>
      <c r="H1263" s="69" t="str">
        <f>IF($B1263="","",PPMT(Rate,ROWS($1:1251),Nper,-PV,,Type))</f>
        <v/>
      </c>
      <c r="I1263" s="69" t="str">
        <f>IF($B1263="","",IPMT(Rate,ROWS($1:1251),Nper,-PV,,Type))</f>
        <v/>
      </c>
      <c r="J1263" s="73" t="str">
        <f t="shared" ref="J1263:K1263" si="1253">IF($B1263="","",N(J1262)+N(H1263))</f>
        <v/>
      </c>
      <c r="K1263" s="74" t="str">
        <f t="shared" si="1253"/>
        <v/>
      </c>
      <c r="L1263" s="69" t="str">
        <f>IF($B1263="","",PV-J1263)</f>
        <v/>
      </c>
      <c r="M1263" s="71" t="str">
        <f>IF($B1263="","",J1263/PV)</f>
        <v/>
      </c>
      <c r="N1263" s="72" t="str">
        <f t="shared" si="4"/>
        <v/>
      </c>
    </row>
    <row r="1264" ht="14.25" customHeight="1">
      <c r="B1264" s="66" t="str">
        <f>IF(ROWS($1:1252)&lt;=Nper,ROWS($1:1252),"")</f>
        <v/>
      </c>
      <c r="C1264" s="67" t="str">
        <f>IF($B1264="","",IF($E$7="Weekly",Start_Date+7*(ROWS($1:1252)-1),EDATE(Start_Date,VLOOKUP(IF(ASTemp!$E$7="","Monthly",ASTemp!$E$7),Parameters!$B$3:$D$6,3,0)*(ROWS($1:1252)-1))))</f>
        <v/>
      </c>
      <c r="D1264" s="68" t="str">
        <f t="shared" si="2"/>
        <v/>
      </c>
      <c r="E1264" s="65" t="str">
        <f>IF($B1264="","",VLOOKUP(MONTH(C1264),Parameters!$F$2:$G$13,2,0))</f>
        <v/>
      </c>
      <c r="F1264" s="69" t="str">
        <f>IF($B1264="","",PV-N(J1263))</f>
        <v/>
      </c>
      <c r="G1264" s="69" t="str">
        <f>IF($B1264="","",PMT(Rate,Nper,-PV,,Type))</f>
        <v/>
      </c>
      <c r="H1264" s="69" t="str">
        <f>IF($B1264="","",PPMT(Rate,ROWS($1:1252),Nper,-PV,,Type))</f>
        <v/>
      </c>
      <c r="I1264" s="69" t="str">
        <f>IF($B1264="","",IPMT(Rate,ROWS($1:1252),Nper,-PV,,Type))</f>
        <v/>
      </c>
      <c r="J1264" s="73" t="str">
        <f t="shared" ref="J1264:K1264" si="1254">IF($B1264="","",N(J1263)+N(H1264))</f>
        <v/>
      </c>
      <c r="K1264" s="74" t="str">
        <f t="shared" si="1254"/>
        <v/>
      </c>
      <c r="L1264" s="69" t="str">
        <f>IF($B1264="","",PV-J1264)</f>
        <v/>
      </c>
      <c r="M1264" s="71" t="str">
        <f>IF($B1264="","",J1264/PV)</f>
        <v/>
      </c>
      <c r="N1264" s="72" t="str">
        <f t="shared" si="4"/>
        <v/>
      </c>
    </row>
    <row r="1265" ht="14.25" customHeight="1">
      <c r="B1265" s="66" t="str">
        <f>IF(ROWS($1:1253)&lt;=Nper,ROWS($1:1253),"")</f>
        <v/>
      </c>
      <c r="C1265" s="67" t="str">
        <f>IF($B1265="","",IF($E$7="Weekly",Start_Date+7*(ROWS($1:1253)-1),EDATE(Start_Date,VLOOKUP(IF(ASTemp!$E$7="","Monthly",ASTemp!$E$7),Parameters!$B$3:$D$6,3,0)*(ROWS($1:1253)-1))))</f>
        <v/>
      </c>
      <c r="D1265" s="68" t="str">
        <f t="shared" si="2"/>
        <v/>
      </c>
      <c r="E1265" s="65" t="str">
        <f>IF($B1265="","",VLOOKUP(MONTH(C1265),Parameters!$F$2:$G$13,2,0))</f>
        <v/>
      </c>
      <c r="F1265" s="69" t="str">
        <f>IF($B1265="","",PV-N(J1264))</f>
        <v/>
      </c>
      <c r="G1265" s="69" t="str">
        <f>IF($B1265="","",PMT(Rate,Nper,-PV,,Type))</f>
        <v/>
      </c>
      <c r="H1265" s="69" t="str">
        <f>IF($B1265="","",PPMT(Rate,ROWS($1:1253),Nper,-PV,,Type))</f>
        <v/>
      </c>
      <c r="I1265" s="69" t="str">
        <f>IF($B1265="","",IPMT(Rate,ROWS($1:1253),Nper,-PV,,Type))</f>
        <v/>
      </c>
      <c r="J1265" s="73" t="str">
        <f t="shared" ref="J1265:K1265" si="1255">IF($B1265="","",N(J1264)+N(H1265))</f>
        <v/>
      </c>
      <c r="K1265" s="74" t="str">
        <f t="shared" si="1255"/>
        <v/>
      </c>
      <c r="L1265" s="69" t="str">
        <f>IF($B1265="","",PV-J1265)</f>
        <v/>
      </c>
      <c r="M1265" s="71" t="str">
        <f>IF($B1265="","",J1265/PV)</f>
        <v/>
      </c>
      <c r="N1265" s="72" t="str">
        <f t="shared" si="4"/>
        <v/>
      </c>
    </row>
    <row r="1266" ht="14.25" customHeight="1">
      <c r="B1266" s="66" t="str">
        <f>IF(ROWS($1:1254)&lt;=Nper,ROWS($1:1254),"")</f>
        <v/>
      </c>
      <c r="C1266" s="67" t="str">
        <f>IF($B1266="","",IF($E$7="Weekly",Start_Date+7*(ROWS($1:1254)-1),EDATE(Start_Date,VLOOKUP(IF(ASTemp!$E$7="","Monthly",ASTemp!$E$7),Parameters!$B$3:$D$6,3,0)*(ROWS($1:1254)-1))))</f>
        <v/>
      </c>
      <c r="D1266" s="68" t="str">
        <f t="shared" si="2"/>
        <v/>
      </c>
      <c r="E1266" s="65" t="str">
        <f>IF($B1266="","",VLOOKUP(MONTH(C1266),Parameters!$F$2:$G$13,2,0))</f>
        <v/>
      </c>
      <c r="F1266" s="69" t="str">
        <f>IF($B1266="","",PV-N(J1265))</f>
        <v/>
      </c>
      <c r="G1266" s="69" t="str">
        <f>IF($B1266="","",PMT(Rate,Nper,-PV,,Type))</f>
        <v/>
      </c>
      <c r="H1266" s="69" t="str">
        <f>IF($B1266="","",PPMT(Rate,ROWS($1:1254),Nper,-PV,,Type))</f>
        <v/>
      </c>
      <c r="I1266" s="69" t="str">
        <f>IF($B1266="","",IPMT(Rate,ROWS($1:1254),Nper,-PV,,Type))</f>
        <v/>
      </c>
      <c r="J1266" s="73" t="str">
        <f t="shared" ref="J1266:K1266" si="1256">IF($B1266="","",N(J1265)+N(H1266))</f>
        <v/>
      </c>
      <c r="K1266" s="74" t="str">
        <f t="shared" si="1256"/>
        <v/>
      </c>
      <c r="L1266" s="69" t="str">
        <f>IF($B1266="","",PV-J1266)</f>
        <v/>
      </c>
      <c r="M1266" s="71" t="str">
        <f>IF($B1266="","",J1266/PV)</f>
        <v/>
      </c>
      <c r="N1266" s="72" t="str">
        <f t="shared" si="4"/>
        <v/>
      </c>
    </row>
    <row r="1267" ht="14.25" customHeight="1">
      <c r="B1267" s="66" t="str">
        <f>IF(ROWS($1:1255)&lt;=Nper,ROWS($1:1255),"")</f>
        <v/>
      </c>
      <c r="C1267" s="67" t="str">
        <f>IF($B1267="","",IF($E$7="Weekly",Start_Date+7*(ROWS($1:1255)-1),EDATE(Start_Date,VLOOKUP(IF(ASTemp!$E$7="","Monthly",ASTemp!$E$7),Parameters!$B$3:$D$6,3,0)*(ROWS($1:1255)-1))))</f>
        <v/>
      </c>
      <c r="D1267" s="68" t="str">
        <f t="shared" si="2"/>
        <v/>
      </c>
      <c r="E1267" s="65" t="str">
        <f>IF($B1267="","",VLOOKUP(MONTH(C1267),Parameters!$F$2:$G$13,2,0))</f>
        <v/>
      </c>
      <c r="F1267" s="69" t="str">
        <f>IF($B1267="","",PV-N(J1266))</f>
        <v/>
      </c>
      <c r="G1267" s="69" t="str">
        <f>IF($B1267="","",PMT(Rate,Nper,-PV,,Type))</f>
        <v/>
      </c>
      <c r="H1267" s="69" t="str">
        <f>IF($B1267="","",PPMT(Rate,ROWS($1:1255),Nper,-PV,,Type))</f>
        <v/>
      </c>
      <c r="I1267" s="69" t="str">
        <f>IF($B1267="","",IPMT(Rate,ROWS($1:1255),Nper,-PV,,Type))</f>
        <v/>
      </c>
      <c r="J1267" s="73" t="str">
        <f t="shared" ref="J1267:K1267" si="1257">IF($B1267="","",N(J1266)+N(H1267))</f>
        <v/>
      </c>
      <c r="K1267" s="74" t="str">
        <f t="shared" si="1257"/>
        <v/>
      </c>
      <c r="L1267" s="69" t="str">
        <f>IF($B1267="","",PV-J1267)</f>
        <v/>
      </c>
      <c r="M1267" s="71" t="str">
        <f>IF($B1267="","",J1267/PV)</f>
        <v/>
      </c>
      <c r="N1267" s="72" t="str">
        <f t="shared" si="4"/>
        <v/>
      </c>
    </row>
    <row r="1268" ht="14.25" customHeight="1">
      <c r="B1268" s="66" t="str">
        <f>IF(ROWS($1:1256)&lt;=Nper,ROWS($1:1256),"")</f>
        <v/>
      </c>
      <c r="C1268" s="67" t="str">
        <f>IF($B1268="","",IF($E$7="Weekly",Start_Date+7*(ROWS($1:1256)-1),EDATE(Start_Date,VLOOKUP(IF(ASTemp!$E$7="","Monthly",ASTemp!$E$7),Parameters!$B$3:$D$6,3,0)*(ROWS($1:1256)-1))))</f>
        <v/>
      </c>
      <c r="D1268" s="68" t="str">
        <f t="shared" si="2"/>
        <v/>
      </c>
      <c r="E1268" s="65" t="str">
        <f>IF($B1268="","",VLOOKUP(MONTH(C1268),Parameters!$F$2:$G$13,2,0))</f>
        <v/>
      </c>
      <c r="F1268" s="69" t="str">
        <f>IF($B1268="","",PV-N(J1267))</f>
        <v/>
      </c>
      <c r="G1268" s="69" t="str">
        <f>IF($B1268="","",PMT(Rate,Nper,-PV,,Type))</f>
        <v/>
      </c>
      <c r="H1268" s="69" t="str">
        <f>IF($B1268="","",PPMT(Rate,ROWS($1:1256),Nper,-PV,,Type))</f>
        <v/>
      </c>
      <c r="I1268" s="69" t="str">
        <f>IF($B1268="","",IPMT(Rate,ROWS($1:1256),Nper,-PV,,Type))</f>
        <v/>
      </c>
      <c r="J1268" s="73" t="str">
        <f t="shared" ref="J1268:K1268" si="1258">IF($B1268="","",N(J1267)+N(H1268))</f>
        <v/>
      </c>
      <c r="K1268" s="74" t="str">
        <f t="shared" si="1258"/>
        <v/>
      </c>
      <c r="L1268" s="69" t="str">
        <f>IF($B1268="","",PV-J1268)</f>
        <v/>
      </c>
      <c r="M1268" s="71" t="str">
        <f>IF($B1268="","",J1268/PV)</f>
        <v/>
      </c>
      <c r="N1268" s="72" t="str">
        <f t="shared" si="4"/>
        <v/>
      </c>
    </row>
    <row r="1269" ht="14.25" customHeight="1">
      <c r="B1269" s="66" t="str">
        <f>IF(ROWS($1:1257)&lt;=Nper,ROWS($1:1257),"")</f>
        <v/>
      </c>
      <c r="C1269" s="67" t="str">
        <f>IF($B1269="","",IF($E$7="Weekly",Start_Date+7*(ROWS($1:1257)-1),EDATE(Start_Date,VLOOKUP(IF(ASTemp!$E$7="","Monthly",ASTemp!$E$7),Parameters!$B$3:$D$6,3,0)*(ROWS($1:1257)-1))))</f>
        <v/>
      </c>
      <c r="D1269" s="68" t="str">
        <f t="shared" si="2"/>
        <v/>
      </c>
      <c r="E1269" s="65" t="str">
        <f>IF($B1269="","",VLOOKUP(MONTH(C1269),Parameters!$F$2:$G$13,2,0))</f>
        <v/>
      </c>
      <c r="F1269" s="69" t="str">
        <f>IF($B1269="","",PV-N(J1268))</f>
        <v/>
      </c>
      <c r="G1269" s="69" t="str">
        <f>IF($B1269="","",PMT(Rate,Nper,-PV,,Type))</f>
        <v/>
      </c>
      <c r="H1269" s="69" t="str">
        <f>IF($B1269="","",PPMT(Rate,ROWS($1:1257),Nper,-PV,,Type))</f>
        <v/>
      </c>
      <c r="I1269" s="69" t="str">
        <f>IF($B1269="","",IPMT(Rate,ROWS($1:1257),Nper,-PV,,Type))</f>
        <v/>
      </c>
      <c r="J1269" s="73" t="str">
        <f t="shared" ref="J1269:K1269" si="1259">IF($B1269="","",N(J1268)+N(H1269))</f>
        <v/>
      </c>
      <c r="K1269" s="74" t="str">
        <f t="shared" si="1259"/>
        <v/>
      </c>
      <c r="L1269" s="69" t="str">
        <f>IF($B1269="","",PV-J1269)</f>
        <v/>
      </c>
      <c r="M1269" s="71" t="str">
        <f>IF($B1269="","",J1269/PV)</f>
        <v/>
      </c>
      <c r="N1269" s="72" t="str">
        <f t="shared" si="4"/>
        <v/>
      </c>
    </row>
    <row r="1270" ht="14.25" customHeight="1">
      <c r="B1270" s="66" t="str">
        <f>IF(ROWS($1:1258)&lt;=Nper,ROWS($1:1258),"")</f>
        <v/>
      </c>
      <c r="C1270" s="67" t="str">
        <f>IF($B1270="","",IF($E$7="Weekly",Start_Date+7*(ROWS($1:1258)-1),EDATE(Start_Date,VLOOKUP(IF(ASTemp!$E$7="","Monthly",ASTemp!$E$7),Parameters!$B$3:$D$6,3,0)*(ROWS($1:1258)-1))))</f>
        <v/>
      </c>
      <c r="D1270" s="68" t="str">
        <f t="shared" si="2"/>
        <v/>
      </c>
      <c r="E1270" s="65" t="str">
        <f>IF($B1270="","",VLOOKUP(MONTH(C1270),Parameters!$F$2:$G$13,2,0))</f>
        <v/>
      </c>
      <c r="F1270" s="69" t="str">
        <f>IF($B1270="","",PV-N(J1269))</f>
        <v/>
      </c>
      <c r="G1270" s="69" t="str">
        <f>IF($B1270="","",PMT(Rate,Nper,-PV,,Type))</f>
        <v/>
      </c>
      <c r="H1270" s="69" t="str">
        <f>IF($B1270="","",PPMT(Rate,ROWS($1:1258),Nper,-PV,,Type))</f>
        <v/>
      </c>
      <c r="I1270" s="69" t="str">
        <f>IF($B1270="","",IPMT(Rate,ROWS($1:1258),Nper,-PV,,Type))</f>
        <v/>
      </c>
      <c r="J1270" s="73" t="str">
        <f t="shared" ref="J1270:K1270" si="1260">IF($B1270="","",N(J1269)+N(H1270))</f>
        <v/>
      </c>
      <c r="K1270" s="74" t="str">
        <f t="shared" si="1260"/>
        <v/>
      </c>
      <c r="L1270" s="69" t="str">
        <f>IF($B1270="","",PV-J1270)</f>
        <v/>
      </c>
      <c r="M1270" s="71" t="str">
        <f>IF($B1270="","",J1270/PV)</f>
        <v/>
      </c>
      <c r="N1270" s="72" t="str">
        <f t="shared" si="4"/>
        <v/>
      </c>
    </row>
    <row r="1271" ht="14.25" customHeight="1">
      <c r="B1271" s="66" t="str">
        <f>IF(ROWS($1:1259)&lt;=Nper,ROWS($1:1259),"")</f>
        <v/>
      </c>
      <c r="C1271" s="67" t="str">
        <f>IF($B1271="","",IF($E$7="Weekly",Start_Date+7*(ROWS($1:1259)-1),EDATE(Start_Date,VLOOKUP(IF(ASTemp!$E$7="","Monthly",ASTemp!$E$7),Parameters!$B$3:$D$6,3,0)*(ROWS($1:1259)-1))))</f>
        <v/>
      </c>
      <c r="D1271" s="68" t="str">
        <f t="shared" si="2"/>
        <v/>
      </c>
      <c r="E1271" s="65" t="str">
        <f>IF($B1271="","",VLOOKUP(MONTH(C1271),Parameters!$F$2:$G$13,2,0))</f>
        <v/>
      </c>
      <c r="F1271" s="69" t="str">
        <f>IF($B1271="","",PV-N(J1270))</f>
        <v/>
      </c>
      <c r="G1271" s="69" t="str">
        <f>IF($B1271="","",PMT(Rate,Nper,-PV,,Type))</f>
        <v/>
      </c>
      <c r="H1271" s="69" t="str">
        <f>IF($B1271="","",PPMT(Rate,ROWS($1:1259),Nper,-PV,,Type))</f>
        <v/>
      </c>
      <c r="I1271" s="69" t="str">
        <f>IF($B1271="","",IPMT(Rate,ROWS($1:1259),Nper,-PV,,Type))</f>
        <v/>
      </c>
      <c r="J1271" s="73" t="str">
        <f t="shared" ref="J1271:K1271" si="1261">IF($B1271="","",N(J1270)+N(H1271))</f>
        <v/>
      </c>
      <c r="K1271" s="74" t="str">
        <f t="shared" si="1261"/>
        <v/>
      </c>
      <c r="L1271" s="69" t="str">
        <f>IF($B1271="","",PV-J1271)</f>
        <v/>
      </c>
      <c r="M1271" s="71" t="str">
        <f>IF($B1271="","",J1271/PV)</f>
        <v/>
      </c>
      <c r="N1271" s="72" t="str">
        <f t="shared" si="4"/>
        <v/>
      </c>
    </row>
    <row r="1272" ht="14.25" customHeight="1">
      <c r="B1272" s="66" t="str">
        <f>IF(ROWS($1:1260)&lt;=Nper,ROWS($1:1260),"")</f>
        <v/>
      </c>
      <c r="C1272" s="67" t="str">
        <f>IF($B1272="","",IF($E$7="Weekly",Start_Date+7*(ROWS($1:1260)-1),EDATE(Start_Date,VLOOKUP(IF(ASTemp!$E$7="","Monthly",ASTemp!$E$7),Parameters!$B$3:$D$6,3,0)*(ROWS($1:1260)-1))))</f>
        <v/>
      </c>
      <c r="D1272" s="68" t="str">
        <f t="shared" si="2"/>
        <v/>
      </c>
      <c r="E1272" s="65" t="str">
        <f>IF($B1272="","",VLOOKUP(MONTH(C1272),Parameters!$F$2:$G$13,2,0))</f>
        <v/>
      </c>
      <c r="F1272" s="69" t="str">
        <f>IF($B1272="","",PV-N(J1271))</f>
        <v/>
      </c>
      <c r="G1272" s="69" t="str">
        <f>IF($B1272="","",PMT(Rate,Nper,-PV,,Type))</f>
        <v/>
      </c>
      <c r="H1272" s="69" t="str">
        <f>IF($B1272="","",PPMT(Rate,ROWS($1:1260),Nper,-PV,,Type))</f>
        <v/>
      </c>
      <c r="I1272" s="69" t="str">
        <f>IF($B1272="","",IPMT(Rate,ROWS($1:1260),Nper,-PV,,Type))</f>
        <v/>
      </c>
      <c r="J1272" s="73" t="str">
        <f t="shared" ref="J1272:K1272" si="1262">IF($B1272="","",N(J1271)+N(H1272))</f>
        <v/>
      </c>
      <c r="K1272" s="74" t="str">
        <f t="shared" si="1262"/>
        <v/>
      </c>
      <c r="L1272" s="69" t="str">
        <f>IF($B1272="","",PV-J1272)</f>
        <v/>
      </c>
      <c r="M1272" s="71" t="str">
        <f>IF($B1272="","",J1272/PV)</f>
        <v/>
      </c>
      <c r="N1272" s="72" t="str">
        <f t="shared" si="4"/>
        <v/>
      </c>
    </row>
    <row r="1273" ht="14.25" customHeight="1">
      <c r="B1273" s="66" t="str">
        <f>IF(ROWS($1:1261)&lt;=Nper,ROWS($1:1261),"")</f>
        <v/>
      </c>
      <c r="C1273" s="67" t="str">
        <f>IF($B1273="","",IF($E$7="Weekly",Start_Date+7*(ROWS($1:1261)-1),EDATE(Start_Date,VLOOKUP(IF(ASTemp!$E$7="","Monthly",ASTemp!$E$7),Parameters!$B$3:$D$6,3,0)*(ROWS($1:1261)-1))))</f>
        <v/>
      </c>
      <c r="D1273" s="68" t="str">
        <f t="shared" si="2"/>
        <v/>
      </c>
      <c r="E1273" s="65" t="str">
        <f>IF($B1273="","",VLOOKUP(MONTH(C1273),Parameters!$F$2:$G$13,2,0))</f>
        <v/>
      </c>
      <c r="F1273" s="69" t="str">
        <f>IF($B1273="","",PV-N(J1272))</f>
        <v/>
      </c>
      <c r="G1273" s="69" t="str">
        <f>IF($B1273="","",PMT(Rate,Nper,-PV,,Type))</f>
        <v/>
      </c>
      <c r="H1273" s="69" t="str">
        <f>IF($B1273="","",PPMT(Rate,ROWS($1:1261),Nper,-PV,,Type))</f>
        <v/>
      </c>
      <c r="I1273" s="69" t="str">
        <f>IF($B1273="","",IPMT(Rate,ROWS($1:1261),Nper,-PV,,Type))</f>
        <v/>
      </c>
      <c r="J1273" s="73" t="str">
        <f t="shared" ref="J1273:K1273" si="1263">IF($B1273="","",N(J1272)+N(H1273))</f>
        <v/>
      </c>
      <c r="K1273" s="74" t="str">
        <f t="shared" si="1263"/>
        <v/>
      </c>
      <c r="L1273" s="69" t="str">
        <f>IF($B1273="","",PV-J1273)</f>
        <v/>
      </c>
      <c r="M1273" s="71" t="str">
        <f>IF($B1273="","",J1273/PV)</f>
        <v/>
      </c>
      <c r="N1273" s="72" t="str">
        <f t="shared" si="4"/>
        <v/>
      </c>
    </row>
    <row r="1274" ht="14.25" customHeight="1">
      <c r="B1274" s="66" t="str">
        <f>IF(ROWS($1:1262)&lt;=Nper,ROWS($1:1262),"")</f>
        <v/>
      </c>
      <c r="C1274" s="67" t="str">
        <f>IF($B1274="","",IF($E$7="Weekly",Start_Date+7*(ROWS($1:1262)-1),EDATE(Start_Date,VLOOKUP(IF(ASTemp!$E$7="","Monthly",ASTemp!$E$7),Parameters!$B$3:$D$6,3,0)*(ROWS($1:1262)-1))))</f>
        <v/>
      </c>
      <c r="D1274" s="68" t="str">
        <f t="shared" si="2"/>
        <v/>
      </c>
      <c r="E1274" s="65" t="str">
        <f>IF($B1274="","",VLOOKUP(MONTH(C1274),Parameters!$F$2:$G$13,2,0))</f>
        <v/>
      </c>
      <c r="F1274" s="69" t="str">
        <f>IF($B1274="","",PV-N(J1273))</f>
        <v/>
      </c>
      <c r="G1274" s="69" t="str">
        <f>IF($B1274="","",PMT(Rate,Nper,-PV,,Type))</f>
        <v/>
      </c>
      <c r="H1274" s="69" t="str">
        <f>IF($B1274="","",PPMT(Rate,ROWS($1:1262),Nper,-PV,,Type))</f>
        <v/>
      </c>
      <c r="I1274" s="69" t="str">
        <f>IF($B1274="","",IPMT(Rate,ROWS($1:1262),Nper,-PV,,Type))</f>
        <v/>
      </c>
      <c r="J1274" s="73" t="str">
        <f t="shared" ref="J1274:K1274" si="1264">IF($B1274="","",N(J1273)+N(H1274))</f>
        <v/>
      </c>
      <c r="K1274" s="74" t="str">
        <f t="shared" si="1264"/>
        <v/>
      </c>
      <c r="L1274" s="69" t="str">
        <f>IF($B1274="","",PV-J1274)</f>
        <v/>
      </c>
      <c r="M1274" s="71" t="str">
        <f>IF($B1274="","",J1274/PV)</f>
        <v/>
      </c>
      <c r="N1274" s="72" t="str">
        <f t="shared" si="4"/>
        <v/>
      </c>
    </row>
    <row r="1275" ht="14.25" customHeight="1">
      <c r="B1275" s="66" t="str">
        <f>IF(ROWS($1:1263)&lt;=Nper,ROWS($1:1263),"")</f>
        <v/>
      </c>
      <c r="C1275" s="67" t="str">
        <f>IF($B1275="","",IF($E$7="Weekly",Start_Date+7*(ROWS($1:1263)-1),EDATE(Start_Date,VLOOKUP(IF(ASTemp!$E$7="","Monthly",ASTemp!$E$7),Parameters!$B$3:$D$6,3,0)*(ROWS($1:1263)-1))))</f>
        <v/>
      </c>
      <c r="D1275" s="68" t="str">
        <f t="shared" si="2"/>
        <v/>
      </c>
      <c r="E1275" s="65" t="str">
        <f>IF($B1275="","",VLOOKUP(MONTH(C1275),Parameters!$F$2:$G$13,2,0))</f>
        <v/>
      </c>
      <c r="F1275" s="69" t="str">
        <f>IF($B1275="","",PV-N(J1274))</f>
        <v/>
      </c>
      <c r="G1275" s="69" t="str">
        <f>IF($B1275="","",PMT(Rate,Nper,-PV,,Type))</f>
        <v/>
      </c>
      <c r="H1275" s="69" t="str">
        <f>IF($B1275="","",PPMT(Rate,ROWS($1:1263),Nper,-PV,,Type))</f>
        <v/>
      </c>
      <c r="I1275" s="69" t="str">
        <f>IF($B1275="","",IPMT(Rate,ROWS($1:1263),Nper,-PV,,Type))</f>
        <v/>
      </c>
      <c r="J1275" s="73" t="str">
        <f t="shared" ref="J1275:K1275" si="1265">IF($B1275="","",N(J1274)+N(H1275))</f>
        <v/>
      </c>
      <c r="K1275" s="74" t="str">
        <f t="shared" si="1265"/>
        <v/>
      </c>
      <c r="L1275" s="69" t="str">
        <f>IF($B1275="","",PV-J1275)</f>
        <v/>
      </c>
      <c r="M1275" s="71" t="str">
        <f>IF($B1275="","",J1275/PV)</f>
        <v/>
      </c>
      <c r="N1275" s="72" t="str">
        <f t="shared" si="4"/>
        <v/>
      </c>
    </row>
    <row r="1276" ht="14.25" customHeight="1">
      <c r="B1276" s="66" t="str">
        <f>IF(ROWS($1:1264)&lt;=Nper,ROWS($1:1264),"")</f>
        <v/>
      </c>
      <c r="C1276" s="67" t="str">
        <f>IF($B1276="","",IF($E$7="Weekly",Start_Date+7*(ROWS($1:1264)-1),EDATE(Start_Date,VLOOKUP(IF(ASTemp!$E$7="","Monthly",ASTemp!$E$7),Parameters!$B$3:$D$6,3,0)*(ROWS($1:1264)-1))))</f>
        <v/>
      </c>
      <c r="D1276" s="68" t="str">
        <f t="shared" si="2"/>
        <v/>
      </c>
      <c r="E1276" s="65" t="str">
        <f>IF($B1276="","",VLOOKUP(MONTH(C1276),Parameters!$F$2:$G$13,2,0))</f>
        <v/>
      </c>
      <c r="F1276" s="69" t="str">
        <f>IF($B1276="","",PV-N(J1275))</f>
        <v/>
      </c>
      <c r="G1276" s="69" t="str">
        <f>IF($B1276="","",PMT(Rate,Nper,-PV,,Type))</f>
        <v/>
      </c>
      <c r="H1276" s="69" t="str">
        <f>IF($B1276="","",PPMT(Rate,ROWS($1:1264),Nper,-PV,,Type))</f>
        <v/>
      </c>
      <c r="I1276" s="69" t="str">
        <f>IF($B1276="","",IPMT(Rate,ROWS($1:1264),Nper,-PV,,Type))</f>
        <v/>
      </c>
      <c r="J1276" s="73" t="str">
        <f t="shared" ref="J1276:K1276" si="1266">IF($B1276="","",N(J1275)+N(H1276))</f>
        <v/>
      </c>
      <c r="K1276" s="74" t="str">
        <f t="shared" si="1266"/>
        <v/>
      </c>
      <c r="L1276" s="69" t="str">
        <f>IF($B1276="","",PV-J1276)</f>
        <v/>
      </c>
      <c r="M1276" s="71" t="str">
        <f>IF($B1276="","",J1276/PV)</f>
        <v/>
      </c>
      <c r="N1276" s="72" t="str">
        <f t="shared" si="4"/>
        <v/>
      </c>
    </row>
    <row r="1277" ht="14.25" customHeight="1">
      <c r="B1277" s="66" t="str">
        <f>IF(ROWS($1:1265)&lt;=Nper,ROWS($1:1265),"")</f>
        <v/>
      </c>
      <c r="C1277" s="67" t="str">
        <f>IF($B1277="","",IF($E$7="Weekly",Start_Date+7*(ROWS($1:1265)-1),EDATE(Start_Date,VLOOKUP(IF(ASTemp!$E$7="","Monthly",ASTemp!$E$7),Parameters!$B$3:$D$6,3,0)*(ROWS($1:1265)-1))))</f>
        <v/>
      </c>
      <c r="D1277" s="68" t="str">
        <f t="shared" si="2"/>
        <v/>
      </c>
      <c r="E1277" s="65" t="str">
        <f>IF($B1277="","",VLOOKUP(MONTH(C1277),Parameters!$F$2:$G$13,2,0))</f>
        <v/>
      </c>
      <c r="F1277" s="69" t="str">
        <f>IF($B1277="","",PV-N(J1276))</f>
        <v/>
      </c>
      <c r="G1277" s="69" t="str">
        <f>IF($B1277="","",PMT(Rate,Nper,-PV,,Type))</f>
        <v/>
      </c>
      <c r="H1277" s="69" t="str">
        <f>IF($B1277="","",PPMT(Rate,ROWS($1:1265),Nper,-PV,,Type))</f>
        <v/>
      </c>
      <c r="I1277" s="69" t="str">
        <f>IF($B1277="","",IPMT(Rate,ROWS($1:1265),Nper,-PV,,Type))</f>
        <v/>
      </c>
      <c r="J1277" s="73" t="str">
        <f t="shared" ref="J1277:K1277" si="1267">IF($B1277="","",N(J1276)+N(H1277))</f>
        <v/>
      </c>
      <c r="K1277" s="74" t="str">
        <f t="shared" si="1267"/>
        <v/>
      </c>
      <c r="L1277" s="69" t="str">
        <f>IF($B1277="","",PV-J1277)</f>
        <v/>
      </c>
      <c r="M1277" s="71" t="str">
        <f>IF($B1277="","",J1277/PV)</f>
        <v/>
      </c>
      <c r="N1277" s="72" t="str">
        <f t="shared" si="4"/>
        <v/>
      </c>
    </row>
    <row r="1278" ht="14.25" customHeight="1">
      <c r="B1278" s="66" t="str">
        <f>IF(ROWS($1:1266)&lt;=Nper,ROWS($1:1266),"")</f>
        <v/>
      </c>
      <c r="C1278" s="67" t="str">
        <f>IF($B1278="","",IF($E$7="Weekly",Start_Date+7*(ROWS($1:1266)-1),EDATE(Start_Date,VLOOKUP(IF(ASTemp!$E$7="","Monthly",ASTemp!$E$7),Parameters!$B$3:$D$6,3,0)*(ROWS($1:1266)-1))))</f>
        <v/>
      </c>
      <c r="D1278" s="68" t="str">
        <f t="shared" si="2"/>
        <v/>
      </c>
      <c r="E1278" s="65" t="str">
        <f>IF($B1278="","",VLOOKUP(MONTH(C1278),Parameters!$F$2:$G$13,2,0))</f>
        <v/>
      </c>
      <c r="F1278" s="69" t="str">
        <f>IF($B1278="","",PV-N(J1277))</f>
        <v/>
      </c>
      <c r="G1278" s="69" t="str">
        <f>IF($B1278="","",PMT(Rate,Nper,-PV,,Type))</f>
        <v/>
      </c>
      <c r="H1278" s="69" t="str">
        <f>IF($B1278="","",PPMT(Rate,ROWS($1:1266),Nper,-PV,,Type))</f>
        <v/>
      </c>
      <c r="I1278" s="69" t="str">
        <f>IF($B1278="","",IPMT(Rate,ROWS($1:1266),Nper,-PV,,Type))</f>
        <v/>
      </c>
      <c r="J1278" s="73" t="str">
        <f t="shared" ref="J1278:K1278" si="1268">IF($B1278="","",N(J1277)+N(H1278))</f>
        <v/>
      </c>
      <c r="K1278" s="74" t="str">
        <f t="shared" si="1268"/>
        <v/>
      </c>
      <c r="L1278" s="69" t="str">
        <f>IF($B1278="","",PV-J1278)</f>
        <v/>
      </c>
      <c r="M1278" s="71" t="str">
        <f>IF($B1278="","",J1278/PV)</f>
        <v/>
      </c>
      <c r="N1278" s="72" t="str">
        <f t="shared" si="4"/>
        <v/>
      </c>
    </row>
    <row r="1279" ht="14.25" customHeight="1">
      <c r="B1279" s="66" t="str">
        <f>IF(ROWS($1:1267)&lt;=Nper,ROWS($1:1267),"")</f>
        <v/>
      </c>
      <c r="C1279" s="67" t="str">
        <f>IF($B1279="","",IF($E$7="Weekly",Start_Date+7*(ROWS($1:1267)-1),EDATE(Start_Date,VLOOKUP(IF(ASTemp!$E$7="","Monthly",ASTemp!$E$7),Parameters!$B$3:$D$6,3,0)*(ROWS($1:1267)-1))))</f>
        <v/>
      </c>
      <c r="D1279" s="68" t="str">
        <f t="shared" si="2"/>
        <v/>
      </c>
      <c r="E1279" s="65" t="str">
        <f>IF($B1279="","",VLOOKUP(MONTH(C1279),Parameters!$F$2:$G$13,2,0))</f>
        <v/>
      </c>
      <c r="F1279" s="69" t="str">
        <f>IF($B1279="","",PV-N(J1278))</f>
        <v/>
      </c>
      <c r="G1279" s="69" t="str">
        <f>IF($B1279="","",PMT(Rate,Nper,-PV,,Type))</f>
        <v/>
      </c>
      <c r="H1279" s="69" t="str">
        <f>IF($B1279="","",PPMT(Rate,ROWS($1:1267),Nper,-PV,,Type))</f>
        <v/>
      </c>
      <c r="I1279" s="69" t="str">
        <f>IF($B1279="","",IPMT(Rate,ROWS($1:1267),Nper,-PV,,Type))</f>
        <v/>
      </c>
      <c r="J1279" s="73" t="str">
        <f t="shared" ref="J1279:K1279" si="1269">IF($B1279="","",N(J1278)+N(H1279))</f>
        <v/>
      </c>
      <c r="K1279" s="74" t="str">
        <f t="shared" si="1269"/>
        <v/>
      </c>
      <c r="L1279" s="69" t="str">
        <f>IF($B1279="","",PV-J1279)</f>
        <v/>
      </c>
      <c r="M1279" s="71" t="str">
        <f>IF($B1279="","",J1279/PV)</f>
        <v/>
      </c>
      <c r="N1279" s="72" t="str">
        <f t="shared" si="4"/>
        <v/>
      </c>
    </row>
    <row r="1280" ht="14.25" customHeight="1">
      <c r="B1280" s="66" t="str">
        <f>IF(ROWS($1:1268)&lt;=Nper,ROWS($1:1268),"")</f>
        <v/>
      </c>
      <c r="C1280" s="67" t="str">
        <f>IF($B1280="","",IF($E$7="Weekly",Start_Date+7*(ROWS($1:1268)-1),EDATE(Start_Date,VLOOKUP(IF(ASTemp!$E$7="","Monthly",ASTemp!$E$7),Parameters!$B$3:$D$6,3,0)*(ROWS($1:1268)-1))))</f>
        <v/>
      </c>
      <c r="D1280" s="68" t="str">
        <f t="shared" si="2"/>
        <v/>
      </c>
      <c r="E1280" s="65" t="str">
        <f>IF($B1280="","",VLOOKUP(MONTH(C1280),Parameters!$F$2:$G$13,2,0))</f>
        <v/>
      </c>
      <c r="F1280" s="69" t="str">
        <f>IF($B1280="","",PV-N(J1279))</f>
        <v/>
      </c>
      <c r="G1280" s="69" t="str">
        <f>IF($B1280="","",PMT(Rate,Nper,-PV,,Type))</f>
        <v/>
      </c>
      <c r="H1280" s="69" t="str">
        <f>IF($B1280="","",PPMT(Rate,ROWS($1:1268),Nper,-PV,,Type))</f>
        <v/>
      </c>
      <c r="I1280" s="69" t="str">
        <f>IF($B1280="","",IPMT(Rate,ROWS($1:1268),Nper,-PV,,Type))</f>
        <v/>
      </c>
      <c r="J1280" s="73" t="str">
        <f t="shared" ref="J1280:K1280" si="1270">IF($B1280="","",N(J1279)+N(H1280))</f>
        <v/>
      </c>
      <c r="K1280" s="74" t="str">
        <f t="shared" si="1270"/>
        <v/>
      </c>
      <c r="L1280" s="69" t="str">
        <f>IF($B1280="","",PV-J1280)</f>
        <v/>
      </c>
      <c r="M1280" s="71" t="str">
        <f>IF($B1280="","",J1280/PV)</f>
        <v/>
      </c>
      <c r="N1280" s="72" t="str">
        <f t="shared" si="4"/>
        <v/>
      </c>
    </row>
    <row r="1281" ht="14.25" customHeight="1">
      <c r="B1281" s="66" t="str">
        <f>IF(ROWS($1:1269)&lt;=Nper,ROWS($1:1269),"")</f>
        <v/>
      </c>
      <c r="C1281" s="67" t="str">
        <f>IF($B1281="","",IF($E$7="Weekly",Start_Date+7*(ROWS($1:1269)-1),EDATE(Start_Date,VLOOKUP(IF(ASTemp!$E$7="","Monthly",ASTemp!$E$7),Parameters!$B$3:$D$6,3,0)*(ROWS($1:1269)-1))))</f>
        <v/>
      </c>
      <c r="D1281" s="68" t="str">
        <f t="shared" si="2"/>
        <v/>
      </c>
      <c r="E1281" s="65" t="str">
        <f>IF($B1281="","",VLOOKUP(MONTH(C1281),Parameters!$F$2:$G$13,2,0))</f>
        <v/>
      </c>
      <c r="F1281" s="69" t="str">
        <f>IF($B1281="","",PV-N(J1280))</f>
        <v/>
      </c>
      <c r="G1281" s="69" t="str">
        <f>IF($B1281="","",PMT(Rate,Nper,-PV,,Type))</f>
        <v/>
      </c>
      <c r="H1281" s="69" t="str">
        <f>IF($B1281="","",PPMT(Rate,ROWS($1:1269),Nper,-PV,,Type))</f>
        <v/>
      </c>
      <c r="I1281" s="69" t="str">
        <f>IF($B1281="","",IPMT(Rate,ROWS($1:1269),Nper,-PV,,Type))</f>
        <v/>
      </c>
      <c r="J1281" s="73" t="str">
        <f t="shared" ref="J1281:K1281" si="1271">IF($B1281="","",N(J1280)+N(H1281))</f>
        <v/>
      </c>
      <c r="K1281" s="74" t="str">
        <f t="shared" si="1271"/>
        <v/>
      </c>
      <c r="L1281" s="69" t="str">
        <f>IF($B1281="","",PV-J1281)</f>
        <v/>
      </c>
      <c r="M1281" s="71" t="str">
        <f>IF($B1281="","",J1281/PV)</f>
        <v/>
      </c>
      <c r="N1281" s="72" t="str">
        <f t="shared" si="4"/>
        <v/>
      </c>
    </row>
    <row r="1282" ht="14.25" customHeight="1">
      <c r="B1282" s="66" t="str">
        <f>IF(ROWS($1:1270)&lt;=Nper,ROWS($1:1270),"")</f>
        <v/>
      </c>
      <c r="C1282" s="67" t="str">
        <f>IF($B1282="","",IF($E$7="Weekly",Start_Date+7*(ROWS($1:1270)-1),EDATE(Start_Date,VLOOKUP(IF(ASTemp!$E$7="","Monthly",ASTemp!$E$7),Parameters!$B$3:$D$6,3,0)*(ROWS($1:1270)-1))))</f>
        <v/>
      </c>
      <c r="D1282" s="68" t="str">
        <f t="shared" si="2"/>
        <v/>
      </c>
      <c r="E1282" s="65" t="str">
        <f>IF($B1282="","",VLOOKUP(MONTH(C1282),Parameters!$F$2:$G$13,2,0))</f>
        <v/>
      </c>
      <c r="F1282" s="69" t="str">
        <f>IF($B1282="","",PV-N(J1281))</f>
        <v/>
      </c>
      <c r="G1282" s="69" t="str">
        <f>IF($B1282="","",PMT(Rate,Nper,-PV,,Type))</f>
        <v/>
      </c>
      <c r="H1282" s="69" t="str">
        <f>IF($B1282="","",PPMT(Rate,ROWS($1:1270),Nper,-PV,,Type))</f>
        <v/>
      </c>
      <c r="I1282" s="69" t="str">
        <f>IF($B1282="","",IPMT(Rate,ROWS($1:1270),Nper,-PV,,Type))</f>
        <v/>
      </c>
      <c r="J1282" s="73" t="str">
        <f t="shared" ref="J1282:K1282" si="1272">IF($B1282="","",N(J1281)+N(H1282))</f>
        <v/>
      </c>
      <c r="K1282" s="74" t="str">
        <f t="shared" si="1272"/>
        <v/>
      </c>
      <c r="L1282" s="69" t="str">
        <f>IF($B1282="","",PV-J1282)</f>
        <v/>
      </c>
      <c r="M1282" s="71" t="str">
        <f>IF($B1282="","",J1282/PV)</f>
        <v/>
      </c>
      <c r="N1282" s="72" t="str">
        <f t="shared" si="4"/>
        <v/>
      </c>
    </row>
    <row r="1283" ht="14.25" customHeight="1">
      <c r="B1283" s="66" t="str">
        <f>IF(ROWS($1:1271)&lt;=Nper,ROWS($1:1271),"")</f>
        <v/>
      </c>
      <c r="C1283" s="67" t="str">
        <f>IF($B1283="","",IF($E$7="Weekly",Start_Date+7*(ROWS($1:1271)-1),EDATE(Start_Date,VLOOKUP(IF(ASTemp!$E$7="","Monthly",ASTemp!$E$7),Parameters!$B$3:$D$6,3,0)*(ROWS($1:1271)-1))))</f>
        <v/>
      </c>
      <c r="D1283" s="68" t="str">
        <f t="shared" si="2"/>
        <v/>
      </c>
      <c r="E1283" s="65" t="str">
        <f>IF($B1283="","",VLOOKUP(MONTH(C1283),Parameters!$F$2:$G$13,2,0))</f>
        <v/>
      </c>
      <c r="F1283" s="69" t="str">
        <f>IF($B1283="","",PV-N(J1282))</f>
        <v/>
      </c>
      <c r="G1283" s="69" t="str">
        <f>IF($B1283="","",PMT(Rate,Nper,-PV,,Type))</f>
        <v/>
      </c>
      <c r="H1283" s="69" t="str">
        <f>IF($B1283="","",PPMT(Rate,ROWS($1:1271),Nper,-PV,,Type))</f>
        <v/>
      </c>
      <c r="I1283" s="69" t="str">
        <f>IF($B1283="","",IPMT(Rate,ROWS($1:1271),Nper,-PV,,Type))</f>
        <v/>
      </c>
      <c r="J1283" s="73" t="str">
        <f t="shared" ref="J1283:K1283" si="1273">IF($B1283="","",N(J1282)+N(H1283))</f>
        <v/>
      </c>
      <c r="K1283" s="74" t="str">
        <f t="shared" si="1273"/>
        <v/>
      </c>
      <c r="L1283" s="69" t="str">
        <f>IF($B1283="","",PV-J1283)</f>
        <v/>
      </c>
      <c r="M1283" s="71" t="str">
        <f>IF($B1283="","",J1283/PV)</f>
        <v/>
      </c>
      <c r="N1283" s="72" t="str">
        <f t="shared" si="4"/>
        <v/>
      </c>
    </row>
    <row r="1284" ht="14.25" customHeight="1">
      <c r="B1284" s="66" t="str">
        <f>IF(ROWS($1:1272)&lt;=Nper,ROWS($1:1272),"")</f>
        <v/>
      </c>
      <c r="C1284" s="67" t="str">
        <f>IF($B1284="","",IF($E$7="Weekly",Start_Date+7*(ROWS($1:1272)-1),EDATE(Start_Date,VLOOKUP(IF(ASTemp!$E$7="","Monthly",ASTemp!$E$7),Parameters!$B$3:$D$6,3,0)*(ROWS($1:1272)-1))))</f>
        <v/>
      </c>
      <c r="D1284" s="68" t="str">
        <f t="shared" si="2"/>
        <v/>
      </c>
      <c r="E1284" s="65" t="str">
        <f>IF($B1284="","",VLOOKUP(MONTH(C1284),Parameters!$F$2:$G$13,2,0))</f>
        <v/>
      </c>
      <c r="F1284" s="69" t="str">
        <f>IF($B1284="","",PV-N(J1283))</f>
        <v/>
      </c>
      <c r="G1284" s="69" t="str">
        <f>IF($B1284="","",PMT(Rate,Nper,-PV,,Type))</f>
        <v/>
      </c>
      <c r="H1284" s="69" t="str">
        <f>IF($B1284="","",PPMT(Rate,ROWS($1:1272),Nper,-PV,,Type))</f>
        <v/>
      </c>
      <c r="I1284" s="69" t="str">
        <f>IF($B1284="","",IPMT(Rate,ROWS($1:1272),Nper,-PV,,Type))</f>
        <v/>
      </c>
      <c r="J1284" s="73" t="str">
        <f t="shared" ref="J1284:K1284" si="1274">IF($B1284="","",N(J1283)+N(H1284))</f>
        <v/>
      </c>
      <c r="K1284" s="74" t="str">
        <f t="shared" si="1274"/>
        <v/>
      </c>
      <c r="L1284" s="69" t="str">
        <f>IF($B1284="","",PV-J1284)</f>
        <v/>
      </c>
      <c r="M1284" s="71" t="str">
        <f>IF($B1284="","",J1284/PV)</f>
        <v/>
      </c>
      <c r="N1284" s="72" t="str">
        <f t="shared" si="4"/>
        <v/>
      </c>
    </row>
    <row r="1285" ht="14.25" customHeight="1">
      <c r="B1285" s="66" t="str">
        <f>IF(ROWS($1:1273)&lt;=Nper,ROWS($1:1273),"")</f>
        <v/>
      </c>
      <c r="C1285" s="67" t="str">
        <f>IF($B1285="","",IF($E$7="Weekly",Start_Date+7*(ROWS($1:1273)-1),EDATE(Start_Date,VLOOKUP(IF(ASTemp!$E$7="","Monthly",ASTemp!$E$7),Parameters!$B$3:$D$6,3,0)*(ROWS($1:1273)-1))))</f>
        <v/>
      </c>
      <c r="D1285" s="68" t="str">
        <f t="shared" si="2"/>
        <v/>
      </c>
      <c r="E1285" s="65" t="str">
        <f>IF($B1285="","",VLOOKUP(MONTH(C1285),Parameters!$F$2:$G$13,2,0))</f>
        <v/>
      </c>
      <c r="F1285" s="69" t="str">
        <f>IF($B1285="","",PV-N(J1284))</f>
        <v/>
      </c>
      <c r="G1285" s="69" t="str">
        <f>IF($B1285="","",PMT(Rate,Nper,-PV,,Type))</f>
        <v/>
      </c>
      <c r="H1285" s="69" t="str">
        <f>IF($B1285="","",PPMT(Rate,ROWS($1:1273),Nper,-PV,,Type))</f>
        <v/>
      </c>
      <c r="I1285" s="69" t="str">
        <f>IF($B1285="","",IPMT(Rate,ROWS($1:1273),Nper,-PV,,Type))</f>
        <v/>
      </c>
      <c r="J1285" s="73" t="str">
        <f t="shared" ref="J1285:K1285" si="1275">IF($B1285="","",N(J1284)+N(H1285))</f>
        <v/>
      </c>
      <c r="K1285" s="74" t="str">
        <f t="shared" si="1275"/>
        <v/>
      </c>
      <c r="L1285" s="69" t="str">
        <f>IF($B1285="","",PV-J1285)</f>
        <v/>
      </c>
      <c r="M1285" s="71" t="str">
        <f>IF($B1285="","",J1285/PV)</f>
        <v/>
      </c>
      <c r="N1285" s="72" t="str">
        <f t="shared" si="4"/>
        <v/>
      </c>
    </row>
    <row r="1286" ht="14.25" customHeight="1">
      <c r="B1286" s="66" t="str">
        <f>IF(ROWS($1:1274)&lt;=Nper,ROWS($1:1274),"")</f>
        <v/>
      </c>
      <c r="C1286" s="67" t="str">
        <f>IF($B1286="","",IF($E$7="Weekly",Start_Date+7*(ROWS($1:1274)-1),EDATE(Start_Date,VLOOKUP(IF(ASTemp!$E$7="","Monthly",ASTemp!$E$7),Parameters!$B$3:$D$6,3,0)*(ROWS($1:1274)-1))))</f>
        <v/>
      </c>
      <c r="D1286" s="68" t="str">
        <f t="shared" si="2"/>
        <v/>
      </c>
      <c r="E1286" s="65" t="str">
        <f>IF($B1286="","",VLOOKUP(MONTH(C1286),Parameters!$F$2:$G$13,2,0))</f>
        <v/>
      </c>
      <c r="F1286" s="69" t="str">
        <f>IF($B1286="","",PV-N(J1285))</f>
        <v/>
      </c>
      <c r="G1286" s="69" t="str">
        <f>IF($B1286="","",PMT(Rate,Nper,-PV,,Type))</f>
        <v/>
      </c>
      <c r="H1286" s="69" t="str">
        <f>IF($B1286="","",PPMT(Rate,ROWS($1:1274),Nper,-PV,,Type))</f>
        <v/>
      </c>
      <c r="I1286" s="69" t="str">
        <f>IF($B1286="","",IPMT(Rate,ROWS($1:1274),Nper,-PV,,Type))</f>
        <v/>
      </c>
      <c r="J1286" s="73" t="str">
        <f t="shared" ref="J1286:K1286" si="1276">IF($B1286="","",N(J1285)+N(H1286))</f>
        <v/>
      </c>
      <c r="K1286" s="74" t="str">
        <f t="shared" si="1276"/>
        <v/>
      </c>
      <c r="L1286" s="69" t="str">
        <f>IF($B1286="","",PV-J1286)</f>
        <v/>
      </c>
      <c r="M1286" s="71" t="str">
        <f>IF($B1286="","",J1286/PV)</f>
        <v/>
      </c>
      <c r="N1286" s="72" t="str">
        <f t="shared" si="4"/>
        <v/>
      </c>
    </row>
    <row r="1287" ht="14.25" customHeight="1">
      <c r="B1287" s="66" t="str">
        <f>IF(ROWS($1:1275)&lt;=Nper,ROWS($1:1275),"")</f>
        <v/>
      </c>
      <c r="C1287" s="67" t="str">
        <f>IF($B1287="","",IF($E$7="Weekly",Start_Date+7*(ROWS($1:1275)-1),EDATE(Start_Date,VLOOKUP(IF(ASTemp!$E$7="","Monthly",ASTemp!$E$7),Parameters!$B$3:$D$6,3,0)*(ROWS($1:1275)-1))))</f>
        <v/>
      </c>
      <c r="D1287" s="68" t="str">
        <f t="shared" si="2"/>
        <v/>
      </c>
      <c r="E1287" s="65" t="str">
        <f>IF($B1287="","",VLOOKUP(MONTH(C1287),Parameters!$F$2:$G$13,2,0))</f>
        <v/>
      </c>
      <c r="F1287" s="69" t="str">
        <f>IF($B1287="","",PV-N(J1286))</f>
        <v/>
      </c>
      <c r="G1287" s="69" t="str">
        <f>IF($B1287="","",PMT(Rate,Nper,-PV,,Type))</f>
        <v/>
      </c>
      <c r="H1287" s="69" t="str">
        <f>IF($B1287="","",PPMT(Rate,ROWS($1:1275),Nper,-PV,,Type))</f>
        <v/>
      </c>
      <c r="I1287" s="69" t="str">
        <f>IF($B1287="","",IPMT(Rate,ROWS($1:1275),Nper,-PV,,Type))</f>
        <v/>
      </c>
      <c r="J1287" s="73" t="str">
        <f t="shared" ref="J1287:K1287" si="1277">IF($B1287="","",N(J1286)+N(H1287))</f>
        <v/>
      </c>
      <c r="K1287" s="74" t="str">
        <f t="shared" si="1277"/>
        <v/>
      </c>
      <c r="L1287" s="69" t="str">
        <f>IF($B1287="","",PV-J1287)</f>
        <v/>
      </c>
      <c r="M1287" s="71" t="str">
        <f>IF($B1287="","",J1287/PV)</f>
        <v/>
      </c>
      <c r="N1287" s="72" t="str">
        <f t="shared" si="4"/>
        <v/>
      </c>
    </row>
    <row r="1288" ht="14.25" customHeight="1">
      <c r="B1288" s="66" t="str">
        <f>IF(ROWS($1:1276)&lt;=Nper,ROWS($1:1276),"")</f>
        <v/>
      </c>
      <c r="C1288" s="67" t="str">
        <f>IF($B1288="","",IF($E$7="Weekly",Start_Date+7*(ROWS($1:1276)-1),EDATE(Start_Date,VLOOKUP(IF(ASTemp!$E$7="","Monthly",ASTemp!$E$7),Parameters!$B$3:$D$6,3,0)*(ROWS($1:1276)-1))))</f>
        <v/>
      </c>
      <c r="D1288" s="68" t="str">
        <f t="shared" si="2"/>
        <v/>
      </c>
      <c r="E1288" s="65" t="str">
        <f>IF($B1288="","",VLOOKUP(MONTH(C1288),Parameters!$F$2:$G$13,2,0))</f>
        <v/>
      </c>
      <c r="F1288" s="69" t="str">
        <f>IF($B1288="","",PV-N(J1287))</f>
        <v/>
      </c>
      <c r="G1288" s="69" t="str">
        <f>IF($B1288="","",PMT(Rate,Nper,-PV,,Type))</f>
        <v/>
      </c>
      <c r="H1288" s="69" t="str">
        <f>IF($B1288="","",PPMT(Rate,ROWS($1:1276),Nper,-PV,,Type))</f>
        <v/>
      </c>
      <c r="I1288" s="69" t="str">
        <f>IF($B1288="","",IPMT(Rate,ROWS($1:1276),Nper,-PV,,Type))</f>
        <v/>
      </c>
      <c r="J1288" s="73" t="str">
        <f t="shared" ref="J1288:K1288" si="1278">IF($B1288="","",N(J1287)+N(H1288))</f>
        <v/>
      </c>
      <c r="K1288" s="74" t="str">
        <f t="shared" si="1278"/>
        <v/>
      </c>
      <c r="L1288" s="69" t="str">
        <f>IF($B1288="","",PV-J1288)</f>
        <v/>
      </c>
      <c r="M1288" s="71" t="str">
        <f>IF($B1288="","",J1288/PV)</f>
        <v/>
      </c>
      <c r="N1288" s="72" t="str">
        <f t="shared" si="4"/>
        <v/>
      </c>
    </row>
    <row r="1289" ht="14.25" customHeight="1">
      <c r="B1289" s="66" t="str">
        <f>IF(ROWS($1:1277)&lt;=Nper,ROWS($1:1277),"")</f>
        <v/>
      </c>
      <c r="C1289" s="67" t="str">
        <f>IF($B1289="","",IF($E$7="Weekly",Start_Date+7*(ROWS($1:1277)-1),EDATE(Start_Date,VLOOKUP(IF(ASTemp!$E$7="","Monthly",ASTemp!$E$7),Parameters!$B$3:$D$6,3,0)*(ROWS($1:1277)-1))))</f>
        <v/>
      </c>
      <c r="D1289" s="68" t="str">
        <f t="shared" si="2"/>
        <v/>
      </c>
      <c r="E1289" s="65" t="str">
        <f>IF($B1289="","",VLOOKUP(MONTH(C1289),Parameters!$F$2:$G$13,2,0))</f>
        <v/>
      </c>
      <c r="F1289" s="69" t="str">
        <f>IF($B1289="","",PV-N(J1288))</f>
        <v/>
      </c>
      <c r="G1289" s="69" t="str">
        <f>IF($B1289="","",PMT(Rate,Nper,-PV,,Type))</f>
        <v/>
      </c>
      <c r="H1289" s="69" t="str">
        <f>IF($B1289="","",PPMT(Rate,ROWS($1:1277),Nper,-PV,,Type))</f>
        <v/>
      </c>
      <c r="I1289" s="69" t="str">
        <f>IF($B1289="","",IPMT(Rate,ROWS($1:1277),Nper,-PV,,Type))</f>
        <v/>
      </c>
      <c r="J1289" s="73" t="str">
        <f t="shared" ref="J1289:K1289" si="1279">IF($B1289="","",N(J1288)+N(H1289))</f>
        <v/>
      </c>
      <c r="K1289" s="74" t="str">
        <f t="shared" si="1279"/>
        <v/>
      </c>
      <c r="L1289" s="69" t="str">
        <f>IF($B1289="","",PV-J1289)</f>
        <v/>
      </c>
      <c r="M1289" s="71" t="str">
        <f>IF($B1289="","",J1289/PV)</f>
        <v/>
      </c>
      <c r="N1289" s="72" t="str">
        <f t="shared" si="4"/>
        <v/>
      </c>
    </row>
    <row r="1290" ht="14.25" customHeight="1">
      <c r="B1290" s="66" t="str">
        <f>IF(ROWS($1:1278)&lt;=Nper,ROWS($1:1278),"")</f>
        <v/>
      </c>
      <c r="C1290" s="67" t="str">
        <f>IF($B1290="","",IF($E$7="Weekly",Start_Date+7*(ROWS($1:1278)-1),EDATE(Start_Date,VLOOKUP(IF(ASTemp!$E$7="","Monthly",ASTemp!$E$7),Parameters!$B$3:$D$6,3,0)*(ROWS($1:1278)-1))))</f>
        <v/>
      </c>
      <c r="D1290" s="68" t="str">
        <f t="shared" si="2"/>
        <v/>
      </c>
      <c r="E1290" s="65" t="str">
        <f>IF($B1290="","",VLOOKUP(MONTH(C1290),Parameters!$F$2:$G$13,2,0))</f>
        <v/>
      </c>
      <c r="F1290" s="69" t="str">
        <f>IF($B1290="","",PV-N(J1289))</f>
        <v/>
      </c>
      <c r="G1290" s="69" t="str">
        <f>IF($B1290="","",PMT(Rate,Nper,-PV,,Type))</f>
        <v/>
      </c>
      <c r="H1290" s="69" t="str">
        <f>IF($B1290="","",PPMT(Rate,ROWS($1:1278),Nper,-PV,,Type))</f>
        <v/>
      </c>
      <c r="I1290" s="69" t="str">
        <f>IF($B1290="","",IPMT(Rate,ROWS($1:1278),Nper,-PV,,Type))</f>
        <v/>
      </c>
      <c r="J1290" s="73" t="str">
        <f t="shared" ref="J1290:K1290" si="1280">IF($B1290="","",N(J1289)+N(H1290))</f>
        <v/>
      </c>
      <c r="K1290" s="74" t="str">
        <f t="shared" si="1280"/>
        <v/>
      </c>
      <c r="L1290" s="69" t="str">
        <f>IF($B1290="","",PV-J1290)</f>
        <v/>
      </c>
      <c r="M1290" s="71" t="str">
        <f>IF($B1290="","",J1290/PV)</f>
        <v/>
      </c>
      <c r="N1290" s="72" t="str">
        <f t="shared" si="4"/>
        <v/>
      </c>
    </row>
    <row r="1291" ht="14.25" customHeight="1">
      <c r="B1291" s="66" t="str">
        <f>IF(ROWS($1:1279)&lt;=Nper,ROWS($1:1279),"")</f>
        <v/>
      </c>
      <c r="C1291" s="67" t="str">
        <f>IF($B1291="","",IF($E$7="Weekly",Start_Date+7*(ROWS($1:1279)-1),EDATE(Start_Date,VLOOKUP(IF(ASTemp!$E$7="","Monthly",ASTemp!$E$7),Parameters!$B$3:$D$6,3,0)*(ROWS($1:1279)-1))))</f>
        <v/>
      </c>
      <c r="D1291" s="68" t="str">
        <f t="shared" si="2"/>
        <v/>
      </c>
      <c r="E1291" s="65" t="str">
        <f>IF($B1291="","",VLOOKUP(MONTH(C1291),Parameters!$F$2:$G$13,2,0))</f>
        <v/>
      </c>
      <c r="F1291" s="69" t="str">
        <f>IF($B1291="","",PV-N(J1290))</f>
        <v/>
      </c>
      <c r="G1291" s="69" t="str">
        <f>IF($B1291="","",PMT(Rate,Nper,-PV,,Type))</f>
        <v/>
      </c>
      <c r="H1291" s="69" t="str">
        <f>IF($B1291="","",PPMT(Rate,ROWS($1:1279),Nper,-PV,,Type))</f>
        <v/>
      </c>
      <c r="I1291" s="69" t="str">
        <f>IF($B1291="","",IPMT(Rate,ROWS($1:1279),Nper,-PV,,Type))</f>
        <v/>
      </c>
      <c r="J1291" s="73" t="str">
        <f t="shared" ref="J1291:K1291" si="1281">IF($B1291="","",N(J1290)+N(H1291))</f>
        <v/>
      </c>
      <c r="K1291" s="74" t="str">
        <f t="shared" si="1281"/>
        <v/>
      </c>
      <c r="L1291" s="69" t="str">
        <f>IF($B1291="","",PV-J1291)</f>
        <v/>
      </c>
      <c r="M1291" s="71" t="str">
        <f>IF($B1291="","",J1291/PV)</f>
        <v/>
      </c>
      <c r="N1291" s="72" t="str">
        <f t="shared" si="4"/>
        <v/>
      </c>
    </row>
    <row r="1292" ht="14.25" customHeight="1">
      <c r="B1292" s="66" t="str">
        <f>IF(ROWS($1:1280)&lt;=Nper,ROWS($1:1280),"")</f>
        <v/>
      </c>
      <c r="C1292" s="67" t="str">
        <f>IF($B1292="","",IF($E$7="Weekly",Start_Date+7*(ROWS($1:1280)-1),EDATE(Start_Date,VLOOKUP(IF(ASTemp!$E$7="","Monthly",ASTemp!$E$7),Parameters!$B$3:$D$6,3,0)*(ROWS($1:1280)-1))))</f>
        <v/>
      </c>
      <c r="D1292" s="68" t="str">
        <f t="shared" si="2"/>
        <v/>
      </c>
      <c r="E1292" s="65" t="str">
        <f>IF($B1292="","",VLOOKUP(MONTH(C1292),Parameters!$F$2:$G$13,2,0))</f>
        <v/>
      </c>
      <c r="F1292" s="69" t="str">
        <f>IF($B1292="","",PV-N(J1291))</f>
        <v/>
      </c>
      <c r="G1292" s="69" t="str">
        <f>IF($B1292="","",PMT(Rate,Nper,-PV,,Type))</f>
        <v/>
      </c>
      <c r="H1292" s="69" t="str">
        <f>IF($B1292="","",PPMT(Rate,ROWS($1:1280),Nper,-PV,,Type))</f>
        <v/>
      </c>
      <c r="I1292" s="69" t="str">
        <f>IF($B1292="","",IPMT(Rate,ROWS($1:1280),Nper,-PV,,Type))</f>
        <v/>
      </c>
      <c r="J1292" s="73" t="str">
        <f t="shared" ref="J1292:K1292" si="1282">IF($B1292="","",N(J1291)+N(H1292))</f>
        <v/>
      </c>
      <c r="K1292" s="74" t="str">
        <f t="shared" si="1282"/>
        <v/>
      </c>
      <c r="L1292" s="69" t="str">
        <f>IF($B1292="","",PV-J1292)</f>
        <v/>
      </c>
      <c r="M1292" s="71" t="str">
        <f>IF($B1292="","",J1292/PV)</f>
        <v/>
      </c>
      <c r="N1292" s="72" t="str">
        <f t="shared" si="4"/>
        <v/>
      </c>
    </row>
    <row r="1293" ht="14.25" customHeight="1">
      <c r="B1293" s="66" t="str">
        <f>IF(ROWS($1:1281)&lt;=Nper,ROWS($1:1281),"")</f>
        <v/>
      </c>
      <c r="C1293" s="67" t="str">
        <f>IF($B1293="","",IF($E$7="Weekly",Start_Date+7*(ROWS($1:1281)-1),EDATE(Start_Date,VLOOKUP(IF(ASTemp!$E$7="","Monthly",ASTemp!$E$7),Parameters!$B$3:$D$6,3,0)*(ROWS($1:1281)-1))))</f>
        <v/>
      </c>
      <c r="D1293" s="68" t="str">
        <f t="shared" si="2"/>
        <v/>
      </c>
      <c r="E1293" s="65" t="str">
        <f>IF($B1293="","",VLOOKUP(MONTH(C1293),Parameters!$F$2:$G$13,2,0))</f>
        <v/>
      </c>
      <c r="F1293" s="69" t="str">
        <f>IF($B1293="","",PV-N(J1292))</f>
        <v/>
      </c>
      <c r="G1293" s="69" t="str">
        <f>IF($B1293="","",PMT(Rate,Nper,-PV,,Type))</f>
        <v/>
      </c>
      <c r="H1293" s="69" t="str">
        <f>IF($B1293="","",PPMT(Rate,ROWS($1:1281),Nper,-PV,,Type))</f>
        <v/>
      </c>
      <c r="I1293" s="69" t="str">
        <f>IF($B1293="","",IPMT(Rate,ROWS($1:1281),Nper,-PV,,Type))</f>
        <v/>
      </c>
      <c r="J1293" s="73" t="str">
        <f t="shared" ref="J1293:K1293" si="1283">IF($B1293="","",N(J1292)+N(H1293))</f>
        <v/>
      </c>
      <c r="K1293" s="74" t="str">
        <f t="shared" si="1283"/>
        <v/>
      </c>
      <c r="L1293" s="69" t="str">
        <f>IF($B1293="","",PV-J1293)</f>
        <v/>
      </c>
      <c r="M1293" s="71" t="str">
        <f>IF($B1293="","",J1293/PV)</f>
        <v/>
      </c>
      <c r="N1293" s="72" t="str">
        <f t="shared" si="4"/>
        <v/>
      </c>
    </row>
    <row r="1294" ht="14.25" customHeight="1">
      <c r="B1294" s="66" t="str">
        <f>IF(ROWS($1:1282)&lt;=Nper,ROWS($1:1282),"")</f>
        <v/>
      </c>
      <c r="C1294" s="67" t="str">
        <f>IF($B1294="","",IF($E$7="Weekly",Start_Date+7*(ROWS($1:1282)-1),EDATE(Start_Date,VLOOKUP(IF(ASTemp!$E$7="","Monthly",ASTemp!$E$7),Parameters!$B$3:$D$6,3,0)*(ROWS($1:1282)-1))))</f>
        <v/>
      </c>
      <c r="D1294" s="68" t="str">
        <f t="shared" si="2"/>
        <v/>
      </c>
      <c r="E1294" s="65" t="str">
        <f>IF($B1294="","",VLOOKUP(MONTH(C1294),Parameters!$F$2:$G$13,2,0))</f>
        <v/>
      </c>
      <c r="F1294" s="69" t="str">
        <f>IF($B1294="","",PV-N(J1293))</f>
        <v/>
      </c>
      <c r="G1294" s="69" t="str">
        <f>IF($B1294="","",PMT(Rate,Nper,-PV,,Type))</f>
        <v/>
      </c>
      <c r="H1294" s="69" t="str">
        <f>IF($B1294="","",PPMT(Rate,ROWS($1:1282),Nper,-PV,,Type))</f>
        <v/>
      </c>
      <c r="I1294" s="69" t="str">
        <f>IF($B1294="","",IPMT(Rate,ROWS($1:1282),Nper,-PV,,Type))</f>
        <v/>
      </c>
      <c r="J1294" s="73" t="str">
        <f t="shared" ref="J1294:K1294" si="1284">IF($B1294="","",N(J1293)+N(H1294))</f>
        <v/>
      </c>
      <c r="K1294" s="74" t="str">
        <f t="shared" si="1284"/>
        <v/>
      </c>
      <c r="L1294" s="69" t="str">
        <f>IF($B1294="","",PV-J1294)</f>
        <v/>
      </c>
      <c r="M1294" s="71" t="str">
        <f>IF($B1294="","",J1294/PV)</f>
        <v/>
      </c>
      <c r="N1294" s="72" t="str">
        <f t="shared" si="4"/>
        <v/>
      </c>
    </row>
    <row r="1295" ht="14.25" customHeight="1">
      <c r="B1295" s="66" t="str">
        <f>IF(ROWS($1:1283)&lt;=Nper,ROWS($1:1283),"")</f>
        <v/>
      </c>
      <c r="C1295" s="67" t="str">
        <f>IF($B1295="","",IF($E$7="Weekly",Start_Date+7*(ROWS($1:1283)-1),EDATE(Start_Date,VLOOKUP(IF(ASTemp!$E$7="","Monthly",ASTemp!$E$7),Parameters!$B$3:$D$6,3,0)*(ROWS($1:1283)-1))))</f>
        <v/>
      </c>
      <c r="D1295" s="68" t="str">
        <f t="shared" si="2"/>
        <v/>
      </c>
      <c r="E1295" s="65" t="str">
        <f>IF($B1295="","",VLOOKUP(MONTH(C1295),Parameters!$F$2:$G$13,2,0))</f>
        <v/>
      </c>
      <c r="F1295" s="69" t="str">
        <f>IF($B1295="","",PV-N(J1294))</f>
        <v/>
      </c>
      <c r="G1295" s="69" t="str">
        <f>IF($B1295="","",PMT(Rate,Nper,-PV,,Type))</f>
        <v/>
      </c>
      <c r="H1295" s="69" t="str">
        <f>IF($B1295="","",PPMT(Rate,ROWS($1:1283),Nper,-PV,,Type))</f>
        <v/>
      </c>
      <c r="I1295" s="69" t="str">
        <f>IF($B1295="","",IPMT(Rate,ROWS($1:1283),Nper,-PV,,Type))</f>
        <v/>
      </c>
      <c r="J1295" s="73" t="str">
        <f t="shared" ref="J1295:K1295" si="1285">IF($B1295="","",N(J1294)+N(H1295))</f>
        <v/>
      </c>
      <c r="K1295" s="74" t="str">
        <f t="shared" si="1285"/>
        <v/>
      </c>
      <c r="L1295" s="69" t="str">
        <f>IF($B1295="","",PV-J1295)</f>
        <v/>
      </c>
      <c r="M1295" s="71" t="str">
        <f>IF($B1295="","",J1295/PV)</f>
        <v/>
      </c>
      <c r="N1295" s="72" t="str">
        <f t="shared" si="4"/>
        <v/>
      </c>
    </row>
    <row r="1296" ht="14.25" customHeight="1">
      <c r="B1296" s="66" t="str">
        <f>IF(ROWS($1:1284)&lt;=Nper,ROWS($1:1284),"")</f>
        <v/>
      </c>
      <c r="C1296" s="67" t="str">
        <f>IF($B1296="","",IF($E$7="Weekly",Start_Date+7*(ROWS($1:1284)-1),EDATE(Start_Date,VLOOKUP(IF(ASTemp!$E$7="","Monthly",ASTemp!$E$7),Parameters!$B$3:$D$6,3,0)*(ROWS($1:1284)-1))))</f>
        <v/>
      </c>
      <c r="D1296" s="68" t="str">
        <f t="shared" si="2"/>
        <v/>
      </c>
      <c r="E1296" s="65" t="str">
        <f>IF($B1296="","",VLOOKUP(MONTH(C1296),Parameters!$F$2:$G$13,2,0))</f>
        <v/>
      </c>
      <c r="F1296" s="69" t="str">
        <f>IF($B1296="","",PV-N(J1295))</f>
        <v/>
      </c>
      <c r="G1296" s="69" t="str">
        <f>IF($B1296="","",PMT(Rate,Nper,-PV,,Type))</f>
        <v/>
      </c>
      <c r="H1296" s="69" t="str">
        <f>IF($B1296="","",PPMT(Rate,ROWS($1:1284),Nper,-PV,,Type))</f>
        <v/>
      </c>
      <c r="I1296" s="69" t="str">
        <f>IF($B1296="","",IPMT(Rate,ROWS($1:1284),Nper,-PV,,Type))</f>
        <v/>
      </c>
      <c r="J1296" s="73" t="str">
        <f t="shared" ref="J1296:K1296" si="1286">IF($B1296="","",N(J1295)+N(H1296))</f>
        <v/>
      </c>
      <c r="K1296" s="74" t="str">
        <f t="shared" si="1286"/>
        <v/>
      </c>
      <c r="L1296" s="69" t="str">
        <f>IF($B1296="","",PV-J1296)</f>
        <v/>
      </c>
      <c r="M1296" s="71" t="str">
        <f>IF($B1296="","",J1296/PV)</f>
        <v/>
      </c>
      <c r="N1296" s="72" t="str">
        <f t="shared" si="4"/>
        <v/>
      </c>
    </row>
    <row r="1297" ht="14.25" customHeight="1">
      <c r="B1297" s="66" t="str">
        <f>IF(ROWS($1:1285)&lt;=Nper,ROWS($1:1285),"")</f>
        <v/>
      </c>
      <c r="C1297" s="67" t="str">
        <f>IF($B1297="","",IF($E$7="Weekly",Start_Date+7*(ROWS($1:1285)-1),EDATE(Start_Date,VLOOKUP(IF(ASTemp!$E$7="","Monthly",ASTemp!$E$7),Parameters!$B$3:$D$6,3,0)*(ROWS($1:1285)-1))))</f>
        <v/>
      </c>
      <c r="D1297" s="68" t="str">
        <f t="shared" si="2"/>
        <v/>
      </c>
      <c r="E1297" s="65" t="str">
        <f>IF($B1297="","",VLOOKUP(MONTH(C1297),Parameters!$F$2:$G$13,2,0))</f>
        <v/>
      </c>
      <c r="F1297" s="69" t="str">
        <f>IF($B1297="","",PV-N(J1296))</f>
        <v/>
      </c>
      <c r="G1297" s="69" t="str">
        <f>IF($B1297="","",PMT(Rate,Nper,-PV,,Type))</f>
        <v/>
      </c>
      <c r="H1297" s="69" t="str">
        <f>IF($B1297="","",PPMT(Rate,ROWS($1:1285),Nper,-PV,,Type))</f>
        <v/>
      </c>
      <c r="I1297" s="69" t="str">
        <f>IF($B1297="","",IPMT(Rate,ROWS($1:1285),Nper,-PV,,Type))</f>
        <v/>
      </c>
      <c r="J1297" s="73" t="str">
        <f t="shared" ref="J1297:K1297" si="1287">IF($B1297="","",N(J1296)+N(H1297))</f>
        <v/>
      </c>
      <c r="K1297" s="74" t="str">
        <f t="shared" si="1287"/>
        <v/>
      </c>
      <c r="L1297" s="69" t="str">
        <f>IF($B1297="","",PV-J1297)</f>
        <v/>
      </c>
      <c r="M1297" s="71" t="str">
        <f>IF($B1297="","",J1297/PV)</f>
        <v/>
      </c>
      <c r="N1297" s="72" t="str">
        <f t="shared" si="4"/>
        <v/>
      </c>
    </row>
    <row r="1298" ht="14.25" customHeight="1">
      <c r="B1298" s="66" t="str">
        <f>IF(ROWS($1:1286)&lt;=Nper,ROWS($1:1286),"")</f>
        <v/>
      </c>
      <c r="C1298" s="67" t="str">
        <f>IF($B1298="","",IF($E$7="Weekly",Start_Date+7*(ROWS($1:1286)-1),EDATE(Start_Date,VLOOKUP(IF(ASTemp!$E$7="","Monthly",ASTemp!$E$7),Parameters!$B$3:$D$6,3,0)*(ROWS($1:1286)-1))))</f>
        <v/>
      </c>
      <c r="D1298" s="68" t="str">
        <f t="shared" si="2"/>
        <v/>
      </c>
      <c r="E1298" s="65" t="str">
        <f>IF($B1298="","",VLOOKUP(MONTH(C1298),Parameters!$F$2:$G$13,2,0))</f>
        <v/>
      </c>
      <c r="F1298" s="69" t="str">
        <f>IF($B1298="","",PV-N(J1297))</f>
        <v/>
      </c>
      <c r="G1298" s="69" t="str">
        <f>IF($B1298="","",PMT(Rate,Nper,-PV,,Type))</f>
        <v/>
      </c>
      <c r="H1298" s="69" t="str">
        <f>IF($B1298="","",PPMT(Rate,ROWS($1:1286),Nper,-PV,,Type))</f>
        <v/>
      </c>
      <c r="I1298" s="69" t="str">
        <f>IF($B1298="","",IPMT(Rate,ROWS($1:1286),Nper,-PV,,Type))</f>
        <v/>
      </c>
      <c r="J1298" s="73" t="str">
        <f t="shared" ref="J1298:K1298" si="1288">IF($B1298="","",N(J1297)+N(H1298))</f>
        <v/>
      </c>
      <c r="K1298" s="74" t="str">
        <f t="shared" si="1288"/>
        <v/>
      </c>
      <c r="L1298" s="69" t="str">
        <f>IF($B1298="","",PV-J1298)</f>
        <v/>
      </c>
      <c r="M1298" s="71" t="str">
        <f>IF($B1298="","",J1298/PV)</f>
        <v/>
      </c>
      <c r="N1298" s="72" t="str">
        <f t="shared" si="4"/>
        <v/>
      </c>
    </row>
    <row r="1299" ht="14.25" customHeight="1">
      <c r="B1299" s="66" t="str">
        <f>IF(ROWS($1:1287)&lt;=Nper,ROWS($1:1287),"")</f>
        <v/>
      </c>
      <c r="C1299" s="67" t="str">
        <f>IF($B1299="","",IF($E$7="Weekly",Start_Date+7*(ROWS($1:1287)-1),EDATE(Start_Date,VLOOKUP(IF(ASTemp!$E$7="","Monthly",ASTemp!$E$7),Parameters!$B$3:$D$6,3,0)*(ROWS($1:1287)-1))))</f>
        <v/>
      </c>
      <c r="D1299" s="68" t="str">
        <f t="shared" si="2"/>
        <v/>
      </c>
      <c r="E1299" s="65" t="str">
        <f>IF($B1299="","",VLOOKUP(MONTH(C1299),Parameters!$F$2:$G$13,2,0))</f>
        <v/>
      </c>
      <c r="F1299" s="69" t="str">
        <f>IF($B1299="","",PV-N(J1298))</f>
        <v/>
      </c>
      <c r="G1299" s="69" t="str">
        <f>IF($B1299="","",PMT(Rate,Nper,-PV,,Type))</f>
        <v/>
      </c>
      <c r="H1299" s="69" t="str">
        <f>IF($B1299="","",PPMT(Rate,ROWS($1:1287),Nper,-PV,,Type))</f>
        <v/>
      </c>
      <c r="I1299" s="69" t="str">
        <f>IF($B1299="","",IPMT(Rate,ROWS($1:1287),Nper,-PV,,Type))</f>
        <v/>
      </c>
      <c r="J1299" s="73" t="str">
        <f t="shared" ref="J1299:K1299" si="1289">IF($B1299="","",N(J1298)+N(H1299))</f>
        <v/>
      </c>
      <c r="K1299" s="74" t="str">
        <f t="shared" si="1289"/>
        <v/>
      </c>
      <c r="L1299" s="69" t="str">
        <f>IF($B1299="","",PV-J1299)</f>
        <v/>
      </c>
      <c r="M1299" s="71" t="str">
        <f>IF($B1299="","",J1299/PV)</f>
        <v/>
      </c>
      <c r="N1299" s="72" t="str">
        <f t="shared" si="4"/>
        <v/>
      </c>
    </row>
    <row r="1300" ht="14.25" customHeight="1">
      <c r="B1300" s="66" t="str">
        <f>IF(ROWS($1:1288)&lt;=Nper,ROWS($1:1288),"")</f>
        <v/>
      </c>
      <c r="C1300" s="67" t="str">
        <f>IF($B1300="","",IF($E$7="Weekly",Start_Date+7*(ROWS($1:1288)-1),EDATE(Start_Date,VLOOKUP(IF(ASTemp!$E$7="","Monthly",ASTemp!$E$7),Parameters!$B$3:$D$6,3,0)*(ROWS($1:1288)-1))))</f>
        <v/>
      </c>
      <c r="D1300" s="68" t="str">
        <f t="shared" si="2"/>
        <v/>
      </c>
      <c r="E1300" s="65" t="str">
        <f>IF($B1300="","",VLOOKUP(MONTH(C1300),Parameters!$F$2:$G$13,2,0))</f>
        <v/>
      </c>
      <c r="F1300" s="69" t="str">
        <f>IF($B1300="","",PV-N(J1299))</f>
        <v/>
      </c>
      <c r="G1300" s="69" t="str">
        <f>IF($B1300="","",PMT(Rate,Nper,-PV,,Type))</f>
        <v/>
      </c>
      <c r="H1300" s="69" t="str">
        <f>IF($B1300="","",PPMT(Rate,ROWS($1:1288),Nper,-PV,,Type))</f>
        <v/>
      </c>
      <c r="I1300" s="69" t="str">
        <f>IF($B1300="","",IPMT(Rate,ROWS($1:1288),Nper,-PV,,Type))</f>
        <v/>
      </c>
      <c r="J1300" s="73" t="str">
        <f t="shared" ref="J1300:K1300" si="1290">IF($B1300="","",N(J1299)+N(H1300))</f>
        <v/>
      </c>
      <c r="K1300" s="74" t="str">
        <f t="shared" si="1290"/>
        <v/>
      </c>
      <c r="L1300" s="69" t="str">
        <f>IF($B1300="","",PV-J1300)</f>
        <v/>
      </c>
      <c r="M1300" s="71" t="str">
        <f>IF($B1300="","",J1300/PV)</f>
        <v/>
      </c>
      <c r="N1300" s="72" t="str">
        <f t="shared" si="4"/>
        <v/>
      </c>
    </row>
    <row r="1301" ht="14.25" customHeight="1">
      <c r="B1301" s="66" t="str">
        <f>IF(ROWS($1:1289)&lt;=Nper,ROWS($1:1289),"")</f>
        <v/>
      </c>
      <c r="C1301" s="67" t="str">
        <f>IF($B1301="","",IF($E$7="Weekly",Start_Date+7*(ROWS($1:1289)-1),EDATE(Start_Date,VLOOKUP(IF(ASTemp!$E$7="","Monthly",ASTemp!$E$7),Parameters!$B$3:$D$6,3,0)*(ROWS($1:1289)-1))))</f>
        <v/>
      </c>
      <c r="D1301" s="68" t="str">
        <f t="shared" si="2"/>
        <v/>
      </c>
      <c r="E1301" s="65" t="str">
        <f>IF($B1301="","",VLOOKUP(MONTH(C1301),Parameters!$F$2:$G$13,2,0))</f>
        <v/>
      </c>
      <c r="F1301" s="69" t="str">
        <f>IF($B1301="","",PV-N(J1300))</f>
        <v/>
      </c>
      <c r="G1301" s="69" t="str">
        <f>IF($B1301="","",PMT(Rate,Nper,-PV,,Type))</f>
        <v/>
      </c>
      <c r="H1301" s="69" t="str">
        <f>IF($B1301="","",PPMT(Rate,ROWS($1:1289),Nper,-PV,,Type))</f>
        <v/>
      </c>
      <c r="I1301" s="69" t="str">
        <f>IF($B1301="","",IPMT(Rate,ROWS($1:1289),Nper,-PV,,Type))</f>
        <v/>
      </c>
      <c r="J1301" s="73" t="str">
        <f t="shared" ref="J1301:K1301" si="1291">IF($B1301="","",N(J1300)+N(H1301))</f>
        <v/>
      </c>
      <c r="K1301" s="74" t="str">
        <f t="shared" si="1291"/>
        <v/>
      </c>
      <c r="L1301" s="69" t="str">
        <f>IF($B1301="","",PV-J1301)</f>
        <v/>
      </c>
      <c r="M1301" s="71" t="str">
        <f>IF($B1301="","",J1301/PV)</f>
        <v/>
      </c>
      <c r="N1301" s="72" t="str">
        <f t="shared" si="4"/>
        <v/>
      </c>
    </row>
    <row r="1302" ht="14.25" customHeight="1">
      <c r="B1302" s="66" t="str">
        <f>IF(ROWS($1:1290)&lt;=Nper,ROWS($1:1290),"")</f>
        <v/>
      </c>
      <c r="C1302" s="67" t="str">
        <f>IF($B1302="","",IF($E$7="Weekly",Start_Date+7*(ROWS($1:1290)-1),EDATE(Start_Date,VLOOKUP(IF(ASTemp!$E$7="","Monthly",ASTemp!$E$7),Parameters!$B$3:$D$6,3,0)*(ROWS($1:1290)-1))))</f>
        <v/>
      </c>
      <c r="D1302" s="68" t="str">
        <f t="shared" si="2"/>
        <v/>
      </c>
      <c r="E1302" s="65" t="str">
        <f>IF($B1302="","",VLOOKUP(MONTH(C1302),Parameters!$F$2:$G$13,2,0))</f>
        <v/>
      </c>
      <c r="F1302" s="69" t="str">
        <f>IF($B1302="","",PV-N(J1301))</f>
        <v/>
      </c>
      <c r="G1302" s="69" t="str">
        <f>IF($B1302="","",PMT(Rate,Nper,-PV,,Type))</f>
        <v/>
      </c>
      <c r="H1302" s="69" t="str">
        <f>IF($B1302="","",PPMT(Rate,ROWS($1:1290),Nper,-PV,,Type))</f>
        <v/>
      </c>
      <c r="I1302" s="69" t="str">
        <f>IF($B1302="","",IPMT(Rate,ROWS($1:1290),Nper,-PV,,Type))</f>
        <v/>
      </c>
      <c r="J1302" s="73" t="str">
        <f t="shared" ref="J1302:K1302" si="1292">IF($B1302="","",N(J1301)+N(H1302))</f>
        <v/>
      </c>
      <c r="K1302" s="74" t="str">
        <f t="shared" si="1292"/>
        <v/>
      </c>
      <c r="L1302" s="69" t="str">
        <f>IF($B1302="","",PV-J1302)</f>
        <v/>
      </c>
      <c r="M1302" s="71" t="str">
        <f>IF($B1302="","",J1302/PV)</f>
        <v/>
      </c>
      <c r="N1302" s="72" t="str">
        <f t="shared" si="4"/>
        <v/>
      </c>
    </row>
    <row r="1303" ht="14.25" customHeight="1">
      <c r="B1303" s="66" t="str">
        <f>IF(ROWS($1:1291)&lt;=Nper,ROWS($1:1291),"")</f>
        <v/>
      </c>
      <c r="C1303" s="67" t="str">
        <f>IF($B1303="","",IF($E$7="Weekly",Start_Date+7*(ROWS($1:1291)-1),EDATE(Start_Date,VLOOKUP(IF(ASTemp!$E$7="","Monthly",ASTemp!$E$7),Parameters!$B$3:$D$6,3,0)*(ROWS($1:1291)-1))))</f>
        <v/>
      </c>
      <c r="D1303" s="68" t="str">
        <f t="shared" si="2"/>
        <v/>
      </c>
      <c r="E1303" s="65" t="str">
        <f>IF($B1303="","",VLOOKUP(MONTH(C1303),Parameters!$F$2:$G$13,2,0))</f>
        <v/>
      </c>
      <c r="F1303" s="69" t="str">
        <f>IF($B1303="","",PV-N(J1302))</f>
        <v/>
      </c>
      <c r="G1303" s="69" t="str">
        <f>IF($B1303="","",PMT(Rate,Nper,-PV,,Type))</f>
        <v/>
      </c>
      <c r="H1303" s="69" t="str">
        <f>IF($B1303="","",PPMT(Rate,ROWS($1:1291),Nper,-PV,,Type))</f>
        <v/>
      </c>
      <c r="I1303" s="69" t="str">
        <f>IF($B1303="","",IPMT(Rate,ROWS($1:1291),Nper,-PV,,Type))</f>
        <v/>
      </c>
      <c r="J1303" s="73" t="str">
        <f t="shared" ref="J1303:K1303" si="1293">IF($B1303="","",N(J1302)+N(H1303))</f>
        <v/>
      </c>
      <c r="K1303" s="74" t="str">
        <f t="shared" si="1293"/>
        <v/>
      </c>
      <c r="L1303" s="69" t="str">
        <f>IF($B1303="","",PV-J1303)</f>
        <v/>
      </c>
      <c r="M1303" s="71" t="str">
        <f>IF($B1303="","",J1303/PV)</f>
        <v/>
      </c>
      <c r="N1303" s="72" t="str">
        <f t="shared" si="4"/>
        <v/>
      </c>
    </row>
    <row r="1304" ht="14.25" customHeight="1">
      <c r="B1304" s="66" t="str">
        <f>IF(ROWS($1:1292)&lt;=Nper,ROWS($1:1292),"")</f>
        <v/>
      </c>
      <c r="C1304" s="67" t="str">
        <f>IF($B1304="","",IF($E$7="Weekly",Start_Date+7*(ROWS($1:1292)-1),EDATE(Start_Date,VLOOKUP(IF(ASTemp!$E$7="","Monthly",ASTemp!$E$7),Parameters!$B$3:$D$6,3,0)*(ROWS($1:1292)-1))))</f>
        <v/>
      </c>
      <c r="D1304" s="68" t="str">
        <f t="shared" si="2"/>
        <v/>
      </c>
      <c r="E1304" s="65" t="str">
        <f>IF($B1304="","",VLOOKUP(MONTH(C1304),Parameters!$F$2:$G$13,2,0))</f>
        <v/>
      </c>
      <c r="F1304" s="69" t="str">
        <f>IF($B1304="","",PV-N(J1303))</f>
        <v/>
      </c>
      <c r="G1304" s="69" t="str">
        <f>IF($B1304="","",PMT(Rate,Nper,-PV,,Type))</f>
        <v/>
      </c>
      <c r="H1304" s="69" t="str">
        <f>IF($B1304="","",PPMT(Rate,ROWS($1:1292),Nper,-PV,,Type))</f>
        <v/>
      </c>
      <c r="I1304" s="69" t="str">
        <f>IF($B1304="","",IPMT(Rate,ROWS($1:1292),Nper,-PV,,Type))</f>
        <v/>
      </c>
      <c r="J1304" s="73" t="str">
        <f t="shared" ref="J1304:K1304" si="1294">IF($B1304="","",N(J1303)+N(H1304))</f>
        <v/>
      </c>
      <c r="K1304" s="74" t="str">
        <f t="shared" si="1294"/>
        <v/>
      </c>
      <c r="L1304" s="69" t="str">
        <f>IF($B1304="","",PV-J1304)</f>
        <v/>
      </c>
      <c r="M1304" s="71" t="str">
        <f>IF($B1304="","",J1304/PV)</f>
        <v/>
      </c>
      <c r="N1304" s="72" t="str">
        <f t="shared" si="4"/>
        <v/>
      </c>
    </row>
    <row r="1305" ht="14.25" customHeight="1">
      <c r="B1305" s="66" t="str">
        <f>IF(ROWS($1:1293)&lt;=Nper,ROWS($1:1293),"")</f>
        <v/>
      </c>
      <c r="C1305" s="67" t="str">
        <f>IF($B1305="","",IF($E$7="Weekly",Start_Date+7*(ROWS($1:1293)-1),EDATE(Start_Date,VLOOKUP(IF(ASTemp!$E$7="","Monthly",ASTemp!$E$7),Parameters!$B$3:$D$6,3,0)*(ROWS($1:1293)-1))))</f>
        <v/>
      </c>
      <c r="D1305" s="68" t="str">
        <f t="shared" si="2"/>
        <v/>
      </c>
      <c r="E1305" s="65" t="str">
        <f>IF($B1305="","",VLOOKUP(MONTH(C1305),Parameters!$F$2:$G$13,2,0))</f>
        <v/>
      </c>
      <c r="F1305" s="69" t="str">
        <f>IF($B1305="","",PV-N(J1304))</f>
        <v/>
      </c>
      <c r="G1305" s="69" t="str">
        <f>IF($B1305="","",PMT(Rate,Nper,-PV,,Type))</f>
        <v/>
      </c>
      <c r="H1305" s="69" t="str">
        <f>IF($B1305="","",PPMT(Rate,ROWS($1:1293),Nper,-PV,,Type))</f>
        <v/>
      </c>
      <c r="I1305" s="69" t="str">
        <f>IF($B1305="","",IPMT(Rate,ROWS($1:1293),Nper,-PV,,Type))</f>
        <v/>
      </c>
      <c r="J1305" s="73" t="str">
        <f t="shared" ref="J1305:K1305" si="1295">IF($B1305="","",N(J1304)+N(H1305))</f>
        <v/>
      </c>
      <c r="K1305" s="74" t="str">
        <f t="shared" si="1295"/>
        <v/>
      </c>
      <c r="L1305" s="69" t="str">
        <f>IF($B1305="","",PV-J1305)</f>
        <v/>
      </c>
      <c r="M1305" s="71" t="str">
        <f>IF($B1305="","",J1305/PV)</f>
        <v/>
      </c>
      <c r="N1305" s="72" t="str">
        <f t="shared" si="4"/>
        <v/>
      </c>
    </row>
    <row r="1306" ht="14.25" customHeight="1">
      <c r="B1306" s="66" t="str">
        <f>IF(ROWS($1:1294)&lt;=Nper,ROWS($1:1294),"")</f>
        <v/>
      </c>
      <c r="C1306" s="67" t="str">
        <f>IF($B1306="","",IF($E$7="Weekly",Start_Date+7*(ROWS($1:1294)-1),EDATE(Start_Date,VLOOKUP(IF(ASTemp!$E$7="","Monthly",ASTemp!$E$7),Parameters!$B$3:$D$6,3,0)*(ROWS($1:1294)-1))))</f>
        <v/>
      </c>
      <c r="D1306" s="68" t="str">
        <f t="shared" si="2"/>
        <v/>
      </c>
      <c r="E1306" s="65" t="str">
        <f>IF($B1306="","",VLOOKUP(MONTH(C1306),Parameters!$F$2:$G$13,2,0))</f>
        <v/>
      </c>
      <c r="F1306" s="69" t="str">
        <f>IF($B1306="","",PV-N(J1305))</f>
        <v/>
      </c>
      <c r="G1306" s="69" t="str">
        <f>IF($B1306="","",PMT(Rate,Nper,-PV,,Type))</f>
        <v/>
      </c>
      <c r="H1306" s="69" t="str">
        <f>IF($B1306="","",PPMT(Rate,ROWS($1:1294),Nper,-PV,,Type))</f>
        <v/>
      </c>
      <c r="I1306" s="69" t="str">
        <f>IF($B1306="","",IPMT(Rate,ROWS($1:1294),Nper,-PV,,Type))</f>
        <v/>
      </c>
      <c r="J1306" s="73" t="str">
        <f t="shared" ref="J1306:K1306" si="1296">IF($B1306="","",N(J1305)+N(H1306))</f>
        <v/>
      </c>
      <c r="K1306" s="74" t="str">
        <f t="shared" si="1296"/>
        <v/>
      </c>
      <c r="L1306" s="69" t="str">
        <f>IF($B1306="","",PV-J1306)</f>
        <v/>
      </c>
      <c r="M1306" s="71" t="str">
        <f>IF($B1306="","",J1306/PV)</f>
        <v/>
      </c>
      <c r="N1306" s="72" t="str">
        <f t="shared" si="4"/>
        <v/>
      </c>
    </row>
    <row r="1307" ht="14.25" customHeight="1">
      <c r="B1307" s="66" t="str">
        <f>IF(ROWS($1:1295)&lt;=Nper,ROWS($1:1295),"")</f>
        <v/>
      </c>
      <c r="C1307" s="67" t="str">
        <f>IF($B1307="","",IF($E$7="Weekly",Start_Date+7*(ROWS($1:1295)-1),EDATE(Start_Date,VLOOKUP(IF(ASTemp!$E$7="","Monthly",ASTemp!$E$7),Parameters!$B$3:$D$6,3,0)*(ROWS($1:1295)-1))))</f>
        <v/>
      </c>
      <c r="D1307" s="68" t="str">
        <f t="shared" si="2"/>
        <v/>
      </c>
      <c r="E1307" s="65" t="str">
        <f>IF($B1307="","",VLOOKUP(MONTH(C1307),Parameters!$F$2:$G$13,2,0))</f>
        <v/>
      </c>
      <c r="F1307" s="69" t="str">
        <f>IF($B1307="","",PV-N(J1306))</f>
        <v/>
      </c>
      <c r="G1307" s="69" t="str">
        <f>IF($B1307="","",PMT(Rate,Nper,-PV,,Type))</f>
        <v/>
      </c>
      <c r="H1307" s="69" t="str">
        <f>IF($B1307="","",PPMT(Rate,ROWS($1:1295),Nper,-PV,,Type))</f>
        <v/>
      </c>
      <c r="I1307" s="69" t="str">
        <f>IF($B1307="","",IPMT(Rate,ROWS($1:1295),Nper,-PV,,Type))</f>
        <v/>
      </c>
      <c r="J1307" s="73" t="str">
        <f t="shared" ref="J1307:K1307" si="1297">IF($B1307="","",N(J1306)+N(H1307))</f>
        <v/>
      </c>
      <c r="K1307" s="74" t="str">
        <f t="shared" si="1297"/>
        <v/>
      </c>
      <c r="L1307" s="69" t="str">
        <f>IF($B1307="","",PV-J1307)</f>
        <v/>
      </c>
      <c r="M1307" s="71" t="str">
        <f>IF($B1307="","",J1307/PV)</f>
        <v/>
      </c>
      <c r="N1307" s="72" t="str">
        <f t="shared" si="4"/>
        <v/>
      </c>
    </row>
    <row r="1308" ht="14.25" customHeight="1">
      <c r="B1308" s="66" t="str">
        <f>IF(ROWS($1:1296)&lt;=Nper,ROWS($1:1296),"")</f>
        <v/>
      </c>
      <c r="C1308" s="67" t="str">
        <f>IF($B1308="","",IF($E$7="Weekly",Start_Date+7*(ROWS($1:1296)-1),EDATE(Start_Date,VLOOKUP(IF(ASTemp!$E$7="","Monthly",ASTemp!$E$7),Parameters!$B$3:$D$6,3,0)*(ROWS($1:1296)-1))))</f>
        <v/>
      </c>
      <c r="D1308" s="68" t="str">
        <f t="shared" si="2"/>
        <v/>
      </c>
      <c r="E1308" s="65" t="str">
        <f>IF($B1308="","",VLOOKUP(MONTH(C1308),Parameters!$F$2:$G$13,2,0))</f>
        <v/>
      </c>
      <c r="F1308" s="69" t="str">
        <f>IF($B1308="","",PV-N(J1307))</f>
        <v/>
      </c>
      <c r="G1308" s="69" t="str">
        <f>IF($B1308="","",PMT(Rate,Nper,-PV,,Type))</f>
        <v/>
      </c>
      <c r="H1308" s="69" t="str">
        <f>IF($B1308="","",PPMT(Rate,ROWS($1:1296),Nper,-PV,,Type))</f>
        <v/>
      </c>
      <c r="I1308" s="69" t="str">
        <f>IF($B1308="","",IPMT(Rate,ROWS($1:1296),Nper,-PV,,Type))</f>
        <v/>
      </c>
      <c r="J1308" s="73" t="str">
        <f t="shared" ref="J1308:K1308" si="1298">IF($B1308="","",N(J1307)+N(H1308))</f>
        <v/>
      </c>
      <c r="K1308" s="74" t="str">
        <f t="shared" si="1298"/>
        <v/>
      </c>
      <c r="L1308" s="69" t="str">
        <f>IF($B1308="","",PV-J1308)</f>
        <v/>
      </c>
      <c r="M1308" s="71" t="str">
        <f>IF($B1308="","",J1308/PV)</f>
        <v/>
      </c>
      <c r="N1308" s="72" t="str">
        <f t="shared" si="4"/>
        <v/>
      </c>
    </row>
    <row r="1309" ht="14.25" customHeight="1">
      <c r="B1309" s="66" t="str">
        <f>IF(ROWS($1:1297)&lt;=Nper,ROWS($1:1297),"")</f>
        <v/>
      </c>
      <c r="C1309" s="67" t="str">
        <f>IF($B1309="","",IF($E$7="Weekly",Start_Date+7*(ROWS($1:1297)-1),EDATE(Start_Date,VLOOKUP(IF(ASTemp!$E$7="","Monthly",ASTemp!$E$7),Parameters!$B$3:$D$6,3,0)*(ROWS($1:1297)-1))))</f>
        <v/>
      </c>
      <c r="D1309" s="68" t="str">
        <f t="shared" si="2"/>
        <v/>
      </c>
      <c r="E1309" s="65" t="str">
        <f>IF($B1309="","",VLOOKUP(MONTH(C1309),Parameters!$F$2:$G$13,2,0))</f>
        <v/>
      </c>
      <c r="F1309" s="69" t="str">
        <f>IF($B1309="","",PV-N(J1308))</f>
        <v/>
      </c>
      <c r="G1309" s="69" t="str">
        <f>IF($B1309="","",PMT(Rate,Nper,-PV,,Type))</f>
        <v/>
      </c>
      <c r="H1309" s="69" t="str">
        <f>IF($B1309="","",PPMT(Rate,ROWS($1:1297),Nper,-PV,,Type))</f>
        <v/>
      </c>
      <c r="I1309" s="69" t="str">
        <f>IF($B1309="","",IPMT(Rate,ROWS($1:1297),Nper,-PV,,Type))</f>
        <v/>
      </c>
      <c r="J1309" s="73" t="str">
        <f t="shared" ref="J1309:K1309" si="1299">IF($B1309="","",N(J1308)+N(H1309))</f>
        <v/>
      </c>
      <c r="K1309" s="74" t="str">
        <f t="shared" si="1299"/>
        <v/>
      </c>
      <c r="L1309" s="69" t="str">
        <f>IF($B1309="","",PV-J1309)</f>
        <v/>
      </c>
      <c r="M1309" s="71" t="str">
        <f>IF($B1309="","",J1309/PV)</f>
        <v/>
      </c>
      <c r="N1309" s="72" t="str">
        <f t="shared" si="4"/>
        <v/>
      </c>
    </row>
    <row r="1310" ht="14.25" customHeight="1">
      <c r="B1310" s="66" t="str">
        <f>IF(ROWS($1:1298)&lt;=Nper,ROWS($1:1298),"")</f>
        <v/>
      </c>
      <c r="C1310" s="67" t="str">
        <f>IF($B1310="","",IF($E$7="Weekly",Start_Date+7*(ROWS($1:1298)-1),EDATE(Start_Date,VLOOKUP(IF(ASTemp!$E$7="","Monthly",ASTemp!$E$7),Parameters!$B$3:$D$6,3,0)*(ROWS($1:1298)-1))))</f>
        <v/>
      </c>
      <c r="D1310" s="68" t="str">
        <f t="shared" si="2"/>
        <v/>
      </c>
      <c r="E1310" s="65" t="str">
        <f>IF($B1310="","",VLOOKUP(MONTH(C1310),Parameters!$F$2:$G$13,2,0))</f>
        <v/>
      </c>
      <c r="F1310" s="69" t="str">
        <f>IF($B1310="","",PV-N(J1309))</f>
        <v/>
      </c>
      <c r="G1310" s="69" t="str">
        <f>IF($B1310="","",PMT(Rate,Nper,-PV,,Type))</f>
        <v/>
      </c>
      <c r="H1310" s="69" t="str">
        <f>IF($B1310="","",PPMT(Rate,ROWS($1:1298),Nper,-PV,,Type))</f>
        <v/>
      </c>
      <c r="I1310" s="69" t="str">
        <f>IF($B1310="","",IPMT(Rate,ROWS($1:1298),Nper,-PV,,Type))</f>
        <v/>
      </c>
      <c r="J1310" s="73" t="str">
        <f t="shared" ref="J1310:K1310" si="1300">IF($B1310="","",N(J1309)+N(H1310))</f>
        <v/>
      </c>
      <c r="K1310" s="74" t="str">
        <f t="shared" si="1300"/>
        <v/>
      </c>
      <c r="L1310" s="69" t="str">
        <f>IF($B1310="","",PV-J1310)</f>
        <v/>
      </c>
      <c r="M1310" s="71" t="str">
        <f>IF($B1310="","",J1310/PV)</f>
        <v/>
      </c>
      <c r="N1310" s="72" t="str">
        <f t="shared" si="4"/>
        <v/>
      </c>
    </row>
    <row r="1311" ht="14.25" customHeight="1">
      <c r="B1311" s="66" t="str">
        <f>IF(ROWS($1:1299)&lt;=Nper,ROWS($1:1299),"")</f>
        <v/>
      </c>
      <c r="C1311" s="67" t="str">
        <f>IF($B1311="","",IF($E$7="Weekly",Start_Date+7*(ROWS($1:1299)-1),EDATE(Start_Date,VLOOKUP(IF(ASTemp!$E$7="","Monthly",ASTemp!$E$7),Parameters!$B$3:$D$6,3,0)*(ROWS($1:1299)-1))))</f>
        <v/>
      </c>
      <c r="D1311" s="68" t="str">
        <f t="shared" si="2"/>
        <v/>
      </c>
      <c r="E1311" s="65" t="str">
        <f>IF($B1311="","",VLOOKUP(MONTH(C1311),Parameters!$F$2:$G$13,2,0))</f>
        <v/>
      </c>
      <c r="F1311" s="69" t="str">
        <f>IF($B1311="","",PV-N(J1310))</f>
        <v/>
      </c>
      <c r="G1311" s="69" t="str">
        <f>IF($B1311="","",PMT(Rate,Nper,-PV,,Type))</f>
        <v/>
      </c>
      <c r="H1311" s="69" t="str">
        <f>IF($B1311="","",PPMT(Rate,ROWS($1:1299),Nper,-PV,,Type))</f>
        <v/>
      </c>
      <c r="I1311" s="69" t="str">
        <f>IF($B1311="","",IPMT(Rate,ROWS($1:1299),Nper,-PV,,Type))</f>
        <v/>
      </c>
      <c r="J1311" s="73" t="str">
        <f t="shared" ref="J1311:K1311" si="1301">IF($B1311="","",N(J1310)+N(H1311))</f>
        <v/>
      </c>
      <c r="K1311" s="74" t="str">
        <f t="shared" si="1301"/>
        <v/>
      </c>
      <c r="L1311" s="69" t="str">
        <f>IF($B1311="","",PV-J1311)</f>
        <v/>
      </c>
      <c r="M1311" s="71" t="str">
        <f>IF($B1311="","",J1311/PV)</f>
        <v/>
      </c>
      <c r="N1311" s="72" t="str">
        <f t="shared" si="4"/>
        <v/>
      </c>
    </row>
    <row r="1312" ht="14.25" customHeight="1">
      <c r="B1312" s="66" t="str">
        <f>IF(ROWS($1:1300)&lt;=Nper,ROWS($1:1300),"")</f>
        <v/>
      </c>
      <c r="C1312" s="67" t="str">
        <f>IF($B1312="","",IF($E$7="Weekly",Start_Date+7*(ROWS($1:1300)-1),EDATE(Start_Date,VLOOKUP(IF(ASTemp!$E$7="","Monthly",ASTemp!$E$7),Parameters!$B$3:$D$6,3,0)*(ROWS($1:1300)-1))))</f>
        <v/>
      </c>
      <c r="D1312" s="68" t="str">
        <f t="shared" si="2"/>
        <v/>
      </c>
      <c r="E1312" s="65" t="str">
        <f>IF($B1312="","",VLOOKUP(MONTH(C1312),Parameters!$F$2:$G$13,2,0))</f>
        <v/>
      </c>
      <c r="F1312" s="69" t="str">
        <f>IF($B1312="","",PV-N(J1311))</f>
        <v/>
      </c>
      <c r="G1312" s="69" t="str">
        <f>IF($B1312="","",PMT(Rate,Nper,-PV,,Type))</f>
        <v/>
      </c>
      <c r="H1312" s="69" t="str">
        <f>IF($B1312="","",PPMT(Rate,ROWS($1:1300),Nper,-PV,,Type))</f>
        <v/>
      </c>
      <c r="I1312" s="69" t="str">
        <f>IF($B1312="","",IPMT(Rate,ROWS($1:1300),Nper,-PV,,Type))</f>
        <v/>
      </c>
      <c r="J1312" s="73" t="str">
        <f t="shared" ref="J1312:K1312" si="1302">IF($B1312="","",N(J1311)+N(H1312))</f>
        <v/>
      </c>
      <c r="K1312" s="74" t="str">
        <f t="shared" si="1302"/>
        <v/>
      </c>
      <c r="L1312" s="69" t="str">
        <f>IF($B1312="","",PV-J1312)</f>
        <v/>
      </c>
      <c r="M1312" s="71" t="str">
        <f>IF($B1312="","",J1312/PV)</f>
        <v/>
      </c>
      <c r="N1312" s="72" t="str">
        <f t="shared" si="4"/>
        <v/>
      </c>
    </row>
    <row r="1313" ht="14.25" customHeight="1">
      <c r="B1313" s="66" t="str">
        <f>IF(ROWS($1:1301)&lt;=Nper,ROWS($1:1301),"")</f>
        <v/>
      </c>
      <c r="C1313" s="67" t="str">
        <f>IF($B1313="","",IF($E$7="Weekly",Start_Date+7*(ROWS($1:1301)-1),EDATE(Start_Date,VLOOKUP(IF(ASTemp!$E$7="","Monthly",ASTemp!$E$7),Parameters!$B$3:$D$6,3,0)*(ROWS($1:1301)-1))))</f>
        <v/>
      </c>
      <c r="D1313" s="68" t="str">
        <f t="shared" si="2"/>
        <v/>
      </c>
      <c r="E1313" s="65" t="str">
        <f>IF($B1313="","",VLOOKUP(MONTH(C1313),Parameters!$F$2:$G$13,2,0))</f>
        <v/>
      </c>
      <c r="F1313" s="69" t="str">
        <f>IF($B1313="","",PV-N(J1312))</f>
        <v/>
      </c>
      <c r="G1313" s="69" t="str">
        <f>IF($B1313="","",PMT(Rate,Nper,-PV,,Type))</f>
        <v/>
      </c>
      <c r="H1313" s="69" t="str">
        <f>IF($B1313="","",PPMT(Rate,ROWS($1:1301),Nper,-PV,,Type))</f>
        <v/>
      </c>
      <c r="I1313" s="69" t="str">
        <f>IF($B1313="","",IPMT(Rate,ROWS($1:1301),Nper,-PV,,Type))</f>
        <v/>
      </c>
      <c r="J1313" s="73" t="str">
        <f t="shared" ref="J1313:K1313" si="1303">IF($B1313="","",N(J1312)+N(H1313))</f>
        <v/>
      </c>
      <c r="K1313" s="74" t="str">
        <f t="shared" si="1303"/>
        <v/>
      </c>
      <c r="L1313" s="69" t="str">
        <f>IF($B1313="","",PV-J1313)</f>
        <v/>
      </c>
      <c r="M1313" s="71" t="str">
        <f>IF($B1313="","",J1313/PV)</f>
        <v/>
      </c>
      <c r="N1313" s="72" t="str">
        <f t="shared" si="4"/>
        <v/>
      </c>
    </row>
    <row r="1314" ht="14.25" customHeight="1">
      <c r="B1314" s="66" t="str">
        <f>IF(ROWS($1:1302)&lt;=Nper,ROWS($1:1302),"")</f>
        <v/>
      </c>
      <c r="C1314" s="67" t="str">
        <f>IF($B1314="","",IF($E$7="Weekly",Start_Date+7*(ROWS($1:1302)-1),EDATE(Start_Date,VLOOKUP(IF(ASTemp!$E$7="","Monthly",ASTemp!$E$7),Parameters!$B$3:$D$6,3,0)*(ROWS($1:1302)-1))))</f>
        <v/>
      </c>
      <c r="D1314" s="68" t="str">
        <f t="shared" si="2"/>
        <v/>
      </c>
      <c r="E1314" s="65" t="str">
        <f>IF($B1314="","",VLOOKUP(MONTH(C1314),Parameters!$F$2:$G$13,2,0))</f>
        <v/>
      </c>
      <c r="F1314" s="69" t="str">
        <f>IF($B1314="","",PV-N(J1313))</f>
        <v/>
      </c>
      <c r="G1314" s="69" t="str">
        <f>IF($B1314="","",PMT(Rate,Nper,-PV,,Type))</f>
        <v/>
      </c>
      <c r="H1314" s="69" t="str">
        <f>IF($B1314="","",PPMT(Rate,ROWS($1:1302),Nper,-PV,,Type))</f>
        <v/>
      </c>
      <c r="I1314" s="69" t="str">
        <f>IF($B1314="","",IPMT(Rate,ROWS($1:1302),Nper,-PV,,Type))</f>
        <v/>
      </c>
      <c r="J1314" s="73" t="str">
        <f t="shared" ref="J1314:K1314" si="1304">IF($B1314="","",N(J1313)+N(H1314))</f>
        <v/>
      </c>
      <c r="K1314" s="74" t="str">
        <f t="shared" si="1304"/>
        <v/>
      </c>
      <c r="L1314" s="69" t="str">
        <f>IF($B1314="","",PV-J1314)</f>
        <v/>
      </c>
      <c r="M1314" s="71" t="str">
        <f>IF($B1314="","",J1314/PV)</f>
        <v/>
      </c>
      <c r="N1314" s="72" t="str">
        <f t="shared" si="4"/>
        <v/>
      </c>
    </row>
    <row r="1315" ht="14.25" customHeight="1">
      <c r="B1315" s="66" t="str">
        <f>IF(ROWS($1:1303)&lt;=Nper,ROWS($1:1303),"")</f>
        <v/>
      </c>
      <c r="C1315" s="67" t="str">
        <f>IF($B1315="","",IF($E$7="Weekly",Start_Date+7*(ROWS($1:1303)-1),EDATE(Start_Date,VLOOKUP(IF(ASTemp!$E$7="","Monthly",ASTemp!$E$7),Parameters!$B$3:$D$6,3,0)*(ROWS($1:1303)-1))))</f>
        <v/>
      </c>
      <c r="D1315" s="68" t="str">
        <f t="shared" si="2"/>
        <v/>
      </c>
      <c r="E1315" s="65" t="str">
        <f>IF($B1315="","",VLOOKUP(MONTH(C1315),Parameters!$F$2:$G$13,2,0))</f>
        <v/>
      </c>
      <c r="F1315" s="69" t="str">
        <f>IF($B1315="","",PV-N(J1314))</f>
        <v/>
      </c>
      <c r="G1315" s="69" t="str">
        <f>IF($B1315="","",PMT(Rate,Nper,-PV,,Type))</f>
        <v/>
      </c>
      <c r="H1315" s="69" t="str">
        <f>IF($B1315="","",PPMT(Rate,ROWS($1:1303),Nper,-PV,,Type))</f>
        <v/>
      </c>
      <c r="I1315" s="69" t="str">
        <f>IF($B1315="","",IPMT(Rate,ROWS($1:1303),Nper,-PV,,Type))</f>
        <v/>
      </c>
      <c r="J1315" s="73" t="str">
        <f t="shared" ref="J1315:K1315" si="1305">IF($B1315="","",N(J1314)+N(H1315))</f>
        <v/>
      </c>
      <c r="K1315" s="74" t="str">
        <f t="shared" si="1305"/>
        <v/>
      </c>
      <c r="L1315" s="69" t="str">
        <f>IF($B1315="","",PV-J1315)</f>
        <v/>
      </c>
      <c r="M1315" s="71" t="str">
        <f>IF($B1315="","",J1315/PV)</f>
        <v/>
      </c>
      <c r="N1315" s="72" t="str">
        <f t="shared" si="4"/>
        <v/>
      </c>
    </row>
    <row r="1316" ht="14.25" customHeight="1">
      <c r="B1316" s="66" t="str">
        <f>IF(ROWS($1:1304)&lt;=Nper,ROWS($1:1304),"")</f>
        <v/>
      </c>
      <c r="C1316" s="67" t="str">
        <f>IF($B1316="","",IF($E$7="Weekly",Start_Date+7*(ROWS($1:1304)-1),EDATE(Start_Date,VLOOKUP(IF(ASTemp!$E$7="","Monthly",ASTemp!$E$7),Parameters!$B$3:$D$6,3,0)*(ROWS($1:1304)-1))))</f>
        <v/>
      </c>
      <c r="D1316" s="68" t="str">
        <f t="shared" si="2"/>
        <v/>
      </c>
      <c r="E1316" s="65" t="str">
        <f>IF($B1316="","",VLOOKUP(MONTH(C1316),Parameters!$F$2:$G$13,2,0))</f>
        <v/>
      </c>
      <c r="F1316" s="69" t="str">
        <f>IF($B1316="","",PV-N(J1315))</f>
        <v/>
      </c>
      <c r="G1316" s="69" t="str">
        <f>IF($B1316="","",PMT(Rate,Nper,-PV,,Type))</f>
        <v/>
      </c>
      <c r="H1316" s="69" t="str">
        <f>IF($B1316="","",PPMT(Rate,ROWS($1:1304),Nper,-PV,,Type))</f>
        <v/>
      </c>
      <c r="I1316" s="69" t="str">
        <f>IF($B1316="","",IPMT(Rate,ROWS($1:1304),Nper,-PV,,Type))</f>
        <v/>
      </c>
      <c r="J1316" s="73" t="str">
        <f t="shared" ref="J1316:K1316" si="1306">IF($B1316="","",N(J1315)+N(H1316))</f>
        <v/>
      </c>
      <c r="K1316" s="74" t="str">
        <f t="shared" si="1306"/>
        <v/>
      </c>
      <c r="L1316" s="69" t="str">
        <f>IF($B1316="","",PV-J1316)</f>
        <v/>
      </c>
      <c r="M1316" s="71" t="str">
        <f>IF($B1316="","",J1316/PV)</f>
        <v/>
      </c>
      <c r="N1316" s="72" t="str">
        <f t="shared" si="4"/>
        <v/>
      </c>
    </row>
    <row r="1317" ht="14.25" customHeight="1">
      <c r="B1317" s="66" t="str">
        <f>IF(ROWS($1:1305)&lt;=Nper,ROWS($1:1305),"")</f>
        <v/>
      </c>
      <c r="C1317" s="67" t="str">
        <f>IF($B1317="","",IF($E$7="Weekly",Start_Date+7*(ROWS($1:1305)-1),EDATE(Start_Date,VLOOKUP(IF(ASTemp!$E$7="","Monthly",ASTemp!$E$7),Parameters!$B$3:$D$6,3,0)*(ROWS($1:1305)-1))))</f>
        <v/>
      </c>
      <c r="D1317" s="68" t="str">
        <f t="shared" si="2"/>
        <v/>
      </c>
      <c r="E1317" s="65" t="str">
        <f>IF($B1317="","",VLOOKUP(MONTH(C1317),Parameters!$F$2:$G$13,2,0))</f>
        <v/>
      </c>
      <c r="F1317" s="69" t="str">
        <f>IF($B1317="","",PV-N(J1316))</f>
        <v/>
      </c>
      <c r="G1317" s="69" t="str">
        <f>IF($B1317="","",PMT(Rate,Nper,-PV,,Type))</f>
        <v/>
      </c>
      <c r="H1317" s="69" t="str">
        <f>IF($B1317="","",PPMT(Rate,ROWS($1:1305),Nper,-PV,,Type))</f>
        <v/>
      </c>
      <c r="I1317" s="69" t="str">
        <f>IF($B1317="","",IPMT(Rate,ROWS($1:1305),Nper,-PV,,Type))</f>
        <v/>
      </c>
      <c r="J1317" s="73" t="str">
        <f t="shared" ref="J1317:K1317" si="1307">IF($B1317="","",N(J1316)+N(H1317))</f>
        <v/>
      </c>
      <c r="K1317" s="74" t="str">
        <f t="shared" si="1307"/>
        <v/>
      </c>
      <c r="L1317" s="69" t="str">
        <f>IF($B1317="","",PV-J1317)</f>
        <v/>
      </c>
      <c r="M1317" s="71" t="str">
        <f>IF($B1317="","",J1317/PV)</f>
        <v/>
      </c>
      <c r="N1317" s="72" t="str">
        <f t="shared" si="4"/>
        <v/>
      </c>
    </row>
    <row r="1318" ht="14.25" customHeight="1">
      <c r="B1318" s="66" t="str">
        <f>IF(ROWS($1:1306)&lt;=Nper,ROWS($1:1306),"")</f>
        <v/>
      </c>
      <c r="C1318" s="67" t="str">
        <f>IF($B1318="","",IF($E$7="Weekly",Start_Date+7*(ROWS($1:1306)-1),EDATE(Start_Date,VLOOKUP(IF(ASTemp!$E$7="","Monthly",ASTemp!$E$7),Parameters!$B$3:$D$6,3,0)*(ROWS($1:1306)-1))))</f>
        <v/>
      </c>
      <c r="D1318" s="68" t="str">
        <f t="shared" si="2"/>
        <v/>
      </c>
      <c r="E1318" s="65" t="str">
        <f>IF($B1318="","",VLOOKUP(MONTH(C1318),Parameters!$F$2:$G$13,2,0))</f>
        <v/>
      </c>
      <c r="F1318" s="69" t="str">
        <f>IF($B1318="","",PV-N(J1317))</f>
        <v/>
      </c>
      <c r="G1318" s="69" t="str">
        <f>IF($B1318="","",PMT(Rate,Nper,-PV,,Type))</f>
        <v/>
      </c>
      <c r="H1318" s="69" t="str">
        <f>IF($B1318="","",PPMT(Rate,ROWS($1:1306),Nper,-PV,,Type))</f>
        <v/>
      </c>
      <c r="I1318" s="69" t="str">
        <f>IF($B1318="","",IPMT(Rate,ROWS($1:1306),Nper,-PV,,Type))</f>
        <v/>
      </c>
      <c r="J1318" s="73" t="str">
        <f t="shared" ref="J1318:K1318" si="1308">IF($B1318="","",N(J1317)+N(H1318))</f>
        <v/>
      </c>
      <c r="K1318" s="74" t="str">
        <f t="shared" si="1308"/>
        <v/>
      </c>
      <c r="L1318" s="69" t="str">
        <f>IF($B1318="","",PV-J1318)</f>
        <v/>
      </c>
      <c r="M1318" s="71" t="str">
        <f>IF($B1318="","",J1318/PV)</f>
        <v/>
      </c>
      <c r="N1318" s="72" t="str">
        <f t="shared" si="4"/>
        <v/>
      </c>
    </row>
    <row r="1319" ht="14.25" customHeight="1">
      <c r="B1319" s="66" t="str">
        <f>IF(ROWS($1:1307)&lt;=Nper,ROWS($1:1307),"")</f>
        <v/>
      </c>
      <c r="C1319" s="67" t="str">
        <f>IF($B1319="","",IF($E$7="Weekly",Start_Date+7*(ROWS($1:1307)-1),EDATE(Start_Date,VLOOKUP(IF(ASTemp!$E$7="","Monthly",ASTemp!$E$7),Parameters!$B$3:$D$6,3,0)*(ROWS($1:1307)-1))))</f>
        <v/>
      </c>
      <c r="D1319" s="68" t="str">
        <f t="shared" si="2"/>
        <v/>
      </c>
      <c r="E1319" s="65" t="str">
        <f>IF($B1319="","",VLOOKUP(MONTH(C1319),Parameters!$F$2:$G$13,2,0))</f>
        <v/>
      </c>
      <c r="F1319" s="69" t="str">
        <f>IF($B1319="","",PV-N(J1318))</f>
        <v/>
      </c>
      <c r="G1319" s="69" t="str">
        <f>IF($B1319="","",PMT(Rate,Nper,-PV,,Type))</f>
        <v/>
      </c>
      <c r="H1319" s="69" t="str">
        <f>IF($B1319="","",PPMT(Rate,ROWS($1:1307),Nper,-PV,,Type))</f>
        <v/>
      </c>
      <c r="I1319" s="69" t="str">
        <f>IF($B1319="","",IPMT(Rate,ROWS($1:1307),Nper,-PV,,Type))</f>
        <v/>
      </c>
      <c r="J1319" s="73" t="str">
        <f t="shared" ref="J1319:K1319" si="1309">IF($B1319="","",N(J1318)+N(H1319))</f>
        <v/>
      </c>
      <c r="K1319" s="74" t="str">
        <f t="shared" si="1309"/>
        <v/>
      </c>
      <c r="L1319" s="69" t="str">
        <f>IF($B1319="","",PV-J1319)</f>
        <v/>
      </c>
      <c r="M1319" s="71" t="str">
        <f>IF($B1319="","",J1319/PV)</f>
        <v/>
      </c>
      <c r="N1319" s="72" t="str">
        <f t="shared" si="4"/>
        <v/>
      </c>
    </row>
    <row r="1320" ht="14.25" customHeight="1">
      <c r="B1320" s="66" t="str">
        <f>IF(ROWS($1:1308)&lt;=Nper,ROWS($1:1308),"")</f>
        <v/>
      </c>
      <c r="C1320" s="67" t="str">
        <f>IF($B1320="","",IF($E$7="Weekly",Start_Date+7*(ROWS($1:1308)-1),EDATE(Start_Date,VLOOKUP(IF(ASTemp!$E$7="","Monthly",ASTemp!$E$7),Parameters!$B$3:$D$6,3,0)*(ROWS($1:1308)-1))))</f>
        <v/>
      </c>
      <c r="D1320" s="68" t="str">
        <f t="shared" si="2"/>
        <v/>
      </c>
      <c r="E1320" s="65" t="str">
        <f>IF($B1320="","",VLOOKUP(MONTH(C1320),Parameters!$F$2:$G$13,2,0))</f>
        <v/>
      </c>
      <c r="F1320" s="69" t="str">
        <f>IF($B1320="","",PV-N(J1319))</f>
        <v/>
      </c>
      <c r="G1320" s="69" t="str">
        <f>IF($B1320="","",PMT(Rate,Nper,-PV,,Type))</f>
        <v/>
      </c>
      <c r="H1320" s="69" t="str">
        <f>IF($B1320="","",PPMT(Rate,ROWS($1:1308),Nper,-PV,,Type))</f>
        <v/>
      </c>
      <c r="I1320" s="69" t="str">
        <f>IF($B1320="","",IPMT(Rate,ROWS($1:1308),Nper,-PV,,Type))</f>
        <v/>
      </c>
      <c r="J1320" s="73" t="str">
        <f t="shared" ref="J1320:K1320" si="1310">IF($B1320="","",N(J1319)+N(H1320))</f>
        <v/>
      </c>
      <c r="K1320" s="74" t="str">
        <f t="shared" si="1310"/>
        <v/>
      </c>
      <c r="L1320" s="69" t="str">
        <f>IF($B1320="","",PV-J1320)</f>
        <v/>
      </c>
      <c r="M1320" s="71" t="str">
        <f>IF($B1320="","",J1320/PV)</f>
        <v/>
      </c>
      <c r="N1320" s="72" t="str">
        <f t="shared" si="4"/>
        <v/>
      </c>
    </row>
    <row r="1321" ht="14.25" customHeight="1">
      <c r="B1321" s="66" t="str">
        <f>IF(ROWS($1:1309)&lt;=Nper,ROWS($1:1309),"")</f>
        <v/>
      </c>
      <c r="C1321" s="67" t="str">
        <f>IF($B1321="","",IF($E$7="Weekly",Start_Date+7*(ROWS($1:1309)-1),EDATE(Start_Date,VLOOKUP(IF(ASTemp!$E$7="","Monthly",ASTemp!$E$7),Parameters!$B$3:$D$6,3,0)*(ROWS($1:1309)-1))))</f>
        <v/>
      </c>
      <c r="D1321" s="68" t="str">
        <f t="shared" si="2"/>
        <v/>
      </c>
      <c r="E1321" s="65" t="str">
        <f>IF($B1321="","",VLOOKUP(MONTH(C1321),Parameters!$F$2:$G$13,2,0))</f>
        <v/>
      </c>
      <c r="F1321" s="69" t="str">
        <f>IF($B1321="","",PV-N(J1320))</f>
        <v/>
      </c>
      <c r="G1321" s="69" t="str">
        <f>IF($B1321="","",PMT(Rate,Nper,-PV,,Type))</f>
        <v/>
      </c>
      <c r="H1321" s="69" t="str">
        <f>IF($B1321="","",PPMT(Rate,ROWS($1:1309),Nper,-PV,,Type))</f>
        <v/>
      </c>
      <c r="I1321" s="69" t="str">
        <f>IF($B1321="","",IPMT(Rate,ROWS($1:1309),Nper,-PV,,Type))</f>
        <v/>
      </c>
      <c r="J1321" s="73" t="str">
        <f t="shared" ref="J1321:K1321" si="1311">IF($B1321="","",N(J1320)+N(H1321))</f>
        <v/>
      </c>
      <c r="K1321" s="74" t="str">
        <f t="shared" si="1311"/>
        <v/>
      </c>
      <c r="L1321" s="69" t="str">
        <f>IF($B1321="","",PV-J1321)</f>
        <v/>
      </c>
      <c r="M1321" s="71" t="str">
        <f>IF($B1321="","",J1321/PV)</f>
        <v/>
      </c>
      <c r="N1321" s="72" t="str">
        <f t="shared" si="4"/>
        <v/>
      </c>
    </row>
    <row r="1322" ht="14.25" customHeight="1">
      <c r="B1322" s="66" t="str">
        <f>IF(ROWS($1:1310)&lt;=Nper,ROWS($1:1310),"")</f>
        <v/>
      </c>
      <c r="C1322" s="67" t="str">
        <f>IF($B1322="","",IF($E$7="Weekly",Start_Date+7*(ROWS($1:1310)-1),EDATE(Start_Date,VLOOKUP(IF(ASTemp!$E$7="","Monthly",ASTemp!$E$7),Parameters!$B$3:$D$6,3,0)*(ROWS($1:1310)-1))))</f>
        <v/>
      </c>
      <c r="D1322" s="68" t="str">
        <f t="shared" si="2"/>
        <v/>
      </c>
      <c r="E1322" s="65" t="str">
        <f>IF($B1322="","",VLOOKUP(MONTH(C1322),Parameters!$F$2:$G$13,2,0))</f>
        <v/>
      </c>
      <c r="F1322" s="69" t="str">
        <f>IF($B1322="","",PV-N(J1321))</f>
        <v/>
      </c>
      <c r="G1322" s="69" t="str">
        <f>IF($B1322="","",PMT(Rate,Nper,-PV,,Type))</f>
        <v/>
      </c>
      <c r="H1322" s="69" t="str">
        <f>IF($B1322="","",PPMT(Rate,ROWS($1:1310),Nper,-PV,,Type))</f>
        <v/>
      </c>
      <c r="I1322" s="69" t="str">
        <f>IF($B1322="","",IPMT(Rate,ROWS($1:1310),Nper,-PV,,Type))</f>
        <v/>
      </c>
      <c r="J1322" s="73" t="str">
        <f t="shared" ref="J1322:K1322" si="1312">IF($B1322="","",N(J1321)+N(H1322))</f>
        <v/>
      </c>
      <c r="K1322" s="74" t="str">
        <f t="shared" si="1312"/>
        <v/>
      </c>
      <c r="L1322" s="69" t="str">
        <f>IF($B1322="","",PV-J1322)</f>
        <v/>
      </c>
      <c r="M1322" s="71" t="str">
        <f>IF($B1322="","",J1322/PV)</f>
        <v/>
      </c>
      <c r="N1322" s="72" t="str">
        <f t="shared" si="4"/>
        <v/>
      </c>
    </row>
    <row r="1323" ht="14.25" customHeight="1">
      <c r="B1323" s="66" t="str">
        <f>IF(ROWS($1:1311)&lt;=Nper,ROWS($1:1311),"")</f>
        <v/>
      </c>
      <c r="C1323" s="67" t="str">
        <f>IF($B1323="","",IF($E$7="Weekly",Start_Date+7*(ROWS($1:1311)-1),EDATE(Start_Date,VLOOKUP(IF(ASTemp!$E$7="","Monthly",ASTemp!$E$7),Parameters!$B$3:$D$6,3,0)*(ROWS($1:1311)-1))))</f>
        <v/>
      </c>
      <c r="D1323" s="68" t="str">
        <f t="shared" si="2"/>
        <v/>
      </c>
      <c r="E1323" s="65" t="str">
        <f>IF($B1323="","",VLOOKUP(MONTH(C1323),Parameters!$F$2:$G$13,2,0))</f>
        <v/>
      </c>
      <c r="F1323" s="69" t="str">
        <f>IF($B1323="","",PV-N(J1322))</f>
        <v/>
      </c>
      <c r="G1323" s="69" t="str">
        <f>IF($B1323="","",PMT(Rate,Nper,-PV,,Type))</f>
        <v/>
      </c>
      <c r="H1323" s="69" t="str">
        <f>IF($B1323="","",PPMT(Rate,ROWS($1:1311),Nper,-PV,,Type))</f>
        <v/>
      </c>
      <c r="I1323" s="69" t="str">
        <f>IF($B1323="","",IPMT(Rate,ROWS($1:1311),Nper,-PV,,Type))</f>
        <v/>
      </c>
      <c r="J1323" s="73" t="str">
        <f t="shared" ref="J1323:K1323" si="1313">IF($B1323="","",N(J1322)+N(H1323))</f>
        <v/>
      </c>
      <c r="K1323" s="74" t="str">
        <f t="shared" si="1313"/>
        <v/>
      </c>
      <c r="L1323" s="69" t="str">
        <f>IF($B1323="","",PV-J1323)</f>
        <v/>
      </c>
      <c r="M1323" s="71" t="str">
        <f>IF($B1323="","",J1323/PV)</f>
        <v/>
      </c>
      <c r="N1323" s="72" t="str">
        <f t="shared" si="4"/>
        <v/>
      </c>
    </row>
    <row r="1324" ht="14.25" customHeight="1">
      <c r="B1324" s="66" t="str">
        <f>IF(ROWS($1:1312)&lt;=Nper,ROWS($1:1312),"")</f>
        <v/>
      </c>
      <c r="C1324" s="67" t="str">
        <f>IF($B1324="","",IF($E$7="Weekly",Start_Date+7*(ROWS($1:1312)-1),EDATE(Start_Date,VLOOKUP(IF(ASTemp!$E$7="","Monthly",ASTemp!$E$7),Parameters!$B$3:$D$6,3,0)*(ROWS($1:1312)-1))))</f>
        <v/>
      </c>
      <c r="D1324" s="68" t="str">
        <f t="shared" si="2"/>
        <v/>
      </c>
      <c r="E1324" s="65" t="str">
        <f>IF($B1324="","",VLOOKUP(MONTH(C1324),Parameters!$F$2:$G$13,2,0))</f>
        <v/>
      </c>
      <c r="F1324" s="69" t="str">
        <f>IF($B1324="","",PV-N(J1323))</f>
        <v/>
      </c>
      <c r="G1324" s="69" t="str">
        <f>IF($B1324="","",PMT(Rate,Nper,-PV,,Type))</f>
        <v/>
      </c>
      <c r="H1324" s="69" t="str">
        <f>IF($B1324="","",PPMT(Rate,ROWS($1:1312),Nper,-PV,,Type))</f>
        <v/>
      </c>
      <c r="I1324" s="69" t="str">
        <f>IF($B1324="","",IPMT(Rate,ROWS($1:1312),Nper,-PV,,Type))</f>
        <v/>
      </c>
      <c r="J1324" s="73" t="str">
        <f t="shared" ref="J1324:K1324" si="1314">IF($B1324="","",N(J1323)+N(H1324))</f>
        <v/>
      </c>
      <c r="K1324" s="74" t="str">
        <f t="shared" si="1314"/>
        <v/>
      </c>
      <c r="L1324" s="69" t="str">
        <f>IF($B1324="","",PV-J1324)</f>
        <v/>
      </c>
      <c r="M1324" s="71" t="str">
        <f>IF($B1324="","",J1324/PV)</f>
        <v/>
      </c>
      <c r="N1324" s="72" t="str">
        <f t="shared" si="4"/>
        <v/>
      </c>
    </row>
    <row r="1325" ht="14.25" customHeight="1">
      <c r="B1325" s="66" t="str">
        <f>IF(ROWS($1:1313)&lt;=Nper,ROWS($1:1313),"")</f>
        <v/>
      </c>
      <c r="C1325" s="67" t="str">
        <f>IF($B1325="","",IF($E$7="Weekly",Start_Date+7*(ROWS($1:1313)-1),EDATE(Start_Date,VLOOKUP(IF(ASTemp!$E$7="","Monthly",ASTemp!$E$7),Parameters!$B$3:$D$6,3,0)*(ROWS($1:1313)-1))))</f>
        <v/>
      </c>
      <c r="D1325" s="68" t="str">
        <f t="shared" si="2"/>
        <v/>
      </c>
      <c r="E1325" s="65" t="str">
        <f>IF($B1325="","",VLOOKUP(MONTH(C1325),Parameters!$F$2:$G$13,2,0))</f>
        <v/>
      </c>
      <c r="F1325" s="69" t="str">
        <f>IF($B1325="","",PV-N(J1324))</f>
        <v/>
      </c>
      <c r="G1325" s="69" t="str">
        <f>IF($B1325="","",PMT(Rate,Nper,-PV,,Type))</f>
        <v/>
      </c>
      <c r="H1325" s="69" t="str">
        <f>IF($B1325="","",PPMT(Rate,ROWS($1:1313),Nper,-PV,,Type))</f>
        <v/>
      </c>
      <c r="I1325" s="69" t="str">
        <f>IF($B1325="","",IPMT(Rate,ROWS($1:1313),Nper,-PV,,Type))</f>
        <v/>
      </c>
      <c r="J1325" s="73" t="str">
        <f t="shared" ref="J1325:K1325" si="1315">IF($B1325="","",N(J1324)+N(H1325))</f>
        <v/>
      </c>
      <c r="K1325" s="74" t="str">
        <f t="shared" si="1315"/>
        <v/>
      </c>
      <c r="L1325" s="69" t="str">
        <f>IF($B1325="","",PV-J1325)</f>
        <v/>
      </c>
      <c r="M1325" s="71" t="str">
        <f>IF($B1325="","",J1325/PV)</f>
        <v/>
      </c>
      <c r="N1325" s="72" t="str">
        <f t="shared" si="4"/>
        <v/>
      </c>
    </row>
    <row r="1326" ht="14.25" customHeight="1">
      <c r="B1326" s="66" t="str">
        <f>IF(ROWS($1:1314)&lt;=Nper,ROWS($1:1314),"")</f>
        <v/>
      </c>
      <c r="C1326" s="67" t="str">
        <f>IF($B1326="","",IF($E$7="Weekly",Start_Date+7*(ROWS($1:1314)-1),EDATE(Start_Date,VLOOKUP(IF(ASTemp!$E$7="","Monthly",ASTemp!$E$7),Parameters!$B$3:$D$6,3,0)*(ROWS($1:1314)-1))))</f>
        <v/>
      </c>
      <c r="D1326" s="68" t="str">
        <f t="shared" si="2"/>
        <v/>
      </c>
      <c r="E1326" s="65" t="str">
        <f>IF($B1326="","",VLOOKUP(MONTH(C1326),Parameters!$F$2:$G$13,2,0))</f>
        <v/>
      </c>
      <c r="F1326" s="69" t="str">
        <f>IF($B1326="","",PV-N(J1325))</f>
        <v/>
      </c>
      <c r="G1326" s="69" t="str">
        <f>IF($B1326="","",PMT(Rate,Nper,-PV,,Type))</f>
        <v/>
      </c>
      <c r="H1326" s="69" t="str">
        <f>IF($B1326="","",PPMT(Rate,ROWS($1:1314),Nper,-PV,,Type))</f>
        <v/>
      </c>
      <c r="I1326" s="69" t="str">
        <f>IF($B1326="","",IPMT(Rate,ROWS($1:1314),Nper,-PV,,Type))</f>
        <v/>
      </c>
      <c r="J1326" s="73" t="str">
        <f t="shared" ref="J1326:K1326" si="1316">IF($B1326="","",N(J1325)+N(H1326))</f>
        <v/>
      </c>
      <c r="K1326" s="74" t="str">
        <f t="shared" si="1316"/>
        <v/>
      </c>
      <c r="L1326" s="69" t="str">
        <f>IF($B1326="","",PV-J1326)</f>
        <v/>
      </c>
      <c r="M1326" s="71" t="str">
        <f>IF($B1326="","",J1326/PV)</f>
        <v/>
      </c>
      <c r="N1326" s="72" t="str">
        <f t="shared" si="4"/>
        <v/>
      </c>
    </row>
    <row r="1327" ht="14.25" customHeight="1">
      <c r="B1327" s="66" t="str">
        <f>IF(ROWS($1:1315)&lt;=Nper,ROWS($1:1315),"")</f>
        <v/>
      </c>
      <c r="C1327" s="67" t="str">
        <f>IF($B1327="","",IF($E$7="Weekly",Start_Date+7*(ROWS($1:1315)-1),EDATE(Start_Date,VLOOKUP(IF(ASTemp!$E$7="","Monthly",ASTemp!$E$7),Parameters!$B$3:$D$6,3,0)*(ROWS($1:1315)-1))))</f>
        <v/>
      </c>
      <c r="D1327" s="68" t="str">
        <f t="shared" si="2"/>
        <v/>
      </c>
      <c r="E1327" s="65" t="str">
        <f>IF($B1327="","",VLOOKUP(MONTH(C1327),Parameters!$F$2:$G$13,2,0))</f>
        <v/>
      </c>
      <c r="F1327" s="69" t="str">
        <f>IF($B1327="","",PV-N(J1326))</f>
        <v/>
      </c>
      <c r="G1327" s="69" t="str">
        <f>IF($B1327="","",PMT(Rate,Nper,-PV,,Type))</f>
        <v/>
      </c>
      <c r="H1327" s="69" t="str">
        <f>IF($B1327="","",PPMT(Rate,ROWS($1:1315),Nper,-PV,,Type))</f>
        <v/>
      </c>
      <c r="I1327" s="69" t="str">
        <f>IF($B1327="","",IPMT(Rate,ROWS($1:1315),Nper,-PV,,Type))</f>
        <v/>
      </c>
      <c r="J1327" s="73" t="str">
        <f t="shared" ref="J1327:K1327" si="1317">IF($B1327="","",N(J1326)+N(H1327))</f>
        <v/>
      </c>
      <c r="K1327" s="74" t="str">
        <f t="shared" si="1317"/>
        <v/>
      </c>
      <c r="L1327" s="69" t="str">
        <f>IF($B1327="","",PV-J1327)</f>
        <v/>
      </c>
      <c r="M1327" s="71" t="str">
        <f>IF($B1327="","",J1327/PV)</f>
        <v/>
      </c>
      <c r="N1327" s="72" t="str">
        <f t="shared" si="4"/>
        <v/>
      </c>
    </row>
    <row r="1328" ht="14.25" customHeight="1">
      <c r="B1328" s="66" t="str">
        <f>IF(ROWS($1:1316)&lt;=Nper,ROWS($1:1316),"")</f>
        <v/>
      </c>
      <c r="C1328" s="67" t="str">
        <f>IF($B1328="","",IF($E$7="Weekly",Start_Date+7*(ROWS($1:1316)-1),EDATE(Start_Date,VLOOKUP(IF(ASTemp!$E$7="","Monthly",ASTemp!$E$7),Parameters!$B$3:$D$6,3,0)*(ROWS($1:1316)-1))))</f>
        <v/>
      </c>
      <c r="D1328" s="68" t="str">
        <f t="shared" si="2"/>
        <v/>
      </c>
      <c r="E1328" s="65" t="str">
        <f>IF($B1328="","",VLOOKUP(MONTH(C1328),Parameters!$F$2:$G$13,2,0))</f>
        <v/>
      </c>
      <c r="F1328" s="69" t="str">
        <f>IF($B1328="","",PV-N(J1327))</f>
        <v/>
      </c>
      <c r="G1328" s="69" t="str">
        <f>IF($B1328="","",PMT(Rate,Nper,-PV,,Type))</f>
        <v/>
      </c>
      <c r="H1328" s="69" t="str">
        <f>IF($B1328="","",PPMT(Rate,ROWS($1:1316),Nper,-PV,,Type))</f>
        <v/>
      </c>
      <c r="I1328" s="69" t="str">
        <f>IF($B1328="","",IPMT(Rate,ROWS($1:1316),Nper,-PV,,Type))</f>
        <v/>
      </c>
      <c r="J1328" s="73" t="str">
        <f t="shared" ref="J1328:K1328" si="1318">IF($B1328="","",N(J1327)+N(H1328))</f>
        <v/>
      </c>
      <c r="K1328" s="74" t="str">
        <f t="shared" si="1318"/>
        <v/>
      </c>
      <c r="L1328" s="69" t="str">
        <f>IF($B1328="","",PV-J1328)</f>
        <v/>
      </c>
      <c r="M1328" s="71" t="str">
        <f>IF($B1328="","",J1328/PV)</f>
        <v/>
      </c>
      <c r="N1328" s="72" t="str">
        <f t="shared" si="4"/>
        <v/>
      </c>
    </row>
    <row r="1329" ht="14.25" customHeight="1">
      <c r="B1329" s="66" t="str">
        <f>IF(ROWS($1:1317)&lt;=Nper,ROWS($1:1317),"")</f>
        <v/>
      </c>
      <c r="C1329" s="67" t="str">
        <f>IF($B1329="","",IF($E$7="Weekly",Start_Date+7*(ROWS($1:1317)-1),EDATE(Start_Date,VLOOKUP(IF(ASTemp!$E$7="","Monthly",ASTemp!$E$7),Parameters!$B$3:$D$6,3,0)*(ROWS($1:1317)-1))))</f>
        <v/>
      </c>
      <c r="D1329" s="68" t="str">
        <f t="shared" si="2"/>
        <v/>
      </c>
      <c r="E1329" s="65" t="str">
        <f>IF($B1329="","",VLOOKUP(MONTH(C1329),Parameters!$F$2:$G$13,2,0))</f>
        <v/>
      </c>
      <c r="F1329" s="69" t="str">
        <f>IF($B1329="","",PV-N(J1328))</f>
        <v/>
      </c>
      <c r="G1329" s="69" t="str">
        <f>IF($B1329="","",PMT(Rate,Nper,-PV,,Type))</f>
        <v/>
      </c>
      <c r="H1329" s="69" t="str">
        <f>IF($B1329="","",PPMT(Rate,ROWS($1:1317),Nper,-PV,,Type))</f>
        <v/>
      </c>
      <c r="I1329" s="69" t="str">
        <f>IF($B1329="","",IPMT(Rate,ROWS($1:1317),Nper,-PV,,Type))</f>
        <v/>
      </c>
      <c r="J1329" s="73" t="str">
        <f t="shared" ref="J1329:K1329" si="1319">IF($B1329="","",N(J1328)+N(H1329))</f>
        <v/>
      </c>
      <c r="K1329" s="74" t="str">
        <f t="shared" si="1319"/>
        <v/>
      </c>
      <c r="L1329" s="69" t="str">
        <f>IF($B1329="","",PV-J1329)</f>
        <v/>
      </c>
      <c r="M1329" s="71" t="str">
        <f>IF($B1329="","",J1329/PV)</f>
        <v/>
      </c>
      <c r="N1329" s="72" t="str">
        <f t="shared" si="4"/>
        <v/>
      </c>
    </row>
    <row r="1330" ht="14.25" customHeight="1">
      <c r="B1330" s="66" t="str">
        <f>IF(ROWS($1:1318)&lt;=Nper,ROWS($1:1318),"")</f>
        <v/>
      </c>
      <c r="C1330" s="67" t="str">
        <f>IF($B1330="","",IF($E$7="Weekly",Start_Date+7*(ROWS($1:1318)-1),EDATE(Start_Date,VLOOKUP(IF(ASTemp!$E$7="","Monthly",ASTemp!$E$7),Parameters!$B$3:$D$6,3,0)*(ROWS($1:1318)-1))))</f>
        <v/>
      </c>
      <c r="D1330" s="68" t="str">
        <f t="shared" si="2"/>
        <v/>
      </c>
      <c r="E1330" s="65" t="str">
        <f>IF($B1330="","",VLOOKUP(MONTH(C1330),Parameters!$F$2:$G$13,2,0))</f>
        <v/>
      </c>
      <c r="F1330" s="69" t="str">
        <f>IF($B1330="","",PV-N(J1329))</f>
        <v/>
      </c>
      <c r="G1330" s="69" t="str">
        <f>IF($B1330="","",PMT(Rate,Nper,-PV,,Type))</f>
        <v/>
      </c>
      <c r="H1330" s="69" t="str">
        <f>IF($B1330="","",PPMT(Rate,ROWS($1:1318),Nper,-PV,,Type))</f>
        <v/>
      </c>
      <c r="I1330" s="69" t="str">
        <f>IF($B1330="","",IPMT(Rate,ROWS($1:1318),Nper,-PV,,Type))</f>
        <v/>
      </c>
      <c r="J1330" s="73" t="str">
        <f t="shared" ref="J1330:K1330" si="1320">IF($B1330="","",N(J1329)+N(H1330))</f>
        <v/>
      </c>
      <c r="K1330" s="74" t="str">
        <f t="shared" si="1320"/>
        <v/>
      </c>
      <c r="L1330" s="69" t="str">
        <f>IF($B1330="","",PV-J1330)</f>
        <v/>
      </c>
      <c r="M1330" s="71" t="str">
        <f>IF($B1330="","",J1330/PV)</f>
        <v/>
      </c>
      <c r="N1330" s="72" t="str">
        <f t="shared" si="4"/>
        <v/>
      </c>
    </row>
    <row r="1331" ht="14.25" customHeight="1">
      <c r="B1331" s="66" t="str">
        <f>IF(ROWS($1:1319)&lt;=Nper,ROWS($1:1319),"")</f>
        <v/>
      </c>
      <c r="C1331" s="67" t="str">
        <f>IF($B1331="","",IF($E$7="Weekly",Start_Date+7*(ROWS($1:1319)-1),EDATE(Start_Date,VLOOKUP(IF(ASTemp!$E$7="","Monthly",ASTemp!$E$7),Parameters!$B$3:$D$6,3,0)*(ROWS($1:1319)-1))))</f>
        <v/>
      </c>
      <c r="D1331" s="68" t="str">
        <f t="shared" si="2"/>
        <v/>
      </c>
      <c r="E1331" s="65" t="str">
        <f>IF($B1331="","",VLOOKUP(MONTH(C1331),Parameters!$F$2:$G$13,2,0))</f>
        <v/>
      </c>
      <c r="F1331" s="69" t="str">
        <f>IF($B1331="","",PV-N(J1330))</f>
        <v/>
      </c>
      <c r="G1331" s="69" t="str">
        <f>IF($B1331="","",PMT(Rate,Nper,-PV,,Type))</f>
        <v/>
      </c>
      <c r="H1331" s="69" t="str">
        <f>IF($B1331="","",PPMT(Rate,ROWS($1:1319),Nper,-PV,,Type))</f>
        <v/>
      </c>
      <c r="I1331" s="69" t="str">
        <f>IF($B1331="","",IPMT(Rate,ROWS($1:1319),Nper,-PV,,Type))</f>
        <v/>
      </c>
      <c r="J1331" s="73" t="str">
        <f t="shared" ref="J1331:K1331" si="1321">IF($B1331="","",N(J1330)+N(H1331))</f>
        <v/>
      </c>
      <c r="K1331" s="74" t="str">
        <f t="shared" si="1321"/>
        <v/>
      </c>
      <c r="L1331" s="69" t="str">
        <f>IF($B1331="","",PV-J1331)</f>
        <v/>
      </c>
      <c r="M1331" s="71" t="str">
        <f>IF($B1331="","",J1331/PV)</f>
        <v/>
      </c>
      <c r="N1331" s="72" t="str">
        <f t="shared" si="4"/>
        <v/>
      </c>
    </row>
    <row r="1332" ht="14.25" customHeight="1">
      <c r="B1332" s="66" t="str">
        <f>IF(ROWS($1:1320)&lt;=Nper,ROWS($1:1320),"")</f>
        <v/>
      </c>
      <c r="C1332" s="67" t="str">
        <f>IF($B1332="","",IF($E$7="Weekly",Start_Date+7*(ROWS($1:1320)-1),EDATE(Start_Date,VLOOKUP(IF(ASTemp!$E$7="","Monthly",ASTemp!$E$7),Parameters!$B$3:$D$6,3,0)*(ROWS($1:1320)-1))))</f>
        <v/>
      </c>
      <c r="D1332" s="68" t="str">
        <f t="shared" si="2"/>
        <v/>
      </c>
      <c r="E1332" s="65" t="str">
        <f>IF($B1332="","",VLOOKUP(MONTH(C1332),Parameters!$F$2:$G$13,2,0))</f>
        <v/>
      </c>
      <c r="F1332" s="69" t="str">
        <f>IF($B1332="","",PV-N(J1331))</f>
        <v/>
      </c>
      <c r="G1332" s="69" t="str">
        <f>IF($B1332="","",PMT(Rate,Nper,-PV,,Type))</f>
        <v/>
      </c>
      <c r="H1332" s="69" t="str">
        <f>IF($B1332="","",PPMT(Rate,ROWS($1:1320),Nper,-PV,,Type))</f>
        <v/>
      </c>
      <c r="I1332" s="69" t="str">
        <f>IF($B1332="","",IPMT(Rate,ROWS($1:1320),Nper,-PV,,Type))</f>
        <v/>
      </c>
      <c r="J1332" s="73" t="str">
        <f t="shared" ref="J1332:K1332" si="1322">IF($B1332="","",N(J1331)+N(H1332))</f>
        <v/>
      </c>
      <c r="K1332" s="74" t="str">
        <f t="shared" si="1322"/>
        <v/>
      </c>
      <c r="L1332" s="69" t="str">
        <f>IF($B1332="","",PV-J1332)</f>
        <v/>
      </c>
      <c r="M1332" s="71" t="str">
        <f>IF($B1332="","",J1332/PV)</f>
        <v/>
      </c>
      <c r="N1332" s="72" t="str">
        <f t="shared" si="4"/>
        <v/>
      </c>
    </row>
    <row r="1333" ht="14.25" customHeight="1">
      <c r="B1333" s="66" t="str">
        <f>IF(ROWS($1:1321)&lt;=Nper,ROWS($1:1321),"")</f>
        <v/>
      </c>
      <c r="C1333" s="67" t="str">
        <f>IF($B1333="","",IF($E$7="Weekly",Start_Date+7*(ROWS($1:1321)-1),EDATE(Start_Date,VLOOKUP(IF(ASTemp!$E$7="","Monthly",ASTemp!$E$7),Parameters!$B$3:$D$6,3,0)*(ROWS($1:1321)-1))))</f>
        <v/>
      </c>
      <c r="D1333" s="68" t="str">
        <f t="shared" si="2"/>
        <v/>
      </c>
      <c r="E1333" s="65" t="str">
        <f>IF($B1333="","",VLOOKUP(MONTH(C1333),Parameters!$F$2:$G$13,2,0))</f>
        <v/>
      </c>
      <c r="F1333" s="69" t="str">
        <f>IF($B1333="","",PV-N(J1332))</f>
        <v/>
      </c>
      <c r="G1333" s="69" t="str">
        <f>IF($B1333="","",PMT(Rate,Nper,-PV,,Type))</f>
        <v/>
      </c>
      <c r="H1333" s="69" t="str">
        <f>IF($B1333="","",PPMT(Rate,ROWS($1:1321),Nper,-PV,,Type))</f>
        <v/>
      </c>
      <c r="I1333" s="69" t="str">
        <f>IF($B1333="","",IPMT(Rate,ROWS($1:1321),Nper,-PV,,Type))</f>
        <v/>
      </c>
      <c r="J1333" s="73" t="str">
        <f t="shared" ref="J1333:K1333" si="1323">IF($B1333="","",N(J1332)+N(H1333))</f>
        <v/>
      </c>
      <c r="K1333" s="74" t="str">
        <f t="shared" si="1323"/>
        <v/>
      </c>
      <c r="L1333" s="69" t="str">
        <f>IF($B1333="","",PV-J1333)</f>
        <v/>
      </c>
      <c r="M1333" s="71" t="str">
        <f>IF($B1333="","",J1333/PV)</f>
        <v/>
      </c>
      <c r="N1333" s="72" t="str">
        <f t="shared" si="4"/>
        <v/>
      </c>
    </row>
    <row r="1334" ht="14.25" customHeight="1">
      <c r="B1334" s="66" t="str">
        <f>IF(ROWS($1:1322)&lt;=Nper,ROWS($1:1322),"")</f>
        <v/>
      </c>
      <c r="C1334" s="67" t="str">
        <f>IF($B1334="","",IF($E$7="Weekly",Start_Date+7*(ROWS($1:1322)-1),EDATE(Start_Date,VLOOKUP(IF(ASTemp!$E$7="","Monthly",ASTemp!$E$7),Parameters!$B$3:$D$6,3,0)*(ROWS($1:1322)-1))))</f>
        <v/>
      </c>
      <c r="D1334" s="68" t="str">
        <f t="shared" si="2"/>
        <v/>
      </c>
      <c r="E1334" s="65" t="str">
        <f>IF($B1334="","",VLOOKUP(MONTH(C1334),Parameters!$F$2:$G$13,2,0))</f>
        <v/>
      </c>
      <c r="F1334" s="69" t="str">
        <f>IF($B1334="","",PV-N(J1333))</f>
        <v/>
      </c>
      <c r="G1334" s="69" t="str">
        <f>IF($B1334="","",PMT(Rate,Nper,-PV,,Type))</f>
        <v/>
      </c>
      <c r="H1334" s="69" t="str">
        <f>IF($B1334="","",PPMT(Rate,ROWS($1:1322),Nper,-PV,,Type))</f>
        <v/>
      </c>
      <c r="I1334" s="69" t="str">
        <f>IF($B1334="","",IPMT(Rate,ROWS($1:1322),Nper,-PV,,Type))</f>
        <v/>
      </c>
      <c r="J1334" s="73" t="str">
        <f t="shared" ref="J1334:K1334" si="1324">IF($B1334="","",N(J1333)+N(H1334))</f>
        <v/>
      </c>
      <c r="K1334" s="74" t="str">
        <f t="shared" si="1324"/>
        <v/>
      </c>
      <c r="L1334" s="69" t="str">
        <f>IF($B1334="","",PV-J1334)</f>
        <v/>
      </c>
      <c r="M1334" s="71" t="str">
        <f>IF($B1334="","",J1334/PV)</f>
        <v/>
      </c>
      <c r="N1334" s="72" t="str">
        <f t="shared" si="4"/>
        <v/>
      </c>
    </row>
    <row r="1335" ht="14.25" customHeight="1">
      <c r="B1335" s="66" t="str">
        <f>IF(ROWS($1:1323)&lt;=Nper,ROWS($1:1323),"")</f>
        <v/>
      </c>
      <c r="C1335" s="67" t="str">
        <f>IF($B1335="","",IF($E$7="Weekly",Start_Date+7*(ROWS($1:1323)-1),EDATE(Start_Date,VLOOKUP(IF(ASTemp!$E$7="","Monthly",ASTemp!$E$7),Parameters!$B$3:$D$6,3,0)*(ROWS($1:1323)-1))))</f>
        <v/>
      </c>
      <c r="D1335" s="68" t="str">
        <f t="shared" si="2"/>
        <v/>
      </c>
      <c r="E1335" s="65" t="str">
        <f>IF($B1335="","",VLOOKUP(MONTH(C1335),Parameters!$F$2:$G$13,2,0))</f>
        <v/>
      </c>
      <c r="F1335" s="69" t="str">
        <f>IF($B1335="","",PV-N(J1334))</f>
        <v/>
      </c>
      <c r="G1335" s="69" t="str">
        <f>IF($B1335="","",PMT(Rate,Nper,-PV,,Type))</f>
        <v/>
      </c>
      <c r="H1335" s="69" t="str">
        <f>IF($B1335="","",PPMT(Rate,ROWS($1:1323),Nper,-PV,,Type))</f>
        <v/>
      </c>
      <c r="I1335" s="69" t="str">
        <f>IF($B1335="","",IPMT(Rate,ROWS($1:1323),Nper,-PV,,Type))</f>
        <v/>
      </c>
      <c r="J1335" s="73" t="str">
        <f t="shared" ref="J1335:K1335" si="1325">IF($B1335="","",N(J1334)+N(H1335))</f>
        <v/>
      </c>
      <c r="K1335" s="74" t="str">
        <f t="shared" si="1325"/>
        <v/>
      </c>
      <c r="L1335" s="69" t="str">
        <f>IF($B1335="","",PV-J1335)</f>
        <v/>
      </c>
      <c r="M1335" s="71" t="str">
        <f>IF($B1335="","",J1335/PV)</f>
        <v/>
      </c>
      <c r="N1335" s="72" t="str">
        <f t="shared" si="4"/>
        <v/>
      </c>
    </row>
    <row r="1336" ht="14.25" customHeight="1">
      <c r="B1336" s="66" t="str">
        <f>IF(ROWS($1:1324)&lt;=Nper,ROWS($1:1324),"")</f>
        <v/>
      </c>
      <c r="C1336" s="67" t="str">
        <f>IF($B1336="","",IF($E$7="Weekly",Start_Date+7*(ROWS($1:1324)-1),EDATE(Start_Date,VLOOKUP(IF(ASTemp!$E$7="","Monthly",ASTemp!$E$7),Parameters!$B$3:$D$6,3,0)*(ROWS($1:1324)-1))))</f>
        <v/>
      </c>
      <c r="D1336" s="68" t="str">
        <f t="shared" si="2"/>
        <v/>
      </c>
      <c r="E1336" s="65" t="str">
        <f>IF($B1336="","",VLOOKUP(MONTH(C1336),Parameters!$F$2:$G$13,2,0))</f>
        <v/>
      </c>
      <c r="F1336" s="69" t="str">
        <f>IF($B1336="","",PV-N(J1335))</f>
        <v/>
      </c>
      <c r="G1336" s="69" t="str">
        <f>IF($B1336="","",PMT(Rate,Nper,-PV,,Type))</f>
        <v/>
      </c>
      <c r="H1336" s="69" t="str">
        <f>IF($B1336="","",PPMT(Rate,ROWS($1:1324),Nper,-PV,,Type))</f>
        <v/>
      </c>
      <c r="I1336" s="69" t="str">
        <f>IF($B1336="","",IPMT(Rate,ROWS($1:1324),Nper,-PV,,Type))</f>
        <v/>
      </c>
      <c r="J1336" s="73" t="str">
        <f t="shared" ref="J1336:K1336" si="1326">IF($B1336="","",N(J1335)+N(H1336))</f>
        <v/>
      </c>
      <c r="K1336" s="74" t="str">
        <f t="shared" si="1326"/>
        <v/>
      </c>
      <c r="L1336" s="69" t="str">
        <f>IF($B1336="","",PV-J1336)</f>
        <v/>
      </c>
      <c r="M1336" s="71" t="str">
        <f>IF($B1336="","",J1336/PV)</f>
        <v/>
      </c>
      <c r="N1336" s="72" t="str">
        <f t="shared" si="4"/>
        <v/>
      </c>
    </row>
    <row r="1337" ht="14.25" customHeight="1">
      <c r="B1337" s="66" t="str">
        <f>IF(ROWS($1:1325)&lt;=Nper,ROWS($1:1325),"")</f>
        <v/>
      </c>
      <c r="C1337" s="67" t="str">
        <f>IF($B1337="","",IF($E$7="Weekly",Start_Date+7*(ROWS($1:1325)-1),EDATE(Start_Date,VLOOKUP(IF(ASTemp!$E$7="","Monthly",ASTemp!$E$7),Parameters!$B$3:$D$6,3,0)*(ROWS($1:1325)-1))))</f>
        <v/>
      </c>
      <c r="D1337" s="68" t="str">
        <f t="shared" si="2"/>
        <v/>
      </c>
      <c r="E1337" s="65" t="str">
        <f>IF($B1337="","",VLOOKUP(MONTH(C1337),Parameters!$F$2:$G$13,2,0))</f>
        <v/>
      </c>
      <c r="F1337" s="69" t="str">
        <f>IF($B1337="","",PV-N(J1336))</f>
        <v/>
      </c>
      <c r="G1337" s="69" t="str">
        <f>IF($B1337="","",PMT(Rate,Nper,-PV,,Type))</f>
        <v/>
      </c>
      <c r="H1337" s="69" t="str">
        <f>IF($B1337="","",PPMT(Rate,ROWS($1:1325),Nper,-PV,,Type))</f>
        <v/>
      </c>
      <c r="I1337" s="69" t="str">
        <f>IF($B1337="","",IPMT(Rate,ROWS($1:1325),Nper,-PV,,Type))</f>
        <v/>
      </c>
      <c r="J1337" s="73" t="str">
        <f t="shared" ref="J1337:K1337" si="1327">IF($B1337="","",N(J1336)+N(H1337))</f>
        <v/>
      </c>
      <c r="K1337" s="74" t="str">
        <f t="shared" si="1327"/>
        <v/>
      </c>
      <c r="L1337" s="69" t="str">
        <f>IF($B1337="","",PV-J1337)</f>
        <v/>
      </c>
      <c r="M1337" s="71" t="str">
        <f>IF($B1337="","",J1337/PV)</f>
        <v/>
      </c>
      <c r="N1337" s="72" t="str">
        <f t="shared" si="4"/>
        <v/>
      </c>
    </row>
    <row r="1338" ht="14.25" customHeight="1">
      <c r="B1338" s="66" t="str">
        <f>IF(ROWS($1:1326)&lt;=Nper,ROWS($1:1326),"")</f>
        <v/>
      </c>
      <c r="C1338" s="67" t="str">
        <f>IF($B1338="","",IF($E$7="Weekly",Start_Date+7*(ROWS($1:1326)-1),EDATE(Start_Date,VLOOKUP(IF(ASTemp!$E$7="","Monthly",ASTemp!$E$7),Parameters!$B$3:$D$6,3,0)*(ROWS($1:1326)-1))))</f>
        <v/>
      </c>
      <c r="D1338" s="68" t="str">
        <f t="shared" si="2"/>
        <v/>
      </c>
      <c r="E1338" s="65" t="str">
        <f>IF($B1338="","",VLOOKUP(MONTH(C1338),Parameters!$F$2:$G$13,2,0))</f>
        <v/>
      </c>
      <c r="F1338" s="69" t="str">
        <f>IF($B1338="","",PV-N(J1337))</f>
        <v/>
      </c>
      <c r="G1338" s="69" t="str">
        <f>IF($B1338="","",PMT(Rate,Nper,-PV,,Type))</f>
        <v/>
      </c>
      <c r="H1338" s="69" t="str">
        <f>IF($B1338="","",PPMT(Rate,ROWS($1:1326),Nper,-PV,,Type))</f>
        <v/>
      </c>
      <c r="I1338" s="69" t="str">
        <f>IF($B1338="","",IPMT(Rate,ROWS($1:1326),Nper,-PV,,Type))</f>
        <v/>
      </c>
      <c r="J1338" s="73" t="str">
        <f t="shared" ref="J1338:K1338" si="1328">IF($B1338="","",N(J1337)+N(H1338))</f>
        <v/>
      </c>
      <c r="K1338" s="74" t="str">
        <f t="shared" si="1328"/>
        <v/>
      </c>
      <c r="L1338" s="69" t="str">
        <f>IF($B1338="","",PV-J1338)</f>
        <v/>
      </c>
      <c r="M1338" s="71" t="str">
        <f>IF($B1338="","",J1338/PV)</f>
        <v/>
      </c>
      <c r="N1338" s="72" t="str">
        <f t="shared" si="4"/>
        <v/>
      </c>
    </row>
    <row r="1339" ht="14.25" customHeight="1">
      <c r="B1339" s="66" t="str">
        <f>IF(ROWS($1:1327)&lt;=Nper,ROWS($1:1327),"")</f>
        <v/>
      </c>
      <c r="C1339" s="67" t="str">
        <f>IF($B1339="","",IF($E$7="Weekly",Start_Date+7*(ROWS($1:1327)-1),EDATE(Start_Date,VLOOKUP(IF(ASTemp!$E$7="","Monthly",ASTemp!$E$7),Parameters!$B$3:$D$6,3,0)*(ROWS($1:1327)-1))))</f>
        <v/>
      </c>
      <c r="D1339" s="68" t="str">
        <f t="shared" si="2"/>
        <v/>
      </c>
      <c r="E1339" s="65" t="str">
        <f>IF($B1339="","",VLOOKUP(MONTH(C1339),Parameters!$F$2:$G$13,2,0))</f>
        <v/>
      </c>
      <c r="F1339" s="69" t="str">
        <f>IF($B1339="","",PV-N(J1338))</f>
        <v/>
      </c>
      <c r="G1339" s="69" t="str">
        <f>IF($B1339="","",PMT(Rate,Nper,-PV,,Type))</f>
        <v/>
      </c>
      <c r="H1339" s="69" t="str">
        <f>IF($B1339="","",PPMT(Rate,ROWS($1:1327),Nper,-PV,,Type))</f>
        <v/>
      </c>
      <c r="I1339" s="69" t="str">
        <f>IF($B1339="","",IPMT(Rate,ROWS($1:1327),Nper,-PV,,Type))</f>
        <v/>
      </c>
      <c r="J1339" s="73" t="str">
        <f t="shared" ref="J1339:K1339" si="1329">IF($B1339="","",N(J1338)+N(H1339))</f>
        <v/>
      </c>
      <c r="K1339" s="74" t="str">
        <f t="shared" si="1329"/>
        <v/>
      </c>
      <c r="L1339" s="69" t="str">
        <f>IF($B1339="","",PV-J1339)</f>
        <v/>
      </c>
      <c r="M1339" s="71" t="str">
        <f>IF($B1339="","",J1339/PV)</f>
        <v/>
      </c>
      <c r="N1339" s="72" t="str">
        <f t="shared" si="4"/>
        <v/>
      </c>
    </row>
    <row r="1340" ht="14.25" customHeight="1">
      <c r="B1340" s="66" t="str">
        <f>IF(ROWS($1:1328)&lt;=Nper,ROWS($1:1328),"")</f>
        <v/>
      </c>
      <c r="C1340" s="67" t="str">
        <f>IF($B1340="","",IF($E$7="Weekly",Start_Date+7*(ROWS($1:1328)-1),EDATE(Start_Date,VLOOKUP(IF(ASTemp!$E$7="","Monthly",ASTemp!$E$7),Parameters!$B$3:$D$6,3,0)*(ROWS($1:1328)-1))))</f>
        <v/>
      </c>
      <c r="D1340" s="68" t="str">
        <f t="shared" si="2"/>
        <v/>
      </c>
      <c r="E1340" s="65" t="str">
        <f>IF($B1340="","",VLOOKUP(MONTH(C1340),Parameters!$F$2:$G$13,2,0))</f>
        <v/>
      </c>
      <c r="F1340" s="69" t="str">
        <f>IF($B1340="","",PV-N(J1339))</f>
        <v/>
      </c>
      <c r="G1340" s="69" t="str">
        <f>IF($B1340="","",PMT(Rate,Nper,-PV,,Type))</f>
        <v/>
      </c>
      <c r="H1340" s="69" t="str">
        <f>IF($B1340="","",PPMT(Rate,ROWS($1:1328),Nper,-PV,,Type))</f>
        <v/>
      </c>
      <c r="I1340" s="69" t="str">
        <f>IF($B1340="","",IPMT(Rate,ROWS($1:1328),Nper,-PV,,Type))</f>
        <v/>
      </c>
      <c r="J1340" s="73" t="str">
        <f t="shared" ref="J1340:K1340" si="1330">IF($B1340="","",N(J1339)+N(H1340))</f>
        <v/>
      </c>
      <c r="K1340" s="74" t="str">
        <f t="shared" si="1330"/>
        <v/>
      </c>
      <c r="L1340" s="69" t="str">
        <f>IF($B1340="","",PV-J1340)</f>
        <v/>
      </c>
      <c r="M1340" s="71" t="str">
        <f>IF($B1340="","",J1340/PV)</f>
        <v/>
      </c>
      <c r="N1340" s="72" t="str">
        <f t="shared" si="4"/>
        <v/>
      </c>
    </row>
    <row r="1341" ht="14.25" customHeight="1">
      <c r="B1341" s="66" t="str">
        <f>IF(ROWS($1:1329)&lt;=Nper,ROWS($1:1329),"")</f>
        <v/>
      </c>
      <c r="C1341" s="67" t="str">
        <f>IF($B1341="","",IF($E$7="Weekly",Start_Date+7*(ROWS($1:1329)-1),EDATE(Start_Date,VLOOKUP(IF(ASTemp!$E$7="","Monthly",ASTemp!$E$7),Parameters!$B$3:$D$6,3,0)*(ROWS($1:1329)-1))))</f>
        <v/>
      </c>
      <c r="D1341" s="68" t="str">
        <f t="shared" si="2"/>
        <v/>
      </c>
      <c r="E1341" s="65" t="str">
        <f>IF($B1341="","",VLOOKUP(MONTH(C1341),Parameters!$F$2:$G$13,2,0))</f>
        <v/>
      </c>
      <c r="F1341" s="69" t="str">
        <f>IF($B1341="","",PV-N(J1340))</f>
        <v/>
      </c>
      <c r="G1341" s="69" t="str">
        <f>IF($B1341="","",PMT(Rate,Nper,-PV,,Type))</f>
        <v/>
      </c>
      <c r="H1341" s="69" t="str">
        <f>IF($B1341="","",PPMT(Rate,ROWS($1:1329),Nper,-PV,,Type))</f>
        <v/>
      </c>
      <c r="I1341" s="69" t="str">
        <f>IF($B1341="","",IPMT(Rate,ROWS($1:1329),Nper,-PV,,Type))</f>
        <v/>
      </c>
      <c r="J1341" s="73" t="str">
        <f t="shared" ref="J1341:K1341" si="1331">IF($B1341="","",N(J1340)+N(H1341))</f>
        <v/>
      </c>
      <c r="K1341" s="74" t="str">
        <f t="shared" si="1331"/>
        <v/>
      </c>
      <c r="L1341" s="69" t="str">
        <f>IF($B1341="","",PV-J1341)</f>
        <v/>
      </c>
      <c r="M1341" s="71" t="str">
        <f>IF($B1341="","",J1341/PV)</f>
        <v/>
      </c>
      <c r="N1341" s="72" t="str">
        <f t="shared" si="4"/>
        <v/>
      </c>
    </row>
    <row r="1342" ht="14.25" customHeight="1">
      <c r="B1342" s="66" t="str">
        <f>IF(ROWS($1:1330)&lt;=Nper,ROWS($1:1330),"")</f>
        <v/>
      </c>
      <c r="C1342" s="67" t="str">
        <f>IF($B1342="","",IF($E$7="Weekly",Start_Date+7*(ROWS($1:1330)-1),EDATE(Start_Date,VLOOKUP(IF(ASTemp!$E$7="","Monthly",ASTemp!$E$7),Parameters!$B$3:$D$6,3,0)*(ROWS($1:1330)-1))))</f>
        <v/>
      </c>
      <c r="D1342" s="68" t="str">
        <f t="shared" si="2"/>
        <v/>
      </c>
      <c r="E1342" s="65" t="str">
        <f>IF($B1342="","",VLOOKUP(MONTH(C1342),Parameters!$F$2:$G$13,2,0))</f>
        <v/>
      </c>
      <c r="F1342" s="69" t="str">
        <f>IF($B1342="","",PV-N(J1341))</f>
        <v/>
      </c>
      <c r="G1342" s="69" t="str">
        <f>IF($B1342="","",PMT(Rate,Nper,-PV,,Type))</f>
        <v/>
      </c>
      <c r="H1342" s="69" t="str">
        <f>IF($B1342="","",PPMT(Rate,ROWS($1:1330),Nper,-PV,,Type))</f>
        <v/>
      </c>
      <c r="I1342" s="69" t="str">
        <f>IF($B1342="","",IPMT(Rate,ROWS($1:1330),Nper,-PV,,Type))</f>
        <v/>
      </c>
      <c r="J1342" s="73" t="str">
        <f t="shared" ref="J1342:K1342" si="1332">IF($B1342="","",N(J1341)+N(H1342))</f>
        <v/>
      </c>
      <c r="K1342" s="74" t="str">
        <f t="shared" si="1332"/>
        <v/>
      </c>
      <c r="L1342" s="69" t="str">
        <f>IF($B1342="","",PV-J1342)</f>
        <v/>
      </c>
      <c r="M1342" s="71" t="str">
        <f>IF($B1342="","",J1342/PV)</f>
        <v/>
      </c>
      <c r="N1342" s="72" t="str">
        <f t="shared" si="4"/>
        <v/>
      </c>
    </row>
    <row r="1343" ht="14.25" customHeight="1">
      <c r="B1343" s="66" t="str">
        <f>IF(ROWS($1:1331)&lt;=Nper,ROWS($1:1331),"")</f>
        <v/>
      </c>
      <c r="C1343" s="67" t="str">
        <f>IF($B1343="","",IF($E$7="Weekly",Start_Date+7*(ROWS($1:1331)-1),EDATE(Start_Date,VLOOKUP(IF(ASTemp!$E$7="","Monthly",ASTemp!$E$7),Parameters!$B$3:$D$6,3,0)*(ROWS($1:1331)-1))))</f>
        <v/>
      </c>
      <c r="D1343" s="68" t="str">
        <f t="shared" si="2"/>
        <v/>
      </c>
      <c r="E1343" s="65" t="str">
        <f>IF($B1343="","",VLOOKUP(MONTH(C1343),Parameters!$F$2:$G$13,2,0))</f>
        <v/>
      </c>
      <c r="F1343" s="69" t="str">
        <f>IF($B1343="","",PV-N(J1342))</f>
        <v/>
      </c>
      <c r="G1343" s="69" t="str">
        <f>IF($B1343="","",PMT(Rate,Nper,-PV,,Type))</f>
        <v/>
      </c>
      <c r="H1343" s="69" t="str">
        <f>IF($B1343="","",PPMT(Rate,ROWS($1:1331),Nper,-PV,,Type))</f>
        <v/>
      </c>
      <c r="I1343" s="69" t="str">
        <f>IF($B1343="","",IPMT(Rate,ROWS($1:1331),Nper,-PV,,Type))</f>
        <v/>
      </c>
      <c r="J1343" s="73" t="str">
        <f t="shared" ref="J1343:K1343" si="1333">IF($B1343="","",N(J1342)+N(H1343))</f>
        <v/>
      </c>
      <c r="K1343" s="74" t="str">
        <f t="shared" si="1333"/>
        <v/>
      </c>
      <c r="L1343" s="69" t="str">
        <f>IF($B1343="","",PV-J1343)</f>
        <v/>
      </c>
      <c r="M1343" s="71" t="str">
        <f>IF($B1343="","",J1343/PV)</f>
        <v/>
      </c>
      <c r="N1343" s="72" t="str">
        <f t="shared" si="4"/>
        <v/>
      </c>
    </row>
    <row r="1344" ht="14.25" customHeight="1">
      <c r="B1344" s="66" t="str">
        <f>IF(ROWS($1:1332)&lt;=Nper,ROWS($1:1332),"")</f>
        <v/>
      </c>
      <c r="C1344" s="67" t="str">
        <f>IF($B1344="","",IF($E$7="Weekly",Start_Date+7*(ROWS($1:1332)-1),EDATE(Start_Date,VLOOKUP(IF(ASTemp!$E$7="","Monthly",ASTemp!$E$7),Parameters!$B$3:$D$6,3,0)*(ROWS($1:1332)-1))))</f>
        <v/>
      </c>
      <c r="D1344" s="68" t="str">
        <f t="shared" si="2"/>
        <v/>
      </c>
      <c r="E1344" s="65" t="str">
        <f>IF($B1344="","",VLOOKUP(MONTH(C1344),Parameters!$F$2:$G$13,2,0))</f>
        <v/>
      </c>
      <c r="F1344" s="69" t="str">
        <f>IF($B1344="","",PV-N(J1343))</f>
        <v/>
      </c>
      <c r="G1344" s="69" t="str">
        <f>IF($B1344="","",PMT(Rate,Nper,-PV,,Type))</f>
        <v/>
      </c>
      <c r="H1344" s="69" t="str">
        <f>IF($B1344="","",PPMT(Rate,ROWS($1:1332),Nper,-PV,,Type))</f>
        <v/>
      </c>
      <c r="I1344" s="69" t="str">
        <f>IF($B1344="","",IPMT(Rate,ROWS($1:1332),Nper,-PV,,Type))</f>
        <v/>
      </c>
      <c r="J1344" s="73" t="str">
        <f t="shared" ref="J1344:K1344" si="1334">IF($B1344="","",N(J1343)+N(H1344))</f>
        <v/>
      </c>
      <c r="K1344" s="74" t="str">
        <f t="shared" si="1334"/>
        <v/>
      </c>
      <c r="L1344" s="69" t="str">
        <f>IF($B1344="","",PV-J1344)</f>
        <v/>
      </c>
      <c r="M1344" s="71" t="str">
        <f>IF($B1344="","",J1344/PV)</f>
        <v/>
      </c>
      <c r="N1344" s="72" t="str">
        <f t="shared" si="4"/>
        <v/>
      </c>
    </row>
    <row r="1345" ht="14.25" customHeight="1">
      <c r="B1345" s="66" t="str">
        <f>IF(ROWS($1:1333)&lt;=Nper,ROWS($1:1333),"")</f>
        <v/>
      </c>
      <c r="C1345" s="67" t="str">
        <f>IF($B1345="","",IF($E$7="Weekly",Start_Date+7*(ROWS($1:1333)-1),EDATE(Start_Date,VLOOKUP(IF(ASTemp!$E$7="","Monthly",ASTemp!$E$7),Parameters!$B$3:$D$6,3,0)*(ROWS($1:1333)-1))))</f>
        <v/>
      </c>
      <c r="D1345" s="68" t="str">
        <f t="shared" si="2"/>
        <v/>
      </c>
      <c r="E1345" s="65" t="str">
        <f>IF($B1345="","",VLOOKUP(MONTH(C1345),Parameters!$F$2:$G$13,2,0))</f>
        <v/>
      </c>
      <c r="F1345" s="69" t="str">
        <f>IF($B1345="","",PV-N(J1344))</f>
        <v/>
      </c>
      <c r="G1345" s="69" t="str">
        <f>IF($B1345="","",PMT(Rate,Nper,-PV,,Type))</f>
        <v/>
      </c>
      <c r="H1345" s="69" t="str">
        <f>IF($B1345="","",PPMT(Rate,ROWS($1:1333),Nper,-PV,,Type))</f>
        <v/>
      </c>
      <c r="I1345" s="69" t="str">
        <f>IF($B1345="","",IPMT(Rate,ROWS($1:1333),Nper,-PV,,Type))</f>
        <v/>
      </c>
      <c r="J1345" s="73" t="str">
        <f t="shared" ref="J1345:K1345" si="1335">IF($B1345="","",N(J1344)+N(H1345))</f>
        <v/>
      </c>
      <c r="K1345" s="74" t="str">
        <f t="shared" si="1335"/>
        <v/>
      </c>
      <c r="L1345" s="69" t="str">
        <f>IF($B1345="","",PV-J1345)</f>
        <v/>
      </c>
      <c r="M1345" s="71" t="str">
        <f>IF($B1345="","",J1345/PV)</f>
        <v/>
      </c>
      <c r="N1345" s="72" t="str">
        <f t="shared" si="4"/>
        <v/>
      </c>
    </row>
    <row r="1346" ht="14.25" customHeight="1">
      <c r="B1346" s="66" t="str">
        <f>IF(ROWS($1:1334)&lt;=Nper,ROWS($1:1334),"")</f>
        <v/>
      </c>
      <c r="C1346" s="67" t="str">
        <f>IF($B1346="","",IF($E$7="Weekly",Start_Date+7*(ROWS($1:1334)-1),EDATE(Start_Date,VLOOKUP(IF(ASTemp!$E$7="","Monthly",ASTemp!$E$7),Parameters!$B$3:$D$6,3,0)*(ROWS($1:1334)-1))))</f>
        <v/>
      </c>
      <c r="D1346" s="68" t="str">
        <f t="shared" si="2"/>
        <v/>
      </c>
      <c r="E1346" s="65" t="str">
        <f>IF($B1346="","",VLOOKUP(MONTH(C1346),Parameters!$F$2:$G$13,2,0))</f>
        <v/>
      </c>
      <c r="F1346" s="69" t="str">
        <f>IF($B1346="","",PV-N(J1345))</f>
        <v/>
      </c>
      <c r="G1346" s="69" t="str">
        <f>IF($B1346="","",PMT(Rate,Nper,-PV,,Type))</f>
        <v/>
      </c>
      <c r="H1346" s="69" t="str">
        <f>IF($B1346="","",PPMT(Rate,ROWS($1:1334),Nper,-PV,,Type))</f>
        <v/>
      </c>
      <c r="I1346" s="69" t="str">
        <f>IF($B1346="","",IPMT(Rate,ROWS($1:1334),Nper,-PV,,Type))</f>
        <v/>
      </c>
      <c r="J1346" s="73" t="str">
        <f t="shared" ref="J1346:K1346" si="1336">IF($B1346="","",N(J1345)+N(H1346))</f>
        <v/>
      </c>
      <c r="K1346" s="74" t="str">
        <f t="shared" si="1336"/>
        <v/>
      </c>
      <c r="L1346" s="69" t="str">
        <f>IF($B1346="","",PV-J1346)</f>
        <v/>
      </c>
      <c r="M1346" s="71" t="str">
        <f>IF($B1346="","",J1346/PV)</f>
        <v/>
      </c>
      <c r="N1346" s="72" t="str">
        <f t="shared" si="4"/>
        <v/>
      </c>
    </row>
    <row r="1347" ht="14.25" customHeight="1">
      <c r="B1347" s="66" t="str">
        <f>IF(ROWS($1:1335)&lt;=Nper,ROWS($1:1335),"")</f>
        <v/>
      </c>
      <c r="C1347" s="67" t="str">
        <f>IF($B1347="","",IF($E$7="Weekly",Start_Date+7*(ROWS($1:1335)-1),EDATE(Start_Date,VLOOKUP(IF(ASTemp!$E$7="","Monthly",ASTemp!$E$7),Parameters!$B$3:$D$6,3,0)*(ROWS($1:1335)-1))))</f>
        <v/>
      </c>
      <c r="D1347" s="68" t="str">
        <f t="shared" si="2"/>
        <v/>
      </c>
      <c r="E1347" s="65" t="str">
        <f>IF($B1347="","",VLOOKUP(MONTH(C1347),Parameters!$F$2:$G$13,2,0))</f>
        <v/>
      </c>
      <c r="F1347" s="69" t="str">
        <f>IF($B1347="","",PV-N(J1346))</f>
        <v/>
      </c>
      <c r="G1347" s="69" t="str">
        <f>IF($B1347="","",PMT(Rate,Nper,-PV,,Type))</f>
        <v/>
      </c>
      <c r="H1347" s="69" t="str">
        <f>IF($B1347="","",PPMT(Rate,ROWS($1:1335),Nper,-PV,,Type))</f>
        <v/>
      </c>
      <c r="I1347" s="69" t="str">
        <f>IF($B1347="","",IPMT(Rate,ROWS($1:1335),Nper,-PV,,Type))</f>
        <v/>
      </c>
      <c r="J1347" s="73" t="str">
        <f t="shared" ref="J1347:K1347" si="1337">IF($B1347="","",N(J1346)+N(H1347))</f>
        <v/>
      </c>
      <c r="K1347" s="74" t="str">
        <f t="shared" si="1337"/>
        <v/>
      </c>
      <c r="L1347" s="69" t="str">
        <f>IF($B1347="","",PV-J1347)</f>
        <v/>
      </c>
      <c r="M1347" s="71" t="str">
        <f>IF($B1347="","",J1347/PV)</f>
        <v/>
      </c>
      <c r="N1347" s="72" t="str">
        <f t="shared" si="4"/>
        <v/>
      </c>
    </row>
    <row r="1348" ht="14.25" customHeight="1">
      <c r="B1348" s="66" t="str">
        <f>IF(ROWS($1:1336)&lt;=Nper,ROWS($1:1336),"")</f>
        <v/>
      </c>
      <c r="C1348" s="67" t="str">
        <f>IF($B1348="","",IF($E$7="Weekly",Start_Date+7*(ROWS($1:1336)-1),EDATE(Start_Date,VLOOKUP(IF(ASTemp!$E$7="","Monthly",ASTemp!$E$7),Parameters!$B$3:$D$6,3,0)*(ROWS($1:1336)-1))))</f>
        <v/>
      </c>
      <c r="D1348" s="68" t="str">
        <f t="shared" si="2"/>
        <v/>
      </c>
      <c r="E1348" s="65" t="str">
        <f>IF($B1348="","",VLOOKUP(MONTH(C1348),Parameters!$F$2:$G$13,2,0))</f>
        <v/>
      </c>
      <c r="F1348" s="69" t="str">
        <f>IF($B1348="","",PV-N(J1347))</f>
        <v/>
      </c>
      <c r="G1348" s="69" t="str">
        <f>IF($B1348="","",PMT(Rate,Nper,-PV,,Type))</f>
        <v/>
      </c>
      <c r="H1348" s="69" t="str">
        <f>IF($B1348="","",PPMT(Rate,ROWS($1:1336),Nper,-PV,,Type))</f>
        <v/>
      </c>
      <c r="I1348" s="69" t="str">
        <f>IF($B1348="","",IPMT(Rate,ROWS($1:1336),Nper,-PV,,Type))</f>
        <v/>
      </c>
      <c r="J1348" s="73" t="str">
        <f t="shared" ref="J1348:K1348" si="1338">IF($B1348="","",N(J1347)+N(H1348))</f>
        <v/>
      </c>
      <c r="K1348" s="74" t="str">
        <f t="shared" si="1338"/>
        <v/>
      </c>
      <c r="L1348" s="69" t="str">
        <f>IF($B1348="","",PV-J1348)</f>
        <v/>
      </c>
      <c r="M1348" s="71" t="str">
        <f>IF($B1348="","",J1348/PV)</f>
        <v/>
      </c>
      <c r="N1348" s="72" t="str">
        <f t="shared" si="4"/>
        <v/>
      </c>
    </row>
    <row r="1349" ht="14.25" customHeight="1">
      <c r="B1349" s="66" t="str">
        <f>IF(ROWS($1:1337)&lt;=Nper,ROWS($1:1337),"")</f>
        <v/>
      </c>
      <c r="C1349" s="67" t="str">
        <f>IF($B1349="","",IF($E$7="Weekly",Start_Date+7*(ROWS($1:1337)-1),EDATE(Start_Date,VLOOKUP(IF(ASTemp!$E$7="","Monthly",ASTemp!$E$7),Parameters!$B$3:$D$6,3,0)*(ROWS($1:1337)-1))))</f>
        <v/>
      </c>
      <c r="D1349" s="68" t="str">
        <f t="shared" si="2"/>
        <v/>
      </c>
      <c r="E1349" s="65" t="str">
        <f>IF($B1349="","",VLOOKUP(MONTH(C1349),Parameters!$F$2:$G$13,2,0))</f>
        <v/>
      </c>
      <c r="F1349" s="69" t="str">
        <f>IF($B1349="","",PV-N(J1348))</f>
        <v/>
      </c>
      <c r="G1349" s="69" t="str">
        <f>IF($B1349="","",PMT(Rate,Nper,-PV,,Type))</f>
        <v/>
      </c>
      <c r="H1349" s="69" t="str">
        <f>IF($B1349="","",PPMT(Rate,ROWS($1:1337),Nper,-PV,,Type))</f>
        <v/>
      </c>
      <c r="I1349" s="69" t="str">
        <f>IF($B1349="","",IPMT(Rate,ROWS($1:1337),Nper,-PV,,Type))</f>
        <v/>
      </c>
      <c r="J1349" s="73" t="str">
        <f t="shared" ref="J1349:K1349" si="1339">IF($B1349="","",N(J1348)+N(H1349))</f>
        <v/>
      </c>
      <c r="K1349" s="74" t="str">
        <f t="shared" si="1339"/>
        <v/>
      </c>
      <c r="L1349" s="69" t="str">
        <f>IF($B1349="","",PV-J1349)</f>
        <v/>
      </c>
      <c r="M1349" s="71" t="str">
        <f>IF($B1349="","",J1349/PV)</f>
        <v/>
      </c>
      <c r="N1349" s="72" t="str">
        <f t="shared" si="4"/>
        <v/>
      </c>
    </row>
    <row r="1350" ht="14.25" customHeight="1">
      <c r="B1350" s="66" t="str">
        <f>IF(ROWS($1:1338)&lt;=Nper,ROWS($1:1338),"")</f>
        <v/>
      </c>
      <c r="C1350" s="67" t="str">
        <f>IF($B1350="","",IF($E$7="Weekly",Start_Date+7*(ROWS($1:1338)-1),EDATE(Start_Date,VLOOKUP(IF(ASTemp!$E$7="","Monthly",ASTemp!$E$7),Parameters!$B$3:$D$6,3,0)*(ROWS($1:1338)-1))))</f>
        <v/>
      </c>
      <c r="D1350" s="68" t="str">
        <f t="shared" si="2"/>
        <v/>
      </c>
      <c r="E1350" s="65" t="str">
        <f>IF($B1350="","",VLOOKUP(MONTH(C1350),Parameters!$F$2:$G$13,2,0))</f>
        <v/>
      </c>
      <c r="F1350" s="69" t="str">
        <f>IF($B1350="","",PV-N(J1349))</f>
        <v/>
      </c>
      <c r="G1350" s="69" t="str">
        <f>IF($B1350="","",PMT(Rate,Nper,-PV,,Type))</f>
        <v/>
      </c>
      <c r="H1350" s="69" t="str">
        <f>IF($B1350="","",PPMT(Rate,ROWS($1:1338),Nper,-PV,,Type))</f>
        <v/>
      </c>
      <c r="I1350" s="69" t="str">
        <f>IF($B1350="","",IPMT(Rate,ROWS($1:1338),Nper,-PV,,Type))</f>
        <v/>
      </c>
      <c r="J1350" s="73" t="str">
        <f t="shared" ref="J1350:K1350" si="1340">IF($B1350="","",N(J1349)+N(H1350))</f>
        <v/>
      </c>
      <c r="K1350" s="74" t="str">
        <f t="shared" si="1340"/>
        <v/>
      </c>
      <c r="L1350" s="69" t="str">
        <f>IF($B1350="","",PV-J1350)</f>
        <v/>
      </c>
      <c r="M1350" s="71" t="str">
        <f>IF($B1350="","",J1350/PV)</f>
        <v/>
      </c>
      <c r="N1350" s="72" t="str">
        <f t="shared" si="4"/>
        <v/>
      </c>
    </row>
    <row r="1351" ht="14.25" customHeight="1">
      <c r="B1351" s="66" t="str">
        <f>IF(ROWS($1:1339)&lt;=Nper,ROWS($1:1339),"")</f>
        <v/>
      </c>
      <c r="C1351" s="67" t="str">
        <f>IF($B1351="","",IF($E$7="Weekly",Start_Date+7*(ROWS($1:1339)-1),EDATE(Start_Date,VLOOKUP(IF(ASTemp!$E$7="","Monthly",ASTemp!$E$7),Parameters!$B$3:$D$6,3,0)*(ROWS($1:1339)-1))))</f>
        <v/>
      </c>
      <c r="D1351" s="68" t="str">
        <f t="shared" si="2"/>
        <v/>
      </c>
      <c r="E1351" s="65" t="str">
        <f>IF($B1351="","",VLOOKUP(MONTH(C1351),Parameters!$F$2:$G$13,2,0))</f>
        <v/>
      </c>
      <c r="F1351" s="69" t="str">
        <f>IF($B1351="","",PV-N(J1350))</f>
        <v/>
      </c>
      <c r="G1351" s="69" t="str">
        <f>IF($B1351="","",PMT(Rate,Nper,-PV,,Type))</f>
        <v/>
      </c>
      <c r="H1351" s="69" t="str">
        <f>IF($B1351="","",PPMT(Rate,ROWS($1:1339),Nper,-PV,,Type))</f>
        <v/>
      </c>
      <c r="I1351" s="69" t="str">
        <f>IF($B1351="","",IPMT(Rate,ROWS($1:1339),Nper,-PV,,Type))</f>
        <v/>
      </c>
      <c r="J1351" s="73" t="str">
        <f t="shared" ref="J1351:K1351" si="1341">IF($B1351="","",N(J1350)+N(H1351))</f>
        <v/>
      </c>
      <c r="K1351" s="74" t="str">
        <f t="shared" si="1341"/>
        <v/>
      </c>
      <c r="L1351" s="69" t="str">
        <f>IF($B1351="","",PV-J1351)</f>
        <v/>
      </c>
      <c r="M1351" s="71" t="str">
        <f>IF($B1351="","",J1351/PV)</f>
        <v/>
      </c>
      <c r="N1351" s="72" t="str">
        <f t="shared" si="4"/>
        <v/>
      </c>
    </row>
    <row r="1352" ht="14.25" customHeight="1">
      <c r="B1352" s="66" t="str">
        <f>IF(ROWS($1:1340)&lt;=Nper,ROWS($1:1340),"")</f>
        <v/>
      </c>
      <c r="C1352" s="67" t="str">
        <f>IF($B1352="","",IF($E$7="Weekly",Start_Date+7*(ROWS($1:1340)-1),EDATE(Start_Date,VLOOKUP(IF(ASTemp!$E$7="","Monthly",ASTemp!$E$7),Parameters!$B$3:$D$6,3,0)*(ROWS($1:1340)-1))))</f>
        <v/>
      </c>
      <c r="D1352" s="68" t="str">
        <f t="shared" si="2"/>
        <v/>
      </c>
      <c r="E1352" s="65" t="str">
        <f>IF($B1352="","",VLOOKUP(MONTH(C1352),Parameters!$F$2:$G$13,2,0))</f>
        <v/>
      </c>
      <c r="F1352" s="69" t="str">
        <f>IF($B1352="","",PV-N(J1351))</f>
        <v/>
      </c>
      <c r="G1352" s="69" t="str">
        <f>IF($B1352="","",PMT(Rate,Nper,-PV,,Type))</f>
        <v/>
      </c>
      <c r="H1352" s="69" t="str">
        <f>IF($B1352="","",PPMT(Rate,ROWS($1:1340),Nper,-PV,,Type))</f>
        <v/>
      </c>
      <c r="I1352" s="69" t="str">
        <f>IF($B1352="","",IPMT(Rate,ROWS($1:1340),Nper,-PV,,Type))</f>
        <v/>
      </c>
      <c r="J1352" s="73" t="str">
        <f t="shared" ref="J1352:K1352" si="1342">IF($B1352="","",N(J1351)+N(H1352))</f>
        <v/>
      </c>
      <c r="K1352" s="74" t="str">
        <f t="shared" si="1342"/>
        <v/>
      </c>
      <c r="L1352" s="69" t="str">
        <f>IF($B1352="","",PV-J1352)</f>
        <v/>
      </c>
      <c r="M1352" s="71" t="str">
        <f>IF($B1352="","",J1352/PV)</f>
        <v/>
      </c>
      <c r="N1352" s="72" t="str">
        <f t="shared" si="4"/>
        <v/>
      </c>
    </row>
    <row r="1353" ht="14.25" customHeight="1">
      <c r="B1353" s="66" t="str">
        <f>IF(ROWS($1:1341)&lt;=Nper,ROWS($1:1341),"")</f>
        <v/>
      </c>
      <c r="C1353" s="67" t="str">
        <f>IF($B1353="","",IF($E$7="Weekly",Start_Date+7*(ROWS($1:1341)-1),EDATE(Start_Date,VLOOKUP(IF(ASTemp!$E$7="","Monthly",ASTemp!$E$7),Parameters!$B$3:$D$6,3,0)*(ROWS($1:1341)-1))))</f>
        <v/>
      </c>
      <c r="D1353" s="68" t="str">
        <f t="shared" si="2"/>
        <v/>
      </c>
      <c r="E1353" s="65" t="str">
        <f>IF($B1353="","",VLOOKUP(MONTH(C1353),Parameters!$F$2:$G$13,2,0))</f>
        <v/>
      </c>
      <c r="F1353" s="69" t="str">
        <f>IF($B1353="","",PV-N(J1352))</f>
        <v/>
      </c>
      <c r="G1353" s="69" t="str">
        <f>IF($B1353="","",PMT(Rate,Nper,-PV,,Type))</f>
        <v/>
      </c>
      <c r="H1353" s="69" t="str">
        <f>IF($B1353="","",PPMT(Rate,ROWS($1:1341),Nper,-PV,,Type))</f>
        <v/>
      </c>
      <c r="I1353" s="69" t="str">
        <f>IF($B1353="","",IPMT(Rate,ROWS($1:1341),Nper,-PV,,Type))</f>
        <v/>
      </c>
      <c r="J1353" s="73" t="str">
        <f t="shared" ref="J1353:K1353" si="1343">IF($B1353="","",N(J1352)+N(H1353))</f>
        <v/>
      </c>
      <c r="K1353" s="74" t="str">
        <f t="shared" si="1343"/>
        <v/>
      </c>
      <c r="L1353" s="69" t="str">
        <f>IF($B1353="","",PV-J1353)</f>
        <v/>
      </c>
      <c r="M1353" s="71" t="str">
        <f>IF($B1353="","",J1353/PV)</f>
        <v/>
      </c>
      <c r="N1353" s="72" t="str">
        <f t="shared" si="4"/>
        <v/>
      </c>
    </row>
    <row r="1354" ht="14.25" customHeight="1">
      <c r="B1354" s="66" t="str">
        <f>IF(ROWS($1:1342)&lt;=Nper,ROWS($1:1342),"")</f>
        <v/>
      </c>
      <c r="C1354" s="67" t="str">
        <f>IF($B1354="","",IF($E$7="Weekly",Start_Date+7*(ROWS($1:1342)-1),EDATE(Start_Date,VLOOKUP(IF(ASTemp!$E$7="","Monthly",ASTemp!$E$7),Parameters!$B$3:$D$6,3,0)*(ROWS($1:1342)-1))))</f>
        <v/>
      </c>
      <c r="D1354" s="68" t="str">
        <f t="shared" si="2"/>
        <v/>
      </c>
      <c r="E1354" s="65" t="str">
        <f>IF($B1354="","",VLOOKUP(MONTH(C1354),Parameters!$F$2:$G$13,2,0))</f>
        <v/>
      </c>
      <c r="F1354" s="69" t="str">
        <f>IF($B1354="","",PV-N(J1353))</f>
        <v/>
      </c>
      <c r="G1354" s="69" t="str">
        <f>IF($B1354="","",PMT(Rate,Nper,-PV,,Type))</f>
        <v/>
      </c>
      <c r="H1354" s="69" t="str">
        <f>IF($B1354="","",PPMT(Rate,ROWS($1:1342),Nper,-PV,,Type))</f>
        <v/>
      </c>
      <c r="I1354" s="69" t="str">
        <f>IF($B1354="","",IPMT(Rate,ROWS($1:1342),Nper,-PV,,Type))</f>
        <v/>
      </c>
      <c r="J1354" s="73" t="str">
        <f t="shared" ref="J1354:K1354" si="1344">IF($B1354="","",N(J1353)+N(H1354))</f>
        <v/>
      </c>
      <c r="K1354" s="74" t="str">
        <f t="shared" si="1344"/>
        <v/>
      </c>
      <c r="L1354" s="69" t="str">
        <f>IF($B1354="","",PV-J1354)</f>
        <v/>
      </c>
      <c r="M1354" s="71" t="str">
        <f>IF($B1354="","",J1354/PV)</f>
        <v/>
      </c>
      <c r="N1354" s="72" t="str">
        <f t="shared" si="4"/>
        <v/>
      </c>
    </row>
    <row r="1355" ht="14.25" customHeight="1">
      <c r="B1355" s="66" t="str">
        <f>IF(ROWS($1:1343)&lt;=Nper,ROWS($1:1343),"")</f>
        <v/>
      </c>
      <c r="C1355" s="67" t="str">
        <f>IF($B1355="","",IF($E$7="Weekly",Start_Date+7*(ROWS($1:1343)-1),EDATE(Start_Date,VLOOKUP(IF(ASTemp!$E$7="","Monthly",ASTemp!$E$7),Parameters!$B$3:$D$6,3,0)*(ROWS($1:1343)-1))))</f>
        <v/>
      </c>
      <c r="D1355" s="68" t="str">
        <f t="shared" si="2"/>
        <v/>
      </c>
      <c r="E1355" s="65" t="str">
        <f>IF($B1355="","",VLOOKUP(MONTH(C1355),Parameters!$F$2:$G$13,2,0))</f>
        <v/>
      </c>
      <c r="F1355" s="69" t="str">
        <f>IF($B1355="","",PV-N(J1354))</f>
        <v/>
      </c>
      <c r="G1355" s="69" t="str">
        <f>IF($B1355="","",PMT(Rate,Nper,-PV,,Type))</f>
        <v/>
      </c>
      <c r="H1355" s="69" t="str">
        <f>IF($B1355="","",PPMT(Rate,ROWS($1:1343),Nper,-PV,,Type))</f>
        <v/>
      </c>
      <c r="I1355" s="69" t="str">
        <f>IF($B1355="","",IPMT(Rate,ROWS($1:1343),Nper,-PV,,Type))</f>
        <v/>
      </c>
      <c r="J1355" s="73" t="str">
        <f t="shared" ref="J1355:K1355" si="1345">IF($B1355="","",N(J1354)+N(H1355))</f>
        <v/>
      </c>
      <c r="K1355" s="74" t="str">
        <f t="shared" si="1345"/>
        <v/>
      </c>
      <c r="L1355" s="69" t="str">
        <f>IF($B1355="","",PV-J1355)</f>
        <v/>
      </c>
      <c r="M1355" s="71" t="str">
        <f>IF($B1355="","",J1355/PV)</f>
        <v/>
      </c>
      <c r="N1355" s="72" t="str">
        <f t="shared" si="4"/>
        <v/>
      </c>
    </row>
    <row r="1356" ht="14.25" customHeight="1">
      <c r="B1356" s="66" t="str">
        <f>IF(ROWS($1:1344)&lt;=Nper,ROWS($1:1344),"")</f>
        <v/>
      </c>
      <c r="C1356" s="67" t="str">
        <f>IF($B1356="","",IF($E$7="Weekly",Start_Date+7*(ROWS($1:1344)-1),EDATE(Start_Date,VLOOKUP(IF(ASTemp!$E$7="","Monthly",ASTemp!$E$7),Parameters!$B$3:$D$6,3,0)*(ROWS($1:1344)-1))))</f>
        <v/>
      </c>
      <c r="D1356" s="68" t="str">
        <f t="shared" si="2"/>
        <v/>
      </c>
      <c r="E1356" s="65" t="str">
        <f>IF($B1356="","",VLOOKUP(MONTH(C1356),Parameters!$F$2:$G$13,2,0))</f>
        <v/>
      </c>
      <c r="F1356" s="69" t="str">
        <f>IF($B1356="","",PV-N(J1355))</f>
        <v/>
      </c>
      <c r="G1356" s="69" t="str">
        <f>IF($B1356="","",PMT(Rate,Nper,-PV,,Type))</f>
        <v/>
      </c>
      <c r="H1356" s="69" t="str">
        <f>IF($B1356="","",PPMT(Rate,ROWS($1:1344),Nper,-PV,,Type))</f>
        <v/>
      </c>
      <c r="I1356" s="69" t="str">
        <f>IF($B1356="","",IPMT(Rate,ROWS($1:1344),Nper,-PV,,Type))</f>
        <v/>
      </c>
      <c r="J1356" s="73" t="str">
        <f t="shared" ref="J1356:K1356" si="1346">IF($B1356="","",N(J1355)+N(H1356))</f>
        <v/>
      </c>
      <c r="K1356" s="74" t="str">
        <f t="shared" si="1346"/>
        <v/>
      </c>
      <c r="L1356" s="69" t="str">
        <f>IF($B1356="","",PV-J1356)</f>
        <v/>
      </c>
      <c r="M1356" s="71" t="str">
        <f>IF($B1356="","",J1356/PV)</f>
        <v/>
      </c>
      <c r="N1356" s="72" t="str">
        <f t="shared" si="4"/>
        <v/>
      </c>
    </row>
    <row r="1357" ht="14.25" customHeight="1">
      <c r="B1357" s="66" t="str">
        <f>IF(ROWS($1:1345)&lt;=Nper,ROWS($1:1345),"")</f>
        <v/>
      </c>
      <c r="C1357" s="67" t="str">
        <f>IF($B1357="","",IF($E$7="Weekly",Start_Date+7*(ROWS($1:1345)-1),EDATE(Start_Date,VLOOKUP(IF(ASTemp!$E$7="","Monthly",ASTemp!$E$7),Parameters!$B$3:$D$6,3,0)*(ROWS($1:1345)-1))))</f>
        <v/>
      </c>
      <c r="D1357" s="68" t="str">
        <f t="shared" si="2"/>
        <v/>
      </c>
      <c r="E1357" s="65" t="str">
        <f>IF($B1357="","",VLOOKUP(MONTH(C1357),Parameters!$F$2:$G$13,2,0))</f>
        <v/>
      </c>
      <c r="F1357" s="69" t="str">
        <f>IF($B1357="","",PV-N(J1356))</f>
        <v/>
      </c>
      <c r="G1357" s="69" t="str">
        <f>IF($B1357="","",PMT(Rate,Nper,-PV,,Type))</f>
        <v/>
      </c>
      <c r="H1357" s="69" t="str">
        <f>IF($B1357="","",PPMT(Rate,ROWS($1:1345),Nper,-PV,,Type))</f>
        <v/>
      </c>
      <c r="I1357" s="69" t="str">
        <f>IF($B1357="","",IPMT(Rate,ROWS($1:1345),Nper,-PV,,Type))</f>
        <v/>
      </c>
      <c r="J1357" s="73" t="str">
        <f t="shared" ref="J1357:K1357" si="1347">IF($B1357="","",N(J1356)+N(H1357))</f>
        <v/>
      </c>
      <c r="K1357" s="74" t="str">
        <f t="shared" si="1347"/>
        <v/>
      </c>
      <c r="L1357" s="69" t="str">
        <f>IF($B1357="","",PV-J1357)</f>
        <v/>
      </c>
      <c r="M1357" s="71" t="str">
        <f>IF($B1357="","",J1357/PV)</f>
        <v/>
      </c>
      <c r="N1357" s="72" t="str">
        <f t="shared" si="4"/>
        <v/>
      </c>
    </row>
    <row r="1358" ht="14.25" customHeight="1">
      <c r="B1358" s="66" t="str">
        <f>IF(ROWS($1:1346)&lt;=Nper,ROWS($1:1346),"")</f>
        <v/>
      </c>
      <c r="C1358" s="67" t="str">
        <f>IF($B1358="","",IF($E$7="Weekly",Start_Date+7*(ROWS($1:1346)-1),EDATE(Start_Date,VLOOKUP(IF(ASTemp!$E$7="","Monthly",ASTemp!$E$7),Parameters!$B$3:$D$6,3,0)*(ROWS($1:1346)-1))))</f>
        <v/>
      </c>
      <c r="D1358" s="68" t="str">
        <f t="shared" si="2"/>
        <v/>
      </c>
      <c r="E1358" s="65" t="str">
        <f>IF($B1358="","",VLOOKUP(MONTH(C1358),Parameters!$F$2:$G$13,2,0))</f>
        <v/>
      </c>
      <c r="F1358" s="69" t="str">
        <f>IF($B1358="","",PV-N(J1357))</f>
        <v/>
      </c>
      <c r="G1358" s="69" t="str">
        <f>IF($B1358="","",PMT(Rate,Nper,-PV,,Type))</f>
        <v/>
      </c>
      <c r="H1358" s="69" t="str">
        <f>IF($B1358="","",PPMT(Rate,ROWS($1:1346),Nper,-PV,,Type))</f>
        <v/>
      </c>
      <c r="I1358" s="69" t="str">
        <f>IF($B1358="","",IPMT(Rate,ROWS($1:1346),Nper,-PV,,Type))</f>
        <v/>
      </c>
      <c r="J1358" s="73" t="str">
        <f t="shared" ref="J1358:K1358" si="1348">IF($B1358="","",N(J1357)+N(H1358))</f>
        <v/>
      </c>
      <c r="K1358" s="74" t="str">
        <f t="shared" si="1348"/>
        <v/>
      </c>
      <c r="L1358" s="69" t="str">
        <f>IF($B1358="","",PV-J1358)</f>
        <v/>
      </c>
      <c r="M1358" s="71" t="str">
        <f>IF($B1358="","",J1358/PV)</f>
        <v/>
      </c>
      <c r="N1358" s="72" t="str">
        <f t="shared" si="4"/>
        <v/>
      </c>
    </row>
    <row r="1359" ht="14.25" customHeight="1">
      <c r="B1359" s="66" t="str">
        <f>IF(ROWS($1:1347)&lt;=Nper,ROWS($1:1347),"")</f>
        <v/>
      </c>
      <c r="C1359" s="67" t="str">
        <f>IF($B1359="","",IF($E$7="Weekly",Start_Date+7*(ROWS($1:1347)-1),EDATE(Start_Date,VLOOKUP(IF(ASTemp!$E$7="","Monthly",ASTemp!$E$7),Parameters!$B$3:$D$6,3,0)*(ROWS($1:1347)-1))))</f>
        <v/>
      </c>
      <c r="D1359" s="68" t="str">
        <f t="shared" si="2"/>
        <v/>
      </c>
      <c r="E1359" s="65" t="str">
        <f>IF($B1359="","",VLOOKUP(MONTH(C1359),Parameters!$F$2:$G$13,2,0))</f>
        <v/>
      </c>
      <c r="F1359" s="69" t="str">
        <f>IF($B1359="","",PV-N(J1358))</f>
        <v/>
      </c>
      <c r="G1359" s="69" t="str">
        <f>IF($B1359="","",PMT(Rate,Nper,-PV,,Type))</f>
        <v/>
      </c>
      <c r="H1359" s="69" t="str">
        <f>IF($B1359="","",PPMT(Rate,ROWS($1:1347),Nper,-PV,,Type))</f>
        <v/>
      </c>
      <c r="I1359" s="69" t="str">
        <f>IF($B1359="","",IPMT(Rate,ROWS($1:1347),Nper,-PV,,Type))</f>
        <v/>
      </c>
      <c r="J1359" s="73" t="str">
        <f t="shared" ref="J1359:K1359" si="1349">IF($B1359="","",N(J1358)+N(H1359))</f>
        <v/>
      </c>
      <c r="K1359" s="74" t="str">
        <f t="shared" si="1349"/>
        <v/>
      </c>
      <c r="L1359" s="69" t="str">
        <f>IF($B1359="","",PV-J1359)</f>
        <v/>
      </c>
      <c r="M1359" s="71" t="str">
        <f>IF($B1359="","",J1359/PV)</f>
        <v/>
      </c>
      <c r="N1359" s="72" t="str">
        <f t="shared" si="4"/>
        <v/>
      </c>
    </row>
    <row r="1360" ht="14.25" customHeight="1">
      <c r="B1360" s="66" t="str">
        <f>IF(ROWS($1:1348)&lt;=Nper,ROWS($1:1348),"")</f>
        <v/>
      </c>
      <c r="C1360" s="67" t="str">
        <f>IF($B1360="","",IF($E$7="Weekly",Start_Date+7*(ROWS($1:1348)-1),EDATE(Start_Date,VLOOKUP(IF(ASTemp!$E$7="","Monthly",ASTemp!$E$7),Parameters!$B$3:$D$6,3,0)*(ROWS($1:1348)-1))))</f>
        <v/>
      </c>
      <c r="D1360" s="68" t="str">
        <f t="shared" si="2"/>
        <v/>
      </c>
      <c r="E1360" s="65" t="str">
        <f>IF($B1360="","",VLOOKUP(MONTH(C1360),Parameters!$F$2:$G$13,2,0))</f>
        <v/>
      </c>
      <c r="F1360" s="69" t="str">
        <f>IF($B1360="","",PV-N(J1359))</f>
        <v/>
      </c>
      <c r="G1360" s="69" t="str">
        <f>IF($B1360="","",PMT(Rate,Nper,-PV,,Type))</f>
        <v/>
      </c>
      <c r="H1360" s="69" t="str">
        <f>IF($B1360="","",PPMT(Rate,ROWS($1:1348),Nper,-PV,,Type))</f>
        <v/>
      </c>
      <c r="I1360" s="69" t="str">
        <f>IF($B1360="","",IPMT(Rate,ROWS($1:1348),Nper,-PV,,Type))</f>
        <v/>
      </c>
      <c r="J1360" s="73" t="str">
        <f t="shared" ref="J1360:K1360" si="1350">IF($B1360="","",N(J1359)+N(H1360))</f>
        <v/>
      </c>
      <c r="K1360" s="74" t="str">
        <f t="shared" si="1350"/>
        <v/>
      </c>
      <c r="L1360" s="69" t="str">
        <f>IF($B1360="","",PV-J1360)</f>
        <v/>
      </c>
      <c r="M1360" s="71" t="str">
        <f>IF($B1360="","",J1360/PV)</f>
        <v/>
      </c>
      <c r="N1360" s="72" t="str">
        <f t="shared" si="4"/>
        <v/>
      </c>
    </row>
    <row r="1361" ht="14.25" customHeight="1">
      <c r="B1361" s="66" t="str">
        <f>IF(ROWS($1:1349)&lt;=Nper,ROWS($1:1349),"")</f>
        <v/>
      </c>
      <c r="C1361" s="67" t="str">
        <f>IF($B1361="","",IF($E$7="Weekly",Start_Date+7*(ROWS($1:1349)-1),EDATE(Start_Date,VLOOKUP(IF(ASTemp!$E$7="","Monthly",ASTemp!$E$7),Parameters!$B$3:$D$6,3,0)*(ROWS($1:1349)-1))))</f>
        <v/>
      </c>
      <c r="D1361" s="68" t="str">
        <f t="shared" si="2"/>
        <v/>
      </c>
      <c r="E1361" s="65" t="str">
        <f>IF($B1361="","",VLOOKUP(MONTH(C1361),Parameters!$F$2:$G$13,2,0))</f>
        <v/>
      </c>
      <c r="F1361" s="69" t="str">
        <f>IF($B1361="","",PV-N(J1360))</f>
        <v/>
      </c>
      <c r="G1361" s="69" t="str">
        <f>IF($B1361="","",PMT(Rate,Nper,-PV,,Type))</f>
        <v/>
      </c>
      <c r="H1361" s="69" t="str">
        <f>IF($B1361="","",PPMT(Rate,ROWS($1:1349),Nper,-PV,,Type))</f>
        <v/>
      </c>
      <c r="I1361" s="69" t="str">
        <f>IF($B1361="","",IPMT(Rate,ROWS($1:1349),Nper,-PV,,Type))</f>
        <v/>
      </c>
      <c r="J1361" s="73" t="str">
        <f t="shared" ref="J1361:K1361" si="1351">IF($B1361="","",N(J1360)+N(H1361))</f>
        <v/>
      </c>
      <c r="K1361" s="74" t="str">
        <f t="shared" si="1351"/>
        <v/>
      </c>
      <c r="L1361" s="69" t="str">
        <f>IF($B1361="","",PV-J1361)</f>
        <v/>
      </c>
      <c r="M1361" s="71" t="str">
        <f>IF($B1361="","",J1361/PV)</f>
        <v/>
      </c>
      <c r="N1361" s="72" t="str">
        <f t="shared" si="4"/>
        <v/>
      </c>
    </row>
    <row r="1362" ht="14.25" customHeight="1">
      <c r="B1362" s="66" t="str">
        <f>IF(ROWS($1:1350)&lt;=Nper,ROWS($1:1350),"")</f>
        <v/>
      </c>
      <c r="C1362" s="67" t="str">
        <f>IF($B1362="","",IF($E$7="Weekly",Start_Date+7*(ROWS($1:1350)-1),EDATE(Start_Date,VLOOKUP(IF(ASTemp!$E$7="","Monthly",ASTemp!$E$7),Parameters!$B$3:$D$6,3,0)*(ROWS($1:1350)-1))))</f>
        <v/>
      </c>
      <c r="D1362" s="68" t="str">
        <f t="shared" si="2"/>
        <v/>
      </c>
      <c r="E1362" s="65" t="str">
        <f>IF($B1362="","",VLOOKUP(MONTH(C1362),Parameters!$F$2:$G$13,2,0))</f>
        <v/>
      </c>
      <c r="F1362" s="69" t="str">
        <f>IF($B1362="","",PV-N(J1361))</f>
        <v/>
      </c>
      <c r="G1362" s="69" t="str">
        <f>IF($B1362="","",PMT(Rate,Nper,-PV,,Type))</f>
        <v/>
      </c>
      <c r="H1362" s="69" t="str">
        <f>IF($B1362="","",PPMT(Rate,ROWS($1:1350),Nper,-PV,,Type))</f>
        <v/>
      </c>
      <c r="I1362" s="69" t="str">
        <f>IF($B1362="","",IPMT(Rate,ROWS($1:1350),Nper,-PV,,Type))</f>
        <v/>
      </c>
      <c r="J1362" s="73" t="str">
        <f t="shared" ref="J1362:K1362" si="1352">IF($B1362="","",N(J1361)+N(H1362))</f>
        <v/>
      </c>
      <c r="K1362" s="74" t="str">
        <f t="shared" si="1352"/>
        <v/>
      </c>
      <c r="L1362" s="69" t="str">
        <f>IF($B1362="","",PV-J1362)</f>
        <v/>
      </c>
      <c r="M1362" s="71" t="str">
        <f>IF($B1362="","",J1362/PV)</f>
        <v/>
      </c>
      <c r="N1362" s="72" t="str">
        <f t="shared" si="4"/>
        <v/>
      </c>
    </row>
    <row r="1363" ht="14.25" customHeight="1">
      <c r="B1363" s="66" t="str">
        <f>IF(ROWS($1:1351)&lt;=Nper,ROWS($1:1351),"")</f>
        <v/>
      </c>
      <c r="C1363" s="67" t="str">
        <f>IF($B1363="","",IF($E$7="Weekly",Start_Date+7*(ROWS($1:1351)-1),EDATE(Start_Date,VLOOKUP(IF(ASTemp!$E$7="","Monthly",ASTemp!$E$7),Parameters!$B$3:$D$6,3,0)*(ROWS($1:1351)-1))))</f>
        <v/>
      </c>
      <c r="D1363" s="68" t="str">
        <f t="shared" si="2"/>
        <v/>
      </c>
      <c r="E1363" s="65" t="str">
        <f>IF($B1363="","",VLOOKUP(MONTH(C1363),Parameters!$F$2:$G$13,2,0))</f>
        <v/>
      </c>
      <c r="F1363" s="69" t="str">
        <f>IF($B1363="","",PV-N(J1362))</f>
        <v/>
      </c>
      <c r="G1363" s="69" t="str">
        <f>IF($B1363="","",PMT(Rate,Nper,-PV,,Type))</f>
        <v/>
      </c>
      <c r="H1363" s="69" t="str">
        <f>IF($B1363="","",PPMT(Rate,ROWS($1:1351),Nper,-PV,,Type))</f>
        <v/>
      </c>
      <c r="I1363" s="69" t="str">
        <f>IF($B1363="","",IPMT(Rate,ROWS($1:1351),Nper,-PV,,Type))</f>
        <v/>
      </c>
      <c r="J1363" s="73" t="str">
        <f t="shared" ref="J1363:K1363" si="1353">IF($B1363="","",N(J1362)+N(H1363))</f>
        <v/>
      </c>
      <c r="K1363" s="74" t="str">
        <f t="shared" si="1353"/>
        <v/>
      </c>
      <c r="L1363" s="69" t="str">
        <f>IF($B1363="","",PV-J1363)</f>
        <v/>
      </c>
      <c r="M1363" s="71" t="str">
        <f>IF($B1363="","",J1363/PV)</f>
        <v/>
      </c>
      <c r="N1363" s="72" t="str">
        <f t="shared" si="4"/>
        <v/>
      </c>
    </row>
    <row r="1364" ht="14.25" customHeight="1">
      <c r="B1364" s="66" t="str">
        <f>IF(ROWS($1:1352)&lt;=Nper,ROWS($1:1352),"")</f>
        <v/>
      </c>
      <c r="C1364" s="67" t="str">
        <f>IF($B1364="","",IF($E$7="Weekly",Start_Date+7*(ROWS($1:1352)-1),EDATE(Start_Date,VLOOKUP(IF(ASTemp!$E$7="","Monthly",ASTemp!$E$7),Parameters!$B$3:$D$6,3,0)*(ROWS($1:1352)-1))))</f>
        <v/>
      </c>
      <c r="D1364" s="68" t="str">
        <f t="shared" si="2"/>
        <v/>
      </c>
      <c r="E1364" s="65" t="str">
        <f>IF($B1364="","",VLOOKUP(MONTH(C1364),Parameters!$F$2:$G$13,2,0))</f>
        <v/>
      </c>
      <c r="F1364" s="69" t="str">
        <f>IF($B1364="","",PV-N(J1363))</f>
        <v/>
      </c>
      <c r="G1364" s="69" t="str">
        <f>IF($B1364="","",PMT(Rate,Nper,-PV,,Type))</f>
        <v/>
      </c>
      <c r="H1364" s="69" t="str">
        <f>IF($B1364="","",PPMT(Rate,ROWS($1:1352),Nper,-PV,,Type))</f>
        <v/>
      </c>
      <c r="I1364" s="69" t="str">
        <f>IF($B1364="","",IPMT(Rate,ROWS($1:1352),Nper,-PV,,Type))</f>
        <v/>
      </c>
      <c r="J1364" s="73" t="str">
        <f t="shared" ref="J1364:K1364" si="1354">IF($B1364="","",N(J1363)+N(H1364))</f>
        <v/>
      </c>
      <c r="K1364" s="74" t="str">
        <f t="shared" si="1354"/>
        <v/>
      </c>
      <c r="L1364" s="69" t="str">
        <f>IF($B1364="","",PV-J1364)</f>
        <v/>
      </c>
      <c r="M1364" s="71" t="str">
        <f>IF($B1364="","",J1364/PV)</f>
        <v/>
      </c>
      <c r="N1364" s="72" t="str">
        <f t="shared" si="4"/>
        <v/>
      </c>
    </row>
    <row r="1365" ht="14.25" customHeight="1">
      <c r="B1365" s="66" t="str">
        <f>IF(ROWS($1:1353)&lt;=Nper,ROWS($1:1353),"")</f>
        <v/>
      </c>
      <c r="C1365" s="67" t="str">
        <f>IF($B1365="","",IF($E$7="Weekly",Start_Date+7*(ROWS($1:1353)-1),EDATE(Start_Date,VLOOKUP(IF(ASTemp!$E$7="","Monthly",ASTemp!$E$7),Parameters!$B$3:$D$6,3,0)*(ROWS($1:1353)-1))))</f>
        <v/>
      </c>
      <c r="D1365" s="68" t="str">
        <f t="shared" si="2"/>
        <v/>
      </c>
      <c r="E1365" s="65" t="str">
        <f>IF($B1365="","",VLOOKUP(MONTH(C1365),Parameters!$F$2:$G$13,2,0))</f>
        <v/>
      </c>
      <c r="F1365" s="69" t="str">
        <f>IF($B1365="","",PV-N(J1364))</f>
        <v/>
      </c>
      <c r="G1365" s="69" t="str">
        <f>IF($B1365="","",PMT(Rate,Nper,-PV,,Type))</f>
        <v/>
      </c>
      <c r="H1365" s="69" t="str">
        <f>IF($B1365="","",PPMT(Rate,ROWS($1:1353),Nper,-PV,,Type))</f>
        <v/>
      </c>
      <c r="I1365" s="69" t="str">
        <f>IF($B1365="","",IPMT(Rate,ROWS($1:1353),Nper,-PV,,Type))</f>
        <v/>
      </c>
      <c r="J1365" s="73" t="str">
        <f t="shared" ref="J1365:K1365" si="1355">IF($B1365="","",N(J1364)+N(H1365))</f>
        <v/>
      </c>
      <c r="K1365" s="74" t="str">
        <f t="shared" si="1355"/>
        <v/>
      </c>
      <c r="L1365" s="69" t="str">
        <f>IF($B1365="","",PV-J1365)</f>
        <v/>
      </c>
      <c r="M1365" s="71" t="str">
        <f>IF($B1365="","",J1365/PV)</f>
        <v/>
      </c>
      <c r="N1365" s="72" t="str">
        <f t="shared" si="4"/>
        <v/>
      </c>
    </row>
    <row r="1366" ht="14.25" customHeight="1">
      <c r="B1366" s="66" t="str">
        <f>IF(ROWS($1:1354)&lt;=Nper,ROWS($1:1354),"")</f>
        <v/>
      </c>
      <c r="C1366" s="67" t="str">
        <f>IF($B1366="","",IF($E$7="Weekly",Start_Date+7*(ROWS($1:1354)-1),EDATE(Start_Date,VLOOKUP(IF(ASTemp!$E$7="","Monthly",ASTemp!$E$7),Parameters!$B$3:$D$6,3,0)*(ROWS($1:1354)-1))))</f>
        <v/>
      </c>
      <c r="D1366" s="68" t="str">
        <f t="shared" si="2"/>
        <v/>
      </c>
      <c r="E1366" s="65" t="str">
        <f>IF($B1366="","",VLOOKUP(MONTH(C1366),Parameters!$F$2:$G$13,2,0))</f>
        <v/>
      </c>
      <c r="F1366" s="69" t="str">
        <f>IF($B1366="","",PV-N(J1365))</f>
        <v/>
      </c>
      <c r="G1366" s="69" t="str">
        <f>IF($B1366="","",PMT(Rate,Nper,-PV,,Type))</f>
        <v/>
      </c>
      <c r="H1366" s="69" t="str">
        <f>IF($B1366="","",PPMT(Rate,ROWS($1:1354),Nper,-PV,,Type))</f>
        <v/>
      </c>
      <c r="I1366" s="69" t="str">
        <f>IF($B1366="","",IPMT(Rate,ROWS($1:1354),Nper,-PV,,Type))</f>
        <v/>
      </c>
      <c r="J1366" s="73" t="str">
        <f t="shared" ref="J1366:K1366" si="1356">IF($B1366="","",N(J1365)+N(H1366))</f>
        <v/>
      </c>
      <c r="K1366" s="74" t="str">
        <f t="shared" si="1356"/>
        <v/>
      </c>
      <c r="L1366" s="69" t="str">
        <f>IF($B1366="","",PV-J1366)</f>
        <v/>
      </c>
      <c r="M1366" s="71" t="str">
        <f>IF($B1366="","",J1366/PV)</f>
        <v/>
      </c>
      <c r="N1366" s="72" t="str">
        <f t="shared" si="4"/>
        <v/>
      </c>
    </row>
    <row r="1367" ht="14.25" customHeight="1">
      <c r="B1367" s="66" t="str">
        <f>IF(ROWS($1:1355)&lt;=Nper,ROWS($1:1355),"")</f>
        <v/>
      </c>
      <c r="C1367" s="67" t="str">
        <f>IF($B1367="","",IF($E$7="Weekly",Start_Date+7*(ROWS($1:1355)-1),EDATE(Start_Date,VLOOKUP(IF(ASTemp!$E$7="","Monthly",ASTemp!$E$7),Parameters!$B$3:$D$6,3,0)*(ROWS($1:1355)-1))))</f>
        <v/>
      </c>
      <c r="D1367" s="68" t="str">
        <f t="shared" si="2"/>
        <v/>
      </c>
      <c r="E1367" s="65" t="str">
        <f>IF($B1367="","",VLOOKUP(MONTH(C1367),Parameters!$F$2:$G$13,2,0))</f>
        <v/>
      </c>
      <c r="F1367" s="69" t="str">
        <f>IF($B1367="","",PV-N(J1366))</f>
        <v/>
      </c>
      <c r="G1367" s="69" t="str">
        <f>IF($B1367="","",PMT(Rate,Nper,-PV,,Type))</f>
        <v/>
      </c>
      <c r="H1367" s="69" t="str">
        <f>IF($B1367="","",PPMT(Rate,ROWS($1:1355),Nper,-PV,,Type))</f>
        <v/>
      </c>
      <c r="I1367" s="69" t="str">
        <f>IF($B1367="","",IPMT(Rate,ROWS($1:1355),Nper,-PV,,Type))</f>
        <v/>
      </c>
      <c r="J1367" s="73" t="str">
        <f t="shared" ref="J1367:K1367" si="1357">IF($B1367="","",N(J1366)+N(H1367))</f>
        <v/>
      </c>
      <c r="K1367" s="74" t="str">
        <f t="shared" si="1357"/>
        <v/>
      </c>
      <c r="L1367" s="69" t="str">
        <f>IF($B1367="","",PV-J1367)</f>
        <v/>
      </c>
      <c r="M1367" s="71" t="str">
        <f>IF($B1367="","",J1367/PV)</f>
        <v/>
      </c>
      <c r="N1367" s="72" t="str">
        <f t="shared" si="4"/>
        <v/>
      </c>
    </row>
    <row r="1368" ht="14.25" customHeight="1">
      <c r="B1368" s="66" t="str">
        <f>IF(ROWS($1:1356)&lt;=Nper,ROWS($1:1356),"")</f>
        <v/>
      </c>
      <c r="C1368" s="67" t="str">
        <f>IF($B1368="","",IF($E$7="Weekly",Start_Date+7*(ROWS($1:1356)-1),EDATE(Start_Date,VLOOKUP(IF(ASTemp!$E$7="","Monthly",ASTemp!$E$7),Parameters!$B$3:$D$6,3,0)*(ROWS($1:1356)-1))))</f>
        <v/>
      </c>
      <c r="D1368" s="68" t="str">
        <f t="shared" si="2"/>
        <v/>
      </c>
      <c r="E1368" s="65" t="str">
        <f>IF($B1368="","",VLOOKUP(MONTH(C1368),Parameters!$F$2:$G$13,2,0))</f>
        <v/>
      </c>
      <c r="F1368" s="69" t="str">
        <f>IF($B1368="","",PV-N(J1367))</f>
        <v/>
      </c>
      <c r="G1368" s="69" t="str">
        <f>IF($B1368="","",PMT(Rate,Nper,-PV,,Type))</f>
        <v/>
      </c>
      <c r="H1368" s="69" t="str">
        <f>IF($B1368="","",PPMT(Rate,ROWS($1:1356),Nper,-PV,,Type))</f>
        <v/>
      </c>
      <c r="I1368" s="69" t="str">
        <f>IF($B1368="","",IPMT(Rate,ROWS($1:1356),Nper,-PV,,Type))</f>
        <v/>
      </c>
      <c r="J1368" s="73" t="str">
        <f t="shared" ref="J1368:K1368" si="1358">IF($B1368="","",N(J1367)+N(H1368))</f>
        <v/>
      </c>
      <c r="K1368" s="74" t="str">
        <f t="shared" si="1358"/>
        <v/>
      </c>
      <c r="L1368" s="69" t="str">
        <f>IF($B1368="","",PV-J1368)</f>
        <v/>
      </c>
      <c r="M1368" s="71" t="str">
        <f>IF($B1368="","",J1368/PV)</f>
        <v/>
      </c>
      <c r="N1368" s="72" t="str">
        <f t="shared" si="4"/>
        <v/>
      </c>
    </row>
    <row r="1369" ht="14.25" customHeight="1">
      <c r="B1369" s="66" t="str">
        <f>IF(ROWS($1:1357)&lt;=Nper,ROWS($1:1357),"")</f>
        <v/>
      </c>
      <c r="C1369" s="67" t="str">
        <f>IF($B1369="","",IF($E$7="Weekly",Start_Date+7*(ROWS($1:1357)-1),EDATE(Start_Date,VLOOKUP(IF(ASTemp!$E$7="","Monthly",ASTemp!$E$7),Parameters!$B$3:$D$6,3,0)*(ROWS($1:1357)-1))))</f>
        <v/>
      </c>
      <c r="D1369" s="68" t="str">
        <f t="shared" si="2"/>
        <v/>
      </c>
      <c r="E1369" s="65" t="str">
        <f>IF($B1369="","",VLOOKUP(MONTH(C1369),Parameters!$F$2:$G$13,2,0))</f>
        <v/>
      </c>
      <c r="F1369" s="69" t="str">
        <f>IF($B1369="","",PV-N(J1368))</f>
        <v/>
      </c>
      <c r="G1369" s="69" t="str">
        <f>IF($B1369="","",PMT(Rate,Nper,-PV,,Type))</f>
        <v/>
      </c>
      <c r="H1369" s="69" t="str">
        <f>IF($B1369="","",PPMT(Rate,ROWS($1:1357),Nper,-PV,,Type))</f>
        <v/>
      </c>
      <c r="I1369" s="69" t="str">
        <f>IF($B1369="","",IPMT(Rate,ROWS($1:1357),Nper,-PV,,Type))</f>
        <v/>
      </c>
      <c r="J1369" s="73" t="str">
        <f t="shared" ref="J1369:K1369" si="1359">IF($B1369="","",N(J1368)+N(H1369))</f>
        <v/>
      </c>
      <c r="K1369" s="74" t="str">
        <f t="shared" si="1359"/>
        <v/>
      </c>
      <c r="L1369" s="69" t="str">
        <f>IF($B1369="","",PV-J1369)</f>
        <v/>
      </c>
      <c r="M1369" s="71" t="str">
        <f>IF($B1369="","",J1369/PV)</f>
        <v/>
      </c>
      <c r="N1369" s="72" t="str">
        <f t="shared" si="4"/>
        <v/>
      </c>
    </row>
    <row r="1370" ht="14.25" customHeight="1">
      <c r="B1370" s="66" t="str">
        <f>IF(ROWS($1:1358)&lt;=Nper,ROWS($1:1358),"")</f>
        <v/>
      </c>
      <c r="C1370" s="67" t="str">
        <f>IF($B1370="","",IF($E$7="Weekly",Start_Date+7*(ROWS($1:1358)-1),EDATE(Start_Date,VLOOKUP(IF(ASTemp!$E$7="","Monthly",ASTemp!$E$7),Parameters!$B$3:$D$6,3,0)*(ROWS($1:1358)-1))))</f>
        <v/>
      </c>
      <c r="D1370" s="68" t="str">
        <f t="shared" si="2"/>
        <v/>
      </c>
      <c r="E1370" s="65" t="str">
        <f>IF($B1370="","",VLOOKUP(MONTH(C1370),Parameters!$F$2:$G$13,2,0))</f>
        <v/>
      </c>
      <c r="F1370" s="69" t="str">
        <f>IF($B1370="","",PV-N(J1369))</f>
        <v/>
      </c>
      <c r="G1370" s="69" t="str">
        <f>IF($B1370="","",PMT(Rate,Nper,-PV,,Type))</f>
        <v/>
      </c>
      <c r="H1370" s="69" t="str">
        <f>IF($B1370="","",PPMT(Rate,ROWS($1:1358),Nper,-PV,,Type))</f>
        <v/>
      </c>
      <c r="I1370" s="69" t="str">
        <f>IF($B1370="","",IPMT(Rate,ROWS($1:1358),Nper,-PV,,Type))</f>
        <v/>
      </c>
      <c r="J1370" s="73" t="str">
        <f t="shared" ref="J1370:K1370" si="1360">IF($B1370="","",N(J1369)+N(H1370))</f>
        <v/>
      </c>
      <c r="K1370" s="74" t="str">
        <f t="shared" si="1360"/>
        <v/>
      </c>
      <c r="L1370" s="69" t="str">
        <f>IF($B1370="","",PV-J1370)</f>
        <v/>
      </c>
      <c r="M1370" s="71" t="str">
        <f>IF($B1370="","",J1370/PV)</f>
        <v/>
      </c>
      <c r="N1370" s="72" t="str">
        <f t="shared" si="4"/>
        <v/>
      </c>
    </row>
    <row r="1371" ht="14.25" customHeight="1">
      <c r="B1371" s="66" t="str">
        <f>IF(ROWS($1:1359)&lt;=Nper,ROWS($1:1359),"")</f>
        <v/>
      </c>
      <c r="C1371" s="67" t="str">
        <f>IF($B1371="","",IF($E$7="Weekly",Start_Date+7*(ROWS($1:1359)-1),EDATE(Start_Date,VLOOKUP(IF(ASTemp!$E$7="","Monthly",ASTemp!$E$7),Parameters!$B$3:$D$6,3,0)*(ROWS($1:1359)-1))))</f>
        <v/>
      </c>
      <c r="D1371" s="68" t="str">
        <f t="shared" si="2"/>
        <v/>
      </c>
      <c r="E1371" s="65" t="str">
        <f>IF($B1371="","",VLOOKUP(MONTH(C1371),Parameters!$F$2:$G$13,2,0))</f>
        <v/>
      </c>
      <c r="F1371" s="69" t="str">
        <f>IF($B1371="","",PV-N(J1370))</f>
        <v/>
      </c>
      <c r="G1371" s="69" t="str">
        <f>IF($B1371="","",PMT(Rate,Nper,-PV,,Type))</f>
        <v/>
      </c>
      <c r="H1371" s="69" t="str">
        <f>IF($B1371="","",PPMT(Rate,ROWS($1:1359),Nper,-PV,,Type))</f>
        <v/>
      </c>
      <c r="I1371" s="69" t="str">
        <f>IF($B1371="","",IPMT(Rate,ROWS($1:1359),Nper,-PV,,Type))</f>
        <v/>
      </c>
      <c r="J1371" s="73" t="str">
        <f t="shared" ref="J1371:K1371" si="1361">IF($B1371="","",N(J1370)+N(H1371))</f>
        <v/>
      </c>
      <c r="K1371" s="74" t="str">
        <f t="shared" si="1361"/>
        <v/>
      </c>
      <c r="L1371" s="69" t="str">
        <f>IF($B1371="","",PV-J1371)</f>
        <v/>
      </c>
      <c r="M1371" s="71" t="str">
        <f>IF($B1371="","",J1371/PV)</f>
        <v/>
      </c>
      <c r="N1371" s="72" t="str">
        <f t="shared" si="4"/>
        <v/>
      </c>
    </row>
    <row r="1372" ht="14.25" customHeight="1">
      <c r="B1372" s="66" t="str">
        <f>IF(ROWS($1:1360)&lt;=Nper,ROWS($1:1360),"")</f>
        <v/>
      </c>
      <c r="C1372" s="67" t="str">
        <f>IF($B1372="","",IF($E$7="Weekly",Start_Date+7*(ROWS($1:1360)-1),EDATE(Start_Date,VLOOKUP(IF(ASTemp!$E$7="","Monthly",ASTemp!$E$7),Parameters!$B$3:$D$6,3,0)*(ROWS($1:1360)-1))))</f>
        <v/>
      </c>
      <c r="D1372" s="68" t="str">
        <f t="shared" si="2"/>
        <v/>
      </c>
      <c r="E1372" s="65" t="str">
        <f>IF($B1372="","",VLOOKUP(MONTH(C1372),Parameters!$F$2:$G$13,2,0))</f>
        <v/>
      </c>
      <c r="F1372" s="69" t="str">
        <f>IF($B1372="","",PV-N(J1371))</f>
        <v/>
      </c>
      <c r="G1372" s="69" t="str">
        <f>IF($B1372="","",PMT(Rate,Nper,-PV,,Type))</f>
        <v/>
      </c>
      <c r="H1372" s="69" t="str">
        <f>IF($B1372="","",PPMT(Rate,ROWS($1:1360),Nper,-PV,,Type))</f>
        <v/>
      </c>
      <c r="I1372" s="69" t="str">
        <f>IF($B1372="","",IPMT(Rate,ROWS($1:1360),Nper,-PV,,Type))</f>
        <v/>
      </c>
      <c r="J1372" s="73" t="str">
        <f t="shared" ref="J1372:K1372" si="1362">IF($B1372="","",N(J1371)+N(H1372))</f>
        <v/>
      </c>
      <c r="K1372" s="74" t="str">
        <f t="shared" si="1362"/>
        <v/>
      </c>
      <c r="L1372" s="69" t="str">
        <f>IF($B1372="","",PV-J1372)</f>
        <v/>
      </c>
      <c r="M1372" s="71" t="str">
        <f>IF($B1372="","",J1372/PV)</f>
        <v/>
      </c>
      <c r="N1372" s="72" t="str">
        <f t="shared" si="4"/>
        <v/>
      </c>
    </row>
    <row r="1373" ht="14.25" customHeight="1">
      <c r="B1373" s="66" t="str">
        <f>IF(ROWS($1:1361)&lt;=Nper,ROWS($1:1361),"")</f>
        <v/>
      </c>
      <c r="C1373" s="67" t="str">
        <f>IF($B1373="","",IF($E$7="Weekly",Start_Date+7*(ROWS($1:1361)-1),EDATE(Start_Date,VLOOKUP(IF(ASTemp!$E$7="","Monthly",ASTemp!$E$7),Parameters!$B$3:$D$6,3,0)*(ROWS($1:1361)-1))))</f>
        <v/>
      </c>
      <c r="D1373" s="68" t="str">
        <f t="shared" si="2"/>
        <v/>
      </c>
      <c r="E1373" s="65" t="str">
        <f>IF($B1373="","",VLOOKUP(MONTH(C1373),Parameters!$F$2:$G$13,2,0))</f>
        <v/>
      </c>
      <c r="F1373" s="69" t="str">
        <f>IF($B1373="","",PV-N(J1372))</f>
        <v/>
      </c>
      <c r="G1373" s="69" t="str">
        <f>IF($B1373="","",PMT(Rate,Nper,-PV,,Type))</f>
        <v/>
      </c>
      <c r="H1373" s="69" t="str">
        <f>IF($B1373="","",PPMT(Rate,ROWS($1:1361),Nper,-PV,,Type))</f>
        <v/>
      </c>
      <c r="I1373" s="69" t="str">
        <f>IF($B1373="","",IPMT(Rate,ROWS($1:1361),Nper,-PV,,Type))</f>
        <v/>
      </c>
      <c r="J1373" s="73" t="str">
        <f t="shared" ref="J1373:K1373" si="1363">IF($B1373="","",N(J1372)+N(H1373))</f>
        <v/>
      </c>
      <c r="K1373" s="74" t="str">
        <f t="shared" si="1363"/>
        <v/>
      </c>
      <c r="L1373" s="69" t="str">
        <f>IF($B1373="","",PV-J1373)</f>
        <v/>
      </c>
      <c r="M1373" s="71" t="str">
        <f>IF($B1373="","",J1373/PV)</f>
        <v/>
      </c>
      <c r="N1373" s="72" t="str">
        <f t="shared" si="4"/>
        <v/>
      </c>
    </row>
    <row r="1374" ht="14.25" customHeight="1">
      <c r="B1374" s="66" t="str">
        <f>IF(ROWS($1:1362)&lt;=Nper,ROWS($1:1362),"")</f>
        <v/>
      </c>
      <c r="C1374" s="67" t="str">
        <f>IF($B1374="","",IF($E$7="Weekly",Start_Date+7*(ROWS($1:1362)-1),EDATE(Start_Date,VLOOKUP(IF(ASTemp!$E$7="","Monthly",ASTemp!$E$7),Parameters!$B$3:$D$6,3,0)*(ROWS($1:1362)-1))))</f>
        <v/>
      </c>
      <c r="D1374" s="68" t="str">
        <f t="shared" si="2"/>
        <v/>
      </c>
      <c r="E1374" s="65" t="str">
        <f>IF($B1374="","",VLOOKUP(MONTH(C1374),Parameters!$F$2:$G$13,2,0))</f>
        <v/>
      </c>
      <c r="F1374" s="69" t="str">
        <f>IF($B1374="","",PV-N(J1373))</f>
        <v/>
      </c>
      <c r="G1374" s="69" t="str">
        <f>IF($B1374="","",PMT(Rate,Nper,-PV,,Type))</f>
        <v/>
      </c>
      <c r="H1374" s="69" t="str">
        <f>IF($B1374="","",PPMT(Rate,ROWS($1:1362),Nper,-PV,,Type))</f>
        <v/>
      </c>
      <c r="I1374" s="69" t="str">
        <f>IF($B1374="","",IPMT(Rate,ROWS($1:1362),Nper,-PV,,Type))</f>
        <v/>
      </c>
      <c r="J1374" s="73" t="str">
        <f t="shared" ref="J1374:K1374" si="1364">IF($B1374="","",N(J1373)+N(H1374))</f>
        <v/>
      </c>
      <c r="K1374" s="74" t="str">
        <f t="shared" si="1364"/>
        <v/>
      </c>
      <c r="L1374" s="69" t="str">
        <f>IF($B1374="","",PV-J1374)</f>
        <v/>
      </c>
      <c r="M1374" s="71" t="str">
        <f>IF($B1374="","",J1374/PV)</f>
        <v/>
      </c>
      <c r="N1374" s="72" t="str">
        <f t="shared" si="4"/>
        <v/>
      </c>
    </row>
    <row r="1375" ht="14.25" customHeight="1">
      <c r="B1375" s="66" t="str">
        <f>IF(ROWS($1:1363)&lt;=Nper,ROWS($1:1363),"")</f>
        <v/>
      </c>
      <c r="C1375" s="67" t="str">
        <f>IF($B1375="","",IF($E$7="Weekly",Start_Date+7*(ROWS($1:1363)-1),EDATE(Start_Date,VLOOKUP(IF(ASTemp!$E$7="","Monthly",ASTemp!$E$7),Parameters!$B$3:$D$6,3,0)*(ROWS($1:1363)-1))))</f>
        <v/>
      </c>
      <c r="D1375" s="68" t="str">
        <f t="shared" si="2"/>
        <v/>
      </c>
      <c r="E1375" s="65" t="str">
        <f>IF($B1375="","",VLOOKUP(MONTH(C1375),Parameters!$F$2:$G$13,2,0))</f>
        <v/>
      </c>
      <c r="F1375" s="69" t="str">
        <f>IF($B1375="","",PV-N(J1374))</f>
        <v/>
      </c>
      <c r="G1375" s="69" t="str">
        <f>IF($B1375="","",PMT(Rate,Nper,-PV,,Type))</f>
        <v/>
      </c>
      <c r="H1375" s="69" t="str">
        <f>IF($B1375="","",PPMT(Rate,ROWS($1:1363),Nper,-PV,,Type))</f>
        <v/>
      </c>
      <c r="I1375" s="69" t="str">
        <f>IF($B1375="","",IPMT(Rate,ROWS($1:1363),Nper,-PV,,Type))</f>
        <v/>
      </c>
      <c r="J1375" s="73" t="str">
        <f t="shared" ref="J1375:K1375" si="1365">IF($B1375="","",N(J1374)+N(H1375))</f>
        <v/>
      </c>
      <c r="K1375" s="74" t="str">
        <f t="shared" si="1365"/>
        <v/>
      </c>
      <c r="L1375" s="69" t="str">
        <f>IF($B1375="","",PV-J1375)</f>
        <v/>
      </c>
      <c r="M1375" s="71" t="str">
        <f>IF($B1375="","",J1375/PV)</f>
        <v/>
      </c>
      <c r="N1375" s="72" t="str">
        <f t="shared" si="4"/>
        <v/>
      </c>
    </row>
    <row r="1376" ht="14.25" customHeight="1">
      <c r="B1376" s="66" t="str">
        <f>IF(ROWS($1:1364)&lt;=Nper,ROWS($1:1364),"")</f>
        <v/>
      </c>
      <c r="C1376" s="67" t="str">
        <f>IF($B1376="","",IF($E$7="Weekly",Start_Date+7*(ROWS($1:1364)-1),EDATE(Start_Date,VLOOKUP(IF(ASTemp!$E$7="","Monthly",ASTemp!$E$7),Parameters!$B$3:$D$6,3,0)*(ROWS($1:1364)-1))))</f>
        <v/>
      </c>
      <c r="D1376" s="68" t="str">
        <f t="shared" si="2"/>
        <v/>
      </c>
      <c r="E1376" s="65" t="str">
        <f>IF($B1376="","",VLOOKUP(MONTH(C1376),Parameters!$F$2:$G$13,2,0))</f>
        <v/>
      </c>
      <c r="F1376" s="69" t="str">
        <f>IF($B1376="","",PV-N(J1375))</f>
        <v/>
      </c>
      <c r="G1376" s="69" t="str">
        <f>IF($B1376="","",PMT(Rate,Nper,-PV,,Type))</f>
        <v/>
      </c>
      <c r="H1376" s="69" t="str">
        <f>IF($B1376="","",PPMT(Rate,ROWS($1:1364),Nper,-PV,,Type))</f>
        <v/>
      </c>
      <c r="I1376" s="69" t="str">
        <f>IF($B1376="","",IPMT(Rate,ROWS($1:1364),Nper,-PV,,Type))</f>
        <v/>
      </c>
      <c r="J1376" s="73" t="str">
        <f t="shared" ref="J1376:K1376" si="1366">IF($B1376="","",N(J1375)+N(H1376))</f>
        <v/>
      </c>
      <c r="K1376" s="74" t="str">
        <f t="shared" si="1366"/>
        <v/>
      </c>
      <c r="L1376" s="69" t="str">
        <f>IF($B1376="","",PV-J1376)</f>
        <v/>
      </c>
      <c r="M1376" s="71" t="str">
        <f>IF($B1376="","",J1376/PV)</f>
        <v/>
      </c>
      <c r="N1376" s="72" t="str">
        <f t="shared" si="4"/>
        <v/>
      </c>
    </row>
    <row r="1377" ht="14.25" customHeight="1">
      <c r="B1377" s="66" t="str">
        <f>IF(ROWS($1:1365)&lt;=Nper,ROWS($1:1365),"")</f>
        <v/>
      </c>
      <c r="C1377" s="67" t="str">
        <f>IF($B1377="","",IF($E$7="Weekly",Start_Date+7*(ROWS($1:1365)-1),EDATE(Start_Date,VLOOKUP(IF(ASTemp!$E$7="","Monthly",ASTemp!$E$7),Parameters!$B$3:$D$6,3,0)*(ROWS($1:1365)-1))))</f>
        <v/>
      </c>
      <c r="D1377" s="68" t="str">
        <f t="shared" si="2"/>
        <v/>
      </c>
      <c r="E1377" s="65" t="str">
        <f>IF($B1377="","",VLOOKUP(MONTH(C1377),Parameters!$F$2:$G$13,2,0))</f>
        <v/>
      </c>
      <c r="F1377" s="69" t="str">
        <f>IF($B1377="","",PV-N(J1376))</f>
        <v/>
      </c>
      <c r="G1377" s="69" t="str">
        <f>IF($B1377="","",PMT(Rate,Nper,-PV,,Type))</f>
        <v/>
      </c>
      <c r="H1377" s="69" t="str">
        <f>IF($B1377="","",PPMT(Rate,ROWS($1:1365),Nper,-PV,,Type))</f>
        <v/>
      </c>
      <c r="I1377" s="69" t="str">
        <f>IF($B1377="","",IPMT(Rate,ROWS($1:1365),Nper,-PV,,Type))</f>
        <v/>
      </c>
      <c r="J1377" s="73" t="str">
        <f t="shared" ref="J1377:K1377" si="1367">IF($B1377="","",N(J1376)+N(H1377))</f>
        <v/>
      </c>
      <c r="K1377" s="74" t="str">
        <f t="shared" si="1367"/>
        <v/>
      </c>
      <c r="L1377" s="69" t="str">
        <f>IF($B1377="","",PV-J1377)</f>
        <v/>
      </c>
      <c r="M1377" s="71" t="str">
        <f>IF($B1377="","",J1377/PV)</f>
        <v/>
      </c>
      <c r="N1377" s="72" t="str">
        <f t="shared" si="4"/>
        <v/>
      </c>
    </row>
    <row r="1378" ht="14.25" customHeight="1">
      <c r="B1378" s="66" t="str">
        <f>IF(ROWS($1:1366)&lt;=Nper,ROWS($1:1366),"")</f>
        <v/>
      </c>
      <c r="C1378" s="67" t="str">
        <f>IF($B1378="","",IF($E$7="Weekly",Start_Date+7*(ROWS($1:1366)-1),EDATE(Start_Date,VLOOKUP(IF(ASTemp!$E$7="","Monthly",ASTemp!$E$7),Parameters!$B$3:$D$6,3,0)*(ROWS($1:1366)-1))))</f>
        <v/>
      </c>
      <c r="D1378" s="68" t="str">
        <f t="shared" si="2"/>
        <v/>
      </c>
      <c r="E1378" s="65" t="str">
        <f>IF($B1378="","",VLOOKUP(MONTH(C1378),Parameters!$F$2:$G$13,2,0))</f>
        <v/>
      </c>
      <c r="F1378" s="69" t="str">
        <f>IF($B1378="","",PV-N(J1377))</f>
        <v/>
      </c>
      <c r="G1378" s="69" t="str">
        <f>IF($B1378="","",PMT(Rate,Nper,-PV,,Type))</f>
        <v/>
      </c>
      <c r="H1378" s="69" t="str">
        <f>IF($B1378="","",PPMT(Rate,ROWS($1:1366),Nper,-PV,,Type))</f>
        <v/>
      </c>
      <c r="I1378" s="69" t="str">
        <f>IF($B1378="","",IPMT(Rate,ROWS($1:1366),Nper,-PV,,Type))</f>
        <v/>
      </c>
      <c r="J1378" s="73" t="str">
        <f t="shared" ref="J1378:K1378" si="1368">IF($B1378="","",N(J1377)+N(H1378))</f>
        <v/>
      </c>
      <c r="K1378" s="74" t="str">
        <f t="shared" si="1368"/>
        <v/>
      </c>
      <c r="L1378" s="69" t="str">
        <f>IF($B1378="","",PV-J1378)</f>
        <v/>
      </c>
      <c r="M1378" s="71" t="str">
        <f>IF($B1378="","",J1378/PV)</f>
        <v/>
      </c>
      <c r="N1378" s="72" t="str">
        <f t="shared" si="4"/>
        <v/>
      </c>
    </row>
    <row r="1379" ht="14.25" customHeight="1">
      <c r="B1379" s="66" t="str">
        <f>IF(ROWS($1:1367)&lt;=Nper,ROWS($1:1367),"")</f>
        <v/>
      </c>
      <c r="C1379" s="67" t="str">
        <f>IF($B1379="","",IF($E$7="Weekly",Start_Date+7*(ROWS($1:1367)-1),EDATE(Start_Date,VLOOKUP(IF(ASTemp!$E$7="","Monthly",ASTemp!$E$7),Parameters!$B$3:$D$6,3,0)*(ROWS($1:1367)-1))))</f>
        <v/>
      </c>
      <c r="D1379" s="68" t="str">
        <f t="shared" si="2"/>
        <v/>
      </c>
      <c r="E1379" s="65" t="str">
        <f>IF($B1379="","",VLOOKUP(MONTH(C1379),Parameters!$F$2:$G$13,2,0))</f>
        <v/>
      </c>
      <c r="F1379" s="69" t="str">
        <f>IF($B1379="","",PV-N(J1378))</f>
        <v/>
      </c>
      <c r="G1379" s="69" t="str">
        <f>IF($B1379="","",PMT(Rate,Nper,-PV,,Type))</f>
        <v/>
      </c>
      <c r="H1379" s="69" t="str">
        <f>IF($B1379="","",PPMT(Rate,ROWS($1:1367),Nper,-PV,,Type))</f>
        <v/>
      </c>
      <c r="I1379" s="69" t="str">
        <f>IF($B1379="","",IPMT(Rate,ROWS($1:1367),Nper,-PV,,Type))</f>
        <v/>
      </c>
      <c r="J1379" s="73" t="str">
        <f t="shared" ref="J1379:K1379" si="1369">IF($B1379="","",N(J1378)+N(H1379))</f>
        <v/>
      </c>
      <c r="K1379" s="74" t="str">
        <f t="shared" si="1369"/>
        <v/>
      </c>
      <c r="L1379" s="69" t="str">
        <f>IF($B1379="","",PV-J1379)</f>
        <v/>
      </c>
      <c r="M1379" s="71" t="str">
        <f>IF($B1379="","",J1379/PV)</f>
        <v/>
      </c>
      <c r="N1379" s="72" t="str">
        <f t="shared" si="4"/>
        <v/>
      </c>
    </row>
    <row r="1380" ht="14.25" customHeight="1">
      <c r="B1380" s="66" t="str">
        <f>IF(ROWS($1:1368)&lt;=Nper,ROWS($1:1368),"")</f>
        <v/>
      </c>
      <c r="C1380" s="67" t="str">
        <f>IF($B1380="","",IF($E$7="Weekly",Start_Date+7*(ROWS($1:1368)-1),EDATE(Start_Date,VLOOKUP(IF(ASTemp!$E$7="","Monthly",ASTemp!$E$7),Parameters!$B$3:$D$6,3,0)*(ROWS($1:1368)-1))))</f>
        <v/>
      </c>
      <c r="D1380" s="68" t="str">
        <f t="shared" si="2"/>
        <v/>
      </c>
      <c r="E1380" s="65" t="str">
        <f>IF($B1380="","",VLOOKUP(MONTH(C1380),Parameters!$F$2:$G$13,2,0))</f>
        <v/>
      </c>
      <c r="F1380" s="69" t="str">
        <f>IF($B1380="","",PV-N(J1379))</f>
        <v/>
      </c>
      <c r="G1380" s="69" t="str">
        <f>IF($B1380="","",PMT(Rate,Nper,-PV,,Type))</f>
        <v/>
      </c>
      <c r="H1380" s="69" t="str">
        <f>IF($B1380="","",PPMT(Rate,ROWS($1:1368),Nper,-PV,,Type))</f>
        <v/>
      </c>
      <c r="I1380" s="69" t="str">
        <f>IF($B1380="","",IPMT(Rate,ROWS($1:1368),Nper,-PV,,Type))</f>
        <v/>
      </c>
      <c r="J1380" s="73" t="str">
        <f t="shared" ref="J1380:K1380" si="1370">IF($B1380="","",N(J1379)+N(H1380))</f>
        <v/>
      </c>
      <c r="K1380" s="74" t="str">
        <f t="shared" si="1370"/>
        <v/>
      </c>
      <c r="L1380" s="69" t="str">
        <f>IF($B1380="","",PV-J1380)</f>
        <v/>
      </c>
      <c r="M1380" s="71" t="str">
        <f>IF($B1380="","",J1380/PV)</f>
        <v/>
      </c>
      <c r="N1380" s="72" t="str">
        <f t="shared" si="4"/>
        <v/>
      </c>
    </row>
    <row r="1381" ht="14.25" customHeight="1">
      <c r="B1381" s="66" t="str">
        <f>IF(ROWS($1:1369)&lt;=Nper,ROWS($1:1369),"")</f>
        <v/>
      </c>
      <c r="C1381" s="67" t="str">
        <f>IF($B1381="","",IF($E$7="Weekly",Start_Date+7*(ROWS($1:1369)-1),EDATE(Start_Date,VLOOKUP(IF(ASTemp!$E$7="","Monthly",ASTemp!$E$7),Parameters!$B$3:$D$6,3,0)*(ROWS($1:1369)-1))))</f>
        <v/>
      </c>
      <c r="D1381" s="68" t="str">
        <f t="shared" si="2"/>
        <v/>
      </c>
      <c r="E1381" s="65" t="str">
        <f>IF($B1381="","",VLOOKUP(MONTH(C1381),Parameters!$F$2:$G$13,2,0))</f>
        <v/>
      </c>
      <c r="F1381" s="69" t="str">
        <f>IF($B1381="","",PV-N(J1380))</f>
        <v/>
      </c>
      <c r="G1381" s="69" t="str">
        <f>IF($B1381="","",PMT(Rate,Nper,-PV,,Type))</f>
        <v/>
      </c>
      <c r="H1381" s="69" t="str">
        <f>IF($B1381="","",PPMT(Rate,ROWS($1:1369),Nper,-PV,,Type))</f>
        <v/>
      </c>
      <c r="I1381" s="69" t="str">
        <f>IF($B1381="","",IPMT(Rate,ROWS($1:1369),Nper,-PV,,Type))</f>
        <v/>
      </c>
      <c r="J1381" s="73" t="str">
        <f t="shared" ref="J1381:K1381" si="1371">IF($B1381="","",N(J1380)+N(H1381))</f>
        <v/>
      </c>
      <c r="K1381" s="74" t="str">
        <f t="shared" si="1371"/>
        <v/>
      </c>
      <c r="L1381" s="69" t="str">
        <f>IF($B1381="","",PV-J1381)</f>
        <v/>
      </c>
      <c r="M1381" s="71" t="str">
        <f>IF($B1381="","",J1381/PV)</f>
        <v/>
      </c>
      <c r="N1381" s="72" t="str">
        <f t="shared" si="4"/>
        <v/>
      </c>
    </row>
    <row r="1382" ht="14.25" customHeight="1">
      <c r="B1382" s="66" t="str">
        <f>IF(ROWS($1:1370)&lt;=Nper,ROWS($1:1370),"")</f>
        <v/>
      </c>
      <c r="C1382" s="67" t="str">
        <f>IF($B1382="","",IF($E$7="Weekly",Start_Date+7*(ROWS($1:1370)-1),EDATE(Start_Date,VLOOKUP(IF(ASTemp!$E$7="","Monthly",ASTemp!$E$7),Parameters!$B$3:$D$6,3,0)*(ROWS($1:1370)-1))))</f>
        <v/>
      </c>
      <c r="D1382" s="68" t="str">
        <f t="shared" si="2"/>
        <v/>
      </c>
      <c r="E1382" s="65" t="str">
        <f>IF($B1382="","",VLOOKUP(MONTH(C1382),Parameters!$F$2:$G$13,2,0))</f>
        <v/>
      </c>
      <c r="F1382" s="69" t="str">
        <f>IF($B1382="","",PV-N(J1381))</f>
        <v/>
      </c>
      <c r="G1382" s="69" t="str">
        <f>IF($B1382="","",PMT(Rate,Nper,-PV,,Type))</f>
        <v/>
      </c>
      <c r="H1382" s="69" t="str">
        <f>IF($B1382="","",PPMT(Rate,ROWS($1:1370),Nper,-PV,,Type))</f>
        <v/>
      </c>
      <c r="I1382" s="69" t="str">
        <f>IF($B1382="","",IPMT(Rate,ROWS($1:1370),Nper,-PV,,Type))</f>
        <v/>
      </c>
      <c r="J1382" s="73" t="str">
        <f t="shared" ref="J1382:K1382" si="1372">IF($B1382="","",N(J1381)+N(H1382))</f>
        <v/>
      </c>
      <c r="K1382" s="74" t="str">
        <f t="shared" si="1372"/>
        <v/>
      </c>
      <c r="L1382" s="69" t="str">
        <f>IF($B1382="","",PV-J1382)</f>
        <v/>
      </c>
      <c r="M1382" s="71" t="str">
        <f>IF($B1382="","",J1382/PV)</f>
        <v/>
      </c>
      <c r="N1382" s="72" t="str">
        <f t="shared" si="4"/>
        <v/>
      </c>
    </row>
    <row r="1383" ht="14.25" customHeight="1">
      <c r="B1383" s="66" t="str">
        <f>IF(ROWS($1:1371)&lt;=Nper,ROWS($1:1371),"")</f>
        <v/>
      </c>
      <c r="C1383" s="67" t="str">
        <f>IF($B1383="","",IF($E$7="Weekly",Start_Date+7*(ROWS($1:1371)-1),EDATE(Start_Date,VLOOKUP(IF(ASTemp!$E$7="","Monthly",ASTemp!$E$7),Parameters!$B$3:$D$6,3,0)*(ROWS($1:1371)-1))))</f>
        <v/>
      </c>
      <c r="D1383" s="68" t="str">
        <f t="shared" si="2"/>
        <v/>
      </c>
      <c r="E1383" s="65" t="str">
        <f>IF($B1383="","",VLOOKUP(MONTH(C1383),Parameters!$F$2:$G$13,2,0))</f>
        <v/>
      </c>
      <c r="F1383" s="69" t="str">
        <f>IF($B1383="","",PV-N(J1382))</f>
        <v/>
      </c>
      <c r="G1383" s="69" t="str">
        <f>IF($B1383="","",PMT(Rate,Nper,-PV,,Type))</f>
        <v/>
      </c>
      <c r="H1383" s="69" t="str">
        <f>IF($B1383="","",PPMT(Rate,ROWS($1:1371),Nper,-PV,,Type))</f>
        <v/>
      </c>
      <c r="I1383" s="69" t="str">
        <f>IF($B1383="","",IPMT(Rate,ROWS($1:1371),Nper,-PV,,Type))</f>
        <v/>
      </c>
      <c r="J1383" s="73" t="str">
        <f t="shared" ref="J1383:K1383" si="1373">IF($B1383="","",N(J1382)+N(H1383))</f>
        <v/>
      </c>
      <c r="K1383" s="74" t="str">
        <f t="shared" si="1373"/>
        <v/>
      </c>
      <c r="L1383" s="69" t="str">
        <f>IF($B1383="","",PV-J1383)</f>
        <v/>
      </c>
      <c r="M1383" s="71" t="str">
        <f>IF($B1383="","",J1383/PV)</f>
        <v/>
      </c>
      <c r="N1383" s="72" t="str">
        <f t="shared" si="4"/>
        <v/>
      </c>
    </row>
    <row r="1384" ht="14.25" customHeight="1">
      <c r="B1384" s="66" t="str">
        <f>IF(ROWS($1:1372)&lt;=Nper,ROWS($1:1372),"")</f>
        <v/>
      </c>
      <c r="C1384" s="67" t="str">
        <f>IF($B1384="","",IF($E$7="Weekly",Start_Date+7*(ROWS($1:1372)-1),EDATE(Start_Date,VLOOKUP(IF(ASTemp!$E$7="","Monthly",ASTemp!$E$7),Parameters!$B$3:$D$6,3,0)*(ROWS($1:1372)-1))))</f>
        <v/>
      </c>
      <c r="D1384" s="68" t="str">
        <f t="shared" si="2"/>
        <v/>
      </c>
      <c r="E1384" s="65" t="str">
        <f>IF($B1384="","",VLOOKUP(MONTH(C1384),Parameters!$F$2:$G$13,2,0))</f>
        <v/>
      </c>
      <c r="F1384" s="69" t="str">
        <f>IF($B1384="","",PV-N(J1383))</f>
        <v/>
      </c>
      <c r="G1384" s="69" t="str">
        <f>IF($B1384="","",PMT(Rate,Nper,-PV,,Type))</f>
        <v/>
      </c>
      <c r="H1384" s="69" t="str">
        <f>IF($B1384="","",PPMT(Rate,ROWS($1:1372),Nper,-PV,,Type))</f>
        <v/>
      </c>
      <c r="I1384" s="69" t="str">
        <f>IF($B1384="","",IPMT(Rate,ROWS($1:1372),Nper,-PV,,Type))</f>
        <v/>
      </c>
      <c r="J1384" s="73" t="str">
        <f t="shared" ref="J1384:K1384" si="1374">IF($B1384="","",N(J1383)+N(H1384))</f>
        <v/>
      </c>
      <c r="K1384" s="74" t="str">
        <f t="shared" si="1374"/>
        <v/>
      </c>
      <c r="L1384" s="69" t="str">
        <f>IF($B1384="","",PV-J1384)</f>
        <v/>
      </c>
      <c r="M1384" s="71" t="str">
        <f>IF($B1384="","",J1384/PV)</f>
        <v/>
      </c>
      <c r="N1384" s="72" t="str">
        <f t="shared" si="4"/>
        <v/>
      </c>
    </row>
    <row r="1385" ht="14.25" customHeight="1">
      <c r="B1385" s="66" t="str">
        <f>IF(ROWS($1:1373)&lt;=Nper,ROWS($1:1373),"")</f>
        <v/>
      </c>
      <c r="C1385" s="67" t="str">
        <f>IF($B1385="","",IF($E$7="Weekly",Start_Date+7*(ROWS($1:1373)-1),EDATE(Start_Date,VLOOKUP(IF(ASTemp!$E$7="","Monthly",ASTemp!$E$7),Parameters!$B$3:$D$6,3,0)*(ROWS($1:1373)-1))))</f>
        <v/>
      </c>
      <c r="D1385" s="68" t="str">
        <f t="shared" si="2"/>
        <v/>
      </c>
      <c r="E1385" s="65" t="str">
        <f>IF($B1385="","",VLOOKUP(MONTH(C1385),Parameters!$F$2:$G$13,2,0))</f>
        <v/>
      </c>
      <c r="F1385" s="69" t="str">
        <f>IF($B1385="","",PV-N(J1384))</f>
        <v/>
      </c>
      <c r="G1385" s="69" t="str">
        <f>IF($B1385="","",PMT(Rate,Nper,-PV,,Type))</f>
        <v/>
      </c>
      <c r="H1385" s="69" t="str">
        <f>IF($B1385="","",PPMT(Rate,ROWS($1:1373),Nper,-PV,,Type))</f>
        <v/>
      </c>
      <c r="I1385" s="69" t="str">
        <f>IF($B1385="","",IPMT(Rate,ROWS($1:1373),Nper,-PV,,Type))</f>
        <v/>
      </c>
      <c r="J1385" s="73" t="str">
        <f t="shared" ref="J1385:K1385" si="1375">IF($B1385="","",N(J1384)+N(H1385))</f>
        <v/>
      </c>
      <c r="K1385" s="74" t="str">
        <f t="shared" si="1375"/>
        <v/>
      </c>
      <c r="L1385" s="69" t="str">
        <f>IF($B1385="","",PV-J1385)</f>
        <v/>
      </c>
      <c r="M1385" s="71" t="str">
        <f>IF($B1385="","",J1385/PV)</f>
        <v/>
      </c>
      <c r="N1385" s="72" t="str">
        <f t="shared" si="4"/>
        <v/>
      </c>
    </row>
    <row r="1386" ht="14.25" customHeight="1">
      <c r="B1386" s="66" t="str">
        <f>IF(ROWS($1:1374)&lt;=Nper,ROWS($1:1374),"")</f>
        <v/>
      </c>
      <c r="C1386" s="67" t="str">
        <f>IF($B1386="","",IF($E$7="Weekly",Start_Date+7*(ROWS($1:1374)-1),EDATE(Start_Date,VLOOKUP(IF(ASTemp!$E$7="","Monthly",ASTemp!$E$7),Parameters!$B$3:$D$6,3,0)*(ROWS($1:1374)-1))))</f>
        <v/>
      </c>
      <c r="D1386" s="68" t="str">
        <f t="shared" si="2"/>
        <v/>
      </c>
      <c r="E1386" s="65" t="str">
        <f>IF($B1386="","",VLOOKUP(MONTH(C1386),Parameters!$F$2:$G$13,2,0))</f>
        <v/>
      </c>
      <c r="F1386" s="69" t="str">
        <f>IF($B1386="","",PV-N(J1385))</f>
        <v/>
      </c>
      <c r="G1386" s="69" t="str">
        <f>IF($B1386="","",PMT(Rate,Nper,-PV,,Type))</f>
        <v/>
      </c>
      <c r="H1386" s="69" t="str">
        <f>IF($B1386="","",PPMT(Rate,ROWS($1:1374),Nper,-PV,,Type))</f>
        <v/>
      </c>
      <c r="I1386" s="69" t="str">
        <f>IF($B1386="","",IPMT(Rate,ROWS($1:1374),Nper,-PV,,Type))</f>
        <v/>
      </c>
      <c r="J1386" s="73" t="str">
        <f t="shared" ref="J1386:K1386" si="1376">IF($B1386="","",N(J1385)+N(H1386))</f>
        <v/>
      </c>
      <c r="K1386" s="74" t="str">
        <f t="shared" si="1376"/>
        <v/>
      </c>
      <c r="L1386" s="69" t="str">
        <f>IF($B1386="","",PV-J1386)</f>
        <v/>
      </c>
      <c r="M1386" s="71" t="str">
        <f>IF($B1386="","",J1386/PV)</f>
        <v/>
      </c>
      <c r="N1386" s="72" t="str">
        <f t="shared" si="4"/>
        <v/>
      </c>
    </row>
    <row r="1387" ht="14.25" customHeight="1">
      <c r="B1387" s="66" t="str">
        <f>IF(ROWS($1:1375)&lt;=Nper,ROWS($1:1375),"")</f>
        <v/>
      </c>
      <c r="C1387" s="67" t="str">
        <f>IF($B1387="","",IF($E$7="Weekly",Start_Date+7*(ROWS($1:1375)-1),EDATE(Start_Date,VLOOKUP(IF(ASTemp!$E$7="","Monthly",ASTemp!$E$7),Parameters!$B$3:$D$6,3,0)*(ROWS($1:1375)-1))))</f>
        <v/>
      </c>
      <c r="D1387" s="68" t="str">
        <f t="shared" si="2"/>
        <v/>
      </c>
      <c r="E1387" s="65" t="str">
        <f>IF($B1387="","",VLOOKUP(MONTH(C1387),Parameters!$F$2:$G$13,2,0))</f>
        <v/>
      </c>
      <c r="F1387" s="69" t="str">
        <f>IF($B1387="","",PV-N(J1386))</f>
        <v/>
      </c>
      <c r="G1387" s="69" t="str">
        <f>IF($B1387="","",PMT(Rate,Nper,-PV,,Type))</f>
        <v/>
      </c>
      <c r="H1387" s="69" t="str">
        <f>IF($B1387="","",PPMT(Rate,ROWS($1:1375),Nper,-PV,,Type))</f>
        <v/>
      </c>
      <c r="I1387" s="69" t="str">
        <f>IF($B1387="","",IPMT(Rate,ROWS($1:1375),Nper,-PV,,Type))</f>
        <v/>
      </c>
      <c r="J1387" s="73" t="str">
        <f t="shared" ref="J1387:K1387" si="1377">IF($B1387="","",N(J1386)+N(H1387))</f>
        <v/>
      </c>
      <c r="K1387" s="74" t="str">
        <f t="shared" si="1377"/>
        <v/>
      </c>
      <c r="L1387" s="69" t="str">
        <f>IF($B1387="","",PV-J1387)</f>
        <v/>
      </c>
      <c r="M1387" s="71" t="str">
        <f>IF($B1387="","",J1387/PV)</f>
        <v/>
      </c>
      <c r="N1387" s="72" t="str">
        <f t="shared" si="4"/>
        <v/>
      </c>
    </row>
    <row r="1388" ht="14.25" customHeight="1">
      <c r="B1388" s="66" t="str">
        <f>IF(ROWS($1:1376)&lt;=Nper,ROWS($1:1376),"")</f>
        <v/>
      </c>
      <c r="C1388" s="67" t="str">
        <f>IF($B1388="","",IF($E$7="Weekly",Start_Date+7*(ROWS($1:1376)-1),EDATE(Start_Date,VLOOKUP(IF(ASTemp!$E$7="","Monthly",ASTemp!$E$7),Parameters!$B$3:$D$6,3,0)*(ROWS($1:1376)-1))))</f>
        <v/>
      </c>
      <c r="D1388" s="68" t="str">
        <f t="shared" si="2"/>
        <v/>
      </c>
      <c r="E1388" s="65" t="str">
        <f>IF($B1388="","",VLOOKUP(MONTH(C1388),Parameters!$F$2:$G$13,2,0))</f>
        <v/>
      </c>
      <c r="F1388" s="69" t="str">
        <f>IF($B1388="","",PV-N(J1387))</f>
        <v/>
      </c>
      <c r="G1388" s="69" t="str">
        <f>IF($B1388="","",PMT(Rate,Nper,-PV,,Type))</f>
        <v/>
      </c>
      <c r="H1388" s="69" t="str">
        <f>IF($B1388="","",PPMT(Rate,ROWS($1:1376),Nper,-PV,,Type))</f>
        <v/>
      </c>
      <c r="I1388" s="69" t="str">
        <f>IF($B1388="","",IPMT(Rate,ROWS($1:1376),Nper,-PV,,Type))</f>
        <v/>
      </c>
      <c r="J1388" s="73" t="str">
        <f t="shared" ref="J1388:K1388" si="1378">IF($B1388="","",N(J1387)+N(H1388))</f>
        <v/>
      </c>
      <c r="K1388" s="74" t="str">
        <f t="shared" si="1378"/>
        <v/>
      </c>
      <c r="L1388" s="69" t="str">
        <f>IF($B1388="","",PV-J1388)</f>
        <v/>
      </c>
      <c r="M1388" s="71" t="str">
        <f>IF($B1388="","",J1388/PV)</f>
        <v/>
      </c>
      <c r="N1388" s="72" t="str">
        <f t="shared" si="4"/>
        <v/>
      </c>
    </row>
    <row r="1389" ht="14.25" customHeight="1">
      <c r="B1389" s="66" t="str">
        <f>IF(ROWS($1:1377)&lt;=Nper,ROWS($1:1377),"")</f>
        <v/>
      </c>
      <c r="C1389" s="67" t="str">
        <f>IF($B1389="","",IF($E$7="Weekly",Start_Date+7*(ROWS($1:1377)-1),EDATE(Start_Date,VLOOKUP(IF(ASTemp!$E$7="","Monthly",ASTemp!$E$7),Parameters!$B$3:$D$6,3,0)*(ROWS($1:1377)-1))))</f>
        <v/>
      </c>
      <c r="D1389" s="68" t="str">
        <f t="shared" si="2"/>
        <v/>
      </c>
      <c r="E1389" s="65" t="str">
        <f>IF($B1389="","",VLOOKUP(MONTH(C1389),Parameters!$F$2:$G$13,2,0))</f>
        <v/>
      </c>
      <c r="F1389" s="69" t="str">
        <f>IF($B1389="","",PV-N(J1388))</f>
        <v/>
      </c>
      <c r="G1389" s="69" t="str">
        <f>IF($B1389="","",PMT(Rate,Nper,-PV,,Type))</f>
        <v/>
      </c>
      <c r="H1389" s="69" t="str">
        <f>IF($B1389="","",PPMT(Rate,ROWS($1:1377),Nper,-PV,,Type))</f>
        <v/>
      </c>
      <c r="I1389" s="69" t="str">
        <f>IF($B1389="","",IPMT(Rate,ROWS($1:1377),Nper,-PV,,Type))</f>
        <v/>
      </c>
      <c r="J1389" s="73" t="str">
        <f t="shared" ref="J1389:K1389" si="1379">IF($B1389="","",N(J1388)+N(H1389))</f>
        <v/>
      </c>
      <c r="K1389" s="74" t="str">
        <f t="shared" si="1379"/>
        <v/>
      </c>
      <c r="L1389" s="69" t="str">
        <f>IF($B1389="","",PV-J1389)</f>
        <v/>
      </c>
      <c r="M1389" s="71" t="str">
        <f>IF($B1389="","",J1389/PV)</f>
        <v/>
      </c>
      <c r="N1389" s="72" t="str">
        <f t="shared" si="4"/>
        <v/>
      </c>
    </row>
    <row r="1390" ht="14.25" customHeight="1">
      <c r="B1390" s="66" t="str">
        <f>IF(ROWS($1:1378)&lt;=Nper,ROWS($1:1378),"")</f>
        <v/>
      </c>
      <c r="C1390" s="67" t="str">
        <f>IF($B1390="","",IF($E$7="Weekly",Start_Date+7*(ROWS($1:1378)-1),EDATE(Start_Date,VLOOKUP(IF(ASTemp!$E$7="","Monthly",ASTemp!$E$7),Parameters!$B$3:$D$6,3,0)*(ROWS($1:1378)-1))))</f>
        <v/>
      </c>
      <c r="D1390" s="68" t="str">
        <f t="shared" si="2"/>
        <v/>
      </c>
      <c r="E1390" s="65" t="str">
        <f>IF($B1390="","",VLOOKUP(MONTH(C1390),Parameters!$F$2:$G$13,2,0))</f>
        <v/>
      </c>
      <c r="F1390" s="69" t="str">
        <f>IF($B1390="","",PV-N(J1389))</f>
        <v/>
      </c>
      <c r="G1390" s="69" t="str">
        <f>IF($B1390="","",PMT(Rate,Nper,-PV,,Type))</f>
        <v/>
      </c>
      <c r="H1390" s="69" t="str">
        <f>IF($B1390="","",PPMT(Rate,ROWS($1:1378),Nper,-PV,,Type))</f>
        <v/>
      </c>
      <c r="I1390" s="69" t="str">
        <f>IF($B1390="","",IPMT(Rate,ROWS($1:1378),Nper,-PV,,Type))</f>
        <v/>
      </c>
      <c r="J1390" s="73" t="str">
        <f t="shared" ref="J1390:K1390" si="1380">IF($B1390="","",N(J1389)+N(H1390))</f>
        <v/>
      </c>
      <c r="K1390" s="74" t="str">
        <f t="shared" si="1380"/>
        <v/>
      </c>
      <c r="L1390" s="69" t="str">
        <f>IF($B1390="","",PV-J1390)</f>
        <v/>
      </c>
      <c r="M1390" s="71" t="str">
        <f>IF($B1390="","",J1390/PV)</f>
        <v/>
      </c>
      <c r="N1390" s="72" t="str">
        <f t="shared" si="4"/>
        <v/>
      </c>
    </row>
    <row r="1391" ht="14.25" customHeight="1">
      <c r="B1391" s="66" t="str">
        <f>IF(ROWS($1:1379)&lt;=Nper,ROWS($1:1379),"")</f>
        <v/>
      </c>
      <c r="C1391" s="67" t="str">
        <f>IF($B1391="","",IF($E$7="Weekly",Start_Date+7*(ROWS($1:1379)-1),EDATE(Start_Date,VLOOKUP(IF(ASTemp!$E$7="","Monthly",ASTemp!$E$7),Parameters!$B$3:$D$6,3,0)*(ROWS($1:1379)-1))))</f>
        <v/>
      </c>
      <c r="D1391" s="68" t="str">
        <f t="shared" si="2"/>
        <v/>
      </c>
      <c r="E1391" s="65" t="str">
        <f>IF($B1391="","",VLOOKUP(MONTH(C1391),Parameters!$F$2:$G$13,2,0))</f>
        <v/>
      </c>
      <c r="F1391" s="69" t="str">
        <f>IF($B1391="","",PV-N(J1390))</f>
        <v/>
      </c>
      <c r="G1391" s="69" t="str">
        <f>IF($B1391="","",PMT(Rate,Nper,-PV,,Type))</f>
        <v/>
      </c>
      <c r="H1391" s="69" t="str">
        <f>IF($B1391="","",PPMT(Rate,ROWS($1:1379),Nper,-PV,,Type))</f>
        <v/>
      </c>
      <c r="I1391" s="69" t="str">
        <f>IF($B1391="","",IPMT(Rate,ROWS($1:1379),Nper,-PV,,Type))</f>
        <v/>
      </c>
      <c r="J1391" s="73" t="str">
        <f t="shared" ref="J1391:K1391" si="1381">IF($B1391="","",N(J1390)+N(H1391))</f>
        <v/>
      </c>
      <c r="K1391" s="74" t="str">
        <f t="shared" si="1381"/>
        <v/>
      </c>
      <c r="L1391" s="69" t="str">
        <f>IF($B1391="","",PV-J1391)</f>
        <v/>
      </c>
      <c r="M1391" s="71" t="str">
        <f>IF($B1391="","",J1391/PV)</f>
        <v/>
      </c>
      <c r="N1391" s="72" t="str">
        <f t="shared" si="4"/>
        <v/>
      </c>
    </row>
    <row r="1392" ht="14.25" customHeight="1">
      <c r="B1392" s="66" t="str">
        <f>IF(ROWS($1:1380)&lt;=Nper,ROWS($1:1380),"")</f>
        <v/>
      </c>
      <c r="C1392" s="67" t="str">
        <f>IF($B1392="","",IF($E$7="Weekly",Start_Date+7*(ROWS($1:1380)-1),EDATE(Start_Date,VLOOKUP(IF(ASTemp!$E$7="","Monthly",ASTemp!$E$7),Parameters!$B$3:$D$6,3,0)*(ROWS($1:1380)-1))))</f>
        <v/>
      </c>
      <c r="D1392" s="68" t="str">
        <f t="shared" si="2"/>
        <v/>
      </c>
      <c r="E1392" s="65" t="str">
        <f>IF($B1392="","",VLOOKUP(MONTH(C1392),Parameters!$F$2:$G$13,2,0))</f>
        <v/>
      </c>
      <c r="F1392" s="69" t="str">
        <f>IF($B1392="","",PV-N(J1391))</f>
        <v/>
      </c>
      <c r="G1392" s="69" t="str">
        <f>IF($B1392="","",PMT(Rate,Nper,-PV,,Type))</f>
        <v/>
      </c>
      <c r="H1392" s="69" t="str">
        <f>IF($B1392="","",PPMT(Rate,ROWS($1:1380),Nper,-PV,,Type))</f>
        <v/>
      </c>
      <c r="I1392" s="69" t="str">
        <f>IF($B1392="","",IPMT(Rate,ROWS($1:1380),Nper,-PV,,Type))</f>
        <v/>
      </c>
      <c r="J1392" s="73" t="str">
        <f t="shared" ref="J1392:K1392" si="1382">IF($B1392="","",N(J1391)+N(H1392))</f>
        <v/>
      </c>
      <c r="K1392" s="74" t="str">
        <f t="shared" si="1382"/>
        <v/>
      </c>
      <c r="L1392" s="69" t="str">
        <f>IF($B1392="","",PV-J1392)</f>
        <v/>
      </c>
      <c r="M1392" s="71" t="str">
        <f>IF($B1392="","",J1392/PV)</f>
        <v/>
      </c>
      <c r="N1392" s="72" t="str">
        <f t="shared" si="4"/>
        <v/>
      </c>
    </row>
    <row r="1393" ht="14.25" customHeight="1">
      <c r="B1393" s="66" t="str">
        <f>IF(ROWS($1:1381)&lt;=Nper,ROWS($1:1381),"")</f>
        <v/>
      </c>
      <c r="C1393" s="67" t="str">
        <f>IF($B1393="","",IF($E$7="Weekly",Start_Date+7*(ROWS($1:1381)-1),EDATE(Start_Date,VLOOKUP(IF(ASTemp!$E$7="","Monthly",ASTemp!$E$7),Parameters!$B$3:$D$6,3,0)*(ROWS($1:1381)-1))))</f>
        <v/>
      </c>
      <c r="D1393" s="68" t="str">
        <f t="shared" si="2"/>
        <v/>
      </c>
      <c r="E1393" s="65" t="str">
        <f>IF($B1393="","",VLOOKUP(MONTH(C1393),Parameters!$F$2:$G$13,2,0))</f>
        <v/>
      </c>
      <c r="F1393" s="69" t="str">
        <f>IF($B1393="","",PV-N(J1392))</f>
        <v/>
      </c>
      <c r="G1393" s="69" t="str">
        <f>IF($B1393="","",PMT(Rate,Nper,-PV,,Type))</f>
        <v/>
      </c>
      <c r="H1393" s="69" t="str">
        <f>IF($B1393="","",PPMT(Rate,ROWS($1:1381),Nper,-PV,,Type))</f>
        <v/>
      </c>
      <c r="I1393" s="69" t="str">
        <f>IF($B1393="","",IPMT(Rate,ROWS($1:1381),Nper,-PV,,Type))</f>
        <v/>
      </c>
      <c r="J1393" s="73" t="str">
        <f t="shared" ref="J1393:K1393" si="1383">IF($B1393="","",N(J1392)+N(H1393))</f>
        <v/>
      </c>
      <c r="K1393" s="74" t="str">
        <f t="shared" si="1383"/>
        <v/>
      </c>
      <c r="L1393" s="69" t="str">
        <f>IF($B1393="","",PV-J1393)</f>
        <v/>
      </c>
      <c r="M1393" s="71" t="str">
        <f>IF($B1393="","",J1393/PV)</f>
        <v/>
      </c>
      <c r="N1393" s="72" t="str">
        <f t="shared" si="4"/>
        <v/>
      </c>
    </row>
    <row r="1394" ht="14.25" customHeight="1">
      <c r="B1394" s="66" t="str">
        <f>IF(ROWS($1:1382)&lt;=Nper,ROWS($1:1382),"")</f>
        <v/>
      </c>
      <c r="C1394" s="67" t="str">
        <f>IF($B1394="","",IF($E$7="Weekly",Start_Date+7*(ROWS($1:1382)-1),EDATE(Start_Date,VLOOKUP(IF(ASTemp!$E$7="","Monthly",ASTemp!$E$7),Parameters!$B$3:$D$6,3,0)*(ROWS($1:1382)-1))))</f>
        <v/>
      </c>
      <c r="D1394" s="68" t="str">
        <f t="shared" si="2"/>
        <v/>
      </c>
      <c r="E1394" s="65" t="str">
        <f>IF($B1394="","",VLOOKUP(MONTH(C1394),Parameters!$F$2:$G$13,2,0))</f>
        <v/>
      </c>
      <c r="F1394" s="69" t="str">
        <f>IF($B1394="","",PV-N(J1393))</f>
        <v/>
      </c>
      <c r="G1394" s="69" t="str">
        <f>IF($B1394="","",PMT(Rate,Nper,-PV,,Type))</f>
        <v/>
      </c>
      <c r="H1394" s="69" t="str">
        <f>IF($B1394="","",PPMT(Rate,ROWS($1:1382),Nper,-PV,,Type))</f>
        <v/>
      </c>
      <c r="I1394" s="69" t="str">
        <f>IF($B1394="","",IPMT(Rate,ROWS($1:1382),Nper,-PV,,Type))</f>
        <v/>
      </c>
      <c r="J1394" s="73" t="str">
        <f t="shared" ref="J1394:K1394" si="1384">IF($B1394="","",N(J1393)+N(H1394))</f>
        <v/>
      </c>
      <c r="K1394" s="74" t="str">
        <f t="shared" si="1384"/>
        <v/>
      </c>
      <c r="L1394" s="69" t="str">
        <f>IF($B1394="","",PV-J1394)</f>
        <v/>
      </c>
      <c r="M1394" s="71" t="str">
        <f>IF($B1394="","",J1394/PV)</f>
        <v/>
      </c>
      <c r="N1394" s="72" t="str">
        <f t="shared" si="4"/>
        <v/>
      </c>
    </row>
    <row r="1395" ht="14.25" customHeight="1">
      <c r="B1395" s="66" t="str">
        <f>IF(ROWS($1:1383)&lt;=Nper,ROWS($1:1383),"")</f>
        <v/>
      </c>
      <c r="C1395" s="67" t="str">
        <f>IF($B1395="","",IF($E$7="Weekly",Start_Date+7*(ROWS($1:1383)-1),EDATE(Start_Date,VLOOKUP(IF(ASTemp!$E$7="","Monthly",ASTemp!$E$7),Parameters!$B$3:$D$6,3,0)*(ROWS($1:1383)-1))))</f>
        <v/>
      </c>
      <c r="D1395" s="68" t="str">
        <f t="shared" si="2"/>
        <v/>
      </c>
      <c r="E1395" s="65" t="str">
        <f>IF($B1395="","",VLOOKUP(MONTH(C1395),Parameters!$F$2:$G$13,2,0))</f>
        <v/>
      </c>
      <c r="F1395" s="69" t="str">
        <f>IF($B1395="","",PV-N(J1394))</f>
        <v/>
      </c>
      <c r="G1395" s="69" t="str">
        <f>IF($B1395="","",PMT(Rate,Nper,-PV,,Type))</f>
        <v/>
      </c>
      <c r="H1395" s="69" t="str">
        <f>IF($B1395="","",PPMT(Rate,ROWS($1:1383),Nper,-PV,,Type))</f>
        <v/>
      </c>
      <c r="I1395" s="69" t="str">
        <f>IF($B1395="","",IPMT(Rate,ROWS($1:1383),Nper,-PV,,Type))</f>
        <v/>
      </c>
      <c r="J1395" s="73" t="str">
        <f t="shared" ref="J1395:K1395" si="1385">IF($B1395="","",N(J1394)+N(H1395))</f>
        <v/>
      </c>
      <c r="K1395" s="74" t="str">
        <f t="shared" si="1385"/>
        <v/>
      </c>
      <c r="L1395" s="69" t="str">
        <f>IF($B1395="","",PV-J1395)</f>
        <v/>
      </c>
      <c r="M1395" s="71" t="str">
        <f>IF($B1395="","",J1395/PV)</f>
        <v/>
      </c>
      <c r="N1395" s="72" t="str">
        <f t="shared" si="4"/>
        <v/>
      </c>
    </row>
    <row r="1396" ht="14.25" customHeight="1">
      <c r="B1396" s="66" t="str">
        <f>IF(ROWS($1:1384)&lt;=Nper,ROWS($1:1384),"")</f>
        <v/>
      </c>
      <c r="C1396" s="67" t="str">
        <f>IF($B1396="","",IF($E$7="Weekly",Start_Date+7*(ROWS($1:1384)-1),EDATE(Start_Date,VLOOKUP(IF(ASTemp!$E$7="","Monthly",ASTemp!$E$7),Parameters!$B$3:$D$6,3,0)*(ROWS($1:1384)-1))))</f>
        <v/>
      </c>
      <c r="D1396" s="68" t="str">
        <f t="shared" si="2"/>
        <v/>
      </c>
      <c r="E1396" s="65" t="str">
        <f>IF($B1396="","",VLOOKUP(MONTH(C1396),Parameters!$F$2:$G$13,2,0))</f>
        <v/>
      </c>
      <c r="F1396" s="69" t="str">
        <f>IF($B1396="","",PV-N(J1395))</f>
        <v/>
      </c>
      <c r="G1396" s="69" t="str">
        <f>IF($B1396="","",PMT(Rate,Nper,-PV,,Type))</f>
        <v/>
      </c>
      <c r="H1396" s="69" t="str">
        <f>IF($B1396="","",PPMT(Rate,ROWS($1:1384),Nper,-PV,,Type))</f>
        <v/>
      </c>
      <c r="I1396" s="69" t="str">
        <f>IF($B1396="","",IPMT(Rate,ROWS($1:1384),Nper,-PV,,Type))</f>
        <v/>
      </c>
      <c r="J1396" s="73" t="str">
        <f t="shared" ref="J1396:K1396" si="1386">IF($B1396="","",N(J1395)+N(H1396))</f>
        <v/>
      </c>
      <c r="K1396" s="74" t="str">
        <f t="shared" si="1386"/>
        <v/>
      </c>
      <c r="L1396" s="69" t="str">
        <f>IF($B1396="","",PV-J1396)</f>
        <v/>
      </c>
      <c r="M1396" s="71" t="str">
        <f>IF($B1396="","",J1396/PV)</f>
        <v/>
      </c>
      <c r="N1396" s="72" t="str">
        <f t="shared" si="4"/>
        <v/>
      </c>
    </row>
    <row r="1397" ht="14.25" customHeight="1">
      <c r="B1397" s="66" t="str">
        <f>IF(ROWS($1:1385)&lt;=Nper,ROWS($1:1385),"")</f>
        <v/>
      </c>
      <c r="C1397" s="67" t="str">
        <f>IF($B1397="","",IF($E$7="Weekly",Start_Date+7*(ROWS($1:1385)-1),EDATE(Start_Date,VLOOKUP(IF(ASTemp!$E$7="","Monthly",ASTemp!$E$7),Parameters!$B$3:$D$6,3,0)*(ROWS($1:1385)-1))))</f>
        <v/>
      </c>
      <c r="D1397" s="68" t="str">
        <f t="shared" si="2"/>
        <v/>
      </c>
      <c r="E1397" s="65" t="str">
        <f>IF($B1397="","",VLOOKUP(MONTH(C1397),Parameters!$F$2:$G$13,2,0))</f>
        <v/>
      </c>
      <c r="F1397" s="69" t="str">
        <f>IF($B1397="","",PV-N(J1396))</f>
        <v/>
      </c>
      <c r="G1397" s="69" t="str">
        <f>IF($B1397="","",PMT(Rate,Nper,-PV,,Type))</f>
        <v/>
      </c>
      <c r="H1397" s="69" t="str">
        <f>IF($B1397="","",PPMT(Rate,ROWS($1:1385),Nper,-PV,,Type))</f>
        <v/>
      </c>
      <c r="I1397" s="69" t="str">
        <f>IF($B1397="","",IPMT(Rate,ROWS($1:1385),Nper,-PV,,Type))</f>
        <v/>
      </c>
      <c r="J1397" s="73" t="str">
        <f t="shared" ref="J1397:K1397" si="1387">IF($B1397="","",N(J1396)+N(H1397))</f>
        <v/>
      </c>
      <c r="K1397" s="74" t="str">
        <f t="shared" si="1387"/>
        <v/>
      </c>
      <c r="L1397" s="69" t="str">
        <f>IF($B1397="","",PV-J1397)</f>
        <v/>
      </c>
      <c r="M1397" s="71" t="str">
        <f>IF($B1397="","",J1397/PV)</f>
        <v/>
      </c>
      <c r="N1397" s="72" t="str">
        <f t="shared" si="4"/>
        <v/>
      </c>
    </row>
    <row r="1398" ht="14.25" customHeight="1">
      <c r="B1398" s="66" t="str">
        <f>IF(ROWS($1:1386)&lt;=Nper,ROWS($1:1386),"")</f>
        <v/>
      </c>
      <c r="C1398" s="67" t="str">
        <f>IF($B1398="","",IF($E$7="Weekly",Start_Date+7*(ROWS($1:1386)-1),EDATE(Start_Date,VLOOKUP(IF(ASTemp!$E$7="","Monthly",ASTemp!$E$7),Parameters!$B$3:$D$6,3,0)*(ROWS($1:1386)-1))))</f>
        <v/>
      </c>
      <c r="D1398" s="68" t="str">
        <f t="shared" si="2"/>
        <v/>
      </c>
      <c r="E1398" s="65" t="str">
        <f>IF($B1398="","",VLOOKUP(MONTH(C1398),Parameters!$F$2:$G$13,2,0))</f>
        <v/>
      </c>
      <c r="F1398" s="69" t="str">
        <f>IF($B1398="","",PV-N(J1397))</f>
        <v/>
      </c>
      <c r="G1398" s="69" t="str">
        <f>IF($B1398="","",PMT(Rate,Nper,-PV,,Type))</f>
        <v/>
      </c>
      <c r="H1398" s="69" t="str">
        <f>IF($B1398="","",PPMT(Rate,ROWS($1:1386),Nper,-PV,,Type))</f>
        <v/>
      </c>
      <c r="I1398" s="69" t="str">
        <f>IF($B1398="","",IPMT(Rate,ROWS($1:1386),Nper,-PV,,Type))</f>
        <v/>
      </c>
      <c r="J1398" s="73" t="str">
        <f t="shared" ref="J1398:K1398" si="1388">IF($B1398="","",N(J1397)+N(H1398))</f>
        <v/>
      </c>
      <c r="K1398" s="74" t="str">
        <f t="shared" si="1388"/>
        <v/>
      </c>
      <c r="L1398" s="69" t="str">
        <f>IF($B1398="","",PV-J1398)</f>
        <v/>
      </c>
      <c r="M1398" s="71" t="str">
        <f>IF($B1398="","",J1398/PV)</f>
        <v/>
      </c>
      <c r="N1398" s="72" t="str">
        <f t="shared" si="4"/>
        <v/>
      </c>
    </row>
    <row r="1399" ht="14.25" customHeight="1">
      <c r="B1399" s="66" t="str">
        <f>IF(ROWS($1:1387)&lt;=Nper,ROWS($1:1387),"")</f>
        <v/>
      </c>
      <c r="C1399" s="67" t="str">
        <f>IF($B1399="","",IF($E$7="Weekly",Start_Date+7*(ROWS($1:1387)-1),EDATE(Start_Date,VLOOKUP(IF(ASTemp!$E$7="","Monthly",ASTemp!$E$7),Parameters!$B$3:$D$6,3,0)*(ROWS($1:1387)-1))))</f>
        <v/>
      </c>
      <c r="D1399" s="68" t="str">
        <f t="shared" si="2"/>
        <v/>
      </c>
      <c r="E1399" s="65" t="str">
        <f>IF($B1399="","",VLOOKUP(MONTH(C1399),Parameters!$F$2:$G$13,2,0))</f>
        <v/>
      </c>
      <c r="F1399" s="69" t="str">
        <f>IF($B1399="","",PV-N(J1398))</f>
        <v/>
      </c>
      <c r="G1399" s="69" t="str">
        <f>IF($B1399="","",PMT(Rate,Nper,-PV,,Type))</f>
        <v/>
      </c>
      <c r="H1399" s="69" t="str">
        <f>IF($B1399="","",PPMT(Rate,ROWS($1:1387),Nper,-PV,,Type))</f>
        <v/>
      </c>
      <c r="I1399" s="69" t="str">
        <f>IF($B1399="","",IPMT(Rate,ROWS($1:1387),Nper,-PV,,Type))</f>
        <v/>
      </c>
      <c r="J1399" s="73" t="str">
        <f t="shared" ref="J1399:K1399" si="1389">IF($B1399="","",N(J1398)+N(H1399))</f>
        <v/>
      </c>
      <c r="K1399" s="74" t="str">
        <f t="shared" si="1389"/>
        <v/>
      </c>
      <c r="L1399" s="69" t="str">
        <f>IF($B1399="","",PV-J1399)</f>
        <v/>
      </c>
      <c r="M1399" s="71" t="str">
        <f>IF($B1399="","",J1399/PV)</f>
        <v/>
      </c>
      <c r="N1399" s="72" t="str">
        <f t="shared" si="4"/>
        <v/>
      </c>
    </row>
    <row r="1400" ht="14.25" customHeight="1">
      <c r="B1400" s="66" t="str">
        <f>IF(ROWS($1:1388)&lt;=Nper,ROWS($1:1388),"")</f>
        <v/>
      </c>
      <c r="C1400" s="67" t="str">
        <f>IF($B1400="","",IF($E$7="Weekly",Start_Date+7*(ROWS($1:1388)-1),EDATE(Start_Date,VLOOKUP(IF(ASTemp!$E$7="","Monthly",ASTemp!$E$7),Parameters!$B$3:$D$6,3,0)*(ROWS($1:1388)-1))))</f>
        <v/>
      </c>
      <c r="D1400" s="68" t="str">
        <f t="shared" si="2"/>
        <v/>
      </c>
      <c r="E1400" s="65" t="str">
        <f>IF($B1400="","",VLOOKUP(MONTH(C1400),Parameters!$F$2:$G$13,2,0))</f>
        <v/>
      </c>
      <c r="F1400" s="69" t="str">
        <f>IF($B1400="","",PV-N(J1399))</f>
        <v/>
      </c>
      <c r="G1400" s="69" t="str">
        <f>IF($B1400="","",PMT(Rate,Nper,-PV,,Type))</f>
        <v/>
      </c>
      <c r="H1400" s="69" t="str">
        <f>IF($B1400="","",PPMT(Rate,ROWS($1:1388),Nper,-PV,,Type))</f>
        <v/>
      </c>
      <c r="I1400" s="69" t="str">
        <f>IF($B1400="","",IPMT(Rate,ROWS($1:1388),Nper,-PV,,Type))</f>
        <v/>
      </c>
      <c r="J1400" s="73" t="str">
        <f t="shared" ref="J1400:K1400" si="1390">IF($B1400="","",N(J1399)+N(H1400))</f>
        <v/>
      </c>
      <c r="K1400" s="74" t="str">
        <f t="shared" si="1390"/>
        <v/>
      </c>
      <c r="L1400" s="69" t="str">
        <f>IF($B1400="","",PV-J1400)</f>
        <v/>
      </c>
      <c r="M1400" s="71" t="str">
        <f>IF($B1400="","",J1400/PV)</f>
        <v/>
      </c>
      <c r="N1400" s="72" t="str">
        <f t="shared" si="4"/>
        <v/>
      </c>
    </row>
    <row r="1401" ht="14.25" customHeight="1">
      <c r="B1401" s="66" t="str">
        <f>IF(ROWS($1:1389)&lt;=Nper,ROWS($1:1389),"")</f>
        <v/>
      </c>
      <c r="C1401" s="67" t="str">
        <f>IF($B1401="","",IF($E$7="Weekly",Start_Date+7*(ROWS($1:1389)-1),EDATE(Start_Date,VLOOKUP(IF(ASTemp!$E$7="","Monthly",ASTemp!$E$7),Parameters!$B$3:$D$6,3,0)*(ROWS($1:1389)-1))))</f>
        <v/>
      </c>
      <c r="D1401" s="68" t="str">
        <f t="shared" si="2"/>
        <v/>
      </c>
      <c r="E1401" s="65" t="str">
        <f>IF($B1401="","",VLOOKUP(MONTH(C1401),Parameters!$F$2:$G$13,2,0))</f>
        <v/>
      </c>
      <c r="F1401" s="69" t="str">
        <f>IF($B1401="","",PV-N(J1400))</f>
        <v/>
      </c>
      <c r="G1401" s="69" t="str">
        <f>IF($B1401="","",PMT(Rate,Nper,-PV,,Type))</f>
        <v/>
      </c>
      <c r="H1401" s="69" t="str">
        <f>IF($B1401="","",PPMT(Rate,ROWS($1:1389),Nper,-PV,,Type))</f>
        <v/>
      </c>
      <c r="I1401" s="69" t="str">
        <f>IF($B1401="","",IPMT(Rate,ROWS($1:1389),Nper,-PV,,Type))</f>
        <v/>
      </c>
      <c r="J1401" s="73" t="str">
        <f t="shared" ref="J1401:K1401" si="1391">IF($B1401="","",N(J1400)+N(H1401))</f>
        <v/>
      </c>
      <c r="K1401" s="74" t="str">
        <f t="shared" si="1391"/>
        <v/>
      </c>
      <c r="L1401" s="69" t="str">
        <f>IF($B1401="","",PV-J1401)</f>
        <v/>
      </c>
      <c r="M1401" s="71" t="str">
        <f>IF($B1401="","",J1401/PV)</f>
        <v/>
      </c>
      <c r="N1401" s="72" t="str">
        <f t="shared" si="4"/>
        <v/>
      </c>
    </row>
    <row r="1402" ht="14.25" customHeight="1">
      <c r="B1402" s="66" t="str">
        <f>IF(ROWS($1:1390)&lt;=Nper,ROWS($1:1390),"")</f>
        <v/>
      </c>
      <c r="C1402" s="67" t="str">
        <f>IF($B1402="","",IF($E$7="Weekly",Start_Date+7*(ROWS($1:1390)-1),EDATE(Start_Date,VLOOKUP(IF(ASTemp!$E$7="","Monthly",ASTemp!$E$7),Parameters!$B$3:$D$6,3,0)*(ROWS($1:1390)-1))))</f>
        <v/>
      </c>
      <c r="D1402" s="68" t="str">
        <f t="shared" si="2"/>
        <v/>
      </c>
      <c r="E1402" s="65" t="str">
        <f>IF($B1402="","",VLOOKUP(MONTH(C1402),Parameters!$F$2:$G$13,2,0))</f>
        <v/>
      </c>
      <c r="F1402" s="69" t="str">
        <f>IF($B1402="","",PV-N(J1401))</f>
        <v/>
      </c>
      <c r="G1402" s="69" t="str">
        <f>IF($B1402="","",PMT(Rate,Nper,-PV,,Type))</f>
        <v/>
      </c>
      <c r="H1402" s="69" t="str">
        <f>IF($B1402="","",PPMT(Rate,ROWS($1:1390),Nper,-PV,,Type))</f>
        <v/>
      </c>
      <c r="I1402" s="69" t="str">
        <f>IF($B1402="","",IPMT(Rate,ROWS($1:1390),Nper,-PV,,Type))</f>
        <v/>
      </c>
      <c r="J1402" s="73" t="str">
        <f t="shared" ref="J1402:K1402" si="1392">IF($B1402="","",N(J1401)+N(H1402))</f>
        <v/>
      </c>
      <c r="K1402" s="74" t="str">
        <f t="shared" si="1392"/>
        <v/>
      </c>
      <c r="L1402" s="69" t="str">
        <f>IF($B1402="","",PV-J1402)</f>
        <v/>
      </c>
      <c r="M1402" s="71" t="str">
        <f>IF($B1402="","",J1402/PV)</f>
        <v/>
      </c>
      <c r="N1402" s="72" t="str">
        <f t="shared" si="4"/>
        <v/>
      </c>
    </row>
    <row r="1403" ht="14.25" customHeight="1">
      <c r="B1403" s="66" t="str">
        <f>IF(ROWS($1:1391)&lt;=Nper,ROWS($1:1391),"")</f>
        <v/>
      </c>
      <c r="C1403" s="67" t="str">
        <f>IF($B1403="","",IF($E$7="Weekly",Start_Date+7*(ROWS($1:1391)-1),EDATE(Start_Date,VLOOKUP(IF(ASTemp!$E$7="","Monthly",ASTemp!$E$7),Parameters!$B$3:$D$6,3,0)*(ROWS($1:1391)-1))))</f>
        <v/>
      </c>
      <c r="D1403" s="68" t="str">
        <f t="shared" si="2"/>
        <v/>
      </c>
      <c r="E1403" s="65" t="str">
        <f>IF($B1403="","",VLOOKUP(MONTH(C1403),Parameters!$F$2:$G$13,2,0))</f>
        <v/>
      </c>
      <c r="F1403" s="69" t="str">
        <f>IF($B1403="","",PV-N(J1402))</f>
        <v/>
      </c>
      <c r="G1403" s="69" t="str">
        <f>IF($B1403="","",PMT(Rate,Nper,-PV,,Type))</f>
        <v/>
      </c>
      <c r="H1403" s="69" t="str">
        <f>IF($B1403="","",PPMT(Rate,ROWS($1:1391),Nper,-PV,,Type))</f>
        <v/>
      </c>
      <c r="I1403" s="69" t="str">
        <f>IF($B1403="","",IPMT(Rate,ROWS($1:1391),Nper,-PV,,Type))</f>
        <v/>
      </c>
      <c r="J1403" s="73" t="str">
        <f t="shared" ref="J1403:K1403" si="1393">IF($B1403="","",N(J1402)+N(H1403))</f>
        <v/>
      </c>
      <c r="K1403" s="74" t="str">
        <f t="shared" si="1393"/>
        <v/>
      </c>
      <c r="L1403" s="69" t="str">
        <f>IF($B1403="","",PV-J1403)</f>
        <v/>
      </c>
      <c r="M1403" s="71" t="str">
        <f>IF($B1403="","",J1403/PV)</f>
        <v/>
      </c>
      <c r="N1403" s="72" t="str">
        <f t="shared" si="4"/>
        <v/>
      </c>
    </row>
    <row r="1404" ht="14.25" customHeight="1">
      <c r="B1404" s="66" t="str">
        <f>IF(ROWS($1:1392)&lt;=Nper,ROWS($1:1392),"")</f>
        <v/>
      </c>
      <c r="C1404" s="67" t="str">
        <f>IF($B1404="","",IF($E$7="Weekly",Start_Date+7*(ROWS($1:1392)-1),EDATE(Start_Date,VLOOKUP(IF(ASTemp!$E$7="","Monthly",ASTemp!$E$7),Parameters!$B$3:$D$6,3,0)*(ROWS($1:1392)-1))))</f>
        <v/>
      </c>
      <c r="D1404" s="68" t="str">
        <f t="shared" si="2"/>
        <v/>
      </c>
      <c r="E1404" s="65" t="str">
        <f>IF($B1404="","",VLOOKUP(MONTH(C1404),Parameters!$F$2:$G$13,2,0))</f>
        <v/>
      </c>
      <c r="F1404" s="69" t="str">
        <f>IF($B1404="","",PV-N(J1403))</f>
        <v/>
      </c>
      <c r="G1404" s="69" t="str">
        <f>IF($B1404="","",PMT(Rate,Nper,-PV,,Type))</f>
        <v/>
      </c>
      <c r="H1404" s="69" t="str">
        <f>IF($B1404="","",PPMT(Rate,ROWS($1:1392),Nper,-PV,,Type))</f>
        <v/>
      </c>
      <c r="I1404" s="69" t="str">
        <f>IF($B1404="","",IPMT(Rate,ROWS($1:1392),Nper,-PV,,Type))</f>
        <v/>
      </c>
      <c r="J1404" s="73" t="str">
        <f t="shared" ref="J1404:K1404" si="1394">IF($B1404="","",N(J1403)+N(H1404))</f>
        <v/>
      </c>
      <c r="K1404" s="74" t="str">
        <f t="shared" si="1394"/>
        <v/>
      </c>
      <c r="L1404" s="69" t="str">
        <f>IF($B1404="","",PV-J1404)</f>
        <v/>
      </c>
      <c r="M1404" s="71" t="str">
        <f>IF($B1404="","",J1404/PV)</f>
        <v/>
      </c>
      <c r="N1404" s="72" t="str">
        <f t="shared" si="4"/>
        <v/>
      </c>
    </row>
    <row r="1405" ht="14.25" customHeight="1">
      <c r="B1405" s="66" t="str">
        <f>IF(ROWS($1:1393)&lt;=Nper,ROWS($1:1393),"")</f>
        <v/>
      </c>
      <c r="C1405" s="67" t="str">
        <f>IF($B1405="","",IF($E$7="Weekly",Start_Date+7*(ROWS($1:1393)-1),EDATE(Start_Date,VLOOKUP(IF(ASTemp!$E$7="","Monthly",ASTemp!$E$7),Parameters!$B$3:$D$6,3,0)*(ROWS($1:1393)-1))))</f>
        <v/>
      </c>
      <c r="D1405" s="68" t="str">
        <f t="shared" si="2"/>
        <v/>
      </c>
      <c r="E1405" s="65" t="str">
        <f>IF($B1405="","",VLOOKUP(MONTH(C1405),Parameters!$F$2:$G$13,2,0))</f>
        <v/>
      </c>
      <c r="F1405" s="69" t="str">
        <f>IF($B1405="","",PV-N(J1404))</f>
        <v/>
      </c>
      <c r="G1405" s="69" t="str">
        <f>IF($B1405="","",PMT(Rate,Nper,-PV,,Type))</f>
        <v/>
      </c>
      <c r="H1405" s="69" t="str">
        <f>IF($B1405="","",PPMT(Rate,ROWS($1:1393),Nper,-PV,,Type))</f>
        <v/>
      </c>
      <c r="I1405" s="69" t="str">
        <f>IF($B1405="","",IPMT(Rate,ROWS($1:1393),Nper,-PV,,Type))</f>
        <v/>
      </c>
      <c r="J1405" s="73" t="str">
        <f t="shared" ref="J1405:K1405" si="1395">IF($B1405="","",N(J1404)+N(H1405))</f>
        <v/>
      </c>
      <c r="K1405" s="74" t="str">
        <f t="shared" si="1395"/>
        <v/>
      </c>
      <c r="L1405" s="69" t="str">
        <f>IF($B1405="","",PV-J1405)</f>
        <v/>
      </c>
      <c r="M1405" s="71" t="str">
        <f>IF($B1405="","",J1405/PV)</f>
        <v/>
      </c>
      <c r="N1405" s="72" t="str">
        <f t="shared" si="4"/>
        <v/>
      </c>
    </row>
    <row r="1406" ht="14.25" customHeight="1">
      <c r="B1406" s="66" t="str">
        <f>IF(ROWS($1:1394)&lt;=Nper,ROWS($1:1394),"")</f>
        <v/>
      </c>
      <c r="C1406" s="67" t="str">
        <f>IF($B1406="","",IF($E$7="Weekly",Start_Date+7*(ROWS($1:1394)-1),EDATE(Start_Date,VLOOKUP(IF(ASTemp!$E$7="","Monthly",ASTemp!$E$7),Parameters!$B$3:$D$6,3,0)*(ROWS($1:1394)-1))))</f>
        <v/>
      </c>
      <c r="D1406" s="68" t="str">
        <f t="shared" si="2"/>
        <v/>
      </c>
      <c r="E1406" s="65" t="str">
        <f>IF($B1406="","",VLOOKUP(MONTH(C1406),Parameters!$F$2:$G$13,2,0))</f>
        <v/>
      </c>
      <c r="F1406" s="69" t="str">
        <f>IF($B1406="","",PV-N(J1405))</f>
        <v/>
      </c>
      <c r="G1406" s="69" t="str">
        <f>IF($B1406="","",PMT(Rate,Nper,-PV,,Type))</f>
        <v/>
      </c>
      <c r="H1406" s="69" t="str">
        <f>IF($B1406="","",PPMT(Rate,ROWS($1:1394),Nper,-PV,,Type))</f>
        <v/>
      </c>
      <c r="I1406" s="69" t="str">
        <f>IF($B1406="","",IPMT(Rate,ROWS($1:1394),Nper,-PV,,Type))</f>
        <v/>
      </c>
      <c r="J1406" s="73" t="str">
        <f t="shared" ref="J1406:K1406" si="1396">IF($B1406="","",N(J1405)+N(H1406))</f>
        <v/>
      </c>
      <c r="K1406" s="74" t="str">
        <f t="shared" si="1396"/>
        <v/>
      </c>
      <c r="L1406" s="69" t="str">
        <f>IF($B1406="","",PV-J1406)</f>
        <v/>
      </c>
      <c r="M1406" s="71" t="str">
        <f>IF($B1406="","",J1406/PV)</f>
        <v/>
      </c>
      <c r="N1406" s="72" t="str">
        <f t="shared" si="4"/>
        <v/>
      </c>
    </row>
    <row r="1407" ht="14.25" customHeight="1">
      <c r="B1407" s="66" t="str">
        <f>IF(ROWS($1:1395)&lt;=Nper,ROWS($1:1395),"")</f>
        <v/>
      </c>
      <c r="C1407" s="67" t="str">
        <f>IF($B1407="","",IF($E$7="Weekly",Start_Date+7*(ROWS($1:1395)-1),EDATE(Start_Date,VLOOKUP(IF(ASTemp!$E$7="","Monthly",ASTemp!$E$7),Parameters!$B$3:$D$6,3,0)*(ROWS($1:1395)-1))))</f>
        <v/>
      </c>
      <c r="D1407" s="68" t="str">
        <f t="shared" si="2"/>
        <v/>
      </c>
      <c r="E1407" s="65" t="str">
        <f>IF($B1407="","",VLOOKUP(MONTH(C1407),Parameters!$F$2:$G$13,2,0))</f>
        <v/>
      </c>
      <c r="F1407" s="69" t="str">
        <f>IF($B1407="","",PV-N(J1406))</f>
        <v/>
      </c>
      <c r="G1407" s="69" t="str">
        <f>IF($B1407="","",PMT(Rate,Nper,-PV,,Type))</f>
        <v/>
      </c>
      <c r="H1407" s="69" t="str">
        <f>IF($B1407="","",PPMT(Rate,ROWS($1:1395),Nper,-PV,,Type))</f>
        <v/>
      </c>
      <c r="I1407" s="69" t="str">
        <f>IF($B1407="","",IPMT(Rate,ROWS($1:1395),Nper,-PV,,Type))</f>
        <v/>
      </c>
      <c r="J1407" s="73" t="str">
        <f t="shared" ref="J1407:K1407" si="1397">IF($B1407="","",N(J1406)+N(H1407))</f>
        <v/>
      </c>
      <c r="K1407" s="74" t="str">
        <f t="shared" si="1397"/>
        <v/>
      </c>
      <c r="L1407" s="69" t="str">
        <f>IF($B1407="","",PV-J1407)</f>
        <v/>
      </c>
      <c r="M1407" s="71" t="str">
        <f>IF($B1407="","",J1407/PV)</f>
        <v/>
      </c>
      <c r="N1407" s="72" t="str">
        <f t="shared" si="4"/>
        <v/>
      </c>
    </row>
    <row r="1408" ht="14.25" customHeight="1">
      <c r="B1408" s="66" t="str">
        <f>IF(ROWS($1:1396)&lt;=Nper,ROWS($1:1396),"")</f>
        <v/>
      </c>
      <c r="C1408" s="67" t="str">
        <f>IF($B1408="","",IF($E$7="Weekly",Start_Date+7*(ROWS($1:1396)-1),EDATE(Start_Date,VLOOKUP(IF(ASTemp!$E$7="","Monthly",ASTemp!$E$7),Parameters!$B$3:$D$6,3,0)*(ROWS($1:1396)-1))))</f>
        <v/>
      </c>
      <c r="D1408" s="68" t="str">
        <f t="shared" si="2"/>
        <v/>
      </c>
      <c r="E1408" s="65" t="str">
        <f>IF($B1408="","",VLOOKUP(MONTH(C1408),Parameters!$F$2:$G$13,2,0))</f>
        <v/>
      </c>
      <c r="F1408" s="69" t="str">
        <f>IF($B1408="","",PV-N(J1407))</f>
        <v/>
      </c>
      <c r="G1408" s="69" t="str">
        <f>IF($B1408="","",PMT(Rate,Nper,-PV,,Type))</f>
        <v/>
      </c>
      <c r="H1408" s="69" t="str">
        <f>IF($B1408="","",PPMT(Rate,ROWS($1:1396),Nper,-PV,,Type))</f>
        <v/>
      </c>
      <c r="I1408" s="69" t="str">
        <f>IF($B1408="","",IPMT(Rate,ROWS($1:1396),Nper,-PV,,Type))</f>
        <v/>
      </c>
      <c r="J1408" s="73" t="str">
        <f t="shared" ref="J1408:K1408" si="1398">IF($B1408="","",N(J1407)+N(H1408))</f>
        <v/>
      </c>
      <c r="K1408" s="74" t="str">
        <f t="shared" si="1398"/>
        <v/>
      </c>
      <c r="L1408" s="69" t="str">
        <f>IF($B1408="","",PV-J1408)</f>
        <v/>
      </c>
      <c r="M1408" s="71" t="str">
        <f>IF($B1408="","",J1408/PV)</f>
        <v/>
      </c>
      <c r="N1408" s="72" t="str">
        <f t="shared" si="4"/>
        <v/>
      </c>
    </row>
    <row r="1409" ht="14.25" customHeight="1">
      <c r="B1409" s="66" t="str">
        <f>IF(ROWS($1:1397)&lt;=Nper,ROWS($1:1397),"")</f>
        <v/>
      </c>
      <c r="C1409" s="67" t="str">
        <f>IF($B1409="","",IF($E$7="Weekly",Start_Date+7*(ROWS($1:1397)-1),EDATE(Start_Date,VLOOKUP(IF(ASTemp!$E$7="","Monthly",ASTemp!$E$7),Parameters!$B$3:$D$6,3,0)*(ROWS($1:1397)-1))))</f>
        <v/>
      </c>
      <c r="D1409" s="68" t="str">
        <f t="shared" si="2"/>
        <v/>
      </c>
      <c r="E1409" s="65" t="str">
        <f>IF($B1409="","",VLOOKUP(MONTH(C1409),Parameters!$F$2:$G$13,2,0))</f>
        <v/>
      </c>
      <c r="F1409" s="69" t="str">
        <f>IF($B1409="","",PV-N(J1408))</f>
        <v/>
      </c>
      <c r="G1409" s="69" t="str">
        <f>IF($B1409="","",PMT(Rate,Nper,-PV,,Type))</f>
        <v/>
      </c>
      <c r="H1409" s="69" t="str">
        <f>IF($B1409="","",PPMT(Rate,ROWS($1:1397),Nper,-PV,,Type))</f>
        <v/>
      </c>
      <c r="I1409" s="69" t="str">
        <f>IF($B1409="","",IPMT(Rate,ROWS($1:1397),Nper,-PV,,Type))</f>
        <v/>
      </c>
      <c r="J1409" s="73" t="str">
        <f t="shared" ref="J1409:K1409" si="1399">IF($B1409="","",N(J1408)+N(H1409))</f>
        <v/>
      </c>
      <c r="K1409" s="74" t="str">
        <f t="shared" si="1399"/>
        <v/>
      </c>
      <c r="L1409" s="69" t="str">
        <f>IF($B1409="","",PV-J1409)</f>
        <v/>
      </c>
      <c r="M1409" s="71" t="str">
        <f>IF($B1409="","",J1409/PV)</f>
        <v/>
      </c>
      <c r="N1409" s="72" t="str">
        <f t="shared" si="4"/>
        <v/>
      </c>
    </row>
    <row r="1410" ht="14.25" customHeight="1">
      <c r="B1410" s="66" t="str">
        <f>IF(ROWS($1:1398)&lt;=Nper,ROWS($1:1398),"")</f>
        <v/>
      </c>
      <c r="C1410" s="67" t="str">
        <f>IF($B1410="","",IF($E$7="Weekly",Start_Date+7*(ROWS($1:1398)-1),EDATE(Start_Date,VLOOKUP(IF(ASTemp!$E$7="","Monthly",ASTemp!$E$7),Parameters!$B$3:$D$6,3,0)*(ROWS($1:1398)-1))))</f>
        <v/>
      </c>
      <c r="D1410" s="68" t="str">
        <f t="shared" si="2"/>
        <v/>
      </c>
      <c r="E1410" s="65" t="str">
        <f>IF($B1410="","",VLOOKUP(MONTH(C1410),Parameters!$F$2:$G$13,2,0))</f>
        <v/>
      </c>
      <c r="F1410" s="69" t="str">
        <f>IF($B1410="","",PV-N(J1409))</f>
        <v/>
      </c>
      <c r="G1410" s="69" t="str">
        <f>IF($B1410="","",PMT(Rate,Nper,-PV,,Type))</f>
        <v/>
      </c>
      <c r="H1410" s="69" t="str">
        <f>IF($B1410="","",PPMT(Rate,ROWS($1:1398),Nper,-PV,,Type))</f>
        <v/>
      </c>
      <c r="I1410" s="69" t="str">
        <f>IF($B1410="","",IPMT(Rate,ROWS($1:1398),Nper,-PV,,Type))</f>
        <v/>
      </c>
      <c r="J1410" s="73" t="str">
        <f t="shared" ref="J1410:K1410" si="1400">IF($B1410="","",N(J1409)+N(H1410))</f>
        <v/>
      </c>
      <c r="K1410" s="74" t="str">
        <f t="shared" si="1400"/>
        <v/>
      </c>
      <c r="L1410" s="69" t="str">
        <f>IF($B1410="","",PV-J1410)</f>
        <v/>
      </c>
      <c r="M1410" s="71" t="str">
        <f>IF($B1410="","",J1410/PV)</f>
        <v/>
      </c>
      <c r="N1410" s="72" t="str">
        <f t="shared" si="4"/>
        <v/>
      </c>
    </row>
    <row r="1411" ht="14.25" customHeight="1">
      <c r="B1411" s="66" t="str">
        <f>IF(ROWS($1:1399)&lt;=Nper,ROWS($1:1399),"")</f>
        <v/>
      </c>
      <c r="C1411" s="67" t="str">
        <f>IF($B1411="","",IF($E$7="Weekly",Start_Date+7*(ROWS($1:1399)-1),EDATE(Start_Date,VLOOKUP(IF(ASTemp!$E$7="","Monthly",ASTemp!$E$7),Parameters!$B$3:$D$6,3,0)*(ROWS($1:1399)-1))))</f>
        <v/>
      </c>
      <c r="D1411" s="68" t="str">
        <f t="shared" si="2"/>
        <v/>
      </c>
      <c r="E1411" s="65" t="str">
        <f>IF($B1411="","",VLOOKUP(MONTH(C1411),Parameters!$F$2:$G$13,2,0))</f>
        <v/>
      </c>
      <c r="F1411" s="69" t="str">
        <f>IF($B1411="","",PV-N(J1410))</f>
        <v/>
      </c>
      <c r="G1411" s="69" t="str">
        <f>IF($B1411="","",PMT(Rate,Nper,-PV,,Type))</f>
        <v/>
      </c>
      <c r="H1411" s="69" t="str">
        <f>IF($B1411="","",PPMT(Rate,ROWS($1:1399),Nper,-PV,,Type))</f>
        <v/>
      </c>
      <c r="I1411" s="69" t="str">
        <f>IF($B1411="","",IPMT(Rate,ROWS($1:1399),Nper,-PV,,Type))</f>
        <v/>
      </c>
      <c r="J1411" s="73" t="str">
        <f t="shared" ref="J1411:K1411" si="1401">IF($B1411="","",N(J1410)+N(H1411))</f>
        <v/>
      </c>
      <c r="K1411" s="74" t="str">
        <f t="shared" si="1401"/>
        <v/>
      </c>
      <c r="L1411" s="69" t="str">
        <f>IF($B1411="","",PV-J1411)</f>
        <v/>
      </c>
      <c r="M1411" s="71" t="str">
        <f>IF($B1411="","",J1411/PV)</f>
        <v/>
      </c>
      <c r="N1411" s="72" t="str">
        <f t="shared" si="4"/>
        <v/>
      </c>
    </row>
    <row r="1412" ht="14.25" customHeight="1">
      <c r="B1412" s="66" t="str">
        <f>IF(ROWS($1:1400)&lt;=Nper,ROWS($1:1400),"")</f>
        <v/>
      </c>
      <c r="C1412" s="67" t="str">
        <f>IF($B1412="","",IF($E$7="Weekly",Start_Date+7*(ROWS($1:1400)-1),EDATE(Start_Date,VLOOKUP(IF(ASTemp!$E$7="","Monthly",ASTemp!$E$7),Parameters!$B$3:$D$6,3,0)*(ROWS($1:1400)-1))))</f>
        <v/>
      </c>
      <c r="D1412" s="68" t="str">
        <f t="shared" si="2"/>
        <v/>
      </c>
      <c r="E1412" s="65" t="str">
        <f>IF($B1412="","",VLOOKUP(MONTH(C1412),Parameters!$F$2:$G$13,2,0))</f>
        <v/>
      </c>
      <c r="F1412" s="69" t="str">
        <f>IF($B1412="","",PV-N(J1411))</f>
        <v/>
      </c>
      <c r="G1412" s="69" t="str">
        <f>IF($B1412="","",PMT(Rate,Nper,-PV,,Type))</f>
        <v/>
      </c>
      <c r="H1412" s="69" t="str">
        <f>IF($B1412="","",PPMT(Rate,ROWS($1:1400),Nper,-PV,,Type))</f>
        <v/>
      </c>
      <c r="I1412" s="69" t="str">
        <f>IF($B1412="","",IPMT(Rate,ROWS($1:1400),Nper,-PV,,Type))</f>
        <v/>
      </c>
      <c r="J1412" s="73" t="str">
        <f t="shared" ref="J1412:K1412" si="1402">IF($B1412="","",N(J1411)+N(H1412))</f>
        <v/>
      </c>
      <c r="K1412" s="74" t="str">
        <f t="shared" si="1402"/>
        <v/>
      </c>
      <c r="L1412" s="69" t="str">
        <f>IF($B1412="","",PV-J1412)</f>
        <v/>
      </c>
      <c r="M1412" s="71" t="str">
        <f>IF($B1412="","",J1412/PV)</f>
        <v/>
      </c>
      <c r="N1412" s="72" t="str">
        <f t="shared" si="4"/>
        <v/>
      </c>
    </row>
    <row r="1413" ht="14.25" customHeight="1">
      <c r="B1413" s="66" t="str">
        <f>IF(ROWS($1:1401)&lt;=Nper,ROWS($1:1401),"")</f>
        <v/>
      </c>
      <c r="C1413" s="67" t="str">
        <f>IF($B1413="","",IF($E$7="Weekly",Start_Date+7*(ROWS($1:1401)-1),EDATE(Start_Date,VLOOKUP(IF(ASTemp!$E$7="","Monthly",ASTemp!$E$7),Parameters!$B$3:$D$6,3,0)*(ROWS($1:1401)-1))))</f>
        <v/>
      </c>
      <c r="D1413" s="68" t="str">
        <f t="shared" si="2"/>
        <v/>
      </c>
      <c r="E1413" s="65" t="str">
        <f>IF($B1413="","",VLOOKUP(MONTH(C1413),Parameters!$F$2:$G$13,2,0))</f>
        <v/>
      </c>
      <c r="F1413" s="69" t="str">
        <f>IF($B1413="","",PV-N(J1412))</f>
        <v/>
      </c>
      <c r="G1413" s="69" t="str">
        <f>IF($B1413="","",PMT(Rate,Nper,-PV,,Type))</f>
        <v/>
      </c>
      <c r="H1413" s="69" t="str">
        <f>IF($B1413="","",PPMT(Rate,ROWS($1:1401),Nper,-PV,,Type))</f>
        <v/>
      </c>
      <c r="I1413" s="69" t="str">
        <f>IF($B1413="","",IPMT(Rate,ROWS($1:1401),Nper,-PV,,Type))</f>
        <v/>
      </c>
      <c r="J1413" s="73" t="str">
        <f t="shared" ref="J1413:K1413" si="1403">IF($B1413="","",N(J1412)+N(H1413))</f>
        <v/>
      </c>
      <c r="K1413" s="74" t="str">
        <f t="shared" si="1403"/>
        <v/>
      </c>
      <c r="L1413" s="69" t="str">
        <f>IF($B1413="","",PV-J1413)</f>
        <v/>
      </c>
      <c r="M1413" s="71" t="str">
        <f>IF($B1413="","",J1413/PV)</f>
        <v/>
      </c>
      <c r="N1413" s="72" t="str">
        <f t="shared" si="4"/>
        <v/>
      </c>
    </row>
    <row r="1414" ht="14.25" customHeight="1">
      <c r="B1414" s="66" t="str">
        <f>IF(ROWS($1:1402)&lt;=Nper,ROWS($1:1402),"")</f>
        <v/>
      </c>
      <c r="C1414" s="67" t="str">
        <f>IF($B1414="","",IF($E$7="Weekly",Start_Date+7*(ROWS($1:1402)-1),EDATE(Start_Date,VLOOKUP(IF(ASTemp!$E$7="","Monthly",ASTemp!$E$7),Parameters!$B$3:$D$6,3,0)*(ROWS($1:1402)-1))))</f>
        <v/>
      </c>
      <c r="D1414" s="68" t="str">
        <f t="shared" si="2"/>
        <v/>
      </c>
      <c r="E1414" s="65" t="str">
        <f>IF($B1414="","",VLOOKUP(MONTH(C1414),Parameters!$F$2:$G$13,2,0))</f>
        <v/>
      </c>
      <c r="F1414" s="69" t="str">
        <f>IF($B1414="","",PV-N(J1413))</f>
        <v/>
      </c>
      <c r="G1414" s="69" t="str">
        <f>IF($B1414="","",PMT(Rate,Nper,-PV,,Type))</f>
        <v/>
      </c>
      <c r="H1414" s="69" t="str">
        <f>IF($B1414="","",PPMT(Rate,ROWS($1:1402),Nper,-PV,,Type))</f>
        <v/>
      </c>
      <c r="I1414" s="69" t="str">
        <f>IF($B1414="","",IPMT(Rate,ROWS($1:1402),Nper,-PV,,Type))</f>
        <v/>
      </c>
      <c r="J1414" s="73" t="str">
        <f t="shared" ref="J1414:K1414" si="1404">IF($B1414="","",N(J1413)+N(H1414))</f>
        <v/>
      </c>
      <c r="K1414" s="74" t="str">
        <f t="shared" si="1404"/>
        <v/>
      </c>
      <c r="L1414" s="69" t="str">
        <f>IF($B1414="","",PV-J1414)</f>
        <v/>
      </c>
      <c r="M1414" s="71" t="str">
        <f>IF($B1414="","",J1414/PV)</f>
        <v/>
      </c>
      <c r="N1414" s="72" t="str">
        <f t="shared" si="4"/>
        <v/>
      </c>
    </row>
    <row r="1415" ht="14.25" customHeight="1">
      <c r="B1415" s="66" t="str">
        <f>IF(ROWS($1:1403)&lt;=Nper,ROWS($1:1403),"")</f>
        <v/>
      </c>
      <c r="C1415" s="67" t="str">
        <f>IF($B1415="","",IF($E$7="Weekly",Start_Date+7*(ROWS($1:1403)-1),EDATE(Start_Date,VLOOKUP(IF(ASTemp!$E$7="","Monthly",ASTemp!$E$7),Parameters!$B$3:$D$6,3,0)*(ROWS($1:1403)-1))))</f>
        <v/>
      </c>
      <c r="D1415" s="68" t="str">
        <f t="shared" si="2"/>
        <v/>
      </c>
      <c r="E1415" s="65" t="str">
        <f>IF($B1415="","",VLOOKUP(MONTH(C1415),Parameters!$F$2:$G$13,2,0))</f>
        <v/>
      </c>
      <c r="F1415" s="69" t="str">
        <f>IF($B1415="","",PV-N(J1414))</f>
        <v/>
      </c>
      <c r="G1415" s="69" t="str">
        <f>IF($B1415="","",PMT(Rate,Nper,-PV,,Type))</f>
        <v/>
      </c>
      <c r="H1415" s="69" t="str">
        <f>IF($B1415="","",PPMT(Rate,ROWS($1:1403),Nper,-PV,,Type))</f>
        <v/>
      </c>
      <c r="I1415" s="69" t="str">
        <f>IF($B1415="","",IPMT(Rate,ROWS($1:1403),Nper,-PV,,Type))</f>
        <v/>
      </c>
      <c r="J1415" s="73" t="str">
        <f t="shared" ref="J1415:K1415" si="1405">IF($B1415="","",N(J1414)+N(H1415))</f>
        <v/>
      </c>
      <c r="K1415" s="74" t="str">
        <f t="shared" si="1405"/>
        <v/>
      </c>
      <c r="L1415" s="69" t="str">
        <f>IF($B1415="","",PV-J1415)</f>
        <v/>
      </c>
      <c r="M1415" s="71" t="str">
        <f>IF($B1415="","",J1415/PV)</f>
        <v/>
      </c>
      <c r="N1415" s="72" t="str">
        <f t="shared" si="4"/>
        <v/>
      </c>
    </row>
    <row r="1416" ht="14.25" customHeight="1">
      <c r="B1416" s="66" t="str">
        <f>IF(ROWS($1:1404)&lt;=Nper,ROWS($1:1404),"")</f>
        <v/>
      </c>
      <c r="C1416" s="67" t="str">
        <f>IF($B1416="","",IF($E$7="Weekly",Start_Date+7*(ROWS($1:1404)-1),EDATE(Start_Date,VLOOKUP(IF(ASTemp!$E$7="","Monthly",ASTemp!$E$7),Parameters!$B$3:$D$6,3,0)*(ROWS($1:1404)-1))))</f>
        <v/>
      </c>
      <c r="D1416" s="68" t="str">
        <f t="shared" si="2"/>
        <v/>
      </c>
      <c r="E1416" s="65" t="str">
        <f>IF($B1416="","",VLOOKUP(MONTH(C1416),Parameters!$F$2:$G$13,2,0))</f>
        <v/>
      </c>
      <c r="F1416" s="69" t="str">
        <f>IF($B1416="","",PV-N(J1415))</f>
        <v/>
      </c>
      <c r="G1416" s="69" t="str">
        <f>IF($B1416="","",PMT(Rate,Nper,-PV,,Type))</f>
        <v/>
      </c>
      <c r="H1416" s="69" t="str">
        <f>IF($B1416="","",PPMT(Rate,ROWS($1:1404),Nper,-PV,,Type))</f>
        <v/>
      </c>
      <c r="I1416" s="69" t="str">
        <f>IF($B1416="","",IPMT(Rate,ROWS($1:1404),Nper,-PV,,Type))</f>
        <v/>
      </c>
      <c r="J1416" s="73" t="str">
        <f t="shared" ref="J1416:K1416" si="1406">IF($B1416="","",N(J1415)+N(H1416))</f>
        <v/>
      </c>
      <c r="K1416" s="74" t="str">
        <f t="shared" si="1406"/>
        <v/>
      </c>
      <c r="L1416" s="69" t="str">
        <f>IF($B1416="","",PV-J1416)</f>
        <v/>
      </c>
      <c r="M1416" s="71" t="str">
        <f>IF($B1416="","",J1416/PV)</f>
        <v/>
      </c>
      <c r="N1416" s="72" t="str">
        <f t="shared" si="4"/>
        <v/>
      </c>
    </row>
    <row r="1417" ht="14.25" customHeight="1">
      <c r="B1417" s="66" t="str">
        <f>IF(ROWS($1:1405)&lt;=Nper,ROWS($1:1405),"")</f>
        <v/>
      </c>
      <c r="C1417" s="67" t="str">
        <f>IF($B1417="","",IF($E$7="Weekly",Start_Date+7*(ROWS($1:1405)-1),EDATE(Start_Date,VLOOKUP(IF(ASTemp!$E$7="","Monthly",ASTemp!$E$7),Parameters!$B$3:$D$6,3,0)*(ROWS($1:1405)-1))))</f>
        <v/>
      </c>
      <c r="D1417" s="68" t="str">
        <f t="shared" si="2"/>
        <v/>
      </c>
      <c r="E1417" s="65" t="str">
        <f>IF($B1417="","",VLOOKUP(MONTH(C1417),Parameters!$F$2:$G$13,2,0))</f>
        <v/>
      </c>
      <c r="F1417" s="69" t="str">
        <f>IF($B1417="","",PV-N(J1416))</f>
        <v/>
      </c>
      <c r="G1417" s="69" t="str">
        <f>IF($B1417="","",PMT(Rate,Nper,-PV,,Type))</f>
        <v/>
      </c>
      <c r="H1417" s="69" t="str">
        <f>IF($B1417="","",PPMT(Rate,ROWS($1:1405),Nper,-PV,,Type))</f>
        <v/>
      </c>
      <c r="I1417" s="69" t="str">
        <f>IF($B1417="","",IPMT(Rate,ROWS($1:1405),Nper,-PV,,Type))</f>
        <v/>
      </c>
      <c r="J1417" s="73" t="str">
        <f t="shared" ref="J1417:K1417" si="1407">IF($B1417="","",N(J1416)+N(H1417))</f>
        <v/>
      </c>
      <c r="K1417" s="74" t="str">
        <f t="shared" si="1407"/>
        <v/>
      </c>
      <c r="L1417" s="69" t="str">
        <f>IF($B1417="","",PV-J1417)</f>
        <v/>
      </c>
      <c r="M1417" s="71" t="str">
        <f>IF($B1417="","",J1417/PV)</f>
        <v/>
      </c>
      <c r="N1417" s="72" t="str">
        <f t="shared" si="4"/>
        <v/>
      </c>
    </row>
    <row r="1418" ht="14.25" customHeight="1">
      <c r="B1418" s="66" t="str">
        <f>IF(ROWS($1:1406)&lt;=Nper,ROWS($1:1406),"")</f>
        <v/>
      </c>
      <c r="C1418" s="67" t="str">
        <f>IF($B1418="","",IF($E$7="Weekly",Start_Date+7*(ROWS($1:1406)-1),EDATE(Start_Date,VLOOKUP(IF(ASTemp!$E$7="","Monthly",ASTemp!$E$7),Parameters!$B$3:$D$6,3,0)*(ROWS($1:1406)-1))))</f>
        <v/>
      </c>
      <c r="D1418" s="68" t="str">
        <f t="shared" si="2"/>
        <v/>
      </c>
      <c r="E1418" s="65" t="str">
        <f>IF($B1418="","",VLOOKUP(MONTH(C1418),Parameters!$F$2:$G$13,2,0))</f>
        <v/>
      </c>
      <c r="F1418" s="69" t="str">
        <f>IF($B1418="","",PV-N(J1417))</f>
        <v/>
      </c>
      <c r="G1418" s="69" t="str">
        <f>IF($B1418="","",PMT(Rate,Nper,-PV,,Type))</f>
        <v/>
      </c>
      <c r="H1418" s="69" t="str">
        <f>IF($B1418="","",PPMT(Rate,ROWS($1:1406),Nper,-PV,,Type))</f>
        <v/>
      </c>
      <c r="I1418" s="69" t="str">
        <f>IF($B1418="","",IPMT(Rate,ROWS($1:1406),Nper,-PV,,Type))</f>
        <v/>
      </c>
      <c r="J1418" s="73" t="str">
        <f t="shared" ref="J1418:K1418" si="1408">IF($B1418="","",N(J1417)+N(H1418))</f>
        <v/>
      </c>
      <c r="K1418" s="74" t="str">
        <f t="shared" si="1408"/>
        <v/>
      </c>
      <c r="L1418" s="69" t="str">
        <f>IF($B1418="","",PV-J1418)</f>
        <v/>
      </c>
      <c r="M1418" s="71" t="str">
        <f>IF($B1418="","",J1418/PV)</f>
        <v/>
      </c>
      <c r="N1418" s="72" t="str">
        <f t="shared" si="4"/>
        <v/>
      </c>
    </row>
    <row r="1419" ht="14.25" customHeight="1">
      <c r="B1419" s="66" t="str">
        <f>IF(ROWS($1:1407)&lt;=Nper,ROWS($1:1407),"")</f>
        <v/>
      </c>
      <c r="C1419" s="67" t="str">
        <f>IF($B1419="","",IF($E$7="Weekly",Start_Date+7*(ROWS($1:1407)-1),EDATE(Start_Date,VLOOKUP(IF(ASTemp!$E$7="","Monthly",ASTemp!$E$7),Parameters!$B$3:$D$6,3,0)*(ROWS($1:1407)-1))))</f>
        <v/>
      </c>
      <c r="D1419" s="68" t="str">
        <f t="shared" si="2"/>
        <v/>
      </c>
      <c r="E1419" s="65" t="str">
        <f>IF($B1419="","",VLOOKUP(MONTH(C1419),Parameters!$F$2:$G$13,2,0))</f>
        <v/>
      </c>
      <c r="F1419" s="69" t="str">
        <f>IF($B1419="","",PV-N(J1418))</f>
        <v/>
      </c>
      <c r="G1419" s="69" t="str">
        <f>IF($B1419="","",PMT(Rate,Nper,-PV,,Type))</f>
        <v/>
      </c>
      <c r="H1419" s="69" t="str">
        <f>IF($B1419="","",PPMT(Rate,ROWS($1:1407),Nper,-PV,,Type))</f>
        <v/>
      </c>
      <c r="I1419" s="69" t="str">
        <f>IF($B1419="","",IPMT(Rate,ROWS($1:1407),Nper,-PV,,Type))</f>
        <v/>
      </c>
      <c r="J1419" s="73" t="str">
        <f t="shared" ref="J1419:K1419" si="1409">IF($B1419="","",N(J1418)+N(H1419))</f>
        <v/>
      </c>
      <c r="K1419" s="74" t="str">
        <f t="shared" si="1409"/>
        <v/>
      </c>
      <c r="L1419" s="69" t="str">
        <f>IF($B1419="","",PV-J1419)</f>
        <v/>
      </c>
      <c r="M1419" s="71" t="str">
        <f>IF($B1419="","",J1419/PV)</f>
        <v/>
      </c>
      <c r="N1419" s="72" t="str">
        <f t="shared" si="4"/>
        <v/>
      </c>
    </row>
    <row r="1420" ht="14.25" customHeight="1">
      <c r="B1420" s="66" t="str">
        <f>IF(ROWS($1:1408)&lt;=Nper,ROWS($1:1408),"")</f>
        <v/>
      </c>
      <c r="C1420" s="67" t="str">
        <f>IF($B1420="","",IF($E$7="Weekly",Start_Date+7*(ROWS($1:1408)-1),EDATE(Start_Date,VLOOKUP(IF(ASTemp!$E$7="","Monthly",ASTemp!$E$7),Parameters!$B$3:$D$6,3,0)*(ROWS($1:1408)-1))))</f>
        <v/>
      </c>
      <c r="D1420" s="68" t="str">
        <f t="shared" si="2"/>
        <v/>
      </c>
      <c r="E1420" s="65" t="str">
        <f>IF($B1420="","",VLOOKUP(MONTH(C1420),Parameters!$F$2:$G$13,2,0))</f>
        <v/>
      </c>
      <c r="F1420" s="69" t="str">
        <f>IF($B1420="","",PV-N(J1419))</f>
        <v/>
      </c>
      <c r="G1420" s="69" t="str">
        <f>IF($B1420="","",PMT(Rate,Nper,-PV,,Type))</f>
        <v/>
      </c>
      <c r="H1420" s="69" t="str">
        <f>IF($B1420="","",PPMT(Rate,ROWS($1:1408),Nper,-PV,,Type))</f>
        <v/>
      </c>
      <c r="I1420" s="69" t="str">
        <f>IF($B1420="","",IPMT(Rate,ROWS($1:1408),Nper,-PV,,Type))</f>
        <v/>
      </c>
      <c r="J1420" s="73" t="str">
        <f t="shared" ref="J1420:K1420" si="1410">IF($B1420="","",N(J1419)+N(H1420))</f>
        <v/>
      </c>
      <c r="K1420" s="74" t="str">
        <f t="shared" si="1410"/>
        <v/>
      </c>
      <c r="L1420" s="69" t="str">
        <f>IF($B1420="","",PV-J1420)</f>
        <v/>
      </c>
      <c r="M1420" s="71" t="str">
        <f>IF($B1420="","",J1420/PV)</f>
        <v/>
      </c>
      <c r="N1420" s="72" t="str">
        <f t="shared" si="4"/>
        <v/>
      </c>
    </row>
    <row r="1421" ht="14.25" customHeight="1">
      <c r="B1421" s="66" t="str">
        <f>IF(ROWS($1:1409)&lt;=Nper,ROWS($1:1409),"")</f>
        <v/>
      </c>
      <c r="C1421" s="67" t="str">
        <f>IF($B1421="","",IF($E$7="Weekly",Start_Date+7*(ROWS($1:1409)-1),EDATE(Start_Date,VLOOKUP(IF(ASTemp!$E$7="","Monthly",ASTemp!$E$7),Parameters!$B$3:$D$6,3,0)*(ROWS($1:1409)-1))))</f>
        <v/>
      </c>
      <c r="D1421" s="68" t="str">
        <f t="shared" si="2"/>
        <v/>
      </c>
      <c r="E1421" s="65" t="str">
        <f>IF($B1421="","",VLOOKUP(MONTH(C1421),Parameters!$F$2:$G$13,2,0))</f>
        <v/>
      </c>
      <c r="F1421" s="69" t="str">
        <f>IF($B1421="","",PV-N(J1420))</f>
        <v/>
      </c>
      <c r="G1421" s="69" t="str">
        <f>IF($B1421="","",PMT(Rate,Nper,-PV,,Type))</f>
        <v/>
      </c>
      <c r="H1421" s="69" t="str">
        <f>IF($B1421="","",PPMT(Rate,ROWS($1:1409),Nper,-PV,,Type))</f>
        <v/>
      </c>
      <c r="I1421" s="69" t="str">
        <f>IF($B1421="","",IPMT(Rate,ROWS($1:1409),Nper,-PV,,Type))</f>
        <v/>
      </c>
      <c r="J1421" s="73" t="str">
        <f t="shared" ref="J1421:K1421" si="1411">IF($B1421="","",N(J1420)+N(H1421))</f>
        <v/>
      </c>
      <c r="K1421" s="74" t="str">
        <f t="shared" si="1411"/>
        <v/>
      </c>
      <c r="L1421" s="69" t="str">
        <f>IF($B1421="","",PV-J1421)</f>
        <v/>
      </c>
      <c r="M1421" s="71" t="str">
        <f>IF($B1421="","",J1421/PV)</f>
        <v/>
      </c>
      <c r="N1421" s="72" t="str">
        <f t="shared" si="4"/>
        <v/>
      </c>
    </row>
    <row r="1422" ht="14.25" customHeight="1">
      <c r="B1422" s="66" t="str">
        <f>IF(ROWS($1:1410)&lt;=Nper,ROWS($1:1410),"")</f>
        <v/>
      </c>
      <c r="C1422" s="67" t="str">
        <f>IF($B1422="","",IF($E$7="Weekly",Start_Date+7*(ROWS($1:1410)-1),EDATE(Start_Date,VLOOKUP(IF(ASTemp!$E$7="","Monthly",ASTemp!$E$7),Parameters!$B$3:$D$6,3,0)*(ROWS($1:1410)-1))))</f>
        <v/>
      </c>
      <c r="D1422" s="68" t="str">
        <f t="shared" si="2"/>
        <v/>
      </c>
      <c r="E1422" s="65" t="str">
        <f>IF($B1422="","",VLOOKUP(MONTH(C1422),Parameters!$F$2:$G$13,2,0))</f>
        <v/>
      </c>
      <c r="F1422" s="69" t="str">
        <f>IF($B1422="","",PV-N(J1421))</f>
        <v/>
      </c>
      <c r="G1422" s="69" t="str">
        <f>IF($B1422="","",PMT(Rate,Nper,-PV,,Type))</f>
        <v/>
      </c>
      <c r="H1422" s="69" t="str">
        <f>IF($B1422="","",PPMT(Rate,ROWS($1:1410),Nper,-PV,,Type))</f>
        <v/>
      </c>
      <c r="I1422" s="69" t="str">
        <f>IF($B1422="","",IPMT(Rate,ROWS($1:1410),Nper,-PV,,Type))</f>
        <v/>
      </c>
      <c r="J1422" s="73" t="str">
        <f t="shared" ref="J1422:K1422" si="1412">IF($B1422="","",N(J1421)+N(H1422))</f>
        <v/>
      </c>
      <c r="K1422" s="74" t="str">
        <f t="shared" si="1412"/>
        <v/>
      </c>
      <c r="L1422" s="69" t="str">
        <f>IF($B1422="","",PV-J1422)</f>
        <v/>
      </c>
      <c r="M1422" s="71" t="str">
        <f>IF($B1422="","",J1422/PV)</f>
        <v/>
      </c>
      <c r="N1422" s="72" t="str">
        <f t="shared" si="4"/>
        <v/>
      </c>
    </row>
    <row r="1423" ht="14.25" customHeight="1">
      <c r="B1423" s="66" t="str">
        <f>IF(ROWS($1:1411)&lt;=Nper,ROWS($1:1411),"")</f>
        <v/>
      </c>
      <c r="C1423" s="67" t="str">
        <f>IF($B1423="","",IF($E$7="Weekly",Start_Date+7*(ROWS($1:1411)-1),EDATE(Start_Date,VLOOKUP(IF(ASTemp!$E$7="","Monthly",ASTemp!$E$7),Parameters!$B$3:$D$6,3,0)*(ROWS($1:1411)-1))))</f>
        <v/>
      </c>
      <c r="D1423" s="68" t="str">
        <f t="shared" si="2"/>
        <v/>
      </c>
      <c r="E1423" s="65" t="str">
        <f>IF($B1423="","",VLOOKUP(MONTH(C1423),Parameters!$F$2:$G$13,2,0))</f>
        <v/>
      </c>
      <c r="F1423" s="69" t="str">
        <f>IF($B1423="","",PV-N(J1422))</f>
        <v/>
      </c>
      <c r="G1423" s="69" t="str">
        <f>IF($B1423="","",PMT(Rate,Nper,-PV,,Type))</f>
        <v/>
      </c>
      <c r="H1423" s="69" t="str">
        <f>IF($B1423="","",PPMT(Rate,ROWS($1:1411),Nper,-PV,,Type))</f>
        <v/>
      </c>
      <c r="I1423" s="69" t="str">
        <f>IF($B1423="","",IPMT(Rate,ROWS($1:1411),Nper,-PV,,Type))</f>
        <v/>
      </c>
      <c r="J1423" s="73" t="str">
        <f t="shared" ref="J1423:K1423" si="1413">IF($B1423="","",N(J1422)+N(H1423))</f>
        <v/>
      </c>
      <c r="K1423" s="74" t="str">
        <f t="shared" si="1413"/>
        <v/>
      </c>
      <c r="L1423" s="69" t="str">
        <f>IF($B1423="","",PV-J1423)</f>
        <v/>
      </c>
      <c r="M1423" s="71" t="str">
        <f>IF($B1423="","",J1423/PV)</f>
        <v/>
      </c>
      <c r="N1423" s="72" t="str">
        <f t="shared" si="4"/>
        <v/>
      </c>
    </row>
    <row r="1424" ht="14.25" customHeight="1">
      <c r="B1424" s="66" t="str">
        <f>IF(ROWS($1:1412)&lt;=Nper,ROWS($1:1412),"")</f>
        <v/>
      </c>
      <c r="C1424" s="67" t="str">
        <f>IF($B1424="","",IF($E$7="Weekly",Start_Date+7*(ROWS($1:1412)-1),EDATE(Start_Date,VLOOKUP(IF(ASTemp!$E$7="","Monthly",ASTemp!$E$7),Parameters!$B$3:$D$6,3,0)*(ROWS($1:1412)-1))))</f>
        <v/>
      </c>
      <c r="D1424" s="68" t="str">
        <f t="shared" si="2"/>
        <v/>
      </c>
      <c r="E1424" s="65" t="str">
        <f>IF($B1424="","",VLOOKUP(MONTH(C1424),Parameters!$F$2:$G$13,2,0))</f>
        <v/>
      </c>
      <c r="F1424" s="69" t="str">
        <f>IF($B1424="","",PV-N(J1423))</f>
        <v/>
      </c>
      <c r="G1424" s="69" t="str">
        <f>IF($B1424="","",PMT(Rate,Nper,-PV,,Type))</f>
        <v/>
      </c>
      <c r="H1424" s="69" t="str">
        <f>IF($B1424="","",PPMT(Rate,ROWS($1:1412),Nper,-PV,,Type))</f>
        <v/>
      </c>
      <c r="I1424" s="69" t="str">
        <f>IF($B1424="","",IPMT(Rate,ROWS($1:1412),Nper,-PV,,Type))</f>
        <v/>
      </c>
      <c r="J1424" s="73" t="str">
        <f t="shared" ref="J1424:K1424" si="1414">IF($B1424="","",N(J1423)+N(H1424))</f>
        <v/>
      </c>
      <c r="K1424" s="74" t="str">
        <f t="shared" si="1414"/>
        <v/>
      </c>
      <c r="L1424" s="69" t="str">
        <f>IF($B1424="","",PV-J1424)</f>
        <v/>
      </c>
      <c r="M1424" s="71" t="str">
        <f>IF($B1424="","",J1424/PV)</f>
        <v/>
      </c>
      <c r="N1424" s="72" t="str">
        <f t="shared" si="4"/>
        <v/>
      </c>
    </row>
    <row r="1425" ht="14.25" customHeight="1">
      <c r="B1425" s="66" t="str">
        <f>IF(ROWS($1:1413)&lt;=Nper,ROWS($1:1413),"")</f>
        <v/>
      </c>
      <c r="C1425" s="67" t="str">
        <f>IF($B1425="","",IF($E$7="Weekly",Start_Date+7*(ROWS($1:1413)-1),EDATE(Start_Date,VLOOKUP(IF(ASTemp!$E$7="","Monthly",ASTemp!$E$7),Parameters!$B$3:$D$6,3,0)*(ROWS($1:1413)-1))))</f>
        <v/>
      </c>
      <c r="D1425" s="68" t="str">
        <f t="shared" si="2"/>
        <v/>
      </c>
      <c r="E1425" s="65" t="str">
        <f>IF($B1425="","",VLOOKUP(MONTH(C1425),Parameters!$F$2:$G$13,2,0))</f>
        <v/>
      </c>
      <c r="F1425" s="69" t="str">
        <f>IF($B1425="","",PV-N(J1424))</f>
        <v/>
      </c>
      <c r="G1425" s="69" t="str">
        <f>IF($B1425="","",PMT(Rate,Nper,-PV,,Type))</f>
        <v/>
      </c>
      <c r="H1425" s="69" t="str">
        <f>IF($B1425="","",PPMT(Rate,ROWS($1:1413),Nper,-PV,,Type))</f>
        <v/>
      </c>
      <c r="I1425" s="69" t="str">
        <f>IF($B1425="","",IPMT(Rate,ROWS($1:1413),Nper,-PV,,Type))</f>
        <v/>
      </c>
      <c r="J1425" s="73" t="str">
        <f t="shared" ref="J1425:K1425" si="1415">IF($B1425="","",N(J1424)+N(H1425))</f>
        <v/>
      </c>
      <c r="K1425" s="74" t="str">
        <f t="shared" si="1415"/>
        <v/>
      </c>
      <c r="L1425" s="69" t="str">
        <f>IF($B1425="","",PV-J1425)</f>
        <v/>
      </c>
      <c r="M1425" s="71" t="str">
        <f>IF($B1425="","",J1425/PV)</f>
        <v/>
      </c>
      <c r="N1425" s="72" t="str">
        <f t="shared" si="4"/>
        <v/>
      </c>
    </row>
    <row r="1426" ht="14.25" customHeight="1">
      <c r="B1426" s="66" t="str">
        <f>IF(ROWS($1:1414)&lt;=Nper,ROWS($1:1414),"")</f>
        <v/>
      </c>
      <c r="C1426" s="67" t="str">
        <f>IF($B1426="","",IF($E$7="Weekly",Start_Date+7*(ROWS($1:1414)-1),EDATE(Start_Date,VLOOKUP(IF(ASTemp!$E$7="","Monthly",ASTemp!$E$7),Parameters!$B$3:$D$6,3,0)*(ROWS($1:1414)-1))))</f>
        <v/>
      </c>
      <c r="D1426" s="68" t="str">
        <f t="shared" si="2"/>
        <v/>
      </c>
      <c r="E1426" s="65" t="str">
        <f>IF($B1426="","",VLOOKUP(MONTH(C1426),Parameters!$F$2:$G$13,2,0))</f>
        <v/>
      </c>
      <c r="F1426" s="69" t="str">
        <f>IF($B1426="","",PV-N(J1425))</f>
        <v/>
      </c>
      <c r="G1426" s="69" t="str">
        <f>IF($B1426="","",PMT(Rate,Nper,-PV,,Type))</f>
        <v/>
      </c>
      <c r="H1426" s="69" t="str">
        <f>IF($B1426="","",PPMT(Rate,ROWS($1:1414),Nper,-PV,,Type))</f>
        <v/>
      </c>
      <c r="I1426" s="69" t="str">
        <f>IF($B1426="","",IPMT(Rate,ROWS($1:1414),Nper,-PV,,Type))</f>
        <v/>
      </c>
      <c r="J1426" s="73" t="str">
        <f t="shared" ref="J1426:K1426" si="1416">IF($B1426="","",N(J1425)+N(H1426))</f>
        <v/>
      </c>
      <c r="K1426" s="74" t="str">
        <f t="shared" si="1416"/>
        <v/>
      </c>
      <c r="L1426" s="69" t="str">
        <f>IF($B1426="","",PV-J1426)</f>
        <v/>
      </c>
      <c r="M1426" s="71" t="str">
        <f>IF($B1426="","",J1426/PV)</f>
        <v/>
      </c>
      <c r="N1426" s="72" t="str">
        <f t="shared" si="4"/>
        <v/>
      </c>
    </row>
    <row r="1427" ht="14.25" customHeight="1">
      <c r="B1427" s="66" t="str">
        <f>IF(ROWS($1:1415)&lt;=Nper,ROWS($1:1415),"")</f>
        <v/>
      </c>
      <c r="C1427" s="67" t="str">
        <f>IF($B1427="","",IF($E$7="Weekly",Start_Date+7*(ROWS($1:1415)-1),EDATE(Start_Date,VLOOKUP(IF(ASTemp!$E$7="","Monthly",ASTemp!$E$7),Parameters!$B$3:$D$6,3,0)*(ROWS($1:1415)-1))))</f>
        <v/>
      </c>
      <c r="D1427" s="68" t="str">
        <f t="shared" si="2"/>
        <v/>
      </c>
      <c r="E1427" s="65" t="str">
        <f>IF($B1427="","",VLOOKUP(MONTH(C1427),Parameters!$F$2:$G$13,2,0))</f>
        <v/>
      </c>
      <c r="F1427" s="69" t="str">
        <f>IF($B1427="","",PV-N(J1426))</f>
        <v/>
      </c>
      <c r="G1427" s="69" t="str">
        <f>IF($B1427="","",PMT(Rate,Nper,-PV,,Type))</f>
        <v/>
      </c>
      <c r="H1427" s="69" t="str">
        <f>IF($B1427="","",PPMT(Rate,ROWS($1:1415),Nper,-PV,,Type))</f>
        <v/>
      </c>
      <c r="I1427" s="69" t="str">
        <f>IF($B1427="","",IPMT(Rate,ROWS($1:1415),Nper,-PV,,Type))</f>
        <v/>
      </c>
      <c r="J1427" s="73" t="str">
        <f t="shared" ref="J1427:K1427" si="1417">IF($B1427="","",N(J1426)+N(H1427))</f>
        <v/>
      </c>
      <c r="K1427" s="74" t="str">
        <f t="shared" si="1417"/>
        <v/>
      </c>
      <c r="L1427" s="69" t="str">
        <f>IF($B1427="","",PV-J1427)</f>
        <v/>
      </c>
      <c r="M1427" s="71" t="str">
        <f>IF($B1427="","",J1427/PV)</f>
        <v/>
      </c>
      <c r="N1427" s="72" t="str">
        <f t="shared" si="4"/>
        <v/>
      </c>
    </row>
    <row r="1428" ht="14.25" customHeight="1">
      <c r="B1428" s="66" t="str">
        <f>IF(ROWS($1:1416)&lt;=Nper,ROWS($1:1416),"")</f>
        <v/>
      </c>
      <c r="C1428" s="67" t="str">
        <f>IF($B1428="","",IF($E$7="Weekly",Start_Date+7*(ROWS($1:1416)-1),EDATE(Start_Date,VLOOKUP(IF(ASTemp!$E$7="","Monthly",ASTemp!$E$7),Parameters!$B$3:$D$6,3,0)*(ROWS($1:1416)-1))))</f>
        <v/>
      </c>
      <c r="D1428" s="68" t="str">
        <f t="shared" si="2"/>
        <v/>
      </c>
      <c r="E1428" s="65" t="str">
        <f>IF($B1428="","",VLOOKUP(MONTH(C1428),Parameters!$F$2:$G$13,2,0))</f>
        <v/>
      </c>
      <c r="F1428" s="69" t="str">
        <f>IF($B1428="","",PV-N(J1427))</f>
        <v/>
      </c>
      <c r="G1428" s="69" t="str">
        <f>IF($B1428="","",PMT(Rate,Nper,-PV,,Type))</f>
        <v/>
      </c>
      <c r="H1428" s="69" t="str">
        <f>IF($B1428="","",PPMT(Rate,ROWS($1:1416),Nper,-PV,,Type))</f>
        <v/>
      </c>
      <c r="I1428" s="69" t="str">
        <f>IF($B1428="","",IPMT(Rate,ROWS($1:1416),Nper,-PV,,Type))</f>
        <v/>
      </c>
      <c r="J1428" s="73" t="str">
        <f t="shared" ref="J1428:K1428" si="1418">IF($B1428="","",N(J1427)+N(H1428))</f>
        <v/>
      </c>
      <c r="K1428" s="74" t="str">
        <f t="shared" si="1418"/>
        <v/>
      </c>
      <c r="L1428" s="69" t="str">
        <f>IF($B1428="","",PV-J1428)</f>
        <v/>
      </c>
      <c r="M1428" s="71" t="str">
        <f>IF($B1428="","",J1428/PV)</f>
        <v/>
      </c>
      <c r="N1428" s="72" t="str">
        <f t="shared" si="4"/>
        <v/>
      </c>
    </row>
    <row r="1429" ht="14.25" customHeight="1">
      <c r="B1429" s="66" t="str">
        <f>IF(ROWS($1:1417)&lt;=Nper,ROWS($1:1417),"")</f>
        <v/>
      </c>
      <c r="C1429" s="67" t="str">
        <f>IF($B1429="","",IF($E$7="Weekly",Start_Date+7*(ROWS($1:1417)-1),EDATE(Start_Date,VLOOKUP(IF(ASTemp!$E$7="","Monthly",ASTemp!$E$7),Parameters!$B$3:$D$6,3,0)*(ROWS($1:1417)-1))))</f>
        <v/>
      </c>
      <c r="D1429" s="68" t="str">
        <f t="shared" si="2"/>
        <v/>
      </c>
      <c r="E1429" s="65" t="str">
        <f>IF($B1429="","",VLOOKUP(MONTH(C1429),Parameters!$F$2:$G$13,2,0))</f>
        <v/>
      </c>
      <c r="F1429" s="69" t="str">
        <f>IF($B1429="","",PV-N(J1428))</f>
        <v/>
      </c>
      <c r="G1429" s="69" t="str">
        <f>IF($B1429="","",PMT(Rate,Nper,-PV,,Type))</f>
        <v/>
      </c>
      <c r="H1429" s="69" t="str">
        <f>IF($B1429="","",PPMT(Rate,ROWS($1:1417),Nper,-PV,,Type))</f>
        <v/>
      </c>
      <c r="I1429" s="69" t="str">
        <f>IF($B1429="","",IPMT(Rate,ROWS($1:1417),Nper,-PV,,Type))</f>
        <v/>
      </c>
      <c r="J1429" s="73" t="str">
        <f t="shared" ref="J1429:K1429" si="1419">IF($B1429="","",N(J1428)+N(H1429))</f>
        <v/>
      </c>
      <c r="K1429" s="74" t="str">
        <f t="shared" si="1419"/>
        <v/>
      </c>
      <c r="L1429" s="69" t="str">
        <f>IF($B1429="","",PV-J1429)</f>
        <v/>
      </c>
      <c r="M1429" s="71" t="str">
        <f>IF($B1429="","",J1429/PV)</f>
        <v/>
      </c>
      <c r="N1429" s="72" t="str">
        <f t="shared" si="4"/>
        <v/>
      </c>
    </row>
    <row r="1430" ht="14.25" customHeight="1">
      <c r="B1430" s="66" t="str">
        <f>IF(ROWS($1:1418)&lt;=Nper,ROWS($1:1418),"")</f>
        <v/>
      </c>
      <c r="C1430" s="67" t="str">
        <f>IF($B1430="","",IF($E$7="Weekly",Start_Date+7*(ROWS($1:1418)-1),EDATE(Start_Date,VLOOKUP(IF(ASTemp!$E$7="","Monthly",ASTemp!$E$7),Parameters!$B$3:$D$6,3,0)*(ROWS($1:1418)-1))))</f>
        <v/>
      </c>
      <c r="D1430" s="68" t="str">
        <f t="shared" si="2"/>
        <v/>
      </c>
      <c r="E1430" s="65" t="str">
        <f>IF($B1430="","",VLOOKUP(MONTH(C1430),Parameters!$F$2:$G$13,2,0))</f>
        <v/>
      </c>
      <c r="F1430" s="69" t="str">
        <f>IF($B1430="","",PV-N(J1429))</f>
        <v/>
      </c>
      <c r="G1430" s="69" t="str">
        <f>IF($B1430="","",PMT(Rate,Nper,-PV,,Type))</f>
        <v/>
      </c>
      <c r="H1430" s="69" t="str">
        <f>IF($B1430="","",PPMT(Rate,ROWS($1:1418),Nper,-PV,,Type))</f>
        <v/>
      </c>
      <c r="I1430" s="69" t="str">
        <f>IF($B1430="","",IPMT(Rate,ROWS($1:1418),Nper,-PV,,Type))</f>
        <v/>
      </c>
      <c r="J1430" s="73" t="str">
        <f t="shared" ref="J1430:K1430" si="1420">IF($B1430="","",N(J1429)+N(H1430))</f>
        <v/>
      </c>
      <c r="K1430" s="74" t="str">
        <f t="shared" si="1420"/>
        <v/>
      </c>
      <c r="L1430" s="69" t="str">
        <f>IF($B1430="","",PV-J1430)</f>
        <v/>
      </c>
      <c r="M1430" s="71" t="str">
        <f>IF($B1430="","",J1430/PV)</f>
        <v/>
      </c>
      <c r="N1430" s="72" t="str">
        <f t="shared" si="4"/>
        <v/>
      </c>
    </row>
    <row r="1431" ht="14.25" customHeight="1">
      <c r="B1431" s="66" t="str">
        <f>IF(ROWS($1:1419)&lt;=Nper,ROWS($1:1419),"")</f>
        <v/>
      </c>
      <c r="C1431" s="67" t="str">
        <f>IF($B1431="","",IF($E$7="Weekly",Start_Date+7*(ROWS($1:1419)-1),EDATE(Start_Date,VLOOKUP(IF(ASTemp!$E$7="","Monthly",ASTemp!$E$7),Parameters!$B$3:$D$6,3,0)*(ROWS($1:1419)-1))))</f>
        <v/>
      </c>
      <c r="D1431" s="68" t="str">
        <f t="shared" si="2"/>
        <v/>
      </c>
      <c r="E1431" s="65" t="str">
        <f>IF($B1431="","",VLOOKUP(MONTH(C1431),Parameters!$F$2:$G$13,2,0))</f>
        <v/>
      </c>
      <c r="F1431" s="69" t="str">
        <f>IF($B1431="","",PV-N(J1430))</f>
        <v/>
      </c>
      <c r="G1431" s="69" t="str">
        <f>IF($B1431="","",PMT(Rate,Nper,-PV,,Type))</f>
        <v/>
      </c>
      <c r="H1431" s="69" t="str">
        <f>IF($B1431="","",PPMT(Rate,ROWS($1:1419),Nper,-PV,,Type))</f>
        <v/>
      </c>
      <c r="I1431" s="69" t="str">
        <f>IF($B1431="","",IPMT(Rate,ROWS($1:1419),Nper,-PV,,Type))</f>
        <v/>
      </c>
      <c r="J1431" s="73" t="str">
        <f t="shared" ref="J1431:K1431" si="1421">IF($B1431="","",N(J1430)+N(H1431))</f>
        <v/>
      </c>
      <c r="K1431" s="74" t="str">
        <f t="shared" si="1421"/>
        <v/>
      </c>
      <c r="L1431" s="69" t="str">
        <f>IF($B1431="","",PV-J1431)</f>
        <v/>
      </c>
      <c r="M1431" s="71" t="str">
        <f>IF($B1431="","",J1431/PV)</f>
        <v/>
      </c>
      <c r="N1431" s="72" t="str">
        <f t="shared" si="4"/>
        <v/>
      </c>
    </row>
    <row r="1432" ht="14.25" customHeight="1">
      <c r="B1432" s="66" t="str">
        <f>IF(ROWS($1:1420)&lt;=Nper,ROWS($1:1420),"")</f>
        <v/>
      </c>
      <c r="C1432" s="67" t="str">
        <f>IF($B1432="","",IF($E$7="Weekly",Start_Date+7*(ROWS($1:1420)-1),EDATE(Start_Date,VLOOKUP(IF(ASTemp!$E$7="","Monthly",ASTemp!$E$7),Parameters!$B$3:$D$6,3,0)*(ROWS($1:1420)-1))))</f>
        <v/>
      </c>
      <c r="D1432" s="68" t="str">
        <f t="shared" si="2"/>
        <v/>
      </c>
      <c r="E1432" s="65" t="str">
        <f>IF($B1432="","",VLOOKUP(MONTH(C1432),Parameters!$F$2:$G$13,2,0))</f>
        <v/>
      </c>
      <c r="F1432" s="69" t="str">
        <f>IF($B1432="","",PV-N(J1431))</f>
        <v/>
      </c>
      <c r="G1432" s="69" t="str">
        <f>IF($B1432="","",PMT(Rate,Nper,-PV,,Type))</f>
        <v/>
      </c>
      <c r="H1432" s="69" t="str">
        <f>IF($B1432="","",PPMT(Rate,ROWS($1:1420),Nper,-PV,,Type))</f>
        <v/>
      </c>
      <c r="I1432" s="69" t="str">
        <f>IF($B1432="","",IPMT(Rate,ROWS($1:1420),Nper,-PV,,Type))</f>
        <v/>
      </c>
      <c r="J1432" s="73" t="str">
        <f t="shared" ref="J1432:K1432" si="1422">IF($B1432="","",N(J1431)+N(H1432))</f>
        <v/>
      </c>
      <c r="K1432" s="74" t="str">
        <f t="shared" si="1422"/>
        <v/>
      </c>
      <c r="L1432" s="69" t="str">
        <f>IF($B1432="","",PV-J1432)</f>
        <v/>
      </c>
      <c r="M1432" s="71" t="str">
        <f>IF($B1432="","",J1432/PV)</f>
        <v/>
      </c>
      <c r="N1432" s="72" t="str">
        <f t="shared" si="4"/>
        <v/>
      </c>
    </row>
    <row r="1433" ht="14.25" customHeight="1">
      <c r="B1433" s="66" t="str">
        <f>IF(ROWS($1:1421)&lt;=Nper,ROWS($1:1421),"")</f>
        <v/>
      </c>
      <c r="C1433" s="67" t="str">
        <f>IF($B1433="","",IF($E$7="Weekly",Start_Date+7*(ROWS($1:1421)-1),EDATE(Start_Date,VLOOKUP(IF(ASTemp!$E$7="","Monthly",ASTemp!$E$7),Parameters!$B$3:$D$6,3,0)*(ROWS($1:1421)-1))))</f>
        <v/>
      </c>
      <c r="D1433" s="68" t="str">
        <f t="shared" si="2"/>
        <v/>
      </c>
      <c r="E1433" s="65" t="str">
        <f>IF($B1433="","",VLOOKUP(MONTH(C1433),Parameters!$F$2:$G$13,2,0))</f>
        <v/>
      </c>
      <c r="F1433" s="69" t="str">
        <f>IF($B1433="","",PV-N(J1432))</f>
        <v/>
      </c>
      <c r="G1433" s="69" t="str">
        <f>IF($B1433="","",PMT(Rate,Nper,-PV,,Type))</f>
        <v/>
      </c>
      <c r="H1433" s="69" t="str">
        <f>IF($B1433="","",PPMT(Rate,ROWS($1:1421),Nper,-PV,,Type))</f>
        <v/>
      </c>
      <c r="I1433" s="69" t="str">
        <f>IF($B1433="","",IPMT(Rate,ROWS($1:1421),Nper,-PV,,Type))</f>
        <v/>
      </c>
      <c r="J1433" s="73" t="str">
        <f t="shared" ref="J1433:K1433" si="1423">IF($B1433="","",N(J1432)+N(H1433))</f>
        <v/>
      </c>
      <c r="K1433" s="74" t="str">
        <f t="shared" si="1423"/>
        <v/>
      </c>
      <c r="L1433" s="69" t="str">
        <f>IF($B1433="","",PV-J1433)</f>
        <v/>
      </c>
      <c r="M1433" s="71" t="str">
        <f>IF($B1433="","",J1433/PV)</f>
        <v/>
      </c>
      <c r="N1433" s="72" t="str">
        <f t="shared" si="4"/>
        <v/>
      </c>
    </row>
    <row r="1434" ht="14.25" customHeight="1">
      <c r="B1434" s="66" t="str">
        <f>IF(ROWS($1:1422)&lt;=Nper,ROWS($1:1422),"")</f>
        <v/>
      </c>
      <c r="C1434" s="67" t="str">
        <f>IF($B1434="","",IF($E$7="Weekly",Start_Date+7*(ROWS($1:1422)-1),EDATE(Start_Date,VLOOKUP(IF(ASTemp!$E$7="","Monthly",ASTemp!$E$7),Parameters!$B$3:$D$6,3,0)*(ROWS($1:1422)-1))))</f>
        <v/>
      </c>
      <c r="D1434" s="68" t="str">
        <f t="shared" si="2"/>
        <v/>
      </c>
      <c r="E1434" s="65" t="str">
        <f>IF($B1434="","",VLOOKUP(MONTH(C1434),Parameters!$F$2:$G$13,2,0))</f>
        <v/>
      </c>
      <c r="F1434" s="69" t="str">
        <f>IF($B1434="","",PV-N(J1433))</f>
        <v/>
      </c>
      <c r="G1434" s="69" t="str">
        <f>IF($B1434="","",PMT(Rate,Nper,-PV,,Type))</f>
        <v/>
      </c>
      <c r="H1434" s="69" t="str">
        <f>IF($B1434="","",PPMT(Rate,ROWS($1:1422),Nper,-PV,,Type))</f>
        <v/>
      </c>
      <c r="I1434" s="69" t="str">
        <f>IF($B1434="","",IPMT(Rate,ROWS($1:1422),Nper,-PV,,Type))</f>
        <v/>
      </c>
      <c r="J1434" s="73" t="str">
        <f t="shared" ref="J1434:K1434" si="1424">IF($B1434="","",N(J1433)+N(H1434))</f>
        <v/>
      </c>
      <c r="K1434" s="74" t="str">
        <f t="shared" si="1424"/>
        <v/>
      </c>
      <c r="L1434" s="69" t="str">
        <f>IF($B1434="","",PV-J1434)</f>
        <v/>
      </c>
      <c r="M1434" s="71" t="str">
        <f>IF($B1434="","",J1434/PV)</f>
        <v/>
      </c>
      <c r="N1434" s="72" t="str">
        <f t="shared" si="4"/>
        <v/>
      </c>
    </row>
    <row r="1435" ht="14.25" customHeight="1">
      <c r="B1435" s="66" t="str">
        <f>IF(ROWS($1:1423)&lt;=Nper,ROWS($1:1423),"")</f>
        <v/>
      </c>
      <c r="C1435" s="67" t="str">
        <f>IF($B1435="","",IF($E$7="Weekly",Start_Date+7*(ROWS($1:1423)-1),EDATE(Start_Date,VLOOKUP(IF(ASTemp!$E$7="","Monthly",ASTemp!$E$7),Parameters!$B$3:$D$6,3,0)*(ROWS($1:1423)-1))))</f>
        <v/>
      </c>
      <c r="D1435" s="68" t="str">
        <f t="shared" si="2"/>
        <v/>
      </c>
      <c r="E1435" s="65" t="str">
        <f>IF($B1435="","",VLOOKUP(MONTH(C1435),Parameters!$F$2:$G$13,2,0))</f>
        <v/>
      </c>
      <c r="F1435" s="69" t="str">
        <f>IF($B1435="","",PV-N(J1434))</f>
        <v/>
      </c>
      <c r="G1435" s="69" t="str">
        <f>IF($B1435="","",PMT(Rate,Nper,-PV,,Type))</f>
        <v/>
      </c>
      <c r="H1435" s="69" t="str">
        <f>IF($B1435="","",PPMT(Rate,ROWS($1:1423),Nper,-PV,,Type))</f>
        <v/>
      </c>
      <c r="I1435" s="69" t="str">
        <f>IF($B1435="","",IPMT(Rate,ROWS($1:1423),Nper,-PV,,Type))</f>
        <v/>
      </c>
      <c r="J1435" s="73" t="str">
        <f t="shared" ref="J1435:K1435" si="1425">IF($B1435="","",N(J1434)+N(H1435))</f>
        <v/>
      </c>
      <c r="K1435" s="74" t="str">
        <f t="shared" si="1425"/>
        <v/>
      </c>
      <c r="L1435" s="69" t="str">
        <f>IF($B1435="","",PV-J1435)</f>
        <v/>
      </c>
      <c r="M1435" s="71" t="str">
        <f>IF($B1435="","",J1435/PV)</f>
        <v/>
      </c>
      <c r="N1435" s="72" t="str">
        <f t="shared" si="4"/>
        <v/>
      </c>
    </row>
    <row r="1436" ht="14.25" customHeight="1">
      <c r="B1436" s="66" t="str">
        <f>IF(ROWS($1:1424)&lt;=Nper,ROWS($1:1424),"")</f>
        <v/>
      </c>
      <c r="C1436" s="67" t="str">
        <f>IF($B1436="","",IF($E$7="Weekly",Start_Date+7*(ROWS($1:1424)-1),EDATE(Start_Date,VLOOKUP(IF(ASTemp!$E$7="","Monthly",ASTemp!$E$7),Parameters!$B$3:$D$6,3,0)*(ROWS($1:1424)-1))))</f>
        <v/>
      </c>
      <c r="D1436" s="68" t="str">
        <f t="shared" si="2"/>
        <v/>
      </c>
      <c r="E1436" s="65" t="str">
        <f>IF($B1436="","",VLOOKUP(MONTH(C1436),Parameters!$F$2:$G$13,2,0))</f>
        <v/>
      </c>
      <c r="F1436" s="69" t="str">
        <f>IF($B1436="","",PV-N(J1435))</f>
        <v/>
      </c>
      <c r="G1436" s="69" t="str">
        <f>IF($B1436="","",PMT(Rate,Nper,-PV,,Type))</f>
        <v/>
      </c>
      <c r="H1436" s="69" t="str">
        <f>IF($B1436="","",PPMT(Rate,ROWS($1:1424),Nper,-PV,,Type))</f>
        <v/>
      </c>
      <c r="I1436" s="69" t="str">
        <f>IF($B1436="","",IPMT(Rate,ROWS($1:1424),Nper,-PV,,Type))</f>
        <v/>
      </c>
      <c r="J1436" s="73" t="str">
        <f t="shared" ref="J1436:K1436" si="1426">IF($B1436="","",N(J1435)+N(H1436))</f>
        <v/>
      </c>
      <c r="K1436" s="74" t="str">
        <f t="shared" si="1426"/>
        <v/>
      </c>
      <c r="L1436" s="69" t="str">
        <f>IF($B1436="","",PV-J1436)</f>
        <v/>
      </c>
      <c r="M1436" s="71" t="str">
        <f>IF($B1436="","",J1436/PV)</f>
        <v/>
      </c>
      <c r="N1436" s="72" t="str">
        <f t="shared" si="4"/>
        <v/>
      </c>
    </row>
    <row r="1437" ht="14.25" customHeight="1">
      <c r="B1437" s="66" t="str">
        <f>IF(ROWS($1:1425)&lt;=Nper,ROWS($1:1425),"")</f>
        <v/>
      </c>
      <c r="C1437" s="67" t="str">
        <f>IF($B1437="","",IF($E$7="Weekly",Start_Date+7*(ROWS($1:1425)-1),EDATE(Start_Date,VLOOKUP(IF(ASTemp!$E$7="","Monthly",ASTemp!$E$7),Parameters!$B$3:$D$6,3,0)*(ROWS($1:1425)-1))))</f>
        <v/>
      </c>
      <c r="D1437" s="68" t="str">
        <f t="shared" si="2"/>
        <v/>
      </c>
      <c r="E1437" s="65" t="str">
        <f>IF($B1437="","",VLOOKUP(MONTH(C1437),Parameters!$F$2:$G$13,2,0))</f>
        <v/>
      </c>
      <c r="F1437" s="69" t="str">
        <f>IF($B1437="","",PV-N(J1436))</f>
        <v/>
      </c>
      <c r="G1437" s="69" t="str">
        <f>IF($B1437="","",PMT(Rate,Nper,-PV,,Type))</f>
        <v/>
      </c>
      <c r="H1437" s="69" t="str">
        <f>IF($B1437="","",PPMT(Rate,ROWS($1:1425),Nper,-PV,,Type))</f>
        <v/>
      </c>
      <c r="I1437" s="69" t="str">
        <f>IF($B1437="","",IPMT(Rate,ROWS($1:1425),Nper,-PV,,Type))</f>
        <v/>
      </c>
      <c r="J1437" s="73" t="str">
        <f t="shared" ref="J1437:K1437" si="1427">IF($B1437="","",N(J1436)+N(H1437))</f>
        <v/>
      </c>
      <c r="K1437" s="74" t="str">
        <f t="shared" si="1427"/>
        <v/>
      </c>
      <c r="L1437" s="69" t="str">
        <f>IF($B1437="","",PV-J1437)</f>
        <v/>
      </c>
      <c r="M1437" s="71" t="str">
        <f>IF($B1437="","",J1437/PV)</f>
        <v/>
      </c>
      <c r="N1437" s="72" t="str">
        <f t="shared" si="4"/>
        <v/>
      </c>
    </row>
    <row r="1438" ht="14.25" customHeight="1">
      <c r="B1438" s="66" t="str">
        <f>IF(ROWS($1:1426)&lt;=Nper,ROWS($1:1426),"")</f>
        <v/>
      </c>
      <c r="C1438" s="67" t="str">
        <f>IF($B1438="","",IF($E$7="Weekly",Start_Date+7*(ROWS($1:1426)-1),EDATE(Start_Date,VLOOKUP(IF(ASTemp!$E$7="","Monthly",ASTemp!$E$7),Parameters!$B$3:$D$6,3,0)*(ROWS($1:1426)-1))))</f>
        <v/>
      </c>
      <c r="D1438" s="68" t="str">
        <f t="shared" si="2"/>
        <v/>
      </c>
      <c r="E1438" s="65" t="str">
        <f>IF($B1438="","",VLOOKUP(MONTH(C1438),Parameters!$F$2:$G$13,2,0))</f>
        <v/>
      </c>
      <c r="F1438" s="69" t="str">
        <f>IF($B1438="","",PV-N(J1437))</f>
        <v/>
      </c>
      <c r="G1438" s="69" t="str">
        <f>IF($B1438="","",PMT(Rate,Nper,-PV,,Type))</f>
        <v/>
      </c>
      <c r="H1438" s="69" t="str">
        <f>IF($B1438="","",PPMT(Rate,ROWS($1:1426),Nper,-PV,,Type))</f>
        <v/>
      </c>
      <c r="I1438" s="69" t="str">
        <f>IF($B1438="","",IPMT(Rate,ROWS($1:1426),Nper,-PV,,Type))</f>
        <v/>
      </c>
      <c r="J1438" s="73" t="str">
        <f t="shared" ref="J1438:K1438" si="1428">IF($B1438="","",N(J1437)+N(H1438))</f>
        <v/>
      </c>
      <c r="K1438" s="74" t="str">
        <f t="shared" si="1428"/>
        <v/>
      </c>
      <c r="L1438" s="69" t="str">
        <f>IF($B1438="","",PV-J1438)</f>
        <v/>
      </c>
      <c r="M1438" s="71" t="str">
        <f>IF($B1438="","",J1438/PV)</f>
        <v/>
      </c>
      <c r="N1438" s="72" t="str">
        <f t="shared" si="4"/>
        <v/>
      </c>
    </row>
    <row r="1439" ht="14.25" customHeight="1">
      <c r="B1439" s="66" t="str">
        <f>IF(ROWS($1:1427)&lt;=Nper,ROWS($1:1427),"")</f>
        <v/>
      </c>
      <c r="C1439" s="67" t="str">
        <f>IF($B1439="","",IF($E$7="Weekly",Start_Date+7*(ROWS($1:1427)-1),EDATE(Start_Date,VLOOKUP(IF(ASTemp!$E$7="","Monthly",ASTemp!$E$7),Parameters!$B$3:$D$6,3,0)*(ROWS($1:1427)-1))))</f>
        <v/>
      </c>
      <c r="D1439" s="68" t="str">
        <f t="shared" si="2"/>
        <v/>
      </c>
      <c r="E1439" s="65" t="str">
        <f>IF($B1439="","",VLOOKUP(MONTH(C1439),Parameters!$F$2:$G$13,2,0))</f>
        <v/>
      </c>
      <c r="F1439" s="69" t="str">
        <f>IF($B1439="","",PV-N(J1438))</f>
        <v/>
      </c>
      <c r="G1439" s="69" t="str">
        <f>IF($B1439="","",PMT(Rate,Nper,-PV,,Type))</f>
        <v/>
      </c>
      <c r="H1439" s="69" t="str">
        <f>IF($B1439="","",PPMT(Rate,ROWS($1:1427),Nper,-PV,,Type))</f>
        <v/>
      </c>
      <c r="I1439" s="69" t="str">
        <f>IF($B1439="","",IPMT(Rate,ROWS($1:1427),Nper,-PV,,Type))</f>
        <v/>
      </c>
      <c r="J1439" s="73" t="str">
        <f t="shared" ref="J1439:K1439" si="1429">IF($B1439="","",N(J1438)+N(H1439))</f>
        <v/>
      </c>
      <c r="K1439" s="74" t="str">
        <f t="shared" si="1429"/>
        <v/>
      </c>
      <c r="L1439" s="69" t="str">
        <f>IF($B1439="","",PV-J1439)</f>
        <v/>
      </c>
      <c r="M1439" s="71" t="str">
        <f>IF($B1439="","",J1439/PV)</f>
        <v/>
      </c>
      <c r="N1439" s="72" t="str">
        <f t="shared" si="4"/>
        <v/>
      </c>
    </row>
    <row r="1440" ht="14.25" customHeight="1">
      <c r="B1440" s="66" t="str">
        <f>IF(ROWS($1:1428)&lt;=Nper,ROWS($1:1428),"")</f>
        <v/>
      </c>
      <c r="C1440" s="67" t="str">
        <f>IF($B1440="","",IF($E$7="Weekly",Start_Date+7*(ROWS($1:1428)-1),EDATE(Start_Date,VLOOKUP(IF(ASTemp!$E$7="","Monthly",ASTemp!$E$7),Parameters!$B$3:$D$6,3,0)*(ROWS($1:1428)-1))))</f>
        <v/>
      </c>
      <c r="D1440" s="68" t="str">
        <f t="shared" si="2"/>
        <v/>
      </c>
      <c r="E1440" s="65" t="str">
        <f>IF($B1440="","",VLOOKUP(MONTH(C1440),Parameters!$F$2:$G$13,2,0))</f>
        <v/>
      </c>
      <c r="F1440" s="69" t="str">
        <f>IF($B1440="","",PV-N(J1439))</f>
        <v/>
      </c>
      <c r="G1440" s="69" t="str">
        <f>IF($B1440="","",PMT(Rate,Nper,-PV,,Type))</f>
        <v/>
      </c>
      <c r="H1440" s="69" t="str">
        <f>IF($B1440="","",PPMT(Rate,ROWS($1:1428),Nper,-PV,,Type))</f>
        <v/>
      </c>
      <c r="I1440" s="69" t="str">
        <f>IF($B1440="","",IPMT(Rate,ROWS($1:1428),Nper,-PV,,Type))</f>
        <v/>
      </c>
      <c r="J1440" s="73" t="str">
        <f t="shared" ref="J1440:K1440" si="1430">IF($B1440="","",N(J1439)+N(H1440))</f>
        <v/>
      </c>
      <c r="K1440" s="74" t="str">
        <f t="shared" si="1430"/>
        <v/>
      </c>
      <c r="L1440" s="69" t="str">
        <f>IF($B1440="","",PV-J1440)</f>
        <v/>
      </c>
      <c r="M1440" s="71" t="str">
        <f>IF($B1440="","",J1440/PV)</f>
        <v/>
      </c>
      <c r="N1440" s="72" t="str">
        <f t="shared" si="4"/>
        <v/>
      </c>
    </row>
    <row r="1441" ht="14.25" customHeight="1">
      <c r="B1441" s="66" t="str">
        <f>IF(ROWS($1:1429)&lt;=Nper,ROWS($1:1429),"")</f>
        <v/>
      </c>
      <c r="C1441" s="67" t="str">
        <f>IF($B1441="","",IF($E$7="Weekly",Start_Date+7*(ROWS($1:1429)-1),EDATE(Start_Date,VLOOKUP(IF(ASTemp!$E$7="","Monthly",ASTemp!$E$7),Parameters!$B$3:$D$6,3,0)*(ROWS($1:1429)-1))))</f>
        <v/>
      </c>
      <c r="D1441" s="68" t="str">
        <f t="shared" si="2"/>
        <v/>
      </c>
      <c r="E1441" s="65" t="str">
        <f>IF($B1441="","",VLOOKUP(MONTH(C1441),Parameters!$F$2:$G$13,2,0))</f>
        <v/>
      </c>
      <c r="F1441" s="69" t="str">
        <f>IF($B1441="","",PV-N(J1440))</f>
        <v/>
      </c>
      <c r="G1441" s="69" t="str">
        <f>IF($B1441="","",PMT(Rate,Nper,-PV,,Type))</f>
        <v/>
      </c>
      <c r="H1441" s="69" t="str">
        <f>IF($B1441="","",PPMT(Rate,ROWS($1:1429),Nper,-PV,,Type))</f>
        <v/>
      </c>
      <c r="I1441" s="69" t="str">
        <f>IF($B1441="","",IPMT(Rate,ROWS($1:1429),Nper,-PV,,Type))</f>
        <v/>
      </c>
      <c r="J1441" s="73" t="str">
        <f t="shared" ref="J1441:K1441" si="1431">IF($B1441="","",N(J1440)+N(H1441))</f>
        <v/>
      </c>
      <c r="K1441" s="74" t="str">
        <f t="shared" si="1431"/>
        <v/>
      </c>
      <c r="L1441" s="69" t="str">
        <f>IF($B1441="","",PV-J1441)</f>
        <v/>
      </c>
      <c r="M1441" s="71" t="str">
        <f>IF($B1441="","",J1441/PV)</f>
        <v/>
      </c>
      <c r="N1441" s="72" t="str">
        <f t="shared" si="4"/>
        <v/>
      </c>
    </row>
    <row r="1442" ht="14.25" customHeight="1">
      <c r="B1442" s="66" t="str">
        <f>IF(ROWS($1:1430)&lt;=Nper,ROWS($1:1430),"")</f>
        <v/>
      </c>
      <c r="C1442" s="67" t="str">
        <f>IF($B1442="","",IF($E$7="Weekly",Start_Date+7*(ROWS($1:1430)-1),EDATE(Start_Date,VLOOKUP(IF(ASTemp!$E$7="","Monthly",ASTemp!$E$7),Parameters!$B$3:$D$6,3,0)*(ROWS($1:1430)-1))))</f>
        <v/>
      </c>
      <c r="D1442" s="68" t="str">
        <f t="shared" si="2"/>
        <v/>
      </c>
      <c r="E1442" s="65" t="str">
        <f>IF($B1442="","",VLOOKUP(MONTH(C1442),Parameters!$F$2:$G$13,2,0))</f>
        <v/>
      </c>
      <c r="F1442" s="69" t="str">
        <f>IF($B1442="","",PV-N(J1441))</f>
        <v/>
      </c>
      <c r="G1442" s="69" t="str">
        <f>IF($B1442="","",PMT(Rate,Nper,-PV,,Type))</f>
        <v/>
      </c>
      <c r="H1442" s="69" t="str">
        <f>IF($B1442="","",PPMT(Rate,ROWS($1:1430),Nper,-PV,,Type))</f>
        <v/>
      </c>
      <c r="I1442" s="69" t="str">
        <f>IF($B1442="","",IPMT(Rate,ROWS($1:1430),Nper,-PV,,Type))</f>
        <v/>
      </c>
      <c r="J1442" s="73" t="str">
        <f t="shared" ref="J1442:K1442" si="1432">IF($B1442="","",N(J1441)+N(H1442))</f>
        <v/>
      </c>
      <c r="K1442" s="74" t="str">
        <f t="shared" si="1432"/>
        <v/>
      </c>
      <c r="L1442" s="69" t="str">
        <f>IF($B1442="","",PV-J1442)</f>
        <v/>
      </c>
      <c r="M1442" s="71" t="str">
        <f>IF($B1442="","",J1442/PV)</f>
        <v/>
      </c>
      <c r="N1442" s="72" t="str">
        <f t="shared" si="4"/>
        <v/>
      </c>
    </row>
    <row r="1443" ht="14.25" customHeight="1">
      <c r="B1443" s="66" t="str">
        <f>IF(ROWS($1:1431)&lt;=Nper,ROWS($1:1431),"")</f>
        <v/>
      </c>
      <c r="C1443" s="67" t="str">
        <f>IF($B1443="","",IF($E$7="Weekly",Start_Date+7*(ROWS($1:1431)-1),EDATE(Start_Date,VLOOKUP(IF(ASTemp!$E$7="","Monthly",ASTemp!$E$7),Parameters!$B$3:$D$6,3,0)*(ROWS($1:1431)-1))))</f>
        <v/>
      </c>
      <c r="D1443" s="68" t="str">
        <f t="shared" si="2"/>
        <v/>
      </c>
      <c r="E1443" s="65" t="str">
        <f>IF($B1443="","",VLOOKUP(MONTH(C1443),Parameters!$F$2:$G$13,2,0))</f>
        <v/>
      </c>
      <c r="F1443" s="69" t="str">
        <f>IF($B1443="","",PV-N(J1442))</f>
        <v/>
      </c>
      <c r="G1443" s="69" t="str">
        <f>IF($B1443="","",PMT(Rate,Nper,-PV,,Type))</f>
        <v/>
      </c>
      <c r="H1443" s="69" t="str">
        <f>IF($B1443="","",PPMT(Rate,ROWS($1:1431),Nper,-PV,,Type))</f>
        <v/>
      </c>
      <c r="I1443" s="69" t="str">
        <f>IF($B1443="","",IPMT(Rate,ROWS($1:1431),Nper,-PV,,Type))</f>
        <v/>
      </c>
      <c r="J1443" s="73" t="str">
        <f t="shared" ref="J1443:K1443" si="1433">IF($B1443="","",N(J1442)+N(H1443))</f>
        <v/>
      </c>
      <c r="K1443" s="74" t="str">
        <f t="shared" si="1433"/>
        <v/>
      </c>
      <c r="L1443" s="69" t="str">
        <f>IF($B1443="","",PV-J1443)</f>
        <v/>
      </c>
      <c r="M1443" s="71" t="str">
        <f>IF($B1443="","",J1443/PV)</f>
        <v/>
      </c>
      <c r="N1443" s="72" t="str">
        <f t="shared" si="4"/>
        <v/>
      </c>
    </row>
    <row r="1444" ht="14.25" customHeight="1">
      <c r="B1444" s="66" t="str">
        <f>IF(ROWS($1:1432)&lt;=Nper,ROWS($1:1432),"")</f>
        <v/>
      </c>
      <c r="C1444" s="67" t="str">
        <f>IF($B1444="","",IF($E$7="Weekly",Start_Date+7*(ROWS($1:1432)-1),EDATE(Start_Date,VLOOKUP(IF(ASTemp!$E$7="","Monthly",ASTemp!$E$7),Parameters!$B$3:$D$6,3,0)*(ROWS($1:1432)-1))))</f>
        <v/>
      </c>
      <c r="D1444" s="68" t="str">
        <f t="shared" si="2"/>
        <v/>
      </c>
      <c r="E1444" s="65" t="str">
        <f>IF($B1444="","",VLOOKUP(MONTH(C1444),Parameters!$F$2:$G$13,2,0))</f>
        <v/>
      </c>
      <c r="F1444" s="69" t="str">
        <f>IF($B1444="","",PV-N(J1443))</f>
        <v/>
      </c>
      <c r="G1444" s="69" t="str">
        <f>IF($B1444="","",PMT(Rate,Nper,-PV,,Type))</f>
        <v/>
      </c>
      <c r="H1444" s="69" t="str">
        <f>IF($B1444="","",PPMT(Rate,ROWS($1:1432),Nper,-PV,,Type))</f>
        <v/>
      </c>
      <c r="I1444" s="69" t="str">
        <f>IF($B1444="","",IPMT(Rate,ROWS($1:1432),Nper,-PV,,Type))</f>
        <v/>
      </c>
      <c r="J1444" s="73" t="str">
        <f t="shared" ref="J1444:K1444" si="1434">IF($B1444="","",N(J1443)+N(H1444))</f>
        <v/>
      </c>
      <c r="K1444" s="74" t="str">
        <f t="shared" si="1434"/>
        <v/>
      </c>
      <c r="L1444" s="69" t="str">
        <f>IF($B1444="","",PV-J1444)</f>
        <v/>
      </c>
      <c r="M1444" s="71" t="str">
        <f>IF($B1444="","",J1444/PV)</f>
        <v/>
      </c>
      <c r="N1444" s="72" t="str">
        <f t="shared" si="4"/>
        <v/>
      </c>
    </row>
    <row r="1445" ht="14.25" customHeight="1">
      <c r="B1445" s="66" t="str">
        <f>IF(ROWS($1:1433)&lt;=Nper,ROWS($1:1433),"")</f>
        <v/>
      </c>
      <c r="C1445" s="67" t="str">
        <f>IF($B1445="","",IF($E$7="Weekly",Start_Date+7*(ROWS($1:1433)-1),EDATE(Start_Date,VLOOKUP(IF(ASTemp!$E$7="","Monthly",ASTemp!$E$7),Parameters!$B$3:$D$6,3,0)*(ROWS($1:1433)-1))))</f>
        <v/>
      </c>
      <c r="D1445" s="68" t="str">
        <f t="shared" si="2"/>
        <v/>
      </c>
      <c r="E1445" s="65" t="str">
        <f>IF($B1445="","",VLOOKUP(MONTH(C1445),Parameters!$F$2:$G$13,2,0))</f>
        <v/>
      </c>
      <c r="F1445" s="69" t="str">
        <f>IF($B1445="","",PV-N(J1444))</f>
        <v/>
      </c>
      <c r="G1445" s="69" t="str">
        <f>IF($B1445="","",PMT(Rate,Nper,-PV,,Type))</f>
        <v/>
      </c>
      <c r="H1445" s="69" t="str">
        <f>IF($B1445="","",PPMT(Rate,ROWS($1:1433),Nper,-PV,,Type))</f>
        <v/>
      </c>
      <c r="I1445" s="69" t="str">
        <f>IF($B1445="","",IPMT(Rate,ROWS($1:1433),Nper,-PV,,Type))</f>
        <v/>
      </c>
      <c r="J1445" s="73" t="str">
        <f t="shared" ref="J1445:K1445" si="1435">IF($B1445="","",N(J1444)+N(H1445))</f>
        <v/>
      </c>
      <c r="K1445" s="74" t="str">
        <f t="shared" si="1435"/>
        <v/>
      </c>
      <c r="L1445" s="69" t="str">
        <f>IF($B1445="","",PV-J1445)</f>
        <v/>
      </c>
      <c r="M1445" s="71" t="str">
        <f>IF($B1445="","",J1445/PV)</f>
        <v/>
      </c>
      <c r="N1445" s="72" t="str">
        <f t="shared" si="4"/>
        <v/>
      </c>
    </row>
    <row r="1446" ht="14.25" customHeight="1">
      <c r="B1446" s="66" t="str">
        <f>IF(ROWS($1:1434)&lt;=Nper,ROWS($1:1434),"")</f>
        <v/>
      </c>
      <c r="C1446" s="67" t="str">
        <f>IF($B1446="","",IF($E$7="Weekly",Start_Date+7*(ROWS($1:1434)-1),EDATE(Start_Date,VLOOKUP(IF(ASTemp!$E$7="","Monthly",ASTemp!$E$7),Parameters!$B$3:$D$6,3,0)*(ROWS($1:1434)-1))))</f>
        <v/>
      </c>
      <c r="D1446" s="68" t="str">
        <f t="shared" si="2"/>
        <v/>
      </c>
      <c r="E1446" s="65" t="str">
        <f>IF($B1446="","",VLOOKUP(MONTH(C1446),Parameters!$F$2:$G$13,2,0))</f>
        <v/>
      </c>
      <c r="F1446" s="69" t="str">
        <f>IF($B1446="","",PV-N(J1445))</f>
        <v/>
      </c>
      <c r="G1446" s="69" t="str">
        <f>IF($B1446="","",PMT(Rate,Nper,-PV,,Type))</f>
        <v/>
      </c>
      <c r="H1446" s="69" t="str">
        <f>IF($B1446="","",PPMT(Rate,ROWS($1:1434),Nper,-PV,,Type))</f>
        <v/>
      </c>
      <c r="I1446" s="69" t="str">
        <f>IF($B1446="","",IPMT(Rate,ROWS($1:1434),Nper,-PV,,Type))</f>
        <v/>
      </c>
      <c r="J1446" s="73" t="str">
        <f t="shared" ref="J1446:K1446" si="1436">IF($B1446="","",N(J1445)+N(H1446))</f>
        <v/>
      </c>
      <c r="K1446" s="74" t="str">
        <f t="shared" si="1436"/>
        <v/>
      </c>
      <c r="L1446" s="69" t="str">
        <f>IF($B1446="","",PV-J1446)</f>
        <v/>
      </c>
      <c r="M1446" s="71" t="str">
        <f>IF($B1446="","",J1446/PV)</f>
        <v/>
      </c>
      <c r="N1446" s="72" t="str">
        <f t="shared" si="4"/>
        <v/>
      </c>
    </row>
    <row r="1447" ht="14.25" customHeight="1">
      <c r="B1447" s="66" t="str">
        <f>IF(ROWS($1:1435)&lt;=Nper,ROWS($1:1435),"")</f>
        <v/>
      </c>
      <c r="C1447" s="67" t="str">
        <f>IF($B1447="","",IF($E$7="Weekly",Start_Date+7*(ROWS($1:1435)-1),EDATE(Start_Date,VLOOKUP(IF(ASTemp!$E$7="","Monthly",ASTemp!$E$7),Parameters!$B$3:$D$6,3,0)*(ROWS($1:1435)-1))))</f>
        <v/>
      </c>
      <c r="D1447" s="68" t="str">
        <f t="shared" si="2"/>
        <v/>
      </c>
      <c r="E1447" s="65" t="str">
        <f>IF($B1447="","",VLOOKUP(MONTH(C1447),Parameters!$F$2:$G$13,2,0))</f>
        <v/>
      </c>
      <c r="F1447" s="69" t="str">
        <f>IF($B1447="","",PV-N(J1446))</f>
        <v/>
      </c>
      <c r="G1447" s="69" t="str">
        <f>IF($B1447="","",PMT(Rate,Nper,-PV,,Type))</f>
        <v/>
      </c>
      <c r="H1447" s="69" t="str">
        <f>IF($B1447="","",PPMT(Rate,ROWS($1:1435),Nper,-PV,,Type))</f>
        <v/>
      </c>
      <c r="I1447" s="69" t="str">
        <f>IF($B1447="","",IPMT(Rate,ROWS($1:1435),Nper,-PV,,Type))</f>
        <v/>
      </c>
      <c r="J1447" s="73" t="str">
        <f t="shared" ref="J1447:K1447" si="1437">IF($B1447="","",N(J1446)+N(H1447))</f>
        <v/>
      </c>
      <c r="K1447" s="74" t="str">
        <f t="shared" si="1437"/>
        <v/>
      </c>
      <c r="L1447" s="69" t="str">
        <f>IF($B1447="","",PV-J1447)</f>
        <v/>
      </c>
      <c r="M1447" s="71" t="str">
        <f>IF($B1447="","",J1447/PV)</f>
        <v/>
      </c>
      <c r="N1447" s="72" t="str">
        <f t="shared" si="4"/>
        <v/>
      </c>
    </row>
    <row r="1448" ht="14.25" customHeight="1">
      <c r="B1448" s="66" t="str">
        <f>IF(ROWS($1:1436)&lt;=Nper,ROWS($1:1436),"")</f>
        <v/>
      </c>
      <c r="C1448" s="67" t="str">
        <f>IF($B1448="","",IF($E$7="Weekly",Start_Date+7*(ROWS($1:1436)-1),EDATE(Start_Date,VLOOKUP(IF(ASTemp!$E$7="","Monthly",ASTemp!$E$7),Parameters!$B$3:$D$6,3,0)*(ROWS($1:1436)-1))))</f>
        <v/>
      </c>
      <c r="D1448" s="68" t="str">
        <f t="shared" si="2"/>
        <v/>
      </c>
      <c r="E1448" s="65" t="str">
        <f>IF($B1448="","",VLOOKUP(MONTH(C1448),Parameters!$F$2:$G$13,2,0))</f>
        <v/>
      </c>
      <c r="F1448" s="69" t="str">
        <f>IF($B1448="","",PV-N(J1447))</f>
        <v/>
      </c>
      <c r="G1448" s="69" t="str">
        <f>IF($B1448="","",PMT(Rate,Nper,-PV,,Type))</f>
        <v/>
      </c>
      <c r="H1448" s="69" t="str">
        <f>IF($B1448="","",PPMT(Rate,ROWS($1:1436),Nper,-PV,,Type))</f>
        <v/>
      </c>
      <c r="I1448" s="69" t="str">
        <f>IF($B1448="","",IPMT(Rate,ROWS($1:1436),Nper,-PV,,Type))</f>
        <v/>
      </c>
      <c r="J1448" s="73" t="str">
        <f t="shared" ref="J1448:K1448" si="1438">IF($B1448="","",N(J1447)+N(H1448))</f>
        <v/>
      </c>
      <c r="K1448" s="74" t="str">
        <f t="shared" si="1438"/>
        <v/>
      </c>
      <c r="L1448" s="69" t="str">
        <f>IF($B1448="","",PV-J1448)</f>
        <v/>
      </c>
      <c r="M1448" s="71" t="str">
        <f>IF($B1448="","",J1448/PV)</f>
        <v/>
      </c>
      <c r="N1448" s="72" t="str">
        <f t="shared" si="4"/>
        <v/>
      </c>
    </row>
    <row r="1449" ht="14.25" customHeight="1">
      <c r="B1449" s="66" t="str">
        <f>IF(ROWS($1:1437)&lt;=Nper,ROWS($1:1437),"")</f>
        <v/>
      </c>
      <c r="C1449" s="67" t="str">
        <f>IF($B1449="","",IF($E$7="Weekly",Start_Date+7*(ROWS($1:1437)-1),EDATE(Start_Date,VLOOKUP(IF(ASTemp!$E$7="","Monthly",ASTemp!$E$7),Parameters!$B$3:$D$6,3,0)*(ROWS($1:1437)-1))))</f>
        <v/>
      </c>
      <c r="D1449" s="68" t="str">
        <f t="shared" si="2"/>
        <v/>
      </c>
      <c r="E1449" s="65" t="str">
        <f>IF($B1449="","",VLOOKUP(MONTH(C1449),Parameters!$F$2:$G$13,2,0))</f>
        <v/>
      </c>
      <c r="F1449" s="69" t="str">
        <f>IF($B1449="","",PV-N(J1448))</f>
        <v/>
      </c>
      <c r="G1449" s="69" t="str">
        <f>IF($B1449="","",PMT(Rate,Nper,-PV,,Type))</f>
        <v/>
      </c>
      <c r="H1449" s="69" t="str">
        <f>IF($B1449="","",PPMT(Rate,ROWS($1:1437),Nper,-PV,,Type))</f>
        <v/>
      </c>
      <c r="I1449" s="69" t="str">
        <f>IF($B1449="","",IPMT(Rate,ROWS($1:1437),Nper,-PV,,Type))</f>
        <v/>
      </c>
      <c r="J1449" s="73" t="str">
        <f t="shared" ref="J1449:K1449" si="1439">IF($B1449="","",N(J1448)+N(H1449))</f>
        <v/>
      </c>
      <c r="K1449" s="74" t="str">
        <f t="shared" si="1439"/>
        <v/>
      </c>
      <c r="L1449" s="69" t="str">
        <f>IF($B1449="","",PV-J1449)</f>
        <v/>
      </c>
      <c r="M1449" s="71" t="str">
        <f>IF($B1449="","",J1449/PV)</f>
        <v/>
      </c>
      <c r="N1449" s="72" t="str">
        <f t="shared" si="4"/>
        <v/>
      </c>
    </row>
    <row r="1450" ht="14.25" customHeight="1">
      <c r="B1450" s="66" t="str">
        <f>IF(ROWS($1:1438)&lt;=Nper,ROWS($1:1438),"")</f>
        <v/>
      </c>
      <c r="C1450" s="67" t="str">
        <f>IF($B1450="","",IF($E$7="Weekly",Start_Date+7*(ROWS($1:1438)-1),EDATE(Start_Date,VLOOKUP(IF(ASTemp!$E$7="","Monthly",ASTemp!$E$7),Parameters!$B$3:$D$6,3,0)*(ROWS($1:1438)-1))))</f>
        <v/>
      </c>
      <c r="D1450" s="68" t="str">
        <f t="shared" si="2"/>
        <v/>
      </c>
      <c r="E1450" s="65" t="str">
        <f>IF($B1450="","",VLOOKUP(MONTH(C1450),Parameters!$F$2:$G$13,2,0))</f>
        <v/>
      </c>
      <c r="F1450" s="69" t="str">
        <f>IF($B1450="","",PV-N(J1449))</f>
        <v/>
      </c>
      <c r="G1450" s="69" t="str">
        <f>IF($B1450="","",PMT(Rate,Nper,-PV,,Type))</f>
        <v/>
      </c>
      <c r="H1450" s="69" t="str">
        <f>IF($B1450="","",PPMT(Rate,ROWS($1:1438),Nper,-PV,,Type))</f>
        <v/>
      </c>
      <c r="I1450" s="69" t="str">
        <f>IF($B1450="","",IPMT(Rate,ROWS($1:1438),Nper,-PV,,Type))</f>
        <v/>
      </c>
      <c r="J1450" s="73" t="str">
        <f t="shared" ref="J1450:K1450" si="1440">IF($B1450="","",N(J1449)+N(H1450))</f>
        <v/>
      </c>
      <c r="K1450" s="74" t="str">
        <f t="shared" si="1440"/>
        <v/>
      </c>
      <c r="L1450" s="69" t="str">
        <f>IF($B1450="","",PV-J1450)</f>
        <v/>
      </c>
      <c r="M1450" s="71" t="str">
        <f>IF($B1450="","",J1450/PV)</f>
        <v/>
      </c>
      <c r="N1450" s="72" t="str">
        <f t="shared" si="4"/>
        <v/>
      </c>
    </row>
    <row r="1451" ht="14.25" customHeight="1">
      <c r="B1451" s="66" t="str">
        <f>IF(ROWS($1:1439)&lt;=Nper,ROWS($1:1439),"")</f>
        <v/>
      </c>
      <c r="C1451" s="67" t="str">
        <f>IF($B1451="","",IF($E$7="Weekly",Start_Date+7*(ROWS($1:1439)-1),EDATE(Start_Date,VLOOKUP(IF(ASTemp!$E$7="","Monthly",ASTemp!$E$7),Parameters!$B$3:$D$6,3,0)*(ROWS($1:1439)-1))))</f>
        <v/>
      </c>
      <c r="D1451" s="68" t="str">
        <f t="shared" si="2"/>
        <v/>
      </c>
      <c r="E1451" s="65" t="str">
        <f>IF($B1451="","",VLOOKUP(MONTH(C1451),Parameters!$F$2:$G$13,2,0))</f>
        <v/>
      </c>
      <c r="F1451" s="69" t="str">
        <f>IF($B1451="","",PV-N(J1450))</f>
        <v/>
      </c>
      <c r="G1451" s="69" t="str">
        <f>IF($B1451="","",PMT(Rate,Nper,-PV,,Type))</f>
        <v/>
      </c>
      <c r="H1451" s="69" t="str">
        <f>IF($B1451="","",PPMT(Rate,ROWS($1:1439),Nper,-PV,,Type))</f>
        <v/>
      </c>
      <c r="I1451" s="69" t="str">
        <f>IF($B1451="","",IPMT(Rate,ROWS($1:1439),Nper,-PV,,Type))</f>
        <v/>
      </c>
      <c r="J1451" s="73" t="str">
        <f t="shared" ref="J1451:K1451" si="1441">IF($B1451="","",N(J1450)+N(H1451))</f>
        <v/>
      </c>
      <c r="K1451" s="74" t="str">
        <f t="shared" si="1441"/>
        <v/>
      </c>
      <c r="L1451" s="69" t="str">
        <f>IF($B1451="","",PV-J1451)</f>
        <v/>
      </c>
      <c r="M1451" s="71" t="str">
        <f>IF($B1451="","",J1451/PV)</f>
        <v/>
      </c>
      <c r="N1451" s="72" t="str">
        <f t="shared" si="4"/>
        <v/>
      </c>
    </row>
    <row r="1452" ht="14.25" customHeight="1">
      <c r="B1452" s="66" t="str">
        <f>IF(ROWS($1:1440)&lt;=Nper,ROWS($1:1440),"")</f>
        <v/>
      </c>
      <c r="C1452" s="67" t="str">
        <f>IF($B1452="","",IF($E$7="Weekly",Start_Date+7*(ROWS($1:1440)-1),EDATE(Start_Date,VLOOKUP(IF(ASTemp!$E$7="","Monthly",ASTemp!$E$7),Parameters!$B$3:$D$6,3,0)*(ROWS($1:1440)-1))))</f>
        <v/>
      </c>
      <c r="D1452" s="68" t="str">
        <f t="shared" si="2"/>
        <v/>
      </c>
      <c r="E1452" s="65" t="str">
        <f>IF($B1452="","",VLOOKUP(MONTH(C1452),Parameters!$F$2:$G$13,2,0))</f>
        <v/>
      </c>
      <c r="F1452" s="69" t="str">
        <f>IF($B1452="","",PV-N(J1451))</f>
        <v/>
      </c>
      <c r="G1452" s="69" t="str">
        <f>IF($B1452="","",PMT(Rate,Nper,-PV,,Type))</f>
        <v/>
      </c>
      <c r="H1452" s="69" t="str">
        <f>IF($B1452="","",PPMT(Rate,ROWS($1:1440),Nper,-PV,,Type))</f>
        <v/>
      </c>
      <c r="I1452" s="69" t="str">
        <f>IF($B1452="","",IPMT(Rate,ROWS($1:1440),Nper,-PV,,Type))</f>
        <v/>
      </c>
      <c r="J1452" s="73" t="str">
        <f t="shared" ref="J1452:K1452" si="1442">IF($B1452="","",N(J1451)+N(H1452))</f>
        <v/>
      </c>
      <c r="K1452" s="74" t="str">
        <f t="shared" si="1442"/>
        <v/>
      </c>
      <c r="L1452" s="69" t="str">
        <f>IF($B1452="","",PV-J1452)</f>
        <v/>
      </c>
      <c r="M1452" s="71" t="str">
        <f>IF($B1452="","",J1452/PV)</f>
        <v/>
      </c>
      <c r="N1452" s="72" t="str">
        <f t="shared" si="4"/>
        <v/>
      </c>
    </row>
    <row r="1453" ht="14.25" customHeight="1">
      <c r="B1453" s="66" t="str">
        <f>IF(ROWS($1:1441)&lt;=Nper,ROWS($1:1441),"")</f>
        <v/>
      </c>
      <c r="C1453" s="67" t="str">
        <f>IF($B1453="","",IF($E$7="Weekly",Start_Date+7*(ROWS($1:1441)-1),EDATE(Start_Date,VLOOKUP(IF(ASTemp!$E$7="","Monthly",ASTemp!$E$7),Parameters!$B$3:$D$6,3,0)*(ROWS($1:1441)-1))))</f>
        <v/>
      </c>
      <c r="D1453" s="68" t="str">
        <f t="shared" si="2"/>
        <v/>
      </c>
      <c r="E1453" s="65" t="str">
        <f>IF($B1453="","",VLOOKUP(MONTH(C1453),Parameters!$F$2:$G$13,2,0))</f>
        <v/>
      </c>
      <c r="F1453" s="69" t="str">
        <f>IF($B1453="","",PV-N(J1452))</f>
        <v/>
      </c>
      <c r="G1453" s="69" t="str">
        <f>IF($B1453="","",PMT(Rate,Nper,-PV,,Type))</f>
        <v/>
      </c>
      <c r="H1453" s="69" t="str">
        <f>IF($B1453="","",PPMT(Rate,ROWS($1:1441),Nper,-PV,,Type))</f>
        <v/>
      </c>
      <c r="I1453" s="69" t="str">
        <f>IF($B1453="","",IPMT(Rate,ROWS($1:1441),Nper,-PV,,Type))</f>
        <v/>
      </c>
      <c r="J1453" s="73" t="str">
        <f t="shared" ref="J1453:K1453" si="1443">IF($B1453="","",N(J1452)+N(H1453))</f>
        <v/>
      </c>
      <c r="K1453" s="74" t="str">
        <f t="shared" si="1443"/>
        <v/>
      </c>
      <c r="L1453" s="69" t="str">
        <f>IF($B1453="","",PV-J1453)</f>
        <v/>
      </c>
      <c r="M1453" s="71" t="str">
        <f>IF($B1453="","",J1453/PV)</f>
        <v/>
      </c>
      <c r="N1453" s="72" t="str">
        <f t="shared" si="4"/>
        <v/>
      </c>
    </row>
    <row r="1454" ht="14.25" customHeight="1">
      <c r="B1454" s="66" t="str">
        <f>IF(ROWS($1:1442)&lt;=Nper,ROWS($1:1442),"")</f>
        <v/>
      </c>
      <c r="C1454" s="67" t="str">
        <f>IF($B1454="","",IF($E$7="Weekly",Start_Date+7*(ROWS($1:1442)-1),EDATE(Start_Date,VLOOKUP(IF(ASTemp!$E$7="","Monthly",ASTemp!$E$7),Parameters!$B$3:$D$6,3,0)*(ROWS($1:1442)-1))))</f>
        <v/>
      </c>
      <c r="D1454" s="68" t="str">
        <f t="shared" si="2"/>
        <v/>
      </c>
      <c r="E1454" s="65" t="str">
        <f>IF($B1454="","",VLOOKUP(MONTH(C1454),Parameters!$F$2:$G$13,2,0))</f>
        <v/>
      </c>
      <c r="F1454" s="69" t="str">
        <f>IF($B1454="","",PV-N(J1453))</f>
        <v/>
      </c>
      <c r="G1454" s="69" t="str">
        <f>IF($B1454="","",PMT(Rate,Nper,-PV,,Type))</f>
        <v/>
      </c>
      <c r="H1454" s="69" t="str">
        <f>IF($B1454="","",PPMT(Rate,ROWS($1:1442),Nper,-PV,,Type))</f>
        <v/>
      </c>
      <c r="I1454" s="69" t="str">
        <f>IF($B1454="","",IPMT(Rate,ROWS($1:1442),Nper,-PV,,Type))</f>
        <v/>
      </c>
      <c r="J1454" s="73" t="str">
        <f t="shared" ref="J1454:K1454" si="1444">IF($B1454="","",N(J1453)+N(H1454))</f>
        <v/>
      </c>
      <c r="K1454" s="74" t="str">
        <f t="shared" si="1444"/>
        <v/>
      </c>
      <c r="L1454" s="69" t="str">
        <f>IF($B1454="","",PV-J1454)</f>
        <v/>
      </c>
      <c r="M1454" s="71" t="str">
        <f>IF($B1454="","",J1454/PV)</f>
        <v/>
      </c>
      <c r="N1454" s="72" t="str">
        <f t="shared" si="4"/>
        <v/>
      </c>
    </row>
    <row r="1455" ht="14.25" customHeight="1">
      <c r="B1455" s="66" t="str">
        <f>IF(ROWS($1:1443)&lt;=Nper,ROWS($1:1443),"")</f>
        <v/>
      </c>
      <c r="C1455" s="67" t="str">
        <f>IF($B1455="","",IF($E$7="Weekly",Start_Date+7*(ROWS($1:1443)-1),EDATE(Start_Date,VLOOKUP(IF(ASTemp!$E$7="","Monthly",ASTemp!$E$7),Parameters!$B$3:$D$6,3,0)*(ROWS($1:1443)-1))))</f>
        <v/>
      </c>
      <c r="D1455" s="68" t="str">
        <f t="shared" si="2"/>
        <v/>
      </c>
      <c r="E1455" s="65" t="str">
        <f>IF($B1455="","",VLOOKUP(MONTH(C1455),Parameters!$F$2:$G$13,2,0))</f>
        <v/>
      </c>
      <c r="F1455" s="69" t="str">
        <f>IF($B1455="","",PV-N(J1454))</f>
        <v/>
      </c>
      <c r="G1455" s="69" t="str">
        <f>IF($B1455="","",PMT(Rate,Nper,-PV,,Type))</f>
        <v/>
      </c>
      <c r="H1455" s="69" t="str">
        <f>IF($B1455="","",PPMT(Rate,ROWS($1:1443),Nper,-PV,,Type))</f>
        <v/>
      </c>
      <c r="I1455" s="69" t="str">
        <f>IF($B1455="","",IPMT(Rate,ROWS($1:1443),Nper,-PV,,Type))</f>
        <v/>
      </c>
      <c r="J1455" s="73" t="str">
        <f t="shared" ref="J1455:K1455" si="1445">IF($B1455="","",N(J1454)+N(H1455))</f>
        <v/>
      </c>
      <c r="K1455" s="74" t="str">
        <f t="shared" si="1445"/>
        <v/>
      </c>
      <c r="L1455" s="69" t="str">
        <f>IF($B1455="","",PV-J1455)</f>
        <v/>
      </c>
      <c r="M1455" s="71" t="str">
        <f>IF($B1455="","",J1455/PV)</f>
        <v/>
      </c>
      <c r="N1455" s="72" t="str">
        <f t="shared" si="4"/>
        <v/>
      </c>
    </row>
    <row r="1456" ht="14.25" customHeight="1">
      <c r="B1456" s="66" t="str">
        <f>IF(ROWS($1:1444)&lt;=Nper,ROWS($1:1444),"")</f>
        <v/>
      </c>
      <c r="C1456" s="67" t="str">
        <f>IF($B1456="","",IF($E$7="Weekly",Start_Date+7*(ROWS($1:1444)-1),EDATE(Start_Date,VLOOKUP(IF(ASTemp!$E$7="","Monthly",ASTemp!$E$7),Parameters!$B$3:$D$6,3,0)*(ROWS($1:1444)-1))))</f>
        <v/>
      </c>
      <c r="D1456" s="68" t="str">
        <f t="shared" si="2"/>
        <v/>
      </c>
      <c r="E1456" s="65" t="str">
        <f>IF($B1456="","",VLOOKUP(MONTH(C1456),Parameters!$F$2:$G$13,2,0))</f>
        <v/>
      </c>
      <c r="F1456" s="69" t="str">
        <f>IF($B1456="","",PV-N(J1455))</f>
        <v/>
      </c>
      <c r="G1456" s="69" t="str">
        <f>IF($B1456="","",PMT(Rate,Nper,-PV,,Type))</f>
        <v/>
      </c>
      <c r="H1456" s="69" t="str">
        <f>IF($B1456="","",PPMT(Rate,ROWS($1:1444),Nper,-PV,,Type))</f>
        <v/>
      </c>
      <c r="I1456" s="69" t="str">
        <f>IF($B1456="","",IPMT(Rate,ROWS($1:1444),Nper,-PV,,Type))</f>
        <v/>
      </c>
      <c r="J1456" s="73" t="str">
        <f t="shared" ref="J1456:K1456" si="1446">IF($B1456="","",N(J1455)+N(H1456))</f>
        <v/>
      </c>
      <c r="K1456" s="74" t="str">
        <f t="shared" si="1446"/>
        <v/>
      </c>
      <c r="L1456" s="69" t="str">
        <f>IF($B1456="","",PV-J1456)</f>
        <v/>
      </c>
      <c r="M1456" s="71" t="str">
        <f>IF($B1456="","",J1456/PV)</f>
        <v/>
      </c>
      <c r="N1456" s="72" t="str">
        <f t="shared" si="4"/>
        <v/>
      </c>
    </row>
    <row r="1457" ht="14.25" customHeight="1">
      <c r="B1457" s="66" t="str">
        <f>IF(ROWS($1:1445)&lt;=Nper,ROWS($1:1445),"")</f>
        <v/>
      </c>
      <c r="C1457" s="67" t="str">
        <f>IF($B1457="","",IF($E$7="Weekly",Start_Date+7*(ROWS($1:1445)-1),EDATE(Start_Date,VLOOKUP(IF(ASTemp!$E$7="","Monthly",ASTemp!$E$7),Parameters!$B$3:$D$6,3,0)*(ROWS($1:1445)-1))))</f>
        <v/>
      </c>
      <c r="D1457" s="68" t="str">
        <f t="shared" si="2"/>
        <v/>
      </c>
      <c r="E1457" s="65" t="str">
        <f>IF($B1457="","",VLOOKUP(MONTH(C1457),Parameters!$F$2:$G$13,2,0))</f>
        <v/>
      </c>
      <c r="F1457" s="69" t="str">
        <f>IF($B1457="","",PV-N(J1456))</f>
        <v/>
      </c>
      <c r="G1457" s="69" t="str">
        <f>IF($B1457="","",PMT(Rate,Nper,-PV,,Type))</f>
        <v/>
      </c>
      <c r="H1457" s="69" t="str">
        <f>IF($B1457="","",PPMT(Rate,ROWS($1:1445),Nper,-PV,,Type))</f>
        <v/>
      </c>
      <c r="I1457" s="69" t="str">
        <f>IF($B1457="","",IPMT(Rate,ROWS($1:1445),Nper,-PV,,Type))</f>
        <v/>
      </c>
      <c r="J1457" s="73" t="str">
        <f t="shared" ref="J1457:K1457" si="1447">IF($B1457="","",N(J1456)+N(H1457))</f>
        <v/>
      </c>
      <c r="K1457" s="74" t="str">
        <f t="shared" si="1447"/>
        <v/>
      </c>
      <c r="L1457" s="69" t="str">
        <f>IF($B1457="","",PV-J1457)</f>
        <v/>
      </c>
      <c r="M1457" s="71" t="str">
        <f>IF($B1457="","",J1457/PV)</f>
        <v/>
      </c>
      <c r="N1457" s="72" t="str">
        <f t="shared" si="4"/>
        <v/>
      </c>
    </row>
    <row r="1458" ht="14.25" customHeight="1">
      <c r="B1458" s="66" t="str">
        <f>IF(ROWS($1:1446)&lt;=Nper,ROWS($1:1446),"")</f>
        <v/>
      </c>
      <c r="C1458" s="67" t="str">
        <f>IF($B1458="","",IF($E$7="Weekly",Start_Date+7*(ROWS($1:1446)-1),EDATE(Start_Date,VLOOKUP(IF(ASTemp!$E$7="","Monthly",ASTemp!$E$7),Parameters!$B$3:$D$6,3,0)*(ROWS($1:1446)-1))))</f>
        <v/>
      </c>
      <c r="D1458" s="68" t="str">
        <f t="shared" si="2"/>
        <v/>
      </c>
      <c r="E1458" s="65" t="str">
        <f>IF($B1458="","",VLOOKUP(MONTH(C1458),Parameters!$F$2:$G$13,2,0))</f>
        <v/>
      </c>
      <c r="F1458" s="69" t="str">
        <f>IF($B1458="","",PV-N(J1457))</f>
        <v/>
      </c>
      <c r="G1458" s="69" t="str">
        <f>IF($B1458="","",PMT(Rate,Nper,-PV,,Type))</f>
        <v/>
      </c>
      <c r="H1458" s="69" t="str">
        <f>IF($B1458="","",PPMT(Rate,ROWS($1:1446),Nper,-PV,,Type))</f>
        <v/>
      </c>
      <c r="I1458" s="69" t="str">
        <f>IF($B1458="","",IPMT(Rate,ROWS($1:1446),Nper,-PV,,Type))</f>
        <v/>
      </c>
      <c r="J1458" s="73" t="str">
        <f t="shared" ref="J1458:K1458" si="1448">IF($B1458="","",N(J1457)+N(H1458))</f>
        <v/>
      </c>
      <c r="K1458" s="74" t="str">
        <f t="shared" si="1448"/>
        <v/>
      </c>
      <c r="L1458" s="69" t="str">
        <f>IF($B1458="","",PV-J1458)</f>
        <v/>
      </c>
      <c r="M1458" s="71" t="str">
        <f>IF($B1458="","",J1458/PV)</f>
        <v/>
      </c>
      <c r="N1458" s="72" t="str">
        <f t="shared" si="4"/>
        <v/>
      </c>
    </row>
    <row r="1459" ht="14.25" customHeight="1">
      <c r="B1459" s="66" t="str">
        <f>IF(ROWS($1:1447)&lt;=Nper,ROWS($1:1447),"")</f>
        <v/>
      </c>
      <c r="C1459" s="67" t="str">
        <f>IF($B1459="","",IF($E$7="Weekly",Start_Date+7*(ROWS($1:1447)-1),EDATE(Start_Date,VLOOKUP(IF(ASTemp!$E$7="","Monthly",ASTemp!$E$7),Parameters!$B$3:$D$6,3,0)*(ROWS($1:1447)-1))))</f>
        <v/>
      </c>
      <c r="D1459" s="68" t="str">
        <f t="shared" si="2"/>
        <v/>
      </c>
      <c r="E1459" s="65" t="str">
        <f>IF($B1459="","",VLOOKUP(MONTH(C1459),Parameters!$F$2:$G$13,2,0))</f>
        <v/>
      </c>
      <c r="F1459" s="69" t="str">
        <f>IF($B1459="","",PV-N(J1458))</f>
        <v/>
      </c>
      <c r="G1459" s="69" t="str">
        <f>IF($B1459="","",PMT(Rate,Nper,-PV,,Type))</f>
        <v/>
      </c>
      <c r="H1459" s="69" t="str">
        <f>IF($B1459="","",PPMT(Rate,ROWS($1:1447),Nper,-PV,,Type))</f>
        <v/>
      </c>
      <c r="I1459" s="69" t="str">
        <f>IF($B1459="","",IPMT(Rate,ROWS($1:1447),Nper,-PV,,Type))</f>
        <v/>
      </c>
      <c r="J1459" s="73" t="str">
        <f t="shared" ref="J1459:K1459" si="1449">IF($B1459="","",N(J1458)+N(H1459))</f>
        <v/>
      </c>
      <c r="K1459" s="74" t="str">
        <f t="shared" si="1449"/>
        <v/>
      </c>
      <c r="L1459" s="69" t="str">
        <f>IF($B1459="","",PV-J1459)</f>
        <v/>
      </c>
      <c r="M1459" s="71" t="str">
        <f>IF($B1459="","",J1459/PV)</f>
        <v/>
      </c>
      <c r="N1459" s="72" t="str">
        <f t="shared" si="4"/>
        <v/>
      </c>
    </row>
    <row r="1460" ht="14.25" customHeight="1">
      <c r="B1460" s="66" t="str">
        <f>IF(ROWS($1:1448)&lt;=Nper,ROWS($1:1448),"")</f>
        <v/>
      </c>
      <c r="C1460" s="67" t="str">
        <f>IF($B1460="","",IF($E$7="Weekly",Start_Date+7*(ROWS($1:1448)-1),EDATE(Start_Date,VLOOKUP(IF(ASTemp!$E$7="","Monthly",ASTemp!$E$7),Parameters!$B$3:$D$6,3,0)*(ROWS($1:1448)-1))))</f>
        <v/>
      </c>
      <c r="D1460" s="68" t="str">
        <f t="shared" si="2"/>
        <v/>
      </c>
      <c r="E1460" s="65" t="str">
        <f>IF($B1460="","",VLOOKUP(MONTH(C1460),Parameters!$F$2:$G$13,2,0))</f>
        <v/>
      </c>
      <c r="F1460" s="69" t="str">
        <f>IF($B1460="","",PV-N(J1459))</f>
        <v/>
      </c>
      <c r="G1460" s="69" t="str">
        <f>IF($B1460="","",PMT(Rate,Nper,-PV,,Type))</f>
        <v/>
      </c>
      <c r="H1460" s="69" t="str">
        <f>IF($B1460="","",PPMT(Rate,ROWS($1:1448),Nper,-PV,,Type))</f>
        <v/>
      </c>
      <c r="I1460" s="69" t="str">
        <f>IF($B1460="","",IPMT(Rate,ROWS($1:1448),Nper,-PV,,Type))</f>
        <v/>
      </c>
      <c r="J1460" s="73" t="str">
        <f t="shared" ref="J1460:K1460" si="1450">IF($B1460="","",N(J1459)+N(H1460))</f>
        <v/>
      </c>
      <c r="K1460" s="74" t="str">
        <f t="shared" si="1450"/>
        <v/>
      </c>
      <c r="L1460" s="69" t="str">
        <f>IF($B1460="","",PV-J1460)</f>
        <v/>
      </c>
      <c r="M1460" s="71" t="str">
        <f>IF($B1460="","",J1460/PV)</f>
        <v/>
      </c>
      <c r="N1460" s="72" t="str">
        <f t="shared" si="4"/>
        <v/>
      </c>
    </row>
    <row r="1461" ht="14.25" customHeight="1">
      <c r="B1461" s="66" t="str">
        <f>IF(ROWS($1:1449)&lt;=Nper,ROWS($1:1449),"")</f>
        <v/>
      </c>
      <c r="C1461" s="67" t="str">
        <f>IF($B1461="","",IF($E$7="Weekly",Start_Date+7*(ROWS($1:1449)-1),EDATE(Start_Date,VLOOKUP(IF(ASTemp!$E$7="","Monthly",ASTemp!$E$7),Parameters!$B$3:$D$6,3,0)*(ROWS($1:1449)-1))))</f>
        <v/>
      </c>
      <c r="D1461" s="68" t="str">
        <f t="shared" si="2"/>
        <v/>
      </c>
      <c r="E1461" s="65" t="str">
        <f>IF($B1461="","",VLOOKUP(MONTH(C1461),Parameters!$F$2:$G$13,2,0))</f>
        <v/>
      </c>
      <c r="F1461" s="69" t="str">
        <f>IF($B1461="","",PV-N(J1460))</f>
        <v/>
      </c>
      <c r="G1461" s="69" t="str">
        <f>IF($B1461="","",PMT(Rate,Nper,-PV,,Type))</f>
        <v/>
      </c>
      <c r="H1461" s="69" t="str">
        <f>IF($B1461="","",PPMT(Rate,ROWS($1:1449),Nper,-PV,,Type))</f>
        <v/>
      </c>
      <c r="I1461" s="69" t="str">
        <f>IF($B1461="","",IPMT(Rate,ROWS($1:1449),Nper,-PV,,Type))</f>
        <v/>
      </c>
      <c r="J1461" s="73" t="str">
        <f t="shared" ref="J1461:K1461" si="1451">IF($B1461="","",N(J1460)+N(H1461))</f>
        <v/>
      </c>
      <c r="K1461" s="74" t="str">
        <f t="shared" si="1451"/>
        <v/>
      </c>
      <c r="L1461" s="69" t="str">
        <f>IF($B1461="","",PV-J1461)</f>
        <v/>
      </c>
      <c r="M1461" s="71" t="str">
        <f>IF($B1461="","",J1461/PV)</f>
        <v/>
      </c>
      <c r="N1461" s="72" t="str">
        <f t="shared" si="4"/>
        <v/>
      </c>
    </row>
    <row r="1462" ht="14.25" customHeight="1">
      <c r="B1462" s="66" t="str">
        <f>IF(ROWS($1:1450)&lt;=Nper,ROWS($1:1450),"")</f>
        <v/>
      </c>
      <c r="C1462" s="67" t="str">
        <f>IF($B1462="","",IF($E$7="Weekly",Start_Date+7*(ROWS($1:1450)-1),EDATE(Start_Date,VLOOKUP(IF(ASTemp!$E$7="","Monthly",ASTemp!$E$7),Parameters!$B$3:$D$6,3,0)*(ROWS($1:1450)-1))))</f>
        <v/>
      </c>
      <c r="D1462" s="68" t="str">
        <f t="shared" si="2"/>
        <v/>
      </c>
      <c r="E1462" s="65" t="str">
        <f>IF($B1462="","",VLOOKUP(MONTH(C1462),Parameters!$F$2:$G$13,2,0))</f>
        <v/>
      </c>
      <c r="F1462" s="69" t="str">
        <f>IF($B1462="","",PV-N(J1461))</f>
        <v/>
      </c>
      <c r="G1462" s="69" t="str">
        <f>IF($B1462="","",PMT(Rate,Nper,-PV,,Type))</f>
        <v/>
      </c>
      <c r="H1462" s="69" t="str">
        <f>IF($B1462="","",PPMT(Rate,ROWS($1:1450),Nper,-PV,,Type))</f>
        <v/>
      </c>
      <c r="I1462" s="69" t="str">
        <f>IF($B1462="","",IPMT(Rate,ROWS($1:1450),Nper,-PV,,Type))</f>
        <v/>
      </c>
      <c r="J1462" s="73" t="str">
        <f t="shared" ref="J1462:K1462" si="1452">IF($B1462="","",N(J1461)+N(H1462))</f>
        <v/>
      </c>
      <c r="K1462" s="74" t="str">
        <f t="shared" si="1452"/>
        <v/>
      </c>
      <c r="L1462" s="69" t="str">
        <f>IF($B1462="","",PV-J1462)</f>
        <v/>
      </c>
      <c r="M1462" s="71" t="str">
        <f>IF($B1462="","",J1462/PV)</f>
        <v/>
      </c>
      <c r="N1462" s="72" t="str">
        <f t="shared" si="4"/>
        <v/>
      </c>
    </row>
    <row r="1463" ht="14.25" customHeight="1">
      <c r="B1463" s="66" t="str">
        <f>IF(ROWS($1:1451)&lt;=Nper,ROWS($1:1451),"")</f>
        <v/>
      </c>
      <c r="C1463" s="67" t="str">
        <f>IF($B1463="","",IF($E$7="Weekly",Start_Date+7*(ROWS($1:1451)-1),EDATE(Start_Date,VLOOKUP(IF(ASTemp!$E$7="","Monthly",ASTemp!$E$7),Parameters!$B$3:$D$6,3,0)*(ROWS($1:1451)-1))))</f>
        <v/>
      </c>
      <c r="D1463" s="68" t="str">
        <f t="shared" si="2"/>
        <v/>
      </c>
      <c r="E1463" s="65" t="str">
        <f>IF($B1463="","",VLOOKUP(MONTH(C1463),Parameters!$F$2:$G$13,2,0))</f>
        <v/>
      </c>
      <c r="F1463" s="69" t="str">
        <f>IF($B1463="","",PV-N(J1462))</f>
        <v/>
      </c>
      <c r="G1463" s="69" t="str">
        <f>IF($B1463="","",PMT(Rate,Nper,-PV,,Type))</f>
        <v/>
      </c>
      <c r="H1463" s="69" t="str">
        <f>IF($B1463="","",PPMT(Rate,ROWS($1:1451),Nper,-PV,,Type))</f>
        <v/>
      </c>
      <c r="I1463" s="69" t="str">
        <f>IF($B1463="","",IPMT(Rate,ROWS($1:1451),Nper,-PV,,Type))</f>
        <v/>
      </c>
      <c r="J1463" s="73" t="str">
        <f t="shared" ref="J1463:K1463" si="1453">IF($B1463="","",N(J1462)+N(H1463))</f>
        <v/>
      </c>
      <c r="K1463" s="74" t="str">
        <f t="shared" si="1453"/>
        <v/>
      </c>
      <c r="L1463" s="69" t="str">
        <f>IF($B1463="","",PV-J1463)</f>
        <v/>
      </c>
      <c r="M1463" s="71" t="str">
        <f>IF($B1463="","",J1463/PV)</f>
        <v/>
      </c>
      <c r="N1463" s="72" t="str">
        <f t="shared" si="4"/>
        <v/>
      </c>
    </row>
    <row r="1464" ht="14.25" customHeight="1">
      <c r="B1464" s="66" t="str">
        <f>IF(ROWS($1:1452)&lt;=Nper,ROWS($1:1452),"")</f>
        <v/>
      </c>
      <c r="C1464" s="67" t="str">
        <f>IF($B1464="","",IF($E$7="Weekly",Start_Date+7*(ROWS($1:1452)-1),EDATE(Start_Date,VLOOKUP(IF(ASTemp!$E$7="","Monthly",ASTemp!$E$7),Parameters!$B$3:$D$6,3,0)*(ROWS($1:1452)-1))))</f>
        <v/>
      </c>
      <c r="D1464" s="68" t="str">
        <f t="shared" si="2"/>
        <v/>
      </c>
      <c r="E1464" s="65" t="str">
        <f>IF($B1464="","",VLOOKUP(MONTH(C1464),Parameters!$F$2:$G$13,2,0))</f>
        <v/>
      </c>
      <c r="F1464" s="69" t="str">
        <f>IF($B1464="","",PV-N(J1463))</f>
        <v/>
      </c>
      <c r="G1464" s="69" t="str">
        <f>IF($B1464="","",PMT(Rate,Nper,-PV,,Type))</f>
        <v/>
      </c>
      <c r="H1464" s="69" t="str">
        <f>IF($B1464="","",PPMT(Rate,ROWS($1:1452),Nper,-PV,,Type))</f>
        <v/>
      </c>
      <c r="I1464" s="69" t="str">
        <f>IF($B1464="","",IPMT(Rate,ROWS($1:1452),Nper,-PV,,Type))</f>
        <v/>
      </c>
      <c r="J1464" s="73" t="str">
        <f t="shared" ref="J1464:K1464" si="1454">IF($B1464="","",N(J1463)+N(H1464))</f>
        <v/>
      </c>
      <c r="K1464" s="74" t="str">
        <f t="shared" si="1454"/>
        <v/>
      </c>
      <c r="L1464" s="69" t="str">
        <f>IF($B1464="","",PV-J1464)</f>
        <v/>
      </c>
      <c r="M1464" s="71" t="str">
        <f>IF($B1464="","",J1464/PV)</f>
        <v/>
      </c>
      <c r="N1464" s="72" t="str">
        <f t="shared" si="4"/>
        <v/>
      </c>
    </row>
    <row r="1465" ht="14.25" customHeight="1">
      <c r="B1465" s="66" t="str">
        <f>IF(ROWS($1:1453)&lt;=Nper,ROWS($1:1453),"")</f>
        <v/>
      </c>
      <c r="C1465" s="67" t="str">
        <f>IF($B1465="","",IF($E$7="Weekly",Start_Date+7*(ROWS($1:1453)-1),EDATE(Start_Date,VLOOKUP(IF(ASTemp!$E$7="","Monthly",ASTemp!$E$7),Parameters!$B$3:$D$6,3,0)*(ROWS($1:1453)-1))))</f>
        <v/>
      </c>
      <c r="D1465" s="68" t="str">
        <f t="shared" si="2"/>
        <v/>
      </c>
      <c r="E1465" s="65" t="str">
        <f>IF($B1465="","",VLOOKUP(MONTH(C1465),Parameters!$F$2:$G$13,2,0))</f>
        <v/>
      </c>
      <c r="F1465" s="69" t="str">
        <f>IF($B1465="","",PV-N(J1464))</f>
        <v/>
      </c>
      <c r="G1465" s="69" t="str">
        <f>IF($B1465="","",PMT(Rate,Nper,-PV,,Type))</f>
        <v/>
      </c>
      <c r="H1465" s="69" t="str">
        <f>IF($B1465="","",PPMT(Rate,ROWS($1:1453),Nper,-PV,,Type))</f>
        <v/>
      </c>
      <c r="I1465" s="69" t="str">
        <f>IF($B1465="","",IPMT(Rate,ROWS($1:1453),Nper,-PV,,Type))</f>
        <v/>
      </c>
      <c r="J1465" s="73" t="str">
        <f t="shared" ref="J1465:K1465" si="1455">IF($B1465="","",N(J1464)+N(H1465))</f>
        <v/>
      </c>
      <c r="K1465" s="74" t="str">
        <f t="shared" si="1455"/>
        <v/>
      </c>
      <c r="L1465" s="69" t="str">
        <f>IF($B1465="","",PV-J1465)</f>
        <v/>
      </c>
      <c r="M1465" s="71" t="str">
        <f>IF($B1465="","",J1465/PV)</f>
        <v/>
      </c>
      <c r="N1465" s="72" t="str">
        <f t="shared" si="4"/>
        <v/>
      </c>
    </row>
    <row r="1466" ht="14.25" customHeight="1">
      <c r="B1466" s="66" t="str">
        <f>IF(ROWS($1:1454)&lt;=Nper,ROWS($1:1454),"")</f>
        <v/>
      </c>
      <c r="C1466" s="67" t="str">
        <f>IF($B1466="","",IF($E$7="Weekly",Start_Date+7*(ROWS($1:1454)-1),EDATE(Start_Date,VLOOKUP(IF(ASTemp!$E$7="","Monthly",ASTemp!$E$7),Parameters!$B$3:$D$6,3,0)*(ROWS($1:1454)-1))))</f>
        <v/>
      </c>
      <c r="D1466" s="68" t="str">
        <f t="shared" si="2"/>
        <v/>
      </c>
      <c r="E1466" s="65" t="str">
        <f>IF($B1466="","",VLOOKUP(MONTH(C1466),Parameters!$F$2:$G$13,2,0))</f>
        <v/>
      </c>
      <c r="F1466" s="69" t="str">
        <f>IF($B1466="","",PV-N(J1465))</f>
        <v/>
      </c>
      <c r="G1466" s="69" t="str">
        <f>IF($B1466="","",PMT(Rate,Nper,-PV,,Type))</f>
        <v/>
      </c>
      <c r="H1466" s="69" t="str">
        <f>IF($B1466="","",PPMT(Rate,ROWS($1:1454),Nper,-PV,,Type))</f>
        <v/>
      </c>
      <c r="I1466" s="69" t="str">
        <f>IF($B1466="","",IPMT(Rate,ROWS($1:1454),Nper,-PV,,Type))</f>
        <v/>
      </c>
      <c r="J1466" s="73" t="str">
        <f t="shared" ref="J1466:K1466" si="1456">IF($B1466="","",N(J1465)+N(H1466))</f>
        <v/>
      </c>
      <c r="K1466" s="74" t="str">
        <f t="shared" si="1456"/>
        <v/>
      </c>
      <c r="L1466" s="69" t="str">
        <f>IF($B1466="","",PV-J1466)</f>
        <v/>
      </c>
      <c r="M1466" s="71" t="str">
        <f>IF($B1466="","",J1466/PV)</f>
        <v/>
      </c>
      <c r="N1466" s="72" t="str">
        <f t="shared" si="4"/>
        <v/>
      </c>
    </row>
    <row r="1467" ht="14.25" customHeight="1">
      <c r="B1467" s="66" t="str">
        <f>IF(ROWS($1:1455)&lt;=Nper,ROWS($1:1455),"")</f>
        <v/>
      </c>
      <c r="C1467" s="67" t="str">
        <f>IF($B1467="","",IF($E$7="Weekly",Start_Date+7*(ROWS($1:1455)-1),EDATE(Start_Date,VLOOKUP(IF(ASTemp!$E$7="","Monthly",ASTemp!$E$7),Parameters!$B$3:$D$6,3,0)*(ROWS($1:1455)-1))))</f>
        <v/>
      </c>
      <c r="D1467" s="68" t="str">
        <f t="shared" si="2"/>
        <v/>
      </c>
      <c r="E1467" s="65" t="str">
        <f>IF($B1467="","",VLOOKUP(MONTH(C1467),Parameters!$F$2:$G$13,2,0))</f>
        <v/>
      </c>
      <c r="F1467" s="69" t="str">
        <f>IF($B1467="","",PV-N(J1466))</f>
        <v/>
      </c>
      <c r="G1467" s="69" t="str">
        <f>IF($B1467="","",PMT(Rate,Nper,-PV,,Type))</f>
        <v/>
      </c>
      <c r="H1467" s="69" t="str">
        <f>IF($B1467="","",PPMT(Rate,ROWS($1:1455),Nper,-PV,,Type))</f>
        <v/>
      </c>
      <c r="I1467" s="69" t="str">
        <f>IF($B1467="","",IPMT(Rate,ROWS($1:1455),Nper,-PV,,Type))</f>
        <v/>
      </c>
      <c r="J1467" s="73" t="str">
        <f t="shared" ref="J1467:K1467" si="1457">IF($B1467="","",N(J1466)+N(H1467))</f>
        <v/>
      </c>
      <c r="K1467" s="74" t="str">
        <f t="shared" si="1457"/>
        <v/>
      </c>
      <c r="L1467" s="69" t="str">
        <f>IF($B1467="","",PV-J1467)</f>
        <v/>
      </c>
      <c r="M1467" s="71" t="str">
        <f>IF($B1467="","",J1467/PV)</f>
        <v/>
      </c>
      <c r="N1467" s="72" t="str">
        <f t="shared" si="4"/>
        <v/>
      </c>
    </row>
    <row r="1468" ht="14.25" customHeight="1">
      <c r="B1468" s="66" t="str">
        <f>IF(ROWS($1:1456)&lt;=Nper,ROWS($1:1456),"")</f>
        <v/>
      </c>
      <c r="C1468" s="67" t="str">
        <f>IF($B1468="","",IF($E$7="Weekly",Start_Date+7*(ROWS($1:1456)-1),EDATE(Start_Date,VLOOKUP(IF(ASTemp!$E$7="","Monthly",ASTemp!$E$7),Parameters!$B$3:$D$6,3,0)*(ROWS($1:1456)-1))))</f>
        <v/>
      </c>
      <c r="D1468" s="68" t="str">
        <f t="shared" si="2"/>
        <v/>
      </c>
      <c r="E1468" s="65" t="str">
        <f>IF($B1468="","",VLOOKUP(MONTH(C1468),Parameters!$F$2:$G$13,2,0))</f>
        <v/>
      </c>
      <c r="F1468" s="69" t="str">
        <f>IF($B1468="","",PV-N(J1467))</f>
        <v/>
      </c>
      <c r="G1468" s="69" t="str">
        <f>IF($B1468="","",PMT(Rate,Nper,-PV,,Type))</f>
        <v/>
      </c>
      <c r="H1468" s="69" t="str">
        <f>IF($B1468="","",PPMT(Rate,ROWS($1:1456),Nper,-PV,,Type))</f>
        <v/>
      </c>
      <c r="I1468" s="69" t="str">
        <f>IF($B1468="","",IPMT(Rate,ROWS($1:1456),Nper,-PV,,Type))</f>
        <v/>
      </c>
      <c r="J1468" s="73" t="str">
        <f t="shared" ref="J1468:K1468" si="1458">IF($B1468="","",N(J1467)+N(H1468))</f>
        <v/>
      </c>
      <c r="K1468" s="74" t="str">
        <f t="shared" si="1458"/>
        <v/>
      </c>
      <c r="L1468" s="69" t="str">
        <f>IF($B1468="","",PV-J1468)</f>
        <v/>
      </c>
      <c r="M1468" s="71" t="str">
        <f>IF($B1468="","",J1468/PV)</f>
        <v/>
      </c>
      <c r="N1468" s="72" t="str">
        <f t="shared" si="4"/>
        <v/>
      </c>
    </row>
    <row r="1469" ht="14.25" customHeight="1">
      <c r="B1469" s="66" t="str">
        <f>IF(ROWS($1:1457)&lt;=Nper,ROWS($1:1457),"")</f>
        <v/>
      </c>
      <c r="C1469" s="67" t="str">
        <f>IF($B1469="","",IF($E$7="Weekly",Start_Date+7*(ROWS($1:1457)-1),EDATE(Start_Date,VLOOKUP(IF(ASTemp!$E$7="","Monthly",ASTemp!$E$7),Parameters!$B$3:$D$6,3,0)*(ROWS($1:1457)-1))))</f>
        <v/>
      </c>
      <c r="D1469" s="68" t="str">
        <f t="shared" si="2"/>
        <v/>
      </c>
      <c r="E1469" s="65" t="str">
        <f>IF($B1469="","",VLOOKUP(MONTH(C1469),Parameters!$F$2:$G$13,2,0))</f>
        <v/>
      </c>
      <c r="F1469" s="69" t="str">
        <f>IF($B1469="","",PV-N(J1468))</f>
        <v/>
      </c>
      <c r="G1469" s="69" t="str">
        <f>IF($B1469="","",PMT(Rate,Nper,-PV,,Type))</f>
        <v/>
      </c>
      <c r="H1469" s="69" t="str">
        <f>IF($B1469="","",PPMT(Rate,ROWS($1:1457),Nper,-PV,,Type))</f>
        <v/>
      </c>
      <c r="I1469" s="69" t="str">
        <f>IF($B1469="","",IPMT(Rate,ROWS($1:1457),Nper,-PV,,Type))</f>
        <v/>
      </c>
      <c r="J1469" s="73" t="str">
        <f t="shared" ref="J1469:K1469" si="1459">IF($B1469="","",N(J1468)+N(H1469))</f>
        <v/>
      </c>
      <c r="K1469" s="74" t="str">
        <f t="shared" si="1459"/>
        <v/>
      </c>
      <c r="L1469" s="69" t="str">
        <f>IF($B1469="","",PV-J1469)</f>
        <v/>
      </c>
      <c r="M1469" s="71" t="str">
        <f>IF($B1469="","",J1469/PV)</f>
        <v/>
      </c>
      <c r="N1469" s="72" t="str">
        <f t="shared" si="4"/>
        <v/>
      </c>
    </row>
    <row r="1470" ht="14.25" customHeight="1">
      <c r="B1470" s="66" t="str">
        <f>IF(ROWS($1:1458)&lt;=Nper,ROWS($1:1458),"")</f>
        <v/>
      </c>
      <c r="C1470" s="67" t="str">
        <f>IF($B1470="","",IF($E$7="Weekly",Start_Date+7*(ROWS($1:1458)-1),EDATE(Start_Date,VLOOKUP(IF(ASTemp!$E$7="","Monthly",ASTemp!$E$7),Parameters!$B$3:$D$6,3,0)*(ROWS($1:1458)-1))))</f>
        <v/>
      </c>
      <c r="D1470" s="68" t="str">
        <f t="shared" si="2"/>
        <v/>
      </c>
      <c r="E1470" s="65" t="str">
        <f>IF($B1470="","",VLOOKUP(MONTH(C1470),Parameters!$F$2:$G$13,2,0))</f>
        <v/>
      </c>
      <c r="F1470" s="69" t="str">
        <f>IF($B1470="","",PV-N(J1469))</f>
        <v/>
      </c>
      <c r="G1470" s="69" t="str">
        <f>IF($B1470="","",PMT(Rate,Nper,-PV,,Type))</f>
        <v/>
      </c>
      <c r="H1470" s="69" t="str">
        <f>IF($B1470="","",PPMT(Rate,ROWS($1:1458),Nper,-PV,,Type))</f>
        <v/>
      </c>
      <c r="I1470" s="69" t="str">
        <f>IF($B1470="","",IPMT(Rate,ROWS($1:1458),Nper,-PV,,Type))</f>
        <v/>
      </c>
      <c r="J1470" s="73" t="str">
        <f t="shared" ref="J1470:K1470" si="1460">IF($B1470="","",N(J1469)+N(H1470))</f>
        <v/>
      </c>
      <c r="K1470" s="74" t="str">
        <f t="shared" si="1460"/>
        <v/>
      </c>
      <c r="L1470" s="69" t="str">
        <f>IF($B1470="","",PV-J1470)</f>
        <v/>
      </c>
      <c r="M1470" s="71" t="str">
        <f>IF($B1470="","",J1470/PV)</f>
        <v/>
      </c>
      <c r="N1470" s="72" t="str">
        <f t="shared" si="4"/>
        <v/>
      </c>
    </row>
    <row r="1471" ht="14.25" customHeight="1">
      <c r="B1471" s="66" t="str">
        <f>IF(ROWS($1:1459)&lt;=Nper,ROWS($1:1459),"")</f>
        <v/>
      </c>
      <c r="C1471" s="67" t="str">
        <f>IF($B1471="","",IF($E$7="Weekly",Start_Date+7*(ROWS($1:1459)-1),EDATE(Start_Date,VLOOKUP(IF(ASTemp!$E$7="","Monthly",ASTemp!$E$7),Parameters!$B$3:$D$6,3,0)*(ROWS($1:1459)-1))))</f>
        <v/>
      </c>
      <c r="D1471" s="68" t="str">
        <f t="shared" si="2"/>
        <v/>
      </c>
      <c r="E1471" s="65" t="str">
        <f>IF($B1471="","",VLOOKUP(MONTH(C1471),Parameters!$F$2:$G$13,2,0))</f>
        <v/>
      </c>
      <c r="F1471" s="69" t="str">
        <f>IF($B1471="","",PV-N(J1470))</f>
        <v/>
      </c>
      <c r="G1471" s="69" t="str">
        <f>IF($B1471="","",PMT(Rate,Nper,-PV,,Type))</f>
        <v/>
      </c>
      <c r="H1471" s="69" t="str">
        <f>IF($B1471="","",PPMT(Rate,ROWS($1:1459),Nper,-PV,,Type))</f>
        <v/>
      </c>
      <c r="I1471" s="69" t="str">
        <f>IF($B1471="","",IPMT(Rate,ROWS($1:1459),Nper,-PV,,Type))</f>
        <v/>
      </c>
      <c r="J1471" s="73" t="str">
        <f t="shared" ref="J1471:K1471" si="1461">IF($B1471="","",N(J1470)+N(H1471))</f>
        <v/>
      </c>
      <c r="K1471" s="74" t="str">
        <f t="shared" si="1461"/>
        <v/>
      </c>
      <c r="L1471" s="69" t="str">
        <f>IF($B1471="","",PV-J1471)</f>
        <v/>
      </c>
      <c r="M1471" s="71" t="str">
        <f>IF($B1471="","",J1471/PV)</f>
        <v/>
      </c>
      <c r="N1471" s="72" t="str">
        <f t="shared" si="4"/>
        <v/>
      </c>
    </row>
    <row r="1472" ht="14.25" customHeight="1">
      <c r="B1472" s="66" t="str">
        <f>IF(ROWS($1:1460)&lt;=Nper,ROWS($1:1460),"")</f>
        <v/>
      </c>
      <c r="C1472" s="67" t="str">
        <f>IF($B1472="","",IF($E$7="Weekly",Start_Date+7*(ROWS($1:1460)-1),EDATE(Start_Date,VLOOKUP(IF(ASTemp!$E$7="","Monthly",ASTemp!$E$7),Parameters!$B$3:$D$6,3,0)*(ROWS($1:1460)-1))))</f>
        <v/>
      </c>
      <c r="D1472" s="68" t="str">
        <f t="shared" si="2"/>
        <v/>
      </c>
      <c r="E1472" s="65" t="str">
        <f>IF($B1472="","",VLOOKUP(MONTH(C1472),Parameters!$F$2:$G$13,2,0))</f>
        <v/>
      </c>
      <c r="F1472" s="69" t="str">
        <f>IF($B1472="","",PV-N(J1471))</f>
        <v/>
      </c>
      <c r="G1472" s="69" t="str">
        <f>IF($B1472="","",PMT(Rate,Nper,-PV,,Type))</f>
        <v/>
      </c>
      <c r="H1472" s="69" t="str">
        <f>IF($B1472="","",PPMT(Rate,ROWS($1:1460),Nper,-PV,,Type))</f>
        <v/>
      </c>
      <c r="I1472" s="69" t="str">
        <f>IF($B1472="","",IPMT(Rate,ROWS($1:1460),Nper,-PV,,Type))</f>
        <v/>
      </c>
      <c r="J1472" s="73" t="str">
        <f t="shared" ref="J1472:K1472" si="1462">IF($B1472="","",N(J1471)+N(H1472))</f>
        <v/>
      </c>
      <c r="K1472" s="74" t="str">
        <f t="shared" si="1462"/>
        <v/>
      </c>
      <c r="L1472" s="69" t="str">
        <f>IF($B1472="","",PV-J1472)</f>
        <v/>
      </c>
      <c r="M1472" s="71" t="str">
        <f>IF($B1472="","",J1472/PV)</f>
        <v/>
      </c>
      <c r="N1472" s="72" t="str">
        <f t="shared" si="4"/>
        <v/>
      </c>
    </row>
    <row r="1473" ht="14.25" customHeight="1">
      <c r="B1473" s="66" t="str">
        <f>IF(ROWS($1:1461)&lt;=Nper,ROWS($1:1461),"")</f>
        <v/>
      </c>
      <c r="C1473" s="67" t="str">
        <f>IF($B1473="","",IF($E$7="Weekly",Start_Date+7*(ROWS($1:1461)-1),EDATE(Start_Date,VLOOKUP(IF(ASTemp!$E$7="","Monthly",ASTemp!$E$7),Parameters!$B$3:$D$6,3,0)*(ROWS($1:1461)-1))))</f>
        <v/>
      </c>
      <c r="D1473" s="68" t="str">
        <f t="shared" si="2"/>
        <v/>
      </c>
      <c r="E1473" s="65" t="str">
        <f>IF($B1473="","",VLOOKUP(MONTH(C1473),Parameters!$F$2:$G$13,2,0))</f>
        <v/>
      </c>
      <c r="F1473" s="69" t="str">
        <f>IF($B1473="","",PV-N(J1472))</f>
        <v/>
      </c>
      <c r="G1473" s="69" t="str">
        <f>IF($B1473="","",PMT(Rate,Nper,-PV,,Type))</f>
        <v/>
      </c>
      <c r="H1473" s="69" t="str">
        <f>IF($B1473="","",PPMT(Rate,ROWS($1:1461),Nper,-PV,,Type))</f>
        <v/>
      </c>
      <c r="I1473" s="69" t="str">
        <f>IF($B1473="","",IPMT(Rate,ROWS($1:1461),Nper,-PV,,Type))</f>
        <v/>
      </c>
      <c r="J1473" s="73" t="str">
        <f t="shared" ref="J1473:K1473" si="1463">IF($B1473="","",N(J1472)+N(H1473))</f>
        <v/>
      </c>
      <c r="K1473" s="74" t="str">
        <f t="shared" si="1463"/>
        <v/>
      </c>
      <c r="L1473" s="69" t="str">
        <f>IF($B1473="","",PV-J1473)</f>
        <v/>
      </c>
      <c r="M1473" s="71" t="str">
        <f>IF($B1473="","",J1473/PV)</f>
        <v/>
      </c>
      <c r="N1473" s="72" t="str">
        <f t="shared" si="4"/>
        <v/>
      </c>
    </row>
    <row r="1474" ht="14.25" customHeight="1">
      <c r="B1474" s="66" t="str">
        <f>IF(ROWS($1:1462)&lt;=Nper,ROWS($1:1462),"")</f>
        <v/>
      </c>
      <c r="C1474" s="67" t="str">
        <f>IF($B1474="","",IF($E$7="Weekly",Start_Date+7*(ROWS($1:1462)-1),EDATE(Start_Date,VLOOKUP(IF(ASTemp!$E$7="","Monthly",ASTemp!$E$7),Parameters!$B$3:$D$6,3,0)*(ROWS($1:1462)-1))))</f>
        <v/>
      </c>
      <c r="D1474" s="68" t="str">
        <f t="shared" si="2"/>
        <v/>
      </c>
      <c r="E1474" s="65" t="str">
        <f>IF($B1474="","",VLOOKUP(MONTH(C1474),Parameters!$F$2:$G$13,2,0))</f>
        <v/>
      </c>
      <c r="F1474" s="69" t="str">
        <f>IF($B1474="","",PV-N(J1473))</f>
        <v/>
      </c>
      <c r="G1474" s="69" t="str">
        <f>IF($B1474="","",PMT(Rate,Nper,-PV,,Type))</f>
        <v/>
      </c>
      <c r="H1474" s="69" t="str">
        <f>IF($B1474="","",PPMT(Rate,ROWS($1:1462),Nper,-PV,,Type))</f>
        <v/>
      </c>
      <c r="I1474" s="69" t="str">
        <f>IF($B1474="","",IPMT(Rate,ROWS($1:1462),Nper,-PV,,Type))</f>
        <v/>
      </c>
      <c r="J1474" s="73" t="str">
        <f t="shared" ref="J1474:K1474" si="1464">IF($B1474="","",N(J1473)+N(H1474))</f>
        <v/>
      </c>
      <c r="K1474" s="74" t="str">
        <f t="shared" si="1464"/>
        <v/>
      </c>
      <c r="L1474" s="69" t="str">
        <f>IF($B1474="","",PV-J1474)</f>
        <v/>
      </c>
      <c r="M1474" s="71" t="str">
        <f>IF($B1474="","",J1474/PV)</f>
        <v/>
      </c>
      <c r="N1474" s="72" t="str">
        <f t="shared" si="4"/>
        <v/>
      </c>
    </row>
    <row r="1475" ht="14.25" customHeight="1">
      <c r="B1475" s="66" t="str">
        <f>IF(ROWS($1:1463)&lt;=Nper,ROWS($1:1463),"")</f>
        <v/>
      </c>
      <c r="C1475" s="67" t="str">
        <f>IF($B1475="","",IF($E$7="Weekly",Start_Date+7*(ROWS($1:1463)-1),EDATE(Start_Date,VLOOKUP(IF(ASTemp!$E$7="","Monthly",ASTemp!$E$7),Parameters!$B$3:$D$6,3,0)*(ROWS($1:1463)-1))))</f>
        <v/>
      </c>
      <c r="D1475" s="68" t="str">
        <f t="shared" si="2"/>
        <v/>
      </c>
      <c r="E1475" s="65" t="str">
        <f>IF($B1475="","",VLOOKUP(MONTH(C1475),Parameters!$F$2:$G$13,2,0))</f>
        <v/>
      </c>
      <c r="F1475" s="69" t="str">
        <f>IF($B1475="","",PV-N(J1474))</f>
        <v/>
      </c>
      <c r="G1475" s="69" t="str">
        <f>IF($B1475="","",PMT(Rate,Nper,-PV,,Type))</f>
        <v/>
      </c>
      <c r="H1475" s="69" t="str">
        <f>IF($B1475="","",PPMT(Rate,ROWS($1:1463),Nper,-PV,,Type))</f>
        <v/>
      </c>
      <c r="I1475" s="69" t="str">
        <f>IF($B1475="","",IPMT(Rate,ROWS($1:1463),Nper,-PV,,Type))</f>
        <v/>
      </c>
      <c r="J1475" s="73" t="str">
        <f t="shared" ref="J1475:K1475" si="1465">IF($B1475="","",N(J1474)+N(H1475))</f>
        <v/>
      </c>
      <c r="K1475" s="74" t="str">
        <f t="shared" si="1465"/>
        <v/>
      </c>
      <c r="L1475" s="69" t="str">
        <f>IF($B1475="","",PV-J1475)</f>
        <v/>
      </c>
      <c r="M1475" s="71" t="str">
        <f>IF($B1475="","",J1475/PV)</f>
        <v/>
      </c>
      <c r="N1475" s="72" t="str">
        <f t="shared" si="4"/>
        <v/>
      </c>
    </row>
    <row r="1476" ht="14.25" customHeight="1">
      <c r="B1476" s="66" t="str">
        <f>IF(ROWS($1:1464)&lt;=Nper,ROWS($1:1464),"")</f>
        <v/>
      </c>
      <c r="C1476" s="67" t="str">
        <f>IF($B1476="","",IF($E$7="Weekly",Start_Date+7*(ROWS($1:1464)-1),EDATE(Start_Date,VLOOKUP(IF(ASTemp!$E$7="","Monthly",ASTemp!$E$7),Parameters!$B$3:$D$6,3,0)*(ROWS($1:1464)-1))))</f>
        <v/>
      </c>
      <c r="D1476" s="68" t="str">
        <f t="shared" si="2"/>
        <v/>
      </c>
      <c r="E1476" s="65" t="str">
        <f>IF($B1476="","",VLOOKUP(MONTH(C1476),Parameters!$F$2:$G$13,2,0))</f>
        <v/>
      </c>
      <c r="F1476" s="69" t="str">
        <f>IF($B1476="","",PV-N(J1475))</f>
        <v/>
      </c>
      <c r="G1476" s="69" t="str">
        <f>IF($B1476="","",PMT(Rate,Nper,-PV,,Type))</f>
        <v/>
      </c>
      <c r="H1476" s="69" t="str">
        <f>IF($B1476="","",PPMT(Rate,ROWS($1:1464),Nper,-PV,,Type))</f>
        <v/>
      </c>
      <c r="I1476" s="69" t="str">
        <f>IF($B1476="","",IPMT(Rate,ROWS($1:1464),Nper,-PV,,Type))</f>
        <v/>
      </c>
      <c r="J1476" s="73" t="str">
        <f t="shared" ref="J1476:K1476" si="1466">IF($B1476="","",N(J1475)+N(H1476))</f>
        <v/>
      </c>
      <c r="K1476" s="74" t="str">
        <f t="shared" si="1466"/>
        <v/>
      </c>
      <c r="L1476" s="69" t="str">
        <f>IF($B1476="","",PV-J1476)</f>
        <v/>
      </c>
      <c r="M1476" s="71" t="str">
        <f>IF($B1476="","",J1476/PV)</f>
        <v/>
      </c>
      <c r="N1476" s="72" t="str">
        <f t="shared" si="4"/>
        <v/>
      </c>
    </row>
    <row r="1477" ht="14.25" customHeight="1">
      <c r="B1477" s="66" t="str">
        <f>IF(ROWS($1:1465)&lt;=Nper,ROWS($1:1465),"")</f>
        <v/>
      </c>
      <c r="C1477" s="67" t="str">
        <f>IF($B1477="","",IF($E$7="Weekly",Start_Date+7*(ROWS($1:1465)-1),EDATE(Start_Date,VLOOKUP(IF(ASTemp!$E$7="","Monthly",ASTemp!$E$7),Parameters!$B$3:$D$6,3,0)*(ROWS($1:1465)-1))))</f>
        <v/>
      </c>
      <c r="D1477" s="68" t="str">
        <f t="shared" si="2"/>
        <v/>
      </c>
      <c r="E1477" s="65" t="str">
        <f>IF($B1477="","",VLOOKUP(MONTH(C1477),Parameters!$F$2:$G$13,2,0))</f>
        <v/>
      </c>
      <c r="F1477" s="69" t="str">
        <f>IF($B1477="","",PV-N(J1476))</f>
        <v/>
      </c>
      <c r="G1477" s="69" t="str">
        <f>IF($B1477="","",PMT(Rate,Nper,-PV,,Type))</f>
        <v/>
      </c>
      <c r="H1477" s="69" t="str">
        <f>IF($B1477="","",PPMT(Rate,ROWS($1:1465),Nper,-PV,,Type))</f>
        <v/>
      </c>
      <c r="I1477" s="69" t="str">
        <f>IF($B1477="","",IPMT(Rate,ROWS($1:1465),Nper,-PV,,Type))</f>
        <v/>
      </c>
      <c r="J1477" s="73" t="str">
        <f t="shared" ref="J1477:K1477" si="1467">IF($B1477="","",N(J1476)+N(H1477))</f>
        <v/>
      </c>
      <c r="K1477" s="74" t="str">
        <f t="shared" si="1467"/>
        <v/>
      </c>
      <c r="L1477" s="69" t="str">
        <f>IF($B1477="","",PV-J1477)</f>
        <v/>
      </c>
      <c r="M1477" s="71" t="str">
        <f>IF($B1477="","",J1477/PV)</f>
        <v/>
      </c>
      <c r="N1477" s="72" t="str">
        <f t="shared" si="4"/>
        <v/>
      </c>
    </row>
    <row r="1478" ht="14.25" customHeight="1">
      <c r="B1478" s="66" t="str">
        <f>IF(ROWS($1:1466)&lt;=Nper,ROWS($1:1466),"")</f>
        <v/>
      </c>
      <c r="C1478" s="67" t="str">
        <f>IF($B1478="","",IF($E$7="Weekly",Start_Date+7*(ROWS($1:1466)-1),EDATE(Start_Date,VLOOKUP(IF(ASTemp!$E$7="","Monthly",ASTemp!$E$7),Parameters!$B$3:$D$6,3,0)*(ROWS($1:1466)-1))))</f>
        <v/>
      </c>
      <c r="D1478" s="68" t="str">
        <f t="shared" si="2"/>
        <v/>
      </c>
      <c r="E1478" s="65" t="str">
        <f>IF($B1478="","",VLOOKUP(MONTH(C1478),Parameters!$F$2:$G$13,2,0))</f>
        <v/>
      </c>
      <c r="F1478" s="69" t="str">
        <f>IF($B1478="","",PV-N(J1477))</f>
        <v/>
      </c>
      <c r="G1478" s="69" t="str">
        <f>IF($B1478="","",PMT(Rate,Nper,-PV,,Type))</f>
        <v/>
      </c>
      <c r="H1478" s="69" t="str">
        <f>IF($B1478="","",PPMT(Rate,ROWS($1:1466),Nper,-PV,,Type))</f>
        <v/>
      </c>
      <c r="I1478" s="69" t="str">
        <f>IF($B1478="","",IPMT(Rate,ROWS($1:1466),Nper,-PV,,Type))</f>
        <v/>
      </c>
      <c r="J1478" s="73" t="str">
        <f t="shared" ref="J1478:K1478" si="1468">IF($B1478="","",N(J1477)+N(H1478))</f>
        <v/>
      </c>
      <c r="K1478" s="74" t="str">
        <f t="shared" si="1468"/>
        <v/>
      </c>
      <c r="L1478" s="69" t="str">
        <f>IF($B1478="","",PV-J1478)</f>
        <v/>
      </c>
      <c r="M1478" s="71" t="str">
        <f>IF($B1478="","",J1478/PV)</f>
        <v/>
      </c>
      <c r="N1478" s="72" t="str">
        <f t="shared" si="4"/>
        <v/>
      </c>
    </row>
    <row r="1479" ht="14.25" customHeight="1">
      <c r="B1479" s="66" t="str">
        <f>IF(ROWS($1:1467)&lt;=Nper,ROWS($1:1467),"")</f>
        <v/>
      </c>
      <c r="C1479" s="67" t="str">
        <f>IF($B1479="","",IF($E$7="Weekly",Start_Date+7*(ROWS($1:1467)-1),EDATE(Start_Date,VLOOKUP(IF(ASTemp!$E$7="","Monthly",ASTemp!$E$7),Parameters!$B$3:$D$6,3,0)*(ROWS($1:1467)-1))))</f>
        <v/>
      </c>
      <c r="D1479" s="68" t="str">
        <f t="shared" si="2"/>
        <v/>
      </c>
      <c r="E1479" s="65" t="str">
        <f>IF($B1479="","",VLOOKUP(MONTH(C1479),Parameters!$F$2:$G$13,2,0))</f>
        <v/>
      </c>
      <c r="F1479" s="69" t="str">
        <f>IF($B1479="","",PV-N(J1478))</f>
        <v/>
      </c>
      <c r="G1479" s="69" t="str">
        <f>IF($B1479="","",PMT(Rate,Nper,-PV,,Type))</f>
        <v/>
      </c>
      <c r="H1479" s="69" t="str">
        <f>IF($B1479="","",PPMT(Rate,ROWS($1:1467),Nper,-PV,,Type))</f>
        <v/>
      </c>
      <c r="I1479" s="69" t="str">
        <f>IF($B1479="","",IPMT(Rate,ROWS($1:1467),Nper,-PV,,Type))</f>
        <v/>
      </c>
      <c r="J1479" s="73" t="str">
        <f t="shared" ref="J1479:K1479" si="1469">IF($B1479="","",N(J1478)+N(H1479))</f>
        <v/>
      </c>
      <c r="K1479" s="74" t="str">
        <f t="shared" si="1469"/>
        <v/>
      </c>
      <c r="L1479" s="69" t="str">
        <f>IF($B1479="","",PV-J1479)</f>
        <v/>
      </c>
      <c r="M1479" s="71" t="str">
        <f>IF($B1479="","",J1479/PV)</f>
        <v/>
      </c>
      <c r="N1479" s="72" t="str">
        <f t="shared" si="4"/>
        <v/>
      </c>
    </row>
    <row r="1480" ht="14.25" customHeight="1">
      <c r="B1480" s="66" t="str">
        <f>IF(ROWS($1:1468)&lt;=Nper,ROWS($1:1468),"")</f>
        <v/>
      </c>
      <c r="C1480" s="67" t="str">
        <f>IF($B1480="","",IF($E$7="Weekly",Start_Date+7*(ROWS($1:1468)-1),EDATE(Start_Date,VLOOKUP(IF(ASTemp!$E$7="","Monthly",ASTemp!$E$7),Parameters!$B$3:$D$6,3,0)*(ROWS($1:1468)-1))))</f>
        <v/>
      </c>
      <c r="D1480" s="68" t="str">
        <f t="shared" si="2"/>
        <v/>
      </c>
      <c r="E1480" s="65" t="str">
        <f>IF($B1480="","",VLOOKUP(MONTH(C1480),Parameters!$F$2:$G$13,2,0))</f>
        <v/>
      </c>
      <c r="F1480" s="69" t="str">
        <f>IF($B1480="","",PV-N(J1479))</f>
        <v/>
      </c>
      <c r="G1480" s="69" t="str">
        <f>IF($B1480="","",PMT(Rate,Nper,-PV,,Type))</f>
        <v/>
      </c>
      <c r="H1480" s="69" t="str">
        <f>IF($B1480="","",PPMT(Rate,ROWS($1:1468),Nper,-PV,,Type))</f>
        <v/>
      </c>
      <c r="I1480" s="69" t="str">
        <f>IF($B1480="","",IPMT(Rate,ROWS($1:1468),Nper,-PV,,Type))</f>
        <v/>
      </c>
      <c r="J1480" s="73" t="str">
        <f t="shared" ref="J1480:K1480" si="1470">IF($B1480="","",N(J1479)+N(H1480))</f>
        <v/>
      </c>
      <c r="K1480" s="74" t="str">
        <f t="shared" si="1470"/>
        <v/>
      </c>
      <c r="L1480" s="69" t="str">
        <f>IF($B1480="","",PV-J1480)</f>
        <v/>
      </c>
      <c r="M1480" s="71" t="str">
        <f>IF($B1480="","",J1480/PV)</f>
        <v/>
      </c>
      <c r="N1480" s="72" t="str">
        <f t="shared" si="4"/>
        <v/>
      </c>
    </row>
    <row r="1481" ht="14.25" customHeight="1">
      <c r="B1481" s="66" t="str">
        <f>IF(ROWS($1:1469)&lt;=Nper,ROWS($1:1469),"")</f>
        <v/>
      </c>
      <c r="C1481" s="67" t="str">
        <f>IF($B1481="","",IF($E$7="Weekly",Start_Date+7*(ROWS($1:1469)-1),EDATE(Start_Date,VLOOKUP(IF(ASTemp!$E$7="","Monthly",ASTemp!$E$7),Parameters!$B$3:$D$6,3,0)*(ROWS($1:1469)-1))))</f>
        <v/>
      </c>
      <c r="D1481" s="68" t="str">
        <f t="shared" si="2"/>
        <v/>
      </c>
      <c r="E1481" s="65" t="str">
        <f>IF($B1481="","",VLOOKUP(MONTH(C1481),Parameters!$F$2:$G$13,2,0))</f>
        <v/>
      </c>
      <c r="F1481" s="69" t="str">
        <f>IF($B1481="","",PV-N(J1480))</f>
        <v/>
      </c>
      <c r="G1481" s="69" t="str">
        <f>IF($B1481="","",PMT(Rate,Nper,-PV,,Type))</f>
        <v/>
      </c>
      <c r="H1481" s="69" t="str">
        <f>IF($B1481="","",PPMT(Rate,ROWS($1:1469),Nper,-PV,,Type))</f>
        <v/>
      </c>
      <c r="I1481" s="69" t="str">
        <f>IF($B1481="","",IPMT(Rate,ROWS($1:1469),Nper,-PV,,Type))</f>
        <v/>
      </c>
      <c r="J1481" s="73" t="str">
        <f t="shared" ref="J1481:K1481" si="1471">IF($B1481="","",N(J1480)+N(H1481))</f>
        <v/>
      </c>
      <c r="K1481" s="74" t="str">
        <f t="shared" si="1471"/>
        <v/>
      </c>
      <c r="L1481" s="69" t="str">
        <f>IF($B1481="","",PV-J1481)</f>
        <v/>
      </c>
      <c r="M1481" s="71" t="str">
        <f>IF($B1481="","",J1481/PV)</f>
        <v/>
      </c>
      <c r="N1481" s="72" t="str">
        <f t="shared" si="4"/>
        <v/>
      </c>
    </row>
    <row r="1482" ht="14.25" customHeight="1">
      <c r="B1482" s="66" t="str">
        <f>IF(ROWS($1:1470)&lt;=Nper,ROWS($1:1470),"")</f>
        <v/>
      </c>
      <c r="C1482" s="67" t="str">
        <f>IF($B1482="","",IF($E$7="Weekly",Start_Date+7*(ROWS($1:1470)-1),EDATE(Start_Date,VLOOKUP(IF(ASTemp!$E$7="","Monthly",ASTemp!$E$7),Parameters!$B$3:$D$6,3,0)*(ROWS($1:1470)-1))))</f>
        <v/>
      </c>
      <c r="D1482" s="68" t="str">
        <f t="shared" si="2"/>
        <v/>
      </c>
      <c r="E1482" s="65" t="str">
        <f>IF($B1482="","",VLOOKUP(MONTH(C1482),Parameters!$F$2:$G$13,2,0))</f>
        <v/>
      </c>
      <c r="F1482" s="69" t="str">
        <f>IF($B1482="","",PV-N(J1481))</f>
        <v/>
      </c>
      <c r="G1482" s="69" t="str">
        <f>IF($B1482="","",PMT(Rate,Nper,-PV,,Type))</f>
        <v/>
      </c>
      <c r="H1482" s="69" t="str">
        <f>IF($B1482="","",PPMT(Rate,ROWS($1:1470),Nper,-PV,,Type))</f>
        <v/>
      </c>
      <c r="I1482" s="69" t="str">
        <f>IF($B1482="","",IPMT(Rate,ROWS($1:1470),Nper,-PV,,Type))</f>
        <v/>
      </c>
      <c r="J1482" s="73" t="str">
        <f t="shared" ref="J1482:K1482" si="1472">IF($B1482="","",N(J1481)+N(H1482))</f>
        <v/>
      </c>
      <c r="K1482" s="74" t="str">
        <f t="shared" si="1472"/>
        <v/>
      </c>
      <c r="L1482" s="69" t="str">
        <f>IF($B1482="","",PV-J1482)</f>
        <v/>
      </c>
      <c r="M1482" s="71" t="str">
        <f>IF($B1482="","",J1482/PV)</f>
        <v/>
      </c>
      <c r="N1482" s="72" t="str">
        <f t="shared" si="4"/>
        <v/>
      </c>
    </row>
    <row r="1483" ht="14.25" customHeight="1">
      <c r="B1483" s="66" t="str">
        <f>IF(ROWS($1:1471)&lt;=Nper,ROWS($1:1471),"")</f>
        <v/>
      </c>
      <c r="C1483" s="67" t="str">
        <f>IF($B1483="","",IF($E$7="Weekly",Start_Date+7*(ROWS($1:1471)-1),EDATE(Start_Date,VLOOKUP(IF(ASTemp!$E$7="","Monthly",ASTemp!$E$7),Parameters!$B$3:$D$6,3,0)*(ROWS($1:1471)-1))))</f>
        <v/>
      </c>
      <c r="D1483" s="68" t="str">
        <f t="shared" si="2"/>
        <v/>
      </c>
      <c r="E1483" s="65" t="str">
        <f>IF($B1483="","",VLOOKUP(MONTH(C1483),Parameters!$F$2:$G$13,2,0))</f>
        <v/>
      </c>
      <c r="F1483" s="69" t="str">
        <f>IF($B1483="","",PV-N(J1482))</f>
        <v/>
      </c>
      <c r="G1483" s="69" t="str">
        <f>IF($B1483="","",PMT(Rate,Nper,-PV,,Type))</f>
        <v/>
      </c>
      <c r="H1483" s="69" t="str">
        <f>IF($B1483="","",PPMT(Rate,ROWS($1:1471),Nper,-PV,,Type))</f>
        <v/>
      </c>
      <c r="I1483" s="69" t="str">
        <f>IF($B1483="","",IPMT(Rate,ROWS($1:1471),Nper,-PV,,Type))</f>
        <v/>
      </c>
      <c r="J1483" s="73" t="str">
        <f t="shared" ref="J1483:K1483" si="1473">IF($B1483="","",N(J1482)+N(H1483))</f>
        <v/>
      </c>
      <c r="K1483" s="74" t="str">
        <f t="shared" si="1473"/>
        <v/>
      </c>
      <c r="L1483" s="69" t="str">
        <f>IF($B1483="","",PV-J1483)</f>
        <v/>
      </c>
      <c r="M1483" s="71" t="str">
        <f>IF($B1483="","",J1483/PV)</f>
        <v/>
      </c>
      <c r="N1483" s="72" t="str">
        <f t="shared" si="4"/>
        <v/>
      </c>
    </row>
    <row r="1484" ht="14.25" customHeight="1">
      <c r="B1484" s="66" t="str">
        <f>IF(ROWS($1:1472)&lt;=Nper,ROWS($1:1472),"")</f>
        <v/>
      </c>
      <c r="C1484" s="67" t="str">
        <f>IF($B1484="","",IF($E$7="Weekly",Start_Date+7*(ROWS($1:1472)-1),EDATE(Start_Date,VLOOKUP(IF(ASTemp!$E$7="","Monthly",ASTemp!$E$7),Parameters!$B$3:$D$6,3,0)*(ROWS($1:1472)-1))))</f>
        <v/>
      </c>
      <c r="D1484" s="68" t="str">
        <f t="shared" si="2"/>
        <v/>
      </c>
      <c r="E1484" s="65" t="str">
        <f>IF($B1484="","",VLOOKUP(MONTH(C1484),Parameters!$F$2:$G$13,2,0))</f>
        <v/>
      </c>
      <c r="F1484" s="69" t="str">
        <f>IF($B1484="","",PV-N(J1483))</f>
        <v/>
      </c>
      <c r="G1484" s="69" t="str">
        <f>IF($B1484="","",PMT(Rate,Nper,-PV,,Type))</f>
        <v/>
      </c>
      <c r="H1484" s="69" t="str">
        <f>IF($B1484="","",PPMT(Rate,ROWS($1:1472),Nper,-PV,,Type))</f>
        <v/>
      </c>
      <c r="I1484" s="69" t="str">
        <f>IF($B1484="","",IPMT(Rate,ROWS($1:1472),Nper,-PV,,Type))</f>
        <v/>
      </c>
      <c r="J1484" s="73" t="str">
        <f t="shared" ref="J1484:K1484" si="1474">IF($B1484="","",N(J1483)+N(H1484))</f>
        <v/>
      </c>
      <c r="K1484" s="74" t="str">
        <f t="shared" si="1474"/>
        <v/>
      </c>
      <c r="L1484" s="69" t="str">
        <f>IF($B1484="","",PV-J1484)</f>
        <v/>
      </c>
      <c r="M1484" s="71" t="str">
        <f>IF($B1484="","",J1484/PV)</f>
        <v/>
      </c>
      <c r="N1484" s="72" t="str">
        <f t="shared" si="4"/>
        <v/>
      </c>
    </row>
    <row r="1485" ht="14.25" customHeight="1">
      <c r="B1485" s="66" t="str">
        <f>IF(ROWS($1:1473)&lt;=Nper,ROWS($1:1473),"")</f>
        <v/>
      </c>
      <c r="C1485" s="67" t="str">
        <f>IF($B1485="","",IF($E$7="Weekly",Start_Date+7*(ROWS($1:1473)-1),EDATE(Start_Date,VLOOKUP(IF(ASTemp!$E$7="","Monthly",ASTemp!$E$7),Parameters!$B$3:$D$6,3,0)*(ROWS($1:1473)-1))))</f>
        <v/>
      </c>
      <c r="D1485" s="68" t="str">
        <f t="shared" si="2"/>
        <v/>
      </c>
      <c r="E1485" s="65" t="str">
        <f>IF($B1485="","",VLOOKUP(MONTH(C1485),Parameters!$F$2:$G$13,2,0))</f>
        <v/>
      </c>
      <c r="F1485" s="69" t="str">
        <f>IF($B1485="","",PV-N(J1484))</f>
        <v/>
      </c>
      <c r="G1485" s="69" t="str">
        <f>IF($B1485="","",PMT(Rate,Nper,-PV,,Type))</f>
        <v/>
      </c>
      <c r="H1485" s="69" t="str">
        <f>IF($B1485="","",PPMT(Rate,ROWS($1:1473),Nper,-PV,,Type))</f>
        <v/>
      </c>
      <c r="I1485" s="69" t="str">
        <f>IF($B1485="","",IPMT(Rate,ROWS($1:1473),Nper,-PV,,Type))</f>
        <v/>
      </c>
      <c r="J1485" s="73" t="str">
        <f t="shared" ref="J1485:K1485" si="1475">IF($B1485="","",N(J1484)+N(H1485))</f>
        <v/>
      </c>
      <c r="K1485" s="74" t="str">
        <f t="shared" si="1475"/>
        <v/>
      </c>
      <c r="L1485" s="69" t="str">
        <f>IF($B1485="","",PV-J1485)</f>
        <v/>
      </c>
      <c r="M1485" s="71" t="str">
        <f>IF($B1485="","",J1485/PV)</f>
        <v/>
      </c>
      <c r="N1485" s="72" t="str">
        <f t="shared" si="4"/>
        <v/>
      </c>
    </row>
    <row r="1486" ht="14.25" customHeight="1">
      <c r="B1486" s="66" t="str">
        <f>IF(ROWS($1:1474)&lt;=Nper,ROWS($1:1474),"")</f>
        <v/>
      </c>
      <c r="C1486" s="67" t="str">
        <f>IF($B1486="","",IF($E$7="Weekly",Start_Date+7*(ROWS($1:1474)-1),EDATE(Start_Date,VLOOKUP(IF(ASTemp!$E$7="","Monthly",ASTemp!$E$7),Parameters!$B$3:$D$6,3,0)*(ROWS($1:1474)-1))))</f>
        <v/>
      </c>
      <c r="D1486" s="68" t="str">
        <f t="shared" si="2"/>
        <v/>
      </c>
      <c r="E1486" s="65" t="str">
        <f>IF($B1486="","",VLOOKUP(MONTH(C1486),Parameters!$F$2:$G$13,2,0))</f>
        <v/>
      </c>
      <c r="F1486" s="69" t="str">
        <f>IF($B1486="","",PV-N(J1485))</f>
        <v/>
      </c>
      <c r="G1486" s="69" t="str">
        <f>IF($B1486="","",PMT(Rate,Nper,-PV,,Type))</f>
        <v/>
      </c>
      <c r="H1486" s="69" t="str">
        <f>IF($B1486="","",PPMT(Rate,ROWS($1:1474),Nper,-PV,,Type))</f>
        <v/>
      </c>
      <c r="I1486" s="69" t="str">
        <f>IF($B1486="","",IPMT(Rate,ROWS($1:1474),Nper,-PV,,Type))</f>
        <v/>
      </c>
      <c r="J1486" s="73" t="str">
        <f t="shared" ref="J1486:K1486" si="1476">IF($B1486="","",N(J1485)+N(H1486))</f>
        <v/>
      </c>
      <c r="K1486" s="74" t="str">
        <f t="shared" si="1476"/>
        <v/>
      </c>
      <c r="L1486" s="69" t="str">
        <f>IF($B1486="","",PV-J1486)</f>
        <v/>
      </c>
      <c r="M1486" s="71" t="str">
        <f>IF($B1486="","",J1486/PV)</f>
        <v/>
      </c>
      <c r="N1486" s="72" t="str">
        <f t="shared" si="4"/>
        <v/>
      </c>
    </row>
    <row r="1487" ht="14.25" customHeight="1">
      <c r="B1487" s="66" t="str">
        <f>IF(ROWS($1:1475)&lt;=Nper,ROWS($1:1475),"")</f>
        <v/>
      </c>
      <c r="C1487" s="67" t="str">
        <f>IF($B1487="","",IF($E$7="Weekly",Start_Date+7*(ROWS($1:1475)-1),EDATE(Start_Date,VLOOKUP(IF(ASTemp!$E$7="","Monthly",ASTemp!$E$7),Parameters!$B$3:$D$6,3,0)*(ROWS($1:1475)-1))))</f>
        <v/>
      </c>
      <c r="D1487" s="68" t="str">
        <f t="shared" si="2"/>
        <v/>
      </c>
      <c r="E1487" s="65" t="str">
        <f>IF($B1487="","",VLOOKUP(MONTH(C1487),Parameters!$F$2:$G$13,2,0))</f>
        <v/>
      </c>
      <c r="F1487" s="69" t="str">
        <f>IF($B1487="","",PV-N(J1486))</f>
        <v/>
      </c>
      <c r="G1487" s="69" t="str">
        <f>IF($B1487="","",PMT(Rate,Nper,-PV,,Type))</f>
        <v/>
      </c>
      <c r="H1487" s="69" t="str">
        <f>IF($B1487="","",PPMT(Rate,ROWS($1:1475),Nper,-PV,,Type))</f>
        <v/>
      </c>
      <c r="I1487" s="69" t="str">
        <f>IF($B1487="","",IPMT(Rate,ROWS($1:1475),Nper,-PV,,Type))</f>
        <v/>
      </c>
      <c r="J1487" s="73" t="str">
        <f t="shared" ref="J1487:K1487" si="1477">IF($B1487="","",N(J1486)+N(H1487))</f>
        <v/>
      </c>
      <c r="K1487" s="74" t="str">
        <f t="shared" si="1477"/>
        <v/>
      </c>
      <c r="L1487" s="69" t="str">
        <f>IF($B1487="","",PV-J1487)</f>
        <v/>
      </c>
      <c r="M1487" s="71" t="str">
        <f>IF($B1487="","",J1487/PV)</f>
        <v/>
      </c>
      <c r="N1487" s="72" t="str">
        <f t="shared" si="4"/>
        <v/>
      </c>
    </row>
    <row r="1488" ht="14.25" customHeight="1">
      <c r="B1488" s="66" t="str">
        <f>IF(ROWS($1:1476)&lt;=Nper,ROWS($1:1476),"")</f>
        <v/>
      </c>
      <c r="C1488" s="67" t="str">
        <f>IF($B1488="","",IF($E$7="Weekly",Start_Date+7*(ROWS($1:1476)-1),EDATE(Start_Date,VLOOKUP(IF(ASTemp!$E$7="","Monthly",ASTemp!$E$7),Parameters!$B$3:$D$6,3,0)*(ROWS($1:1476)-1))))</f>
        <v/>
      </c>
      <c r="D1488" s="68" t="str">
        <f t="shared" si="2"/>
        <v/>
      </c>
      <c r="E1488" s="65" t="str">
        <f>IF($B1488="","",VLOOKUP(MONTH(C1488),Parameters!$F$2:$G$13,2,0))</f>
        <v/>
      </c>
      <c r="F1488" s="69" t="str">
        <f>IF($B1488="","",PV-N(J1487))</f>
        <v/>
      </c>
      <c r="G1488" s="69" t="str">
        <f>IF($B1488="","",PMT(Rate,Nper,-PV,,Type))</f>
        <v/>
      </c>
      <c r="H1488" s="69" t="str">
        <f>IF($B1488="","",PPMT(Rate,ROWS($1:1476),Nper,-PV,,Type))</f>
        <v/>
      </c>
      <c r="I1488" s="69" t="str">
        <f>IF($B1488="","",IPMT(Rate,ROWS($1:1476),Nper,-PV,,Type))</f>
        <v/>
      </c>
      <c r="J1488" s="73" t="str">
        <f t="shared" ref="J1488:K1488" si="1478">IF($B1488="","",N(J1487)+N(H1488))</f>
        <v/>
      </c>
      <c r="K1488" s="74" t="str">
        <f t="shared" si="1478"/>
        <v/>
      </c>
      <c r="L1488" s="69" t="str">
        <f>IF($B1488="","",PV-J1488)</f>
        <v/>
      </c>
      <c r="M1488" s="71" t="str">
        <f>IF($B1488="","",J1488/PV)</f>
        <v/>
      </c>
      <c r="N1488" s="72" t="str">
        <f t="shared" si="4"/>
        <v/>
      </c>
    </row>
    <row r="1489" ht="14.25" customHeight="1">
      <c r="B1489" s="66" t="str">
        <f>IF(ROWS($1:1477)&lt;=Nper,ROWS($1:1477),"")</f>
        <v/>
      </c>
      <c r="C1489" s="67" t="str">
        <f>IF($B1489="","",IF($E$7="Weekly",Start_Date+7*(ROWS($1:1477)-1),EDATE(Start_Date,VLOOKUP(IF(ASTemp!$E$7="","Monthly",ASTemp!$E$7),Parameters!$B$3:$D$6,3,0)*(ROWS($1:1477)-1))))</f>
        <v/>
      </c>
      <c r="D1489" s="68" t="str">
        <f t="shared" si="2"/>
        <v/>
      </c>
      <c r="E1489" s="65" t="str">
        <f>IF($B1489="","",VLOOKUP(MONTH(C1489),Parameters!$F$2:$G$13,2,0))</f>
        <v/>
      </c>
      <c r="F1489" s="69" t="str">
        <f>IF($B1489="","",PV-N(J1488))</f>
        <v/>
      </c>
      <c r="G1489" s="69" t="str">
        <f>IF($B1489="","",PMT(Rate,Nper,-PV,,Type))</f>
        <v/>
      </c>
      <c r="H1489" s="69" t="str">
        <f>IF($B1489="","",PPMT(Rate,ROWS($1:1477),Nper,-PV,,Type))</f>
        <v/>
      </c>
      <c r="I1489" s="69" t="str">
        <f>IF($B1489="","",IPMT(Rate,ROWS($1:1477),Nper,-PV,,Type))</f>
        <v/>
      </c>
      <c r="J1489" s="73" t="str">
        <f t="shared" ref="J1489:K1489" si="1479">IF($B1489="","",N(J1488)+N(H1489))</f>
        <v/>
      </c>
      <c r="K1489" s="74" t="str">
        <f t="shared" si="1479"/>
        <v/>
      </c>
      <c r="L1489" s="69" t="str">
        <f>IF($B1489="","",PV-J1489)</f>
        <v/>
      </c>
      <c r="M1489" s="71" t="str">
        <f>IF($B1489="","",J1489/PV)</f>
        <v/>
      </c>
      <c r="N1489" s="72" t="str">
        <f t="shared" si="4"/>
        <v/>
      </c>
    </row>
    <row r="1490" ht="14.25" customHeight="1">
      <c r="B1490" s="66" t="str">
        <f>IF(ROWS($1:1478)&lt;=Nper,ROWS($1:1478),"")</f>
        <v/>
      </c>
      <c r="C1490" s="67" t="str">
        <f>IF($B1490="","",IF($E$7="Weekly",Start_Date+7*(ROWS($1:1478)-1),EDATE(Start_Date,VLOOKUP(IF(ASTemp!$E$7="","Monthly",ASTemp!$E$7),Parameters!$B$3:$D$6,3,0)*(ROWS($1:1478)-1))))</f>
        <v/>
      </c>
      <c r="D1490" s="68" t="str">
        <f t="shared" si="2"/>
        <v/>
      </c>
      <c r="E1490" s="65" t="str">
        <f>IF($B1490="","",VLOOKUP(MONTH(C1490),Parameters!$F$2:$G$13,2,0))</f>
        <v/>
      </c>
      <c r="F1490" s="69" t="str">
        <f>IF($B1490="","",PV-N(J1489))</f>
        <v/>
      </c>
      <c r="G1490" s="69" t="str">
        <f>IF($B1490="","",PMT(Rate,Nper,-PV,,Type))</f>
        <v/>
      </c>
      <c r="H1490" s="69" t="str">
        <f>IF($B1490="","",PPMT(Rate,ROWS($1:1478),Nper,-PV,,Type))</f>
        <v/>
      </c>
      <c r="I1490" s="69" t="str">
        <f>IF($B1490="","",IPMT(Rate,ROWS($1:1478),Nper,-PV,,Type))</f>
        <v/>
      </c>
      <c r="J1490" s="73" t="str">
        <f t="shared" ref="J1490:K1490" si="1480">IF($B1490="","",N(J1489)+N(H1490))</f>
        <v/>
      </c>
      <c r="K1490" s="74" t="str">
        <f t="shared" si="1480"/>
        <v/>
      </c>
      <c r="L1490" s="69" t="str">
        <f>IF($B1490="","",PV-J1490)</f>
        <v/>
      </c>
      <c r="M1490" s="71" t="str">
        <f>IF($B1490="","",J1490/PV)</f>
        <v/>
      </c>
      <c r="N1490" s="72" t="str">
        <f t="shared" si="4"/>
        <v/>
      </c>
    </row>
    <row r="1491" ht="14.25" customHeight="1">
      <c r="B1491" s="66" t="str">
        <f>IF(ROWS($1:1479)&lt;=Nper,ROWS($1:1479),"")</f>
        <v/>
      </c>
      <c r="C1491" s="67" t="str">
        <f>IF($B1491="","",IF($E$7="Weekly",Start_Date+7*(ROWS($1:1479)-1),EDATE(Start_Date,VLOOKUP(IF(ASTemp!$E$7="","Monthly",ASTemp!$E$7),Parameters!$B$3:$D$6,3,0)*(ROWS($1:1479)-1))))</f>
        <v/>
      </c>
      <c r="D1491" s="68" t="str">
        <f t="shared" si="2"/>
        <v/>
      </c>
      <c r="E1491" s="65" t="str">
        <f>IF($B1491="","",VLOOKUP(MONTH(C1491),Parameters!$F$2:$G$13,2,0))</f>
        <v/>
      </c>
      <c r="F1491" s="69" t="str">
        <f>IF($B1491="","",PV-N(J1490))</f>
        <v/>
      </c>
      <c r="G1491" s="69" t="str">
        <f>IF($B1491="","",PMT(Rate,Nper,-PV,,Type))</f>
        <v/>
      </c>
      <c r="H1491" s="69" t="str">
        <f>IF($B1491="","",PPMT(Rate,ROWS($1:1479),Nper,-PV,,Type))</f>
        <v/>
      </c>
      <c r="I1491" s="69" t="str">
        <f>IF($B1491="","",IPMT(Rate,ROWS($1:1479),Nper,-PV,,Type))</f>
        <v/>
      </c>
      <c r="J1491" s="73" t="str">
        <f t="shared" ref="J1491:K1491" si="1481">IF($B1491="","",N(J1490)+N(H1491))</f>
        <v/>
      </c>
      <c r="K1491" s="74" t="str">
        <f t="shared" si="1481"/>
        <v/>
      </c>
      <c r="L1491" s="69" t="str">
        <f>IF($B1491="","",PV-J1491)</f>
        <v/>
      </c>
      <c r="M1491" s="71" t="str">
        <f>IF($B1491="","",J1491/PV)</f>
        <v/>
      </c>
      <c r="N1491" s="72" t="str">
        <f t="shared" si="4"/>
        <v/>
      </c>
    </row>
    <row r="1492" ht="14.25" customHeight="1">
      <c r="B1492" s="66" t="str">
        <f>IF(ROWS($1:1480)&lt;=Nper,ROWS($1:1480),"")</f>
        <v/>
      </c>
      <c r="C1492" s="67" t="str">
        <f>IF($B1492="","",IF($E$7="Weekly",Start_Date+7*(ROWS($1:1480)-1),EDATE(Start_Date,VLOOKUP(IF(ASTemp!$E$7="","Monthly",ASTemp!$E$7),Parameters!$B$3:$D$6,3,0)*(ROWS($1:1480)-1))))</f>
        <v/>
      </c>
      <c r="D1492" s="68" t="str">
        <f t="shared" si="2"/>
        <v/>
      </c>
      <c r="E1492" s="65" t="str">
        <f>IF($B1492="","",VLOOKUP(MONTH(C1492),Parameters!$F$2:$G$13,2,0))</f>
        <v/>
      </c>
      <c r="F1492" s="69" t="str">
        <f>IF($B1492="","",PV-N(J1491))</f>
        <v/>
      </c>
      <c r="G1492" s="69" t="str">
        <f>IF($B1492="","",PMT(Rate,Nper,-PV,,Type))</f>
        <v/>
      </c>
      <c r="H1492" s="69" t="str">
        <f>IF($B1492="","",PPMT(Rate,ROWS($1:1480),Nper,-PV,,Type))</f>
        <v/>
      </c>
      <c r="I1492" s="69" t="str">
        <f>IF($B1492="","",IPMT(Rate,ROWS($1:1480),Nper,-PV,,Type))</f>
        <v/>
      </c>
      <c r="J1492" s="73" t="str">
        <f t="shared" ref="J1492:K1492" si="1482">IF($B1492="","",N(J1491)+N(H1492))</f>
        <v/>
      </c>
      <c r="K1492" s="74" t="str">
        <f t="shared" si="1482"/>
        <v/>
      </c>
      <c r="L1492" s="69" t="str">
        <f>IF($B1492="","",PV-J1492)</f>
        <v/>
      </c>
      <c r="M1492" s="71" t="str">
        <f>IF($B1492="","",J1492/PV)</f>
        <v/>
      </c>
      <c r="N1492" s="72" t="str">
        <f t="shared" si="4"/>
        <v/>
      </c>
    </row>
    <row r="1493" ht="14.25" customHeight="1">
      <c r="B1493" s="66" t="str">
        <f>IF(ROWS($1:1481)&lt;=Nper,ROWS($1:1481),"")</f>
        <v/>
      </c>
      <c r="C1493" s="67" t="str">
        <f>IF($B1493="","",IF($E$7="Weekly",Start_Date+7*(ROWS($1:1481)-1),EDATE(Start_Date,VLOOKUP(IF(ASTemp!$E$7="","Monthly",ASTemp!$E$7),Parameters!$B$3:$D$6,3,0)*(ROWS($1:1481)-1))))</f>
        <v/>
      </c>
      <c r="D1493" s="68" t="str">
        <f t="shared" si="2"/>
        <v/>
      </c>
      <c r="E1493" s="65" t="str">
        <f>IF($B1493="","",VLOOKUP(MONTH(C1493),Parameters!$F$2:$G$13,2,0))</f>
        <v/>
      </c>
      <c r="F1493" s="69" t="str">
        <f>IF($B1493="","",PV-N(J1492))</f>
        <v/>
      </c>
      <c r="G1493" s="69" t="str">
        <f>IF($B1493="","",PMT(Rate,Nper,-PV,,Type))</f>
        <v/>
      </c>
      <c r="H1493" s="69" t="str">
        <f>IF($B1493="","",PPMT(Rate,ROWS($1:1481),Nper,-PV,,Type))</f>
        <v/>
      </c>
      <c r="I1493" s="69" t="str">
        <f>IF($B1493="","",IPMT(Rate,ROWS($1:1481),Nper,-PV,,Type))</f>
        <v/>
      </c>
      <c r="J1493" s="73" t="str">
        <f t="shared" ref="J1493:K1493" si="1483">IF($B1493="","",N(J1492)+N(H1493))</f>
        <v/>
      </c>
      <c r="K1493" s="74" t="str">
        <f t="shared" si="1483"/>
        <v/>
      </c>
      <c r="L1493" s="69" t="str">
        <f>IF($B1493="","",PV-J1493)</f>
        <v/>
      </c>
      <c r="M1493" s="71" t="str">
        <f>IF($B1493="","",J1493/PV)</f>
        <v/>
      </c>
      <c r="N1493" s="72" t="str">
        <f t="shared" si="4"/>
        <v/>
      </c>
    </row>
    <row r="1494" ht="14.25" customHeight="1">
      <c r="B1494" s="66" t="str">
        <f>IF(ROWS($1:1482)&lt;=Nper,ROWS($1:1482),"")</f>
        <v/>
      </c>
      <c r="C1494" s="67" t="str">
        <f>IF($B1494="","",IF($E$7="Weekly",Start_Date+7*(ROWS($1:1482)-1),EDATE(Start_Date,VLOOKUP(IF(ASTemp!$E$7="","Monthly",ASTemp!$E$7),Parameters!$B$3:$D$6,3,0)*(ROWS($1:1482)-1))))</f>
        <v/>
      </c>
      <c r="D1494" s="68" t="str">
        <f t="shared" si="2"/>
        <v/>
      </c>
      <c r="E1494" s="65" t="str">
        <f>IF($B1494="","",VLOOKUP(MONTH(C1494),Parameters!$F$2:$G$13,2,0))</f>
        <v/>
      </c>
      <c r="F1494" s="69" t="str">
        <f>IF($B1494="","",PV-N(J1493))</f>
        <v/>
      </c>
      <c r="G1494" s="69" t="str">
        <f>IF($B1494="","",PMT(Rate,Nper,-PV,,Type))</f>
        <v/>
      </c>
      <c r="H1494" s="69" t="str">
        <f>IF($B1494="","",PPMT(Rate,ROWS($1:1482),Nper,-PV,,Type))</f>
        <v/>
      </c>
      <c r="I1494" s="69" t="str">
        <f>IF($B1494="","",IPMT(Rate,ROWS($1:1482),Nper,-PV,,Type))</f>
        <v/>
      </c>
      <c r="J1494" s="73" t="str">
        <f t="shared" ref="J1494:K1494" si="1484">IF($B1494="","",N(J1493)+N(H1494))</f>
        <v/>
      </c>
      <c r="K1494" s="74" t="str">
        <f t="shared" si="1484"/>
        <v/>
      </c>
      <c r="L1494" s="69" t="str">
        <f>IF($B1494="","",PV-J1494)</f>
        <v/>
      </c>
      <c r="M1494" s="71" t="str">
        <f>IF($B1494="","",J1494/PV)</f>
        <v/>
      </c>
      <c r="N1494" s="72" t="str">
        <f t="shared" si="4"/>
        <v/>
      </c>
    </row>
    <row r="1495" ht="14.25" customHeight="1">
      <c r="B1495" s="66" t="str">
        <f>IF(ROWS($1:1483)&lt;=Nper,ROWS($1:1483),"")</f>
        <v/>
      </c>
      <c r="C1495" s="67" t="str">
        <f>IF($B1495="","",IF($E$7="Weekly",Start_Date+7*(ROWS($1:1483)-1),EDATE(Start_Date,VLOOKUP(IF(ASTemp!$E$7="","Monthly",ASTemp!$E$7),Parameters!$B$3:$D$6,3,0)*(ROWS($1:1483)-1))))</f>
        <v/>
      </c>
      <c r="D1495" s="68" t="str">
        <f t="shared" si="2"/>
        <v/>
      </c>
      <c r="E1495" s="65" t="str">
        <f>IF($B1495="","",VLOOKUP(MONTH(C1495),Parameters!$F$2:$G$13,2,0))</f>
        <v/>
      </c>
      <c r="F1495" s="69" t="str">
        <f>IF($B1495="","",PV-N(J1494))</f>
        <v/>
      </c>
      <c r="G1495" s="69" t="str">
        <f>IF($B1495="","",PMT(Rate,Nper,-PV,,Type))</f>
        <v/>
      </c>
      <c r="H1495" s="69" t="str">
        <f>IF($B1495="","",PPMT(Rate,ROWS($1:1483),Nper,-PV,,Type))</f>
        <v/>
      </c>
      <c r="I1495" s="69" t="str">
        <f>IF($B1495="","",IPMT(Rate,ROWS($1:1483),Nper,-PV,,Type))</f>
        <v/>
      </c>
      <c r="J1495" s="73" t="str">
        <f t="shared" ref="J1495:K1495" si="1485">IF($B1495="","",N(J1494)+N(H1495))</f>
        <v/>
      </c>
      <c r="K1495" s="74" t="str">
        <f t="shared" si="1485"/>
        <v/>
      </c>
      <c r="L1495" s="69" t="str">
        <f>IF($B1495="","",PV-J1495)</f>
        <v/>
      </c>
      <c r="M1495" s="71" t="str">
        <f>IF($B1495="","",J1495/PV)</f>
        <v/>
      </c>
      <c r="N1495" s="72" t="str">
        <f t="shared" si="4"/>
        <v/>
      </c>
    </row>
    <row r="1496" ht="14.25" customHeight="1">
      <c r="B1496" s="66" t="str">
        <f>IF(ROWS($1:1484)&lt;=Nper,ROWS($1:1484),"")</f>
        <v/>
      </c>
      <c r="C1496" s="67" t="str">
        <f>IF($B1496="","",IF($E$7="Weekly",Start_Date+7*(ROWS($1:1484)-1),EDATE(Start_Date,VLOOKUP(IF(ASTemp!$E$7="","Monthly",ASTemp!$E$7),Parameters!$B$3:$D$6,3,0)*(ROWS($1:1484)-1))))</f>
        <v/>
      </c>
      <c r="D1496" s="68" t="str">
        <f t="shared" si="2"/>
        <v/>
      </c>
      <c r="E1496" s="65" t="str">
        <f>IF($B1496="","",VLOOKUP(MONTH(C1496),Parameters!$F$2:$G$13,2,0))</f>
        <v/>
      </c>
      <c r="F1496" s="69" t="str">
        <f>IF($B1496="","",PV-N(J1495))</f>
        <v/>
      </c>
      <c r="G1496" s="69" t="str">
        <f>IF($B1496="","",PMT(Rate,Nper,-PV,,Type))</f>
        <v/>
      </c>
      <c r="H1496" s="69" t="str">
        <f>IF($B1496="","",PPMT(Rate,ROWS($1:1484),Nper,-PV,,Type))</f>
        <v/>
      </c>
      <c r="I1496" s="69" t="str">
        <f>IF($B1496="","",IPMT(Rate,ROWS($1:1484),Nper,-PV,,Type))</f>
        <v/>
      </c>
      <c r="J1496" s="73" t="str">
        <f t="shared" ref="J1496:K1496" si="1486">IF($B1496="","",N(J1495)+N(H1496))</f>
        <v/>
      </c>
      <c r="K1496" s="74" t="str">
        <f t="shared" si="1486"/>
        <v/>
      </c>
      <c r="L1496" s="69" t="str">
        <f>IF($B1496="","",PV-J1496)</f>
        <v/>
      </c>
      <c r="M1496" s="71" t="str">
        <f>IF($B1496="","",J1496/PV)</f>
        <v/>
      </c>
      <c r="N1496" s="72" t="str">
        <f t="shared" si="4"/>
        <v/>
      </c>
    </row>
    <row r="1497" ht="14.25" customHeight="1">
      <c r="B1497" s="66" t="str">
        <f>IF(ROWS($1:1485)&lt;=Nper,ROWS($1:1485),"")</f>
        <v/>
      </c>
      <c r="C1497" s="67" t="str">
        <f>IF($B1497="","",IF($E$7="Weekly",Start_Date+7*(ROWS($1:1485)-1),EDATE(Start_Date,VLOOKUP(IF(ASTemp!$E$7="","Monthly",ASTemp!$E$7),Parameters!$B$3:$D$6,3,0)*(ROWS($1:1485)-1))))</f>
        <v/>
      </c>
      <c r="D1497" s="68" t="str">
        <f t="shared" si="2"/>
        <v/>
      </c>
      <c r="E1497" s="65" t="str">
        <f>IF($B1497="","",VLOOKUP(MONTH(C1497),Parameters!$F$2:$G$13,2,0))</f>
        <v/>
      </c>
      <c r="F1497" s="69" t="str">
        <f>IF($B1497="","",PV-N(J1496))</f>
        <v/>
      </c>
      <c r="G1497" s="69" t="str">
        <f>IF($B1497="","",PMT(Rate,Nper,-PV,,Type))</f>
        <v/>
      </c>
      <c r="H1497" s="69" t="str">
        <f>IF($B1497="","",PPMT(Rate,ROWS($1:1485),Nper,-PV,,Type))</f>
        <v/>
      </c>
      <c r="I1497" s="69" t="str">
        <f>IF($B1497="","",IPMT(Rate,ROWS($1:1485),Nper,-PV,,Type))</f>
        <v/>
      </c>
      <c r="J1497" s="73" t="str">
        <f t="shared" ref="J1497:K1497" si="1487">IF($B1497="","",N(J1496)+N(H1497))</f>
        <v/>
      </c>
      <c r="K1497" s="74" t="str">
        <f t="shared" si="1487"/>
        <v/>
      </c>
      <c r="L1497" s="69" t="str">
        <f>IF($B1497="","",PV-J1497)</f>
        <v/>
      </c>
      <c r="M1497" s="71" t="str">
        <f>IF($B1497="","",J1497/PV)</f>
        <v/>
      </c>
      <c r="N1497" s="72" t="str">
        <f t="shared" si="4"/>
        <v/>
      </c>
    </row>
    <row r="1498" ht="14.25" customHeight="1">
      <c r="B1498" s="66" t="str">
        <f>IF(ROWS($1:1486)&lt;=Nper,ROWS($1:1486),"")</f>
        <v/>
      </c>
      <c r="C1498" s="67" t="str">
        <f>IF($B1498="","",IF($E$7="Weekly",Start_Date+7*(ROWS($1:1486)-1),EDATE(Start_Date,VLOOKUP(IF(ASTemp!$E$7="","Monthly",ASTemp!$E$7),Parameters!$B$3:$D$6,3,0)*(ROWS($1:1486)-1))))</f>
        <v/>
      </c>
      <c r="D1498" s="68" t="str">
        <f t="shared" si="2"/>
        <v/>
      </c>
      <c r="E1498" s="65" t="str">
        <f>IF($B1498="","",VLOOKUP(MONTH(C1498),Parameters!$F$2:$G$13,2,0))</f>
        <v/>
      </c>
      <c r="F1498" s="69" t="str">
        <f>IF($B1498="","",PV-N(J1497))</f>
        <v/>
      </c>
      <c r="G1498" s="69" t="str">
        <f>IF($B1498="","",PMT(Rate,Nper,-PV,,Type))</f>
        <v/>
      </c>
      <c r="H1498" s="69" t="str">
        <f>IF($B1498="","",PPMT(Rate,ROWS($1:1486),Nper,-PV,,Type))</f>
        <v/>
      </c>
      <c r="I1498" s="69" t="str">
        <f>IF($B1498="","",IPMT(Rate,ROWS($1:1486),Nper,-PV,,Type))</f>
        <v/>
      </c>
      <c r="J1498" s="73" t="str">
        <f t="shared" ref="J1498:K1498" si="1488">IF($B1498="","",N(J1497)+N(H1498))</f>
        <v/>
      </c>
      <c r="K1498" s="74" t="str">
        <f t="shared" si="1488"/>
        <v/>
      </c>
      <c r="L1498" s="69" t="str">
        <f>IF($B1498="","",PV-J1498)</f>
        <v/>
      </c>
      <c r="M1498" s="71" t="str">
        <f>IF($B1498="","",J1498/PV)</f>
        <v/>
      </c>
      <c r="N1498" s="72" t="str">
        <f t="shared" si="4"/>
        <v/>
      </c>
    </row>
    <row r="1499" ht="14.25" customHeight="1">
      <c r="B1499" s="66" t="str">
        <f>IF(ROWS($1:1487)&lt;=Nper,ROWS($1:1487),"")</f>
        <v/>
      </c>
      <c r="C1499" s="67" t="str">
        <f>IF($B1499="","",IF($E$7="Weekly",Start_Date+7*(ROWS($1:1487)-1),EDATE(Start_Date,VLOOKUP(IF(ASTemp!$E$7="","Monthly",ASTemp!$E$7),Parameters!$B$3:$D$6,3,0)*(ROWS($1:1487)-1))))</f>
        <v/>
      </c>
      <c r="D1499" s="68" t="str">
        <f t="shared" si="2"/>
        <v/>
      </c>
      <c r="E1499" s="65" t="str">
        <f>IF($B1499="","",VLOOKUP(MONTH(C1499),Parameters!$F$2:$G$13,2,0))</f>
        <v/>
      </c>
      <c r="F1499" s="69" t="str">
        <f>IF($B1499="","",PV-N(J1498))</f>
        <v/>
      </c>
      <c r="G1499" s="69" t="str">
        <f>IF($B1499="","",PMT(Rate,Nper,-PV,,Type))</f>
        <v/>
      </c>
      <c r="H1499" s="69" t="str">
        <f>IF($B1499="","",PPMT(Rate,ROWS($1:1487),Nper,-PV,,Type))</f>
        <v/>
      </c>
      <c r="I1499" s="69" t="str">
        <f>IF($B1499="","",IPMT(Rate,ROWS($1:1487),Nper,-PV,,Type))</f>
        <v/>
      </c>
      <c r="J1499" s="73" t="str">
        <f t="shared" ref="J1499:K1499" si="1489">IF($B1499="","",N(J1498)+N(H1499))</f>
        <v/>
      </c>
      <c r="K1499" s="74" t="str">
        <f t="shared" si="1489"/>
        <v/>
      </c>
      <c r="L1499" s="69" t="str">
        <f>IF($B1499="","",PV-J1499)</f>
        <v/>
      </c>
      <c r="M1499" s="71" t="str">
        <f>IF($B1499="","",J1499/PV)</f>
        <v/>
      </c>
      <c r="N1499" s="72" t="str">
        <f t="shared" si="4"/>
        <v/>
      </c>
    </row>
    <row r="1500" ht="14.25" customHeight="1">
      <c r="B1500" s="66" t="str">
        <f>IF(ROWS($1:1488)&lt;=Nper,ROWS($1:1488),"")</f>
        <v/>
      </c>
      <c r="C1500" s="67" t="str">
        <f>IF($B1500="","",IF($E$7="Weekly",Start_Date+7*(ROWS($1:1488)-1),EDATE(Start_Date,VLOOKUP(IF(ASTemp!$E$7="","Monthly",ASTemp!$E$7),Parameters!$B$3:$D$6,3,0)*(ROWS($1:1488)-1))))</f>
        <v/>
      </c>
      <c r="D1500" s="68" t="str">
        <f t="shared" si="2"/>
        <v/>
      </c>
      <c r="E1500" s="65" t="str">
        <f>IF($B1500="","",VLOOKUP(MONTH(C1500),Parameters!$F$2:$G$13,2,0))</f>
        <v/>
      </c>
      <c r="F1500" s="69" t="str">
        <f>IF($B1500="","",PV-N(J1499))</f>
        <v/>
      </c>
      <c r="G1500" s="69" t="str">
        <f>IF($B1500="","",PMT(Rate,Nper,-PV,,Type))</f>
        <v/>
      </c>
      <c r="H1500" s="69" t="str">
        <f>IF($B1500="","",PPMT(Rate,ROWS($1:1488),Nper,-PV,,Type))</f>
        <v/>
      </c>
      <c r="I1500" s="69" t="str">
        <f>IF($B1500="","",IPMT(Rate,ROWS($1:1488),Nper,-PV,,Type))</f>
        <v/>
      </c>
      <c r="J1500" s="73" t="str">
        <f t="shared" ref="J1500:K1500" si="1490">IF($B1500="","",N(J1499)+N(H1500))</f>
        <v/>
      </c>
      <c r="K1500" s="74" t="str">
        <f t="shared" si="1490"/>
        <v/>
      </c>
      <c r="L1500" s="69" t="str">
        <f>IF($B1500="","",PV-J1500)</f>
        <v/>
      </c>
      <c r="M1500" s="71" t="str">
        <f>IF($B1500="","",J1500/PV)</f>
        <v/>
      </c>
      <c r="N1500" s="72" t="str">
        <f t="shared" si="4"/>
        <v/>
      </c>
    </row>
    <row r="1501" ht="14.25" customHeight="1">
      <c r="B1501" s="66" t="str">
        <f>IF(ROWS($1:1489)&lt;=Nper,ROWS($1:1489),"")</f>
        <v/>
      </c>
      <c r="C1501" s="67" t="str">
        <f>IF($B1501="","",IF($E$7="Weekly",Start_Date+7*(ROWS($1:1489)-1),EDATE(Start_Date,VLOOKUP(IF(ASTemp!$E$7="","Monthly",ASTemp!$E$7),Parameters!$B$3:$D$6,3,0)*(ROWS($1:1489)-1))))</f>
        <v/>
      </c>
      <c r="D1501" s="68" t="str">
        <f t="shared" si="2"/>
        <v/>
      </c>
      <c r="E1501" s="65" t="str">
        <f>IF($B1501="","",VLOOKUP(MONTH(C1501),Parameters!$F$2:$G$13,2,0))</f>
        <v/>
      </c>
      <c r="F1501" s="69" t="str">
        <f>IF($B1501="","",PV-N(J1500))</f>
        <v/>
      </c>
      <c r="G1501" s="69" t="str">
        <f>IF($B1501="","",PMT(Rate,Nper,-PV,,Type))</f>
        <v/>
      </c>
      <c r="H1501" s="69" t="str">
        <f>IF($B1501="","",PPMT(Rate,ROWS($1:1489),Nper,-PV,,Type))</f>
        <v/>
      </c>
      <c r="I1501" s="69" t="str">
        <f>IF($B1501="","",IPMT(Rate,ROWS($1:1489),Nper,-PV,,Type))</f>
        <v/>
      </c>
      <c r="J1501" s="73" t="str">
        <f t="shared" ref="J1501:K1501" si="1491">IF($B1501="","",N(J1500)+N(H1501))</f>
        <v/>
      </c>
      <c r="K1501" s="74" t="str">
        <f t="shared" si="1491"/>
        <v/>
      </c>
      <c r="L1501" s="69" t="str">
        <f>IF($B1501="","",PV-J1501)</f>
        <v/>
      </c>
      <c r="M1501" s="71" t="str">
        <f>IF($B1501="","",J1501/PV)</f>
        <v/>
      </c>
      <c r="N1501" s="72" t="str">
        <f t="shared" si="4"/>
        <v/>
      </c>
    </row>
    <row r="1502" ht="14.25" customHeight="1">
      <c r="B1502" s="66" t="str">
        <f>IF(ROWS($1:1490)&lt;=Nper,ROWS($1:1490),"")</f>
        <v/>
      </c>
      <c r="C1502" s="67" t="str">
        <f>IF($B1502="","",IF($E$7="Weekly",Start_Date+7*(ROWS($1:1490)-1),EDATE(Start_Date,VLOOKUP(IF(ASTemp!$E$7="","Monthly",ASTemp!$E$7),Parameters!$B$3:$D$6,3,0)*(ROWS($1:1490)-1))))</f>
        <v/>
      </c>
      <c r="D1502" s="68" t="str">
        <f t="shared" si="2"/>
        <v/>
      </c>
      <c r="E1502" s="65" t="str">
        <f>IF($B1502="","",VLOOKUP(MONTH(C1502),Parameters!$F$2:$G$13,2,0))</f>
        <v/>
      </c>
      <c r="F1502" s="69" t="str">
        <f>IF($B1502="","",PV-N(J1501))</f>
        <v/>
      </c>
      <c r="G1502" s="69" t="str">
        <f>IF($B1502="","",PMT(Rate,Nper,-PV,,Type))</f>
        <v/>
      </c>
      <c r="H1502" s="69" t="str">
        <f>IF($B1502="","",PPMT(Rate,ROWS($1:1490),Nper,-PV,,Type))</f>
        <v/>
      </c>
      <c r="I1502" s="69" t="str">
        <f>IF($B1502="","",IPMT(Rate,ROWS($1:1490),Nper,-PV,,Type))</f>
        <v/>
      </c>
      <c r="J1502" s="73" t="str">
        <f t="shared" ref="J1502:K1502" si="1492">IF($B1502="","",N(J1501)+N(H1502))</f>
        <v/>
      </c>
      <c r="K1502" s="74" t="str">
        <f t="shared" si="1492"/>
        <v/>
      </c>
      <c r="L1502" s="69" t="str">
        <f>IF($B1502="","",PV-J1502)</f>
        <v/>
      </c>
      <c r="M1502" s="71" t="str">
        <f>IF($B1502="","",J1502/PV)</f>
        <v/>
      </c>
      <c r="N1502" s="72" t="str">
        <f t="shared" si="4"/>
        <v/>
      </c>
    </row>
    <row r="1503" ht="14.25" customHeight="1">
      <c r="B1503" s="66" t="str">
        <f>IF(ROWS($1:1491)&lt;=Nper,ROWS($1:1491),"")</f>
        <v/>
      </c>
      <c r="C1503" s="67" t="str">
        <f>IF($B1503="","",IF($E$7="Weekly",Start_Date+7*(ROWS($1:1491)-1),EDATE(Start_Date,VLOOKUP(IF(ASTemp!$E$7="","Monthly",ASTemp!$E$7),Parameters!$B$3:$D$6,3,0)*(ROWS($1:1491)-1))))</f>
        <v/>
      </c>
      <c r="D1503" s="68" t="str">
        <f t="shared" si="2"/>
        <v/>
      </c>
      <c r="E1503" s="65" t="str">
        <f>IF($B1503="","",VLOOKUP(MONTH(C1503),Parameters!$F$2:$G$13,2,0))</f>
        <v/>
      </c>
      <c r="F1503" s="69" t="str">
        <f>IF($B1503="","",PV-N(J1502))</f>
        <v/>
      </c>
      <c r="G1503" s="69" t="str">
        <f>IF($B1503="","",PMT(Rate,Nper,-PV,,Type))</f>
        <v/>
      </c>
      <c r="H1503" s="69" t="str">
        <f>IF($B1503="","",PPMT(Rate,ROWS($1:1491),Nper,-PV,,Type))</f>
        <v/>
      </c>
      <c r="I1503" s="69" t="str">
        <f>IF($B1503="","",IPMT(Rate,ROWS($1:1491),Nper,-PV,,Type))</f>
        <v/>
      </c>
      <c r="J1503" s="73" t="str">
        <f t="shared" ref="J1503:K1503" si="1493">IF($B1503="","",N(J1502)+N(H1503))</f>
        <v/>
      </c>
      <c r="K1503" s="74" t="str">
        <f t="shared" si="1493"/>
        <v/>
      </c>
      <c r="L1503" s="69" t="str">
        <f>IF($B1503="","",PV-J1503)</f>
        <v/>
      </c>
      <c r="M1503" s="71" t="str">
        <f>IF($B1503="","",J1503/PV)</f>
        <v/>
      </c>
      <c r="N1503" s="72" t="str">
        <f t="shared" si="4"/>
        <v/>
      </c>
    </row>
    <row r="1504" ht="14.25" customHeight="1">
      <c r="B1504" s="66" t="str">
        <f>IF(ROWS($1:1492)&lt;=Nper,ROWS($1:1492),"")</f>
        <v/>
      </c>
      <c r="C1504" s="67" t="str">
        <f>IF($B1504="","",IF($E$7="Weekly",Start_Date+7*(ROWS($1:1492)-1),EDATE(Start_Date,VLOOKUP(IF(ASTemp!$E$7="","Monthly",ASTemp!$E$7),Parameters!$B$3:$D$6,3,0)*(ROWS($1:1492)-1))))</f>
        <v/>
      </c>
      <c r="D1504" s="68" t="str">
        <f t="shared" si="2"/>
        <v/>
      </c>
      <c r="E1504" s="65" t="str">
        <f>IF($B1504="","",VLOOKUP(MONTH(C1504),Parameters!$F$2:$G$13,2,0))</f>
        <v/>
      </c>
      <c r="F1504" s="69" t="str">
        <f>IF($B1504="","",PV-N(J1503))</f>
        <v/>
      </c>
      <c r="G1504" s="69" t="str">
        <f>IF($B1504="","",PMT(Rate,Nper,-PV,,Type))</f>
        <v/>
      </c>
      <c r="H1504" s="69" t="str">
        <f>IF($B1504="","",PPMT(Rate,ROWS($1:1492),Nper,-PV,,Type))</f>
        <v/>
      </c>
      <c r="I1504" s="69" t="str">
        <f>IF($B1504="","",IPMT(Rate,ROWS($1:1492),Nper,-PV,,Type))</f>
        <v/>
      </c>
      <c r="J1504" s="73" t="str">
        <f t="shared" ref="J1504:K1504" si="1494">IF($B1504="","",N(J1503)+N(H1504))</f>
        <v/>
      </c>
      <c r="K1504" s="74" t="str">
        <f t="shared" si="1494"/>
        <v/>
      </c>
      <c r="L1504" s="69" t="str">
        <f>IF($B1504="","",PV-J1504)</f>
        <v/>
      </c>
      <c r="M1504" s="71" t="str">
        <f>IF($B1504="","",J1504/PV)</f>
        <v/>
      </c>
      <c r="N1504" s="72" t="str">
        <f t="shared" si="4"/>
        <v/>
      </c>
    </row>
    <row r="1505" ht="14.25" customHeight="1">
      <c r="B1505" s="66" t="str">
        <f>IF(ROWS($1:1493)&lt;=Nper,ROWS($1:1493),"")</f>
        <v/>
      </c>
      <c r="C1505" s="67" t="str">
        <f>IF($B1505="","",IF($E$7="Weekly",Start_Date+7*(ROWS($1:1493)-1),EDATE(Start_Date,VLOOKUP(IF(ASTemp!$E$7="","Monthly",ASTemp!$E$7),Parameters!$B$3:$D$6,3,0)*(ROWS($1:1493)-1))))</f>
        <v/>
      </c>
      <c r="D1505" s="68" t="str">
        <f t="shared" si="2"/>
        <v/>
      </c>
      <c r="E1505" s="65" t="str">
        <f>IF($B1505="","",VLOOKUP(MONTH(C1505),Parameters!$F$2:$G$13,2,0))</f>
        <v/>
      </c>
      <c r="F1505" s="69" t="str">
        <f>IF($B1505="","",PV-N(J1504))</f>
        <v/>
      </c>
      <c r="G1505" s="69" t="str">
        <f>IF($B1505="","",PMT(Rate,Nper,-PV,,Type))</f>
        <v/>
      </c>
      <c r="H1505" s="69" t="str">
        <f>IF($B1505="","",PPMT(Rate,ROWS($1:1493),Nper,-PV,,Type))</f>
        <v/>
      </c>
      <c r="I1505" s="69" t="str">
        <f>IF($B1505="","",IPMT(Rate,ROWS($1:1493),Nper,-PV,,Type))</f>
        <v/>
      </c>
      <c r="J1505" s="73" t="str">
        <f t="shared" ref="J1505:K1505" si="1495">IF($B1505="","",N(J1504)+N(H1505))</f>
        <v/>
      </c>
      <c r="K1505" s="74" t="str">
        <f t="shared" si="1495"/>
        <v/>
      </c>
      <c r="L1505" s="69" t="str">
        <f>IF($B1505="","",PV-J1505)</f>
        <v/>
      </c>
      <c r="M1505" s="71" t="str">
        <f>IF($B1505="","",J1505/PV)</f>
        <v/>
      </c>
      <c r="N1505" s="72" t="str">
        <f t="shared" si="4"/>
        <v/>
      </c>
    </row>
    <row r="1506" ht="14.25" customHeight="1">
      <c r="B1506" s="66" t="str">
        <f>IF(ROWS($1:1494)&lt;=Nper,ROWS($1:1494),"")</f>
        <v/>
      </c>
      <c r="C1506" s="67" t="str">
        <f>IF($B1506="","",IF($E$7="Weekly",Start_Date+7*(ROWS($1:1494)-1),EDATE(Start_Date,VLOOKUP(IF(ASTemp!$E$7="","Monthly",ASTemp!$E$7),Parameters!$B$3:$D$6,3,0)*(ROWS($1:1494)-1))))</f>
        <v/>
      </c>
      <c r="D1506" s="68" t="str">
        <f t="shared" si="2"/>
        <v/>
      </c>
      <c r="E1506" s="65" t="str">
        <f>IF($B1506="","",VLOOKUP(MONTH(C1506),Parameters!$F$2:$G$13,2,0))</f>
        <v/>
      </c>
      <c r="F1506" s="69" t="str">
        <f>IF($B1506="","",PV-N(J1505))</f>
        <v/>
      </c>
      <c r="G1506" s="69" t="str">
        <f>IF($B1506="","",PMT(Rate,Nper,-PV,,Type))</f>
        <v/>
      </c>
      <c r="H1506" s="69" t="str">
        <f>IF($B1506="","",PPMT(Rate,ROWS($1:1494),Nper,-PV,,Type))</f>
        <v/>
      </c>
      <c r="I1506" s="69" t="str">
        <f>IF($B1506="","",IPMT(Rate,ROWS($1:1494),Nper,-PV,,Type))</f>
        <v/>
      </c>
      <c r="J1506" s="73" t="str">
        <f t="shared" ref="J1506:K1506" si="1496">IF($B1506="","",N(J1505)+N(H1506))</f>
        <v/>
      </c>
      <c r="K1506" s="74" t="str">
        <f t="shared" si="1496"/>
        <v/>
      </c>
      <c r="L1506" s="69" t="str">
        <f>IF($B1506="","",PV-J1506)</f>
        <v/>
      </c>
      <c r="M1506" s="71" t="str">
        <f>IF($B1506="","",J1506/PV)</f>
        <v/>
      </c>
      <c r="N1506" s="72" t="str">
        <f t="shared" si="4"/>
        <v/>
      </c>
    </row>
    <row r="1507" ht="14.25" customHeight="1">
      <c r="B1507" s="66" t="str">
        <f>IF(ROWS($1:1495)&lt;=Nper,ROWS($1:1495),"")</f>
        <v/>
      </c>
      <c r="C1507" s="67" t="str">
        <f>IF($B1507="","",IF($E$7="Weekly",Start_Date+7*(ROWS($1:1495)-1),EDATE(Start_Date,VLOOKUP(IF(ASTemp!$E$7="","Monthly",ASTemp!$E$7),Parameters!$B$3:$D$6,3,0)*(ROWS($1:1495)-1))))</f>
        <v/>
      </c>
      <c r="D1507" s="68" t="str">
        <f t="shared" si="2"/>
        <v/>
      </c>
      <c r="E1507" s="65" t="str">
        <f>IF($B1507="","",VLOOKUP(MONTH(C1507),Parameters!$F$2:$G$13,2,0))</f>
        <v/>
      </c>
      <c r="F1507" s="69" t="str">
        <f>IF($B1507="","",PV-N(J1506))</f>
        <v/>
      </c>
      <c r="G1507" s="69" t="str">
        <f>IF($B1507="","",PMT(Rate,Nper,-PV,,Type))</f>
        <v/>
      </c>
      <c r="H1507" s="69" t="str">
        <f>IF($B1507="","",PPMT(Rate,ROWS($1:1495),Nper,-PV,,Type))</f>
        <v/>
      </c>
      <c r="I1507" s="69" t="str">
        <f>IF($B1507="","",IPMT(Rate,ROWS($1:1495),Nper,-PV,,Type))</f>
        <v/>
      </c>
      <c r="J1507" s="73" t="str">
        <f t="shared" ref="J1507:K1507" si="1497">IF($B1507="","",N(J1506)+N(H1507))</f>
        <v/>
      </c>
      <c r="K1507" s="74" t="str">
        <f t="shared" si="1497"/>
        <v/>
      </c>
      <c r="L1507" s="69" t="str">
        <f>IF($B1507="","",PV-J1507)</f>
        <v/>
      </c>
      <c r="M1507" s="71" t="str">
        <f>IF($B1507="","",J1507/PV)</f>
        <v/>
      </c>
      <c r="N1507" s="72" t="str">
        <f t="shared" si="4"/>
        <v/>
      </c>
    </row>
    <row r="1508" ht="14.25" customHeight="1">
      <c r="B1508" s="66" t="str">
        <f>IF(ROWS($1:1496)&lt;=Nper,ROWS($1:1496),"")</f>
        <v/>
      </c>
      <c r="C1508" s="67" t="str">
        <f>IF($B1508="","",IF($E$7="Weekly",Start_Date+7*(ROWS($1:1496)-1),EDATE(Start_Date,VLOOKUP(IF(ASTemp!$E$7="","Monthly",ASTemp!$E$7),Parameters!$B$3:$D$6,3,0)*(ROWS($1:1496)-1))))</f>
        <v/>
      </c>
      <c r="D1508" s="68" t="str">
        <f t="shared" si="2"/>
        <v/>
      </c>
      <c r="E1508" s="65" t="str">
        <f>IF($B1508="","",VLOOKUP(MONTH(C1508),Parameters!$F$2:$G$13,2,0))</f>
        <v/>
      </c>
      <c r="F1508" s="69" t="str">
        <f>IF($B1508="","",PV-N(J1507))</f>
        <v/>
      </c>
      <c r="G1508" s="69" t="str">
        <f>IF($B1508="","",PMT(Rate,Nper,-PV,,Type))</f>
        <v/>
      </c>
      <c r="H1508" s="69" t="str">
        <f>IF($B1508="","",PPMT(Rate,ROWS($1:1496),Nper,-PV,,Type))</f>
        <v/>
      </c>
      <c r="I1508" s="69" t="str">
        <f>IF($B1508="","",IPMT(Rate,ROWS($1:1496),Nper,-PV,,Type))</f>
        <v/>
      </c>
      <c r="J1508" s="73" t="str">
        <f t="shared" ref="J1508:K1508" si="1498">IF($B1508="","",N(J1507)+N(H1508))</f>
        <v/>
      </c>
      <c r="K1508" s="74" t="str">
        <f t="shared" si="1498"/>
        <v/>
      </c>
      <c r="L1508" s="69" t="str">
        <f>IF($B1508="","",PV-J1508)</f>
        <v/>
      </c>
      <c r="M1508" s="71" t="str">
        <f>IF($B1508="","",J1508/PV)</f>
        <v/>
      </c>
      <c r="N1508" s="72" t="str">
        <f t="shared" si="4"/>
        <v/>
      </c>
    </row>
    <row r="1509" ht="14.25" customHeight="1">
      <c r="B1509" s="66" t="str">
        <f>IF(ROWS($1:1497)&lt;=Nper,ROWS($1:1497),"")</f>
        <v/>
      </c>
      <c r="C1509" s="67" t="str">
        <f>IF($B1509="","",IF($E$7="Weekly",Start_Date+7*(ROWS($1:1497)-1),EDATE(Start_Date,VLOOKUP(IF(ASTemp!$E$7="","Monthly",ASTemp!$E$7),Parameters!$B$3:$D$6,3,0)*(ROWS($1:1497)-1))))</f>
        <v/>
      </c>
      <c r="D1509" s="68" t="str">
        <f t="shared" si="2"/>
        <v/>
      </c>
      <c r="E1509" s="65" t="str">
        <f>IF($B1509="","",VLOOKUP(MONTH(C1509),Parameters!$F$2:$G$13,2,0))</f>
        <v/>
      </c>
      <c r="F1509" s="69" t="str">
        <f>IF($B1509="","",PV-N(J1508))</f>
        <v/>
      </c>
      <c r="G1509" s="69" t="str">
        <f>IF($B1509="","",PMT(Rate,Nper,-PV,,Type))</f>
        <v/>
      </c>
      <c r="H1509" s="69" t="str">
        <f>IF($B1509="","",PPMT(Rate,ROWS($1:1497),Nper,-PV,,Type))</f>
        <v/>
      </c>
      <c r="I1509" s="69" t="str">
        <f>IF($B1509="","",IPMT(Rate,ROWS($1:1497),Nper,-PV,,Type))</f>
        <v/>
      </c>
      <c r="J1509" s="73" t="str">
        <f t="shared" ref="J1509:K1509" si="1499">IF($B1509="","",N(J1508)+N(H1509))</f>
        <v/>
      </c>
      <c r="K1509" s="74" t="str">
        <f t="shared" si="1499"/>
        <v/>
      </c>
      <c r="L1509" s="69" t="str">
        <f>IF($B1509="","",PV-J1509)</f>
        <v/>
      </c>
      <c r="M1509" s="71" t="str">
        <f>IF($B1509="","",J1509/PV)</f>
        <v/>
      </c>
      <c r="N1509" s="72" t="str">
        <f t="shared" si="4"/>
        <v/>
      </c>
    </row>
    <row r="1510" ht="14.25" customHeight="1">
      <c r="B1510" s="66" t="str">
        <f>IF(ROWS($1:1498)&lt;=Nper,ROWS($1:1498),"")</f>
        <v/>
      </c>
      <c r="C1510" s="67" t="str">
        <f>IF($B1510="","",IF($E$7="Weekly",Start_Date+7*(ROWS($1:1498)-1),EDATE(Start_Date,VLOOKUP(IF(ASTemp!$E$7="","Monthly",ASTemp!$E$7),Parameters!$B$3:$D$6,3,0)*(ROWS($1:1498)-1))))</f>
        <v/>
      </c>
      <c r="D1510" s="68" t="str">
        <f t="shared" si="2"/>
        <v/>
      </c>
      <c r="E1510" s="65" t="str">
        <f>IF($B1510="","",VLOOKUP(MONTH(C1510),Parameters!$F$2:$G$13,2,0))</f>
        <v/>
      </c>
      <c r="F1510" s="69" t="str">
        <f>IF($B1510="","",PV-N(J1509))</f>
        <v/>
      </c>
      <c r="G1510" s="69" t="str">
        <f>IF($B1510="","",PMT(Rate,Nper,-PV,,Type))</f>
        <v/>
      </c>
      <c r="H1510" s="69" t="str">
        <f>IF($B1510="","",PPMT(Rate,ROWS($1:1498),Nper,-PV,,Type))</f>
        <v/>
      </c>
      <c r="I1510" s="69" t="str">
        <f>IF($B1510="","",IPMT(Rate,ROWS($1:1498),Nper,-PV,,Type))</f>
        <v/>
      </c>
      <c r="J1510" s="73" t="str">
        <f t="shared" ref="J1510:K1510" si="1500">IF($B1510="","",N(J1509)+N(H1510))</f>
        <v/>
      </c>
      <c r="K1510" s="74" t="str">
        <f t="shared" si="1500"/>
        <v/>
      </c>
      <c r="L1510" s="69" t="str">
        <f>IF($B1510="","",PV-J1510)</f>
        <v/>
      </c>
      <c r="M1510" s="71" t="str">
        <f>IF($B1510="","",J1510/PV)</f>
        <v/>
      </c>
      <c r="N1510" s="72" t="str">
        <f t="shared" si="4"/>
        <v/>
      </c>
    </row>
    <row r="1511" ht="14.25" customHeight="1">
      <c r="B1511" s="66" t="str">
        <f>IF(ROWS($1:1499)&lt;=Nper,ROWS($1:1499),"")</f>
        <v/>
      </c>
      <c r="C1511" s="67" t="str">
        <f>IF($B1511="","",IF($E$7="Weekly",Start_Date+7*(ROWS($1:1499)-1),EDATE(Start_Date,VLOOKUP(IF(ASTemp!$E$7="","Monthly",ASTemp!$E$7),Parameters!$B$3:$D$6,3,0)*(ROWS($1:1499)-1))))</f>
        <v/>
      </c>
      <c r="D1511" s="68" t="str">
        <f t="shared" si="2"/>
        <v/>
      </c>
      <c r="E1511" s="65" t="str">
        <f>IF($B1511="","",VLOOKUP(MONTH(C1511),Parameters!$F$2:$G$13,2,0))</f>
        <v/>
      </c>
      <c r="F1511" s="69" t="str">
        <f>IF($B1511="","",PV-N(J1510))</f>
        <v/>
      </c>
      <c r="G1511" s="69" t="str">
        <f>IF($B1511="","",PMT(Rate,Nper,-PV,,Type))</f>
        <v/>
      </c>
      <c r="H1511" s="69" t="str">
        <f>IF($B1511="","",PPMT(Rate,ROWS($1:1499),Nper,-PV,,Type))</f>
        <v/>
      </c>
      <c r="I1511" s="69" t="str">
        <f>IF($B1511="","",IPMT(Rate,ROWS($1:1499),Nper,-PV,,Type))</f>
        <v/>
      </c>
      <c r="J1511" s="73" t="str">
        <f t="shared" ref="J1511:K1511" si="1501">IF($B1511="","",N(J1510)+N(H1511))</f>
        <v/>
      </c>
      <c r="K1511" s="74" t="str">
        <f t="shared" si="1501"/>
        <v/>
      </c>
      <c r="L1511" s="69" t="str">
        <f>IF($B1511="","",PV-J1511)</f>
        <v/>
      </c>
      <c r="M1511" s="71" t="str">
        <f>IF($B1511="","",J1511/PV)</f>
        <v/>
      </c>
      <c r="N1511" s="72" t="str">
        <f t="shared" si="4"/>
        <v/>
      </c>
    </row>
    <row r="1512" ht="14.25" customHeight="1">
      <c r="B1512" s="66" t="str">
        <f>IF(ROWS($1:1500)&lt;=Nper,ROWS($1:1500),"")</f>
        <v/>
      </c>
      <c r="C1512" s="67" t="str">
        <f>IF($B1512="","",IF($E$7="Weekly",Start_Date+7*(ROWS($1:1500)-1),EDATE(Start_Date,VLOOKUP(IF(ASTemp!$E$7="","Monthly",ASTemp!$E$7),Parameters!$B$3:$D$6,3,0)*(ROWS($1:1500)-1))))</f>
        <v/>
      </c>
      <c r="D1512" s="68" t="str">
        <f t="shared" si="2"/>
        <v/>
      </c>
      <c r="E1512" s="65" t="str">
        <f>IF($B1512="","",VLOOKUP(MONTH(C1512),Parameters!$F$2:$G$13,2,0))</f>
        <v/>
      </c>
      <c r="F1512" s="69" t="str">
        <f>IF($B1512="","",PV-N(J1511))</f>
        <v/>
      </c>
      <c r="G1512" s="69" t="str">
        <f>IF($B1512="","",PMT(Rate,Nper,-PV,,Type))</f>
        <v/>
      </c>
      <c r="H1512" s="69" t="str">
        <f>IF($B1512="","",PPMT(Rate,ROWS($1:1500),Nper,-PV,,Type))</f>
        <v/>
      </c>
      <c r="I1512" s="69" t="str">
        <f>IF($B1512="","",IPMT(Rate,ROWS($1:1500),Nper,-PV,,Type))</f>
        <v/>
      </c>
      <c r="J1512" s="73" t="str">
        <f t="shared" ref="J1512:K1512" si="1502">IF($B1512="","",N(J1511)+N(H1512))</f>
        <v/>
      </c>
      <c r="K1512" s="74" t="str">
        <f t="shared" si="1502"/>
        <v/>
      </c>
      <c r="L1512" s="69" t="str">
        <f>IF($B1512="","",PV-J1512)</f>
        <v/>
      </c>
      <c r="M1512" s="71" t="str">
        <f>IF($B1512="","",J1512/PV)</f>
        <v/>
      </c>
      <c r="N1512" s="72" t="str">
        <f t="shared" si="4"/>
        <v/>
      </c>
    </row>
    <row r="1513" ht="14.25" customHeight="1">
      <c r="B1513" s="66" t="str">
        <f>IF(ROWS($1:1501)&lt;=Nper,ROWS($1:1501),"")</f>
        <v/>
      </c>
      <c r="C1513" s="67" t="str">
        <f>IF($B1513="","",IF($E$7="Weekly",Start_Date+7*(ROWS($1:1501)-1),EDATE(Start_Date,VLOOKUP(IF(ASTemp!$E$7="","Monthly",ASTemp!$E$7),Parameters!$B$3:$D$6,3,0)*(ROWS($1:1501)-1))))</f>
        <v/>
      </c>
      <c r="D1513" s="68" t="str">
        <f t="shared" si="2"/>
        <v/>
      </c>
      <c r="E1513" s="65" t="str">
        <f>IF($B1513="","",VLOOKUP(MONTH(C1513),Parameters!$F$2:$G$13,2,0))</f>
        <v/>
      </c>
      <c r="F1513" s="69" t="str">
        <f>IF($B1513="","",PV-N(J1512))</f>
        <v/>
      </c>
      <c r="G1513" s="69" t="str">
        <f>IF($B1513="","",PMT(Rate,Nper,-PV,,Type))</f>
        <v/>
      </c>
      <c r="H1513" s="69" t="str">
        <f>IF($B1513="","",PPMT(Rate,ROWS($1:1501),Nper,-PV,,Type))</f>
        <v/>
      </c>
      <c r="I1513" s="69" t="str">
        <f>IF($B1513="","",IPMT(Rate,ROWS($1:1501),Nper,-PV,,Type))</f>
        <v/>
      </c>
      <c r="J1513" s="73" t="str">
        <f t="shared" ref="J1513:K1513" si="1503">IF($B1513="","",N(J1512)+N(H1513))</f>
        <v/>
      </c>
      <c r="K1513" s="74" t="str">
        <f t="shared" si="1503"/>
        <v/>
      </c>
      <c r="L1513" s="69" t="str">
        <f>IF($B1513="","",PV-J1513)</f>
        <v/>
      </c>
      <c r="M1513" s="71" t="str">
        <f>IF($B1513="","",J1513/PV)</f>
        <v/>
      </c>
      <c r="N1513" s="72" t="str">
        <f t="shared" si="4"/>
        <v/>
      </c>
    </row>
    <row r="1514" ht="14.25" customHeight="1">
      <c r="B1514" s="66" t="str">
        <f>IF(ROWS($1:1502)&lt;=Nper,ROWS($1:1502),"")</f>
        <v/>
      </c>
      <c r="C1514" s="67" t="str">
        <f>IF($B1514="","",IF($E$7="Weekly",Start_Date+7*(ROWS($1:1502)-1),EDATE(Start_Date,VLOOKUP(IF(ASTemp!$E$7="","Monthly",ASTemp!$E$7),Parameters!$B$3:$D$6,3,0)*(ROWS($1:1502)-1))))</f>
        <v/>
      </c>
      <c r="D1514" s="68" t="str">
        <f t="shared" si="2"/>
        <v/>
      </c>
      <c r="E1514" s="65" t="str">
        <f>IF($B1514="","",VLOOKUP(MONTH(C1514),Parameters!$F$2:$G$13,2,0))</f>
        <v/>
      </c>
      <c r="F1514" s="69" t="str">
        <f>IF($B1514="","",PV-N(J1513))</f>
        <v/>
      </c>
      <c r="G1514" s="69" t="str">
        <f>IF($B1514="","",PMT(Rate,Nper,-PV,,Type))</f>
        <v/>
      </c>
      <c r="H1514" s="69" t="str">
        <f>IF($B1514="","",PPMT(Rate,ROWS($1:1502),Nper,-PV,,Type))</f>
        <v/>
      </c>
      <c r="I1514" s="69" t="str">
        <f>IF($B1514="","",IPMT(Rate,ROWS($1:1502),Nper,-PV,,Type))</f>
        <v/>
      </c>
      <c r="J1514" s="73" t="str">
        <f t="shared" ref="J1514:K1514" si="1504">IF($B1514="","",N(J1513)+N(H1514))</f>
        <v/>
      </c>
      <c r="K1514" s="74" t="str">
        <f t="shared" si="1504"/>
        <v/>
      </c>
      <c r="L1514" s="69" t="str">
        <f>IF($B1514="","",PV-J1514)</f>
        <v/>
      </c>
      <c r="M1514" s="71" t="str">
        <f>IF($B1514="","",J1514/PV)</f>
        <v/>
      </c>
      <c r="N1514" s="72" t="str">
        <f t="shared" si="4"/>
        <v/>
      </c>
    </row>
    <row r="1515" ht="14.25" customHeight="1">
      <c r="B1515" s="66" t="str">
        <f>IF(ROWS($1:1503)&lt;=Nper,ROWS($1:1503),"")</f>
        <v/>
      </c>
      <c r="C1515" s="67" t="str">
        <f>IF($B1515="","",IF($E$7="Weekly",Start_Date+7*(ROWS($1:1503)-1),EDATE(Start_Date,VLOOKUP(IF(ASTemp!$E$7="","Monthly",ASTemp!$E$7),Parameters!$B$3:$D$6,3,0)*(ROWS($1:1503)-1))))</f>
        <v/>
      </c>
      <c r="D1515" s="68" t="str">
        <f t="shared" si="2"/>
        <v/>
      </c>
      <c r="E1515" s="65" t="str">
        <f>IF($B1515="","",VLOOKUP(MONTH(C1515),Parameters!$F$2:$G$13,2,0))</f>
        <v/>
      </c>
      <c r="F1515" s="69" t="str">
        <f>IF($B1515="","",PV-N(J1514))</f>
        <v/>
      </c>
      <c r="G1515" s="69" t="str">
        <f>IF($B1515="","",PMT(Rate,Nper,-PV,,Type))</f>
        <v/>
      </c>
      <c r="H1515" s="69" t="str">
        <f>IF($B1515="","",PPMT(Rate,ROWS($1:1503),Nper,-PV,,Type))</f>
        <v/>
      </c>
      <c r="I1515" s="69" t="str">
        <f>IF($B1515="","",IPMT(Rate,ROWS($1:1503),Nper,-PV,,Type))</f>
        <v/>
      </c>
      <c r="J1515" s="73" t="str">
        <f t="shared" ref="J1515:K1515" si="1505">IF($B1515="","",N(J1514)+N(H1515))</f>
        <v/>
      </c>
      <c r="K1515" s="74" t="str">
        <f t="shared" si="1505"/>
        <v/>
      </c>
      <c r="L1515" s="69" t="str">
        <f>IF($B1515="","",PV-J1515)</f>
        <v/>
      </c>
      <c r="M1515" s="71" t="str">
        <f>IF($B1515="","",J1515/PV)</f>
        <v/>
      </c>
      <c r="N1515" s="72" t="str">
        <f t="shared" si="4"/>
        <v/>
      </c>
    </row>
    <row r="1516" ht="14.25" customHeight="1">
      <c r="B1516" s="66" t="str">
        <f>IF(ROWS($1:1504)&lt;=Nper,ROWS($1:1504),"")</f>
        <v/>
      </c>
      <c r="C1516" s="67" t="str">
        <f>IF($B1516="","",IF($E$7="Weekly",Start_Date+7*(ROWS($1:1504)-1),EDATE(Start_Date,VLOOKUP(IF(ASTemp!$E$7="","Monthly",ASTemp!$E$7),Parameters!$B$3:$D$6,3,0)*(ROWS($1:1504)-1))))</f>
        <v/>
      </c>
      <c r="D1516" s="68" t="str">
        <f t="shared" si="2"/>
        <v/>
      </c>
      <c r="E1516" s="65" t="str">
        <f>IF($B1516="","",VLOOKUP(MONTH(C1516),Parameters!$F$2:$G$13,2,0))</f>
        <v/>
      </c>
      <c r="F1516" s="69" t="str">
        <f>IF($B1516="","",PV-N(J1515))</f>
        <v/>
      </c>
      <c r="G1516" s="69" t="str">
        <f>IF($B1516="","",PMT(Rate,Nper,-PV,,Type))</f>
        <v/>
      </c>
      <c r="H1516" s="69" t="str">
        <f>IF($B1516="","",PPMT(Rate,ROWS($1:1504),Nper,-PV,,Type))</f>
        <v/>
      </c>
      <c r="I1516" s="69" t="str">
        <f>IF($B1516="","",IPMT(Rate,ROWS($1:1504),Nper,-PV,,Type))</f>
        <v/>
      </c>
      <c r="J1516" s="73" t="str">
        <f t="shared" ref="J1516:K1516" si="1506">IF($B1516="","",N(J1515)+N(H1516))</f>
        <v/>
      </c>
      <c r="K1516" s="74" t="str">
        <f t="shared" si="1506"/>
        <v/>
      </c>
      <c r="L1516" s="69" t="str">
        <f>IF($B1516="","",PV-J1516)</f>
        <v/>
      </c>
      <c r="M1516" s="71" t="str">
        <f>IF($B1516="","",J1516/PV)</f>
        <v/>
      </c>
      <c r="N1516" s="72" t="str">
        <f t="shared" si="4"/>
        <v/>
      </c>
    </row>
    <row r="1517" ht="14.25" customHeight="1">
      <c r="B1517" s="66" t="str">
        <f>IF(ROWS($1:1505)&lt;=Nper,ROWS($1:1505),"")</f>
        <v/>
      </c>
      <c r="C1517" s="67" t="str">
        <f>IF($B1517="","",IF($E$7="Weekly",Start_Date+7*(ROWS($1:1505)-1),EDATE(Start_Date,VLOOKUP(IF(ASTemp!$E$7="","Monthly",ASTemp!$E$7),Parameters!$B$3:$D$6,3,0)*(ROWS($1:1505)-1))))</f>
        <v/>
      </c>
      <c r="D1517" s="68" t="str">
        <f t="shared" si="2"/>
        <v/>
      </c>
      <c r="E1517" s="65" t="str">
        <f>IF($B1517="","",VLOOKUP(MONTH(C1517),Parameters!$F$2:$G$13,2,0))</f>
        <v/>
      </c>
      <c r="F1517" s="69" t="str">
        <f>IF($B1517="","",PV-N(J1516))</f>
        <v/>
      </c>
      <c r="G1517" s="69" t="str">
        <f>IF($B1517="","",PMT(Rate,Nper,-PV,,Type))</f>
        <v/>
      </c>
      <c r="H1517" s="69" t="str">
        <f>IF($B1517="","",PPMT(Rate,ROWS($1:1505),Nper,-PV,,Type))</f>
        <v/>
      </c>
      <c r="I1517" s="69" t="str">
        <f>IF($B1517="","",IPMT(Rate,ROWS($1:1505),Nper,-PV,,Type))</f>
        <v/>
      </c>
      <c r="J1517" s="73" t="str">
        <f t="shared" ref="J1517:K1517" si="1507">IF($B1517="","",N(J1516)+N(H1517))</f>
        <v/>
      </c>
      <c r="K1517" s="74" t="str">
        <f t="shared" si="1507"/>
        <v/>
      </c>
      <c r="L1517" s="69" t="str">
        <f>IF($B1517="","",PV-J1517)</f>
        <v/>
      </c>
      <c r="M1517" s="71" t="str">
        <f>IF($B1517="","",J1517/PV)</f>
        <v/>
      </c>
      <c r="N1517" s="72" t="str">
        <f t="shared" si="4"/>
        <v/>
      </c>
    </row>
    <row r="1518" ht="14.25" customHeight="1">
      <c r="B1518" s="66" t="str">
        <f>IF(ROWS($1:1506)&lt;=Nper,ROWS($1:1506),"")</f>
        <v/>
      </c>
      <c r="C1518" s="67" t="str">
        <f>IF($B1518="","",IF($E$7="Weekly",Start_Date+7*(ROWS($1:1506)-1),EDATE(Start_Date,VLOOKUP(IF(ASTemp!$E$7="","Monthly",ASTemp!$E$7),Parameters!$B$3:$D$6,3,0)*(ROWS($1:1506)-1))))</f>
        <v/>
      </c>
      <c r="D1518" s="68" t="str">
        <f t="shared" si="2"/>
        <v/>
      </c>
      <c r="E1518" s="65" t="str">
        <f>IF($B1518="","",VLOOKUP(MONTH(C1518),Parameters!$F$2:$G$13,2,0))</f>
        <v/>
      </c>
      <c r="F1518" s="69" t="str">
        <f>IF($B1518="","",PV-N(J1517))</f>
        <v/>
      </c>
      <c r="G1518" s="69" t="str">
        <f>IF($B1518="","",PMT(Rate,Nper,-PV,,Type))</f>
        <v/>
      </c>
      <c r="H1518" s="69" t="str">
        <f>IF($B1518="","",PPMT(Rate,ROWS($1:1506),Nper,-PV,,Type))</f>
        <v/>
      </c>
      <c r="I1518" s="69" t="str">
        <f>IF($B1518="","",IPMT(Rate,ROWS($1:1506),Nper,-PV,,Type))</f>
        <v/>
      </c>
      <c r="J1518" s="73" t="str">
        <f t="shared" ref="J1518:K1518" si="1508">IF($B1518="","",N(J1517)+N(H1518))</f>
        <v/>
      </c>
      <c r="K1518" s="74" t="str">
        <f t="shared" si="1508"/>
        <v/>
      </c>
      <c r="L1518" s="69" t="str">
        <f>IF($B1518="","",PV-J1518)</f>
        <v/>
      </c>
      <c r="M1518" s="71" t="str">
        <f>IF($B1518="","",J1518/PV)</f>
        <v/>
      </c>
      <c r="N1518" s="72" t="str">
        <f t="shared" si="4"/>
        <v/>
      </c>
    </row>
    <row r="1519" ht="14.25" customHeight="1">
      <c r="B1519" s="66" t="str">
        <f>IF(ROWS($1:1507)&lt;=Nper,ROWS($1:1507),"")</f>
        <v/>
      </c>
      <c r="C1519" s="67" t="str">
        <f>IF($B1519="","",IF($E$7="Weekly",Start_Date+7*(ROWS($1:1507)-1),EDATE(Start_Date,VLOOKUP(IF(ASTemp!$E$7="","Monthly",ASTemp!$E$7),Parameters!$B$3:$D$6,3,0)*(ROWS($1:1507)-1))))</f>
        <v/>
      </c>
      <c r="D1519" s="68" t="str">
        <f t="shared" si="2"/>
        <v/>
      </c>
      <c r="E1519" s="65" t="str">
        <f>IF($B1519="","",VLOOKUP(MONTH(C1519),Parameters!$F$2:$G$13,2,0))</f>
        <v/>
      </c>
      <c r="F1519" s="69" t="str">
        <f>IF($B1519="","",PV-N(J1518))</f>
        <v/>
      </c>
      <c r="G1519" s="69" t="str">
        <f>IF($B1519="","",PMT(Rate,Nper,-PV,,Type))</f>
        <v/>
      </c>
      <c r="H1519" s="69" t="str">
        <f>IF($B1519="","",PPMT(Rate,ROWS($1:1507),Nper,-PV,,Type))</f>
        <v/>
      </c>
      <c r="I1519" s="69" t="str">
        <f>IF($B1519="","",IPMT(Rate,ROWS($1:1507),Nper,-PV,,Type))</f>
        <v/>
      </c>
      <c r="J1519" s="73" t="str">
        <f t="shared" ref="J1519:K1519" si="1509">IF($B1519="","",N(J1518)+N(H1519))</f>
        <v/>
      </c>
      <c r="K1519" s="74" t="str">
        <f t="shared" si="1509"/>
        <v/>
      </c>
      <c r="L1519" s="69" t="str">
        <f>IF($B1519="","",PV-J1519)</f>
        <v/>
      </c>
      <c r="M1519" s="71" t="str">
        <f>IF($B1519="","",J1519/PV)</f>
        <v/>
      </c>
      <c r="N1519" s="72" t="str">
        <f t="shared" si="4"/>
        <v/>
      </c>
    </row>
    <row r="1520" ht="14.25" customHeight="1">
      <c r="B1520" s="66" t="str">
        <f>IF(ROWS($1:1508)&lt;=Nper,ROWS($1:1508),"")</f>
        <v/>
      </c>
      <c r="C1520" s="67" t="str">
        <f>IF($B1520="","",IF($E$7="Weekly",Start_Date+7*(ROWS($1:1508)-1),EDATE(Start_Date,VLOOKUP(IF(ASTemp!$E$7="","Monthly",ASTemp!$E$7),Parameters!$B$3:$D$6,3,0)*(ROWS($1:1508)-1))))</f>
        <v/>
      </c>
      <c r="D1520" s="68" t="str">
        <f t="shared" si="2"/>
        <v/>
      </c>
      <c r="E1520" s="65" t="str">
        <f>IF($B1520="","",VLOOKUP(MONTH(C1520),Parameters!$F$2:$G$13,2,0))</f>
        <v/>
      </c>
      <c r="F1520" s="69" t="str">
        <f>IF($B1520="","",PV-N(J1519))</f>
        <v/>
      </c>
      <c r="G1520" s="69" t="str">
        <f>IF($B1520="","",PMT(Rate,Nper,-PV,,Type))</f>
        <v/>
      </c>
      <c r="H1520" s="69" t="str">
        <f>IF($B1520="","",PPMT(Rate,ROWS($1:1508),Nper,-PV,,Type))</f>
        <v/>
      </c>
      <c r="I1520" s="69" t="str">
        <f>IF($B1520="","",IPMT(Rate,ROWS($1:1508),Nper,-PV,,Type))</f>
        <v/>
      </c>
      <c r="J1520" s="73" t="str">
        <f t="shared" ref="J1520:K1520" si="1510">IF($B1520="","",N(J1519)+N(H1520))</f>
        <v/>
      </c>
      <c r="K1520" s="74" t="str">
        <f t="shared" si="1510"/>
        <v/>
      </c>
      <c r="L1520" s="69" t="str">
        <f>IF($B1520="","",PV-J1520)</f>
        <v/>
      </c>
      <c r="M1520" s="71" t="str">
        <f>IF($B1520="","",J1520/PV)</f>
        <v/>
      </c>
      <c r="N1520" s="72" t="str">
        <f t="shared" si="4"/>
        <v/>
      </c>
    </row>
    <row r="1521" ht="14.25" customHeight="1">
      <c r="B1521" s="66" t="str">
        <f>IF(ROWS($1:1509)&lt;=Nper,ROWS($1:1509),"")</f>
        <v/>
      </c>
      <c r="C1521" s="67" t="str">
        <f>IF($B1521="","",IF($E$7="Weekly",Start_Date+7*(ROWS($1:1509)-1),EDATE(Start_Date,VLOOKUP(IF(ASTemp!$E$7="","Monthly",ASTemp!$E$7),Parameters!$B$3:$D$6,3,0)*(ROWS($1:1509)-1))))</f>
        <v/>
      </c>
      <c r="D1521" s="68" t="str">
        <f t="shared" si="2"/>
        <v/>
      </c>
      <c r="E1521" s="65" t="str">
        <f>IF($B1521="","",VLOOKUP(MONTH(C1521),Parameters!$F$2:$G$13,2,0))</f>
        <v/>
      </c>
      <c r="F1521" s="69" t="str">
        <f>IF($B1521="","",PV-N(J1520))</f>
        <v/>
      </c>
      <c r="G1521" s="69" t="str">
        <f>IF($B1521="","",PMT(Rate,Nper,-PV,,Type))</f>
        <v/>
      </c>
      <c r="H1521" s="69" t="str">
        <f>IF($B1521="","",PPMT(Rate,ROWS($1:1509),Nper,-PV,,Type))</f>
        <v/>
      </c>
      <c r="I1521" s="69" t="str">
        <f>IF($B1521="","",IPMT(Rate,ROWS($1:1509),Nper,-PV,,Type))</f>
        <v/>
      </c>
      <c r="J1521" s="73" t="str">
        <f t="shared" ref="J1521:K1521" si="1511">IF($B1521="","",N(J1520)+N(H1521))</f>
        <v/>
      </c>
      <c r="K1521" s="74" t="str">
        <f t="shared" si="1511"/>
        <v/>
      </c>
      <c r="L1521" s="69" t="str">
        <f>IF($B1521="","",PV-J1521)</f>
        <v/>
      </c>
      <c r="M1521" s="71" t="str">
        <f>IF($B1521="","",J1521/PV)</f>
        <v/>
      </c>
      <c r="N1521" s="72" t="str">
        <f t="shared" si="4"/>
        <v/>
      </c>
    </row>
    <row r="1522" ht="14.25" customHeight="1">
      <c r="B1522" s="66" t="str">
        <f>IF(ROWS($1:1510)&lt;=Nper,ROWS($1:1510),"")</f>
        <v/>
      </c>
      <c r="C1522" s="67" t="str">
        <f>IF($B1522="","",IF($E$7="Weekly",Start_Date+7*(ROWS($1:1510)-1),EDATE(Start_Date,VLOOKUP(IF(ASTemp!$E$7="","Monthly",ASTemp!$E$7),Parameters!$B$3:$D$6,3,0)*(ROWS($1:1510)-1))))</f>
        <v/>
      </c>
      <c r="D1522" s="68" t="str">
        <f t="shared" si="2"/>
        <v/>
      </c>
      <c r="E1522" s="65" t="str">
        <f>IF($B1522="","",VLOOKUP(MONTH(C1522),Parameters!$F$2:$G$13,2,0))</f>
        <v/>
      </c>
      <c r="F1522" s="69" t="str">
        <f>IF($B1522="","",PV-N(J1521))</f>
        <v/>
      </c>
      <c r="G1522" s="69" t="str">
        <f>IF($B1522="","",PMT(Rate,Nper,-PV,,Type))</f>
        <v/>
      </c>
      <c r="H1522" s="69" t="str">
        <f>IF($B1522="","",PPMT(Rate,ROWS($1:1510),Nper,-PV,,Type))</f>
        <v/>
      </c>
      <c r="I1522" s="69" t="str">
        <f>IF($B1522="","",IPMT(Rate,ROWS($1:1510),Nper,-PV,,Type))</f>
        <v/>
      </c>
      <c r="J1522" s="73" t="str">
        <f t="shared" ref="J1522:K1522" si="1512">IF($B1522="","",N(J1521)+N(H1522))</f>
        <v/>
      </c>
      <c r="K1522" s="74" t="str">
        <f t="shared" si="1512"/>
        <v/>
      </c>
      <c r="L1522" s="69" t="str">
        <f>IF($B1522="","",PV-J1522)</f>
        <v/>
      </c>
      <c r="M1522" s="71" t="str">
        <f>IF($B1522="","",J1522/PV)</f>
        <v/>
      </c>
      <c r="N1522" s="72" t="str">
        <f t="shared" si="4"/>
        <v/>
      </c>
    </row>
    <row r="1523" ht="14.25" customHeight="1">
      <c r="B1523" s="66" t="str">
        <f>IF(ROWS($1:1511)&lt;=Nper,ROWS($1:1511),"")</f>
        <v/>
      </c>
      <c r="C1523" s="67" t="str">
        <f>IF($B1523="","",IF($E$7="Weekly",Start_Date+7*(ROWS($1:1511)-1),EDATE(Start_Date,VLOOKUP(IF(ASTemp!$E$7="","Monthly",ASTemp!$E$7),Parameters!$B$3:$D$6,3,0)*(ROWS($1:1511)-1))))</f>
        <v/>
      </c>
      <c r="D1523" s="68" t="str">
        <f t="shared" si="2"/>
        <v/>
      </c>
      <c r="E1523" s="65" t="str">
        <f>IF($B1523="","",VLOOKUP(MONTH(C1523),Parameters!$F$2:$G$13,2,0))</f>
        <v/>
      </c>
      <c r="F1523" s="69" t="str">
        <f>IF($B1523="","",PV-N(J1522))</f>
        <v/>
      </c>
      <c r="G1523" s="69" t="str">
        <f>IF($B1523="","",PMT(Rate,Nper,-PV,,Type))</f>
        <v/>
      </c>
      <c r="H1523" s="69" t="str">
        <f>IF($B1523="","",PPMT(Rate,ROWS($1:1511),Nper,-PV,,Type))</f>
        <v/>
      </c>
      <c r="I1523" s="69" t="str">
        <f>IF($B1523="","",IPMT(Rate,ROWS($1:1511),Nper,-PV,,Type))</f>
        <v/>
      </c>
      <c r="J1523" s="73" t="str">
        <f t="shared" ref="J1523:K1523" si="1513">IF($B1523="","",N(J1522)+N(H1523))</f>
        <v/>
      </c>
      <c r="K1523" s="74" t="str">
        <f t="shared" si="1513"/>
        <v/>
      </c>
      <c r="L1523" s="69" t="str">
        <f>IF($B1523="","",PV-J1523)</f>
        <v/>
      </c>
      <c r="M1523" s="71" t="str">
        <f>IF($B1523="","",J1523/PV)</f>
        <v/>
      </c>
      <c r="N1523" s="72" t="str">
        <f t="shared" si="4"/>
        <v/>
      </c>
    </row>
    <row r="1524" ht="14.25" customHeight="1">
      <c r="B1524" s="66" t="str">
        <f>IF(ROWS($1:1512)&lt;=Nper,ROWS($1:1512),"")</f>
        <v/>
      </c>
      <c r="C1524" s="67" t="str">
        <f>IF($B1524="","",IF($E$7="Weekly",Start_Date+7*(ROWS($1:1512)-1),EDATE(Start_Date,VLOOKUP(IF(ASTemp!$E$7="","Monthly",ASTemp!$E$7),Parameters!$B$3:$D$6,3,0)*(ROWS($1:1512)-1))))</f>
        <v/>
      </c>
      <c r="D1524" s="68" t="str">
        <f t="shared" si="2"/>
        <v/>
      </c>
      <c r="E1524" s="65" t="str">
        <f>IF($B1524="","",VLOOKUP(MONTH(C1524),Parameters!$F$2:$G$13,2,0))</f>
        <v/>
      </c>
      <c r="F1524" s="69" t="str">
        <f>IF($B1524="","",PV-N(J1523))</f>
        <v/>
      </c>
      <c r="G1524" s="69" t="str">
        <f>IF($B1524="","",PMT(Rate,Nper,-PV,,Type))</f>
        <v/>
      </c>
      <c r="H1524" s="69" t="str">
        <f>IF($B1524="","",PPMT(Rate,ROWS($1:1512),Nper,-PV,,Type))</f>
        <v/>
      </c>
      <c r="I1524" s="69" t="str">
        <f>IF($B1524="","",IPMT(Rate,ROWS($1:1512),Nper,-PV,,Type))</f>
        <v/>
      </c>
      <c r="J1524" s="73" t="str">
        <f t="shared" ref="J1524:K1524" si="1514">IF($B1524="","",N(J1523)+N(H1524))</f>
        <v/>
      </c>
      <c r="K1524" s="74" t="str">
        <f t="shared" si="1514"/>
        <v/>
      </c>
      <c r="L1524" s="69" t="str">
        <f>IF($B1524="","",PV-J1524)</f>
        <v/>
      </c>
      <c r="M1524" s="71" t="str">
        <f>IF($B1524="","",J1524/PV)</f>
        <v/>
      </c>
      <c r="N1524" s="72" t="str">
        <f t="shared" si="4"/>
        <v/>
      </c>
    </row>
    <row r="1525" ht="14.25" customHeight="1">
      <c r="B1525" s="66" t="str">
        <f>IF(ROWS($1:1513)&lt;=Nper,ROWS($1:1513),"")</f>
        <v/>
      </c>
      <c r="C1525" s="67" t="str">
        <f>IF($B1525="","",IF($E$7="Weekly",Start_Date+7*(ROWS($1:1513)-1),EDATE(Start_Date,VLOOKUP(IF(ASTemp!$E$7="","Monthly",ASTemp!$E$7),Parameters!$B$3:$D$6,3,0)*(ROWS($1:1513)-1))))</f>
        <v/>
      </c>
      <c r="D1525" s="68" t="str">
        <f t="shared" si="2"/>
        <v/>
      </c>
      <c r="E1525" s="65" t="str">
        <f>IF($B1525="","",VLOOKUP(MONTH(C1525),Parameters!$F$2:$G$13,2,0))</f>
        <v/>
      </c>
      <c r="F1525" s="69" t="str">
        <f>IF($B1525="","",PV-N(J1524))</f>
        <v/>
      </c>
      <c r="G1525" s="69" t="str">
        <f>IF($B1525="","",PMT(Rate,Nper,-PV,,Type))</f>
        <v/>
      </c>
      <c r="H1525" s="69" t="str">
        <f>IF($B1525="","",PPMT(Rate,ROWS($1:1513),Nper,-PV,,Type))</f>
        <v/>
      </c>
      <c r="I1525" s="69" t="str">
        <f>IF($B1525="","",IPMT(Rate,ROWS($1:1513),Nper,-PV,,Type))</f>
        <v/>
      </c>
      <c r="J1525" s="73" t="str">
        <f t="shared" ref="J1525:K1525" si="1515">IF($B1525="","",N(J1524)+N(H1525))</f>
        <v/>
      </c>
      <c r="K1525" s="74" t="str">
        <f t="shared" si="1515"/>
        <v/>
      </c>
      <c r="L1525" s="69" t="str">
        <f>IF($B1525="","",PV-J1525)</f>
        <v/>
      </c>
      <c r="M1525" s="71" t="str">
        <f>IF($B1525="","",J1525/PV)</f>
        <v/>
      </c>
      <c r="N1525" s="72" t="str">
        <f t="shared" si="4"/>
        <v/>
      </c>
    </row>
    <row r="1526" ht="14.25" customHeight="1">
      <c r="B1526" s="66" t="str">
        <f>IF(ROWS($1:1514)&lt;=Nper,ROWS($1:1514),"")</f>
        <v/>
      </c>
      <c r="C1526" s="67" t="str">
        <f>IF($B1526="","",IF($E$7="Weekly",Start_Date+7*(ROWS($1:1514)-1),EDATE(Start_Date,VLOOKUP(IF(ASTemp!$E$7="","Monthly",ASTemp!$E$7),Parameters!$B$3:$D$6,3,0)*(ROWS($1:1514)-1))))</f>
        <v/>
      </c>
      <c r="D1526" s="68" t="str">
        <f t="shared" si="2"/>
        <v/>
      </c>
      <c r="E1526" s="65" t="str">
        <f>IF($B1526="","",VLOOKUP(MONTH(C1526),Parameters!$F$2:$G$13,2,0))</f>
        <v/>
      </c>
      <c r="F1526" s="69" t="str">
        <f>IF($B1526="","",PV-N(J1525))</f>
        <v/>
      </c>
      <c r="G1526" s="69" t="str">
        <f>IF($B1526="","",PMT(Rate,Nper,-PV,,Type))</f>
        <v/>
      </c>
      <c r="H1526" s="69" t="str">
        <f>IF($B1526="","",PPMT(Rate,ROWS($1:1514),Nper,-PV,,Type))</f>
        <v/>
      </c>
      <c r="I1526" s="69" t="str">
        <f>IF($B1526="","",IPMT(Rate,ROWS($1:1514),Nper,-PV,,Type))</f>
        <v/>
      </c>
      <c r="J1526" s="73" t="str">
        <f t="shared" ref="J1526:K1526" si="1516">IF($B1526="","",N(J1525)+N(H1526))</f>
        <v/>
      </c>
      <c r="K1526" s="74" t="str">
        <f t="shared" si="1516"/>
        <v/>
      </c>
      <c r="L1526" s="69" t="str">
        <f>IF($B1526="","",PV-J1526)</f>
        <v/>
      </c>
      <c r="M1526" s="71" t="str">
        <f>IF($B1526="","",J1526/PV)</f>
        <v/>
      </c>
      <c r="N1526" s="72" t="str">
        <f t="shared" si="4"/>
        <v/>
      </c>
    </row>
    <row r="1527" ht="14.25" customHeight="1">
      <c r="B1527" s="66" t="str">
        <f>IF(ROWS($1:1515)&lt;=Nper,ROWS($1:1515),"")</f>
        <v/>
      </c>
      <c r="C1527" s="67" t="str">
        <f>IF($B1527="","",IF($E$7="Weekly",Start_Date+7*(ROWS($1:1515)-1),EDATE(Start_Date,VLOOKUP(IF(ASTemp!$E$7="","Monthly",ASTemp!$E$7),Parameters!$B$3:$D$6,3,0)*(ROWS($1:1515)-1))))</f>
        <v/>
      </c>
      <c r="D1527" s="68" t="str">
        <f t="shared" si="2"/>
        <v/>
      </c>
      <c r="E1527" s="65" t="str">
        <f>IF($B1527="","",VLOOKUP(MONTH(C1527),Parameters!$F$2:$G$13,2,0))</f>
        <v/>
      </c>
      <c r="F1527" s="69" t="str">
        <f>IF($B1527="","",PV-N(J1526))</f>
        <v/>
      </c>
      <c r="G1527" s="69" t="str">
        <f>IF($B1527="","",PMT(Rate,Nper,-PV,,Type))</f>
        <v/>
      </c>
      <c r="H1527" s="69" t="str">
        <f>IF($B1527="","",PPMT(Rate,ROWS($1:1515),Nper,-PV,,Type))</f>
        <v/>
      </c>
      <c r="I1527" s="69" t="str">
        <f>IF($B1527="","",IPMT(Rate,ROWS($1:1515),Nper,-PV,,Type))</f>
        <v/>
      </c>
      <c r="J1527" s="73" t="str">
        <f t="shared" ref="J1527:K1527" si="1517">IF($B1527="","",N(J1526)+N(H1527))</f>
        <v/>
      </c>
      <c r="K1527" s="74" t="str">
        <f t="shared" si="1517"/>
        <v/>
      </c>
      <c r="L1527" s="69" t="str">
        <f>IF($B1527="","",PV-J1527)</f>
        <v/>
      </c>
      <c r="M1527" s="71" t="str">
        <f>IF($B1527="","",J1527/PV)</f>
        <v/>
      </c>
      <c r="N1527" s="72" t="str">
        <f t="shared" si="4"/>
        <v/>
      </c>
    </row>
    <row r="1528" ht="14.25" customHeight="1">
      <c r="B1528" s="66" t="str">
        <f>IF(ROWS($1:1516)&lt;=Nper,ROWS($1:1516),"")</f>
        <v/>
      </c>
      <c r="C1528" s="67" t="str">
        <f>IF($B1528="","",IF($E$7="Weekly",Start_Date+7*(ROWS($1:1516)-1),EDATE(Start_Date,VLOOKUP(IF(ASTemp!$E$7="","Monthly",ASTemp!$E$7),Parameters!$B$3:$D$6,3,0)*(ROWS($1:1516)-1))))</f>
        <v/>
      </c>
      <c r="D1528" s="68" t="str">
        <f t="shared" si="2"/>
        <v/>
      </c>
      <c r="E1528" s="65" t="str">
        <f>IF($B1528="","",VLOOKUP(MONTH(C1528),Parameters!$F$2:$G$13,2,0))</f>
        <v/>
      </c>
      <c r="F1528" s="69" t="str">
        <f>IF($B1528="","",PV-N(J1527))</f>
        <v/>
      </c>
      <c r="G1528" s="69" t="str">
        <f>IF($B1528="","",PMT(Rate,Nper,-PV,,Type))</f>
        <v/>
      </c>
      <c r="H1528" s="69" t="str">
        <f>IF($B1528="","",PPMT(Rate,ROWS($1:1516),Nper,-PV,,Type))</f>
        <v/>
      </c>
      <c r="I1528" s="69" t="str">
        <f>IF($B1528="","",IPMT(Rate,ROWS($1:1516),Nper,-PV,,Type))</f>
        <v/>
      </c>
      <c r="J1528" s="73" t="str">
        <f t="shared" ref="J1528:K1528" si="1518">IF($B1528="","",N(J1527)+N(H1528))</f>
        <v/>
      </c>
      <c r="K1528" s="74" t="str">
        <f t="shared" si="1518"/>
        <v/>
      </c>
      <c r="L1528" s="69" t="str">
        <f>IF($B1528="","",PV-J1528)</f>
        <v/>
      </c>
      <c r="M1528" s="71" t="str">
        <f>IF($B1528="","",J1528/PV)</f>
        <v/>
      </c>
      <c r="N1528" s="72" t="str">
        <f t="shared" si="4"/>
        <v/>
      </c>
    </row>
    <row r="1529" ht="14.25" customHeight="1">
      <c r="B1529" s="66" t="str">
        <f>IF(ROWS($1:1517)&lt;=Nper,ROWS($1:1517),"")</f>
        <v/>
      </c>
      <c r="C1529" s="67" t="str">
        <f>IF($B1529="","",IF($E$7="Weekly",Start_Date+7*(ROWS($1:1517)-1),EDATE(Start_Date,VLOOKUP(IF(ASTemp!$E$7="","Monthly",ASTemp!$E$7),Parameters!$B$3:$D$6,3,0)*(ROWS($1:1517)-1))))</f>
        <v/>
      </c>
      <c r="D1529" s="68" t="str">
        <f t="shared" si="2"/>
        <v/>
      </c>
      <c r="E1529" s="65" t="str">
        <f>IF($B1529="","",VLOOKUP(MONTH(C1529),Parameters!$F$2:$G$13,2,0))</f>
        <v/>
      </c>
      <c r="F1529" s="69" t="str">
        <f>IF($B1529="","",PV-N(J1528))</f>
        <v/>
      </c>
      <c r="G1529" s="69" t="str">
        <f>IF($B1529="","",PMT(Rate,Nper,-PV,,Type))</f>
        <v/>
      </c>
      <c r="H1529" s="69" t="str">
        <f>IF($B1529="","",PPMT(Rate,ROWS($1:1517),Nper,-PV,,Type))</f>
        <v/>
      </c>
      <c r="I1529" s="69" t="str">
        <f>IF($B1529="","",IPMT(Rate,ROWS($1:1517),Nper,-PV,,Type))</f>
        <v/>
      </c>
      <c r="J1529" s="73" t="str">
        <f t="shared" ref="J1529:K1529" si="1519">IF($B1529="","",N(J1528)+N(H1529))</f>
        <v/>
      </c>
      <c r="K1529" s="74" t="str">
        <f t="shared" si="1519"/>
        <v/>
      </c>
      <c r="L1529" s="69" t="str">
        <f>IF($B1529="","",PV-J1529)</f>
        <v/>
      </c>
      <c r="M1529" s="71" t="str">
        <f>IF($B1529="","",J1529/PV)</f>
        <v/>
      </c>
      <c r="N1529" s="72" t="str">
        <f t="shared" si="4"/>
        <v/>
      </c>
    </row>
    <row r="1530" ht="14.25" customHeight="1">
      <c r="B1530" s="66" t="str">
        <f>IF(ROWS($1:1518)&lt;=Nper,ROWS($1:1518),"")</f>
        <v/>
      </c>
      <c r="C1530" s="67" t="str">
        <f>IF($B1530="","",IF($E$7="Weekly",Start_Date+7*(ROWS($1:1518)-1),EDATE(Start_Date,VLOOKUP(IF(ASTemp!$E$7="","Monthly",ASTemp!$E$7),Parameters!$B$3:$D$6,3,0)*(ROWS($1:1518)-1))))</f>
        <v/>
      </c>
      <c r="D1530" s="68" t="str">
        <f t="shared" si="2"/>
        <v/>
      </c>
      <c r="E1530" s="65" t="str">
        <f>IF($B1530="","",VLOOKUP(MONTH(C1530),Parameters!$F$2:$G$13,2,0))</f>
        <v/>
      </c>
      <c r="F1530" s="69" t="str">
        <f>IF($B1530="","",PV-N(J1529))</f>
        <v/>
      </c>
      <c r="G1530" s="69" t="str">
        <f>IF($B1530="","",PMT(Rate,Nper,-PV,,Type))</f>
        <v/>
      </c>
      <c r="H1530" s="69" t="str">
        <f>IF($B1530="","",PPMT(Rate,ROWS($1:1518),Nper,-PV,,Type))</f>
        <v/>
      </c>
      <c r="I1530" s="69" t="str">
        <f>IF($B1530="","",IPMT(Rate,ROWS($1:1518),Nper,-PV,,Type))</f>
        <v/>
      </c>
      <c r="J1530" s="73" t="str">
        <f t="shared" ref="J1530:K1530" si="1520">IF($B1530="","",N(J1529)+N(H1530))</f>
        <v/>
      </c>
      <c r="K1530" s="74" t="str">
        <f t="shared" si="1520"/>
        <v/>
      </c>
      <c r="L1530" s="69" t="str">
        <f>IF($B1530="","",PV-J1530)</f>
        <v/>
      </c>
      <c r="M1530" s="71" t="str">
        <f>IF($B1530="","",J1530/PV)</f>
        <v/>
      </c>
      <c r="N1530" s="72" t="str">
        <f t="shared" si="4"/>
        <v/>
      </c>
    </row>
    <row r="1531" ht="14.25" customHeight="1">
      <c r="B1531" s="66" t="str">
        <f>IF(ROWS($1:1519)&lt;=Nper,ROWS($1:1519),"")</f>
        <v/>
      </c>
      <c r="C1531" s="67" t="str">
        <f>IF($B1531="","",IF($E$7="Weekly",Start_Date+7*(ROWS($1:1519)-1),EDATE(Start_Date,VLOOKUP(IF(ASTemp!$E$7="","Monthly",ASTemp!$E$7),Parameters!$B$3:$D$6,3,0)*(ROWS($1:1519)-1))))</f>
        <v/>
      </c>
      <c r="D1531" s="68" t="str">
        <f t="shared" si="2"/>
        <v/>
      </c>
      <c r="E1531" s="65" t="str">
        <f>IF($B1531="","",VLOOKUP(MONTH(C1531),Parameters!$F$2:$G$13,2,0))</f>
        <v/>
      </c>
      <c r="F1531" s="69" t="str">
        <f>IF($B1531="","",PV-N(J1530))</f>
        <v/>
      </c>
      <c r="G1531" s="69" t="str">
        <f>IF($B1531="","",PMT(Rate,Nper,-PV,,Type))</f>
        <v/>
      </c>
      <c r="H1531" s="69" t="str">
        <f>IF($B1531="","",PPMT(Rate,ROWS($1:1519),Nper,-PV,,Type))</f>
        <v/>
      </c>
      <c r="I1531" s="69" t="str">
        <f>IF($B1531="","",IPMT(Rate,ROWS($1:1519),Nper,-PV,,Type))</f>
        <v/>
      </c>
      <c r="J1531" s="73" t="str">
        <f t="shared" ref="J1531:K1531" si="1521">IF($B1531="","",N(J1530)+N(H1531))</f>
        <v/>
      </c>
      <c r="K1531" s="74" t="str">
        <f t="shared" si="1521"/>
        <v/>
      </c>
      <c r="L1531" s="69" t="str">
        <f>IF($B1531="","",PV-J1531)</f>
        <v/>
      </c>
      <c r="M1531" s="71" t="str">
        <f>IF($B1531="","",J1531/PV)</f>
        <v/>
      </c>
      <c r="N1531" s="72" t="str">
        <f t="shared" si="4"/>
        <v/>
      </c>
    </row>
    <row r="1532" ht="14.25" customHeight="1">
      <c r="B1532" s="66" t="str">
        <f>IF(ROWS($1:1520)&lt;=Nper,ROWS($1:1520),"")</f>
        <v/>
      </c>
      <c r="C1532" s="67" t="str">
        <f>IF($B1532="","",IF($E$7="Weekly",Start_Date+7*(ROWS($1:1520)-1),EDATE(Start_Date,VLOOKUP(IF(ASTemp!$E$7="","Monthly",ASTemp!$E$7),Parameters!$B$3:$D$6,3,0)*(ROWS($1:1520)-1))))</f>
        <v/>
      </c>
      <c r="D1532" s="68" t="str">
        <f t="shared" si="2"/>
        <v/>
      </c>
      <c r="E1532" s="65" t="str">
        <f>IF($B1532="","",VLOOKUP(MONTH(C1532),Parameters!$F$2:$G$13,2,0))</f>
        <v/>
      </c>
      <c r="F1532" s="69" t="str">
        <f>IF($B1532="","",PV-N(J1531))</f>
        <v/>
      </c>
      <c r="G1532" s="69" t="str">
        <f>IF($B1532="","",PMT(Rate,Nper,-PV,,Type))</f>
        <v/>
      </c>
      <c r="H1532" s="69" t="str">
        <f>IF($B1532="","",PPMT(Rate,ROWS($1:1520),Nper,-PV,,Type))</f>
        <v/>
      </c>
      <c r="I1532" s="69" t="str">
        <f>IF($B1532="","",IPMT(Rate,ROWS($1:1520),Nper,-PV,,Type))</f>
        <v/>
      </c>
      <c r="J1532" s="73" t="str">
        <f t="shared" ref="J1532:K1532" si="1522">IF($B1532="","",N(J1531)+N(H1532))</f>
        <v/>
      </c>
      <c r="K1532" s="74" t="str">
        <f t="shared" si="1522"/>
        <v/>
      </c>
      <c r="L1532" s="69" t="str">
        <f>IF($B1532="","",PV-J1532)</f>
        <v/>
      </c>
      <c r="M1532" s="71" t="str">
        <f>IF($B1532="","",J1532/PV)</f>
        <v/>
      </c>
      <c r="N1532" s="72" t="str">
        <f t="shared" si="4"/>
        <v/>
      </c>
    </row>
    <row r="1533" ht="14.25" customHeight="1">
      <c r="B1533" s="66" t="str">
        <f>IF(ROWS($1:1521)&lt;=Nper,ROWS($1:1521),"")</f>
        <v/>
      </c>
      <c r="C1533" s="67" t="str">
        <f>IF($B1533="","",IF($E$7="Weekly",Start_Date+7*(ROWS($1:1521)-1),EDATE(Start_Date,VLOOKUP(IF(ASTemp!$E$7="","Monthly",ASTemp!$E$7),Parameters!$B$3:$D$6,3,0)*(ROWS($1:1521)-1))))</f>
        <v/>
      </c>
      <c r="D1533" s="68" t="str">
        <f t="shared" si="2"/>
        <v/>
      </c>
      <c r="E1533" s="65" t="str">
        <f>IF($B1533="","",VLOOKUP(MONTH(C1533),Parameters!$F$2:$G$13,2,0))</f>
        <v/>
      </c>
      <c r="F1533" s="69" t="str">
        <f>IF($B1533="","",PV-N(J1532))</f>
        <v/>
      </c>
      <c r="G1533" s="69" t="str">
        <f>IF($B1533="","",PMT(Rate,Nper,-PV,,Type))</f>
        <v/>
      </c>
      <c r="H1533" s="69" t="str">
        <f>IF($B1533="","",PPMT(Rate,ROWS($1:1521),Nper,-PV,,Type))</f>
        <v/>
      </c>
      <c r="I1533" s="69" t="str">
        <f>IF($B1533="","",IPMT(Rate,ROWS($1:1521),Nper,-PV,,Type))</f>
        <v/>
      </c>
      <c r="J1533" s="73" t="str">
        <f t="shared" ref="J1533:K1533" si="1523">IF($B1533="","",N(J1532)+N(H1533))</f>
        <v/>
      </c>
      <c r="K1533" s="74" t="str">
        <f t="shared" si="1523"/>
        <v/>
      </c>
      <c r="L1533" s="69" t="str">
        <f>IF($B1533="","",PV-J1533)</f>
        <v/>
      </c>
      <c r="M1533" s="71" t="str">
        <f>IF($B1533="","",J1533/PV)</f>
        <v/>
      </c>
      <c r="N1533" s="72" t="str">
        <f t="shared" si="4"/>
        <v/>
      </c>
    </row>
    <row r="1534" ht="14.25" customHeight="1">
      <c r="B1534" s="66" t="str">
        <f>IF(ROWS($1:1522)&lt;=Nper,ROWS($1:1522),"")</f>
        <v/>
      </c>
      <c r="C1534" s="67" t="str">
        <f>IF($B1534="","",IF($E$7="Weekly",Start_Date+7*(ROWS($1:1522)-1),EDATE(Start_Date,VLOOKUP(IF(ASTemp!$E$7="","Monthly",ASTemp!$E$7),Parameters!$B$3:$D$6,3,0)*(ROWS($1:1522)-1))))</f>
        <v/>
      </c>
      <c r="D1534" s="68" t="str">
        <f t="shared" si="2"/>
        <v/>
      </c>
      <c r="E1534" s="65" t="str">
        <f>IF($B1534="","",VLOOKUP(MONTH(C1534),Parameters!$F$2:$G$13,2,0))</f>
        <v/>
      </c>
      <c r="F1534" s="69" t="str">
        <f>IF($B1534="","",PV-N(J1533))</f>
        <v/>
      </c>
      <c r="G1534" s="69" t="str">
        <f>IF($B1534="","",PMT(Rate,Nper,-PV,,Type))</f>
        <v/>
      </c>
      <c r="H1534" s="69" t="str">
        <f>IF($B1534="","",PPMT(Rate,ROWS($1:1522),Nper,-PV,,Type))</f>
        <v/>
      </c>
      <c r="I1534" s="69" t="str">
        <f>IF($B1534="","",IPMT(Rate,ROWS($1:1522),Nper,-PV,,Type))</f>
        <v/>
      </c>
      <c r="J1534" s="73" t="str">
        <f t="shared" ref="J1534:K1534" si="1524">IF($B1534="","",N(J1533)+N(H1534))</f>
        <v/>
      </c>
      <c r="K1534" s="74" t="str">
        <f t="shared" si="1524"/>
        <v/>
      </c>
      <c r="L1534" s="69" t="str">
        <f>IF($B1534="","",PV-J1534)</f>
        <v/>
      </c>
      <c r="M1534" s="71" t="str">
        <f>IF($B1534="","",J1534/PV)</f>
        <v/>
      </c>
      <c r="N1534" s="72" t="str">
        <f t="shared" si="4"/>
        <v/>
      </c>
    </row>
    <row r="1535" ht="14.25" customHeight="1">
      <c r="B1535" s="66" t="str">
        <f>IF(ROWS($1:1523)&lt;=Nper,ROWS($1:1523),"")</f>
        <v/>
      </c>
      <c r="C1535" s="67" t="str">
        <f>IF($B1535="","",IF($E$7="Weekly",Start_Date+7*(ROWS($1:1523)-1),EDATE(Start_Date,VLOOKUP(IF(ASTemp!$E$7="","Monthly",ASTemp!$E$7),Parameters!$B$3:$D$6,3,0)*(ROWS($1:1523)-1))))</f>
        <v/>
      </c>
      <c r="D1535" s="68" t="str">
        <f t="shared" si="2"/>
        <v/>
      </c>
      <c r="E1535" s="65" t="str">
        <f>IF($B1535="","",VLOOKUP(MONTH(C1535),Parameters!$F$2:$G$13,2,0))</f>
        <v/>
      </c>
      <c r="F1535" s="69" t="str">
        <f>IF($B1535="","",PV-N(J1534))</f>
        <v/>
      </c>
      <c r="G1535" s="69" t="str">
        <f>IF($B1535="","",PMT(Rate,Nper,-PV,,Type))</f>
        <v/>
      </c>
      <c r="H1535" s="69" t="str">
        <f>IF($B1535="","",PPMT(Rate,ROWS($1:1523),Nper,-PV,,Type))</f>
        <v/>
      </c>
      <c r="I1535" s="69" t="str">
        <f>IF($B1535="","",IPMT(Rate,ROWS($1:1523),Nper,-PV,,Type))</f>
        <v/>
      </c>
      <c r="J1535" s="73" t="str">
        <f t="shared" ref="J1535:K1535" si="1525">IF($B1535="","",N(J1534)+N(H1535))</f>
        <v/>
      </c>
      <c r="K1535" s="74" t="str">
        <f t="shared" si="1525"/>
        <v/>
      </c>
      <c r="L1535" s="69" t="str">
        <f>IF($B1535="","",PV-J1535)</f>
        <v/>
      </c>
      <c r="M1535" s="71" t="str">
        <f>IF($B1535="","",J1535/PV)</f>
        <v/>
      </c>
      <c r="N1535" s="72" t="str">
        <f t="shared" si="4"/>
        <v/>
      </c>
    </row>
    <row r="1536" ht="14.25" customHeight="1">
      <c r="B1536" s="66" t="str">
        <f>IF(ROWS($1:1524)&lt;=Nper,ROWS($1:1524),"")</f>
        <v/>
      </c>
      <c r="C1536" s="67" t="str">
        <f>IF($B1536="","",IF($E$7="Weekly",Start_Date+7*(ROWS($1:1524)-1),EDATE(Start_Date,VLOOKUP(IF(ASTemp!$E$7="","Monthly",ASTemp!$E$7),Parameters!$B$3:$D$6,3,0)*(ROWS($1:1524)-1))))</f>
        <v/>
      </c>
      <c r="D1536" s="68" t="str">
        <f t="shared" si="2"/>
        <v/>
      </c>
      <c r="E1536" s="65" t="str">
        <f>IF($B1536="","",VLOOKUP(MONTH(C1536),Parameters!$F$2:$G$13,2,0))</f>
        <v/>
      </c>
      <c r="F1536" s="69" t="str">
        <f>IF($B1536="","",PV-N(J1535))</f>
        <v/>
      </c>
      <c r="G1536" s="69" t="str">
        <f>IF($B1536="","",PMT(Rate,Nper,-PV,,Type))</f>
        <v/>
      </c>
      <c r="H1536" s="69" t="str">
        <f>IF($B1536="","",PPMT(Rate,ROWS($1:1524),Nper,-PV,,Type))</f>
        <v/>
      </c>
      <c r="I1536" s="69" t="str">
        <f>IF($B1536="","",IPMT(Rate,ROWS($1:1524),Nper,-PV,,Type))</f>
        <v/>
      </c>
      <c r="J1536" s="73" t="str">
        <f t="shared" ref="J1536:K1536" si="1526">IF($B1536="","",N(J1535)+N(H1536))</f>
        <v/>
      </c>
      <c r="K1536" s="74" t="str">
        <f t="shared" si="1526"/>
        <v/>
      </c>
      <c r="L1536" s="69" t="str">
        <f>IF($B1536="","",PV-J1536)</f>
        <v/>
      </c>
      <c r="M1536" s="71" t="str">
        <f>IF($B1536="","",J1536/PV)</f>
        <v/>
      </c>
      <c r="N1536" s="72" t="str">
        <f t="shared" si="4"/>
        <v/>
      </c>
    </row>
    <row r="1537" ht="14.25" customHeight="1">
      <c r="B1537" s="66" t="str">
        <f>IF(ROWS($1:1525)&lt;=Nper,ROWS($1:1525),"")</f>
        <v/>
      </c>
      <c r="C1537" s="67" t="str">
        <f>IF($B1537="","",IF($E$7="Weekly",Start_Date+7*(ROWS($1:1525)-1),EDATE(Start_Date,VLOOKUP(IF(ASTemp!$E$7="","Monthly",ASTemp!$E$7),Parameters!$B$3:$D$6,3,0)*(ROWS($1:1525)-1))))</f>
        <v/>
      </c>
      <c r="D1537" s="68" t="str">
        <f t="shared" si="2"/>
        <v/>
      </c>
      <c r="E1537" s="65" t="str">
        <f>IF($B1537="","",VLOOKUP(MONTH(C1537),Parameters!$F$2:$G$13,2,0))</f>
        <v/>
      </c>
      <c r="F1537" s="69" t="str">
        <f>IF($B1537="","",PV-N(J1536))</f>
        <v/>
      </c>
      <c r="G1537" s="69" t="str">
        <f>IF($B1537="","",PMT(Rate,Nper,-PV,,Type))</f>
        <v/>
      </c>
      <c r="H1537" s="69" t="str">
        <f>IF($B1537="","",PPMT(Rate,ROWS($1:1525),Nper,-PV,,Type))</f>
        <v/>
      </c>
      <c r="I1537" s="69" t="str">
        <f>IF($B1537="","",IPMT(Rate,ROWS($1:1525),Nper,-PV,,Type))</f>
        <v/>
      </c>
      <c r="J1537" s="73" t="str">
        <f t="shared" ref="J1537:K1537" si="1527">IF($B1537="","",N(J1536)+N(H1537))</f>
        <v/>
      </c>
      <c r="K1537" s="74" t="str">
        <f t="shared" si="1527"/>
        <v/>
      </c>
      <c r="L1537" s="69" t="str">
        <f>IF($B1537="","",PV-J1537)</f>
        <v/>
      </c>
      <c r="M1537" s="71" t="str">
        <f>IF($B1537="","",J1537/PV)</f>
        <v/>
      </c>
      <c r="N1537" s="72" t="str">
        <f t="shared" si="4"/>
        <v/>
      </c>
    </row>
    <row r="1538" ht="14.25" customHeight="1">
      <c r="B1538" s="66" t="str">
        <f>IF(ROWS($1:1526)&lt;=Nper,ROWS($1:1526),"")</f>
        <v/>
      </c>
      <c r="C1538" s="67" t="str">
        <f>IF($B1538="","",IF($E$7="Weekly",Start_Date+7*(ROWS($1:1526)-1),EDATE(Start_Date,VLOOKUP(IF(ASTemp!$E$7="","Monthly",ASTemp!$E$7),Parameters!$B$3:$D$6,3,0)*(ROWS($1:1526)-1))))</f>
        <v/>
      </c>
      <c r="D1538" s="68" t="str">
        <f t="shared" si="2"/>
        <v/>
      </c>
      <c r="E1538" s="65" t="str">
        <f>IF($B1538="","",VLOOKUP(MONTH(C1538),Parameters!$F$2:$G$13,2,0))</f>
        <v/>
      </c>
      <c r="F1538" s="69" t="str">
        <f>IF($B1538="","",PV-N(J1537))</f>
        <v/>
      </c>
      <c r="G1538" s="69" t="str">
        <f>IF($B1538="","",PMT(Rate,Nper,-PV,,Type))</f>
        <v/>
      </c>
      <c r="H1538" s="69" t="str">
        <f>IF($B1538="","",PPMT(Rate,ROWS($1:1526),Nper,-PV,,Type))</f>
        <v/>
      </c>
      <c r="I1538" s="69" t="str">
        <f>IF($B1538="","",IPMT(Rate,ROWS($1:1526),Nper,-PV,,Type))</f>
        <v/>
      </c>
      <c r="J1538" s="73" t="str">
        <f t="shared" ref="J1538:K1538" si="1528">IF($B1538="","",N(J1537)+N(H1538))</f>
        <v/>
      </c>
      <c r="K1538" s="74" t="str">
        <f t="shared" si="1528"/>
        <v/>
      </c>
      <c r="L1538" s="69" t="str">
        <f>IF($B1538="","",PV-J1538)</f>
        <v/>
      </c>
      <c r="M1538" s="71" t="str">
        <f>IF($B1538="","",J1538/PV)</f>
        <v/>
      </c>
      <c r="N1538" s="72" t="str">
        <f t="shared" si="4"/>
        <v/>
      </c>
    </row>
    <row r="1539" ht="14.25" customHeight="1">
      <c r="B1539" s="66" t="str">
        <f>IF(ROWS($1:1527)&lt;=Nper,ROWS($1:1527),"")</f>
        <v/>
      </c>
      <c r="C1539" s="67" t="str">
        <f>IF($B1539="","",IF($E$7="Weekly",Start_Date+7*(ROWS($1:1527)-1),EDATE(Start_Date,VLOOKUP(IF(ASTemp!$E$7="","Monthly",ASTemp!$E$7),Parameters!$B$3:$D$6,3,0)*(ROWS($1:1527)-1))))</f>
        <v/>
      </c>
      <c r="D1539" s="68" t="str">
        <f t="shared" si="2"/>
        <v/>
      </c>
      <c r="E1539" s="65" t="str">
        <f>IF($B1539="","",VLOOKUP(MONTH(C1539),Parameters!$F$2:$G$13,2,0))</f>
        <v/>
      </c>
      <c r="F1539" s="69" t="str">
        <f>IF($B1539="","",PV-N(J1538))</f>
        <v/>
      </c>
      <c r="G1539" s="69" t="str">
        <f>IF($B1539="","",PMT(Rate,Nper,-PV,,Type))</f>
        <v/>
      </c>
      <c r="H1539" s="69" t="str">
        <f>IF($B1539="","",PPMT(Rate,ROWS($1:1527),Nper,-PV,,Type))</f>
        <v/>
      </c>
      <c r="I1539" s="69" t="str">
        <f>IF($B1539="","",IPMT(Rate,ROWS($1:1527),Nper,-PV,,Type))</f>
        <v/>
      </c>
      <c r="J1539" s="73" t="str">
        <f t="shared" ref="J1539:K1539" si="1529">IF($B1539="","",N(J1538)+N(H1539))</f>
        <v/>
      </c>
      <c r="K1539" s="74" t="str">
        <f t="shared" si="1529"/>
        <v/>
      </c>
      <c r="L1539" s="69" t="str">
        <f>IF($B1539="","",PV-J1539)</f>
        <v/>
      </c>
      <c r="M1539" s="71" t="str">
        <f>IF($B1539="","",J1539/PV)</f>
        <v/>
      </c>
      <c r="N1539" s="72" t="str">
        <f t="shared" si="4"/>
        <v/>
      </c>
    </row>
    <row r="1540" ht="14.25" customHeight="1">
      <c r="B1540" s="66" t="str">
        <f>IF(ROWS($1:1528)&lt;=Nper,ROWS($1:1528),"")</f>
        <v/>
      </c>
      <c r="C1540" s="67" t="str">
        <f>IF($B1540="","",IF($E$7="Weekly",Start_Date+7*(ROWS($1:1528)-1),EDATE(Start_Date,VLOOKUP(IF(ASTemp!$E$7="","Monthly",ASTemp!$E$7),Parameters!$B$3:$D$6,3,0)*(ROWS($1:1528)-1))))</f>
        <v/>
      </c>
      <c r="D1540" s="68" t="str">
        <f t="shared" si="2"/>
        <v/>
      </c>
      <c r="E1540" s="65" t="str">
        <f>IF($B1540="","",VLOOKUP(MONTH(C1540),Parameters!$F$2:$G$13,2,0))</f>
        <v/>
      </c>
      <c r="F1540" s="69" t="str">
        <f>IF($B1540="","",PV-N(J1539))</f>
        <v/>
      </c>
      <c r="G1540" s="69" t="str">
        <f>IF($B1540="","",PMT(Rate,Nper,-PV,,Type))</f>
        <v/>
      </c>
      <c r="H1540" s="69" t="str">
        <f>IF($B1540="","",PPMT(Rate,ROWS($1:1528),Nper,-PV,,Type))</f>
        <v/>
      </c>
      <c r="I1540" s="69" t="str">
        <f>IF($B1540="","",IPMT(Rate,ROWS($1:1528),Nper,-PV,,Type))</f>
        <v/>
      </c>
      <c r="J1540" s="73" t="str">
        <f t="shared" ref="J1540:K1540" si="1530">IF($B1540="","",N(J1539)+N(H1540))</f>
        <v/>
      </c>
      <c r="K1540" s="74" t="str">
        <f t="shared" si="1530"/>
        <v/>
      </c>
      <c r="L1540" s="69" t="str">
        <f>IF($B1540="","",PV-J1540)</f>
        <v/>
      </c>
      <c r="M1540" s="71" t="str">
        <f>IF($B1540="","",J1540/PV)</f>
        <v/>
      </c>
      <c r="N1540" s="72" t="str">
        <f t="shared" si="4"/>
        <v/>
      </c>
    </row>
    <row r="1541" ht="14.25" customHeight="1">
      <c r="B1541" s="66" t="str">
        <f>IF(ROWS($1:1529)&lt;=Nper,ROWS($1:1529),"")</f>
        <v/>
      </c>
      <c r="C1541" s="67" t="str">
        <f>IF($B1541="","",IF($E$7="Weekly",Start_Date+7*(ROWS($1:1529)-1),EDATE(Start_Date,VLOOKUP(IF(ASTemp!$E$7="","Monthly",ASTemp!$E$7),Parameters!$B$3:$D$6,3,0)*(ROWS($1:1529)-1))))</f>
        <v/>
      </c>
      <c r="D1541" s="68" t="str">
        <f t="shared" si="2"/>
        <v/>
      </c>
      <c r="E1541" s="65" t="str">
        <f>IF($B1541="","",VLOOKUP(MONTH(C1541),Parameters!$F$2:$G$13,2,0))</f>
        <v/>
      </c>
      <c r="F1541" s="69" t="str">
        <f>IF($B1541="","",PV-N(J1540))</f>
        <v/>
      </c>
      <c r="G1541" s="69" t="str">
        <f>IF($B1541="","",PMT(Rate,Nper,-PV,,Type))</f>
        <v/>
      </c>
      <c r="H1541" s="69" t="str">
        <f>IF($B1541="","",PPMT(Rate,ROWS($1:1529),Nper,-PV,,Type))</f>
        <v/>
      </c>
      <c r="I1541" s="69" t="str">
        <f>IF($B1541="","",IPMT(Rate,ROWS($1:1529),Nper,-PV,,Type))</f>
        <v/>
      </c>
      <c r="J1541" s="73" t="str">
        <f t="shared" ref="J1541:K1541" si="1531">IF($B1541="","",N(J1540)+N(H1541))</f>
        <v/>
      </c>
      <c r="K1541" s="74" t="str">
        <f t="shared" si="1531"/>
        <v/>
      </c>
      <c r="L1541" s="69" t="str">
        <f>IF($B1541="","",PV-J1541)</f>
        <v/>
      </c>
      <c r="M1541" s="71" t="str">
        <f>IF($B1541="","",J1541/PV)</f>
        <v/>
      </c>
      <c r="N1541" s="72" t="str">
        <f t="shared" si="4"/>
        <v/>
      </c>
    </row>
    <row r="1542" ht="14.25" customHeight="1">
      <c r="B1542" s="66" t="str">
        <f>IF(ROWS($1:1530)&lt;=Nper,ROWS($1:1530),"")</f>
        <v/>
      </c>
      <c r="C1542" s="67" t="str">
        <f>IF($B1542="","",IF($E$7="Weekly",Start_Date+7*(ROWS($1:1530)-1),EDATE(Start_Date,VLOOKUP(IF(ASTemp!$E$7="","Monthly",ASTemp!$E$7),Parameters!$B$3:$D$6,3,0)*(ROWS($1:1530)-1))))</f>
        <v/>
      </c>
      <c r="D1542" s="68" t="str">
        <f t="shared" si="2"/>
        <v/>
      </c>
      <c r="E1542" s="65" t="str">
        <f>IF($B1542="","",VLOOKUP(MONTH(C1542),Parameters!$F$2:$G$13,2,0))</f>
        <v/>
      </c>
      <c r="F1542" s="69" t="str">
        <f>IF($B1542="","",PV-N(J1541))</f>
        <v/>
      </c>
      <c r="G1542" s="69" t="str">
        <f>IF($B1542="","",PMT(Rate,Nper,-PV,,Type))</f>
        <v/>
      </c>
      <c r="H1542" s="69" t="str">
        <f>IF($B1542="","",PPMT(Rate,ROWS($1:1530),Nper,-PV,,Type))</f>
        <v/>
      </c>
      <c r="I1542" s="69" t="str">
        <f>IF($B1542="","",IPMT(Rate,ROWS($1:1530),Nper,-PV,,Type))</f>
        <v/>
      </c>
      <c r="J1542" s="73" t="str">
        <f t="shared" ref="J1542:K1542" si="1532">IF($B1542="","",N(J1541)+N(H1542))</f>
        <v/>
      </c>
      <c r="K1542" s="74" t="str">
        <f t="shared" si="1532"/>
        <v/>
      </c>
      <c r="L1542" s="69" t="str">
        <f>IF($B1542="","",PV-J1542)</f>
        <v/>
      </c>
      <c r="M1542" s="71" t="str">
        <f>IF($B1542="","",J1542/PV)</f>
        <v/>
      </c>
      <c r="N1542" s="72" t="str">
        <f t="shared" si="4"/>
        <v/>
      </c>
    </row>
    <row r="1543" ht="14.25" customHeight="1">
      <c r="B1543" s="66" t="str">
        <f>IF(ROWS($1:1531)&lt;=Nper,ROWS($1:1531),"")</f>
        <v/>
      </c>
      <c r="C1543" s="67" t="str">
        <f>IF($B1543="","",IF($E$7="Weekly",Start_Date+7*(ROWS($1:1531)-1),EDATE(Start_Date,VLOOKUP(IF(ASTemp!$E$7="","Monthly",ASTemp!$E$7),Parameters!$B$3:$D$6,3,0)*(ROWS($1:1531)-1))))</f>
        <v/>
      </c>
      <c r="D1543" s="68" t="str">
        <f t="shared" si="2"/>
        <v/>
      </c>
      <c r="E1543" s="65" t="str">
        <f>IF($B1543="","",VLOOKUP(MONTH(C1543),Parameters!$F$2:$G$13,2,0))</f>
        <v/>
      </c>
      <c r="F1543" s="69" t="str">
        <f>IF($B1543="","",PV-N(J1542))</f>
        <v/>
      </c>
      <c r="G1543" s="69" t="str">
        <f>IF($B1543="","",PMT(Rate,Nper,-PV,,Type))</f>
        <v/>
      </c>
      <c r="H1543" s="69" t="str">
        <f>IF($B1543="","",PPMT(Rate,ROWS($1:1531),Nper,-PV,,Type))</f>
        <v/>
      </c>
      <c r="I1543" s="69" t="str">
        <f>IF($B1543="","",IPMT(Rate,ROWS($1:1531),Nper,-PV,,Type))</f>
        <v/>
      </c>
      <c r="J1543" s="73" t="str">
        <f t="shared" ref="J1543:K1543" si="1533">IF($B1543="","",N(J1542)+N(H1543))</f>
        <v/>
      </c>
      <c r="K1543" s="74" t="str">
        <f t="shared" si="1533"/>
        <v/>
      </c>
      <c r="L1543" s="69" t="str">
        <f>IF($B1543="","",PV-J1543)</f>
        <v/>
      </c>
      <c r="M1543" s="71" t="str">
        <f>IF($B1543="","",J1543/PV)</f>
        <v/>
      </c>
      <c r="N1543" s="72" t="str">
        <f t="shared" si="4"/>
        <v/>
      </c>
    </row>
    <row r="1544" ht="14.25" customHeight="1">
      <c r="B1544" s="66" t="str">
        <f>IF(ROWS($1:1532)&lt;=Nper,ROWS($1:1532),"")</f>
        <v/>
      </c>
      <c r="C1544" s="67" t="str">
        <f>IF($B1544="","",IF($E$7="Weekly",Start_Date+7*(ROWS($1:1532)-1),EDATE(Start_Date,VLOOKUP(IF(ASTemp!$E$7="","Monthly",ASTemp!$E$7),Parameters!$B$3:$D$6,3,0)*(ROWS($1:1532)-1))))</f>
        <v/>
      </c>
      <c r="D1544" s="68" t="str">
        <f t="shared" si="2"/>
        <v/>
      </c>
      <c r="E1544" s="65" t="str">
        <f>IF($B1544="","",VLOOKUP(MONTH(C1544),Parameters!$F$2:$G$13,2,0))</f>
        <v/>
      </c>
      <c r="F1544" s="69" t="str">
        <f>IF($B1544="","",PV-N(J1543))</f>
        <v/>
      </c>
      <c r="G1544" s="69" t="str">
        <f>IF($B1544="","",PMT(Rate,Nper,-PV,,Type))</f>
        <v/>
      </c>
      <c r="H1544" s="69" t="str">
        <f>IF($B1544="","",PPMT(Rate,ROWS($1:1532),Nper,-PV,,Type))</f>
        <v/>
      </c>
      <c r="I1544" s="69" t="str">
        <f>IF($B1544="","",IPMT(Rate,ROWS($1:1532),Nper,-PV,,Type))</f>
        <v/>
      </c>
      <c r="J1544" s="73" t="str">
        <f t="shared" ref="J1544:K1544" si="1534">IF($B1544="","",N(J1543)+N(H1544))</f>
        <v/>
      </c>
      <c r="K1544" s="74" t="str">
        <f t="shared" si="1534"/>
        <v/>
      </c>
      <c r="L1544" s="69" t="str">
        <f>IF($B1544="","",PV-J1544)</f>
        <v/>
      </c>
      <c r="M1544" s="71" t="str">
        <f>IF($B1544="","",J1544/PV)</f>
        <v/>
      </c>
      <c r="N1544" s="72" t="str">
        <f t="shared" si="4"/>
        <v/>
      </c>
    </row>
    <row r="1545" ht="14.25" customHeight="1">
      <c r="B1545" s="66" t="str">
        <f>IF(ROWS($1:1533)&lt;=Nper,ROWS($1:1533),"")</f>
        <v/>
      </c>
      <c r="C1545" s="67" t="str">
        <f>IF($B1545="","",IF($E$7="Weekly",Start_Date+7*(ROWS($1:1533)-1),EDATE(Start_Date,VLOOKUP(IF(ASTemp!$E$7="","Monthly",ASTemp!$E$7),Parameters!$B$3:$D$6,3,0)*(ROWS($1:1533)-1))))</f>
        <v/>
      </c>
      <c r="D1545" s="68" t="str">
        <f t="shared" si="2"/>
        <v/>
      </c>
      <c r="E1545" s="65" t="str">
        <f>IF($B1545="","",VLOOKUP(MONTH(C1545),Parameters!$F$2:$G$13,2,0))</f>
        <v/>
      </c>
      <c r="F1545" s="69" t="str">
        <f>IF($B1545="","",PV-N(J1544))</f>
        <v/>
      </c>
      <c r="G1545" s="69" t="str">
        <f>IF($B1545="","",PMT(Rate,Nper,-PV,,Type))</f>
        <v/>
      </c>
      <c r="H1545" s="69" t="str">
        <f>IF($B1545="","",PPMT(Rate,ROWS($1:1533),Nper,-PV,,Type))</f>
        <v/>
      </c>
      <c r="I1545" s="69" t="str">
        <f>IF($B1545="","",IPMT(Rate,ROWS($1:1533),Nper,-PV,,Type))</f>
        <v/>
      </c>
      <c r="J1545" s="73" t="str">
        <f t="shared" ref="J1545:K1545" si="1535">IF($B1545="","",N(J1544)+N(H1545))</f>
        <v/>
      </c>
      <c r="K1545" s="74" t="str">
        <f t="shared" si="1535"/>
        <v/>
      </c>
      <c r="L1545" s="69" t="str">
        <f>IF($B1545="","",PV-J1545)</f>
        <v/>
      </c>
      <c r="M1545" s="71" t="str">
        <f>IF($B1545="","",J1545/PV)</f>
        <v/>
      </c>
      <c r="N1545" s="72" t="str">
        <f t="shared" si="4"/>
        <v/>
      </c>
    </row>
    <row r="1546" ht="14.25" customHeight="1">
      <c r="B1546" s="66" t="str">
        <f>IF(ROWS($1:1534)&lt;=Nper,ROWS($1:1534),"")</f>
        <v/>
      </c>
      <c r="C1546" s="67" t="str">
        <f>IF($B1546="","",IF($E$7="Weekly",Start_Date+7*(ROWS($1:1534)-1),EDATE(Start_Date,VLOOKUP(IF(ASTemp!$E$7="","Monthly",ASTemp!$E$7),Parameters!$B$3:$D$6,3,0)*(ROWS($1:1534)-1))))</f>
        <v/>
      </c>
      <c r="D1546" s="68" t="str">
        <f t="shared" si="2"/>
        <v/>
      </c>
      <c r="E1546" s="65" t="str">
        <f>IF($B1546="","",VLOOKUP(MONTH(C1546),Parameters!$F$2:$G$13,2,0))</f>
        <v/>
      </c>
      <c r="F1546" s="69" t="str">
        <f>IF($B1546="","",PV-N(J1545))</f>
        <v/>
      </c>
      <c r="G1546" s="69" t="str">
        <f>IF($B1546="","",PMT(Rate,Nper,-PV,,Type))</f>
        <v/>
      </c>
      <c r="H1546" s="69" t="str">
        <f>IF($B1546="","",PPMT(Rate,ROWS($1:1534),Nper,-PV,,Type))</f>
        <v/>
      </c>
      <c r="I1546" s="69" t="str">
        <f>IF($B1546="","",IPMT(Rate,ROWS($1:1534),Nper,-PV,,Type))</f>
        <v/>
      </c>
      <c r="J1546" s="73" t="str">
        <f t="shared" ref="J1546:K1546" si="1536">IF($B1546="","",N(J1545)+N(H1546))</f>
        <v/>
      </c>
      <c r="K1546" s="74" t="str">
        <f t="shared" si="1536"/>
        <v/>
      </c>
      <c r="L1546" s="69" t="str">
        <f>IF($B1546="","",PV-J1546)</f>
        <v/>
      </c>
      <c r="M1546" s="71" t="str">
        <f>IF($B1546="","",J1546/PV)</f>
        <v/>
      </c>
      <c r="N1546" s="72" t="str">
        <f t="shared" si="4"/>
        <v/>
      </c>
    </row>
    <row r="1547" ht="14.25" customHeight="1">
      <c r="B1547" s="66" t="str">
        <f>IF(ROWS($1:1535)&lt;=Nper,ROWS($1:1535),"")</f>
        <v/>
      </c>
      <c r="C1547" s="67" t="str">
        <f>IF($B1547="","",IF($E$7="Weekly",Start_Date+7*(ROWS($1:1535)-1),EDATE(Start_Date,VLOOKUP(IF(ASTemp!$E$7="","Monthly",ASTemp!$E$7),Parameters!$B$3:$D$6,3,0)*(ROWS($1:1535)-1))))</f>
        <v/>
      </c>
      <c r="D1547" s="68" t="str">
        <f t="shared" si="2"/>
        <v/>
      </c>
      <c r="E1547" s="65" t="str">
        <f>IF($B1547="","",VLOOKUP(MONTH(C1547),Parameters!$F$2:$G$13,2,0))</f>
        <v/>
      </c>
      <c r="F1547" s="69" t="str">
        <f>IF($B1547="","",PV-N(J1546))</f>
        <v/>
      </c>
      <c r="G1547" s="69" t="str">
        <f>IF($B1547="","",PMT(Rate,Nper,-PV,,Type))</f>
        <v/>
      </c>
      <c r="H1547" s="69" t="str">
        <f>IF($B1547="","",PPMT(Rate,ROWS($1:1535),Nper,-PV,,Type))</f>
        <v/>
      </c>
      <c r="I1547" s="69" t="str">
        <f>IF($B1547="","",IPMT(Rate,ROWS($1:1535),Nper,-PV,,Type))</f>
        <v/>
      </c>
      <c r="J1547" s="73" t="str">
        <f t="shared" ref="J1547:K1547" si="1537">IF($B1547="","",N(J1546)+N(H1547))</f>
        <v/>
      </c>
      <c r="K1547" s="74" t="str">
        <f t="shared" si="1537"/>
        <v/>
      </c>
      <c r="L1547" s="69" t="str">
        <f>IF($B1547="","",PV-J1547)</f>
        <v/>
      </c>
      <c r="M1547" s="71" t="str">
        <f>IF($B1547="","",J1547/PV)</f>
        <v/>
      </c>
      <c r="N1547" s="72" t="str">
        <f t="shared" si="4"/>
        <v/>
      </c>
    </row>
    <row r="1548" ht="14.25" customHeight="1">
      <c r="B1548" s="66" t="str">
        <f>IF(ROWS($1:1536)&lt;=Nper,ROWS($1:1536),"")</f>
        <v/>
      </c>
      <c r="C1548" s="67" t="str">
        <f>IF($B1548="","",IF($E$7="Weekly",Start_Date+7*(ROWS($1:1536)-1),EDATE(Start_Date,VLOOKUP(IF(ASTemp!$E$7="","Monthly",ASTemp!$E$7),Parameters!$B$3:$D$6,3,0)*(ROWS($1:1536)-1))))</f>
        <v/>
      </c>
      <c r="D1548" s="68" t="str">
        <f t="shared" si="2"/>
        <v/>
      </c>
      <c r="E1548" s="65" t="str">
        <f>IF($B1548="","",VLOOKUP(MONTH(C1548),Parameters!$F$2:$G$13,2,0))</f>
        <v/>
      </c>
      <c r="F1548" s="69" t="str">
        <f>IF($B1548="","",PV-N(J1547))</f>
        <v/>
      </c>
      <c r="G1548" s="69" t="str">
        <f>IF($B1548="","",PMT(Rate,Nper,-PV,,Type))</f>
        <v/>
      </c>
      <c r="H1548" s="69" t="str">
        <f>IF($B1548="","",PPMT(Rate,ROWS($1:1536),Nper,-PV,,Type))</f>
        <v/>
      </c>
      <c r="I1548" s="69" t="str">
        <f>IF($B1548="","",IPMT(Rate,ROWS($1:1536),Nper,-PV,,Type))</f>
        <v/>
      </c>
      <c r="J1548" s="73" t="str">
        <f t="shared" ref="J1548:K1548" si="1538">IF($B1548="","",N(J1547)+N(H1548))</f>
        <v/>
      </c>
      <c r="K1548" s="74" t="str">
        <f t="shared" si="1538"/>
        <v/>
      </c>
      <c r="L1548" s="69" t="str">
        <f>IF($B1548="","",PV-J1548)</f>
        <v/>
      </c>
      <c r="M1548" s="71" t="str">
        <f>IF($B1548="","",J1548/PV)</f>
        <v/>
      </c>
      <c r="N1548" s="72" t="str">
        <f t="shared" si="4"/>
        <v/>
      </c>
    </row>
    <row r="1549" ht="14.25" customHeight="1">
      <c r="B1549" s="66" t="str">
        <f>IF(ROWS($1:1537)&lt;=Nper,ROWS($1:1537),"")</f>
        <v/>
      </c>
      <c r="C1549" s="67" t="str">
        <f>IF($B1549="","",IF($E$7="Weekly",Start_Date+7*(ROWS($1:1537)-1),EDATE(Start_Date,VLOOKUP(IF(ASTemp!$E$7="","Monthly",ASTemp!$E$7),Parameters!$B$3:$D$6,3,0)*(ROWS($1:1537)-1))))</f>
        <v/>
      </c>
      <c r="D1549" s="68" t="str">
        <f t="shared" si="2"/>
        <v/>
      </c>
      <c r="E1549" s="65" t="str">
        <f>IF($B1549="","",VLOOKUP(MONTH(C1549),Parameters!$F$2:$G$13,2,0))</f>
        <v/>
      </c>
      <c r="F1549" s="69" t="str">
        <f>IF($B1549="","",PV-N(J1548))</f>
        <v/>
      </c>
      <c r="G1549" s="69" t="str">
        <f>IF($B1549="","",PMT(Rate,Nper,-PV,,Type))</f>
        <v/>
      </c>
      <c r="H1549" s="69" t="str">
        <f>IF($B1549="","",PPMT(Rate,ROWS($1:1537),Nper,-PV,,Type))</f>
        <v/>
      </c>
      <c r="I1549" s="69" t="str">
        <f>IF($B1549="","",IPMT(Rate,ROWS($1:1537),Nper,-PV,,Type))</f>
        <v/>
      </c>
      <c r="J1549" s="73" t="str">
        <f t="shared" ref="J1549:K1549" si="1539">IF($B1549="","",N(J1548)+N(H1549))</f>
        <v/>
      </c>
      <c r="K1549" s="74" t="str">
        <f t="shared" si="1539"/>
        <v/>
      </c>
      <c r="L1549" s="69" t="str">
        <f>IF($B1549="","",PV-J1549)</f>
        <v/>
      </c>
      <c r="M1549" s="71" t="str">
        <f>IF($B1549="","",J1549/PV)</f>
        <v/>
      </c>
      <c r="N1549" s="72" t="str">
        <f t="shared" si="4"/>
        <v/>
      </c>
    </row>
    <row r="1550" ht="14.25" customHeight="1">
      <c r="B1550" s="66" t="str">
        <f>IF(ROWS($1:1538)&lt;=Nper,ROWS($1:1538),"")</f>
        <v/>
      </c>
      <c r="C1550" s="67" t="str">
        <f>IF($B1550="","",IF($E$7="Weekly",Start_Date+7*(ROWS($1:1538)-1),EDATE(Start_Date,VLOOKUP(IF(ASTemp!$E$7="","Monthly",ASTemp!$E$7),Parameters!$B$3:$D$6,3,0)*(ROWS($1:1538)-1))))</f>
        <v/>
      </c>
      <c r="D1550" s="68" t="str">
        <f t="shared" si="2"/>
        <v/>
      </c>
      <c r="E1550" s="65" t="str">
        <f>IF($B1550="","",VLOOKUP(MONTH(C1550),Parameters!$F$2:$G$13,2,0))</f>
        <v/>
      </c>
      <c r="F1550" s="69" t="str">
        <f>IF($B1550="","",PV-N(J1549))</f>
        <v/>
      </c>
      <c r="G1550" s="69" t="str">
        <f>IF($B1550="","",PMT(Rate,Nper,-PV,,Type))</f>
        <v/>
      </c>
      <c r="H1550" s="69" t="str">
        <f>IF($B1550="","",PPMT(Rate,ROWS($1:1538),Nper,-PV,,Type))</f>
        <v/>
      </c>
      <c r="I1550" s="69" t="str">
        <f>IF($B1550="","",IPMT(Rate,ROWS($1:1538),Nper,-PV,,Type))</f>
        <v/>
      </c>
      <c r="J1550" s="73" t="str">
        <f t="shared" ref="J1550:K1550" si="1540">IF($B1550="","",N(J1549)+N(H1550))</f>
        <v/>
      </c>
      <c r="K1550" s="74" t="str">
        <f t="shared" si="1540"/>
        <v/>
      </c>
      <c r="L1550" s="69" t="str">
        <f>IF($B1550="","",PV-J1550)</f>
        <v/>
      </c>
      <c r="M1550" s="71" t="str">
        <f>IF($B1550="","",J1550/PV)</f>
        <v/>
      </c>
      <c r="N1550" s="72" t="str">
        <f t="shared" si="4"/>
        <v/>
      </c>
    </row>
    <row r="1551" ht="14.25" customHeight="1">
      <c r="B1551" s="66" t="str">
        <f>IF(ROWS($1:1539)&lt;=Nper,ROWS($1:1539),"")</f>
        <v/>
      </c>
      <c r="C1551" s="67" t="str">
        <f>IF($B1551="","",IF($E$7="Weekly",Start_Date+7*(ROWS($1:1539)-1),EDATE(Start_Date,VLOOKUP(IF(ASTemp!$E$7="","Monthly",ASTemp!$E$7),Parameters!$B$3:$D$6,3,0)*(ROWS($1:1539)-1))))</f>
        <v/>
      </c>
      <c r="D1551" s="68" t="str">
        <f t="shared" si="2"/>
        <v/>
      </c>
      <c r="E1551" s="65" t="str">
        <f>IF($B1551="","",VLOOKUP(MONTH(C1551),Parameters!$F$2:$G$13,2,0))</f>
        <v/>
      </c>
      <c r="F1551" s="69" t="str">
        <f>IF($B1551="","",PV-N(J1550))</f>
        <v/>
      </c>
      <c r="G1551" s="69" t="str">
        <f>IF($B1551="","",PMT(Rate,Nper,-PV,,Type))</f>
        <v/>
      </c>
      <c r="H1551" s="69" t="str">
        <f>IF($B1551="","",PPMT(Rate,ROWS($1:1539),Nper,-PV,,Type))</f>
        <v/>
      </c>
      <c r="I1551" s="69" t="str">
        <f>IF($B1551="","",IPMT(Rate,ROWS($1:1539),Nper,-PV,,Type))</f>
        <v/>
      </c>
      <c r="J1551" s="73" t="str">
        <f t="shared" ref="J1551:K1551" si="1541">IF($B1551="","",N(J1550)+N(H1551))</f>
        <v/>
      </c>
      <c r="K1551" s="74" t="str">
        <f t="shared" si="1541"/>
        <v/>
      </c>
      <c r="L1551" s="69" t="str">
        <f>IF($B1551="","",PV-J1551)</f>
        <v/>
      </c>
      <c r="M1551" s="71" t="str">
        <f>IF($B1551="","",J1551/PV)</f>
        <v/>
      </c>
      <c r="N1551" s="72" t="str">
        <f t="shared" si="4"/>
        <v/>
      </c>
    </row>
    <row r="1552" ht="14.25" customHeight="1">
      <c r="B1552" s="66" t="str">
        <f>IF(ROWS($1:1540)&lt;=Nper,ROWS($1:1540),"")</f>
        <v/>
      </c>
      <c r="C1552" s="67" t="str">
        <f>IF($B1552="","",IF($E$7="Weekly",Start_Date+7*(ROWS($1:1540)-1),EDATE(Start_Date,VLOOKUP(IF(ASTemp!$E$7="","Monthly",ASTemp!$E$7),Parameters!$B$3:$D$6,3,0)*(ROWS($1:1540)-1))))</f>
        <v/>
      </c>
      <c r="D1552" s="68" t="str">
        <f t="shared" si="2"/>
        <v/>
      </c>
      <c r="E1552" s="65" t="str">
        <f>IF($B1552="","",VLOOKUP(MONTH(C1552),Parameters!$F$2:$G$13,2,0))</f>
        <v/>
      </c>
      <c r="F1552" s="69" t="str">
        <f>IF($B1552="","",PV-N(J1551))</f>
        <v/>
      </c>
      <c r="G1552" s="69" t="str">
        <f>IF($B1552="","",PMT(Rate,Nper,-PV,,Type))</f>
        <v/>
      </c>
      <c r="H1552" s="69" t="str">
        <f>IF($B1552="","",PPMT(Rate,ROWS($1:1540),Nper,-PV,,Type))</f>
        <v/>
      </c>
      <c r="I1552" s="69" t="str">
        <f>IF($B1552="","",IPMT(Rate,ROWS($1:1540),Nper,-PV,,Type))</f>
        <v/>
      </c>
      <c r="J1552" s="73" t="str">
        <f t="shared" ref="J1552:K1552" si="1542">IF($B1552="","",N(J1551)+N(H1552))</f>
        <v/>
      </c>
      <c r="K1552" s="74" t="str">
        <f t="shared" si="1542"/>
        <v/>
      </c>
      <c r="L1552" s="69" t="str">
        <f>IF($B1552="","",PV-J1552)</f>
        <v/>
      </c>
      <c r="M1552" s="71" t="str">
        <f>IF($B1552="","",J1552/PV)</f>
        <v/>
      </c>
      <c r="N1552" s="72" t="str">
        <f t="shared" si="4"/>
        <v/>
      </c>
    </row>
    <row r="1553" ht="14.25" customHeight="1">
      <c r="B1553" s="66" t="str">
        <f>IF(ROWS($1:1541)&lt;=Nper,ROWS($1:1541),"")</f>
        <v/>
      </c>
      <c r="C1553" s="67" t="str">
        <f>IF($B1553="","",IF($E$7="Weekly",Start_Date+7*(ROWS($1:1541)-1),EDATE(Start_Date,VLOOKUP(IF(ASTemp!$E$7="","Monthly",ASTemp!$E$7),Parameters!$B$3:$D$6,3,0)*(ROWS($1:1541)-1))))</f>
        <v/>
      </c>
      <c r="D1553" s="68" t="str">
        <f t="shared" si="2"/>
        <v/>
      </c>
      <c r="E1553" s="65" t="str">
        <f>IF($B1553="","",VLOOKUP(MONTH(C1553),Parameters!$F$2:$G$13,2,0))</f>
        <v/>
      </c>
      <c r="F1553" s="69" t="str">
        <f>IF($B1553="","",PV-N(J1552))</f>
        <v/>
      </c>
      <c r="G1553" s="69" t="str">
        <f>IF($B1553="","",PMT(Rate,Nper,-PV,,Type))</f>
        <v/>
      </c>
      <c r="H1553" s="69" t="str">
        <f>IF($B1553="","",PPMT(Rate,ROWS($1:1541),Nper,-PV,,Type))</f>
        <v/>
      </c>
      <c r="I1553" s="69" t="str">
        <f>IF($B1553="","",IPMT(Rate,ROWS($1:1541),Nper,-PV,,Type))</f>
        <v/>
      </c>
      <c r="J1553" s="73" t="str">
        <f t="shared" ref="J1553:K1553" si="1543">IF($B1553="","",N(J1552)+N(H1553))</f>
        <v/>
      </c>
      <c r="K1553" s="74" t="str">
        <f t="shared" si="1543"/>
        <v/>
      </c>
      <c r="L1553" s="69" t="str">
        <f>IF($B1553="","",PV-J1553)</f>
        <v/>
      </c>
      <c r="M1553" s="71" t="str">
        <f>IF($B1553="","",J1553/PV)</f>
        <v/>
      </c>
      <c r="N1553" s="72" t="str">
        <f t="shared" si="4"/>
        <v/>
      </c>
    </row>
    <row r="1554" ht="14.25" customHeight="1">
      <c r="B1554" s="66" t="str">
        <f>IF(ROWS($1:1542)&lt;=Nper,ROWS($1:1542),"")</f>
        <v/>
      </c>
      <c r="C1554" s="67" t="str">
        <f>IF($B1554="","",IF($E$7="Weekly",Start_Date+7*(ROWS($1:1542)-1),EDATE(Start_Date,VLOOKUP(IF(ASTemp!$E$7="","Monthly",ASTemp!$E$7),Parameters!$B$3:$D$6,3,0)*(ROWS($1:1542)-1))))</f>
        <v/>
      </c>
      <c r="D1554" s="68" t="str">
        <f t="shared" si="2"/>
        <v/>
      </c>
      <c r="E1554" s="65" t="str">
        <f>IF($B1554="","",VLOOKUP(MONTH(C1554),Parameters!$F$2:$G$13,2,0))</f>
        <v/>
      </c>
      <c r="F1554" s="69" t="str">
        <f>IF($B1554="","",PV-N(J1553))</f>
        <v/>
      </c>
      <c r="G1554" s="69" t="str">
        <f>IF($B1554="","",PMT(Rate,Nper,-PV,,Type))</f>
        <v/>
      </c>
      <c r="H1554" s="69" t="str">
        <f>IF($B1554="","",PPMT(Rate,ROWS($1:1542),Nper,-PV,,Type))</f>
        <v/>
      </c>
      <c r="I1554" s="69" t="str">
        <f>IF($B1554="","",IPMT(Rate,ROWS($1:1542),Nper,-PV,,Type))</f>
        <v/>
      </c>
      <c r="J1554" s="73" t="str">
        <f t="shared" ref="J1554:K1554" si="1544">IF($B1554="","",N(J1553)+N(H1554))</f>
        <v/>
      </c>
      <c r="K1554" s="74" t="str">
        <f t="shared" si="1544"/>
        <v/>
      </c>
      <c r="L1554" s="69" t="str">
        <f>IF($B1554="","",PV-J1554)</f>
        <v/>
      </c>
      <c r="M1554" s="71" t="str">
        <f>IF($B1554="","",J1554/PV)</f>
        <v/>
      </c>
      <c r="N1554" s="72" t="str">
        <f t="shared" si="4"/>
        <v/>
      </c>
    </row>
    <row r="1555" ht="14.25" customHeight="1">
      <c r="B1555" s="66" t="str">
        <f>IF(ROWS($1:1543)&lt;=Nper,ROWS($1:1543),"")</f>
        <v/>
      </c>
      <c r="C1555" s="67" t="str">
        <f>IF($B1555="","",IF($E$7="Weekly",Start_Date+7*(ROWS($1:1543)-1),EDATE(Start_Date,VLOOKUP(IF(ASTemp!$E$7="","Monthly",ASTemp!$E$7),Parameters!$B$3:$D$6,3,0)*(ROWS($1:1543)-1))))</f>
        <v/>
      </c>
      <c r="D1555" s="68" t="str">
        <f t="shared" si="2"/>
        <v/>
      </c>
      <c r="E1555" s="65" t="str">
        <f>IF($B1555="","",VLOOKUP(MONTH(C1555),Parameters!$F$2:$G$13,2,0))</f>
        <v/>
      </c>
      <c r="F1555" s="69" t="str">
        <f>IF($B1555="","",PV-N(J1554))</f>
        <v/>
      </c>
      <c r="G1555" s="69" t="str">
        <f>IF($B1555="","",PMT(Rate,Nper,-PV,,Type))</f>
        <v/>
      </c>
      <c r="H1555" s="69" t="str">
        <f>IF($B1555="","",PPMT(Rate,ROWS($1:1543),Nper,-PV,,Type))</f>
        <v/>
      </c>
      <c r="I1555" s="69" t="str">
        <f>IF($B1555="","",IPMT(Rate,ROWS($1:1543),Nper,-PV,,Type))</f>
        <v/>
      </c>
      <c r="J1555" s="73" t="str">
        <f t="shared" ref="J1555:K1555" si="1545">IF($B1555="","",N(J1554)+N(H1555))</f>
        <v/>
      </c>
      <c r="K1555" s="74" t="str">
        <f t="shared" si="1545"/>
        <v/>
      </c>
      <c r="L1555" s="69" t="str">
        <f>IF($B1555="","",PV-J1555)</f>
        <v/>
      </c>
      <c r="M1555" s="71" t="str">
        <f>IF($B1555="","",J1555/PV)</f>
        <v/>
      </c>
      <c r="N1555" s="72" t="str">
        <f t="shared" si="4"/>
        <v/>
      </c>
    </row>
    <row r="1556" ht="14.25" customHeight="1">
      <c r="B1556" s="66" t="str">
        <f>IF(ROWS($1:1544)&lt;=Nper,ROWS($1:1544),"")</f>
        <v/>
      </c>
      <c r="C1556" s="67" t="str">
        <f>IF($B1556="","",IF($E$7="Weekly",Start_Date+7*(ROWS($1:1544)-1),EDATE(Start_Date,VLOOKUP(IF(ASTemp!$E$7="","Monthly",ASTemp!$E$7),Parameters!$B$3:$D$6,3,0)*(ROWS($1:1544)-1))))</f>
        <v/>
      </c>
      <c r="D1556" s="68" t="str">
        <f t="shared" si="2"/>
        <v/>
      </c>
      <c r="E1556" s="65" t="str">
        <f>IF($B1556="","",VLOOKUP(MONTH(C1556),Parameters!$F$2:$G$13,2,0))</f>
        <v/>
      </c>
      <c r="F1556" s="69" t="str">
        <f>IF($B1556="","",PV-N(J1555))</f>
        <v/>
      </c>
      <c r="G1556" s="69" t="str">
        <f>IF($B1556="","",PMT(Rate,Nper,-PV,,Type))</f>
        <v/>
      </c>
      <c r="H1556" s="69" t="str">
        <f>IF($B1556="","",PPMT(Rate,ROWS($1:1544),Nper,-PV,,Type))</f>
        <v/>
      </c>
      <c r="I1556" s="69" t="str">
        <f>IF($B1556="","",IPMT(Rate,ROWS($1:1544),Nper,-PV,,Type))</f>
        <v/>
      </c>
      <c r="J1556" s="73" t="str">
        <f t="shared" ref="J1556:K1556" si="1546">IF($B1556="","",N(J1555)+N(H1556))</f>
        <v/>
      </c>
      <c r="K1556" s="74" t="str">
        <f t="shared" si="1546"/>
        <v/>
      </c>
      <c r="L1556" s="69" t="str">
        <f>IF($B1556="","",PV-J1556)</f>
        <v/>
      </c>
      <c r="M1556" s="71" t="str">
        <f>IF($B1556="","",J1556/PV)</f>
        <v/>
      </c>
      <c r="N1556" s="72" t="str">
        <f t="shared" si="4"/>
        <v/>
      </c>
    </row>
    <row r="1557" ht="14.25" customHeight="1">
      <c r="B1557" s="66" t="str">
        <f>IF(ROWS($1:1545)&lt;=Nper,ROWS($1:1545),"")</f>
        <v/>
      </c>
      <c r="C1557" s="67" t="str">
        <f>IF($B1557="","",IF($E$7="Weekly",Start_Date+7*(ROWS($1:1545)-1),EDATE(Start_Date,VLOOKUP(IF(ASTemp!$E$7="","Monthly",ASTemp!$E$7),Parameters!$B$3:$D$6,3,0)*(ROWS($1:1545)-1))))</f>
        <v/>
      </c>
      <c r="D1557" s="68" t="str">
        <f t="shared" si="2"/>
        <v/>
      </c>
      <c r="E1557" s="65" t="str">
        <f>IF($B1557="","",VLOOKUP(MONTH(C1557),Parameters!$F$2:$G$13,2,0))</f>
        <v/>
      </c>
      <c r="F1557" s="69" t="str">
        <f>IF($B1557="","",PV-N(J1556))</f>
        <v/>
      </c>
      <c r="G1557" s="69" t="str">
        <f>IF($B1557="","",PMT(Rate,Nper,-PV,,Type))</f>
        <v/>
      </c>
      <c r="H1557" s="69" t="str">
        <f>IF($B1557="","",PPMT(Rate,ROWS($1:1545),Nper,-PV,,Type))</f>
        <v/>
      </c>
      <c r="I1557" s="69" t="str">
        <f>IF($B1557="","",IPMT(Rate,ROWS($1:1545),Nper,-PV,,Type))</f>
        <v/>
      </c>
      <c r="J1557" s="73" t="str">
        <f t="shared" ref="J1557:K1557" si="1547">IF($B1557="","",N(J1556)+N(H1557))</f>
        <v/>
      </c>
      <c r="K1557" s="74" t="str">
        <f t="shared" si="1547"/>
        <v/>
      </c>
      <c r="L1557" s="69" t="str">
        <f>IF($B1557="","",PV-J1557)</f>
        <v/>
      </c>
      <c r="M1557" s="71" t="str">
        <f>IF($B1557="","",J1557/PV)</f>
        <v/>
      </c>
      <c r="N1557" s="72" t="str">
        <f t="shared" si="4"/>
        <v/>
      </c>
    </row>
    <row r="1558" ht="14.25" customHeight="1">
      <c r="B1558" s="66" t="str">
        <f>IF(ROWS($1:1546)&lt;=Nper,ROWS($1:1546),"")</f>
        <v/>
      </c>
      <c r="C1558" s="67" t="str">
        <f>IF($B1558="","",IF($E$7="Weekly",Start_Date+7*(ROWS($1:1546)-1),EDATE(Start_Date,VLOOKUP(IF(ASTemp!$E$7="","Monthly",ASTemp!$E$7),Parameters!$B$3:$D$6,3,0)*(ROWS($1:1546)-1))))</f>
        <v/>
      </c>
      <c r="D1558" s="68" t="str">
        <f t="shared" si="2"/>
        <v/>
      </c>
      <c r="E1558" s="65" t="str">
        <f>IF($B1558="","",VLOOKUP(MONTH(C1558),Parameters!$F$2:$G$13,2,0))</f>
        <v/>
      </c>
      <c r="F1558" s="69" t="str">
        <f>IF($B1558="","",PV-N(J1557))</f>
        <v/>
      </c>
      <c r="G1558" s="69" t="str">
        <f>IF($B1558="","",PMT(Rate,Nper,-PV,,Type))</f>
        <v/>
      </c>
      <c r="H1558" s="69" t="str">
        <f>IF($B1558="","",PPMT(Rate,ROWS($1:1546),Nper,-PV,,Type))</f>
        <v/>
      </c>
      <c r="I1558" s="69" t="str">
        <f>IF($B1558="","",IPMT(Rate,ROWS($1:1546),Nper,-PV,,Type))</f>
        <v/>
      </c>
      <c r="J1558" s="73" t="str">
        <f t="shared" ref="J1558:K1558" si="1548">IF($B1558="","",N(J1557)+N(H1558))</f>
        <v/>
      </c>
      <c r="K1558" s="74" t="str">
        <f t="shared" si="1548"/>
        <v/>
      </c>
      <c r="L1558" s="69" t="str">
        <f>IF($B1558="","",PV-J1558)</f>
        <v/>
      </c>
      <c r="M1558" s="71" t="str">
        <f>IF($B1558="","",J1558/PV)</f>
        <v/>
      </c>
      <c r="N1558" s="72" t="str">
        <f t="shared" si="4"/>
        <v/>
      </c>
    </row>
    <row r="1559" ht="14.25" customHeight="1">
      <c r="B1559" s="66" t="str">
        <f>IF(ROWS($1:1547)&lt;=Nper,ROWS($1:1547),"")</f>
        <v/>
      </c>
      <c r="C1559" s="67" t="str">
        <f>IF($B1559="","",IF($E$7="Weekly",Start_Date+7*(ROWS($1:1547)-1),EDATE(Start_Date,VLOOKUP(IF(ASTemp!$E$7="","Monthly",ASTemp!$E$7),Parameters!$B$3:$D$6,3,0)*(ROWS($1:1547)-1))))</f>
        <v/>
      </c>
      <c r="D1559" s="68" t="str">
        <f t="shared" si="2"/>
        <v/>
      </c>
      <c r="E1559" s="65" t="str">
        <f>IF($B1559="","",VLOOKUP(MONTH(C1559),Parameters!$F$2:$G$13,2,0))</f>
        <v/>
      </c>
      <c r="F1559" s="69" t="str">
        <f>IF($B1559="","",PV-N(J1558))</f>
        <v/>
      </c>
      <c r="G1559" s="69" t="str">
        <f>IF($B1559="","",PMT(Rate,Nper,-PV,,Type))</f>
        <v/>
      </c>
      <c r="H1559" s="69" t="str">
        <f>IF($B1559="","",PPMT(Rate,ROWS($1:1547),Nper,-PV,,Type))</f>
        <v/>
      </c>
      <c r="I1559" s="69" t="str">
        <f>IF($B1559="","",IPMT(Rate,ROWS($1:1547),Nper,-PV,,Type))</f>
        <v/>
      </c>
      <c r="J1559" s="73" t="str">
        <f t="shared" ref="J1559:K1559" si="1549">IF($B1559="","",N(J1558)+N(H1559))</f>
        <v/>
      </c>
      <c r="K1559" s="74" t="str">
        <f t="shared" si="1549"/>
        <v/>
      </c>
      <c r="L1559" s="69" t="str">
        <f>IF($B1559="","",PV-J1559)</f>
        <v/>
      </c>
      <c r="M1559" s="71" t="str">
        <f>IF($B1559="","",J1559/PV)</f>
        <v/>
      </c>
      <c r="N1559" s="72" t="str">
        <f t="shared" si="4"/>
        <v/>
      </c>
    </row>
    <row r="1560" ht="14.25" customHeight="1">
      <c r="B1560" s="66" t="str">
        <f>IF(ROWS($1:1548)&lt;=Nper,ROWS($1:1548),"")</f>
        <v/>
      </c>
      <c r="C1560" s="67" t="str">
        <f>IF($B1560="","",IF($E$7="Weekly",Start_Date+7*(ROWS($1:1548)-1),EDATE(Start_Date,VLOOKUP(IF(ASTemp!$E$7="","Monthly",ASTemp!$E$7),Parameters!$B$3:$D$6,3,0)*(ROWS($1:1548)-1))))</f>
        <v/>
      </c>
      <c r="D1560" s="68" t="str">
        <f t="shared" si="2"/>
        <v/>
      </c>
      <c r="E1560" s="65" t="str">
        <f>IF($B1560="","",VLOOKUP(MONTH(C1560),Parameters!$F$2:$G$13,2,0))</f>
        <v/>
      </c>
      <c r="F1560" s="69" t="str">
        <f>IF($B1560="","",PV-N(J1559))</f>
        <v/>
      </c>
      <c r="G1560" s="69" t="str">
        <f>IF($B1560="","",PMT(Rate,Nper,-PV,,Type))</f>
        <v/>
      </c>
      <c r="H1560" s="69" t="str">
        <f>IF($B1560="","",PPMT(Rate,ROWS($1:1548),Nper,-PV,,Type))</f>
        <v/>
      </c>
      <c r="I1560" s="69" t="str">
        <f>IF($B1560="","",IPMT(Rate,ROWS($1:1548),Nper,-PV,,Type))</f>
        <v/>
      </c>
      <c r="J1560" s="73" t="str">
        <f t="shared" ref="J1560:K1560" si="1550">IF($B1560="","",N(J1559)+N(H1560))</f>
        <v/>
      </c>
      <c r="K1560" s="74" t="str">
        <f t="shared" si="1550"/>
        <v/>
      </c>
      <c r="L1560" s="69" t="str">
        <f>IF($B1560="","",PV-J1560)</f>
        <v/>
      </c>
      <c r="M1560" s="71" t="str">
        <f>IF($B1560="","",J1560/PV)</f>
        <v/>
      </c>
      <c r="N1560" s="72" t="str">
        <f t="shared" si="4"/>
        <v/>
      </c>
    </row>
    <row r="1561" ht="14.25" customHeight="1">
      <c r="B1561" s="66" t="str">
        <f>IF(ROWS($1:1549)&lt;=Nper,ROWS($1:1549),"")</f>
        <v/>
      </c>
      <c r="C1561" s="67" t="str">
        <f>IF($B1561="","",IF($E$7="Weekly",Start_Date+7*(ROWS($1:1549)-1),EDATE(Start_Date,VLOOKUP(IF(ASTemp!$E$7="","Monthly",ASTemp!$E$7),Parameters!$B$3:$D$6,3,0)*(ROWS($1:1549)-1))))</f>
        <v/>
      </c>
      <c r="D1561" s="68" t="str">
        <f t="shared" si="2"/>
        <v/>
      </c>
      <c r="E1561" s="65" t="str">
        <f>IF($B1561="","",VLOOKUP(MONTH(C1561),Parameters!$F$2:$G$13,2,0))</f>
        <v/>
      </c>
      <c r="F1561" s="69" t="str">
        <f>IF($B1561="","",PV-N(J1560))</f>
        <v/>
      </c>
      <c r="G1561" s="69" t="str">
        <f>IF($B1561="","",PMT(Rate,Nper,-PV,,Type))</f>
        <v/>
      </c>
      <c r="H1561" s="69" t="str">
        <f>IF($B1561="","",PPMT(Rate,ROWS($1:1549),Nper,-PV,,Type))</f>
        <v/>
      </c>
      <c r="I1561" s="69" t="str">
        <f>IF($B1561="","",IPMT(Rate,ROWS($1:1549),Nper,-PV,,Type))</f>
        <v/>
      </c>
      <c r="J1561" s="73" t="str">
        <f t="shared" ref="J1561:K1561" si="1551">IF($B1561="","",N(J1560)+N(H1561))</f>
        <v/>
      </c>
      <c r="K1561" s="74" t="str">
        <f t="shared" si="1551"/>
        <v/>
      </c>
      <c r="L1561" s="69" t="str">
        <f>IF($B1561="","",PV-J1561)</f>
        <v/>
      </c>
      <c r="M1561" s="71" t="str">
        <f>IF($B1561="","",J1561/PV)</f>
        <v/>
      </c>
      <c r="N1561" s="72" t="str">
        <f t="shared" si="4"/>
        <v/>
      </c>
    </row>
    <row r="1562" ht="14.25" customHeight="1">
      <c r="B1562" s="66" t="str">
        <f>IF(ROWS($1:1550)&lt;=Nper,ROWS($1:1550),"")</f>
        <v/>
      </c>
      <c r="C1562" s="67" t="str">
        <f>IF($B1562="","",IF($E$7="Weekly",Start_Date+7*(ROWS($1:1550)-1),EDATE(Start_Date,VLOOKUP(IF(ASTemp!$E$7="","Monthly",ASTemp!$E$7),Parameters!$B$3:$D$6,3,0)*(ROWS($1:1550)-1))))</f>
        <v/>
      </c>
      <c r="D1562" s="68" t="str">
        <f t="shared" si="2"/>
        <v/>
      </c>
      <c r="E1562" s="65" t="str">
        <f>IF($B1562="","",VLOOKUP(MONTH(C1562),Parameters!$F$2:$G$13,2,0))</f>
        <v/>
      </c>
      <c r="F1562" s="69" t="str">
        <f>IF($B1562="","",PV-N(J1561))</f>
        <v/>
      </c>
      <c r="G1562" s="69" t="str">
        <f>IF($B1562="","",PMT(Rate,Nper,-PV,,Type))</f>
        <v/>
      </c>
      <c r="H1562" s="69" t="str">
        <f>IF($B1562="","",PPMT(Rate,ROWS($1:1550),Nper,-PV,,Type))</f>
        <v/>
      </c>
      <c r="I1562" s="69" t="str">
        <f>IF($B1562="","",IPMT(Rate,ROWS($1:1550),Nper,-PV,,Type))</f>
        <v/>
      </c>
      <c r="J1562" s="73" t="str">
        <f t="shared" ref="J1562:K1562" si="1552">IF($B1562="","",N(J1561)+N(H1562))</f>
        <v/>
      </c>
      <c r="K1562" s="74" t="str">
        <f t="shared" si="1552"/>
        <v/>
      </c>
      <c r="L1562" s="69" t="str">
        <f>IF($B1562="","",PV-J1562)</f>
        <v/>
      </c>
      <c r="M1562" s="71" t="str">
        <f>IF($B1562="","",J1562/PV)</f>
        <v/>
      </c>
      <c r="N1562" s="72" t="str">
        <f t="shared" si="4"/>
        <v/>
      </c>
    </row>
    <row r="1563" ht="14.25" customHeight="1">
      <c r="B1563" s="66" t="str">
        <f>IF(ROWS($1:1551)&lt;=Nper,ROWS($1:1551),"")</f>
        <v/>
      </c>
      <c r="C1563" s="67" t="str">
        <f>IF($B1563="","",IF($E$7="Weekly",Start_Date+7*(ROWS($1:1551)-1),EDATE(Start_Date,VLOOKUP(IF(ASTemp!$E$7="","Monthly",ASTemp!$E$7),Parameters!$B$3:$D$6,3,0)*(ROWS($1:1551)-1))))</f>
        <v/>
      </c>
      <c r="D1563" s="68" t="str">
        <f t="shared" si="2"/>
        <v/>
      </c>
      <c r="E1563" s="65" t="str">
        <f>IF($B1563="","",VLOOKUP(MONTH(C1563),Parameters!$F$2:$G$13,2,0))</f>
        <v/>
      </c>
      <c r="F1563" s="69" t="str">
        <f>IF($B1563="","",PV-N(J1562))</f>
        <v/>
      </c>
      <c r="G1563" s="69" t="str">
        <f>IF($B1563="","",PMT(Rate,Nper,-PV,,Type))</f>
        <v/>
      </c>
      <c r="H1563" s="69" t="str">
        <f>IF($B1563="","",PPMT(Rate,ROWS($1:1551),Nper,-PV,,Type))</f>
        <v/>
      </c>
      <c r="I1563" s="69" t="str">
        <f>IF($B1563="","",IPMT(Rate,ROWS($1:1551),Nper,-PV,,Type))</f>
        <v/>
      </c>
      <c r="J1563" s="73" t="str">
        <f t="shared" ref="J1563:K1563" si="1553">IF($B1563="","",N(J1562)+N(H1563))</f>
        <v/>
      </c>
      <c r="K1563" s="74" t="str">
        <f t="shared" si="1553"/>
        <v/>
      </c>
      <c r="L1563" s="69" t="str">
        <f>IF($B1563="","",PV-J1563)</f>
        <v/>
      </c>
      <c r="M1563" s="71" t="str">
        <f>IF($B1563="","",J1563/PV)</f>
        <v/>
      </c>
      <c r="N1563" s="72" t="str">
        <f t="shared" si="4"/>
        <v/>
      </c>
    </row>
    <row r="1564" ht="14.25" customHeight="1">
      <c r="B1564" s="66" t="str">
        <f>IF(ROWS($1:1552)&lt;=Nper,ROWS($1:1552),"")</f>
        <v/>
      </c>
      <c r="C1564" s="67" t="str">
        <f>IF($B1564="","",IF($E$7="Weekly",Start_Date+7*(ROWS($1:1552)-1),EDATE(Start_Date,VLOOKUP(IF(ASTemp!$E$7="","Monthly",ASTemp!$E$7),Parameters!$B$3:$D$6,3,0)*(ROWS($1:1552)-1))))</f>
        <v/>
      </c>
      <c r="D1564" s="68" t="str">
        <f t="shared" si="2"/>
        <v/>
      </c>
      <c r="E1564" s="65" t="str">
        <f>IF($B1564="","",VLOOKUP(MONTH(C1564),Parameters!$F$2:$G$13,2,0))</f>
        <v/>
      </c>
      <c r="F1564" s="69" t="str">
        <f>IF($B1564="","",PV-N(J1563))</f>
        <v/>
      </c>
      <c r="G1564" s="69" t="str">
        <f>IF($B1564="","",PMT(Rate,Nper,-PV,,Type))</f>
        <v/>
      </c>
      <c r="H1564" s="69" t="str">
        <f>IF($B1564="","",PPMT(Rate,ROWS($1:1552),Nper,-PV,,Type))</f>
        <v/>
      </c>
      <c r="I1564" s="69" t="str">
        <f>IF($B1564="","",IPMT(Rate,ROWS($1:1552),Nper,-PV,,Type))</f>
        <v/>
      </c>
      <c r="J1564" s="73" t="str">
        <f t="shared" ref="J1564:K1564" si="1554">IF($B1564="","",N(J1563)+N(H1564))</f>
        <v/>
      </c>
      <c r="K1564" s="74" t="str">
        <f t="shared" si="1554"/>
        <v/>
      </c>
      <c r="L1564" s="69" t="str">
        <f>IF($B1564="","",PV-J1564)</f>
        <v/>
      </c>
      <c r="M1564" s="71" t="str">
        <f>IF($B1564="","",J1564/PV)</f>
        <v/>
      </c>
      <c r="N1564" s="72" t="str">
        <f t="shared" si="4"/>
        <v/>
      </c>
    </row>
    <row r="1565" ht="14.25" customHeight="1">
      <c r="B1565" s="66" t="str">
        <f>IF(ROWS($1:1553)&lt;=Nper,ROWS($1:1553),"")</f>
        <v/>
      </c>
      <c r="C1565" s="67" t="str">
        <f>IF($B1565="","",IF($E$7="Weekly",Start_Date+7*(ROWS($1:1553)-1),EDATE(Start_Date,VLOOKUP(IF(ASTemp!$E$7="","Monthly",ASTemp!$E$7),Parameters!$B$3:$D$6,3,0)*(ROWS($1:1553)-1))))</f>
        <v/>
      </c>
      <c r="D1565" s="68" t="str">
        <f t="shared" si="2"/>
        <v/>
      </c>
      <c r="E1565" s="65" t="str">
        <f>IF($B1565="","",VLOOKUP(MONTH(C1565),Parameters!$F$2:$G$13,2,0))</f>
        <v/>
      </c>
      <c r="F1565" s="69" t="str">
        <f>IF($B1565="","",PV-N(J1564))</f>
        <v/>
      </c>
      <c r="G1565" s="69" t="str">
        <f>IF($B1565="","",PMT(Rate,Nper,-PV,,Type))</f>
        <v/>
      </c>
      <c r="H1565" s="69" t="str">
        <f>IF($B1565="","",PPMT(Rate,ROWS($1:1553),Nper,-PV,,Type))</f>
        <v/>
      </c>
      <c r="I1565" s="69" t="str">
        <f>IF($B1565="","",IPMT(Rate,ROWS($1:1553),Nper,-PV,,Type))</f>
        <v/>
      </c>
      <c r="J1565" s="73" t="str">
        <f t="shared" ref="J1565:K1565" si="1555">IF($B1565="","",N(J1564)+N(H1565))</f>
        <v/>
      </c>
      <c r="K1565" s="74" t="str">
        <f t="shared" si="1555"/>
        <v/>
      </c>
      <c r="L1565" s="69" t="str">
        <f>IF($B1565="","",PV-J1565)</f>
        <v/>
      </c>
      <c r="M1565" s="71" t="str">
        <f>IF($B1565="","",J1565/PV)</f>
        <v/>
      </c>
      <c r="N1565" s="72" t="str">
        <f t="shared" si="4"/>
        <v/>
      </c>
    </row>
    <row r="1566" ht="14.25" customHeight="1">
      <c r="B1566" s="66" t="str">
        <f>IF(ROWS($1:1554)&lt;=Nper,ROWS($1:1554),"")</f>
        <v/>
      </c>
      <c r="C1566" s="67" t="str">
        <f>IF($B1566="","",IF($E$7="Weekly",Start_Date+7*(ROWS($1:1554)-1),EDATE(Start_Date,VLOOKUP(IF(ASTemp!$E$7="","Monthly",ASTemp!$E$7),Parameters!$B$3:$D$6,3,0)*(ROWS($1:1554)-1))))</f>
        <v/>
      </c>
      <c r="D1566" s="68" t="str">
        <f t="shared" si="2"/>
        <v/>
      </c>
      <c r="E1566" s="65" t="str">
        <f>IF($B1566="","",VLOOKUP(MONTH(C1566),Parameters!$F$2:$G$13,2,0))</f>
        <v/>
      </c>
      <c r="F1566" s="69" t="str">
        <f>IF($B1566="","",PV-N(J1565))</f>
        <v/>
      </c>
      <c r="G1566" s="69" t="str">
        <f>IF($B1566="","",PMT(Rate,Nper,-PV,,Type))</f>
        <v/>
      </c>
      <c r="H1566" s="69" t="str">
        <f>IF($B1566="","",PPMT(Rate,ROWS($1:1554),Nper,-PV,,Type))</f>
        <v/>
      </c>
      <c r="I1566" s="69" t="str">
        <f>IF($B1566="","",IPMT(Rate,ROWS($1:1554),Nper,-PV,,Type))</f>
        <v/>
      </c>
      <c r="J1566" s="73" t="str">
        <f t="shared" ref="J1566:K1566" si="1556">IF($B1566="","",N(J1565)+N(H1566))</f>
        <v/>
      </c>
      <c r="K1566" s="74" t="str">
        <f t="shared" si="1556"/>
        <v/>
      </c>
      <c r="L1566" s="69" t="str">
        <f>IF($B1566="","",PV-J1566)</f>
        <v/>
      </c>
      <c r="M1566" s="71" t="str">
        <f>IF($B1566="","",J1566/PV)</f>
        <v/>
      </c>
      <c r="N1566" s="72" t="str">
        <f t="shared" si="4"/>
        <v/>
      </c>
    </row>
    <row r="1567" ht="14.25" customHeight="1">
      <c r="B1567" s="66" t="str">
        <f>IF(ROWS($1:1555)&lt;=Nper,ROWS($1:1555),"")</f>
        <v/>
      </c>
      <c r="C1567" s="67" t="str">
        <f>IF($B1567="","",IF($E$7="Weekly",Start_Date+7*(ROWS($1:1555)-1),EDATE(Start_Date,VLOOKUP(IF(ASTemp!$E$7="","Monthly",ASTemp!$E$7),Parameters!$B$3:$D$6,3,0)*(ROWS($1:1555)-1))))</f>
        <v/>
      </c>
      <c r="D1567" s="68" t="str">
        <f t="shared" si="2"/>
        <v/>
      </c>
      <c r="E1567" s="65" t="str">
        <f>IF($B1567="","",VLOOKUP(MONTH(C1567),Parameters!$F$2:$G$13,2,0))</f>
        <v/>
      </c>
      <c r="F1567" s="69" t="str">
        <f>IF($B1567="","",PV-N(J1566))</f>
        <v/>
      </c>
      <c r="G1567" s="69" t="str">
        <f>IF($B1567="","",PMT(Rate,Nper,-PV,,Type))</f>
        <v/>
      </c>
      <c r="H1567" s="69" t="str">
        <f>IF($B1567="","",PPMT(Rate,ROWS($1:1555),Nper,-PV,,Type))</f>
        <v/>
      </c>
      <c r="I1567" s="69" t="str">
        <f>IF($B1567="","",IPMT(Rate,ROWS($1:1555),Nper,-PV,,Type))</f>
        <v/>
      </c>
      <c r="J1567" s="73" t="str">
        <f t="shared" ref="J1567:K1567" si="1557">IF($B1567="","",N(J1566)+N(H1567))</f>
        <v/>
      </c>
      <c r="K1567" s="74" t="str">
        <f t="shared" si="1557"/>
        <v/>
      </c>
      <c r="L1567" s="69" t="str">
        <f>IF($B1567="","",PV-J1567)</f>
        <v/>
      </c>
      <c r="M1567" s="71" t="str">
        <f>IF($B1567="","",J1567/PV)</f>
        <v/>
      </c>
      <c r="N1567" s="72" t="str">
        <f t="shared" si="4"/>
        <v/>
      </c>
    </row>
    <row r="1568" ht="14.25" customHeight="1">
      <c r="B1568" s="66" t="str">
        <f>IF(ROWS($1:1556)&lt;=Nper,ROWS($1:1556),"")</f>
        <v/>
      </c>
      <c r="C1568" s="67" t="str">
        <f>IF($B1568="","",IF($E$7="Weekly",Start_Date+7*(ROWS($1:1556)-1),EDATE(Start_Date,VLOOKUP(IF(ASTemp!$E$7="","Monthly",ASTemp!$E$7),Parameters!$B$3:$D$6,3,0)*(ROWS($1:1556)-1))))</f>
        <v/>
      </c>
      <c r="D1568" s="68" t="str">
        <f t="shared" si="2"/>
        <v/>
      </c>
      <c r="E1568" s="65" t="str">
        <f>IF($B1568="","",VLOOKUP(MONTH(C1568),Parameters!$F$2:$G$13,2,0))</f>
        <v/>
      </c>
      <c r="F1568" s="69" t="str">
        <f>IF($B1568="","",PV-N(J1567))</f>
        <v/>
      </c>
      <c r="G1568" s="69" t="str">
        <f>IF($B1568="","",PMT(Rate,Nper,-PV,,Type))</f>
        <v/>
      </c>
      <c r="H1568" s="69" t="str">
        <f>IF($B1568="","",PPMT(Rate,ROWS($1:1556),Nper,-PV,,Type))</f>
        <v/>
      </c>
      <c r="I1568" s="69" t="str">
        <f>IF($B1568="","",IPMT(Rate,ROWS($1:1556),Nper,-PV,,Type))</f>
        <v/>
      </c>
      <c r="J1568" s="73" t="str">
        <f t="shared" ref="J1568:K1568" si="1558">IF($B1568="","",N(J1567)+N(H1568))</f>
        <v/>
      </c>
      <c r="K1568" s="74" t="str">
        <f t="shared" si="1558"/>
        <v/>
      </c>
      <c r="L1568" s="69" t="str">
        <f>IF($B1568="","",PV-J1568)</f>
        <v/>
      </c>
      <c r="M1568" s="71" t="str">
        <f>IF($B1568="","",J1568/PV)</f>
        <v/>
      </c>
      <c r="N1568" s="72" t="str">
        <f t="shared" si="4"/>
        <v/>
      </c>
    </row>
    <row r="1569" ht="14.25" customHeight="1">
      <c r="B1569" s="66" t="str">
        <f>IF(ROWS($1:1557)&lt;=Nper,ROWS($1:1557),"")</f>
        <v/>
      </c>
      <c r="C1569" s="67" t="str">
        <f>IF($B1569="","",IF($E$7="Weekly",Start_Date+7*(ROWS($1:1557)-1),EDATE(Start_Date,VLOOKUP(IF(ASTemp!$E$7="","Monthly",ASTemp!$E$7),Parameters!$B$3:$D$6,3,0)*(ROWS($1:1557)-1))))</f>
        <v/>
      </c>
      <c r="D1569" s="68" t="str">
        <f t="shared" si="2"/>
        <v/>
      </c>
      <c r="E1569" s="65" t="str">
        <f>IF($B1569="","",VLOOKUP(MONTH(C1569),Parameters!$F$2:$G$13,2,0))</f>
        <v/>
      </c>
      <c r="F1569" s="69" t="str">
        <f>IF($B1569="","",PV-N(J1568))</f>
        <v/>
      </c>
      <c r="G1569" s="69" t="str">
        <f>IF($B1569="","",PMT(Rate,Nper,-PV,,Type))</f>
        <v/>
      </c>
      <c r="H1569" s="69" t="str">
        <f>IF($B1569="","",PPMT(Rate,ROWS($1:1557),Nper,-PV,,Type))</f>
        <v/>
      </c>
      <c r="I1569" s="69" t="str">
        <f>IF($B1569="","",IPMT(Rate,ROWS($1:1557),Nper,-PV,,Type))</f>
        <v/>
      </c>
      <c r="J1569" s="73" t="str">
        <f t="shared" ref="J1569:K1569" si="1559">IF($B1569="","",N(J1568)+N(H1569))</f>
        <v/>
      </c>
      <c r="K1569" s="74" t="str">
        <f t="shared" si="1559"/>
        <v/>
      </c>
      <c r="L1569" s="69" t="str">
        <f>IF($B1569="","",PV-J1569)</f>
        <v/>
      </c>
      <c r="M1569" s="71" t="str">
        <f>IF($B1569="","",J1569/PV)</f>
        <v/>
      </c>
      <c r="N1569" s="72" t="str">
        <f t="shared" si="4"/>
        <v/>
      </c>
    </row>
    <row r="1570" ht="14.25" customHeight="1">
      <c r="B1570" s="66" t="str">
        <f>IF(ROWS($1:1558)&lt;=Nper,ROWS($1:1558),"")</f>
        <v/>
      </c>
      <c r="C1570" s="67" t="str">
        <f>IF($B1570="","",IF($E$7="Weekly",Start_Date+7*(ROWS($1:1558)-1),EDATE(Start_Date,VLOOKUP(IF(ASTemp!$E$7="","Monthly",ASTemp!$E$7),Parameters!$B$3:$D$6,3,0)*(ROWS($1:1558)-1))))</f>
        <v/>
      </c>
      <c r="D1570" s="68" t="str">
        <f t="shared" si="2"/>
        <v/>
      </c>
      <c r="E1570" s="65" t="str">
        <f>IF($B1570="","",VLOOKUP(MONTH(C1570),Parameters!$F$2:$G$13,2,0))</f>
        <v/>
      </c>
      <c r="F1570" s="69" t="str">
        <f>IF($B1570="","",PV-N(J1569))</f>
        <v/>
      </c>
      <c r="G1570" s="69" t="str">
        <f>IF($B1570="","",PMT(Rate,Nper,-PV,,Type))</f>
        <v/>
      </c>
      <c r="H1570" s="69" t="str">
        <f>IF($B1570="","",PPMT(Rate,ROWS($1:1558),Nper,-PV,,Type))</f>
        <v/>
      </c>
      <c r="I1570" s="69" t="str">
        <f>IF($B1570="","",IPMT(Rate,ROWS($1:1558),Nper,-PV,,Type))</f>
        <v/>
      </c>
      <c r="J1570" s="73" t="str">
        <f t="shared" ref="J1570:K1570" si="1560">IF($B1570="","",N(J1569)+N(H1570))</f>
        <v/>
      </c>
      <c r="K1570" s="74" t="str">
        <f t="shared" si="1560"/>
        <v/>
      </c>
      <c r="L1570" s="69" t="str">
        <f>IF($B1570="","",PV-J1570)</f>
        <v/>
      </c>
      <c r="M1570" s="71" t="str">
        <f>IF($B1570="","",J1570/PV)</f>
        <v/>
      </c>
      <c r="N1570" s="72" t="str">
        <f t="shared" si="4"/>
        <v/>
      </c>
    </row>
    <row r="1571" ht="14.25" customHeight="1">
      <c r="B1571" s="66" t="str">
        <f>IF(ROWS($1:1559)&lt;=Nper,ROWS($1:1559),"")</f>
        <v/>
      </c>
      <c r="C1571" s="67" t="str">
        <f>IF($B1571="","",IF($E$7="Weekly",Start_Date+7*(ROWS($1:1559)-1),EDATE(Start_Date,VLOOKUP(IF(ASTemp!$E$7="","Monthly",ASTemp!$E$7),Parameters!$B$3:$D$6,3,0)*(ROWS($1:1559)-1))))</f>
        <v/>
      </c>
      <c r="D1571" s="68" t="str">
        <f t="shared" si="2"/>
        <v/>
      </c>
      <c r="E1571" s="65" t="str">
        <f>IF($B1571="","",VLOOKUP(MONTH(C1571),Parameters!$F$2:$G$13,2,0))</f>
        <v/>
      </c>
      <c r="F1571" s="69" t="str">
        <f>IF($B1571="","",PV-N(J1570))</f>
        <v/>
      </c>
      <c r="G1571" s="69" t="str">
        <f>IF($B1571="","",PMT(Rate,Nper,-PV,,Type))</f>
        <v/>
      </c>
      <c r="H1571" s="69" t="str">
        <f>IF($B1571="","",PPMT(Rate,ROWS($1:1559),Nper,-PV,,Type))</f>
        <v/>
      </c>
      <c r="I1571" s="69" t="str">
        <f>IF($B1571="","",IPMT(Rate,ROWS($1:1559),Nper,-PV,,Type))</f>
        <v/>
      </c>
      <c r="J1571" s="73" t="str">
        <f t="shared" ref="J1571:K1571" si="1561">IF($B1571="","",N(J1570)+N(H1571))</f>
        <v/>
      </c>
      <c r="K1571" s="74" t="str">
        <f t="shared" si="1561"/>
        <v/>
      </c>
      <c r="L1571" s="69" t="str">
        <f>IF($B1571="","",PV-J1571)</f>
        <v/>
      </c>
      <c r="M1571" s="71" t="str">
        <f>IF($B1571="","",J1571/PV)</f>
        <v/>
      </c>
      <c r="N1571" s="72" t="str">
        <f t="shared" si="4"/>
        <v/>
      </c>
    </row>
    <row r="1572" ht="14.25" customHeight="1">
      <c r="B1572" s="66" t="str">
        <f>IF(ROWS($1:1560)&lt;=Nper,ROWS($1:1560),"")</f>
        <v/>
      </c>
      <c r="C1572" s="67" t="str">
        <f>IF($B1572="","",IF($E$7="Weekly",Start_Date+7*(ROWS($1:1560)-1),EDATE(Start_Date,VLOOKUP(IF(ASTemp!$E$7="","Monthly",ASTemp!$E$7),Parameters!$B$3:$D$6,3,0)*(ROWS($1:1560)-1))))</f>
        <v/>
      </c>
      <c r="D1572" s="68" t="str">
        <f t="shared" si="2"/>
        <v/>
      </c>
      <c r="E1572" s="65" t="str">
        <f>IF($B1572="","",VLOOKUP(MONTH(C1572),Parameters!$F$2:$G$13,2,0))</f>
        <v/>
      </c>
      <c r="F1572" s="69" t="str">
        <f>IF($B1572="","",PV-N(J1571))</f>
        <v/>
      </c>
      <c r="G1572" s="69" t="str">
        <f>IF($B1572="","",PMT(Rate,Nper,-PV,,Type))</f>
        <v/>
      </c>
      <c r="H1572" s="69" t="str">
        <f>IF($B1572="","",PPMT(Rate,ROWS($1:1560),Nper,-PV,,Type))</f>
        <v/>
      </c>
      <c r="I1572" s="69" t="str">
        <f>IF($B1572="","",IPMT(Rate,ROWS($1:1560),Nper,-PV,,Type))</f>
        <v/>
      </c>
      <c r="J1572" s="73" t="str">
        <f t="shared" ref="J1572:K1572" si="1562">IF($B1572="","",N(J1571)+N(H1572))</f>
        <v/>
      </c>
      <c r="K1572" s="74" t="str">
        <f t="shared" si="1562"/>
        <v/>
      </c>
      <c r="L1572" s="69" t="str">
        <f>IF($B1572="","",PV-J1572)</f>
        <v/>
      </c>
      <c r="M1572" s="71" t="str">
        <f>IF($B1572="","",J1572/PV)</f>
        <v/>
      </c>
      <c r="N1572" s="72" t="str">
        <f t="shared" si="4"/>
        <v/>
      </c>
    </row>
    <row r="1573" ht="14.25" customHeight="1">
      <c r="B1573" s="66" t="str">
        <f>IF(ROWS($1:1561)&lt;=Nper,ROWS($1:1561),"")</f>
        <v/>
      </c>
      <c r="C1573" s="67" t="str">
        <f>IF($B1573="","",IF($E$7="Weekly",Start_Date+7*(ROWS($1:1561)-1),EDATE(Start_Date,VLOOKUP(IF(ASTemp!$E$7="","Monthly",ASTemp!$E$7),Parameters!$B$3:$D$6,3,0)*(ROWS($1:1561)-1))))</f>
        <v/>
      </c>
      <c r="D1573" s="68" t="str">
        <f t="shared" si="2"/>
        <v/>
      </c>
      <c r="E1573" s="65" t="str">
        <f>IF($B1573="","",VLOOKUP(MONTH(C1573),Parameters!$F$2:$G$13,2,0))</f>
        <v/>
      </c>
      <c r="F1573" s="69" t="str">
        <f>IF($B1573="","",PV-N(J1572))</f>
        <v/>
      </c>
      <c r="G1573" s="69" t="str">
        <f>IF($B1573="","",PMT(Rate,Nper,-PV,,Type))</f>
        <v/>
      </c>
      <c r="H1573" s="69" t="str">
        <f>IF($B1573="","",PPMT(Rate,ROWS($1:1561),Nper,-PV,,Type))</f>
        <v/>
      </c>
      <c r="I1573" s="69" t="str">
        <f>IF($B1573="","",IPMT(Rate,ROWS($1:1561),Nper,-PV,,Type))</f>
        <v/>
      </c>
      <c r="J1573" s="73" t="str">
        <f t="shared" ref="J1573:K1573" si="1563">IF($B1573="","",N(J1572)+N(H1573))</f>
        <v/>
      </c>
      <c r="K1573" s="74" t="str">
        <f t="shared" si="1563"/>
        <v/>
      </c>
      <c r="L1573" s="69" t="str">
        <f>IF($B1573="","",PV-J1573)</f>
        <v/>
      </c>
      <c r="M1573" s="71" t="str">
        <f>IF($B1573="","",J1573/PV)</f>
        <v/>
      </c>
      <c r="N1573" s="72" t="str">
        <f t="shared" si="4"/>
        <v/>
      </c>
    </row>
    <row r="1574" ht="14.25" customHeight="1">
      <c r="B1574" s="66" t="str">
        <f>IF(ROWS($1:1562)&lt;=Nper,ROWS($1:1562),"")</f>
        <v/>
      </c>
      <c r="C1574" s="67" t="str">
        <f>IF($B1574="","",IF($E$7="Weekly",Start_Date+7*(ROWS($1:1562)-1),EDATE(Start_Date,VLOOKUP(IF(ASTemp!$E$7="","Monthly",ASTemp!$E$7),Parameters!$B$3:$D$6,3,0)*(ROWS($1:1562)-1))))</f>
        <v/>
      </c>
      <c r="D1574" s="68" t="str">
        <f t="shared" si="2"/>
        <v/>
      </c>
      <c r="E1574" s="65" t="str">
        <f>IF($B1574="","",VLOOKUP(MONTH(C1574),Parameters!$F$2:$G$13,2,0))</f>
        <v/>
      </c>
      <c r="F1574" s="69" t="str">
        <f>IF($B1574="","",PV-N(J1573))</f>
        <v/>
      </c>
      <c r="G1574" s="69" t="str">
        <f>IF($B1574="","",PMT(Rate,Nper,-PV,,Type))</f>
        <v/>
      </c>
      <c r="H1574" s="69" t="str">
        <f>IF($B1574="","",PPMT(Rate,ROWS($1:1562),Nper,-PV,,Type))</f>
        <v/>
      </c>
      <c r="I1574" s="69" t="str">
        <f>IF($B1574="","",IPMT(Rate,ROWS($1:1562),Nper,-PV,,Type))</f>
        <v/>
      </c>
      <c r="J1574" s="73" t="str">
        <f t="shared" ref="J1574:K1574" si="1564">IF($B1574="","",N(J1573)+N(H1574))</f>
        <v/>
      </c>
      <c r="K1574" s="74" t="str">
        <f t="shared" si="1564"/>
        <v/>
      </c>
      <c r="L1574" s="69" t="str">
        <f>IF($B1574="","",PV-J1574)</f>
        <v/>
      </c>
      <c r="M1574" s="71" t="str">
        <f>IF($B1574="","",J1574/PV)</f>
        <v/>
      </c>
      <c r="N1574" s="72" t="str">
        <f t="shared" si="4"/>
        <v/>
      </c>
    </row>
    <row r="1575" ht="14.25" customHeight="1">
      <c r="B1575" s="66" t="str">
        <f>IF(ROWS($1:1563)&lt;=Nper,ROWS($1:1563),"")</f>
        <v/>
      </c>
      <c r="C1575" s="67" t="str">
        <f>IF($B1575="","",IF($E$7="Weekly",Start_Date+7*(ROWS($1:1563)-1),EDATE(Start_Date,VLOOKUP(IF(ASTemp!$E$7="","Monthly",ASTemp!$E$7),Parameters!$B$3:$D$6,3,0)*(ROWS($1:1563)-1))))</f>
        <v/>
      </c>
      <c r="D1575" s="68" t="str">
        <f t="shared" si="2"/>
        <v/>
      </c>
      <c r="E1575" s="65" t="str">
        <f>IF($B1575="","",VLOOKUP(MONTH(C1575),Parameters!$F$2:$G$13,2,0))</f>
        <v/>
      </c>
      <c r="F1575" s="69" t="str">
        <f>IF($B1575="","",PV-N(J1574))</f>
        <v/>
      </c>
      <c r="G1575" s="69" t="str">
        <f>IF($B1575="","",PMT(Rate,Nper,-PV,,Type))</f>
        <v/>
      </c>
      <c r="H1575" s="69" t="str">
        <f>IF($B1575="","",PPMT(Rate,ROWS($1:1563),Nper,-PV,,Type))</f>
        <v/>
      </c>
      <c r="I1575" s="69" t="str">
        <f>IF($B1575="","",IPMT(Rate,ROWS($1:1563),Nper,-PV,,Type))</f>
        <v/>
      </c>
      <c r="J1575" s="73" t="str">
        <f t="shared" ref="J1575:K1575" si="1565">IF($B1575="","",N(J1574)+N(H1575))</f>
        <v/>
      </c>
      <c r="K1575" s="74" t="str">
        <f t="shared" si="1565"/>
        <v/>
      </c>
      <c r="L1575" s="69" t="str">
        <f>IF($B1575="","",PV-J1575)</f>
        <v/>
      </c>
      <c r="M1575" s="71" t="str">
        <f>IF($B1575="","",J1575/PV)</f>
        <v/>
      </c>
      <c r="N1575" s="72" t="str">
        <f t="shared" si="4"/>
        <v/>
      </c>
    </row>
    <row r="1576" ht="14.25" customHeight="1">
      <c r="B1576" s="66" t="str">
        <f>IF(ROWS($1:1564)&lt;=Nper,ROWS($1:1564),"")</f>
        <v/>
      </c>
      <c r="C1576" s="67" t="str">
        <f>IF($B1576="","",IF($E$7="Weekly",Start_Date+7*(ROWS($1:1564)-1),EDATE(Start_Date,VLOOKUP(IF(ASTemp!$E$7="","Monthly",ASTemp!$E$7),Parameters!$B$3:$D$6,3,0)*(ROWS($1:1564)-1))))</f>
        <v/>
      </c>
      <c r="D1576" s="68" t="str">
        <f t="shared" si="2"/>
        <v/>
      </c>
      <c r="E1576" s="65" t="str">
        <f>IF($B1576="","",VLOOKUP(MONTH(C1576),Parameters!$F$2:$G$13,2,0))</f>
        <v/>
      </c>
      <c r="F1576" s="69" t="str">
        <f>IF($B1576="","",PV-N(J1575))</f>
        <v/>
      </c>
      <c r="G1576" s="69" t="str">
        <f>IF($B1576="","",PMT(Rate,Nper,-PV,,Type))</f>
        <v/>
      </c>
      <c r="H1576" s="69" t="str">
        <f>IF($B1576="","",PPMT(Rate,ROWS($1:1564),Nper,-PV,,Type))</f>
        <v/>
      </c>
      <c r="I1576" s="69" t="str">
        <f>IF($B1576="","",IPMT(Rate,ROWS($1:1564),Nper,-PV,,Type))</f>
        <v/>
      </c>
      <c r="J1576" s="73" t="str">
        <f t="shared" ref="J1576:K1576" si="1566">IF($B1576="","",N(J1575)+N(H1576))</f>
        <v/>
      </c>
      <c r="K1576" s="74" t="str">
        <f t="shared" si="1566"/>
        <v/>
      </c>
      <c r="L1576" s="69" t="str">
        <f>IF($B1576="","",PV-J1576)</f>
        <v/>
      </c>
      <c r="M1576" s="71" t="str">
        <f>IF($B1576="","",J1576/PV)</f>
        <v/>
      </c>
      <c r="N1576" s="72" t="str">
        <f t="shared" si="4"/>
        <v/>
      </c>
    </row>
    <row r="1577" ht="14.25" customHeight="1">
      <c r="B1577" s="66" t="str">
        <f>IF(ROWS($1:1565)&lt;=Nper,ROWS($1:1565),"")</f>
        <v/>
      </c>
      <c r="C1577" s="67" t="str">
        <f>IF($B1577="","",IF($E$7="Weekly",Start_Date+7*(ROWS($1:1565)-1),EDATE(Start_Date,VLOOKUP(IF(ASTemp!$E$7="","Monthly",ASTemp!$E$7),Parameters!$B$3:$D$6,3,0)*(ROWS($1:1565)-1))))</f>
        <v/>
      </c>
      <c r="D1577" s="68" t="str">
        <f t="shared" si="2"/>
        <v/>
      </c>
      <c r="E1577" s="65" t="str">
        <f>IF($B1577="","",VLOOKUP(MONTH(C1577),Parameters!$F$2:$G$13,2,0))</f>
        <v/>
      </c>
      <c r="F1577" s="69" t="str">
        <f>IF($B1577="","",PV-N(J1576))</f>
        <v/>
      </c>
      <c r="G1577" s="69" t="str">
        <f>IF($B1577="","",PMT(Rate,Nper,-PV,,Type))</f>
        <v/>
      </c>
      <c r="H1577" s="69" t="str">
        <f>IF($B1577="","",PPMT(Rate,ROWS($1:1565),Nper,-PV,,Type))</f>
        <v/>
      </c>
      <c r="I1577" s="69" t="str">
        <f>IF($B1577="","",IPMT(Rate,ROWS($1:1565),Nper,-PV,,Type))</f>
        <v/>
      </c>
      <c r="J1577" s="73" t="str">
        <f t="shared" ref="J1577:K1577" si="1567">IF($B1577="","",N(J1576)+N(H1577))</f>
        <v/>
      </c>
      <c r="K1577" s="74" t="str">
        <f t="shared" si="1567"/>
        <v/>
      </c>
      <c r="L1577" s="69" t="str">
        <f>IF($B1577="","",PV-J1577)</f>
        <v/>
      </c>
      <c r="M1577" s="71" t="str">
        <f>IF($B1577="","",J1577/PV)</f>
        <v/>
      </c>
      <c r="N1577" s="72" t="str">
        <f t="shared" si="4"/>
        <v/>
      </c>
    </row>
    <row r="1578" ht="14.25" customHeight="1">
      <c r="B1578" s="66" t="str">
        <f>IF(ROWS($1:1566)&lt;=Nper,ROWS($1:1566),"")</f>
        <v/>
      </c>
      <c r="C1578" s="67" t="str">
        <f>IF($B1578="","",IF($E$7="Weekly",Start_Date+7*(ROWS($1:1566)-1),EDATE(Start_Date,VLOOKUP(IF(ASTemp!$E$7="","Monthly",ASTemp!$E$7),Parameters!$B$3:$D$6,3,0)*(ROWS($1:1566)-1))))</f>
        <v/>
      </c>
      <c r="D1578" s="68" t="str">
        <f t="shared" si="2"/>
        <v/>
      </c>
      <c r="E1578" s="65" t="str">
        <f>IF($B1578="","",VLOOKUP(MONTH(C1578),Parameters!$F$2:$G$13,2,0))</f>
        <v/>
      </c>
      <c r="F1578" s="69" t="str">
        <f>IF($B1578="","",PV-N(J1577))</f>
        <v/>
      </c>
      <c r="G1578" s="69" t="str">
        <f>IF($B1578="","",PMT(Rate,Nper,-PV,,Type))</f>
        <v/>
      </c>
      <c r="H1578" s="69" t="str">
        <f>IF($B1578="","",PPMT(Rate,ROWS($1:1566),Nper,-PV,,Type))</f>
        <v/>
      </c>
      <c r="I1578" s="69" t="str">
        <f>IF($B1578="","",IPMT(Rate,ROWS($1:1566),Nper,-PV,,Type))</f>
        <v/>
      </c>
      <c r="J1578" s="73" t="str">
        <f t="shared" ref="J1578:K1578" si="1568">IF($B1578="","",N(J1577)+N(H1578))</f>
        <v/>
      </c>
      <c r="K1578" s="74" t="str">
        <f t="shared" si="1568"/>
        <v/>
      </c>
      <c r="L1578" s="69" t="str">
        <f>IF($B1578="","",PV-J1578)</f>
        <v/>
      </c>
      <c r="M1578" s="71" t="str">
        <f>IF($B1578="","",J1578/PV)</f>
        <v/>
      </c>
      <c r="N1578" s="72" t="str">
        <f t="shared" si="4"/>
        <v/>
      </c>
    </row>
    <row r="1579" ht="14.25" customHeight="1">
      <c r="B1579" s="66" t="str">
        <f>IF(ROWS($1:1567)&lt;=Nper,ROWS($1:1567),"")</f>
        <v/>
      </c>
      <c r="C1579" s="67" t="str">
        <f>IF($B1579="","",IF($E$7="Weekly",Start_Date+7*(ROWS($1:1567)-1),EDATE(Start_Date,VLOOKUP(IF(ASTemp!$E$7="","Monthly",ASTemp!$E$7),Parameters!$B$3:$D$6,3,0)*(ROWS($1:1567)-1))))</f>
        <v/>
      </c>
      <c r="D1579" s="68" t="str">
        <f t="shared" si="2"/>
        <v/>
      </c>
      <c r="E1579" s="65" t="str">
        <f>IF($B1579="","",VLOOKUP(MONTH(C1579),Parameters!$F$2:$G$13,2,0))</f>
        <v/>
      </c>
      <c r="F1579" s="69" t="str">
        <f>IF($B1579="","",PV-N(J1578))</f>
        <v/>
      </c>
      <c r="G1579" s="69" t="str">
        <f>IF($B1579="","",PMT(Rate,Nper,-PV,,Type))</f>
        <v/>
      </c>
      <c r="H1579" s="69" t="str">
        <f>IF($B1579="","",PPMT(Rate,ROWS($1:1567),Nper,-PV,,Type))</f>
        <v/>
      </c>
      <c r="I1579" s="69" t="str">
        <f>IF($B1579="","",IPMT(Rate,ROWS($1:1567),Nper,-PV,,Type))</f>
        <v/>
      </c>
      <c r="J1579" s="73" t="str">
        <f t="shared" ref="J1579:K1579" si="1569">IF($B1579="","",N(J1578)+N(H1579))</f>
        <v/>
      </c>
      <c r="K1579" s="74" t="str">
        <f t="shared" si="1569"/>
        <v/>
      </c>
      <c r="L1579" s="69" t="str">
        <f>IF($B1579="","",PV-J1579)</f>
        <v/>
      </c>
      <c r="M1579" s="71" t="str">
        <f>IF($B1579="","",J1579/PV)</f>
        <v/>
      </c>
      <c r="N1579" s="72" t="str">
        <f t="shared" si="4"/>
        <v/>
      </c>
    </row>
    <row r="1580" ht="14.25" customHeight="1">
      <c r="B1580" s="66" t="str">
        <f>IF(ROWS($1:1568)&lt;=Nper,ROWS($1:1568),"")</f>
        <v/>
      </c>
      <c r="C1580" s="67" t="str">
        <f>IF($B1580="","",IF($E$7="Weekly",Start_Date+7*(ROWS($1:1568)-1),EDATE(Start_Date,VLOOKUP(IF(ASTemp!$E$7="","Monthly",ASTemp!$E$7),Parameters!$B$3:$D$6,3,0)*(ROWS($1:1568)-1))))</f>
        <v/>
      </c>
      <c r="D1580" s="68" t="str">
        <f t="shared" si="2"/>
        <v/>
      </c>
      <c r="E1580" s="65" t="str">
        <f>IF($B1580="","",VLOOKUP(MONTH(C1580),Parameters!$F$2:$G$13,2,0))</f>
        <v/>
      </c>
      <c r="F1580" s="69" t="str">
        <f>IF($B1580="","",PV-N(J1579))</f>
        <v/>
      </c>
      <c r="G1580" s="69" t="str">
        <f>IF($B1580="","",PMT(Rate,Nper,-PV,,Type))</f>
        <v/>
      </c>
      <c r="H1580" s="69" t="str">
        <f>IF($B1580="","",PPMT(Rate,ROWS($1:1568),Nper,-PV,,Type))</f>
        <v/>
      </c>
      <c r="I1580" s="69" t="str">
        <f>IF($B1580="","",IPMT(Rate,ROWS($1:1568),Nper,-PV,,Type))</f>
        <v/>
      </c>
      <c r="J1580" s="73" t="str">
        <f t="shared" ref="J1580:K1580" si="1570">IF($B1580="","",N(J1579)+N(H1580))</f>
        <v/>
      </c>
      <c r="K1580" s="74" t="str">
        <f t="shared" si="1570"/>
        <v/>
      </c>
      <c r="L1580" s="69" t="str">
        <f>IF($B1580="","",PV-J1580)</f>
        <v/>
      </c>
      <c r="M1580" s="71" t="str">
        <f>IF($B1580="","",J1580/PV)</f>
        <v/>
      </c>
      <c r="N1580" s="72" t="str">
        <f t="shared" si="4"/>
        <v/>
      </c>
    </row>
    <row r="1581" ht="14.25" customHeight="1">
      <c r="B1581" s="66" t="str">
        <f>IF(ROWS($1:1569)&lt;=Nper,ROWS($1:1569),"")</f>
        <v/>
      </c>
      <c r="C1581" s="67" t="str">
        <f>IF($B1581="","",IF($E$7="Weekly",Start_Date+7*(ROWS($1:1569)-1),EDATE(Start_Date,VLOOKUP(IF(ASTemp!$E$7="","Monthly",ASTemp!$E$7),Parameters!$B$3:$D$6,3,0)*(ROWS($1:1569)-1))))</f>
        <v/>
      </c>
      <c r="D1581" s="68" t="str">
        <f t="shared" si="2"/>
        <v/>
      </c>
      <c r="E1581" s="65" t="str">
        <f>IF($B1581="","",VLOOKUP(MONTH(C1581),Parameters!$F$2:$G$13,2,0))</f>
        <v/>
      </c>
      <c r="F1581" s="69" t="str">
        <f>IF($B1581="","",PV-N(J1580))</f>
        <v/>
      </c>
      <c r="G1581" s="69" t="str">
        <f>IF($B1581="","",PMT(Rate,Nper,-PV,,Type))</f>
        <v/>
      </c>
      <c r="H1581" s="69" t="str">
        <f>IF($B1581="","",PPMT(Rate,ROWS($1:1569),Nper,-PV,,Type))</f>
        <v/>
      </c>
      <c r="I1581" s="69" t="str">
        <f>IF($B1581="","",IPMT(Rate,ROWS($1:1569),Nper,-PV,,Type))</f>
        <v/>
      </c>
      <c r="J1581" s="73" t="str">
        <f t="shared" ref="J1581:K1581" si="1571">IF($B1581="","",N(J1580)+N(H1581))</f>
        <v/>
      </c>
      <c r="K1581" s="74" t="str">
        <f t="shared" si="1571"/>
        <v/>
      </c>
      <c r="L1581" s="69" t="str">
        <f>IF($B1581="","",PV-J1581)</f>
        <v/>
      </c>
      <c r="M1581" s="71" t="str">
        <f>IF($B1581="","",J1581/PV)</f>
        <v/>
      </c>
      <c r="N1581" s="72" t="str">
        <f t="shared" si="4"/>
        <v/>
      </c>
    </row>
    <row r="1582" ht="14.25" customHeight="1">
      <c r="B1582" s="66" t="str">
        <f>IF(ROWS($1:1570)&lt;=Nper,ROWS($1:1570),"")</f>
        <v/>
      </c>
      <c r="C1582" s="67" t="str">
        <f>IF($B1582="","",IF($E$7="Weekly",Start_Date+7*(ROWS($1:1570)-1),EDATE(Start_Date,VLOOKUP(IF(ASTemp!$E$7="","Monthly",ASTemp!$E$7),Parameters!$B$3:$D$6,3,0)*(ROWS($1:1570)-1))))</f>
        <v/>
      </c>
      <c r="D1582" s="68" t="str">
        <f t="shared" si="2"/>
        <v/>
      </c>
      <c r="E1582" s="65" t="str">
        <f>IF($B1582="","",VLOOKUP(MONTH(C1582),Parameters!$F$2:$G$13,2,0))</f>
        <v/>
      </c>
      <c r="F1582" s="69" t="str">
        <f>IF($B1582="","",PV-N(J1581))</f>
        <v/>
      </c>
      <c r="G1582" s="69" t="str">
        <f>IF($B1582="","",PMT(Rate,Nper,-PV,,Type))</f>
        <v/>
      </c>
      <c r="H1582" s="69" t="str">
        <f>IF($B1582="","",PPMT(Rate,ROWS($1:1570),Nper,-PV,,Type))</f>
        <v/>
      </c>
      <c r="I1582" s="69" t="str">
        <f>IF($B1582="","",IPMT(Rate,ROWS($1:1570),Nper,-PV,,Type))</f>
        <v/>
      </c>
      <c r="J1582" s="73" t="str">
        <f t="shared" ref="J1582:K1582" si="1572">IF($B1582="","",N(J1581)+N(H1582))</f>
        <v/>
      </c>
      <c r="K1582" s="74" t="str">
        <f t="shared" si="1572"/>
        <v/>
      </c>
      <c r="L1582" s="69" t="str">
        <f>IF($B1582="","",PV-J1582)</f>
        <v/>
      </c>
      <c r="M1582" s="71" t="str">
        <f>IF($B1582="","",J1582/PV)</f>
        <v/>
      </c>
      <c r="N1582" s="72" t="str">
        <f t="shared" si="4"/>
        <v/>
      </c>
    </row>
    <row r="1583" ht="14.25" customHeight="1">
      <c r="B1583" s="66" t="str">
        <f>IF(ROWS($1:1571)&lt;=Nper,ROWS($1:1571),"")</f>
        <v/>
      </c>
      <c r="C1583" s="67" t="str">
        <f>IF($B1583="","",IF($E$7="Weekly",Start_Date+7*(ROWS($1:1571)-1),EDATE(Start_Date,VLOOKUP(IF(ASTemp!$E$7="","Monthly",ASTemp!$E$7),Parameters!$B$3:$D$6,3,0)*(ROWS($1:1571)-1))))</f>
        <v/>
      </c>
      <c r="D1583" s="68" t="str">
        <f t="shared" si="2"/>
        <v/>
      </c>
      <c r="E1583" s="65" t="str">
        <f>IF($B1583="","",VLOOKUP(MONTH(C1583),Parameters!$F$2:$G$13,2,0))</f>
        <v/>
      </c>
      <c r="F1583" s="69" t="str">
        <f>IF($B1583="","",PV-N(J1582))</f>
        <v/>
      </c>
      <c r="G1583" s="69" t="str">
        <f>IF($B1583="","",PMT(Rate,Nper,-PV,,Type))</f>
        <v/>
      </c>
      <c r="H1583" s="69" t="str">
        <f>IF($B1583="","",PPMT(Rate,ROWS($1:1571),Nper,-PV,,Type))</f>
        <v/>
      </c>
      <c r="I1583" s="69" t="str">
        <f>IF($B1583="","",IPMT(Rate,ROWS($1:1571),Nper,-PV,,Type))</f>
        <v/>
      </c>
      <c r="J1583" s="73" t="str">
        <f t="shared" ref="J1583:K1583" si="1573">IF($B1583="","",N(J1582)+N(H1583))</f>
        <v/>
      </c>
      <c r="K1583" s="74" t="str">
        <f t="shared" si="1573"/>
        <v/>
      </c>
      <c r="L1583" s="69" t="str">
        <f>IF($B1583="","",PV-J1583)</f>
        <v/>
      </c>
      <c r="M1583" s="71" t="str">
        <f>IF($B1583="","",J1583/PV)</f>
        <v/>
      </c>
      <c r="N1583" s="72" t="str">
        <f t="shared" si="4"/>
        <v/>
      </c>
    </row>
    <row r="1584" ht="14.25" customHeight="1">
      <c r="B1584" s="66" t="str">
        <f>IF(ROWS($1:1572)&lt;=Nper,ROWS($1:1572),"")</f>
        <v/>
      </c>
      <c r="C1584" s="67" t="str">
        <f>IF($B1584="","",IF($E$7="Weekly",Start_Date+7*(ROWS($1:1572)-1),EDATE(Start_Date,VLOOKUP(IF(ASTemp!$E$7="","Monthly",ASTemp!$E$7),Parameters!$B$3:$D$6,3,0)*(ROWS($1:1572)-1))))</f>
        <v/>
      </c>
      <c r="D1584" s="68" t="str">
        <f t="shared" si="2"/>
        <v/>
      </c>
      <c r="E1584" s="65" t="str">
        <f>IF($B1584="","",VLOOKUP(MONTH(C1584),Parameters!$F$2:$G$13,2,0))</f>
        <v/>
      </c>
      <c r="F1584" s="69" t="str">
        <f>IF($B1584="","",PV-N(J1583))</f>
        <v/>
      </c>
      <c r="G1584" s="69" t="str">
        <f>IF($B1584="","",PMT(Rate,Nper,-PV,,Type))</f>
        <v/>
      </c>
      <c r="H1584" s="69" t="str">
        <f>IF($B1584="","",PPMT(Rate,ROWS($1:1572),Nper,-PV,,Type))</f>
        <v/>
      </c>
      <c r="I1584" s="69" t="str">
        <f>IF($B1584="","",IPMT(Rate,ROWS($1:1572),Nper,-PV,,Type))</f>
        <v/>
      </c>
      <c r="J1584" s="73" t="str">
        <f t="shared" ref="J1584:K1584" si="1574">IF($B1584="","",N(J1583)+N(H1584))</f>
        <v/>
      </c>
      <c r="K1584" s="74" t="str">
        <f t="shared" si="1574"/>
        <v/>
      </c>
      <c r="L1584" s="69" t="str">
        <f>IF($B1584="","",PV-J1584)</f>
        <v/>
      </c>
      <c r="M1584" s="71" t="str">
        <f>IF($B1584="","",J1584/PV)</f>
        <v/>
      </c>
      <c r="N1584" s="72" t="str">
        <f t="shared" si="4"/>
        <v/>
      </c>
    </row>
    <row r="1585" ht="14.25" customHeight="1">
      <c r="B1585" s="66" t="str">
        <f>IF(ROWS($1:1573)&lt;=Nper,ROWS($1:1573),"")</f>
        <v/>
      </c>
      <c r="C1585" s="67" t="str">
        <f>IF($B1585="","",IF($E$7="Weekly",Start_Date+7*(ROWS($1:1573)-1),EDATE(Start_Date,VLOOKUP(IF(ASTemp!$E$7="","Monthly",ASTemp!$E$7),Parameters!$B$3:$D$6,3,0)*(ROWS($1:1573)-1))))</f>
        <v/>
      </c>
      <c r="D1585" s="68" t="str">
        <f t="shared" si="2"/>
        <v/>
      </c>
      <c r="E1585" s="65" t="str">
        <f>IF($B1585="","",VLOOKUP(MONTH(C1585),Parameters!$F$2:$G$13,2,0))</f>
        <v/>
      </c>
      <c r="F1585" s="69" t="str">
        <f>IF($B1585="","",PV-N(J1584))</f>
        <v/>
      </c>
      <c r="G1585" s="69" t="str">
        <f>IF($B1585="","",PMT(Rate,Nper,-PV,,Type))</f>
        <v/>
      </c>
      <c r="H1585" s="69" t="str">
        <f>IF($B1585="","",PPMT(Rate,ROWS($1:1573),Nper,-PV,,Type))</f>
        <v/>
      </c>
      <c r="I1585" s="69" t="str">
        <f>IF($B1585="","",IPMT(Rate,ROWS($1:1573),Nper,-PV,,Type))</f>
        <v/>
      </c>
      <c r="J1585" s="73" t="str">
        <f t="shared" ref="J1585:K1585" si="1575">IF($B1585="","",N(J1584)+N(H1585))</f>
        <v/>
      </c>
      <c r="K1585" s="74" t="str">
        <f t="shared" si="1575"/>
        <v/>
      </c>
      <c r="L1585" s="69" t="str">
        <f>IF($B1585="","",PV-J1585)</f>
        <v/>
      </c>
      <c r="M1585" s="71" t="str">
        <f>IF($B1585="","",J1585/PV)</f>
        <v/>
      </c>
      <c r="N1585" s="72" t="str">
        <f t="shared" si="4"/>
        <v/>
      </c>
    </row>
    <row r="1586" ht="14.25" customHeight="1">
      <c r="B1586" s="66" t="str">
        <f>IF(ROWS($1:1574)&lt;=Nper,ROWS($1:1574),"")</f>
        <v/>
      </c>
      <c r="C1586" s="67" t="str">
        <f>IF($B1586="","",IF($E$7="Weekly",Start_Date+7*(ROWS($1:1574)-1),EDATE(Start_Date,VLOOKUP(IF(ASTemp!$E$7="","Monthly",ASTemp!$E$7),Parameters!$B$3:$D$6,3,0)*(ROWS($1:1574)-1))))</f>
        <v/>
      </c>
      <c r="D1586" s="68" t="str">
        <f t="shared" si="2"/>
        <v/>
      </c>
      <c r="E1586" s="65" t="str">
        <f>IF($B1586="","",VLOOKUP(MONTH(C1586),Parameters!$F$2:$G$13,2,0))</f>
        <v/>
      </c>
      <c r="F1586" s="69" t="str">
        <f>IF($B1586="","",PV-N(J1585))</f>
        <v/>
      </c>
      <c r="G1586" s="69" t="str">
        <f>IF($B1586="","",PMT(Rate,Nper,-PV,,Type))</f>
        <v/>
      </c>
      <c r="H1586" s="69" t="str">
        <f>IF($B1586="","",PPMT(Rate,ROWS($1:1574),Nper,-PV,,Type))</f>
        <v/>
      </c>
      <c r="I1586" s="69" t="str">
        <f>IF($B1586="","",IPMT(Rate,ROWS($1:1574),Nper,-PV,,Type))</f>
        <v/>
      </c>
      <c r="J1586" s="73" t="str">
        <f t="shared" ref="J1586:K1586" si="1576">IF($B1586="","",N(J1585)+N(H1586))</f>
        <v/>
      </c>
      <c r="K1586" s="74" t="str">
        <f t="shared" si="1576"/>
        <v/>
      </c>
      <c r="L1586" s="69" t="str">
        <f>IF($B1586="","",PV-J1586)</f>
        <v/>
      </c>
      <c r="M1586" s="71" t="str">
        <f>IF($B1586="","",J1586/PV)</f>
        <v/>
      </c>
      <c r="N1586" s="72" t="str">
        <f t="shared" si="4"/>
        <v/>
      </c>
    </row>
    <row r="1587" ht="14.25" customHeight="1">
      <c r="B1587" s="66" t="str">
        <f>IF(ROWS($1:1575)&lt;=Nper,ROWS($1:1575),"")</f>
        <v/>
      </c>
      <c r="C1587" s="67" t="str">
        <f>IF($B1587="","",IF($E$7="Weekly",Start_Date+7*(ROWS($1:1575)-1),EDATE(Start_Date,VLOOKUP(IF(ASTemp!$E$7="","Monthly",ASTemp!$E$7),Parameters!$B$3:$D$6,3,0)*(ROWS($1:1575)-1))))</f>
        <v/>
      </c>
      <c r="D1587" s="68" t="str">
        <f t="shared" si="2"/>
        <v/>
      </c>
      <c r="E1587" s="65" t="str">
        <f>IF($B1587="","",VLOOKUP(MONTH(C1587),Parameters!$F$2:$G$13,2,0))</f>
        <v/>
      </c>
      <c r="F1587" s="69" t="str">
        <f>IF($B1587="","",PV-N(J1586))</f>
        <v/>
      </c>
      <c r="G1587" s="69" t="str">
        <f>IF($B1587="","",PMT(Rate,Nper,-PV,,Type))</f>
        <v/>
      </c>
      <c r="H1587" s="69" t="str">
        <f>IF($B1587="","",PPMT(Rate,ROWS($1:1575),Nper,-PV,,Type))</f>
        <v/>
      </c>
      <c r="I1587" s="69" t="str">
        <f>IF($B1587="","",IPMT(Rate,ROWS($1:1575),Nper,-PV,,Type))</f>
        <v/>
      </c>
      <c r="J1587" s="73" t="str">
        <f t="shared" ref="J1587:K1587" si="1577">IF($B1587="","",N(J1586)+N(H1587))</f>
        <v/>
      </c>
      <c r="K1587" s="74" t="str">
        <f t="shared" si="1577"/>
        <v/>
      </c>
      <c r="L1587" s="69" t="str">
        <f>IF($B1587="","",PV-J1587)</f>
        <v/>
      </c>
      <c r="M1587" s="71" t="str">
        <f>IF($B1587="","",J1587/PV)</f>
        <v/>
      </c>
      <c r="N1587" s="72" t="str">
        <f t="shared" si="4"/>
        <v/>
      </c>
    </row>
    <row r="1588" ht="14.25" customHeight="1">
      <c r="B1588" s="66" t="str">
        <f>IF(ROWS($1:1576)&lt;=Nper,ROWS($1:1576),"")</f>
        <v/>
      </c>
      <c r="C1588" s="67" t="str">
        <f>IF($B1588="","",IF($E$7="Weekly",Start_Date+7*(ROWS($1:1576)-1),EDATE(Start_Date,VLOOKUP(IF(ASTemp!$E$7="","Monthly",ASTemp!$E$7),Parameters!$B$3:$D$6,3,0)*(ROWS($1:1576)-1))))</f>
        <v/>
      </c>
      <c r="D1588" s="68" t="str">
        <f t="shared" si="2"/>
        <v/>
      </c>
      <c r="E1588" s="65" t="str">
        <f>IF($B1588="","",VLOOKUP(MONTH(C1588),Parameters!$F$2:$G$13,2,0))</f>
        <v/>
      </c>
      <c r="F1588" s="69" t="str">
        <f>IF($B1588="","",PV-N(J1587))</f>
        <v/>
      </c>
      <c r="G1588" s="69" t="str">
        <f>IF($B1588="","",PMT(Rate,Nper,-PV,,Type))</f>
        <v/>
      </c>
      <c r="H1588" s="69" t="str">
        <f>IF($B1588="","",PPMT(Rate,ROWS($1:1576),Nper,-PV,,Type))</f>
        <v/>
      </c>
      <c r="I1588" s="69" t="str">
        <f>IF($B1588="","",IPMT(Rate,ROWS($1:1576),Nper,-PV,,Type))</f>
        <v/>
      </c>
      <c r="J1588" s="73" t="str">
        <f t="shared" ref="J1588:K1588" si="1578">IF($B1588="","",N(J1587)+N(H1588))</f>
        <v/>
      </c>
      <c r="K1588" s="74" t="str">
        <f t="shared" si="1578"/>
        <v/>
      </c>
      <c r="L1588" s="69" t="str">
        <f>IF($B1588="","",PV-J1588)</f>
        <v/>
      </c>
      <c r="M1588" s="71" t="str">
        <f>IF($B1588="","",J1588/PV)</f>
        <v/>
      </c>
      <c r="N1588" s="72" t="str">
        <f t="shared" si="4"/>
        <v/>
      </c>
    </row>
    <row r="1589" ht="14.25" customHeight="1">
      <c r="B1589" s="66" t="str">
        <f>IF(ROWS($1:1577)&lt;=Nper,ROWS($1:1577),"")</f>
        <v/>
      </c>
      <c r="C1589" s="67" t="str">
        <f>IF($B1589="","",IF($E$7="Weekly",Start_Date+7*(ROWS($1:1577)-1),EDATE(Start_Date,VLOOKUP(IF(ASTemp!$E$7="","Monthly",ASTemp!$E$7),Parameters!$B$3:$D$6,3,0)*(ROWS($1:1577)-1))))</f>
        <v/>
      </c>
      <c r="D1589" s="68" t="str">
        <f t="shared" si="2"/>
        <v/>
      </c>
      <c r="E1589" s="65" t="str">
        <f>IF($B1589="","",VLOOKUP(MONTH(C1589),Parameters!$F$2:$G$13,2,0))</f>
        <v/>
      </c>
      <c r="F1589" s="69" t="str">
        <f>IF($B1589="","",PV-N(J1588))</f>
        <v/>
      </c>
      <c r="G1589" s="69" t="str">
        <f>IF($B1589="","",PMT(Rate,Nper,-PV,,Type))</f>
        <v/>
      </c>
      <c r="H1589" s="69" t="str">
        <f>IF($B1589="","",PPMT(Rate,ROWS($1:1577),Nper,-PV,,Type))</f>
        <v/>
      </c>
      <c r="I1589" s="69" t="str">
        <f>IF($B1589="","",IPMT(Rate,ROWS($1:1577),Nper,-PV,,Type))</f>
        <v/>
      </c>
      <c r="J1589" s="73" t="str">
        <f t="shared" ref="J1589:K1589" si="1579">IF($B1589="","",N(J1588)+N(H1589))</f>
        <v/>
      </c>
      <c r="K1589" s="74" t="str">
        <f t="shared" si="1579"/>
        <v/>
      </c>
      <c r="L1589" s="69" t="str">
        <f>IF($B1589="","",PV-J1589)</f>
        <v/>
      </c>
      <c r="M1589" s="71" t="str">
        <f>IF($B1589="","",J1589/PV)</f>
        <v/>
      </c>
      <c r="N1589" s="72" t="str">
        <f t="shared" si="4"/>
        <v/>
      </c>
    </row>
    <row r="1590" ht="14.25" customHeight="1">
      <c r="B1590" s="66" t="str">
        <f>IF(ROWS($1:1578)&lt;=Nper,ROWS($1:1578),"")</f>
        <v/>
      </c>
      <c r="C1590" s="67" t="str">
        <f>IF($B1590="","",IF($E$7="Weekly",Start_Date+7*(ROWS($1:1578)-1),EDATE(Start_Date,VLOOKUP(IF(ASTemp!$E$7="","Monthly",ASTemp!$E$7),Parameters!$B$3:$D$6,3,0)*(ROWS($1:1578)-1))))</f>
        <v/>
      </c>
      <c r="D1590" s="68" t="str">
        <f t="shared" si="2"/>
        <v/>
      </c>
      <c r="E1590" s="65" t="str">
        <f>IF($B1590="","",VLOOKUP(MONTH(C1590),Parameters!$F$2:$G$13,2,0))</f>
        <v/>
      </c>
      <c r="F1590" s="69" t="str">
        <f>IF($B1590="","",PV-N(J1589))</f>
        <v/>
      </c>
      <c r="G1590" s="69" t="str">
        <f>IF($B1590="","",PMT(Rate,Nper,-PV,,Type))</f>
        <v/>
      </c>
      <c r="H1590" s="69" t="str">
        <f>IF($B1590="","",PPMT(Rate,ROWS($1:1578),Nper,-PV,,Type))</f>
        <v/>
      </c>
      <c r="I1590" s="69" t="str">
        <f>IF($B1590="","",IPMT(Rate,ROWS($1:1578),Nper,-PV,,Type))</f>
        <v/>
      </c>
      <c r="J1590" s="73" t="str">
        <f t="shared" ref="J1590:K1590" si="1580">IF($B1590="","",N(J1589)+N(H1590))</f>
        <v/>
      </c>
      <c r="K1590" s="74" t="str">
        <f t="shared" si="1580"/>
        <v/>
      </c>
      <c r="L1590" s="69" t="str">
        <f>IF($B1590="","",PV-J1590)</f>
        <v/>
      </c>
      <c r="M1590" s="71" t="str">
        <f>IF($B1590="","",J1590/PV)</f>
        <v/>
      </c>
      <c r="N1590" s="72" t="str">
        <f t="shared" si="4"/>
        <v/>
      </c>
    </row>
    <row r="1591" ht="14.25" customHeight="1">
      <c r="B1591" s="66" t="str">
        <f>IF(ROWS($1:1579)&lt;=Nper,ROWS($1:1579),"")</f>
        <v/>
      </c>
      <c r="C1591" s="67" t="str">
        <f>IF($B1591="","",IF($E$7="Weekly",Start_Date+7*(ROWS($1:1579)-1),EDATE(Start_Date,VLOOKUP(IF(ASTemp!$E$7="","Monthly",ASTemp!$E$7),Parameters!$B$3:$D$6,3,0)*(ROWS($1:1579)-1))))</f>
        <v/>
      </c>
      <c r="D1591" s="68" t="str">
        <f t="shared" si="2"/>
        <v/>
      </c>
      <c r="E1591" s="65" t="str">
        <f>IF($B1591="","",VLOOKUP(MONTH(C1591),Parameters!$F$2:$G$13,2,0))</f>
        <v/>
      </c>
      <c r="F1591" s="69" t="str">
        <f>IF($B1591="","",PV-N(J1590))</f>
        <v/>
      </c>
      <c r="G1591" s="69" t="str">
        <f>IF($B1591="","",PMT(Rate,Nper,-PV,,Type))</f>
        <v/>
      </c>
      <c r="H1591" s="69" t="str">
        <f>IF($B1591="","",PPMT(Rate,ROWS($1:1579),Nper,-PV,,Type))</f>
        <v/>
      </c>
      <c r="I1591" s="69" t="str">
        <f>IF($B1591="","",IPMT(Rate,ROWS($1:1579),Nper,-PV,,Type))</f>
        <v/>
      </c>
      <c r="J1591" s="73" t="str">
        <f t="shared" ref="J1591:K1591" si="1581">IF($B1591="","",N(J1590)+N(H1591))</f>
        <v/>
      </c>
      <c r="K1591" s="74" t="str">
        <f t="shared" si="1581"/>
        <v/>
      </c>
      <c r="L1591" s="69" t="str">
        <f>IF($B1591="","",PV-J1591)</f>
        <v/>
      </c>
      <c r="M1591" s="71" t="str">
        <f>IF($B1591="","",J1591/PV)</f>
        <v/>
      </c>
      <c r="N1591" s="72" t="str">
        <f t="shared" si="4"/>
        <v/>
      </c>
    </row>
    <row r="1592" ht="14.25" customHeight="1">
      <c r="B1592" s="66" t="str">
        <f>IF(ROWS($1:1580)&lt;=Nper,ROWS($1:1580),"")</f>
        <v/>
      </c>
      <c r="C1592" s="67" t="str">
        <f>IF($B1592="","",IF($E$7="Weekly",Start_Date+7*(ROWS($1:1580)-1),EDATE(Start_Date,VLOOKUP(IF(ASTemp!$E$7="","Monthly",ASTemp!$E$7),Parameters!$B$3:$D$6,3,0)*(ROWS($1:1580)-1))))</f>
        <v/>
      </c>
      <c r="D1592" s="68" t="str">
        <f t="shared" si="2"/>
        <v/>
      </c>
      <c r="E1592" s="65" t="str">
        <f>IF($B1592="","",VLOOKUP(MONTH(C1592),Parameters!$F$2:$G$13,2,0))</f>
        <v/>
      </c>
      <c r="F1592" s="69" t="str">
        <f>IF($B1592="","",PV-N(J1591))</f>
        <v/>
      </c>
      <c r="G1592" s="69" t="str">
        <f>IF($B1592="","",PMT(Rate,Nper,-PV,,Type))</f>
        <v/>
      </c>
      <c r="H1592" s="69" t="str">
        <f>IF($B1592="","",PPMT(Rate,ROWS($1:1580),Nper,-PV,,Type))</f>
        <v/>
      </c>
      <c r="I1592" s="69" t="str">
        <f>IF($B1592="","",IPMT(Rate,ROWS($1:1580),Nper,-PV,,Type))</f>
        <v/>
      </c>
      <c r="J1592" s="73" t="str">
        <f t="shared" ref="J1592:K1592" si="1582">IF($B1592="","",N(J1591)+N(H1592))</f>
        <v/>
      </c>
      <c r="K1592" s="74" t="str">
        <f t="shared" si="1582"/>
        <v/>
      </c>
      <c r="L1592" s="69" t="str">
        <f>IF($B1592="","",PV-J1592)</f>
        <v/>
      </c>
      <c r="M1592" s="71" t="str">
        <f>IF($B1592="","",J1592/PV)</f>
        <v/>
      </c>
      <c r="N1592" s="72" t="str">
        <f t="shared" si="4"/>
        <v/>
      </c>
    </row>
    <row r="1593" ht="14.25" customHeight="1">
      <c r="B1593" s="66" t="str">
        <f>IF(ROWS($1:1581)&lt;=Nper,ROWS($1:1581),"")</f>
        <v/>
      </c>
      <c r="C1593" s="67" t="str">
        <f>IF($B1593="","",IF($E$7="Weekly",Start_Date+7*(ROWS($1:1581)-1),EDATE(Start_Date,VLOOKUP(IF(ASTemp!$E$7="","Monthly",ASTemp!$E$7),Parameters!$B$3:$D$6,3,0)*(ROWS($1:1581)-1))))</f>
        <v/>
      </c>
      <c r="D1593" s="68" t="str">
        <f t="shared" si="2"/>
        <v/>
      </c>
      <c r="E1593" s="65" t="str">
        <f>IF($B1593="","",VLOOKUP(MONTH(C1593),Parameters!$F$2:$G$13,2,0))</f>
        <v/>
      </c>
      <c r="F1593" s="69" t="str">
        <f>IF($B1593="","",PV-N(J1592))</f>
        <v/>
      </c>
      <c r="G1593" s="69" t="str">
        <f>IF($B1593="","",PMT(Rate,Nper,-PV,,Type))</f>
        <v/>
      </c>
      <c r="H1593" s="69" t="str">
        <f>IF($B1593="","",PPMT(Rate,ROWS($1:1581),Nper,-PV,,Type))</f>
        <v/>
      </c>
      <c r="I1593" s="69" t="str">
        <f>IF($B1593="","",IPMT(Rate,ROWS($1:1581),Nper,-PV,,Type))</f>
        <v/>
      </c>
      <c r="J1593" s="73" t="str">
        <f t="shared" ref="J1593:K1593" si="1583">IF($B1593="","",N(J1592)+N(H1593))</f>
        <v/>
      </c>
      <c r="K1593" s="74" t="str">
        <f t="shared" si="1583"/>
        <v/>
      </c>
      <c r="L1593" s="69" t="str">
        <f>IF($B1593="","",PV-J1593)</f>
        <v/>
      </c>
      <c r="M1593" s="71" t="str">
        <f>IF($B1593="","",J1593/PV)</f>
        <v/>
      </c>
      <c r="N1593" s="72" t="str">
        <f t="shared" si="4"/>
        <v/>
      </c>
    </row>
    <row r="1594" ht="14.25" customHeight="1">
      <c r="B1594" s="66" t="str">
        <f>IF(ROWS($1:1582)&lt;=Nper,ROWS($1:1582),"")</f>
        <v/>
      </c>
      <c r="C1594" s="67" t="str">
        <f>IF($B1594="","",IF($E$7="Weekly",Start_Date+7*(ROWS($1:1582)-1),EDATE(Start_Date,VLOOKUP(IF(ASTemp!$E$7="","Monthly",ASTemp!$E$7),Parameters!$B$3:$D$6,3,0)*(ROWS($1:1582)-1))))</f>
        <v/>
      </c>
      <c r="D1594" s="68" t="str">
        <f t="shared" si="2"/>
        <v/>
      </c>
      <c r="E1594" s="65" t="str">
        <f>IF($B1594="","",VLOOKUP(MONTH(C1594),Parameters!$F$2:$G$13,2,0))</f>
        <v/>
      </c>
      <c r="F1594" s="69" t="str">
        <f>IF($B1594="","",PV-N(J1593))</f>
        <v/>
      </c>
      <c r="G1594" s="69" t="str">
        <f>IF($B1594="","",PMT(Rate,Nper,-PV,,Type))</f>
        <v/>
      </c>
      <c r="H1594" s="69" t="str">
        <f>IF($B1594="","",PPMT(Rate,ROWS($1:1582),Nper,-PV,,Type))</f>
        <v/>
      </c>
      <c r="I1594" s="69" t="str">
        <f>IF($B1594="","",IPMT(Rate,ROWS($1:1582),Nper,-PV,,Type))</f>
        <v/>
      </c>
      <c r="J1594" s="73" t="str">
        <f t="shared" ref="J1594:K1594" si="1584">IF($B1594="","",N(J1593)+N(H1594))</f>
        <v/>
      </c>
      <c r="K1594" s="74" t="str">
        <f t="shared" si="1584"/>
        <v/>
      </c>
      <c r="L1594" s="69" t="str">
        <f>IF($B1594="","",PV-J1594)</f>
        <v/>
      </c>
      <c r="M1594" s="71" t="str">
        <f>IF($B1594="","",J1594/PV)</f>
        <v/>
      </c>
      <c r="N1594" s="72" t="str">
        <f t="shared" si="4"/>
        <v/>
      </c>
    </row>
    <row r="1595" ht="14.25" customHeight="1">
      <c r="B1595" s="66" t="str">
        <f>IF(ROWS($1:1583)&lt;=Nper,ROWS($1:1583),"")</f>
        <v/>
      </c>
      <c r="C1595" s="67" t="str">
        <f>IF($B1595="","",IF($E$7="Weekly",Start_Date+7*(ROWS($1:1583)-1),EDATE(Start_Date,VLOOKUP(IF(ASTemp!$E$7="","Monthly",ASTemp!$E$7),Parameters!$B$3:$D$6,3,0)*(ROWS($1:1583)-1))))</f>
        <v/>
      </c>
      <c r="D1595" s="68" t="str">
        <f t="shared" si="2"/>
        <v/>
      </c>
      <c r="E1595" s="65" t="str">
        <f>IF($B1595="","",VLOOKUP(MONTH(C1595),Parameters!$F$2:$G$13,2,0))</f>
        <v/>
      </c>
      <c r="F1595" s="69" t="str">
        <f>IF($B1595="","",PV-N(J1594))</f>
        <v/>
      </c>
      <c r="G1595" s="69" t="str">
        <f>IF($B1595="","",PMT(Rate,Nper,-PV,,Type))</f>
        <v/>
      </c>
      <c r="H1595" s="69" t="str">
        <f>IF($B1595="","",PPMT(Rate,ROWS($1:1583),Nper,-PV,,Type))</f>
        <v/>
      </c>
      <c r="I1595" s="69" t="str">
        <f>IF($B1595="","",IPMT(Rate,ROWS($1:1583),Nper,-PV,,Type))</f>
        <v/>
      </c>
      <c r="J1595" s="73" t="str">
        <f t="shared" ref="J1595:K1595" si="1585">IF($B1595="","",N(J1594)+N(H1595))</f>
        <v/>
      </c>
      <c r="K1595" s="74" t="str">
        <f t="shared" si="1585"/>
        <v/>
      </c>
      <c r="L1595" s="69" t="str">
        <f>IF($B1595="","",PV-J1595)</f>
        <v/>
      </c>
      <c r="M1595" s="71" t="str">
        <f>IF($B1595="","",J1595/PV)</f>
        <v/>
      </c>
      <c r="N1595" s="72" t="str">
        <f t="shared" si="4"/>
        <v/>
      </c>
    </row>
    <row r="1596" ht="14.25" customHeight="1">
      <c r="B1596" s="66" t="str">
        <f>IF(ROWS($1:1584)&lt;=Nper,ROWS($1:1584),"")</f>
        <v/>
      </c>
      <c r="C1596" s="67" t="str">
        <f>IF($B1596="","",IF($E$7="Weekly",Start_Date+7*(ROWS($1:1584)-1),EDATE(Start_Date,VLOOKUP(IF(ASTemp!$E$7="","Monthly",ASTemp!$E$7),Parameters!$B$3:$D$6,3,0)*(ROWS($1:1584)-1))))</f>
        <v/>
      </c>
      <c r="D1596" s="68" t="str">
        <f t="shared" si="2"/>
        <v/>
      </c>
      <c r="E1596" s="65" t="str">
        <f>IF($B1596="","",VLOOKUP(MONTH(C1596),Parameters!$F$2:$G$13,2,0))</f>
        <v/>
      </c>
      <c r="F1596" s="69" t="str">
        <f>IF($B1596="","",PV-N(J1595))</f>
        <v/>
      </c>
      <c r="G1596" s="69" t="str">
        <f>IF($B1596="","",PMT(Rate,Nper,-PV,,Type))</f>
        <v/>
      </c>
      <c r="H1596" s="69" t="str">
        <f>IF($B1596="","",PPMT(Rate,ROWS($1:1584),Nper,-PV,,Type))</f>
        <v/>
      </c>
      <c r="I1596" s="69" t="str">
        <f>IF($B1596="","",IPMT(Rate,ROWS($1:1584),Nper,-PV,,Type))</f>
        <v/>
      </c>
      <c r="J1596" s="73" t="str">
        <f t="shared" ref="J1596:K1596" si="1586">IF($B1596="","",N(J1595)+N(H1596))</f>
        <v/>
      </c>
      <c r="K1596" s="74" t="str">
        <f t="shared" si="1586"/>
        <v/>
      </c>
      <c r="L1596" s="69" t="str">
        <f>IF($B1596="","",PV-J1596)</f>
        <v/>
      </c>
      <c r="M1596" s="71" t="str">
        <f>IF($B1596="","",J1596/PV)</f>
        <v/>
      </c>
      <c r="N1596" s="72" t="str">
        <f t="shared" si="4"/>
        <v/>
      </c>
    </row>
    <row r="1597" ht="14.25" customHeight="1">
      <c r="B1597" s="66" t="str">
        <f>IF(ROWS($1:1585)&lt;=Nper,ROWS($1:1585),"")</f>
        <v/>
      </c>
      <c r="C1597" s="67" t="str">
        <f>IF($B1597="","",IF($E$7="Weekly",Start_Date+7*(ROWS($1:1585)-1),EDATE(Start_Date,VLOOKUP(IF(ASTemp!$E$7="","Monthly",ASTemp!$E$7),Parameters!$B$3:$D$6,3,0)*(ROWS($1:1585)-1))))</f>
        <v/>
      </c>
      <c r="D1597" s="68" t="str">
        <f t="shared" si="2"/>
        <v/>
      </c>
      <c r="E1597" s="65" t="str">
        <f>IF($B1597="","",VLOOKUP(MONTH(C1597),Parameters!$F$2:$G$13,2,0))</f>
        <v/>
      </c>
      <c r="F1597" s="69" t="str">
        <f>IF($B1597="","",PV-N(J1596))</f>
        <v/>
      </c>
      <c r="G1597" s="69" t="str">
        <f>IF($B1597="","",PMT(Rate,Nper,-PV,,Type))</f>
        <v/>
      </c>
      <c r="H1597" s="69" t="str">
        <f>IF($B1597="","",PPMT(Rate,ROWS($1:1585),Nper,-PV,,Type))</f>
        <v/>
      </c>
      <c r="I1597" s="69" t="str">
        <f>IF($B1597="","",IPMT(Rate,ROWS($1:1585),Nper,-PV,,Type))</f>
        <v/>
      </c>
      <c r="J1597" s="73" t="str">
        <f t="shared" ref="J1597:K1597" si="1587">IF($B1597="","",N(J1596)+N(H1597))</f>
        <v/>
      </c>
      <c r="K1597" s="74" t="str">
        <f t="shared" si="1587"/>
        <v/>
      </c>
      <c r="L1597" s="69" t="str">
        <f>IF($B1597="","",PV-J1597)</f>
        <v/>
      </c>
      <c r="M1597" s="71" t="str">
        <f>IF($B1597="","",J1597/PV)</f>
        <v/>
      </c>
      <c r="N1597" s="72" t="str">
        <f t="shared" si="4"/>
        <v/>
      </c>
    </row>
    <row r="1598" ht="14.25" customHeight="1">
      <c r="B1598" s="66" t="str">
        <f>IF(ROWS($1:1586)&lt;=Nper,ROWS($1:1586),"")</f>
        <v/>
      </c>
      <c r="C1598" s="67" t="str">
        <f>IF($B1598="","",IF($E$7="Weekly",Start_Date+7*(ROWS($1:1586)-1),EDATE(Start_Date,VLOOKUP(IF(ASTemp!$E$7="","Monthly",ASTemp!$E$7),Parameters!$B$3:$D$6,3,0)*(ROWS($1:1586)-1))))</f>
        <v/>
      </c>
      <c r="D1598" s="68" t="str">
        <f t="shared" si="2"/>
        <v/>
      </c>
      <c r="E1598" s="65" t="str">
        <f>IF($B1598="","",VLOOKUP(MONTH(C1598),Parameters!$F$2:$G$13,2,0))</f>
        <v/>
      </c>
      <c r="F1598" s="69" t="str">
        <f>IF($B1598="","",PV-N(J1597))</f>
        <v/>
      </c>
      <c r="G1598" s="69" t="str">
        <f>IF($B1598="","",PMT(Rate,Nper,-PV,,Type))</f>
        <v/>
      </c>
      <c r="H1598" s="69" t="str">
        <f>IF($B1598="","",PPMT(Rate,ROWS($1:1586),Nper,-PV,,Type))</f>
        <v/>
      </c>
      <c r="I1598" s="69" t="str">
        <f>IF($B1598="","",IPMT(Rate,ROWS($1:1586),Nper,-PV,,Type))</f>
        <v/>
      </c>
      <c r="J1598" s="73" t="str">
        <f t="shared" ref="J1598:K1598" si="1588">IF($B1598="","",N(J1597)+N(H1598))</f>
        <v/>
      </c>
      <c r="K1598" s="74" t="str">
        <f t="shared" si="1588"/>
        <v/>
      </c>
      <c r="L1598" s="69" t="str">
        <f>IF($B1598="","",PV-J1598)</f>
        <v/>
      </c>
      <c r="M1598" s="71" t="str">
        <f>IF($B1598="","",J1598/PV)</f>
        <v/>
      </c>
      <c r="N1598" s="72" t="str">
        <f t="shared" si="4"/>
        <v/>
      </c>
    </row>
    <row r="1599" ht="14.25" customHeight="1">
      <c r="B1599" s="66" t="str">
        <f>IF(ROWS($1:1587)&lt;=Nper,ROWS($1:1587),"")</f>
        <v/>
      </c>
      <c r="C1599" s="67" t="str">
        <f>IF($B1599="","",IF($E$7="Weekly",Start_Date+7*(ROWS($1:1587)-1),EDATE(Start_Date,VLOOKUP(IF(ASTemp!$E$7="","Monthly",ASTemp!$E$7),Parameters!$B$3:$D$6,3,0)*(ROWS($1:1587)-1))))</f>
        <v/>
      </c>
      <c r="D1599" s="68" t="str">
        <f t="shared" si="2"/>
        <v/>
      </c>
      <c r="E1599" s="65" t="str">
        <f>IF($B1599="","",VLOOKUP(MONTH(C1599),Parameters!$F$2:$G$13,2,0))</f>
        <v/>
      </c>
      <c r="F1599" s="69" t="str">
        <f>IF($B1599="","",PV-N(J1598))</f>
        <v/>
      </c>
      <c r="G1599" s="69" t="str">
        <f>IF($B1599="","",PMT(Rate,Nper,-PV,,Type))</f>
        <v/>
      </c>
      <c r="H1599" s="69" t="str">
        <f>IF($B1599="","",PPMT(Rate,ROWS($1:1587),Nper,-PV,,Type))</f>
        <v/>
      </c>
      <c r="I1599" s="69" t="str">
        <f>IF($B1599="","",IPMT(Rate,ROWS($1:1587),Nper,-PV,,Type))</f>
        <v/>
      </c>
      <c r="J1599" s="73" t="str">
        <f t="shared" ref="J1599:K1599" si="1589">IF($B1599="","",N(J1598)+N(H1599))</f>
        <v/>
      </c>
      <c r="K1599" s="74" t="str">
        <f t="shared" si="1589"/>
        <v/>
      </c>
      <c r="L1599" s="69" t="str">
        <f>IF($B1599="","",PV-J1599)</f>
        <v/>
      </c>
      <c r="M1599" s="71" t="str">
        <f>IF($B1599="","",J1599/PV)</f>
        <v/>
      </c>
      <c r="N1599" s="72" t="str">
        <f t="shared" si="4"/>
        <v/>
      </c>
    </row>
    <row r="1600" ht="14.25" customHeight="1">
      <c r="B1600" s="66" t="str">
        <f>IF(ROWS($1:1588)&lt;=Nper,ROWS($1:1588),"")</f>
        <v/>
      </c>
      <c r="C1600" s="67" t="str">
        <f>IF($B1600="","",IF($E$7="Weekly",Start_Date+7*(ROWS($1:1588)-1),EDATE(Start_Date,VLOOKUP(IF(ASTemp!$E$7="","Monthly",ASTemp!$E$7),Parameters!$B$3:$D$6,3,0)*(ROWS($1:1588)-1))))</f>
        <v/>
      </c>
      <c r="D1600" s="68" t="str">
        <f t="shared" si="2"/>
        <v/>
      </c>
      <c r="E1600" s="65" t="str">
        <f>IF($B1600="","",VLOOKUP(MONTH(C1600),Parameters!$F$2:$G$13,2,0))</f>
        <v/>
      </c>
      <c r="F1600" s="69" t="str">
        <f>IF($B1600="","",PV-N(J1599))</f>
        <v/>
      </c>
      <c r="G1600" s="69" t="str">
        <f>IF($B1600="","",PMT(Rate,Nper,-PV,,Type))</f>
        <v/>
      </c>
      <c r="H1600" s="69" t="str">
        <f>IF($B1600="","",PPMT(Rate,ROWS($1:1588),Nper,-PV,,Type))</f>
        <v/>
      </c>
      <c r="I1600" s="69" t="str">
        <f>IF($B1600="","",IPMT(Rate,ROWS($1:1588),Nper,-PV,,Type))</f>
        <v/>
      </c>
      <c r="J1600" s="73" t="str">
        <f t="shared" ref="J1600:K1600" si="1590">IF($B1600="","",N(J1599)+N(H1600))</f>
        <v/>
      </c>
      <c r="K1600" s="74" t="str">
        <f t="shared" si="1590"/>
        <v/>
      </c>
      <c r="L1600" s="69" t="str">
        <f>IF($B1600="","",PV-J1600)</f>
        <v/>
      </c>
      <c r="M1600" s="71" t="str">
        <f>IF($B1600="","",J1600/PV)</f>
        <v/>
      </c>
      <c r="N1600" s="72" t="str">
        <f t="shared" si="4"/>
        <v/>
      </c>
    </row>
    <row r="1601" ht="14.25" customHeight="1">
      <c r="B1601" s="66" t="str">
        <f>IF(ROWS($1:1589)&lt;=Nper,ROWS($1:1589),"")</f>
        <v/>
      </c>
      <c r="C1601" s="67" t="str">
        <f>IF($B1601="","",IF($E$7="Weekly",Start_Date+7*(ROWS($1:1589)-1),EDATE(Start_Date,VLOOKUP(IF(ASTemp!$E$7="","Monthly",ASTemp!$E$7),Parameters!$B$3:$D$6,3,0)*(ROWS($1:1589)-1))))</f>
        <v/>
      </c>
      <c r="D1601" s="68" t="str">
        <f t="shared" si="2"/>
        <v/>
      </c>
      <c r="E1601" s="65" t="str">
        <f>IF($B1601="","",VLOOKUP(MONTH(C1601),Parameters!$F$2:$G$13,2,0))</f>
        <v/>
      </c>
      <c r="F1601" s="69" t="str">
        <f>IF($B1601="","",PV-N(J1600))</f>
        <v/>
      </c>
      <c r="G1601" s="69" t="str">
        <f>IF($B1601="","",PMT(Rate,Nper,-PV,,Type))</f>
        <v/>
      </c>
      <c r="H1601" s="69" t="str">
        <f>IF($B1601="","",PPMT(Rate,ROWS($1:1589),Nper,-PV,,Type))</f>
        <v/>
      </c>
      <c r="I1601" s="69" t="str">
        <f>IF($B1601="","",IPMT(Rate,ROWS($1:1589),Nper,-PV,,Type))</f>
        <v/>
      </c>
      <c r="J1601" s="73" t="str">
        <f t="shared" ref="J1601:K1601" si="1591">IF($B1601="","",N(J1600)+N(H1601))</f>
        <v/>
      </c>
      <c r="K1601" s="74" t="str">
        <f t="shared" si="1591"/>
        <v/>
      </c>
      <c r="L1601" s="69" t="str">
        <f>IF($B1601="","",PV-J1601)</f>
        <v/>
      </c>
      <c r="M1601" s="71" t="str">
        <f>IF($B1601="","",J1601/PV)</f>
        <v/>
      </c>
      <c r="N1601" s="72" t="str">
        <f t="shared" si="4"/>
        <v/>
      </c>
    </row>
    <row r="1602" ht="14.25" customHeight="1">
      <c r="B1602" s="66" t="str">
        <f>IF(ROWS($1:1590)&lt;=Nper,ROWS($1:1590),"")</f>
        <v/>
      </c>
      <c r="C1602" s="67" t="str">
        <f>IF($B1602="","",IF($E$7="Weekly",Start_Date+7*(ROWS($1:1590)-1),EDATE(Start_Date,VLOOKUP(IF(ASTemp!$E$7="","Monthly",ASTemp!$E$7),Parameters!$B$3:$D$6,3,0)*(ROWS($1:1590)-1))))</f>
        <v/>
      </c>
      <c r="D1602" s="68" t="str">
        <f t="shared" si="2"/>
        <v/>
      </c>
      <c r="E1602" s="65" t="str">
        <f>IF($B1602="","",VLOOKUP(MONTH(C1602),Parameters!$F$2:$G$13,2,0))</f>
        <v/>
      </c>
      <c r="F1602" s="69" t="str">
        <f>IF($B1602="","",PV-N(J1601))</f>
        <v/>
      </c>
      <c r="G1602" s="69" t="str">
        <f>IF($B1602="","",PMT(Rate,Nper,-PV,,Type))</f>
        <v/>
      </c>
      <c r="H1602" s="69" t="str">
        <f>IF($B1602="","",PPMT(Rate,ROWS($1:1590),Nper,-PV,,Type))</f>
        <v/>
      </c>
      <c r="I1602" s="69" t="str">
        <f>IF($B1602="","",IPMT(Rate,ROWS($1:1590),Nper,-PV,,Type))</f>
        <v/>
      </c>
      <c r="J1602" s="73" t="str">
        <f t="shared" ref="J1602:K1602" si="1592">IF($B1602="","",N(J1601)+N(H1602))</f>
        <v/>
      </c>
      <c r="K1602" s="74" t="str">
        <f t="shared" si="1592"/>
        <v/>
      </c>
      <c r="L1602" s="69" t="str">
        <f>IF($B1602="","",PV-J1602)</f>
        <v/>
      </c>
      <c r="M1602" s="71" t="str">
        <f>IF($B1602="","",J1602/PV)</f>
        <v/>
      </c>
      <c r="N1602" s="72" t="str">
        <f t="shared" si="4"/>
        <v/>
      </c>
    </row>
    <row r="1603" ht="14.25" customHeight="1">
      <c r="B1603" s="66" t="str">
        <f>IF(ROWS($1:1591)&lt;=Nper,ROWS($1:1591),"")</f>
        <v/>
      </c>
      <c r="C1603" s="67" t="str">
        <f>IF($B1603="","",IF($E$7="Weekly",Start_Date+7*(ROWS($1:1591)-1),EDATE(Start_Date,VLOOKUP(IF(ASTemp!$E$7="","Monthly",ASTemp!$E$7),Parameters!$B$3:$D$6,3,0)*(ROWS($1:1591)-1))))</f>
        <v/>
      </c>
      <c r="D1603" s="68" t="str">
        <f t="shared" si="2"/>
        <v/>
      </c>
      <c r="E1603" s="65" t="str">
        <f>IF($B1603="","",VLOOKUP(MONTH(C1603),Parameters!$F$2:$G$13,2,0))</f>
        <v/>
      </c>
      <c r="F1603" s="69" t="str">
        <f>IF($B1603="","",PV-N(J1602))</f>
        <v/>
      </c>
      <c r="G1603" s="69" t="str">
        <f>IF($B1603="","",PMT(Rate,Nper,-PV,,Type))</f>
        <v/>
      </c>
      <c r="H1603" s="69" t="str">
        <f>IF($B1603="","",PPMT(Rate,ROWS($1:1591),Nper,-PV,,Type))</f>
        <v/>
      </c>
      <c r="I1603" s="69" t="str">
        <f>IF($B1603="","",IPMT(Rate,ROWS($1:1591),Nper,-PV,,Type))</f>
        <v/>
      </c>
      <c r="J1603" s="73" t="str">
        <f t="shared" ref="J1603:K1603" si="1593">IF($B1603="","",N(J1602)+N(H1603))</f>
        <v/>
      </c>
      <c r="K1603" s="74" t="str">
        <f t="shared" si="1593"/>
        <v/>
      </c>
      <c r="L1603" s="69" t="str">
        <f>IF($B1603="","",PV-J1603)</f>
        <v/>
      </c>
      <c r="M1603" s="71" t="str">
        <f>IF($B1603="","",J1603/PV)</f>
        <v/>
      </c>
      <c r="N1603" s="72" t="str">
        <f t="shared" si="4"/>
        <v/>
      </c>
    </row>
    <row r="1604" ht="14.25" customHeight="1">
      <c r="B1604" s="66" t="str">
        <f>IF(ROWS($1:1592)&lt;=Nper,ROWS($1:1592),"")</f>
        <v/>
      </c>
      <c r="C1604" s="67" t="str">
        <f>IF($B1604="","",IF($E$7="Weekly",Start_Date+7*(ROWS($1:1592)-1),EDATE(Start_Date,VLOOKUP(IF(ASTemp!$E$7="","Monthly",ASTemp!$E$7),Parameters!$B$3:$D$6,3,0)*(ROWS($1:1592)-1))))</f>
        <v/>
      </c>
      <c r="D1604" s="68" t="str">
        <f t="shared" si="2"/>
        <v/>
      </c>
      <c r="E1604" s="65" t="str">
        <f>IF($B1604="","",VLOOKUP(MONTH(C1604),Parameters!$F$2:$G$13,2,0))</f>
        <v/>
      </c>
      <c r="F1604" s="69" t="str">
        <f>IF($B1604="","",PV-N(J1603))</f>
        <v/>
      </c>
      <c r="G1604" s="69" t="str">
        <f>IF($B1604="","",PMT(Rate,Nper,-PV,,Type))</f>
        <v/>
      </c>
      <c r="H1604" s="69" t="str">
        <f>IF($B1604="","",PPMT(Rate,ROWS($1:1592),Nper,-PV,,Type))</f>
        <v/>
      </c>
      <c r="I1604" s="69" t="str">
        <f>IF($B1604="","",IPMT(Rate,ROWS($1:1592),Nper,-PV,,Type))</f>
        <v/>
      </c>
      <c r="J1604" s="73" t="str">
        <f t="shared" ref="J1604:K1604" si="1594">IF($B1604="","",N(J1603)+N(H1604))</f>
        <v/>
      </c>
      <c r="K1604" s="74" t="str">
        <f t="shared" si="1594"/>
        <v/>
      </c>
      <c r="L1604" s="69" t="str">
        <f>IF($B1604="","",PV-J1604)</f>
        <v/>
      </c>
      <c r="M1604" s="71" t="str">
        <f>IF($B1604="","",J1604/PV)</f>
        <v/>
      </c>
      <c r="N1604" s="72" t="str">
        <f t="shared" si="4"/>
        <v/>
      </c>
    </row>
    <row r="1605" ht="14.25" customHeight="1">
      <c r="B1605" s="66" t="str">
        <f>IF(ROWS($1:1593)&lt;=Nper,ROWS($1:1593),"")</f>
        <v/>
      </c>
      <c r="C1605" s="67" t="str">
        <f>IF($B1605="","",IF($E$7="Weekly",Start_Date+7*(ROWS($1:1593)-1),EDATE(Start_Date,VLOOKUP(IF(ASTemp!$E$7="","Monthly",ASTemp!$E$7),Parameters!$B$3:$D$6,3,0)*(ROWS($1:1593)-1))))</f>
        <v/>
      </c>
      <c r="D1605" s="68" t="str">
        <f t="shared" si="2"/>
        <v/>
      </c>
      <c r="E1605" s="65" t="str">
        <f>IF($B1605="","",VLOOKUP(MONTH(C1605),Parameters!$F$2:$G$13,2,0))</f>
        <v/>
      </c>
      <c r="F1605" s="69" t="str">
        <f>IF($B1605="","",PV-N(J1604))</f>
        <v/>
      </c>
      <c r="G1605" s="69" t="str">
        <f>IF($B1605="","",PMT(Rate,Nper,-PV,,Type))</f>
        <v/>
      </c>
      <c r="H1605" s="69" t="str">
        <f>IF($B1605="","",PPMT(Rate,ROWS($1:1593),Nper,-PV,,Type))</f>
        <v/>
      </c>
      <c r="I1605" s="69" t="str">
        <f>IF($B1605="","",IPMT(Rate,ROWS($1:1593),Nper,-PV,,Type))</f>
        <v/>
      </c>
      <c r="J1605" s="73" t="str">
        <f t="shared" ref="J1605:K1605" si="1595">IF($B1605="","",N(J1604)+N(H1605))</f>
        <v/>
      </c>
      <c r="K1605" s="74" t="str">
        <f t="shared" si="1595"/>
        <v/>
      </c>
      <c r="L1605" s="69" t="str">
        <f>IF($B1605="","",PV-J1605)</f>
        <v/>
      </c>
      <c r="M1605" s="71" t="str">
        <f>IF($B1605="","",J1605/PV)</f>
        <v/>
      </c>
      <c r="N1605" s="72" t="str">
        <f t="shared" si="4"/>
        <v/>
      </c>
    </row>
    <row r="1606" ht="14.25" customHeight="1">
      <c r="B1606" s="66" t="str">
        <f>IF(ROWS($1:1594)&lt;=Nper,ROWS($1:1594),"")</f>
        <v/>
      </c>
      <c r="C1606" s="67" t="str">
        <f>IF($B1606="","",IF($E$7="Weekly",Start_Date+7*(ROWS($1:1594)-1),EDATE(Start_Date,VLOOKUP(IF(ASTemp!$E$7="","Monthly",ASTemp!$E$7),Parameters!$B$3:$D$6,3,0)*(ROWS($1:1594)-1))))</f>
        <v/>
      </c>
      <c r="D1606" s="68" t="str">
        <f t="shared" si="2"/>
        <v/>
      </c>
      <c r="E1606" s="65" t="str">
        <f>IF($B1606="","",VLOOKUP(MONTH(C1606),Parameters!$F$2:$G$13,2,0))</f>
        <v/>
      </c>
      <c r="F1606" s="69" t="str">
        <f>IF($B1606="","",PV-N(J1605))</f>
        <v/>
      </c>
      <c r="G1606" s="69" t="str">
        <f>IF($B1606="","",PMT(Rate,Nper,-PV,,Type))</f>
        <v/>
      </c>
      <c r="H1606" s="69" t="str">
        <f>IF($B1606="","",PPMT(Rate,ROWS($1:1594),Nper,-PV,,Type))</f>
        <v/>
      </c>
      <c r="I1606" s="69" t="str">
        <f>IF($B1606="","",IPMT(Rate,ROWS($1:1594),Nper,-PV,,Type))</f>
        <v/>
      </c>
      <c r="J1606" s="73" t="str">
        <f t="shared" ref="J1606:K1606" si="1596">IF($B1606="","",N(J1605)+N(H1606))</f>
        <v/>
      </c>
      <c r="K1606" s="74" t="str">
        <f t="shared" si="1596"/>
        <v/>
      </c>
      <c r="L1606" s="69" t="str">
        <f>IF($B1606="","",PV-J1606)</f>
        <v/>
      </c>
      <c r="M1606" s="71" t="str">
        <f>IF($B1606="","",J1606/PV)</f>
        <v/>
      </c>
      <c r="N1606" s="72" t="str">
        <f t="shared" si="4"/>
        <v/>
      </c>
    </row>
    <row r="1607" ht="14.25" customHeight="1">
      <c r="B1607" s="66" t="str">
        <f>IF(ROWS($1:1595)&lt;=Nper,ROWS($1:1595),"")</f>
        <v/>
      </c>
      <c r="C1607" s="67" t="str">
        <f>IF($B1607="","",IF($E$7="Weekly",Start_Date+7*(ROWS($1:1595)-1),EDATE(Start_Date,VLOOKUP(IF(ASTemp!$E$7="","Monthly",ASTemp!$E$7),Parameters!$B$3:$D$6,3,0)*(ROWS($1:1595)-1))))</f>
        <v/>
      </c>
      <c r="D1607" s="68" t="str">
        <f t="shared" si="2"/>
        <v/>
      </c>
      <c r="E1607" s="65" t="str">
        <f>IF($B1607="","",VLOOKUP(MONTH(C1607),Parameters!$F$2:$G$13,2,0))</f>
        <v/>
      </c>
      <c r="F1607" s="69" t="str">
        <f>IF($B1607="","",PV-N(J1606))</f>
        <v/>
      </c>
      <c r="G1607" s="69" t="str">
        <f>IF($B1607="","",PMT(Rate,Nper,-PV,,Type))</f>
        <v/>
      </c>
      <c r="H1607" s="69" t="str">
        <f>IF($B1607="","",PPMT(Rate,ROWS($1:1595),Nper,-PV,,Type))</f>
        <v/>
      </c>
      <c r="I1607" s="69" t="str">
        <f>IF($B1607="","",IPMT(Rate,ROWS($1:1595),Nper,-PV,,Type))</f>
        <v/>
      </c>
      <c r="J1607" s="73" t="str">
        <f t="shared" ref="J1607:K1607" si="1597">IF($B1607="","",N(J1606)+N(H1607))</f>
        <v/>
      </c>
      <c r="K1607" s="74" t="str">
        <f t="shared" si="1597"/>
        <v/>
      </c>
      <c r="L1607" s="69" t="str">
        <f>IF($B1607="","",PV-J1607)</f>
        <v/>
      </c>
      <c r="M1607" s="71" t="str">
        <f>IF($B1607="","",J1607/PV)</f>
        <v/>
      </c>
      <c r="N1607" s="72" t="str">
        <f t="shared" si="4"/>
        <v/>
      </c>
    </row>
    <row r="1608" ht="14.25" customHeight="1">
      <c r="B1608" s="66" t="str">
        <f>IF(ROWS($1:1596)&lt;=Nper,ROWS($1:1596),"")</f>
        <v/>
      </c>
      <c r="C1608" s="67" t="str">
        <f>IF($B1608="","",IF($E$7="Weekly",Start_Date+7*(ROWS($1:1596)-1),EDATE(Start_Date,VLOOKUP(IF(ASTemp!$E$7="","Monthly",ASTemp!$E$7),Parameters!$B$3:$D$6,3,0)*(ROWS($1:1596)-1))))</f>
        <v/>
      </c>
      <c r="D1608" s="68" t="str">
        <f t="shared" si="2"/>
        <v/>
      </c>
      <c r="E1608" s="65" t="str">
        <f>IF($B1608="","",VLOOKUP(MONTH(C1608),Parameters!$F$2:$G$13,2,0))</f>
        <v/>
      </c>
      <c r="F1608" s="69" t="str">
        <f>IF($B1608="","",PV-N(J1607))</f>
        <v/>
      </c>
      <c r="G1608" s="69" t="str">
        <f>IF($B1608="","",PMT(Rate,Nper,-PV,,Type))</f>
        <v/>
      </c>
      <c r="H1608" s="69" t="str">
        <f>IF($B1608="","",PPMT(Rate,ROWS($1:1596),Nper,-PV,,Type))</f>
        <v/>
      </c>
      <c r="I1608" s="69" t="str">
        <f>IF($B1608="","",IPMT(Rate,ROWS($1:1596),Nper,-PV,,Type))</f>
        <v/>
      </c>
      <c r="J1608" s="73" t="str">
        <f t="shared" ref="J1608:K1608" si="1598">IF($B1608="","",N(J1607)+N(H1608))</f>
        <v/>
      </c>
      <c r="K1608" s="74" t="str">
        <f t="shared" si="1598"/>
        <v/>
      </c>
      <c r="L1608" s="69" t="str">
        <f>IF($B1608="","",PV-J1608)</f>
        <v/>
      </c>
      <c r="M1608" s="71" t="str">
        <f>IF($B1608="","",J1608/PV)</f>
        <v/>
      </c>
      <c r="N1608" s="72" t="str">
        <f t="shared" si="4"/>
        <v/>
      </c>
    </row>
    <row r="1609" ht="14.25" customHeight="1">
      <c r="B1609" s="66" t="str">
        <f>IF(ROWS($1:1597)&lt;=Nper,ROWS($1:1597),"")</f>
        <v/>
      </c>
      <c r="C1609" s="67" t="str">
        <f>IF($B1609="","",IF($E$7="Weekly",Start_Date+7*(ROWS($1:1597)-1),EDATE(Start_Date,VLOOKUP(IF(ASTemp!$E$7="","Monthly",ASTemp!$E$7),Parameters!$B$3:$D$6,3,0)*(ROWS($1:1597)-1))))</f>
        <v/>
      </c>
      <c r="D1609" s="68" t="str">
        <f t="shared" si="2"/>
        <v/>
      </c>
      <c r="E1609" s="65" t="str">
        <f>IF($B1609="","",VLOOKUP(MONTH(C1609),Parameters!$F$2:$G$13,2,0))</f>
        <v/>
      </c>
      <c r="F1609" s="69" t="str">
        <f>IF($B1609="","",PV-N(J1608))</f>
        <v/>
      </c>
      <c r="G1609" s="69" t="str">
        <f>IF($B1609="","",PMT(Rate,Nper,-PV,,Type))</f>
        <v/>
      </c>
      <c r="H1609" s="69" t="str">
        <f>IF($B1609="","",PPMT(Rate,ROWS($1:1597),Nper,-PV,,Type))</f>
        <v/>
      </c>
      <c r="I1609" s="69" t="str">
        <f>IF($B1609="","",IPMT(Rate,ROWS($1:1597),Nper,-PV,,Type))</f>
        <v/>
      </c>
      <c r="J1609" s="73" t="str">
        <f t="shared" ref="J1609:K1609" si="1599">IF($B1609="","",N(J1608)+N(H1609))</f>
        <v/>
      </c>
      <c r="K1609" s="74" t="str">
        <f t="shared" si="1599"/>
        <v/>
      </c>
      <c r="L1609" s="69" t="str">
        <f>IF($B1609="","",PV-J1609)</f>
        <v/>
      </c>
      <c r="M1609" s="71" t="str">
        <f>IF($B1609="","",J1609/PV)</f>
        <v/>
      </c>
      <c r="N1609" s="72" t="str">
        <f t="shared" si="4"/>
        <v/>
      </c>
    </row>
    <row r="1610" ht="14.25" customHeight="1">
      <c r="B1610" s="66" t="str">
        <f>IF(ROWS($1:1598)&lt;=Nper,ROWS($1:1598),"")</f>
        <v/>
      </c>
      <c r="C1610" s="67" t="str">
        <f>IF($B1610="","",IF($E$7="Weekly",Start_Date+7*(ROWS($1:1598)-1),EDATE(Start_Date,VLOOKUP(IF(ASTemp!$E$7="","Monthly",ASTemp!$E$7),Parameters!$B$3:$D$6,3,0)*(ROWS($1:1598)-1))))</f>
        <v/>
      </c>
      <c r="D1610" s="68" t="str">
        <f t="shared" si="2"/>
        <v/>
      </c>
      <c r="E1610" s="65" t="str">
        <f>IF($B1610="","",VLOOKUP(MONTH(C1610),Parameters!$F$2:$G$13,2,0))</f>
        <v/>
      </c>
      <c r="F1610" s="69" t="str">
        <f>IF($B1610="","",PV-N(J1609))</f>
        <v/>
      </c>
      <c r="G1610" s="69" t="str">
        <f>IF($B1610="","",PMT(Rate,Nper,-PV,,Type))</f>
        <v/>
      </c>
      <c r="H1610" s="69" t="str">
        <f>IF($B1610="","",PPMT(Rate,ROWS($1:1598),Nper,-PV,,Type))</f>
        <v/>
      </c>
      <c r="I1610" s="69" t="str">
        <f>IF($B1610="","",IPMT(Rate,ROWS($1:1598),Nper,-PV,,Type))</f>
        <v/>
      </c>
      <c r="J1610" s="73" t="str">
        <f t="shared" ref="J1610:K1610" si="1600">IF($B1610="","",N(J1609)+N(H1610))</f>
        <v/>
      </c>
      <c r="K1610" s="74" t="str">
        <f t="shared" si="1600"/>
        <v/>
      </c>
      <c r="L1610" s="69" t="str">
        <f>IF($B1610="","",PV-J1610)</f>
        <v/>
      </c>
      <c r="M1610" s="71" t="str">
        <f>IF($B1610="","",J1610/PV)</f>
        <v/>
      </c>
      <c r="N1610" s="72" t="str">
        <f t="shared" si="4"/>
        <v/>
      </c>
    </row>
    <row r="1611" ht="14.25" customHeight="1">
      <c r="B1611" s="66" t="str">
        <f>IF(ROWS($1:1599)&lt;=Nper,ROWS($1:1599),"")</f>
        <v/>
      </c>
      <c r="C1611" s="67" t="str">
        <f>IF($B1611="","",IF($E$7="Weekly",Start_Date+7*(ROWS($1:1599)-1),EDATE(Start_Date,VLOOKUP(IF(ASTemp!$E$7="","Monthly",ASTemp!$E$7),Parameters!$B$3:$D$6,3,0)*(ROWS($1:1599)-1))))</f>
        <v/>
      </c>
      <c r="D1611" s="68" t="str">
        <f t="shared" si="2"/>
        <v/>
      </c>
      <c r="E1611" s="65" t="str">
        <f>IF($B1611="","",VLOOKUP(MONTH(C1611),Parameters!$F$2:$G$13,2,0))</f>
        <v/>
      </c>
      <c r="F1611" s="69" t="str">
        <f>IF($B1611="","",PV-N(J1610))</f>
        <v/>
      </c>
      <c r="G1611" s="69" t="str">
        <f>IF($B1611="","",PMT(Rate,Nper,-PV,,Type))</f>
        <v/>
      </c>
      <c r="H1611" s="69" t="str">
        <f>IF($B1611="","",PPMT(Rate,ROWS($1:1599),Nper,-PV,,Type))</f>
        <v/>
      </c>
      <c r="I1611" s="69" t="str">
        <f>IF($B1611="","",IPMT(Rate,ROWS($1:1599),Nper,-PV,,Type))</f>
        <v/>
      </c>
      <c r="J1611" s="73" t="str">
        <f t="shared" ref="J1611:K1611" si="1601">IF($B1611="","",N(J1610)+N(H1611))</f>
        <v/>
      </c>
      <c r="K1611" s="74" t="str">
        <f t="shared" si="1601"/>
        <v/>
      </c>
      <c r="L1611" s="69" t="str">
        <f>IF($B1611="","",PV-J1611)</f>
        <v/>
      </c>
      <c r="M1611" s="71" t="str">
        <f>IF($B1611="","",J1611/PV)</f>
        <v/>
      </c>
      <c r="N1611" s="72" t="str">
        <f t="shared" si="4"/>
        <v/>
      </c>
    </row>
    <row r="1612" ht="14.25" customHeight="1">
      <c r="B1612" s="66" t="str">
        <f>IF(ROWS($1:1600)&lt;=Nper,ROWS($1:1600),"")</f>
        <v/>
      </c>
      <c r="C1612" s="67" t="str">
        <f>IF($B1612="","",IF($E$7="Weekly",Start_Date+7*(ROWS($1:1600)-1),EDATE(Start_Date,VLOOKUP(IF(ASTemp!$E$7="","Monthly",ASTemp!$E$7),Parameters!$B$3:$D$6,3,0)*(ROWS($1:1600)-1))))</f>
        <v/>
      </c>
      <c r="D1612" s="68" t="str">
        <f t="shared" si="2"/>
        <v/>
      </c>
      <c r="E1612" s="65" t="str">
        <f>IF($B1612="","",VLOOKUP(MONTH(C1612),Parameters!$F$2:$G$13,2,0))</f>
        <v/>
      </c>
      <c r="F1612" s="69" t="str">
        <f>IF($B1612="","",PV-N(J1611))</f>
        <v/>
      </c>
      <c r="G1612" s="69" t="str">
        <f>IF($B1612="","",PMT(Rate,Nper,-PV,,Type))</f>
        <v/>
      </c>
      <c r="H1612" s="69" t="str">
        <f>IF($B1612="","",PPMT(Rate,ROWS($1:1600),Nper,-PV,,Type))</f>
        <v/>
      </c>
      <c r="I1612" s="69" t="str">
        <f>IF($B1612="","",IPMT(Rate,ROWS($1:1600),Nper,-PV,,Type))</f>
        <v/>
      </c>
      <c r="J1612" s="73" t="str">
        <f t="shared" ref="J1612:K1612" si="1602">IF($B1612="","",N(J1611)+N(H1612))</f>
        <v/>
      </c>
      <c r="K1612" s="74" t="str">
        <f t="shared" si="1602"/>
        <v/>
      </c>
      <c r="L1612" s="69" t="str">
        <f>IF($B1612="","",PV-J1612)</f>
        <v/>
      </c>
      <c r="M1612" s="71" t="str">
        <f>IF($B1612="","",J1612/PV)</f>
        <v/>
      </c>
      <c r="N1612" s="72" t="str">
        <f t="shared" si="4"/>
        <v/>
      </c>
    </row>
    <row r="1613" ht="14.25" customHeight="1">
      <c r="B1613" s="66" t="str">
        <f>IF(ROWS($1:1601)&lt;=Nper,ROWS($1:1601),"")</f>
        <v/>
      </c>
      <c r="C1613" s="67" t="str">
        <f>IF($B1613="","",IF($E$7="Weekly",Start_Date+7*(ROWS($1:1601)-1),EDATE(Start_Date,VLOOKUP(IF(ASTemp!$E$7="","Monthly",ASTemp!$E$7),Parameters!$B$3:$D$6,3,0)*(ROWS($1:1601)-1))))</f>
        <v/>
      </c>
      <c r="D1613" s="68" t="str">
        <f t="shared" si="2"/>
        <v/>
      </c>
      <c r="E1613" s="65" t="str">
        <f>IF($B1613="","",VLOOKUP(MONTH(C1613),Parameters!$F$2:$G$13,2,0))</f>
        <v/>
      </c>
      <c r="F1613" s="69" t="str">
        <f>IF($B1613="","",PV-N(J1612))</f>
        <v/>
      </c>
      <c r="G1613" s="69" t="str">
        <f>IF($B1613="","",PMT(Rate,Nper,-PV,,Type))</f>
        <v/>
      </c>
      <c r="H1613" s="69" t="str">
        <f>IF($B1613="","",PPMT(Rate,ROWS($1:1601),Nper,-PV,,Type))</f>
        <v/>
      </c>
      <c r="I1613" s="69" t="str">
        <f>IF($B1613="","",IPMT(Rate,ROWS($1:1601),Nper,-PV,,Type))</f>
        <v/>
      </c>
      <c r="J1613" s="73" t="str">
        <f t="shared" ref="J1613:K1613" si="1603">IF($B1613="","",N(J1612)+N(H1613))</f>
        <v/>
      </c>
      <c r="K1613" s="74" t="str">
        <f t="shared" si="1603"/>
        <v/>
      </c>
      <c r="L1613" s="69" t="str">
        <f>IF($B1613="","",PV-J1613)</f>
        <v/>
      </c>
      <c r="M1613" s="71" t="str">
        <f>IF($B1613="","",J1613/PV)</f>
        <v/>
      </c>
      <c r="N1613" s="72" t="str">
        <f t="shared" si="4"/>
        <v/>
      </c>
    </row>
    <row r="1614" ht="14.25" customHeight="1">
      <c r="B1614" s="66" t="str">
        <f>IF(ROWS($1:1602)&lt;=Nper,ROWS($1:1602),"")</f>
        <v/>
      </c>
      <c r="C1614" s="67" t="str">
        <f>IF($B1614="","",IF($E$7="Weekly",Start_Date+7*(ROWS($1:1602)-1),EDATE(Start_Date,VLOOKUP(IF(ASTemp!$E$7="","Monthly",ASTemp!$E$7),Parameters!$B$3:$D$6,3,0)*(ROWS($1:1602)-1))))</f>
        <v/>
      </c>
      <c r="D1614" s="68" t="str">
        <f t="shared" si="2"/>
        <v/>
      </c>
      <c r="E1614" s="65" t="str">
        <f>IF($B1614="","",VLOOKUP(MONTH(C1614),Parameters!$F$2:$G$13,2,0))</f>
        <v/>
      </c>
      <c r="F1614" s="69" t="str">
        <f>IF($B1614="","",PV-N(J1613))</f>
        <v/>
      </c>
      <c r="G1614" s="69" t="str">
        <f>IF($B1614="","",PMT(Rate,Nper,-PV,,Type))</f>
        <v/>
      </c>
      <c r="H1614" s="69" t="str">
        <f>IF($B1614="","",PPMT(Rate,ROWS($1:1602),Nper,-PV,,Type))</f>
        <v/>
      </c>
      <c r="I1614" s="69" t="str">
        <f>IF($B1614="","",IPMT(Rate,ROWS($1:1602),Nper,-PV,,Type))</f>
        <v/>
      </c>
      <c r="J1614" s="73" t="str">
        <f t="shared" ref="J1614:K1614" si="1604">IF($B1614="","",N(J1613)+N(H1614))</f>
        <v/>
      </c>
      <c r="K1614" s="74" t="str">
        <f t="shared" si="1604"/>
        <v/>
      </c>
      <c r="L1614" s="69" t="str">
        <f>IF($B1614="","",PV-J1614)</f>
        <v/>
      </c>
      <c r="M1614" s="71" t="str">
        <f>IF($B1614="","",J1614/PV)</f>
        <v/>
      </c>
      <c r="N1614" s="72" t="str">
        <f t="shared" si="4"/>
        <v/>
      </c>
    </row>
    <row r="1615" ht="14.25" customHeight="1">
      <c r="B1615" s="66" t="str">
        <f>IF(ROWS($1:1603)&lt;=Nper,ROWS($1:1603),"")</f>
        <v/>
      </c>
      <c r="C1615" s="67" t="str">
        <f>IF($B1615="","",IF($E$7="Weekly",Start_Date+7*(ROWS($1:1603)-1),EDATE(Start_Date,VLOOKUP(IF(ASTemp!$E$7="","Monthly",ASTemp!$E$7),Parameters!$B$3:$D$6,3,0)*(ROWS($1:1603)-1))))</f>
        <v/>
      </c>
      <c r="D1615" s="68" t="str">
        <f t="shared" si="2"/>
        <v/>
      </c>
      <c r="E1615" s="65" t="str">
        <f>IF($B1615="","",VLOOKUP(MONTH(C1615),Parameters!$F$2:$G$13,2,0))</f>
        <v/>
      </c>
      <c r="F1615" s="69" t="str">
        <f>IF($B1615="","",PV-N(J1614))</f>
        <v/>
      </c>
      <c r="G1615" s="69" t="str">
        <f>IF($B1615="","",PMT(Rate,Nper,-PV,,Type))</f>
        <v/>
      </c>
      <c r="H1615" s="69" t="str">
        <f>IF($B1615="","",PPMT(Rate,ROWS($1:1603),Nper,-PV,,Type))</f>
        <v/>
      </c>
      <c r="I1615" s="69" t="str">
        <f>IF($B1615="","",IPMT(Rate,ROWS($1:1603),Nper,-PV,,Type))</f>
        <v/>
      </c>
      <c r="J1615" s="73" t="str">
        <f t="shared" ref="J1615:K1615" si="1605">IF($B1615="","",N(J1614)+N(H1615))</f>
        <v/>
      </c>
      <c r="K1615" s="74" t="str">
        <f t="shared" si="1605"/>
        <v/>
      </c>
      <c r="L1615" s="69" t="str">
        <f>IF($B1615="","",PV-J1615)</f>
        <v/>
      </c>
      <c r="M1615" s="71" t="str">
        <f>IF($B1615="","",J1615/PV)</f>
        <v/>
      </c>
      <c r="N1615" s="72" t="str">
        <f t="shared" si="4"/>
        <v/>
      </c>
    </row>
    <row r="1616" ht="14.25" customHeight="1">
      <c r="B1616" s="66" t="str">
        <f>IF(ROWS($1:1604)&lt;=Nper,ROWS($1:1604),"")</f>
        <v/>
      </c>
      <c r="C1616" s="67" t="str">
        <f>IF($B1616="","",IF($E$7="Weekly",Start_Date+7*(ROWS($1:1604)-1),EDATE(Start_Date,VLOOKUP(IF(ASTemp!$E$7="","Monthly",ASTemp!$E$7),Parameters!$B$3:$D$6,3,0)*(ROWS($1:1604)-1))))</f>
        <v/>
      </c>
      <c r="D1616" s="68" t="str">
        <f t="shared" si="2"/>
        <v/>
      </c>
      <c r="E1616" s="65" t="str">
        <f>IF($B1616="","",VLOOKUP(MONTH(C1616),Parameters!$F$2:$G$13,2,0))</f>
        <v/>
      </c>
      <c r="F1616" s="69" t="str">
        <f>IF($B1616="","",PV-N(J1615))</f>
        <v/>
      </c>
      <c r="G1616" s="69" t="str">
        <f>IF($B1616="","",PMT(Rate,Nper,-PV,,Type))</f>
        <v/>
      </c>
      <c r="H1616" s="69" t="str">
        <f>IF($B1616="","",PPMT(Rate,ROWS($1:1604),Nper,-PV,,Type))</f>
        <v/>
      </c>
      <c r="I1616" s="69" t="str">
        <f>IF($B1616="","",IPMT(Rate,ROWS($1:1604),Nper,-PV,,Type))</f>
        <v/>
      </c>
      <c r="J1616" s="73" t="str">
        <f t="shared" ref="J1616:K1616" si="1606">IF($B1616="","",N(J1615)+N(H1616))</f>
        <v/>
      </c>
      <c r="K1616" s="74" t="str">
        <f t="shared" si="1606"/>
        <v/>
      </c>
      <c r="L1616" s="69" t="str">
        <f>IF($B1616="","",PV-J1616)</f>
        <v/>
      </c>
      <c r="M1616" s="71" t="str">
        <f>IF($B1616="","",J1616/PV)</f>
        <v/>
      </c>
      <c r="N1616" s="72" t="str">
        <f t="shared" si="4"/>
        <v/>
      </c>
    </row>
    <row r="1617" ht="14.25" customHeight="1">
      <c r="B1617" s="66" t="str">
        <f>IF(ROWS($1:1605)&lt;=Nper,ROWS($1:1605),"")</f>
        <v/>
      </c>
      <c r="C1617" s="67" t="str">
        <f>IF($B1617="","",IF($E$7="Weekly",Start_Date+7*(ROWS($1:1605)-1),EDATE(Start_Date,VLOOKUP(IF(ASTemp!$E$7="","Monthly",ASTemp!$E$7),Parameters!$B$3:$D$6,3,0)*(ROWS($1:1605)-1))))</f>
        <v/>
      </c>
      <c r="D1617" s="68" t="str">
        <f t="shared" si="2"/>
        <v/>
      </c>
      <c r="E1617" s="65" t="str">
        <f>IF($B1617="","",VLOOKUP(MONTH(C1617),Parameters!$F$2:$G$13,2,0))</f>
        <v/>
      </c>
      <c r="F1617" s="69" t="str">
        <f>IF($B1617="","",PV-N(J1616))</f>
        <v/>
      </c>
      <c r="G1617" s="69" t="str">
        <f>IF($B1617="","",PMT(Rate,Nper,-PV,,Type))</f>
        <v/>
      </c>
      <c r="H1617" s="69" t="str">
        <f>IF($B1617="","",PPMT(Rate,ROWS($1:1605),Nper,-PV,,Type))</f>
        <v/>
      </c>
      <c r="I1617" s="69" t="str">
        <f>IF($B1617="","",IPMT(Rate,ROWS($1:1605),Nper,-PV,,Type))</f>
        <v/>
      </c>
      <c r="J1617" s="73" t="str">
        <f t="shared" ref="J1617:K1617" si="1607">IF($B1617="","",N(J1616)+N(H1617))</f>
        <v/>
      </c>
      <c r="K1617" s="74" t="str">
        <f t="shared" si="1607"/>
        <v/>
      </c>
      <c r="L1617" s="69" t="str">
        <f>IF($B1617="","",PV-J1617)</f>
        <v/>
      </c>
      <c r="M1617" s="71" t="str">
        <f>IF($B1617="","",J1617/PV)</f>
        <v/>
      </c>
      <c r="N1617" s="72" t="str">
        <f t="shared" si="4"/>
        <v/>
      </c>
    </row>
    <row r="1618" ht="14.25" customHeight="1">
      <c r="B1618" s="66" t="str">
        <f>IF(ROWS($1:1606)&lt;=Nper,ROWS($1:1606),"")</f>
        <v/>
      </c>
      <c r="C1618" s="67" t="str">
        <f>IF($B1618="","",IF($E$7="Weekly",Start_Date+7*(ROWS($1:1606)-1),EDATE(Start_Date,VLOOKUP(IF(ASTemp!$E$7="","Monthly",ASTemp!$E$7),Parameters!$B$3:$D$6,3,0)*(ROWS($1:1606)-1))))</f>
        <v/>
      </c>
      <c r="D1618" s="68" t="str">
        <f t="shared" si="2"/>
        <v/>
      </c>
      <c r="E1618" s="65" t="str">
        <f>IF($B1618="","",VLOOKUP(MONTH(C1618),Parameters!$F$2:$G$13,2,0))</f>
        <v/>
      </c>
      <c r="F1618" s="69" t="str">
        <f>IF($B1618="","",PV-N(J1617))</f>
        <v/>
      </c>
      <c r="G1618" s="69" t="str">
        <f>IF($B1618="","",PMT(Rate,Nper,-PV,,Type))</f>
        <v/>
      </c>
      <c r="H1618" s="69" t="str">
        <f>IF($B1618="","",PPMT(Rate,ROWS($1:1606),Nper,-PV,,Type))</f>
        <v/>
      </c>
      <c r="I1618" s="69" t="str">
        <f>IF($B1618="","",IPMT(Rate,ROWS($1:1606),Nper,-PV,,Type))</f>
        <v/>
      </c>
      <c r="J1618" s="73" t="str">
        <f t="shared" ref="J1618:K1618" si="1608">IF($B1618="","",N(J1617)+N(H1618))</f>
        <v/>
      </c>
      <c r="K1618" s="74" t="str">
        <f t="shared" si="1608"/>
        <v/>
      </c>
      <c r="L1618" s="69" t="str">
        <f>IF($B1618="","",PV-J1618)</f>
        <v/>
      </c>
      <c r="M1618" s="71" t="str">
        <f>IF($B1618="","",J1618/PV)</f>
        <v/>
      </c>
      <c r="N1618" s="72" t="str">
        <f t="shared" si="4"/>
        <v/>
      </c>
    </row>
    <row r="1619" ht="14.25" customHeight="1">
      <c r="B1619" s="66" t="str">
        <f>IF(ROWS($1:1607)&lt;=Nper,ROWS($1:1607),"")</f>
        <v/>
      </c>
      <c r="C1619" s="67" t="str">
        <f>IF($B1619="","",IF($E$7="Weekly",Start_Date+7*(ROWS($1:1607)-1),EDATE(Start_Date,VLOOKUP(IF(ASTemp!$E$7="","Monthly",ASTemp!$E$7),Parameters!$B$3:$D$6,3,0)*(ROWS($1:1607)-1))))</f>
        <v/>
      </c>
      <c r="D1619" s="68" t="str">
        <f t="shared" si="2"/>
        <v/>
      </c>
      <c r="E1619" s="65" t="str">
        <f>IF($B1619="","",VLOOKUP(MONTH(C1619),Parameters!$F$2:$G$13,2,0))</f>
        <v/>
      </c>
      <c r="F1619" s="69" t="str">
        <f>IF($B1619="","",PV-N(J1618))</f>
        <v/>
      </c>
      <c r="G1619" s="69" t="str">
        <f>IF($B1619="","",PMT(Rate,Nper,-PV,,Type))</f>
        <v/>
      </c>
      <c r="H1619" s="69" t="str">
        <f>IF($B1619="","",PPMT(Rate,ROWS($1:1607),Nper,-PV,,Type))</f>
        <v/>
      </c>
      <c r="I1619" s="69" t="str">
        <f>IF($B1619="","",IPMT(Rate,ROWS($1:1607),Nper,-PV,,Type))</f>
        <v/>
      </c>
      <c r="J1619" s="73" t="str">
        <f t="shared" ref="J1619:K1619" si="1609">IF($B1619="","",N(J1618)+N(H1619))</f>
        <v/>
      </c>
      <c r="K1619" s="74" t="str">
        <f t="shared" si="1609"/>
        <v/>
      </c>
      <c r="L1619" s="69" t="str">
        <f>IF($B1619="","",PV-J1619)</f>
        <v/>
      </c>
      <c r="M1619" s="71" t="str">
        <f>IF($B1619="","",J1619/PV)</f>
        <v/>
      </c>
      <c r="N1619" s="72" t="str">
        <f t="shared" si="4"/>
        <v/>
      </c>
    </row>
    <row r="1620" ht="14.25" customHeight="1">
      <c r="B1620" s="66" t="str">
        <f>IF(ROWS($1:1608)&lt;=Nper,ROWS($1:1608),"")</f>
        <v/>
      </c>
      <c r="C1620" s="67" t="str">
        <f>IF($B1620="","",IF($E$7="Weekly",Start_Date+7*(ROWS($1:1608)-1),EDATE(Start_Date,VLOOKUP(IF(ASTemp!$E$7="","Monthly",ASTemp!$E$7),Parameters!$B$3:$D$6,3,0)*(ROWS($1:1608)-1))))</f>
        <v/>
      </c>
      <c r="D1620" s="68" t="str">
        <f t="shared" si="2"/>
        <v/>
      </c>
      <c r="E1620" s="65" t="str">
        <f>IF($B1620="","",VLOOKUP(MONTH(C1620),Parameters!$F$2:$G$13,2,0))</f>
        <v/>
      </c>
      <c r="F1620" s="69" t="str">
        <f>IF($B1620="","",PV-N(J1619))</f>
        <v/>
      </c>
      <c r="G1620" s="69" t="str">
        <f>IF($B1620="","",PMT(Rate,Nper,-PV,,Type))</f>
        <v/>
      </c>
      <c r="H1620" s="69" t="str">
        <f>IF($B1620="","",PPMT(Rate,ROWS($1:1608),Nper,-PV,,Type))</f>
        <v/>
      </c>
      <c r="I1620" s="69" t="str">
        <f>IF($B1620="","",IPMT(Rate,ROWS($1:1608),Nper,-PV,,Type))</f>
        <v/>
      </c>
      <c r="J1620" s="73" t="str">
        <f t="shared" ref="J1620:K1620" si="1610">IF($B1620="","",N(J1619)+N(H1620))</f>
        <v/>
      </c>
      <c r="K1620" s="74" t="str">
        <f t="shared" si="1610"/>
        <v/>
      </c>
      <c r="L1620" s="69" t="str">
        <f>IF($B1620="","",PV-J1620)</f>
        <v/>
      </c>
      <c r="M1620" s="71" t="str">
        <f>IF($B1620="","",J1620/PV)</f>
        <v/>
      </c>
      <c r="N1620" s="72" t="str">
        <f t="shared" si="4"/>
        <v/>
      </c>
    </row>
    <row r="1621" ht="14.25" customHeight="1">
      <c r="B1621" s="66" t="str">
        <f>IF(ROWS($1:1609)&lt;=Nper,ROWS($1:1609),"")</f>
        <v/>
      </c>
      <c r="C1621" s="67" t="str">
        <f>IF($B1621="","",IF($E$7="Weekly",Start_Date+7*(ROWS($1:1609)-1),EDATE(Start_Date,VLOOKUP(IF(ASTemp!$E$7="","Monthly",ASTemp!$E$7),Parameters!$B$3:$D$6,3,0)*(ROWS($1:1609)-1))))</f>
        <v/>
      </c>
      <c r="D1621" s="68" t="str">
        <f t="shared" si="2"/>
        <v/>
      </c>
      <c r="E1621" s="65" t="str">
        <f>IF($B1621="","",VLOOKUP(MONTH(C1621),Parameters!$F$2:$G$13,2,0))</f>
        <v/>
      </c>
      <c r="F1621" s="69" t="str">
        <f>IF($B1621="","",PV-N(J1620))</f>
        <v/>
      </c>
      <c r="G1621" s="69" t="str">
        <f>IF($B1621="","",PMT(Rate,Nper,-PV,,Type))</f>
        <v/>
      </c>
      <c r="H1621" s="69" t="str">
        <f>IF($B1621="","",PPMT(Rate,ROWS($1:1609),Nper,-PV,,Type))</f>
        <v/>
      </c>
      <c r="I1621" s="69" t="str">
        <f>IF($B1621="","",IPMT(Rate,ROWS($1:1609),Nper,-PV,,Type))</f>
        <v/>
      </c>
      <c r="J1621" s="73" t="str">
        <f t="shared" ref="J1621:K1621" si="1611">IF($B1621="","",N(J1620)+N(H1621))</f>
        <v/>
      </c>
      <c r="K1621" s="74" t="str">
        <f t="shared" si="1611"/>
        <v/>
      </c>
      <c r="L1621" s="69" t="str">
        <f>IF($B1621="","",PV-J1621)</f>
        <v/>
      </c>
      <c r="M1621" s="71" t="str">
        <f>IF($B1621="","",J1621/PV)</f>
        <v/>
      </c>
      <c r="N1621" s="72" t="str">
        <f t="shared" si="4"/>
        <v/>
      </c>
    </row>
    <row r="1622" ht="14.25" customHeight="1">
      <c r="B1622" s="66" t="str">
        <f>IF(ROWS($1:1610)&lt;=Nper,ROWS($1:1610),"")</f>
        <v/>
      </c>
      <c r="C1622" s="67" t="str">
        <f>IF($B1622="","",IF($E$7="Weekly",Start_Date+7*(ROWS($1:1610)-1),EDATE(Start_Date,VLOOKUP(IF(ASTemp!$E$7="","Monthly",ASTemp!$E$7),Parameters!$B$3:$D$6,3,0)*(ROWS($1:1610)-1))))</f>
        <v/>
      </c>
      <c r="D1622" s="68" t="str">
        <f t="shared" si="2"/>
        <v/>
      </c>
      <c r="E1622" s="65" t="str">
        <f>IF($B1622="","",VLOOKUP(MONTH(C1622),Parameters!$F$2:$G$13,2,0))</f>
        <v/>
      </c>
      <c r="F1622" s="69" t="str">
        <f>IF($B1622="","",PV-N(J1621))</f>
        <v/>
      </c>
      <c r="G1622" s="69" t="str">
        <f>IF($B1622="","",PMT(Rate,Nper,-PV,,Type))</f>
        <v/>
      </c>
      <c r="H1622" s="69" t="str">
        <f>IF($B1622="","",PPMT(Rate,ROWS($1:1610),Nper,-PV,,Type))</f>
        <v/>
      </c>
      <c r="I1622" s="69" t="str">
        <f>IF($B1622="","",IPMT(Rate,ROWS($1:1610),Nper,-PV,,Type))</f>
        <v/>
      </c>
      <c r="J1622" s="73" t="str">
        <f t="shared" ref="J1622:K1622" si="1612">IF($B1622="","",N(J1621)+N(H1622))</f>
        <v/>
      </c>
      <c r="K1622" s="74" t="str">
        <f t="shared" si="1612"/>
        <v/>
      </c>
      <c r="L1622" s="69" t="str">
        <f>IF($B1622="","",PV-J1622)</f>
        <v/>
      </c>
      <c r="M1622" s="71" t="str">
        <f>IF($B1622="","",J1622/PV)</f>
        <v/>
      </c>
      <c r="N1622" s="72" t="str">
        <f t="shared" si="4"/>
        <v/>
      </c>
    </row>
    <row r="1623" ht="14.25" customHeight="1">
      <c r="B1623" s="66" t="str">
        <f>IF(ROWS($1:1611)&lt;=Nper,ROWS($1:1611),"")</f>
        <v/>
      </c>
      <c r="C1623" s="67" t="str">
        <f>IF($B1623="","",IF($E$7="Weekly",Start_Date+7*(ROWS($1:1611)-1),EDATE(Start_Date,VLOOKUP(IF(ASTemp!$E$7="","Monthly",ASTemp!$E$7),Parameters!$B$3:$D$6,3,0)*(ROWS($1:1611)-1))))</f>
        <v/>
      </c>
      <c r="D1623" s="68" t="str">
        <f t="shared" si="2"/>
        <v/>
      </c>
      <c r="E1623" s="65" t="str">
        <f>IF($B1623="","",VLOOKUP(MONTH(C1623),Parameters!$F$2:$G$13,2,0))</f>
        <v/>
      </c>
      <c r="F1623" s="69" t="str">
        <f>IF($B1623="","",PV-N(J1622))</f>
        <v/>
      </c>
      <c r="G1623" s="69" t="str">
        <f>IF($B1623="","",PMT(Rate,Nper,-PV,,Type))</f>
        <v/>
      </c>
      <c r="H1623" s="69" t="str">
        <f>IF($B1623="","",PPMT(Rate,ROWS($1:1611),Nper,-PV,,Type))</f>
        <v/>
      </c>
      <c r="I1623" s="69" t="str">
        <f>IF($B1623="","",IPMT(Rate,ROWS($1:1611),Nper,-PV,,Type))</f>
        <v/>
      </c>
      <c r="J1623" s="73" t="str">
        <f t="shared" ref="J1623:K1623" si="1613">IF($B1623="","",N(J1622)+N(H1623))</f>
        <v/>
      </c>
      <c r="K1623" s="74" t="str">
        <f t="shared" si="1613"/>
        <v/>
      </c>
      <c r="L1623" s="69" t="str">
        <f>IF($B1623="","",PV-J1623)</f>
        <v/>
      </c>
      <c r="M1623" s="71" t="str">
        <f>IF($B1623="","",J1623/PV)</f>
        <v/>
      </c>
      <c r="N1623" s="72" t="str">
        <f t="shared" si="4"/>
        <v/>
      </c>
    </row>
    <row r="1624" ht="14.25" customHeight="1">
      <c r="B1624" s="66" t="str">
        <f>IF(ROWS($1:1612)&lt;=Nper,ROWS($1:1612),"")</f>
        <v/>
      </c>
      <c r="C1624" s="67" t="str">
        <f>IF($B1624="","",IF($E$7="Weekly",Start_Date+7*(ROWS($1:1612)-1),EDATE(Start_Date,VLOOKUP(IF(ASTemp!$E$7="","Monthly",ASTemp!$E$7),Parameters!$B$3:$D$6,3,0)*(ROWS($1:1612)-1))))</f>
        <v/>
      </c>
      <c r="D1624" s="68" t="str">
        <f t="shared" si="2"/>
        <v/>
      </c>
      <c r="E1624" s="65" t="str">
        <f>IF($B1624="","",VLOOKUP(MONTH(C1624),Parameters!$F$2:$G$13,2,0))</f>
        <v/>
      </c>
      <c r="F1624" s="69" t="str">
        <f>IF($B1624="","",PV-N(J1623))</f>
        <v/>
      </c>
      <c r="G1624" s="69" t="str">
        <f>IF($B1624="","",PMT(Rate,Nper,-PV,,Type))</f>
        <v/>
      </c>
      <c r="H1624" s="69" t="str">
        <f>IF($B1624="","",PPMT(Rate,ROWS($1:1612),Nper,-PV,,Type))</f>
        <v/>
      </c>
      <c r="I1624" s="69" t="str">
        <f>IF($B1624="","",IPMT(Rate,ROWS($1:1612),Nper,-PV,,Type))</f>
        <v/>
      </c>
      <c r="J1624" s="73" t="str">
        <f t="shared" ref="J1624:K1624" si="1614">IF($B1624="","",N(J1623)+N(H1624))</f>
        <v/>
      </c>
      <c r="K1624" s="74" t="str">
        <f t="shared" si="1614"/>
        <v/>
      </c>
      <c r="L1624" s="69" t="str">
        <f>IF($B1624="","",PV-J1624)</f>
        <v/>
      </c>
      <c r="M1624" s="71" t="str">
        <f>IF($B1624="","",J1624/PV)</f>
        <v/>
      </c>
      <c r="N1624" s="72" t="str">
        <f t="shared" si="4"/>
        <v/>
      </c>
    </row>
    <row r="1625" ht="14.25" customHeight="1">
      <c r="B1625" s="66" t="str">
        <f>IF(ROWS($1:1613)&lt;=Nper,ROWS($1:1613),"")</f>
        <v/>
      </c>
      <c r="C1625" s="67" t="str">
        <f>IF($B1625="","",IF($E$7="Weekly",Start_Date+7*(ROWS($1:1613)-1),EDATE(Start_Date,VLOOKUP(IF(ASTemp!$E$7="","Monthly",ASTemp!$E$7),Parameters!$B$3:$D$6,3,0)*(ROWS($1:1613)-1))))</f>
        <v/>
      </c>
      <c r="D1625" s="68" t="str">
        <f t="shared" si="2"/>
        <v/>
      </c>
      <c r="E1625" s="65" t="str">
        <f>IF($B1625="","",VLOOKUP(MONTH(C1625),Parameters!$F$2:$G$13,2,0))</f>
        <v/>
      </c>
      <c r="F1625" s="69" t="str">
        <f>IF($B1625="","",PV-N(J1624))</f>
        <v/>
      </c>
      <c r="G1625" s="69" t="str">
        <f>IF($B1625="","",PMT(Rate,Nper,-PV,,Type))</f>
        <v/>
      </c>
      <c r="H1625" s="69" t="str">
        <f>IF($B1625="","",PPMT(Rate,ROWS($1:1613),Nper,-PV,,Type))</f>
        <v/>
      </c>
      <c r="I1625" s="69" t="str">
        <f>IF($B1625="","",IPMT(Rate,ROWS($1:1613),Nper,-PV,,Type))</f>
        <v/>
      </c>
      <c r="J1625" s="73" t="str">
        <f t="shared" ref="J1625:K1625" si="1615">IF($B1625="","",N(J1624)+N(H1625))</f>
        <v/>
      </c>
      <c r="K1625" s="74" t="str">
        <f t="shared" si="1615"/>
        <v/>
      </c>
      <c r="L1625" s="69" t="str">
        <f>IF($B1625="","",PV-J1625)</f>
        <v/>
      </c>
      <c r="M1625" s="71" t="str">
        <f>IF($B1625="","",J1625/PV)</f>
        <v/>
      </c>
      <c r="N1625" s="72" t="str">
        <f t="shared" si="4"/>
        <v/>
      </c>
    </row>
    <row r="1626" ht="14.25" customHeight="1">
      <c r="B1626" s="66" t="str">
        <f>IF(ROWS($1:1614)&lt;=Nper,ROWS($1:1614),"")</f>
        <v/>
      </c>
      <c r="C1626" s="67" t="str">
        <f>IF($B1626="","",IF($E$7="Weekly",Start_Date+7*(ROWS($1:1614)-1),EDATE(Start_Date,VLOOKUP(IF(ASTemp!$E$7="","Monthly",ASTemp!$E$7),Parameters!$B$3:$D$6,3,0)*(ROWS($1:1614)-1))))</f>
        <v/>
      </c>
      <c r="D1626" s="68" t="str">
        <f t="shared" si="2"/>
        <v/>
      </c>
      <c r="E1626" s="65" t="str">
        <f>IF($B1626="","",VLOOKUP(MONTH(C1626),Parameters!$F$2:$G$13,2,0))</f>
        <v/>
      </c>
      <c r="F1626" s="69" t="str">
        <f>IF($B1626="","",PV-N(J1625))</f>
        <v/>
      </c>
      <c r="G1626" s="69" t="str">
        <f>IF($B1626="","",PMT(Rate,Nper,-PV,,Type))</f>
        <v/>
      </c>
      <c r="H1626" s="69" t="str">
        <f>IF($B1626="","",PPMT(Rate,ROWS($1:1614),Nper,-PV,,Type))</f>
        <v/>
      </c>
      <c r="I1626" s="69" t="str">
        <f>IF($B1626="","",IPMT(Rate,ROWS($1:1614),Nper,-PV,,Type))</f>
        <v/>
      </c>
      <c r="J1626" s="73" t="str">
        <f t="shared" ref="J1626:K1626" si="1616">IF($B1626="","",N(J1625)+N(H1626))</f>
        <v/>
      </c>
      <c r="K1626" s="74" t="str">
        <f t="shared" si="1616"/>
        <v/>
      </c>
      <c r="L1626" s="69" t="str">
        <f>IF($B1626="","",PV-J1626)</f>
        <v/>
      </c>
      <c r="M1626" s="71" t="str">
        <f>IF($B1626="","",J1626/PV)</f>
        <v/>
      </c>
      <c r="N1626" s="72" t="str">
        <f t="shared" si="4"/>
        <v/>
      </c>
    </row>
    <row r="1627" ht="14.25" customHeight="1">
      <c r="B1627" s="66" t="str">
        <f>IF(ROWS($1:1615)&lt;=Nper,ROWS($1:1615),"")</f>
        <v/>
      </c>
      <c r="C1627" s="67" t="str">
        <f>IF($B1627="","",IF($E$7="Weekly",Start_Date+7*(ROWS($1:1615)-1),EDATE(Start_Date,VLOOKUP(IF(ASTemp!$E$7="","Monthly",ASTemp!$E$7),Parameters!$B$3:$D$6,3,0)*(ROWS($1:1615)-1))))</f>
        <v/>
      </c>
      <c r="D1627" s="68" t="str">
        <f t="shared" si="2"/>
        <v/>
      </c>
      <c r="E1627" s="65" t="str">
        <f>IF($B1627="","",VLOOKUP(MONTH(C1627),Parameters!$F$2:$G$13,2,0))</f>
        <v/>
      </c>
      <c r="F1627" s="69" t="str">
        <f>IF($B1627="","",PV-N(J1626))</f>
        <v/>
      </c>
      <c r="G1627" s="69" t="str">
        <f>IF($B1627="","",PMT(Rate,Nper,-PV,,Type))</f>
        <v/>
      </c>
      <c r="H1627" s="69" t="str">
        <f>IF($B1627="","",PPMT(Rate,ROWS($1:1615),Nper,-PV,,Type))</f>
        <v/>
      </c>
      <c r="I1627" s="69" t="str">
        <f>IF($B1627="","",IPMT(Rate,ROWS($1:1615),Nper,-PV,,Type))</f>
        <v/>
      </c>
      <c r="J1627" s="73" t="str">
        <f t="shared" ref="J1627:K1627" si="1617">IF($B1627="","",N(J1626)+N(H1627))</f>
        <v/>
      </c>
      <c r="K1627" s="74" t="str">
        <f t="shared" si="1617"/>
        <v/>
      </c>
      <c r="L1627" s="69" t="str">
        <f>IF($B1627="","",PV-J1627)</f>
        <v/>
      </c>
      <c r="M1627" s="71" t="str">
        <f>IF($B1627="","",J1627/PV)</f>
        <v/>
      </c>
      <c r="N1627" s="72" t="str">
        <f t="shared" si="4"/>
        <v/>
      </c>
    </row>
    <row r="1628" ht="14.25" customHeight="1">
      <c r="B1628" s="66" t="str">
        <f>IF(ROWS($1:1616)&lt;=Nper,ROWS($1:1616),"")</f>
        <v/>
      </c>
      <c r="C1628" s="67" t="str">
        <f>IF($B1628="","",IF($E$7="Weekly",Start_Date+7*(ROWS($1:1616)-1),EDATE(Start_Date,VLOOKUP(IF(ASTemp!$E$7="","Monthly",ASTemp!$E$7),Parameters!$B$3:$D$6,3,0)*(ROWS($1:1616)-1))))</f>
        <v/>
      </c>
      <c r="D1628" s="68" t="str">
        <f t="shared" si="2"/>
        <v/>
      </c>
      <c r="E1628" s="65" t="str">
        <f>IF($B1628="","",VLOOKUP(MONTH(C1628),Parameters!$F$2:$G$13,2,0))</f>
        <v/>
      </c>
      <c r="F1628" s="69" t="str">
        <f>IF($B1628="","",PV-N(J1627))</f>
        <v/>
      </c>
      <c r="G1628" s="69" t="str">
        <f>IF($B1628="","",PMT(Rate,Nper,-PV,,Type))</f>
        <v/>
      </c>
      <c r="H1628" s="69" t="str">
        <f>IF($B1628="","",PPMT(Rate,ROWS($1:1616),Nper,-PV,,Type))</f>
        <v/>
      </c>
      <c r="I1628" s="69" t="str">
        <f>IF($B1628="","",IPMT(Rate,ROWS($1:1616),Nper,-PV,,Type))</f>
        <v/>
      </c>
      <c r="J1628" s="73" t="str">
        <f t="shared" ref="J1628:K1628" si="1618">IF($B1628="","",N(J1627)+N(H1628))</f>
        <v/>
      </c>
      <c r="K1628" s="74" t="str">
        <f t="shared" si="1618"/>
        <v/>
      </c>
      <c r="L1628" s="69" t="str">
        <f>IF($B1628="","",PV-J1628)</f>
        <v/>
      </c>
      <c r="M1628" s="71" t="str">
        <f>IF($B1628="","",J1628/PV)</f>
        <v/>
      </c>
      <c r="N1628" s="72" t="str">
        <f t="shared" si="4"/>
        <v/>
      </c>
    </row>
    <row r="1629" ht="14.25" customHeight="1">
      <c r="B1629" s="66" t="str">
        <f>IF(ROWS($1:1617)&lt;=Nper,ROWS($1:1617),"")</f>
        <v/>
      </c>
      <c r="C1629" s="67" t="str">
        <f>IF($B1629="","",IF($E$7="Weekly",Start_Date+7*(ROWS($1:1617)-1),EDATE(Start_Date,VLOOKUP(IF(ASTemp!$E$7="","Monthly",ASTemp!$E$7),Parameters!$B$3:$D$6,3,0)*(ROWS($1:1617)-1))))</f>
        <v/>
      </c>
      <c r="D1629" s="68" t="str">
        <f t="shared" si="2"/>
        <v/>
      </c>
      <c r="E1629" s="65" t="str">
        <f>IF($B1629="","",VLOOKUP(MONTH(C1629),Parameters!$F$2:$G$13,2,0))</f>
        <v/>
      </c>
      <c r="F1629" s="69" t="str">
        <f>IF($B1629="","",PV-N(J1628))</f>
        <v/>
      </c>
      <c r="G1629" s="69" t="str">
        <f>IF($B1629="","",PMT(Rate,Nper,-PV,,Type))</f>
        <v/>
      </c>
      <c r="H1629" s="69" t="str">
        <f>IF($B1629="","",PPMT(Rate,ROWS($1:1617),Nper,-PV,,Type))</f>
        <v/>
      </c>
      <c r="I1629" s="69" t="str">
        <f>IF($B1629="","",IPMT(Rate,ROWS($1:1617),Nper,-PV,,Type))</f>
        <v/>
      </c>
      <c r="J1629" s="73" t="str">
        <f t="shared" ref="J1629:K1629" si="1619">IF($B1629="","",N(J1628)+N(H1629))</f>
        <v/>
      </c>
      <c r="K1629" s="74" t="str">
        <f t="shared" si="1619"/>
        <v/>
      </c>
      <c r="L1629" s="69" t="str">
        <f>IF($B1629="","",PV-J1629)</f>
        <v/>
      </c>
      <c r="M1629" s="71" t="str">
        <f>IF($B1629="","",J1629/PV)</f>
        <v/>
      </c>
      <c r="N1629" s="72" t="str">
        <f t="shared" si="4"/>
        <v/>
      </c>
    </row>
    <row r="1630" ht="14.25" customHeight="1">
      <c r="B1630" s="66" t="str">
        <f>IF(ROWS($1:1618)&lt;=Nper,ROWS($1:1618),"")</f>
        <v/>
      </c>
      <c r="C1630" s="67" t="str">
        <f>IF($B1630="","",IF($E$7="Weekly",Start_Date+7*(ROWS($1:1618)-1),EDATE(Start_Date,VLOOKUP(IF(ASTemp!$E$7="","Monthly",ASTemp!$E$7),Parameters!$B$3:$D$6,3,0)*(ROWS($1:1618)-1))))</f>
        <v/>
      </c>
      <c r="D1630" s="68" t="str">
        <f t="shared" si="2"/>
        <v/>
      </c>
      <c r="E1630" s="65" t="str">
        <f>IF($B1630="","",VLOOKUP(MONTH(C1630),Parameters!$F$2:$G$13,2,0))</f>
        <v/>
      </c>
      <c r="F1630" s="69" t="str">
        <f>IF($B1630="","",PV-N(J1629))</f>
        <v/>
      </c>
      <c r="G1630" s="69" t="str">
        <f>IF($B1630="","",PMT(Rate,Nper,-PV,,Type))</f>
        <v/>
      </c>
      <c r="H1630" s="69" t="str">
        <f>IF($B1630="","",PPMT(Rate,ROWS($1:1618),Nper,-PV,,Type))</f>
        <v/>
      </c>
      <c r="I1630" s="69" t="str">
        <f>IF($B1630="","",IPMT(Rate,ROWS($1:1618),Nper,-PV,,Type))</f>
        <v/>
      </c>
      <c r="J1630" s="73" t="str">
        <f t="shared" ref="J1630:K1630" si="1620">IF($B1630="","",N(J1629)+N(H1630))</f>
        <v/>
      </c>
      <c r="K1630" s="74" t="str">
        <f t="shared" si="1620"/>
        <v/>
      </c>
      <c r="L1630" s="69" t="str">
        <f>IF($B1630="","",PV-J1630)</f>
        <v/>
      </c>
      <c r="M1630" s="71" t="str">
        <f>IF($B1630="","",J1630/PV)</f>
        <v/>
      </c>
      <c r="N1630" s="72" t="str">
        <f t="shared" si="4"/>
        <v/>
      </c>
    </row>
    <row r="1631" ht="14.25" customHeight="1">
      <c r="B1631" s="66" t="str">
        <f>IF(ROWS($1:1619)&lt;=Nper,ROWS($1:1619),"")</f>
        <v/>
      </c>
      <c r="C1631" s="67" t="str">
        <f>IF($B1631="","",IF($E$7="Weekly",Start_Date+7*(ROWS($1:1619)-1),EDATE(Start_Date,VLOOKUP(IF(ASTemp!$E$7="","Monthly",ASTemp!$E$7),Parameters!$B$3:$D$6,3,0)*(ROWS($1:1619)-1))))</f>
        <v/>
      </c>
      <c r="D1631" s="68" t="str">
        <f t="shared" si="2"/>
        <v/>
      </c>
      <c r="E1631" s="65" t="str">
        <f>IF($B1631="","",VLOOKUP(MONTH(C1631),Parameters!$F$2:$G$13,2,0))</f>
        <v/>
      </c>
      <c r="F1631" s="69" t="str">
        <f>IF($B1631="","",PV-N(J1630))</f>
        <v/>
      </c>
      <c r="G1631" s="69" t="str">
        <f>IF($B1631="","",PMT(Rate,Nper,-PV,,Type))</f>
        <v/>
      </c>
      <c r="H1631" s="69" t="str">
        <f>IF($B1631="","",PPMT(Rate,ROWS($1:1619),Nper,-PV,,Type))</f>
        <v/>
      </c>
      <c r="I1631" s="69" t="str">
        <f>IF($B1631="","",IPMT(Rate,ROWS($1:1619),Nper,-PV,,Type))</f>
        <v/>
      </c>
      <c r="J1631" s="73" t="str">
        <f t="shared" ref="J1631:K1631" si="1621">IF($B1631="","",N(J1630)+N(H1631))</f>
        <v/>
      </c>
      <c r="K1631" s="74" t="str">
        <f t="shared" si="1621"/>
        <v/>
      </c>
      <c r="L1631" s="69" t="str">
        <f>IF($B1631="","",PV-J1631)</f>
        <v/>
      </c>
      <c r="M1631" s="71" t="str">
        <f>IF($B1631="","",J1631/PV)</f>
        <v/>
      </c>
      <c r="N1631" s="72" t="str">
        <f t="shared" si="4"/>
        <v/>
      </c>
    </row>
    <row r="1632" ht="14.25" customHeight="1">
      <c r="B1632" s="66" t="str">
        <f>IF(ROWS($1:1620)&lt;=Nper,ROWS($1:1620),"")</f>
        <v/>
      </c>
      <c r="C1632" s="67" t="str">
        <f>IF($B1632="","",IF($E$7="Weekly",Start_Date+7*(ROWS($1:1620)-1),EDATE(Start_Date,VLOOKUP(IF(ASTemp!$E$7="","Monthly",ASTemp!$E$7),Parameters!$B$3:$D$6,3,0)*(ROWS($1:1620)-1))))</f>
        <v/>
      </c>
      <c r="D1632" s="68" t="str">
        <f t="shared" si="2"/>
        <v/>
      </c>
      <c r="E1632" s="65" t="str">
        <f>IF($B1632="","",VLOOKUP(MONTH(C1632),Parameters!$F$2:$G$13,2,0))</f>
        <v/>
      </c>
      <c r="F1632" s="69" t="str">
        <f>IF($B1632="","",PV-N(J1631))</f>
        <v/>
      </c>
      <c r="G1632" s="69" t="str">
        <f>IF($B1632="","",PMT(Rate,Nper,-PV,,Type))</f>
        <v/>
      </c>
      <c r="H1632" s="69" t="str">
        <f>IF($B1632="","",PPMT(Rate,ROWS($1:1620),Nper,-PV,,Type))</f>
        <v/>
      </c>
      <c r="I1632" s="69" t="str">
        <f>IF($B1632="","",IPMT(Rate,ROWS($1:1620),Nper,-PV,,Type))</f>
        <v/>
      </c>
      <c r="J1632" s="73" t="str">
        <f t="shared" ref="J1632:K1632" si="1622">IF($B1632="","",N(J1631)+N(H1632))</f>
        <v/>
      </c>
      <c r="K1632" s="74" t="str">
        <f t="shared" si="1622"/>
        <v/>
      </c>
      <c r="L1632" s="69" t="str">
        <f>IF($B1632="","",PV-J1632)</f>
        <v/>
      </c>
      <c r="M1632" s="71" t="str">
        <f>IF($B1632="","",J1632/PV)</f>
        <v/>
      </c>
      <c r="N1632" s="72" t="str">
        <f t="shared" si="4"/>
        <v/>
      </c>
    </row>
    <row r="1633" ht="14.25" customHeight="1">
      <c r="B1633" s="66" t="str">
        <f>IF(ROWS($1:1621)&lt;=Nper,ROWS($1:1621),"")</f>
        <v/>
      </c>
      <c r="C1633" s="67" t="str">
        <f>IF($B1633="","",IF($E$7="Weekly",Start_Date+7*(ROWS($1:1621)-1),EDATE(Start_Date,VLOOKUP(IF(ASTemp!$E$7="","Monthly",ASTemp!$E$7),Parameters!$B$3:$D$6,3,0)*(ROWS($1:1621)-1))))</f>
        <v/>
      </c>
      <c r="D1633" s="68" t="str">
        <f t="shared" si="2"/>
        <v/>
      </c>
      <c r="E1633" s="65" t="str">
        <f>IF($B1633="","",VLOOKUP(MONTH(C1633),Parameters!$F$2:$G$13,2,0))</f>
        <v/>
      </c>
      <c r="F1633" s="69" t="str">
        <f>IF($B1633="","",PV-N(J1632))</f>
        <v/>
      </c>
      <c r="G1633" s="69" t="str">
        <f>IF($B1633="","",PMT(Rate,Nper,-PV,,Type))</f>
        <v/>
      </c>
      <c r="H1633" s="69" t="str">
        <f>IF($B1633="","",PPMT(Rate,ROWS($1:1621),Nper,-PV,,Type))</f>
        <v/>
      </c>
      <c r="I1633" s="69" t="str">
        <f>IF($B1633="","",IPMT(Rate,ROWS($1:1621),Nper,-PV,,Type))</f>
        <v/>
      </c>
      <c r="J1633" s="73" t="str">
        <f t="shared" ref="J1633:K1633" si="1623">IF($B1633="","",N(J1632)+N(H1633))</f>
        <v/>
      </c>
      <c r="K1633" s="74" t="str">
        <f t="shared" si="1623"/>
        <v/>
      </c>
      <c r="L1633" s="69" t="str">
        <f>IF($B1633="","",PV-J1633)</f>
        <v/>
      </c>
      <c r="M1633" s="71" t="str">
        <f>IF($B1633="","",J1633/PV)</f>
        <v/>
      </c>
      <c r="N1633" s="72" t="str">
        <f t="shared" si="4"/>
        <v/>
      </c>
    </row>
    <row r="1634" ht="14.25" customHeight="1">
      <c r="B1634" s="66" t="str">
        <f>IF(ROWS($1:1622)&lt;=Nper,ROWS($1:1622),"")</f>
        <v/>
      </c>
      <c r="C1634" s="67" t="str">
        <f>IF($B1634="","",IF($E$7="Weekly",Start_Date+7*(ROWS($1:1622)-1),EDATE(Start_Date,VLOOKUP(IF(ASTemp!$E$7="","Monthly",ASTemp!$E$7),Parameters!$B$3:$D$6,3,0)*(ROWS($1:1622)-1))))</f>
        <v/>
      </c>
      <c r="D1634" s="68" t="str">
        <f t="shared" si="2"/>
        <v/>
      </c>
      <c r="E1634" s="65" t="str">
        <f>IF($B1634="","",VLOOKUP(MONTH(C1634),Parameters!$F$2:$G$13,2,0))</f>
        <v/>
      </c>
      <c r="F1634" s="69" t="str">
        <f>IF($B1634="","",PV-N(J1633))</f>
        <v/>
      </c>
      <c r="G1634" s="69" t="str">
        <f>IF($B1634="","",PMT(Rate,Nper,-PV,,Type))</f>
        <v/>
      </c>
      <c r="H1634" s="69" t="str">
        <f>IF($B1634="","",PPMT(Rate,ROWS($1:1622),Nper,-PV,,Type))</f>
        <v/>
      </c>
      <c r="I1634" s="69" t="str">
        <f>IF($B1634="","",IPMT(Rate,ROWS($1:1622),Nper,-PV,,Type))</f>
        <v/>
      </c>
      <c r="J1634" s="73" t="str">
        <f t="shared" ref="J1634:K1634" si="1624">IF($B1634="","",N(J1633)+N(H1634))</f>
        <v/>
      </c>
      <c r="K1634" s="74" t="str">
        <f t="shared" si="1624"/>
        <v/>
      </c>
      <c r="L1634" s="69" t="str">
        <f>IF($B1634="","",PV-J1634)</f>
        <v/>
      </c>
      <c r="M1634" s="71" t="str">
        <f>IF($B1634="","",J1634/PV)</f>
        <v/>
      </c>
      <c r="N1634" s="72" t="str">
        <f t="shared" si="4"/>
        <v/>
      </c>
    </row>
    <row r="1635" ht="14.25" customHeight="1">
      <c r="B1635" s="66" t="str">
        <f>IF(ROWS($1:1623)&lt;=Nper,ROWS($1:1623),"")</f>
        <v/>
      </c>
      <c r="C1635" s="67" t="str">
        <f>IF($B1635="","",IF($E$7="Weekly",Start_Date+7*(ROWS($1:1623)-1),EDATE(Start_Date,VLOOKUP(IF(ASTemp!$E$7="","Monthly",ASTemp!$E$7),Parameters!$B$3:$D$6,3,0)*(ROWS($1:1623)-1))))</f>
        <v/>
      </c>
      <c r="D1635" s="68" t="str">
        <f t="shared" si="2"/>
        <v/>
      </c>
      <c r="E1635" s="65" t="str">
        <f>IF($B1635="","",VLOOKUP(MONTH(C1635),Parameters!$F$2:$G$13,2,0))</f>
        <v/>
      </c>
      <c r="F1635" s="69" t="str">
        <f>IF($B1635="","",PV-N(J1634))</f>
        <v/>
      </c>
      <c r="G1635" s="69" t="str">
        <f>IF($B1635="","",PMT(Rate,Nper,-PV,,Type))</f>
        <v/>
      </c>
      <c r="H1635" s="69" t="str">
        <f>IF($B1635="","",PPMT(Rate,ROWS($1:1623),Nper,-PV,,Type))</f>
        <v/>
      </c>
      <c r="I1635" s="69" t="str">
        <f>IF($B1635="","",IPMT(Rate,ROWS($1:1623),Nper,-PV,,Type))</f>
        <v/>
      </c>
      <c r="J1635" s="73" t="str">
        <f t="shared" ref="J1635:K1635" si="1625">IF($B1635="","",N(J1634)+N(H1635))</f>
        <v/>
      </c>
      <c r="K1635" s="74" t="str">
        <f t="shared" si="1625"/>
        <v/>
      </c>
      <c r="L1635" s="69" t="str">
        <f>IF($B1635="","",PV-J1635)</f>
        <v/>
      </c>
      <c r="M1635" s="71" t="str">
        <f>IF($B1635="","",J1635/PV)</f>
        <v/>
      </c>
      <c r="N1635" s="72" t="str">
        <f t="shared" si="4"/>
        <v/>
      </c>
    </row>
    <row r="1636" ht="14.25" customHeight="1">
      <c r="B1636" s="66" t="str">
        <f>IF(ROWS($1:1624)&lt;=Nper,ROWS($1:1624),"")</f>
        <v/>
      </c>
      <c r="C1636" s="67" t="str">
        <f>IF($B1636="","",IF($E$7="Weekly",Start_Date+7*(ROWS($1:1624)-1),EDATE(Start_Date,VLOOKUP(IF(ASTemp!$E$7="","Monthly",ASTemp!$E$7),Parameters!$B$3:$D$6,3,0)*(ROWS($1:1624)-1))))</f>
        <v/>
      </c>
      <c r="D1636" s="68" t="str">
        <f t="shared" si="2"/>
        <v/>
      </c>
      <c r="E1636" s="65" t="str">
        <f>IF($B1636="","",VLOOKUP(MONTH(C1636),Parameters!$F$2:$G$13,2,0))</f>
        <v/>
      </c>
      <c r="F1636" s="69" t="str">
        <f>IF($B1636="","",PV-N(J1635))</f>
        <v/>
      </c>
      <c r="G1636" s="69" t="str">
        <f>IF($B1636="","",PMT(Rate,Nper,-PV,,Type))</f>
        <v/>
      </c>
      <c r="H1636" s="69" t="str">
        <f>IF($B1636="","",PPMT(Rate,ROWS($1:1624),Nper,-PV,,Type))</f>
        <v/>
      </c>
      <c r="I1636" s="69" t="str">
        <f>IF($B1636="","",IPMT(Rate,ROWS($1:1624),Nper,-PV,,Type))</f>
        <v/>
      </c>
      <c r="J1636" s="73" t="str">
        <f t="shared" ref="J1636:K1636" si="1626">IF($B1636="","",N(J1635)+N(H1636))</f>
        <v/>
      </c>
      <c r="K1636" s="74" t="str">
        <f t="shared" si="1626"/>
        <v/>
      </c>
      <c r="L1636" s="69" t="str">
        <f>IF($B1636="","",PV-J1636)</f>
        <v/>
      </c>
      <c r="M1636" s="71" t="str">
        <f>IF($B1636="","",J1636/PV)</f>
        <v/>
      </c>
      <c r="N1636" s="72" t="str">
        <f t="shared" si="4"/>
        <v/>
      </c>
    </row>
    <row r="1637" ht="14.25" customHeight="1">
      <c r="B1637" s="66" t="str">
        <f>IF(ROWS($1:1625)&lt;=Nper,ROWS($1:1625),"")</f>
        <v/>
      </c>
      <c r="C1637" s="67" t="str">
        <f>IF($B1637="","",IF($E$7="Weekly",Start_Date+7*(ROWS($1:1625)-1),EDATE(Start_Date,VLOOKUP(IF(ASTemp!$E$7="","Monthly",ASTemp!$E$7),Parameters!$B$3:$D$6,3,0)*(ROWS($1:1625)-1))))</f>
        <v/>
      </c>
      <c r="D1637" s="68" t="str">
        <f t="shared" si="2"/>
        <v/>
      </c>
      <c r="E1637" s="65" t="str">
        <f>IF($B1637="","",VLOOKUP(MONTH(C1637),Parameters!$F$2:$G$13,2,0))</f>
        <v/>
      </c>
      <c r="F1637" s="69" t="str">
        <f>IF($B1637="","",PV-N(J1636))</f>
        <v/>
      </c>
      <c r="G1637" s="69" t="str">
        <f>IF($B1637="","",PMT(Rate,Nper,-PV,,Type))</f>
        <v/>
      </c>
      <c r="H1637" s="69" t="str">
        <f>IF($B1637="","",PPMT(Rate,ROWS($1:1625),Nper,-PV,,Type))</f>
        <v/>
      </c>
      <c r="I1637" s="69" t="str">
        <f>IF($B1637="","",IPMT(Rate,ROWS($1:1625),Nper,-PV,,Type))</f>
        <v/>
      </c>
      <c r="J1637" s="73" t="str">
        <f t="shared" ref="J1637:K1637" si="1627">IF($B1637="","",N(J1636)+N(H1637))</f>
        <v/>
      </c>
      <c r="K1637" s="74" t="str">
        <f t="shared" si="1627"/>
        <v/>
      </c>
      <c r="L1637" s="69" t="str">
        <f>IF($B1637="","",PV-J1637)</f>
        <v/>
      </c>
      <c r="M1637" s="71" t="str">
        <f>IF($B1637="","",J1637/PV)</f>
        <v/>
      </c>
      <c r="N1637" s="72" t="str">
        <f t="shared" si="4"/>
        <v/>
      </c>
    </row>
    <row r="1638" ht="14.25" customHeight="1">
      <c r="B1638" s="66" t="str">
        <f>IF(ROWS($1:1626)&lt;=Nper,ROWS($1:1626),"")</f>
        <v/>
      </c>
      <c r="C1638" s="67" t="str">
        <f>IF($B1638="","",IF($E$7="Weekly",Start_Date+7*(ROWS($1:1626)-1),EDATE(Start_Date,VLOOKUP(IF(ASTemp!$E$7="","Monthly",ASTemp!$E$7),Parameters!$B$3:$D$6,3,0)*(ROWS($1:1626)-1))))</f>
        <v/>
      </c>
      <c r="D1638" s="68" t="str">
        <f t="shared" si="2"/>
        <v/>
      </c>
      <c r="E1638" s="65" t="str">
        <f>IF($B1638="","",VLOOKUP(MONTH(C1638),Parameters!$F$2:$G$13,2,0))</f>
        <v/>
      </c>
      <c r="F1638" s="69" t="str">
        <f>IF($B1638="","",PV-N(J1637))</f>
        <v/>
      </c>
      <c r="G1638" s="69" t="str">
        <f>IF($B1638="","",PMT(Rate,Nper,-PV,,Type))</f>
        <v/>
      </c>
      <c r="H1638" s="69" t="str">
        <f>IF($B1638="","",PPMT(Rate,ROWS($1:1626),Nper,-PV,,Type))</f>
        <v/>
      </c>
      <c r="I1638" s="69" t="str">
        <f>IF($B1638="","",IPMT(Rate,ROWS($1:1626),Nper,-PV,,Type))</f>
        <v/>
      </c>
      <c r="J1638" s="73" t="str">
        <f t="shared" ref="J1638:K1638" si="1628">IF($B1638="","",N(J1637)+N(H1638))</f>
        <v/>
      </c>
      <c r="K1638" s="74" t="str">
        <f t="shared" si="1628"/>
        <v/>
      </c>
      <c r="L1638" s="69" t="str">
        <f>IF($B1638="","",PV-J1638)</f>
        <v/>
      </c>
      <c r="M1638" s="71" t="str">
        <f>IF($B1638="","",J1638/PV)</f>
        <v/>
      </c>
      <c r="N1638" s="72" t="str">
        <f t="shared" si="4"/>
        <v/>
      </c>
    </row>
    <row r="1639" ht="14.25" customHeight="1">
      <c r="B1639" s="66" t="str">
        <f>IF(ROWS($1:1627)&lt;=Nper,ROWS($1:1627),"")</f>
        <v/>
      </c>
      <c r="C1639" s="67" t="str">
        <f>IF($B1639="","",IF($E$7="Weekly",Start_Date+7*(ROWS($1:1627)-1),EDATE(Start_Date,VLOOKUP(IF(ASTemp!$E$7="","Monthly",ASTemp!$E$7),Parameters!$B$3:$D$6,3,0)*(ROWS($1:1627)-1))))</f>
        <v/>
      </c>
      <c r="D1639" s="68" t="str">
        <f t="shared" si="2"/>
        <v/>
      </c>
      <c r="E1639" s="65" t="str">
        <f>IF($B1639="","",VLOOKUP(MONTH(C1639),Parameters!$F$2:$G$13,2,0))</f>
        <v/>
      </c>
      <c r="F1639" s="69" t="str">
        <f>IF($B1639="","",PV-N(J1638))</f>
        <v/>
      </c>
      <c r="G1639" s="69" t="str">
        <f>IF($B1639="","",PMT(Rate,Nper,-PV,,Type))</f>
        <v/>
      </c>
      <c r="H1639" s="69" t="str">
        <f>IF($B1639="","",PPMT(Rate,ROWS($1:1627),Nper,-PV,,Type))</f>
        <v/>
      </c>
      <c r="I1639" s="69" t="str">
        <f>IF($B1639="","",IPMT(Rate,ROWS($1:1627),Nper,-PV,,Type))</f>
        <v/>
      </c>
      <c r="J1639" s="73" t="str">
        <f t="shared" ref="J1639:K1639" si="1629">IF($B1639="","",N(J1638)+N(H1639))</f>
        <v/>
      </c>
      <c r="K1639" s="74" t="str">
        <f t="shared" si="1629"/>
        <v/>
      </c>
      <c r="L1639" s="69" t="str">
        <f>IF($B1639="","",PV-J1639)</f>
        <v/>
      </c>
      <c r="M1639" s="71" t="str">
        <f>IF($B1639="","",J1639/PV)</f>
        <v/>
      </c>
      <c r="N1639" s="72" t="str">
        <f t="shared" si="4"/>
        <v/>
      </c>
    </row>
    <row r="1640" ht="14.25" customHeight="1">
      <c r="B1640" s="66" t="str">
        <f>IF(ROWS($1:1628)&lt;=Nper,ROWS($1:1628),"")</f>
        <v/>
      </c>
      <c r="C1640" s="67" t="str">
        <f>IF($B1640="","",IF($E$7="Weekly",Start_Date+7*(ROWS($1:1628)-1),EDATE(Start_Date,VLOOKUP(IF(ASTemp!$E$7="","Monthly",ASTemp!$E$7),Parameters!$B$3:$D$6,3,0)*(ROWS($1:1628)-1))))</f>
        <v/>
      </c>
      <c r="D1640" s="68" t="str">
        <f t="shared" si="2"/>
        <v/>
      </c>
      <c r="E1640" s="65" t="str">
        <f>IF($B1640="","",VLOOKUP(MONTH(C1640),Parameters!$F$2:$G$13,2,0))</f>
        <v/>
      </c>
      <c r="F1640" s="69" t="str">
        <f>IF($B1640="","",PV-N(J1639))</f>
        <v/>
      </c>
      <c r="G1640" s="69" t="str">
        <f>IF($B1640="","",PMT(Rate,Nper,-PV,,Type))</f>
        <v/>
      </c>
      <c r="H1640" s="69" t="str">
        <f>IF($B1640="","",PPMT(Rate,ROWS($1:1628),Nper,-PV,,Type))</f>
        <v/>
      </c>
      <c r="I1640" s="69" t="str">
        <f>IF($B1640="","",IPMT(Rate,ROWS($1:1628),Nper,-PV,,Type))</f>
        <v/>
      </c>
      <c r="J1640" s="73" t="str">
        <f t="shared" ref="J1640:K1640" si="1630">IF($B1640="","",N(J1639)+N(H1640))</f>
        <v/>
      </c>
      <c r="K1640" s="74" t="str">
        <f t="shared" si="1630"/>
        <v/>
      </c>
      <c r="L1640" s="69" t="str">
        <f>IF($B1640="","",PV-J1640)</f>
        <v/>
      </c>
      <c r="M1640" s="71" t="str">
        <f>IF($B1640="","",J1640/PV)</f>
        <v/>
      </c>
      <c r="N1640" s="72" t="str">
        <f t="shared" si="4"/>
        <v/>
      </c>
    </row>
    <row r="1641" ht="14.25" customHeight="1">
      <c r="B1641" s="66" t="str">
        <f>IF(ROWS($1:1629)&lt;=Nper,ROWS($1:1629),"")</f>
        <v/>
      </c>
      <c r="C1641" s="67" t="str">
        <f>IF($B1641="","",IF($E$7="Weekly",Start_Date+7*(ROWS($1:1629)-1),EDATE(Start_Date,VLOOKUP(IF(ASTemp!$E$7="","Monthly",ASTemp!$E$7),Parameters!$B$3:$D$6,3,0)*(ROWS($1:1629)-1))))</f>
        <v/>
      </c>
      <c r="D1641" s="68" t="str">
        <f t="shared" si="2"/>
        <v/>
      </c>
      <c r="E1641" s="65" t="str">
        <f>IF($B1641="","",VLOOKUP(MONTH(C1641),Parameters!$F$2:$G$13,2,0))</f>
        <v/>
      </c>
      <c r="F1641" s="69" t="str">
        <f>IF($B1641="","",PV-N(J1640))</f>
        <v/>
      </c>
      <c r="G1641" s="69" t="str">
        <f>IF($B1641="","",PMT(Rate,Nper,-PV,,Type))</f>
        <v/>
      </c>
      <c r="H1641" s="69" t="str">
        <f>IF($B1641="","",PPMT(Rate,ROWS($1:1629),Nper,-PV,,Type))</f>
        <v/>
      </c>
      <c r="I1641" s="69" t="str">
        <f>IF($B1641="","",IPMT(Rate,ROWS($1:1629),Nper,-PV,,Type))</f>
        <v/>
      </c>
      <c r="J1641" s="73" t="str">
        <f t="shared" ref="J1641:K1641" si="1631">IF($B1641="","",N(J1640)+N(H1641))</f>
        <v/>
      </c>
      <c r="K1641" s="74" t="str">
        <f t="shared" si="1631"/>
        <v/>
      </c>
      <c r="L1641" s="69" t="str">
        <f>IF($B1641="","",PV-J1641)</f>
        <v/>
      </c>
      <c r="M1641" s="71" t="str">
        <f>IF($B1641="","",J1641/PV)</f>
        <v/>
      </c>
      <c r="N1641" s="72" t="str">
        <f t="shared" si="4"/>
        <v/>
      </c>
    </row>
    <row r="1642" ht="14.25" customHeight="1">
      <c r="B1642" s="66" t="str">
        <f>IF(ROWS($1:1630)&lt;=Nper,ROWS($1:1630),"")</f>
        <v/>
      </c>
      <c r="C1642" s="67" t="str">
        <f>IF($B1642="","",IF($E$7="Weekly",Start_Date+7*(ROWS($1:1630)-1),EDATE(Start_Date,VLOOKUP(IF(ASTemp!$E$7="","Monthly",ASTemp!$E$7),Parameters!$B$3:$D$6,3,0)*(ROWS($1:1630)-1))))</f>
        <v/>
      </c>
      <c r="D1642" s="68" t="str">
        <f t="shared" si="2"/>
        <v/>
      </c>
      <c r="E1642" s="65" t="str">
        <f>IF($B1642="","",VLOOKUP(MONTH(C1642),Parameters!$F$2:$G$13,2,0))</f>
        <v/>
      </c>
      <c r="F1642" s="69" t="str">
        <f>IF($B1642="","",PV-N(J1641))</f>
        <v/>
      </c>
      <c r="G1642" s="69" t="str">
        <f>IF($B1642="","",PMT(Rate,Nper,-PV,,Type))</f>
        <v/>
      </c>
      <c r="H1642" s="69" t="str">
        <f>IF($B1642="","",PPMT(Rate,ROWS($1:1630),Nper,-PV,,Type))</f>
        <v/>
      </c>
      <c r="I1642" s="69" t="str">
        <f>IF($B1642="","",IPMT(Rate,ROWS($1:1630),Nper,-PV,,Type))</f>
        <v/>
      </c>
      <c r="J1642" s="73" t="str">
        <f t="shared" ref="J1642:K1642" si="1632">IF($B1642="","",N(J1641)+N(H1642))</f>
        <v/>
      </c>
      <c r="K1642" s="74" t="str">
        <f t="shared" si="1632"/>
        <v/>
      </c>
      <c r="L1642" s="69" t="str">
        <f>IF($B1642="","",PV-J1642)</f>
        <v/>
      </c>
      <c r="M1642" s="71" t="str">
        <f>IF($B1642="","",J1642/PV)</f>
        <v/>
      </c>
      <c r="N1642" s="72" t="str">
        <f t="shared" si="4"/>
        <v/>
      </c>
    </row>
    <row r="1643" ht="14.25" customHeight="1">
      <c r="B1643" s="66" t="str">
        <f>IF(ROWS($1:1631)&lt;=Nper,ROWS($1:1631),"")</f>
        <v/>
      </c>
      <c r="C1643" s="67" t="str">
        <f>IF($B1643="","",IF($E$7="Weekly",Start_Date+7*(ROWS($1:1631)-1),EDATE(Start_Date,VLOOKUP(IF(ASTemp!$E$7="","Monthly",ASTemp!$E$7),Parameters!$B$3:$D$6,3,0)*(ROWS($1:1631)-1))))</f>
        <v/>
      </c>
      <c r="D1643" s="68" t="str">
        <f t="shared" si="2"/>
        <v/>
      </c>
      <c r="E1643" s="65" t="str">
        <f>IF($B1643="","",VLOOKUP(MONTH(C1643),Parameters!$F$2:$G$13,2,0))</f>
        <v/>
      </c>
      <c r="F1643" s="69" t="str">
        <f>IF($B1643="","",PV-N(J1642))</f>
        <v/>
      </c>
      <c r="G1643" s="69" t="str">
        <f>IF($B1643="","",PMT(Rate,Nper,-PV,,Type))</f>
        <v/>
      </c>
      <c r="H1643" s="69" t="str">
        <f>IF($B1643="","",PPMT(Rate,ROWS($1:1631),Nper,-PV,,Type))</f>
        <v/>
      </c>
      <c r="I1643" s="69" t="str">
        <f>IF($B1643="","",IPMT(Rate,ROWS($1:1631),Nper,-PV,,Type))</f>
        <v/>
      </c>
      <c r="J1643" s="73" t="str">
        <f t="shared" ref="J1643:K1643" si="1633">IF($B1643="","",N(J1642)+N(H1643))</f>
        <v/>
      </c>
      <c r="K1643" s="74" t="str">
        <f t="shared" si="1633"/>
        <v/>
      </c>
      <c r="L1643" s="69" t="str">
        <f>IF($B1643="","",PV-J1643)</f>
        <v/>
      </c>
      <c r="M1643" s="71" t="str">
        <f>IF($B1643="","",J1643/PV)</f>
        <v/>
      </c>
      <c r="N1643" s="72" t="str">
        <f t="shared" si="4"/>
        <v/>
      </c>
    </row>
    <row r="1644" ht="14.25" customHeight="1">
      <c r="B1644" s="66" t="str">
        <f>IF(ROWS($1:1632)&lt;=Nper,ROWS($1:1632),"")</f>
        <v/>
      </c>
      <c r="C1644" s="67" t="str">
        <f>IF($B1644="","",IF($E$7="Weekly",Start_Date+7*(ROWS($1:1632)-1),EDATE(Start_Date,VLOOKUP(IF(ASTemp!$E$7="","Monthly",ASTemp!$E$7),Parameters!$B$3:$D$6,3,0)*(ROWS($1:1632)-1))))</f>
        <v/>
      </c>
      <c r="D1644" s="68" t="str">
        <f t="shared" si="2"/>
        <v/>
      </c>
      <c r="E1644" s="65" t="str">
        <f>IF($B1644="","",VLOOKUP(MONTH(C1644),Parameters!$F$2:$G$13,2,0))</f>
        <v/>
      </c>
      <c r="F1644" s="69" t="str">
        <f>IF($B1644="","",PV-N(J1643))</f>
        <v/>
      </c>
      <c r="G1644" s="69" t="str">
        <f>IF($B1644="","",PMT(Rate,Nper,-PV,,Type))</f>
        <v/>
      </c>
      <c r="H1644" s="69" t="str">
        <f>IF($B1644="","",PPMT(Rate,ROWS($1:1632),Nper,-PV,,Type))</f>
        <v/>
      </c>
      <c r="I1644" s="69" t="str">
        <f>IF($B1644="","",IPMT(Rate,ROWS($1:1632),Nper,-PV,,Type))</f>
        <v/>
      </c>
      <c r="J1644" s="73" t="str">
        <f t="shared" ref="J1644:K1644" si="1634">IF($B1644="","",N(J1643)+N(H1644))</f>
        <v/>
      </c>
      <c r="K1644" s="74" t="str">
        <f t="shared" si="1634"/>
        <v/>
      </c>
      <c r="L1644" s="69" t="str">
        <f>IF($B1644="","",PV-J1644)</f>
        <v/>
      </c>
      <c r="M1644" s="71" t="str">
        <f>IF($B1644="","",J1644/PV)</f>
        <v/>
      </c>
      <c r="N1644" s="72" t="str">
        <f t="shared" si="4"/>
        <v/>
      </c>
    </row>
    <row r="1645" ht="14.25" customHeight="1">
      <c r="B1645" s="66" t="str">
        <f>IF(ROWS($1:1633)&lt;=Nper,ROWS($1:1633),"")</f>
        <v/>
      </c>
      <c r="C1645" s="67" t="str">
        <f>IF($B1645="","",IF($E$7="Weekly",Start_Date+7*(ROWS($1:1633)-1),EDATE(Start_Date,VLOOKUP(IF(ASTemp!$E$7="","Monthly",ASTemp!$E$7),Parameters!$B$3:$D$6,3,0)*(ROWS($1:1633)-1))))</f>
        <v/>
      </c>
      <c r="D1645" s="68" t="str">
        <f t="shared" si="2"/>
        <v/>
      </c>
      <c r="E1645" s="65" t="str">
        <f>IF($B1645="","",VLOOKUP(MONTH(C1645),Parameters!$F$2:$G$13,2,0))</f>
        <v/>
      </c>
      <c r="F1645" s="69" t="str">
        <f>IF($B1645="","",PV-N(J1644))</f>
        <v/>
      </c>
      <c r="G1645" s="69" t="str">
        <f>IF($B1645="","",PMT(Rate,Nper,-PV,,Type))</f>
        <v/>
      </c>
      <c r="H1645" s="69" t="str">
        <f>IF($B1645="","",PPMT(Rate,ROWS($1:1633),Nper,-PV,,Type))</f>
        <v/>
      </c>
      <c r="I1645" s="69" t="str">
        <f>IF($B1645="","",IPMT(Rate,ROWS($1:1633),Nper,-PV,,Type))</f>
        <v/>
      </c>
      <c r="J1645" s="73" t="str">
        <f t="shared" ref="J1645:K1645" si="1635">IF($B1645="","",N(J1644)+N(H1645))</f>
        <v/>
      </c>
      <c r="K1645" s="74" t="str">
        <f t="shared" si="1635"/>
        <v/>
      </c>
      <c r="L1645" s="69" t="str">
        <f>IF($B1645="","",PV-J1645)</f>
        <v/>
      </c>
      <c r="M1645" s="71" t="str">
        <f>IF($B1645="","",J1645/PV)</f>
        <v/>
      </c>
      <c r="N1645" s="72" t="str">
        <f t="shared" si="4"/>
        <v/>
      </c>
    </row>
    <row r="1646" ht="14.25" customHeight="1">
      <c r="B1646" s="66" t="str">
        <f>IF(ROWS($1:1634)&lt;=Nper,ROWS($1:1634),"")</f>
        <v/>
      </c>
      <c r="C1646" s="67" t="str">
        <f>IF($B1646="","",IF($E$7="Weekly",Start_Date+7*(ROWS($1:1634)-1),EDATE(Start_Date,VLOOKUP(IF(ASTemp!$E$7="","Monthly",ASTemp!$E$7),Parameters!$B$3:$D$6,3,0)*(ROWS($1:1634)-1))))</f>
        <v/>
      </c>
      <c r="D1646" s="68" t="str">
        <f t="shared" si="2"/>
        <v/>
      </c>
      <c r="E1646" s="65" t="str">
        <f>IF($B1646="","",VLOOKUP(MONTH(C1646),Parameters!$F$2:$G$13,2,0))</f>
        <v/>
      </c>
      <c r="F1646" s="69" t="str">
        <f>IF($B1646="","",PV-N(J1645))</f>
        <v/>
      </c>
      <c r="G1646" s="69" t="str">
        <f>IF($B1646="","",PMT(Rate,Nper,-PV,,Type))</f>
        <v/>
      </c>
      <c r="H1646" s="69" t="str">
        <f>IF($B1646="","",PPMT(Rate,ROWS($1:1634),Nper,-PV,,Type))</f>
        <v/>
      </c>
      <c r="I1646" s="69" t="str">
        <f>IF($B1646="","",IPMT(Rate,ROWS($1:1634),Nper,-PV,,Type))</f>
        <v/>
      </c>
      <c r="J1646" s="73" t="str">
        <f t="shared" ref="J1646:K1646" si="1636">IF($B1646="","",N(J1645)+N(H1646))</f>
        <v/>
      </c>
      <c r="K1646" s="74" t="str">
        <f t="shared" si="1636"/>
        <v/>
      </c>
      <c r="L1646" s="69" t="str">
        <f>IF($B1646="","",PV-J1646)</f>
        <v/>
      </c>
      <c r="M1646" s="71" t="str">
        <f>IF($B1646="","",J1646/PV)</f>
        <v/>
      </c>
      <c r="N1646" s="72" t="str">
        <f t="shared" si="4"/>
        <v/>
      </c>
    </row>
    <row r="1647" ht="14.25" customHeight="1">
      <c r="B1647" s="66" t="str">
        <f>IF(ROWS($1:1635)&lt;=Nper,ROWS($1:1635),"")</f>
        <v/>
      </c>
      <c r="C1647" s="67" t="str">
        <f>IF($B1647="","",IF($E$7="Weekly",Start_Date+7*(ROWS($1:1635)-1),EDATE(Start_Date,VLOOKUP(IF(ASTemp!$E$7="","Monthly",ASTemp!$E$7),Parameters!$B$3:$D$6,3,0)*(ROWS($1:1635)-1))))</f>
        <v/>
      </c>
      <c r="D1647" s="68" t="str">
        <f t="shared" si="2"/>
        <v/>
      </c>
      <c r="E1647" s="65" t="str">
        <f>IF($B1647="","",VLOOKUP(MONTH(C1647),Parameters!$F$2:$G$13,2,0))</f>
        <v/>
      </c>
      <c r="F1647" s="69" t="str">
        <f>IF($B1647="","",PV-N(J1646))</f>
        <v/>
      </c>
      <c r="G1647" s="69" t="str">
        <f>IF($B1647="","",PMT(Rate,Nper,-PV,,Type))</f>
        <v/>
      </c>
      <c r="H1647" s="69" t="str">
        <f>IF($B1647="","",PPMT(Rate,ROWS($1:1635),Nper,-PV,,Type))</f>
        <v/>
      </c>
      <c r="I1647" s="69" t="str">
        <f>IF($B1647="","",IPMT(Rate,ROWS($1:1635),Nper,-PV,,Type))</f>
        <v/>
      </c>
      <c r="J1647" s="73" t="str">
        <f t="shared" ref="J1647:K1647" si="1637">IF($B1647="","",N(J1646)+N(H1647))</f>
        <v/>
      </c>
      <c r="K1647" s="74" t="str">
        <f t="shared" si="1637"/>
        <v/>
      </c>
      <c r="L1647" s="69" t="str">
        <f>IF($B1647="","",PV-J1647)</f>
        <v/>
      </c>
      <c r="M1647" s="71" t="str">
        <f>IF($B1647="","",J1647/PV)</f>
        <v/>
      </c>
      <c r="N1647" s="72" t="str">
        <f t="shared" si="4"/>
        <v/>
      </c>
    </row>
    <row r="1648" ht="14.25" customHeight="1">
      <c r="B1648" s="66" t="str">
        <f>IF(ROWS($1:1636)&lt;=Nper,ROWS($1:1636),"")</f>
        <v/>
      </c>
      <c r="C1648" s="67" t="str">
        <f>IF($B1648="","",IF($E$7="Weekly",Start_Date+7*(ROWS($1:1636)-1),EDATE(Start_Date,VLOOKUP(IF(ASTemp!$E$7="","Monthly",ASTemp!$E$7),Parameters!$B$3:$D$6,3,0)*(ROWS($1:1636)-1))))</f>
        <v/>
      </c>
      <c r="D1648" s="68" t="str">
        <f t="shared" si="2"/>
        <v/>
      </c>
      <c r="E1648" s="65" t="str">
        <f>IF($B1648="","",VLOOKUP(MONTH(C1648),Parameters!$F$2:$G$13,2,0))</f>
        <v/>
      </c>
      <c r="F1648" s="69" t="str">
        <f>IF($B1648="","",PV-N(J1647))</f>
        <v/>
      </c>
      <c r="G1648" s="69" t="str">
        <f>IF($B1648="","",PMT(Rate,Nper,-PV,,Type))</f>
        <v/>
      </c>
      <c r="H1648" s="69" t="str">
        <f>IF($B1648="","",PPMT(Rate,ROWS($1:1636),Nper,-PV,,Type))</f>
        <v/>
      </c>
      <c r="I1648" s="69" t="str">
        <f>IF($B1648="","",IPMT(Rate,ROWS($1:1636),Nper,-PV,,Type))</f>
        <v/>
      </c>
      <c r="J1648" s="73" t="str">
        <f t="shared" ref="J1648:K1648" si="1638">IF($B1648="","",N(J1647)+N(H1648))</f>
        <v/>
      </c>
      <c r="K1648" s="74" t="str">
        <f t="shared" si="1638"/>
        <v/>
      </c>
      <c r="L1648" s="69" t="str">
        <f>IF($B1648="","",PV-J1648)</f>
        <v/>
      </c>
      <c r="M1648" s="71" t="str">
        <f>IF($B1648="","",J1648/PV)</f>
        <v/>
      </c>
      <c r="N1648" s="72" t="str">
        <f t="shared" si="4"/>
        <v/>
      </c>
    </row>
    <row r="1649" ht="14.25" customHeight="1">
      <c r="B1649" s="66" t="str">
        <f>IF(ROWS($1:1637)&lt;=Nper,ROWS($1:1637),"")</f>
        <v/>
      </c>
      <c r="C1649" s="67" t="str">
        <f>IF($B1649="","",IF($E$7="Weekly",Start_Date+7*(ROWS($1:1637)-1),EDATE(Start_Date,VLOOKUP(IF(ASTemp!$E$7="","Monthly",ASTemp!$E$7),Parameters!$B$3:$D$6,3,0)*(ROWS($1:1637)-1))))</f>
        <v/>
      </c>
      <c r="D1649" s="68" t="str">
        <f t="shared" si="2"/>
        <v/>
      </c>
      <c r="E1649" s="65" t="str">
        <f>IF($B1649="","",VLOOKUP(MONTH(C1649),Parameters!$F$2:$G$13,2,0))</f>
        <v/>
      </c>
      <c r="F1649" s="69" t="str">
        <f>IF($B1649="","",PV-N(J1648))</f>
        <v/>
      </c>
      <c r="G1649" s="69" t="str">
        <f>IF($B1649="","",PMT(Rate,Nper,-PV,,Type))</f>
        <v/>
      </c>
      <c r="H1649" s="69" t="str">
        <f>IF($B1649="","",PPMT(Rate,ROWS($1:1637),Nper,-PV,,Type))</f>
        <v/>
      </c>
      <c r="I1649" s="69" t="str">
        <f>IF($B1649="","",IPMT(Rate,ROWS($1:1637),Nper,-PV,,Type))</f>
        <v/>
      </c>
      <c r="J1649" s="73" t="str">
        <f t="shared" ref="J1649:K1649" si="1639">IF($B1649="","",N(J1648)+N(H1649))</f>
        <v/>
      </c>
      <c r="K1649" s="74" t="str">
        <f t="shared" si="1639"/>
        <v/>
      </c>
      <c r="L1649" s="69" t="str">
        <f>IF($B1649="","",PV-J1649)</f>
        <v/>
      </c>
      <c r="M1649" s="71" t="str">
        <f>IF($B1649="","",J1649/PV)</f>
        <v/>
      </c>
      <c r="N1649" s="72" t="str">
        <f t="shared" si="4"/>
        <v/>
      </c>
    </row>
    <row r="1650" ht="14.25" customHeight="1">
      <c r="B1650" s="66" t="str">
        <f>IF(ROWS($1:1638)&lt;=Nper,ROWS($1:1638),"")</f>
        <v/>
      </c>
      <c r="C1650" s="67" t="str">
        <f>IF($B1650="","",IF($E$7="Weekly",Start_Date+7*(ROWS($1:1638)-1),EDATE(Start_Date,VLOOKUP(IF(ASTemp!$E$7="","Monthly",ASTemp!$E$7),Parameters!$B$3:$D$6,3,0)*(ROWS($1:1638)-1))))</f>
        <v/>
      </c>
      <c r="D1650" s="68" t="str">
        <f t="shared" si="2"/>
        <v/>
      </c>
      <c r="E1650" s="65" t="str">
        <f>IF($B1650="","",VLOOKUP(MONTH(C1650),Parameters!$F$2:$G$13,2,0))</f>
        <v/>
      </c>
      <c r="F1650" s="69" t="str">
        <f>IF($B1650="","",PV-N(J1649))</f>
        <v/>
      </c>
      <c r="G1650" s="69" t="str">
        <f>IF($B1650="","",PMT(Rate,Nper,-PV,,Type))</f>
        <v/>
      </c>
      <c r="H1650" s="69" t="str">
        <f>IF($B1650="","",PPMT(Rate,ROWS($1:1638),Nper,-PV,,Type))</f>
        <v/>
      </c>
      <c r="I1650" s="69" t="str">
        <f>IF($B1650="","",IPMT(Rate,ROWS($1:1638),Nper,-PV,,Type))</f>
        <v/>
      </c>
      <c r="J1650" s="73" t="str">
        <f t="shared" ref="J1650:K1650" si="1640">IF($B1650="","",N(J1649)+N(H1650))</f>
        <v/>
      </c>
      <c r="K1650" s="74" t="str">
        <f t="shared" si="1640"/>
        <v/>
      </c>
      <c r="L1650" s="69" t="str">
        <f>IF($B1650="","",PV-J1650)</f>
        <v/>
      </c>
      <c r="M1650" s="71" t="str">
        <f>IF($B1650="","",J1650/PV)</f>
        <v/>
      </c>
      <c r="N1650" s="72" t="str">
        <f t="shared" si="4"/>
        <v/>
      </c>
    </row>
    <row r="1651" ht="14.25" customHeight="1">
      <c r="B1651" s="66" t="str">
        <f>IF(ROWS($1:1639)&lt;=Nper,ROWS($1:1639),"")</f>
        <v/>
      </c>
      <c r="C1651" s="67" t="str">
        <f>IF($B1651="","",IF($E$7="Weekly",Start_Date+7*(ROWS($1:1639)-1),EDATE(Start_Date,VLOOKUP(IF(ASTemp!$E$7="","Monthly",ASTemp!$E$7),Parameters!$B$3:$D$6,3,0)*(ROWS($1:1639)-1))))</f>
        <v/>
      </c>
      <c r="D1651" s="68" t="str">
        <f t="shared" si="2"/>
        <v/>
      </c>
      <c r="E1651" s="65" t="str">
        <f>IF($B1651="","",VLOOKUP(MONTH(C1651),Parameters!$F$2:$G$13,2,0))</f>
        <v/>
      </c>
      <c r="F1651" s="69" t="str">
        <f>IF($B1651="","",PV-N(J1650))</f>
        <v/>
      </c>
      <c r="G1651" s="69" t="str">
        <f>IF($B1651="","",PMT(Rate,Nper,-PV,,Type))</f>
        <v/>
      </c>
      <c r="H1651" s="69" t="str">
        <f>IF($B1651="","",PPMT(Rate,ROWS($1:1639),Nper,-PV,,Type))</f>
        <v/>
      </c>
      <c r="I1651" s="69" t="str">
        <f>IF($B1651="","",IPMT(Rate,ROWS($1:1639),Nper,-PV,,Type))</f>
        <v/>
      </c>
      <c r="J1651" s="73" t="str">
        <f t="shared" ref="J1651:K1651" si="1641">IF($B1651="","",N(J1650)+N(H1651))</f>
        <v/>
      </c>
      <c r="K1651" s="74" t="str">
        <f t="shared" si="1641"/>
        <v/>
      </c>
      <c r="L1651" s="69" t="str">
        <f>IF($B1651="","",PV-J1651)</f>
        <v/>
      </c>
      <c r="M1651" s="71" t="str">
        <f>IF($B1651="","",J1651/PV)</f>
        <v/>
      </c>
      <c r="N1651" s="72" t="str">
        <f t="shared" si="4"/>
        <v/>
      </c>
    </row>
    <row r="1652" ht="14.25" customHeight="1">
      <c r="B1652" s="66" t="str">
        <f>IF(ROWS($1:1640)&lt;=Nper,ROWS($1:1640),"")</f>
        <v/>
      </c>
      <c r="C1652" s="67" t="str">
        <f>IF($B1652="","",IF($E$7="Weekly",Start_Date+7*(ROWS($1:1640)-1),EDATE(Start_Date,VLOOKUP(IF(ASTemp!$E$7="","Monthly",ASTemp!$E$7),Parameters!$B$3:$D$6,3,0)*(ROWS($1:1640)-1))))</f>
        <v/>
      </c>
      <c r="D1652" s="68" t="str">
        <f t="shared" si="2"/>
        <v/>
      </c>
      <c r="E1652" s="65" t="str">
        <f>IF($B1652="","",VLOOKUP(MONTH(C1652),Parameters!$F$2:$G$13,2,0))</f>
        <v/>
      </c>
      <c r="F1652" s="69" t="str">
        <f>IF($B1652="","",PV-N(J1651))</f>
        <v/>
      </c>
      <c r="G1652" s="69" t="str">
        <f>IF($B1652="","",PMT(Rate,Nper,-PV,,Type))</f>
        <v/>
      </c>
      <c r="H1652" s="69" t="str">
        <f>IF($B1652="","",PPMT(Rate,ROWS($1:1640),Nper,-PV,,Type))</f>
        <v/>
      </c>
      <c r="I1652" s="69" t="str">
        <f>IF($B1652="","",IPMT(Rate,ROWS($1:1640),Nper,-PV,,Type))</f>
        <v/>
      </c>
      <c r="J1652" s="73" t="str">
        <f t="shared" ref="J1652:K1652" si="1642">IF($B1652="","",N(J1651)+N(H1652))</f>
        <v/>
      </c>
      <c r="K1652" s="74" t="str">
        <f t="shared" si="1642"/>
        <v/>
      </c>
      <c r="L1652" s="69" t="str">
        <f>IF($B1652="","",PV-J1652)</f>
        <v/>
      </c>
      <c r="M1652" s="71" t="str">
        <f>IF($B1652="","",J1652/PV)</f>
        <v/>
      </c>
      <c r="N1652" s="72" t="str">
        <f t="shared" si="4"/>
        <v/>
      </c>
    </row>
    <row r="1653" ht="14.25" customHeight="1">
      <c r="B1653" s="66" t="str">
        <f>IF(ROWS($1:1641)&lt;=Nper,ROWS($1:1641),"")</f>
        <v/>
      </c>
      <c r="C1653" s="67" t="str">
        <f>IF($B1653="","",IF($E$7="Weekly",Start_Date+7*(ROWS($1:1641)-1),EDATE(Start_Date,VLOOKUP(IF(ASTemp!$E$7="","Monthly",ASTemp!$E$7),Parameters!$B$3:$D$6,3,0)*(ROWS($1:1641)-1))))</f>
        <v/>
      </c>
      <c r="D1653" s="68" t="str">
        <f t="shared" si="2"/>
        <v/>
      </c>
      <c r="E1653" s="65" t="str">
        <f>IF($B1653="","",VLOOKUP(MONTH(C1653),Parameters!$F$2:$G$13,2,0))</f>
        <v/>
      </c>
      <c r="F1653" s="69" t="str">
        <f>IF($B1653="","",PV-N(J1652))</f>
        <v/>
      </c>
      <c r="G1653" s="69" t="str">
        <f>IF($B1653="","",PMT(Rate,Nper,-PV,,Type))</f>
        <v/>
      </c>
      <c r="H1653" s="69" t="str">
        <f>IF($B1653="","",PPMT(Rate,ROWS($1:1641),Nper,-PV,,Type))</f>
        <v/>
      </c>
      <c r="I1653" s="69" t="str">
        <f>IF($B1653="","",IPMT(Rate,ROWS($1:1641),Nper,-PV,,Type))</f>
        <v/>
      </c>
      <c r="J1653" s="73" t="str">
        <f t="shared" ref="J1653:K1653" si="1643">IF($B1653="","",N(J1652)+N(H1653))</f>
        <v/>
      </c>
      <c r="K1653" s="74" t="str">
        <f t="shared" si="1643"/>
        <v/>
      </c>
      <c r="L1653" s="69" t="str">
        <f>IF($B1653="","",PV-J1653)</f>
        <v/>
      </c>
      <c r="M1653" s="71" t="str">
        <f>IF($B1653="","",J1653/PV)</f>
        <v/>
      </c>
      <c r="N1653" s="72" t="str">
        <f t="shared" si="4"/>
        <v/>
      </c>
    </row>
    <row r="1654" ht="14.25" customHeight="1">
      <c r="B1654" s="66" t="str">
        <f>IF(ROWS($1:1642)&lt;=Nper,ROWS($1:1642),"")</f>
        <v/>
      </c>
      <c r="C1654" s="67" t="str">
        <f>IF($B1654="","",IF($E$7="Weekly",Start_Date+7*(ROWS($1:1642)-1),EDATE(Start_Date,VLOOKUP(IF(ASTemp!$E$7="","Monthly",ASTemp!$E$7),Parameters!$B$3:$D$6,3,0)*(ROWS($1:1642)-1))))</f>
        <v/>
      </c>
      <c r="D1654" s="68" t="str">
        <f t="shared" si="2"/>
        <v/>
      </c>
      <c r="E1654" s="65" t="str">
        <f>IF($B1654="","",VLOOKUP(MONTH(C1654),Parameters!$F$2:$G$13,2,0))</f>
        <v/>
      </c>
      <c r="F1654" s="69" t="str">
        <f>IF($B1654="","",PV-N(J1653))</f>
        <v/>
      </c>
      <c r="G1654" s="69" t="str">
        <f>IF($B1654="","",PMT(Rate,Nper,-PV,,Type))</f>
        <v/>
      </c>
      <c r="H1654" s="69" t="str">
        <f>IF($B1654="","",PPMT(Rate,ROWS($1:1642),Nper,-PV,,Type))</f>
        <v/>
      </c>
      <c r="I1654" s="69" t="str">
        <f>IF($B1654="","",IPMT(Rate,ROWS($1:1642),Nper,-PV,,Type))</f>
        <v/>
      </c>
      <c r="J1654" s="73" t="str">
        <f t="shared" ref="J1654:K1654" si="1644">IF($B1654="","",N(J1653)+N(H1654))</f>
        <v/>
      </c>
      <c r="K1654" s="74" t="str">
        <f t="shared" si="1644"/>
        <v/>
      </c>
      <c r="L1654" s="69" t="str">
        <f>IF($B1654="","",PV-J1654)</f>
        <v/>
      </c>
      <c r="M1654" s="71" t="str">
        <f>IF($B1654="","",J1654/PV)</f>
        <v/>
      </c>
      <c r="N1654" s="72" t="str">
        <f t="shared" si="4"/>
        <v/>
      </c>
    </row>
    <row r="1655" ht="14.25" customHeight="1">
      <c r="B1655" s="66" t="str">
        <f>IF(ROWS($1:1643)&lt;=Nper,ROWS($1:1643),"")</f>
        <v/>
      </c>
      <c r="C1655" s="67" t="str">
        <f>IF($B1655="","",IF($E$7="Weekly",Start_Date+7*(ROWS($1:1643)-1),EDATE(Start_Date,VLOOKUP(IF(ASTemp!$E$7="","Monthly",ASTemp!$E$7),Parameters!$B$3:$D$6,3,0)*(ROWS($1:1643)-1))))</f>
        <v/>
      </c>
      <c r="D1655" s="68" t="str">
        <f t="shared" si="2"/>
        <v/>
      </c>
      <c r="E1655" s="65" t="str">
        <f>IF($B1655="","",VLOOKUP(MONTH(C1655),Parameters!$F$2:$G$13,2,0))</f>
        <v/>
      </c>
      <c r="F1655" s="69" t="str">
        <f>IF($B1655="","",PV-N(J1654))</f>
        <v/>
      </c>
      <c r="G1655" s="69" t="str">
        <f>IF($B1655="","",PMT(Rate,Nper,-PV,,Type))</f>
        <v/>
      </c>
      <c r="H1655" s="69" t="str">
        <f>IF($B1655="","",PPMT(Rate,ROWS($1:1643),Nper,-PV,,Type))</f>
        <v/>
      </c>
      <c r="I1655" s="69" t="str">
        <f>IF($B1655="","",IPMT(Rate,ROWS($1:1643),Nper,-PV,,Type))</f>
        <v/>
      </c>
      <c r="J1655" s="73" t="str">
        <f t="shared" ref="J1655:K1655" si="1645">IF($B1655="","",N(J1654)+N(H1655))</f>
        <v/>
      </c>
      <c r="K1655" s="74" t="str">
        <f t="shared" si="1645"/>
        <v/>
      </c>
      <c r="L1655" s="69" t="str">
        <f>IF($B1655="","",PV-J1655)</f>
        <v/>
      </c>
      <c r="M1655" s="71" t="str">
        <f>IF($B1655="","",J1655/PV)</f>
        <v/>
      </c>
      <c r="N1655" s="72" t="str">
        <f t="shared" si="4"/>
        <v/>
      </c>
    </row>
    <row r="1656" ht="14.25" customHeight="1">
      <c r="B1656" s="66" t="str">
        <f>IF(ROWS($1:1644)&lt;=Nper,ROWS($1:1644),"")</f>
        <v/>
      </c>
      <c r="C1656" s="67" t="str">
        <f>IF($B1656="","",IF($E$7="Weekly",Start_Date+7*(ROWS($1:1644)-1),EDATE(Start_Date,VLOOKUP(IF(ASTemp!$E$7="","Monthly",ASTemp!$E$7),Parameters!$B$3:$D$6,3,0)*(ROWS($1:1644)-1))))</f>
        <v/>
      </c>
      <c r="D1656" s="68" t="str">
        <f t="shared" si="2"/>
        <v/>
      </c>
      <c r="E1656" s="65" t="str">
        <f>IF($B1656="","",VLOOKUP(MONTH(C1656),Parameters!$F$2:$G$13,2,0))</f>
        <v/>
      </c>
      <c r="F1656" s="69" t="str">
        <f>IF($B1656="","",PV-N(J1655))</f>
        <v/>
      </c>
      <c r="G1656" s="69" t="str">
        <f>IF($B1656="","",PMT(Rate,Nper,-PV,,Type))</f>
        <v/>
      </c>
      <c r="H1656" s="69" t="str">
        <f>IF($B1656="","",PPMT(Rate,ROWS($1:1644),Nper,-PV,,Type))</f>
        <v/>
      </c>
      <c r="I1656" s="69" t="str">
        <f>IF($B1656="","",IPMT(Rate,ROWS($1:1644),Nper,-PV,,Type))</f>
        <v/>
      </c>
      <c r="J1656" s="73" t="str">
        <f t="shared" ref="J1656:K1656" si="1646">IF($B1656="","",N(J1655)+N(H1656))</f>
        <v/>
      </c>
      <c r="K1656" s="74" t="str">
        <f t="shared" si="1646"/>
        <v/>
      </c>
      <c r="L1656" s="69" t="str">
        <f>IF($B1656="","",PV-J1656)</f>
        <v/>
      </c>
      <c r="M1656" s="71" t="str">
        <f>IF($B1656="","",J1656/PV)</f>
        <v/>
      </c>
      <c r="N1656" s="72" t="str">
        <f t="shared" si="4"/>
        <v/>
      </c>
    </row>
    <row r="1657" ht="14.25" customHeight="1">
      <c r="B1657" s="66" t="str">
        <f>IF(ROWS($1:1645)&lt;=Nper,ROWS($1:1645),"")</f>
        <v/>
      </c>
      <c r="C1657" s="67" t="str">
        <f>IF($B1657="","",IF($E$7="Weekly",Start_Date+7*(ROWS($1:1645)-1),EDATE(Start_Date,VLOOKUP(IF(ASTemp!$E$7="","Monthly",ASTemp!$E$7),Parameters!$B$3:$D$6,3,0)*(ROWS($1:1645)-1))))</f>
        <v/>
      </c>
      <c r="D1657" s="68" t="str">
        <f t="shared" si="2"/>
        <v/>
      </c>
      <c r="E1657" s="65" t="str">
        <f>IF($B1657="","",VLOOKUP(MONTH(C1657),Parameters!$F$2:$G$13,2,0))</f>
        <v/>
      </c>
      <c r="F1657" s="69" t="str">
        <f>IF($B1657="","",PV-N(J1656))</f>
        <v/>
      </c>
      <c r="G1657" s="69" t="str">
        <f>IF($B1657="","",PMT(Rate,Nper,-PV,,Type))</f>
        <v/>
      </c>
      <c r="H1657" s="69" t="str">
        <f>IF($B1657="","",PPMT(Rate,ROWS($1:1645),Nper,-PV,,Type))</f>
        <v/>
      </c>
      <c r="I1657" s="69" t="str">
        <f>IF($B1657="","",IPMT(Rate,ROWS($1:1645),Nper,-PV,,Type))</f>
        <v/>
      </c>
      <c r="J1657" s="73" t="str">
        <f t="shared" ref="J1657:K1657" si="1647">IF($B1657="","",N(J1656)+N(H1657))</f>
        <v/>
      </c>
      <c r="K1657" s="74" t="str">
        <f t="shared" si="1647"/>
        <v/>
      </c>
      <c r="L1657" s="69" t="str">
        <f>IF($B1657="","",PV-J1657)</f>
        <v/>
      </c>
      <c r="M1657" s="71" t="str">
        <f>IF($B1657="","",J1657/PV)</f>
        <v/>
      </c>
      <c r="N1657" s="72" t="str">
        <f t="shared" si="4"/>
        <v/>
      </c>
    </row>
    <row r="1658" ht="14.25" customHeight="1">
      <c r="B1658" s="66" t="str">
        <f>IF(ROWS($1:1646)&lt;=Nper,ROWS($1:1646),"")</f>
        <v/>
      </c>
      <c r="C1658" s="67" t="str">
        <f>IF($B1658="","",IF($E$7="Weekly",Start_Date+7*(ROWS($1:1646)-1),EDATE(Start_Date,VLOOKUP(IF(ASTemp!$E$7="","Monthly",ASTemp!$E$7),Parameters!$B$3:$D$6,3,0)*(ROWS($1:1646)-1))))</f>
        <v/>
      </c>
      <c r="D1658" s="68" t="str">
        <f t="shared" si="2"/>
        <v/>
      </c>
      <c r="E1658" s="65" t="str">
        <f>IF($B1658="","",VLOOKUP(MONTH(C1658),Parameters!$F$2:$G$13,2,0))</f>
        <v/>
      </c>
      <c r="F1658" s="69" t="str">
        <f>IF($B1658="","",PV-N(J1657))</f>
        <v/>
      </c>
      <c r="G1658" s="69" t="str">
        <f>IF($B1658="","",PMT(Rate,Nper,-PV,,Type))</f>
        <v/>
      </c>
      <c r="H1658" s="69" t="str">
        <f>IF($B1658="","",PPMT(Rate,ROWS($1:1646),Nper,-PV,,Type))</f>
        <v/>
      </c>
      <c r="I1658" s="69" t="str">
        <f>IF($B1658="","",IPMT(Rate,ROWS($1:1646),Nper,-PV,,Type))</f>
        <v/>
      </c>
      <c r="J1658" s="73" t="str">
        <f t="shared" ref="J1658:K1658" si="1648">IF($B1658="","",N(J1657)+N(H1658))</f>
        <v/>
      </c>
      <c r="K1658" s="74" t="str">
        <f t="shared" si="1648"/>
        <v/>
      </c>
      <c r="L1658" s="69" t="str">
        <f>IF($B1658="","",PV-J1658)</f>
        <v/>
      </c>
      <c r="M1658" s="71" t="str">
        <f>IF($B1658="","",J1658/PV)</f>
        <v/>
      </c>
      <c r="N1658" s="72" t="str">
        <f t="shared" si="4"/>
        <v/>
      </c>
    </row>
    <row r="1659" ht="14.25" customHeight="1">
      <c r="B1659" s="66" t="str">
        <f>IF(ROWS($1:1647)&lt;=Nper,ROWS($1:1647),"")</f>
        <v/>
      </c>
      <c r="C1659" s="67" t="str">
        <f>IF($B1659="","",IF($E$7="Weekly",Start_Date+7*(ROWS($1:1647)-1),EDATE(Start_Date,VLOOKUP(IF(ASTemp!$E$7="","Monthly",ASTemp!$E$7),Parameters!$B$3:$D$6,3,0)*(ROWS($1:1647)-1))))</f>
        <v/>
      </c>
      <c r="D1659" s="68" t="str">
        <f t="shared" si="2"/>
        <v/>
      </c>
      <c r="E1659" s="65" t="str">
        <f>IF($B1659="","",VLOOKUP(MONTH(C1659),Parameters!$F$2:$G$13,2,0))</f>
        <v/>
      </c>
      <c r="F1659" s="69" t="str">
        <f>IF($B1659="","",PV-N(J1658))</f>
        <v/>
      </c>
      <c r="G1659" s="69" t="str">
        <f>IF($B1659="","",PMT(Rate,Nper,-PV,,Type))</f>
        <v/>
      </c>
      <c r="H1659" s="69" t="str">
        <f>IF($B1659="","",PPMT(Rate,ROWS($1:1647),Nper,-PV,,Type))</f>
        <v/>
      </c>
      <c r="I1659" s="69" t="str">
        <f>IF($B1659="","",IPMT(Rate,ROWS($1:1647),Nper,-PV,,Type))</f>
        <v/>
      </c>
      <c r="J1659" s="73" t="str">
        <f t="shared" ref="J1659:K1659" si="1649">IF($B1659="","",N(J1658)+N(H1659))</f>
        <v/>
      </c>
      <c r="K1659" s="74" t="str">
        <f t="shared" si="1649"/>
        <v/>
      </c>
      <c r="L1659" s="69" t="str">
        <f>IF($B1659="","",PV-J1659)</f>
        <v/>
      </c>
      <c r="M1659" s="71" t="str">
        <f>IF($B1659="","",J1659/PV)</f>
        <v/>
      </c>
      <c r="N1659" s="72" t="str">
        <f t="shared" si="4"/>
        <v/>
      </c>
    </row>
    <row r="1660" ht="14.25" customHeight="1">
      <c r="B1660" s="66" t="str">
        <f>IF(ROWS($1:1648)&lt;=Nper,ROWS($1:1648),"")</f>
        <v/>
      </c>
      <c r="C1660" s="67" t="str">
        <f>IF($B1660="","",IF($E$7="Weekly",Start_Date+7*(ROWS($1:1648)-1),EDATE(Start_Date,VLOOKUP(IF(ASTemp!$E$7="","Monthly",ASTemp!$E$7),Parameters!$B$3:$D$6,3,0)*(ROWS($1:1648)-1))))</f>
        <v/>
      </c>
      <c r="D1660" s="68" t="str">
        <f t="shared" si="2"/>
        <v/>
      </c>
      <c r="E1660" s="65" t="str">
        <f>IF($B1660="","",VLOOKUP(MONTH(C1660),Parameters!$F$2:$G$13,2,0))</f>
        <v/>
      </c>
      <c r="F1660" s="69" t="str">
        <f>IF($B1660="","",PV-N(J1659))</f>
        <v/>
      </c>
      <c r="G1660" s="69" t="str">
        <f>IF($B1660="","",PMT(Rate,Nper,-PV,,Type))</f>
        <v/>
      </c>
      <c r="H1660" s="69" t="str">
        <f>IF($B1660="","",PPMT(Rate,ROWS($1:1648),Nper,-PV,,Type))</f>
        <v/>
      </c>
      <c r="I1660" s="69" t="str">
        <f>IF($B1660="","",IPMT(Rate,ROWS($1:1648),Nper,-PV,,Type))</f>
        <v/>
      </c>
      <c r="J1660" s="73" t="str">
        <f t="shared" ref="J1660:K1660" si="1650">IF($B1660="","",N(J1659)+N(H1660))</f>
        <v/>
      </c>
      <c r="K1660" s="74" t="str">
        <f t="shared" si="1650"/>
        <v/>
      </c>
      <c r="L1660" s="69" t="str">
        <f>IF($B1660="","",PV-J1660)</f>
        <v/>
      </c>
      <c r="M1660" s="71" t="str">
        <f>IF($B1660="","",J1660/PV)</f>
        <v/>
      </c>
      <c r="N1660" s="72" t="str">
        <f t="shared" si="4"/>
        <v/>
      </c>
    </row>
    <row r="1661" ht="14.25" customHeight="1">
      <c r="B1661" s="66" t="str">
        <f>IF(ROWS($1:1649)&lt;=Nper,ROWS($1:1649),"")</f>
        <v/>
      </c>
      <c r="C1661" s="67" t="str">
        <f>IF($B1661="","",IF($E$7="Weekly",Start_Date+7*(ROWS($1:1649)-1),EDATE(Start_Date,VLOOKUP(IF(ASTemp!$E$7="","Monthly",ASTemp!$E$7),Parameters!$B$3:$D$6,3,0)*(ROWS($1:1649)-1))))</f>
        <v/>
      </c>
      <c r="D1661" s="68" t="str">
        <f t="shared" si="2"/>
        <v/>
      </c>
      <c r="E1661" s="65" t="str">
        <f>IF($B1661="","",VLOOKUP(MONTH(C1661),Parameters!$F$2:$G$13,2,0))</f>
        <v/>
      </c>
      <c r="F1661" s="69" t="str">
        <f>IF($B1661="","",PV-N(J1660))</f>
        <v/>
      </c>
      <c r="G1661" s="69" t="str">
        <f>IF($B1661="","",PMT(Rate,Nper,-PV,,Type))</f>
        <v/>
      </c>
      <c r="H1661" s="69" t="str">
        <f>IF($B1661="","",PPMT(Rate,ROWS($1:1649),Nper,-PV,,Type))</f>
        <v/>
      </c>
      <c r="I1661" s="69" t="str">
        <f>IF($B1661="","",IPMT(Rate,ROWS($1:1649),Nper,-PV,,Type))</f>
        <v/>
      </c>
      <c r="J1661" s="73" t="str">
        <f t="shared" ref="J1661:K1661" si="1651">IF($B1661="","",N(J1660)+N(H1661))</f>
        <v/>
      </c>
      <c r="K1661" s="74" t="str">
        <f t="shared" si="1651"/>
        <v/>
      </c>
      <c r="L1661" s="69" t="str">
        <f>IF($B1661="","",PV-J1661)</f>
        <v/>
      </c>
      <c r="M1661" s="71" t="str">
        <f>IF($B1661="","",J1661/PV)</f>
        <v/>
      </c>
      <c r="N1661" s="72" t="str">
        <f t="shared" si="4"/>
        <v/>
      </c>
    </row>
    <row r="1662" ht="14.25" customHeight="1">
      <c r="B1662" s="66" t="str">
        <f>IF(ROWS($1:1650)&lt;=Nper,ROWS($1:1650),"")</f>
        <v/>
      </c>
      <c r="C1662" s="67" t="str">
        <f>IF($B1662="","",IF($E$7="Weekly",Start_Date+7*(ROWS($1:1650)-1),EDATE(Start_Date,VLOOKUP(IF(ASTemp!$E$7="","Monthly",ASTemp!$E$7),Parameters!$B$3:$D$6,3,0)*(ROWS($1:1650)-1))))</f>
        <v/>
      </c>
      <c r="D1662" s="68" t="str">
        <f t="shared" si="2"/>
        <v/>
      </c>
      <c r="E1662" s="65" t="str">
        <f>IF($B1662="","",VLOOKUP(MONTH(C1662),Parameters!$F$2:$G$13,2,0))</f>
        <v/>
      </c>
      <c r="F1662" s="69" t="str">
        <f>IF($B1662="","",PV-N(J1661))</f>
        <v/>
      </c>
      <c r="G1662" s="69" t="str">
        <f>IF($B1662="","",PMT(Rate,Nper,-PV,,Type))</f>
        <v/>
      </c>
      <c r="H1662" s="69" t="str">
        <f>IF($B1662="","",PPMT(Rate,ROWS($1:1650),Nper,-PV,,Type))</f>
        <v/>
      </c>
      <c r="I1662" s="69" t="str">
        <f>IF($B1662="","",IPMT(Rate,ROWS($1:1650),Nper,-PV,,Type))</f>
        <v/>
      </c>
      <c r="J1662" s="73" t="str">
        <f t="shared" ref="J1662:K1662" si="1652">IF($B1662="","",N(J1661)+N(H1662))</f>
        <v/>
      </c>
      <c r="K1662" s="74" t="str">
        <f t="shared" si="1652"/>
        <v/>
      </c>
      <c r="L1662" s="69" t="str">
        <f>IF($B1662="","",PV-J1662)</f>
        <v/>
      </c>
      <c r="M1662" s="71" t="str">
        <f>IF($B1662="","",J1662/PV)</f>
        <v/>
      </c>
      <c r="N1662" s="72" t="str">
        <f t="shared" si="4"/>
        <v/>
      </c>
    </row>
    <row r="1663" ht="14.25" customHeight="1">
      <c r="B1663" s="66" t="str">
        <f>IF(ROWS($1:1651)&lt;=Nper,ROWS($1:1651),"")</f>
        <v/>
      </c>
      <c r="C1663" s="67" t="str">
        <f>IF($B1663="","",IF($E$7="Weekly",Start_Date+7*(ROWS($1:1651)-1),EDATE(Start_Date,VLOOKUP(IF(ASTemp!$E$7="","Monthly",ASTemp!$E$7),Parameters!$B$3:$D$6,3,0)*(ROWS($1:1651)-1))))</f>
        <v/>
      </c>
      <c r="D1663" s="68" t="str">
        <f t="shared" si="2"/>
        <v/>
      </c>
      <c r="E1663" s="65" t="str">
        <f>IF($B1663="","",VLOOKUP(MONTH(C1663),Parameters!$F$2:$G$13,2,0))</f>
        <v/>
      </c>
      <c r="F1663" s="69" t="str">
        <f>IF($B1663="","",PV-N(J1662))</f>
        <v/>
      </c>
      <c r="G1663" s="69" t="str">
        <f>IF($B1663="","",PMT(Rate,Nper,-PV,,Type))</f>
        <v/>
      </c>
      <c r="H1663" s="69" t="str">
        <f>IF($B1663="","",PPMT(Rate,ROWS($1:1651),Nper,-PV,,Type))</f>
        <v/>
      </c>
      <c r="I1663" s="69" t="str">
        <f>IF($B1663="","",IPMT(Rate,ROWS($1:1651),Nper,-PV,,Type))</f>
        <v/>
      </c>
      <c r="J1663" s="73" t="str">
        <f t="shared" ref="J1663:K1663" si="1653">IF($B1663="","",N(J1662)+N(H1663))</f>
        <v/>
      </c>
      <c r="K1663" s="74" t="str">
        <f t="shared" si="1653"/>
        <v/>
      </c>
      <c r="L1663" s="69" t="str">
        <f>IF($B1663="","",PV-J1663)</f>
        <v/>
      </c>
      <c r="M1663" s="71" t="str">
        <f>IF($B1663="","",J1663/PV)</f>
        <v/>
      </c>
      <c r="N1663" s="72" t="str">
        <f t="shared" si="4"/>
        <v/>
      </c>
    </row>
    <row r="1664" ht="14.25" customHeight="1">
      <c r="B1664" s="66" t="str">
        <f>IF(ROWS($1:1652)&lt;=Nper,ROWS($1:1652),"")</f>
        <v/>
      </c>
      <c r="C1664" s="67" t="str">
        <f>IF($B1664="","",IF($E$7="Weekly",Start_Date+7*(ROWS($1:1652)-1),EDATE(Start_Date,VLOOKUP(IF(ASTemp!$E$7="","Monthly",ASTemp!$E$7),Parameters!$B$3:$D$6,3,0)*(ROWS($1:1652)-1))))</f>
        <v/>
      </c>
      <c r="D1664" s="68" t="str">
        <f t="shared" si="2"/>
        <v/>
      </c>
      <c r="E1664" s="65" t="str">
        <f>IF($B1664="","",VLOOKUP(MONTH(C1664),Parameters!$F$2:$G$13,2,0))</f>
        <v/>
      </c>
      <c r="F1664" s="69" t="str">
        <f>IF($B1664="","",PV-N(J1663))</f>
        <v/>
      </c>
      <c r="G1664" s="69" t="str">
        <f>IF($B1664="","",PMT(Rate,Nper,-PV,,Type))</f>
        <v/>
      </c>
      <c r="H1664" s="69" t="str">
        <f>IF($B1664="","",PPMT(Rate,ROWS($1:1652),Nper,-PV,,Type))</f>
        <v/>
      </c>
      <c r="I1664" s="69" t="str">
        <f>IF($B1664="","",IPMT(Rate,ROWS($1:1652),Nper,-PV,,Type))</f>
        <v/>
      </c>
      <c r="J1664" s="73" t="str">
        <f t="shared" ref="J1664:K1664" si="1654">IF($B1664="","",N(J1663)+N(H1664))</f>
        <v/>
      </c>
      <c r="K1664" s="74" t="str">
        <f t="shared" si="1654"/>
        <v/>
      </c>
      <c r="L1664" s="69" t="str">
        <f>IF($B1664="","",PV-J1664)</f>
        <v/>
      </c>
      <c r="M1664" s="71" t="str">
        <f>IF($B1664="","",J1664/PV)</f>
        <v/>
      </c>
      <c r="N1664" s="72" t="str">
        <f t="shared" si="4"/>
        <v/>
      </c>
    </row>
    <row r="1665" ht="14.25" customHeight="1">
      <c r="B1665" s="66" t="str">
        <f>IF(ROWS($1:1653)&lt;=Nper,ROWS($1:1653),"")</f>
        <v/>
      </c>
      <c r="C1665" s="67" t="str">
        <f>IF($B1665="","",IF($E$7="Weekly",Start_Date+7*(ROWS($1:1653)-1),EDATE(Start_Date,VLOOKUP(IF(ASTemp!$E$7="","Monthly",ASTemp!$E$7),Parameters!$B$3:$D$6,3,0)*(ROWS($1:1653)-1))))</f>
        <v/>
      </c>
      <c r="D1665" s="68" t="str">
        <f t="shared" si="2"/>
        <v/>
      </c>
      <c r="E1665" s="65" t="str">
        <f>IF($B1665="","",VLOOKUP(MONTH(C1665),Parameters!$F$2:$G$13,2,0))</f>
        <v/>
      </c>
      <c r="F1665" s="69" t="str">
        <f>IF($B1665="","",PV-N(J1664))</f>
        <v/>
      </c>
      <c r="G1665" s="69" t="str">
        <f>IF($B1665="","",PMT(Rate,Nper,-PV,,Type))</f>
        <v/>
      </c>
      <c r="H1665" s="69" t="str">
        <f>IF($B1665="","",PPMT(Rate,ROWS($1:1653),Nper,-PV,,Type))</f>
        <v/>
      </c>
      <c r="I1665" s="69" t="str">
        <f>IF($B1665="","",IPMT(Rate,ROWS($1:1653),Nper,-PV,,Type))</f>
        <v/>
      </c>
      <c r="J1665" s="73" t="str">
        <f t="shared" ref="J1665:K1665" si="1655">IF($B1665="","",N(J1664)+N(H1665))</f>
        <v/>
      </c>
      <c r="K1665" s="74" t="str">
        <f t="shared" si="1655"/>
        <v/>
      </c>
      <c r="L1665" s="69" t="str">
        <f>IF($B1665="","",PV-J1665)</f>
        <v/>
      </c>
      <c r="M1665" s="71" t="str">
        <f>IF($B1665="","",J1665/PV)</f>
        <v/>
      </c>
      <c r="N1665" s="72" t="str">
        <f t="shared" si="4"/>
        <v/>
      </c>
    </row>
    <row r="1666" ht="14.25" customHeight="1">
      <c r="B1666" s="66" t="str">
        <f>IF(ROWS($1:1654)&lt;=Nper,ROWS($1:1654),"")</f>
        <v/>
      </c>
      <c r="C1666" s="67" t="str">
        <f>IF($B1666="","",IF($E$7="Weekly",Start_Date+7*(ROWS($1:1654)-1),EDATE(Start_Date,VLOOKUP(IF(ASTemp!$E$7="","Monthly",ASTemp!$E$7),Parameters!$B$3:$D$6,3,0)*(ROWS($1:1654)-1))))</f>
        <v/>
      </c>
      <c r="D1666" s="68" t="str">
        <f t="shared" si="2"/>
        <v/>
      </c>
      <c r="E1666" s="65" t="str">
        <f>IF($B1666="","",VLOOKUP(MONTH(C1666),Parameters!$F$2:$G$13,2,0))</f>
        <v/>
      </c>
      <c r="F1666" s="69" t="str">
        <f>IF($B1666="","",PV-N(J1665))</f>
        <v/>
      </c>
      <c r="G1666" s="69" t="str">
        <f>IF($B1666="","",PMT(Rate,Nper,-PV,,Type))</f>
        <v/>
      </c>
      <c r="H1666" s="69" t="str">
        <f>IF($B1666="","",PPMT(Rate,ROWS($1:1654),Nper,-PV,,Type))</f>
        <v/>
      </c>
      <c r="I1666" s="69" t="str">
        <f>IF($B1666="","",IPMT(Rate,ROWS($1:1654),Nper,-PV,,Type))</f>
        <v/>
      </c>
      <c r="J1666" s="73" t="str">
        <f t="shared" ref="J1666:K1666" si="1656">IF($B1666="","",N(J1665)+N(H1666))</f>
        <v/>
      </c>
      <c r="K1666" s="74" t="str">
        <f t="shared" si="1656"/>
        <v/>
      </c>
      <c r="L1666" s="69" t="str">
        <f>IF($B1666="","",PV-J1666)</f>
        <v/>
      </c>
      <c r="M1666" s="71" t="str">
        <f>IF($B1666="","",J1666/PV)</f>
        <v/>
      </c>
      <c r="N1666" s="72" t="str">
        <f t="shared" si="4"/>
        <v/>
      </c>
    </row>
    <row r="1667" ht="14.25" customHeight="1">
      <c r="B1667" s="66" t="str">
        <f>IF(ROWS($1:1655)&lt;=Nper,ROWS($1:1655),"")</f>
        <v/>
      </c>
      <c r="C1667" s="67" t="str">
        <f>IF($B1667="","",IF($E$7="Weekly",Start_Date+7*(ROWS($1:1655)-1),EDATE(Start_Date,VLOOKUP(IF(ASTemp!$E$7="","Monthly",ASTemp!$E$7),Parameters!$B$3:$D$6,3,0)*(ROWS($1:1655)-1))))</f>
        <v/>
      </c>
      <c r="D1667" s="68" t="str">
        <f t="shared" si="2"/>
        <v/>
      </c>
      <c r="E1667" s="65" t="str">
        <f>IF($B1667="","",VLOOKUP(MONTH(C1667),Parameters!$F$2:$G$13,2,0))</f>
        <v/>
      </c>
      <c r="F1667" s="69" t="str">
        <f>IF($B1667="","",PV-N(J1666))</f>
        <v/>
      </c>
      <c r="G1667" s="69" t="str">
        <f>IF($B1667="","",PMT(Rate,Nper,-PV,,Type))</f>
        <v/>
      </c>
      <c r="H1667" s="69" t="str">
        <f>IF($B1667="","",PPMT(Rate,ROWS($1:1655),Nper,-PV,,Type))</f>
        <v/>
      </c>
      <c r="I1667" s="69" t="str">
        <f>IF($B1667="","",IPMT(Rate,ROWS($1:1655),Nper,-PV,,Type))</f>
        <v/>
      </c>
      <c r="J1667" s="73" t="str">
        <f t="shared" ref="J1667:K1667" si="1657">IF($B1667="","",N(J1666)+N(H1667))</f>
        <v/>
      </c>
      <c r="K1667" s="74" t="str">
        <f t="shared" si="1657"/>
        <v/>
      </c>
      <c r="L1667" s="69" t="str">
        <f>IF($B1667="","",PV-J1667)</f>
        <v/>
      </c>
      <c r="M1667" s="71" t="str">
        <f>IF($B1667="","",J1667/PV)</f>
        <v/>
      </c>
      <c r="N1667" s="72" t="str">
        <f t="shared" si="4"/>
        <v/>
      </c>
    </row>
    <row r="1668" ht="14.25" customHeight="1">
      <c r="B1668" s="66" t="str">
        <f>IF(ROWS($1:1656)&lt;=Nper,ROWS($1:1656),"")</f>
        <v/>
      </c>
      <c r="C1668" s="67" t="str">
        <f>IF($B1668="","",IF($E$7="Weekly",Start_Date+7*(ROWS($1:1656)-1),EDATE(Start_Date,VLOOKUP(IF(ASTemp!$E$7="","Monthly",ASTemp!$E$7),Parameters!$B$3:$D$6,3,0)*(ROWS($1:1656)-1))))</f>
        <v/>
      </c>
      <c r="D1668" s="68" t="str">
        <f t="shared" si="2"/>
        <v/>
      </c>
      <c r="E1668" s="65" t="str">
        <f>IF($B1668="","",VLOOKUP(MONTH(C1668),Parameters!$F$2:$G$13,2,0))</f>
        <v/>
      </c>
      <c r="F1668" s="69" t="str">
        <f>IF($B1668="","",PV-N(J1667))</f>
        <v/>
      </c>
      <c r="G1668" s="69" t="str">
        <f>IF($B1668="","",PMT(Rate,Nper,-PV,,Type))</f>
        <v/>
      </c>
      <c r="H1668" s="69" t="str">
        <f>IF($B1668="","",PPMT(Rate,ROWS($1:1656),Nper,-PV,,Type))</f>
        <v/>
      </c>
      <c r="I1668" s="69" t="str">
        <f>IF($B1668="","",IPMT(Rate,ROWS($1:1656),Nper,-PV,,Type))</f>
        <v/>
      </c>
      <c r="J1668" s="73" t="str">
        <f t="shared" ref="J1668:K1668" si="1658">IF($B1668="","",N(J1667)+N(H1668))</f>
        <v/>
      </c>
      <c r="K1668" s="74" t="str">
        <f t="shared" si="1658"/>
        <v/>
      </c>
      <c r="L1668" s="69" t="str">
        <f>IF($B1668="","",PV-J1668)</f>
        <v/>
      </c>
      <c r="M1668" s="71" t="str">
        <f>IF($B1668="","",J1668/PV)</f>
        <v/>
      </c>
      <c r="N1668" s="72" t="str">
        <f t="shared" si="4"/>
        <v/>
      </c>
    </row>
    <row r="1669" ht="14.25" customHeight="1">
      <c r="B1669" s="66" t="str">
        <f>IF(ROWS($1:1657)&lt;=Nper,ROWS($1:1657),"")</f>
        <v/>
      </c>
      <c r="C1669" s="67" t="str">
        <f>IF($B1669="","",IF($E$7="Weekly",Start_Date+7*(ROWS($1:1657)-1),EDATE(Start_Date,VLOOKUP(IF(ASTemp!$E$7="","Monthly",ASTemp!$E$7),Parameters!$B$3:$D$6,3,0)*(ROWS($1:1657)-1))))</f>
        <v/>
      </c>
      <c r="D1669" s="68" t="str">
        <f t="shared" si="2"/>
        <v/>
      </c>
      <c r="E1669" s="65" t="str">
        <f>IF($B1669="","",VLOOKUP(MONTH(C1669),Parameters!$F$2:$G$13,2,0))</f>
        <v/>
      </c>
      <c r="F1669" s="69" t="str">
        <f>IF($B1669="","",PV-N(J1668))</f>
        <v/>
      </c>
      <c r="G1669" s="69" t="str">
        <f>IF($B1669="","",PMT(Rate,Nper,-PV,,Type))</f>
        <v/>
      </c>
      <c r="H1669" s="69" t="str">
        <f>IF($B1669="","",PPMT(Rate,ROWS($1:1657),Nper,-PV,,Type))</f>
        <v/>
      </c>
      <c r="I1669" s="69" t="str">
        <f>IF($B1669="","",IPMT(Rate,ROWS($1:1657),Nper,-PV,,Type))</f>
        <v/>
      </c>
      <c r="J1669" s="73" t="str">
        <f t="shared" ref="J1669:K1669" si="1659">IF($B1669="","",N(J1668)+N(H1669))</f>
        <v/>
      </c>
      <c r="K1669" s="74" t="str">
        <f t="shared" si="1659"/>
        <v/>
      </c>
      <c r="L1669" s="69" t="str">
        <f>IF($B1669="","",PV-J1669)</f>
        <v/>
      </c>
      <c r="M1669" s="71" t="str">
        <f>IF($B1669="","",J1669/PV)</f>
        <v/>
      </c>
      <c r="N1669" s="72" t="str">
        <f t="shared" si="4"/>
        <v/>
      </c>
    </row>
    <row r="1670" ht="14.25" customHeight="1">
      <c r="B1670" s="66" t="str">
        <f>IF(ROWS($1:1658)&lt;=Nper,ROWS($1:1658),"")</f>
        <v/>
      </c>
      <c r="C1670" s="67" t="str">
        <f>IF($B1670="","",IF($E$7="Weekly",Start_Date+7*(ROWS($1:1658)-1),EDATE(Start_Date,VLOOKUP(IF(ASTemp!$E$7="","Monthly",ASTemp!$E$7),Parameters!$B$3:$D$6,3,0)*(ROWS($1:1658)-1))))</f>
        <v/>
      </c>
      <c r="D1670" s="68" t="str">
        <f t="shared" si="2"/>
        <v/>
      </c>
      <c r="E1670" s="65" t="str">
        <f>IF($B1670="","",VLOOKUP(MONTH(C1670),Parameters!$F$2:$G$13,2,0))</f>
        <v/>
      </c>
      <c r="F1670" s="69" t="str">
        <f>IF($B1670="","",PV-N(J1669))</f>
        <v/>
      </c>
      <c r="G1670" s="69" t="str">
        <f>IF($B1670="","",PMT(Rate,Nper,-PV,,Type))</f>
        <v/>
      </c>
      <c r="H1670" s="69" t="str">
        <f>IF($B1670="","",PPMT(Rate,ROWS($1:1658),Nper,-PV,,Type))</f>
        <v/>
      </c>
      <c r="I1670" s="69" t="str">
        <f>IF($B1670="","",IPMT(Rate,ROWS($1:1658),Nper,-PV,,Type))</f>
        <v/>
      </c>
      <c r="J1670" s="73" t="str">
        <f t="shared" ref="J1670:K1670" si="1660">IF($B1670="","",N(J1669)+N(H1670))</f>
        <v/>
      </c>
      <c r="K1670" s="74" t="str">
        <f t="shared" si="1660"/>
        <v/>
      </c>
      <c r="L1670" s="69" t="str">
        <f>IF($B1670="","",PV-J1670)</f>
        <v/>
      </c>
      <c r="M1670" s="71" t="str">
        <f>IF($B1670="","",J1670/PV)</f>
        <v/>
      </c>
      <c r="N1670" s="72" t="str">
        <f t="shared" si="4"/>
        <v/>
      </c>
    </row>
    <row r="1671" ht="14.25" customHeight="1">
      <c r="B1671" s="66" t="str">
        <f>IF(ROWS($1:1659)&lt;=Nper,ROWS($1:1659),"")</f>
        <v/>
      </c>
      <c r="C1671" s="67" t="str">
        <f>IF($B1671="","",IF($E$7="Weekly",Start_Date+7*(ROWS($1:1659)-1),EDATE(Start_Date,VLOOKUP(IF(ASTemp!$E$7="","Monthly",ASTemp!$E$7),Parameters!$B$3:$D$6,3,0)*(ROWS($1:1659)-1))))</f>
        <v/>
      </c>
      <c r="D1671" s="68" t="str">
        <f t="shared" si="2"/>
        <v/>
      </c>
      <c r="E1671" s="65" t="str">
        <f>IF($B1671="","",VLOOKUP(MONTH(C1671),Parameters!$F$2:$G$13,2,0))</f>
        <v/>
      </c>
      <c r="F1671" s="69" t="str">
        <f>IF($B1671="","",PV-N(J1670))</f>
        <v/>
      </c>
      <c r="G1671" s="69" t="str">
        <f>IF($B1671="","",PMT(Rate,Nper,-PV,,Type))</f>
        <v/>
      </c>
      <c r="H1671" s="69" t="str">
        <f>IF($B1671="","",PPMT(Rate,ROWS($1:1659),Nper,-PV,,Type))</f>
        <v/>
      </c>
      <c r="I1671" s="69" t="str">
        <f>IF($B1671="","",IPMT(Rate,ROWS($1:1659),Nper,-PV,,Type))</f>
        <v/>
      </c>
      <c r="J1671" s="73" t="str">
        <f t="shared" ref="J1671:K1671" si="1661">IF($B1671="","",N(J1670)+N(H1671))</f>
        <v/>
      </c>
      <c r="K1671" s="74" t="str">
        <f t="shared" si="1661"/>
        <v/>
      </c>
      <c r="L1671" s="69" t="str">
        <f>IF($B1671="","",PV-J1671)</f>
        <v/>
      </c>
      <c r="M1671" s="71" t="str">
        <f>IF($B1671="","",J1671/PV)</f>
        <v/>
      </c>
      <c r="N1671" s="72" t="str">
        <f t="shared" si="4"/>
        <v/>
      </c>
    </row>
    <row r="1672" ht="14.25" customHeight="1">
      <c r="B1672" s="66" t="str">
        <f>IF(ROWS($1:1660)&lt;=Nper,ROWS($1:1660),"")</f>
        <v/>
      </c>
      <c r="C1672" s="67" t="str">
        <f>IF($B1672="","",IF($E$7="Weekly",Start_Date+7*(ROWS($1:1660)-1),EDATE(Start_Date,VLOOKUP(IF(ASTemp!$E$7="","Monthly",ASTemp!$E$7),Parameters!$B$3:$D$6,3,0)*(ROWS($1:1660)-1))))</f>
        <v/>
      </c>
      <c r="D1672" s="68" t="str">
        <f t="shared" si="2"/>
        <v/>
      </c>
      <c r="E1672" s="65" t="str">
        <f>IF($B1672="","",VLOOKUP(MONTH(C1672),Parameters!$F$2:$G$13,2,0))</f>
        <v/>
      </c>
      <c r="F1672" s="69" t="str">
        <f>IF($B1672="","",PV-N(J1671))</f>
        <v/>
      </c>
      <c r="G1672" s="69" t="str">
        <f>IF($B1672="","",PMT(Rate,Nper,-PV,,Type))</f>
        <v/>
      </c>
      <c r="H1672" s="69" t="str">
        <f>IF($B1672="","",PPMT(Rate,ROWS($1:1660),Nper,-PV,,Type))</f>
        <v/>
      </c>
      <c r="I1672" s="69" t="str">
        <f>IF($B1672="","",IPMT(Rate,ROWS($1:1660),Nper,-PV,,Type))</f>
        <v/>
      </c>
      <c r="J1672" s="73" t="str">
        <f t="shared" ref="J1672:K1672" si="1662">IF($B1672="","",N(J1671)+N(H1672))</f>
        <v/>
      </c>
      <c r="K1672" s="74" t="str">
        <f t="shared" si="1662"/>
        <v/>
      </c>
      <c r="L1672" s="69" t="str">
        <f>IF($B1672="","",PV-J1672)</f>
        <v/>
      </c>
      <c r="M1672" s="71" t="str">
        <f>IF($B1672="","",J1672/PV)</f>
        <v/>
      </c>
      <c r="N1672" s="72" t="str">
        <f t="shared" si="4"/>
        <v/>
      </c>
    </row>
    <row r="1673" ht="14.25" customHeight="1">
      <c r="B1673" s="66" t="str">
        <f>IF(ROWS($1:1661)&lt;=Nper,ROWS($1:1661),"")</f>
        <v/>
      </c>
      <c r="C1673" s="67" t="str">
        <f>IF($B1673="","",IF($E$7="Weekly",Start_Date+7*(ROWS($1:1661)-1),EDATE(Start_Date,VLOOKUP(IF(ASTemp!$E$7="","Monthly",ASTemp!$E$7),Parameters!$B$3:$D$6,3,0)*(ROWS($1:1661)-1))))</f>
        <v/>
      </c>
      <c r="D1673" s="68" t="str">
        <f t="shared" si="2"/>
        <v/>
      </c>
      <c r="E1673" s="65" t="str">
        <f>IF($B1673="","",VLOOKUP(MONTH(C1673),Parameters!$F$2:$G$13,2,0))</f>
        <v/>
      </c>
      <c r="F1673" s="69" t="str">
        <f>IF($B1673="","",PV-N(J1672))</f>
        <v/>
      </c>
      <c r="G1673" s="69" t="str">
        <f>IF($B1673="","",PMT(Rate,Nper,-PV,,Type))</f>
        <v/>
      </c>
      <c r="H1673" s="69" t="str">
        <f>IF($B1673="","",PPMT(Rate,ROWS($1:1661),Nper,-PV,,Type))</f>
        <v/>
      </c>
      <c r="I1673" s="69" t="str">
        <f>IF($B1673="","",IPMT(Rate,ROWS($1:1661),Nper,-PV,,Type))</f>
        <v/>
      </c>
      <c r="J1673" s="73" t="str">
        <f t="shared" ref="J1673:K1673" si="1663">IF($B1673="","",N(J1672)+N(H1673))</f>
        <v/>
      </c>
      <c r="K1673" s="74" t="str">
        <f t="shared" si="1663"/>
        <v/>
      </c>
      <c r="L1673" s="69" t="str">
        <f>IF($B1673="","",PV-J1673)</f>
        <v/>
      </c>
      <c r="M1673" s="71" t="str">
        <f>IF($B1673="","",J1673/PV)</f>
        <v/>
      </c>
      <c r="N1673" s="72" t="str">
        <f t="shared" si="4"/>
        <v/>
      </c>
    </row>
    <row r="1674" ht="14.25" customHeight="1">
      <c r="B1674" s="66" t="str">
        <f>IF(ROWS($1:1662)&lt;=Nper,ROWS($1:1662),"")</f>
        <v/>
      </c>
      <c r="C1674" s="67" t="str">
        <f>IF($B1674="","",IF($E$7="Weekly",Start_Date+7*(ROWS($1:1662)-1),EDATE(Start_Date,VLOOKUP(IF(ASTemp!$E$7="","Monthly",ASTemp!$E$7),Parameters!$B$3:$D$6,3,0)*(ROWS($1:1662)-1))))</f>
        <v/>
      </c>
      <c r="D1674" s="68" t="str">
        <f t="shared" si="2"/>
        <v/>
      </c>
      <c r="E1674" s="65" t="str">
        <f>IF($B1674="","",VLOOKUP(MONTH(C1674),Parameters!$F$2:$G$13,2,0))</f>
        <v/>
      </c>
      <c r="F1674" s="69" t="str">
        <f>IF($B1674="","",PV-N(J1673))</f>
        <v/>
      </c>
      <c r="G1674" s="69" t="str">
        <f>IF($B1674="","",PMT(Rate,Nper,-PV,,Type))</f>
        <v/>
      </c>
      <c r="H1674" s="69" t="str">
        <f>IF($B1674="","",PPMT(Rate,ROWS($1:1662),Nper,-PV,,Type))</f>
        <v/>
      </c>
      <c r="I1674" s="69" t="str">
        <f>IF($B1674="","",IPMT(Rate,ROWS($1:1662),Nper,-PV,,Type))</f>
        <v/>
      </c>
      <c r="J1674" s="73" t="str">
        <f t="shared" ref="J1674:K1674" si="1664">IF($B1674="","",N(J1673)+N(H1674))</f>
        <v/>
      </c>
      <c r="K1674" s="74" t="str">
        <f t="shared" si="1664"/>
        <v/>
      </c>
      <c r="L1674" s="69" t="str">
        <f>IF($B1674="","",PV-J1674)</f>
        <v/>
      </c>
      <c r="M1674" s="71" t="str">
        <f>IF($B1674="","",J1674/PV)</f>
        <v/>
      </c>
      <c r="N1674" s="72" t="str">
        <f t="shared" si="4"/>
        <v/>
      </c>
    </row>
    <row r="1675" ht="14.25" customHeight="1">
      <c r="B1675" s="66" t="str">
        <f>IF(ROWS($1:1663)&lt;=Nper,ROWS($1:1663),"")</f>
        <v/>
      </c>
      <c r="C1675" s="67" t="str">
        <f>IF($B1675="","",IF($E$7="Weekly",Start_Date+7*(ROWS($1:1663)-1),EDATE(Start_Date,VLOOKUP(IF(ASTemp!$E$7="","Monthly",ASTemp!$E$7),Parameters!$B$3:$D$6,3,0)*(ROWS($1:1663)-1))))</f>
        <v/>
      </c>
      <c r="D1675" s="68" t="str">
        <f t="shared" si="2"/>
        <v/>
      </c>
      <c r="E1675" s="65" t="str">
        <f>IF($B1675="","",VLOOKUP(MONTH(C1675),Parameters!$F$2:$G$13,2,0))</f>
        <v/>
      </c>
      <c r="F1675" s="69" t="str">
        <f>IF($B1675="","",PV-N(J1674))</f>
        <v/>
      </c>
      <c r="G1675" s="69" t="str">
        <f>IF($B1675="","",PMT(Rate,Nper,-PV,,Type))</f>
        <v/>
      </c>
      <c r="H1675" s="69" t="str">
        <f>IF($B1675="","",PPMT(Rate,ROWS($1:1663),Nper,-PV,,Type))</f>
        <v/>
      </c>
      <c r="I1675" s="69" t="str">
        <f>IF($B1675="","",IPMT(Rate,ROWS($1:1663),Nper,-PV,,Type))</f>
        <v/>
      </c>
      <c r="J1675" s="73" t="str">
        <f t="shared" ref="J1675:K1675" si="1665">IF($B1675="","",N(J1674)+N(H1675))</f>
        <v/>
      </c>
      <c r="K1675" s="74" t="str">
        <f t="shared" si="1665"/>
        <v/>
      </c>
      <c r="L1675" s="69" t="str">
        <f>IF($B1675="","",PV-J1675)</f>
        <v/>
      </c>
      <c r="M1675" s="71" t="str">
        <f>IF($B1675="","",J1675/PV)</f>
        <v/>
      </c>
      <c r="N1675" s="72" t="str">
        <f t="shared" si="4"/>
        <v/>
      </c>
    </row>
    <row r="1676" ht="14.25" customHeight="1">
      <c r="B1676" s="66" t="str">
        <f>IF(ROWS($1:1664)&lt;=Nper,ROWS($1:1664),"")</f>
        <v/>
      </c>
      <c r="C1676" s="67" t="str">
        <f>IF($B1676="","",IF($E$7="Weekly",Start_Date+7*(ROWS($1:1664)-1),EDATE(Start_Date,VLOOKUP(IF(ASTemp!$E$7="","Monthly",ASTemp!$E$7),Parameters!$B$3:$D$6,3,0)*(ROWS($1:1664)-1))))</f>
        <v/>
      </c>
      <c r="D1676" s="68" t="str">
        <f t="shared" si="2"/>
        <v/>
      </c>
      <c r="E1676" s="65" t="str">
        <f>IF($B1676="","",VLOOKUP(MONTH(C1676),Parameters!$F$2:$G$13,2,0))</f>
        <v/>
      </c>
      <c r="F1676" s="69" t="str">
        <f>IF($B1676="","",PV-N(J1675))</f>
        <v/>
      </c>
      <c r="G1676" s="69" t="str">
        <f>IF($B1676="","",PMT(Rate,Nper,-PV,,Type))</f>
        <v/>
      </c>
      <c r="H1676" s="69" t="str">
        <f>IF($B1676="","",PPMT(Rate,ROWS($1:1664),Nper,-PV,,Type))</f>
        <v/>
      </c>
      <c r="I1676" s="69" t="str">
        <f>IF($B1676="","",IPMT(Rate,ROWS($1:1664),Nper,-PV,,Type))</f>
        <v/>
      </c>
      <c r="J1676" s="73" t="str">
        <f t="shared" ref="J1676:K1676" si="1666">IF($B1676="","",N(J1675)+N(H1676))</f>
        <v/>
      </c>
      <c r="K1676" s="74" t="str">
        <f t="shared" si="1666"/>
        <v/>
      </c>
      <c r="L1676" s="69" t="str">
        <f>IF($B1676="","",PV-J1676)</f>
        <v/>
      </c>
      <c r="M1676" s="71" t="str">
        <f>IF($B1676="","",J1676/PV)</f>
        <v/>
      </c>
      <c r="N1676" s="72" t="str">
        <f t="shared" si="4"/>
        <v/>
      </c>
    </row>
    <row r="1677" ht="14.25" customHeight="1">
      <c r="B1677" s="66" t="str">
        <f>IF(ROWS($1:1665)&lt;=Nper,ROWS($1:1665),"")</f>
        <v/>
      </c>
      <c r="C1677" s="67" t="str">
        <f>IF($B1677="","",IF($E$7="Weekly",Start_Date+7*(ROWS($1:1665)-1),EDATE(Start_Date,VLOOKUP(IF(ASTemp!$E$7="","Monthly",ASTemp!$E$7),Parameters!$B$3:$D$6,3,0)*(ROWS($1:1665)-1))))</f>
        <v/>
      </c>
      <c r="D1677" s="68" t="str">
        <f t="shared" si="2"/>
        <v/>
      </c>
      <c r="E1677" s="65" t="str">
        <f>IF($B1677="","",VLOOKUP(MONTH(C1677),Parameters!$F$2:$G$13,2,0))</f>
        <v/>
      </c>
      <c r="F1677" s="69" t="str">
        <f>IF($B1677="","",PV-N(J1676))</f>
        <v/>
      </c>
      <c r="G1677" s="69" t="str">
        <f>IF($B1677="","",PMT(Rate,Nper,-PV,,Type))</f>
        <v/>
      </c>
      <c r="H1677" s="69" t="str">
        <f>IF($B1677="","",PPMT(Rate,ROWS($1:1665),Nper,-PV,,Type))</f>
        <v/>
      </c>
      <c r="I1677" s="69" t="str">
        <f>IF($B1677="","",IPMT(Rate,ROWS($1:1665),Nper,-PV,,Type))</f>
        <v/>
      </c>
      <c r="J1677" s="73" t="str">
        <f t="shared" ref="J1677:K1677" si="1667">IF($B1677="","",N(J1676)+N(H1677))</f>
        <v/>
      </c>
      <c r="K1677" s="74" t="str">
        <f t="shared" si="1667"/>
        <v/>
      </c>
      <c r="L1677" s="69" t="str">
        <f>IF($B1677="","",PV-J1677)</f>
        <v/>
      </c>
      <c r="M1677" s="71" t="str">
        <f>IF($B1677="","",J1677/PV)</f>
        <v/>
      </c>
      <c r="N1677" s="72" t="str">
        <f t="shared" si="4"/>
        <v/>
      </c>
    </row>
    <row r="1678" ht="14.25" customHeight="1">
      <c r="B1678" s="66" t="str">
        <f>IF(ROWS($1:1666)&lt;=Nper,ROWS($1:1666),"")</f>
        <v/>
      </c>
      <c r="C1678" s="67" t="str">
        <f>IF($B1678="","",IF($E$7="Weekly",Start_Date+7*(ROWS($1:1666)-1),EDATE(Start_Date,VLOOKUP(IF(ASTemp!$E$7="","Monthly",ASTemp!$E$7),Parameters!$B$3:$D$6,3,0)*(ROWS($1:1666)-1))))</f>
        <v/>
      </c>
      <c r="D1678" s="68" t="str">
        <f t="shared" si="2"/>
        <v/>
      </c>
      <c r="E1678" s="65" t="str">
        <f>IF($B1678="","",VLOOKUP(MONTH(C1678),Parameters!$F$2:$G$13,2,0))</f>
        <v/>
      </c>
      <c r="F1678" s="69" t="str">
        <f>IF($B1678="","",PV-N(J1677))</f>
        <v/>
      </c>
      <c r="G1678" s="69" t="str">
        <f>IF($B1678="","",PMT(Rate,Nper,-PV,,Type))</f>
        <v/>
      </c>
      <c r="H1678" s="69" t="str">
        <f>IF($B1678="","",PPMT(Rate,ROWS($1:1666),Nper,-PV,,Type))</f>
        <v/>
      </c>
      <c r="I1678" s="69" t="str">
        <f>IF($B1678="","",IPMT(Rate,ROWS($1:1666),Nper,-PV,,Type))</f>
        <v/>
      </c>
      <c r="J1678" s="73" t="str">
        <f t="shared" ref="J1678:K1678" si="1668">IF($B1678="","",N(J1677)+N(H1678))</f>
        <v/>
      </c>
      <c r="K1678" s="74" t="str">
        <f t="shared" si="1668"/>
        <v/>
      </c>
      <c r="L1678" s="69" t="str">
        <f>IF($B1678="","",PV-J1678)</f>
        <v/>
      </c>
      <c r="M1678" s="71" t="str">
        <f>IF($B1678="","",J1678/PV)</f>
        <v/>
      </c>
      <c r="N1678" s="72" t="str">
        <f t="shared" si="4"/>
        <v/>
      </c>
    </row>
    <row r="1679" ht="14.25" customHeight="1">
      <c r="B1679" s="66" t="str">
        <f>IF(ROWS($1:1667)&lt;=Nper,ROWS($1:1667),"")</f>
        <v/>
      </c>
      <c r="C1679" s="67" t="str">
        <f>IF($B1679="","",IF($E$7="Weekly",Start_Date+7*(ROWS($1:1667)-1),EDATE(Start_Date,VLOOKUP(IF(ASTemp!$E$7="","Monthly",ASTemp!$E$7),Parameters!$B$3:$D$6,3,0)*(ROWS($1:1667)-1))))</f>
        <v/>
      </c>
      <c r="D1679" s="68" t="str">
        <f t="shared" si="2"/>
        <v/>
      </c>
      <c r="E1679" s="65" t="str">
        <f>IF($B1679="","",VLOOKUP(MONTH(C1679),Parameters!$F$2:$G$13,2,0))</f>
        <v/>
      </c>
      <c r="F1679" s="69" t="str">
        <f>IF($B1679="","",PV-N(J1678))</f>
        <v/>
      </c>
      <c r="G1679" s="69" t="str">
        <f>IF($B1679="","",PMT(Rate,Nper,-PV,,Type))</f>
        <v/>
      </c>
      <c r="H1679" s="69" t="str">
        <f>IF($B1679="","",PPMT(Rate,ROWS($1:1667),Nper,-PV,,Type))</f>
        <v/>
      </c>
      <c r="I1679" s="69" t="str">
        <f>IF($B1679="","",IPMT(Rate,ROWS($1:1667),Nper,-PV,,Type))</f>
        <v/>
      </c>
      <c r="J1679" s="73" t="str">
        <f t="shared" ref="J1679:K1679" si="1669">IF($B1679="","",N(J1678)+N(H1679))</f>
        <v/>
      </c>
      <c r="K1679" s="74" t="str">
        <f t="shared" si="1669"/>
        <v/>
      </c>
      <c r="L1679" s="69" t="str">
        <f>IF($B1679="","",PV-J1679)</f>
        <v/>
      </c>
      <c r="M1679" s="71" t="str">
        <f>IF($B1679="","",J1679/PV)</f>
        <v/>
      </c>
      <c r="N1679" s="72" t="str">
        <f t="shared" si="4"/>
        <v/>
      </c>
    </row>
    <row r="1680" ht="14.25" customHeight="1">
      <c r="B1680" s="66" t="str">
        <f>IF(ROWS($1:1668)&lt;=Nper,ROWS($1:1668),"")</f>
        <v/>
      </c>
      <c r="C1680" s="67" t="str">
        <f>IF($B1680="","",IF($E$7="Weekly",Start_Date+7*(ROWS($1:1668)-1),EDATE(Start_Date,VLOOKUP(IF(ASTemp!$E$7="","Monthly",ASTemp!$E$7),Parameters!$B$3:$D$6,3,0)*(ROWS($1:1668)-1))))</f>
        <v/>
      </c>
      <c r="D1680" s="68" t="str">
        <f t="shared" si="2"/>
        <v/>
      </c>
      <c r="E1680" s="65" t="str">
        <f>IF($B1680="","",VLOOKUP(MONTH(C1680),Parameters!$F$2:$G$13,2,0))</f>
        <v/>
      </c>
      <c r="F1680" s="69" t="str">
        <f>IF($B1680="","",PV-N(J1679))</f>
        <v/>
      </c>
      <c r="G1680" s="69" t="str">
        <f>IF($B1680="","",PMT(Rate,Nper,-PV,,Type))</f>
        <v/>
      </c>
      <c r="H1680" s="69" t="str">
        <f>IF($B1680="","",PPMT(Rate,ROWS($1:1668),Nper,-PV,,Type))</f>
        <v/>
      </c>
      <c r="I1680" s="69" t="str">
        <f>IF($B1680="","",IPMT(Rate,ROWS($1:1668),Nper,-PV,,Type))</f>
        <v/>
      </c>
      <c r="J1680" s="73" t="str">
        <f t="shared" ref="J1680:K1680" si="1670">IF($B1680="","",N(J1679)+N(H1680))</f>
        <v/>
      </c>
      <c r="K1680" s="74" t="str">
        <f t="shared" si="1670"/>
        <v/>
      </c>
      <c r="L1680" s="69" t="str">
        <f>IF($B1680="","",PV-J1680)</f>
        <v/>
      </c>
      <c r="M1680" s="71" t="str">
        <f>IF($B1680="","",J1680/PV)</f>
        <v/>
      </c>
      <c r="N1680" s="72" t="str">
        <f t="shared" si="4"/>
        <v/>
      </c>
    </row>
    <row r="1681" ht="14.25" customHeight="1">
      <c r="B1681" s="66" t="str">
        <f>IF(ROWS($1:1669)&lt;=Nper,ROWS($1:1669),"")</f>
        <v/>
      </c>
      <c r="C1681" s="67" t="str">
        <f>IF($B1681="","",IF($E$7="Weekly",Start_Date+7*(ROWS($1:1669)-1),EDATE(Start_Date,VLOOKUP(IF(ASTemp!$E$7="","Monthly",ASTemp!$E$7),Parameters!$B$3:$D$6,3,0)*(ROWS($1:1669)-1))))</f>
        <v/>
      </c>
      <c r="D1681" s="68" t="str">
        <f t="shared" si="2"/>
        <v/>
      </c>
      <c r="E1681" s="65" t="str">
        <f>IF($B1681="","",VLOOKUP(MONTH(C1681),Parameters!$F$2:$G$13,2,0))</f>
        <v/>
      </c>
      <c r="F1681" s="69" t="str">
        <f>IF($B1681="","",PV-N(J1680))</f>
        <v/>
      </c>
      <c r="G1681" s="69" t="str">
        <f>IF($B1681="","",PMT(Rate,Nper,-PV,,Type))</f>
        <v/>
      </c>
      <c r="H1681" s="69" t="str">
        <f>IF($B1681="","",PPMT(Rate,ROWS($1:1669),Nper,-PV,,Type))</f>
        <v/>
      </c>
      <c r="I1681" s="69" t="str">
        <f>IF($B1681="","",IPMT(Rate,ROWS($1:1669),Nper,-PV,,Type))</f>
        <v/>
      </c>
      <c r="J1681" s="73" t="str">
        <f t="shared" ref="J1681:K1681" si="1671">IF($B1681="","",N(J1680)+N(H1681))</f>
        <v/>
      </c>
      <c r="K1681" s="74" t="str">
        <f t="shared" si="1671"/>
        <v/>
      </c>
      <c r="L1681" s="69" t="str">
        <f>IF($B1681="","",PV-J1681)</f>
        <v/>
      </c>
      <c r="M1681" s="71" t="str">
        <f>IF($B1681="","",J1681/PV)</f>
        <v/>
      </c>
      <c r="N1681" s="72" t="str">
        <f t="shared" si="4"/>
        <v/>
      </c>
    </row>
    <row r="1682" ht="14.25" customHeight="1">
      <c r="B1682" s="66" t="str">
        <f>IF(ROWS($1:1670)&lt;=Nper,ROWS($1:1670),"")</f>
        <v/>
      </c>
      <c r="C1682" s="67" t="str">
        <f>IF($B1682="","",IF($E$7="Weekly",Start_Date+7*(ROWS($1:1670)-1),EDATE(Start_Date,VLOOKUP(IF(ASTemp!$E$7="","Monthly",ASTemp!$E$7),Parameters!$B$3:$D$6,3,0)*(ROWS($1:1670)-1))))</f>
        <v/>
      </c>
      <c r="D1682" s="68" t="str">
        <f t="shared" si="2"/>
        <v/>
      </c>
      <c r="E1682" s="65" t="str">
        <f>IF($B1682="","",VLOOKUP(MONTH(C1682),Parameters!$F$2:$G$13,2,0))</f>
        <v/>
      </c>
      <c r="F1682" s="69" t="str">
        <f>IF($B1682="","",PV-N(J1681))</f>
        <v/>
      </c>
      <c r="G1682" s="69" t="str">
        <f>IF($B1682="","",PMT(Rate,Nper,-PV,,Type))</f>
        <v/>
      </c>
      <c r="H1682" s="69" t="str">
        <f>IF($B1682="","",PPMT(Rate,ROWS($1:1670),Nper,-PV,,Type))</f>
        <v/>
      </c>
      <c r="I1682" s="69" t="str">
        <f>IF($B1682="","",IPMT(Rate,ROWS($1:1670),Nper,-PV,,Type))</f>
        <v/>
      </c>
      <c r="J1682" s="73" t="str">
        <f t="shared" ref="J1682:K1682" si="1672">IF($B1682="","",N(J1681)+N(H1682))</f>
        <v/>
      </c>
      <c r="K1682" s="74" t="str">
        <f t="shared" si="1672"/>
        <v/>
      </c>
      <c r="L1682" s="69" t="str">
        <f>IF($B1682="","",PV-J1682)</f>
        <v/>
      </c>
      <c r="M1682" s="71" t="str">
        <f>IF($B1682="","",J1682/PV)</f>
        <v/>
      </c>
      <c r="N1682" s="72" t="str">
        <f t="shared" si="4"/>
        <v/>
      </c>
    </row>
    <row r="1683" ht="14.25" customHeight="1">
      <c r="B1683" s="66" t="str">
        <f>IF(ROWS($1:1671)&lt;=Nper,ROWS($1:1671),"")</f>
        <v/>
      </c>
      <c r="C1683" s="67" t="str">
        <f>IF($B1683="","",IF($E$7="Weekly",Start_Date+7*(ROWS($1:1671)-1),EDATE(Start_Date,VLOOKUP(IF(ASTemp!$E$7="","Monthly",ASTemp!$E$7),Parameters!$B$3:$D$6,3,0)*(ROWS($1:1671)-1))))</f>
        <v/>
      </c>
      <c r="D1683" s="68" t="str">
        <f t="shared" si="2"/>
        <v/>
      </c>
      <c r="E1683" s="65" t="str">
        <f>IF($B1683="","",VLOOKUP(MONTH(C1683),Parameters!$F$2:$G$13,2,0))</f>
        <v/>
      </c>
      <c r="F1683" s="69" t="str">
        <f>IF($B1683="","",PV-N(J1682))</f>
        <v/>
      </c>
      <c r="G1683" s="69" t="str">
        <f>IF($B1683="","",PMT(Rate,Nper,-PV,,Type))</f>
        <v/>
      </c>
      <c r="H1683" s="69" t="str">
        <f>IF($B1683="","",PPMT(Rate,ROWS($1:1671),Nper,-PV,,Type))</f>
        <v/>
      </c>
      <c r="I1683" s="69" t="str">
        <f>IF($B1683="","",IPMT(Rate,ROWS($1:1671),Nper,-PV,,Type))</f>
        <v/>
      </c>
      <c r="J1683" s="73" t="str">
        <f t="shared" ref="J1683:K1683" si="1673">IF($B1683="","",N(J1682)+N(H1683))</f>
        <v/>
      </c>
      <c r="K1683" s="74" t="str">
        <f t="shared" si="1673"/>
        <v/>
      </c>
      <c r="L1683" s="69" t="str">
        <f>IF($B1683="","",PV-J1683)</f>
        <v/>
      </c>
      <c r="M1683" s="71" t="str">
        <f>IF($B1683="","",J1683/PV)</f>
        <v/>
      </c>
      <c r="N1683" s="72" t="str">
        <f t="shared" si="4"/>
        <v/>
      </c>
    </row>
    <row r="1684" ht="14.25" customHeight="1">
      <c r="B1684" s="66" t="str">
        <f>IF(ROWS($1:1672)&lt;=Nper,ROWS($1:1672),"")</f>
        <v/>
      </c>
      <c r="C1684" s="67" t="str">
        <f>IF($B1684="","",IF($E$7="Weekly",Start_Date+7*(ROWS($1:1672)-1),EDATE(Start_Date,VLOOKUP(IF(ASTemp!$E$7="","Monthly",ASTemp!$E$7),Parameters!$B$3:$D$6,3,0)*(ROWS($1:1672)-1))))</f>
        <v/>
      </c>
      <c r="D1684" s="68" t="str">
        <f t="shared" si="2"/>
        <v/>
      </c>
      <c r="E1684" s="65" t="str">
        <f>IF($B1684="","",VLOOKUP(MONTH(C1684),Parameters!$F$2:$G$13,2,0))</f>
        <v/>
      </c>
      <c r="F1684" s="69" t="str">
        <f>IF($B1684="","",PV-N(J1683))</f>
        <v/>
      </c>
      <c r="G1684" s="69" t="str">
        <f>IF($B1684="","",PMT(Rate,Nper,-PV,,Type))</f>
        <v/>
      </c>
      <c r="H1684" s="69" t="str">
        <f>IF($B1684="","",PPMT(Rate,ROWS($1:1672),Nper,-PV,,Type))</f>
        <v/>
      </c>
      <c r="I1684" s="69" t="str">
        <f>IF($B1684="","",IPMT(Rate,ROWS($1:1672),Nper,-PV,,Type))</f>
        <v/>
      </c>
      <c r="J1684" s="73" t="str">
        <f t="shared" ref="J1684:K1684" si="1674">IF($B1684="","",N(J1683)+N(H1684))</f>
        <v/>
      </c>
      <c r="K1684" s="74" t="str">
        <f t="shared" si="1674"/>
        <v/>
      </c>
      <c r="L1684" s="69" t="str">
        <f>IF($B1684="","",PV-J1684)</f>
        <v/>
      </c>
      <c r="M1684" s="71" t="str">
        <f>IF($B1684="","",J1684/PV)</f>
        <v/>
      </c>
      <c r="N1684" s="72" t="str">
        <f t="shared" si="4"/>
        <v/>
      </c>
    </row>
    <row r="1685" ht="14.25" customHeight="1">
      <c r="B1685" s="66" t="str">
        <f>IF(ROWS($1:1673)&lt;=Nper,ROWS($1:1673),"")</f>
        <v/>
      </c>
      <c r="C1685" s="67" t="str">
        <f>IF($B1685="","",IF($E$7="Weekly",Start_Date+7*(ROWS($1:1673)-1),EDATE(Start_Date,VLOOKUP(IF(ASTemp!$E$7="","Monthly",ASTemp!$E$7),Parameters!$B$3:$D$6,3,0)*(ROWS($1:1673)-1))))</f>
        <v/>
      </c>
      <c r="D1685" s="68" t="str">
        <f t="shared" si="2"/>
        <v/>
      </c>
      <c r="E1685" s="65" t="str">
        <f>IF($B1685="","",VLOOKUP(MONTH(C1685),Parameters!$F$2:$G$13,2,0))</f>
        <v/>
      </c>
      <c r="F1685" s="69" t="str">
        <f>IF($B1685="","",PV-N(J1684))</f>
        <v/>
      </c>
      <c r="G1685" s="69" t="str">
        <f>IF($B1685="","",PMT(Rate,Nper,-PV,,Type))</f>
        <v/>
      </c>
      <c r="H1685" s="69" t="str">
        <f>IF($B1685="","",PPMT(Rate,ROWS($1:1673),Nper,-PV,,Type))</f>
        <v/>
      </c>
      <c r="I1685" s="69" t="str">
        <f>IF($B1685="","",IPMT(Rate,ROWS($1:1673),Nper,-PV,,Type))</f>
        <v/>
      </c>
      <c r="J1685" s="73" t="str">
        <f t="shared" ref="J1685:K1685" si="1675">IF($B1685="","",N(J1684)+N(H1685))</f>
        <v/>
      </c>
      <c r="K1685" s="74" t="str">
        <f t="shared" si="1675"/>
        <v/>
      </c>
      <c r="L1685" s="69" t="str">
        <f>IF($B1685="","",PV-J1685)</f>
        <v/>
      </c>
      <c r="M1685" s="71" t="str">
        <f>IF($B1685="","",J1685/PV)</f>
        <v/>
      </c>
      <c r="N1685" s="72" t="str">
        <f t="shared" si="4"/>
        <v/>
      </c>
    </row>
    <row r="1686" ht="14.25" customHeight="1">
      <c r="B1686" s="66" t="str">
        <f>IF(ROWS($1:1674)&lt;=Nper,ROWS($1:1674),"")</f>
        <v/>
      </c>
      <c r="C1686" s="67" t="str">
        <f>IF($B1686="","",IF($E$7="Weekly",Start_Date+7*(ROWS($1:1674)-1),EDATE(Start_Date,VLOOKUP(IF(ASTemp!$E$7="","Monthly",ASTemp!$E$7),Parameters!$B$3:$D$6,3,0)*(ROWS($1:1674)-1))))</f>
        <v/>
      </c>
      <c r="D1686" s="68" t="str">
        <f t="shared" si="2"/>
        <v/>
      </c>
      <c r="E1686" s="65" t="str">
        <f>IF($B1686="","",VLOOKUP(MONTH(C1686),Parameters!$F$2:$G$13,2,0))</f>
        <v/>
      </c>
      <c r="F1686" s="69" t="str">
        <f>IF($B1686="","",PV-N(J1685))</f>
        <v/>
      </c>
      <c r="G1686" s="69" t="str">
        <f>IF($B1686="","",PMT(Rate,Nper,-PV,,Type))</f>
        <v/>
      </c>
      <c r="H1686" s="69" t="str">
        <f>IF($B1686="","",PPMT(Rate,ROWS($1:1674),Nper,-PV,,Type))</f>
        <v/>
      </c>
      <c r="I1686" s="69" t="str">
        <f>IF($B1686="","",IPMT(Rate,ROWS($1:1674),Nper,-PV,,Type))</f>
        <v/>
      </c>
      <c r="J1686" s="73" t="str">
        <f t="shared" ref="J1686:K1686" si="1676">IF($B1686="","",N(J1685)+N(H1686))</f>
        <v/>
      </c>
      <c r="K1686" s="74" t="str">
        <f t="shared" si="1676"/>
        <v/>
      </c>
      <c r="L1686" s="69" t="str">
        <f>IF($B1686="","",PV-J1686)</f>
        <v/>
      </c>
      <c r="M1686" s="71" t="str">
        <f>IF($B1686="","",J1686/PV)</f>
        <v/>
      </c>
      <c r="N1686" s="72" t="str">
        <f t="shared" si="4"/>
        <v/>
      </c>
    </row>
    <row r="1687" ht="14.25" customHeight="1">
      <c r="B1687" s="66" t="str">
        <f>IF(ROWS($1:1675)&lt;=Nper,ROWS($1:1675),"")</f>
        <v/>
      </c>
      <c r="C1687" s="67" t="str">
        <f>IF($B1687="","",IF($E$7="Weekly",Start_Date+7*(ROWS($1:1675)-1),EDATE(Start_Date,VLOOKUP(IF(ASTemp!$E$7="","Monthly",ASTemp!$E$7),Parameters!$B$3:$D$6,3,0)*(ROWS($1:1675)-1))))</f>
        <v/>
      </c>
      <c r="D1687" s="68" t="str">
        <f t="shared" si="2"/>
        <v/>
      </c>
      <c r="E1687" s="65" t="str">
        <f>IF($B1687="","",VLOOKUP(MONTH(C1687),Parameters!$F$2:$G$13,2,0))</f>
        <v/>
      </c>
      <c r="F1687" s="69" t="str">
        <f>IF($B1687="","",PV-N(J1686))</f>
        <v/>
      </c>
      <c r="G1687" s="69" t="str">
        <f>IF($B1687="","",PMT(Rate,Nper,-PV,,Type))</f>
        <v/>
      </c>
      <c r="H1687" s="69" t="str">
        <f>IF($B1687="","",PPMT(Rate,ROWS($1:1675),Nper,-PV,,Type))</f>
        <v/>
      </c>
      <c r="I1687" s="69" t="str">
        <f>IF($B1687="","",IPMT(Rate,ROWS($1:1675),Nper,-PV,,Type))</f>
        <v/>
      </c>
      <c r="J1687" s="73" t="str">
        <f t="shared" ref="J1687:K1687" si="1677">IF($B1687="","",N(J1686)+N(H1687))</f>
        <v/>
      </c>
      <c r="K1687" s="74" t="str">
        <f t="shared" si="1677"/>
        <v/>
      </c>
      <c r="L1687" s="69" t="str">
        <f>IF($B1687="","",PV-J1687)</f>
        <v/>
      </c>
      <c r="M1687" s="71" t="str">
        <f>IF($B1687="","",J1687/PV)</f>
        <v/>
      </c>
      <c r="N1687" s="72" t="str">
        <f t="shared" si="4"/>
        <v/>
      </c>
    </row>
    <row r="1688" ht="14.25" customHeight="1">
      <c r="B1688" s="66" t="str">
        <f>IF(ROWS($1:1676)&lt;=Nper,ROWS($1:1676),"")</f>
        <v/>
      </c>
      <c r="C1688" s="67" t="str">
        <f>IF($B1688="","",IF($E$7="Weekly",Start_Date+7*(ROWS($1:1676)-1),EDATE(Start_Date,VLOOKUP(IF(ASTemp!$E$7="","Monthly",ASTemp!$E$7),Parameters!$B$3:$D$6,3,0)*(ROWS($1:1676)-1))))</f>
        <v/>
      </c>
      <c r="D1688" s="68" t="str">
        <f t="shared" si="2"/>
        <v/>
      </c>
      <c r="E1688" s="65" t="str">
        <f>IF($B1688="","",VLOOKUP(MONTH(C1688),Parameters!$F$2:$G$13,2,0))</f>
        <v/>
      </c>
      <c r="F1688" s="69" t="str">
        <f>IF($B1688="","",PV-N(J1687))</f>
        <v/>
      </c>
      <c r="G1688" s="69" t="str">
        <f>IF($B1688="","",PMT(Rate,Nper,-PV,,Type))</f>
        <v/>
      </c>
      <c r="H1688" s="69" t="str">
        <f>IF($B1688="","",PPMT(Rate,ROWS($1:1676),Nper,-PV,,Type))</f>
        <v/>
      </c>
      <c r="I1688" s="69" t="str">
        <f>IF($B1688="","",IPMT(Rate,ROWS($1:1676),Nper,-PV,,Type))</f>
        <v/>
      </c>
      <c r="J1688" s="73" t="str">
        <f t="shared" ref="J1688:K1688" si="1678">IF($B1688="","",N(J1687)+N(H1688))</f>
        <v/>
      </c>
      <c r="K1688" s="74" t="str">
        <f t="shared" si="1678"/>
        <v/>
      </c>
      <c r="L1688" s="69" t="str">
        <f>IF($B1688="","",PV-J1688)</f>
        <v/>
      </c>
      <c r="M1688" s="71" t="str">
        <f>IF($B1688="","",J1688/PV)</f>
        <v/>
      </c>
      <c r="N1688" s="72" t="str">
        <f t="shared" si="4"/>
        <v/>
      </c>
    </row>
    <row r="1689" ht="14.25" customHeight="1">
      <c r="B1689" s="66" t="str">
        <f>IF(ROWS($1:1677)&lt;=Nper,ROWS($1:1677),"")</f>
        <v/>
      </c>
      <c r="C1689" s="67" t="str">
        <f>IF($B1689="","",IF($E$7="Weekly",Start_Date+7*(ROWS($1:1677)-1),EDATE(Start_Date,VLOOKUP(IF(ASTemp!$E$7="","Monthly",ASTemp!$E$7),Parameters!$B$3:$D$6,3,0)*(ROWS($1:1677)-1))))</f>
        <v/>
      </c>
      <c r="D1689" s="68" t="str">
        <f t="shared" si="2"/>
        <v/>
      </c>
      <c r="E1689" s="65" t="str">
        <f>IF($B1689="","",VLOOKUP(MONTH(C1689),Parameters!$F$2:$G$13,2,0))</f>
        <v/>
      </c>
      <c r="F1689" s="69" t="str">
        <f>IF($B1689="","",PV-N(J1688))</f>
        <v/>
      </c>
      <c r="G1689" s="69" t="str">
        <f>IF($B1689="","",PMT(Rate,Nper,-PV,,Type))</f>
        <v/>
      </c>
      <c r="H1689" s="69" t="str">
        <f>IF($B1689="","",PPMT(Rate,ROWS($1:1677),Nper,-PV,,Type))</f>
        <v/>
      </c>
      <c r="I1689" s="69" t="str">
        <f>IF($B1689="","",IPMT(Rate,ROWS($1:1677),Nper,-PV,,Type))</f>
        <v/>
      </c>
      <c r="J1689" s="73" t="str">
        <f t="shared" ref="J1689:K1689" si="1679">IF($B1689="","",N(J1688)+N(H1689))</f>
        <v/>
      </c>
      <c r="K1689" s="74" t="str">
        <f t="shared" si="1679"/>
        <v/>
      </c>
      <c r="L1689" s="69" t="str">
        <f>IF($B1689="","",PV-J1689)</f>
        <v/>
      </c>
      <c r="M1689" s="71" t="str">
        <f>IF($B1689="","",J1689/PV)</f>
        <v/>
      </c>
      <c r="N1689" s="72" t="str">
        <f t="shared" si="4"/>
        <v/>
      </c>
    </row>
    <row r="1690" ht="14.25" customHeight="1">
      <c r="B1690" s="66" t="str">
        <f>IF(ROWS($1:1678)&lt;=Nper,ROWS($1:1678),"")</f>
        <v/>
      </c>
      <c r="C1690" s="67" t="str">
        <f>IF($B1690="","",IF($E$7="Weekly",Start_Date+7*(ROWS($1:1678)-1),EDATE(Start_Date,VLOOKUP(IF(ASTemp!$E$7="","Monthly",ASTemp!$E$7),Parameters!$B$3:$D$6,3,0)*(ROWS($1:1678)-1))))</f>
        <v/>
      </c>
      <c r="D1690" s="68" t="str">
        <f t="shared" si="2"/>
        <v/>
      </c>
      <c r="E1690" s="65" t="str">
        <f>IF($B1690="","",VLOOKUP(MONTH(C1690),Parameters!$F$2:$G$13,2,0))</f>
        <v/>
      </c>
      <c r="F1690" s="69" t="str">
        <f>IF($B1690="","",PV-N(J1689))</f>
        <v/>
      </c>
      <c r="G1690" s="69" t="str">
        <f>IF($B1690="","",PMT(Rate,Nper,-PV,,Type))</f>
        <v/>
      </c>
      <c r="H1690" s="69" t="str">
        <f>IF($B1690="","",PPMT(Rate,ROWS($1:1678),Nper,-PV,,Type))</f>
        <v/>
      </c>
      <c r="I1690" s="69" t="str">
        <f>IF($B1690="","",IPMT(Rate,ROWS($1:1678),Nper,-PV,,Type))</f>
        <v/>
      </c>
      <c r="J1690" s="73" t="str">
        <f t="shared" ref="J1690:K1690" si="1680">IF($B1690="","",N(J1689)+N(H1690))</f>
        <v/>
      </c>
      <c r="K1690" s="74" t="str">
        <f t="shared" si="1680"/>
        <v/>
      </c>
      <c r="L1690" s="69" t="str">
        <f>IF($B1690="","",PV-J1690)</f>
        <v/>
      </c>
      <c r="M1690" s="71" t="str">
        <f>IF($B1690="","",J1690/PV)</f>
        <v/>
      </c>
      <c r="N1690" s="72" t="str">
        <f t="shared" si="4"/>
        <v/>
      </c>
    </row>
    <row r="1691" ht="14.25" customHeight="1">
      <c r="B1691" s="66" t="str">
        <f>IF(ROWS($1:1679)&lt;=Nper,ROWS($1:1679),"")</f>
        <v/>
      </c>
      <c r="C1691" s="67" t="str">
        <f>IF($B1691="","",IF($E$7="Weekly",Start_Date+7*(ROWS($1:1679)-1),EDATE(Start_Date,VLOOKUP(IF(ASTemp!$E$7="","Monthly",ASTemp!$E$7),Parameters!$B$3:$D$6,3,0)*(ROWS($1:1679)-1))))</f>
        <v/>
      </c>
      <c r="D1691" s="68" t="str">
        <f t="shared" si="2"/>
        <v/>
      </c>
      <c r="E1691" s="65" t="str">
        <f>IF($B1691="","",VLOOKUP(MONTH(C1691),Parameters!$F$2:$G$13,2,0))</f>
        <v/>
      </c>
      <c r="F1691" s="69" t="str">
        <f>IF($B1691="","",PV-N(J1690))</f>
        <v/>
      </c>
      <c r="G1691" s="69" t="str">
        <f>IF($B1691="","",PMT(Rate,Nper,-PV,,Type))</f>
        <v/>
      </c>
      <c r="H1691" s="69" t="str">
        <f>IF($B1691="","",PPMT(Rate,ROWS($1:1679),Nper,-PV,,Type))</f>
        <v/>
      </c>
      <c r="I1691" s="69" t="str">
        <f>IF($B1691="","",IPMT(Rate,ROWS($1:1679),Nper,-PV,,Type))</f>
        <v/>
      </c>
      <c r="J1691" s="73" t="str">
        <f t="shared" ref="J1691:K1691" si="1681">IF($B1691="","",N(J1690)+N(H1691))</f>
        <v/>
      </c>
      <c r="K1691" s="74" t="str">
        <f t="shared" si="1681"/>
        <v/>
      </c>
      <c r="L1691" s="69" t="str">
        <f>IF($B1691="","",PV-J1691)</f>
        <v/>
      </c>
      <c r="M1691" s="71" t="str">
        <f>IF($B1691="","",J1691/PV)</f>
        <v/>
      </c>
      <c r="N1691" s="72" t="str">
        <f t="shared" si="4"/>
        <v/>
      </c>
    </row>
    <row r="1692" ht="14.25" customHeight="1">
      <c r="B1692" s="66" t="str">
        <f>IF(ROWS($1:1680)&lt;=Nper,ROWS($1:1680),"")</f>
        <v/>
      </c>
      <c r="C1692" s="67" t="str">
        <f>IF($B1692="","",IF($E$7="Weekly",Start_Date+7*(ROWS($1:1680)-1),EDATE(Start_Date,VLOOKUP(IF(ASTemp!$E$7="","Monthly",ASTemp!$E$7),Parameters!$B$3:$D$6,3,0)*(ROWS($1:1680)-1))))</f>
        <v/>
      </c>
      <c r="D1692" s="68" t="str">
        <f t="shared" si="2"/>
        <v/>
      </c>
      <c r="E1692" s="65" t="str">
        <f>IF($B1692="","",VLOOKUP(MONTH(C1692),Parameters!$F$2:$G$13,2,0))</f>
        <v/>
      </c>
      <c r="F1692" s="69" t="str">
        <f>IF($B1692="","",PV-N(J1691))</f>
        <v/>
      </c>
      <c r="G1692" s="69" t="str">
        <f>IF($B1692="","",PMT(Rate,Nper,-PV,,Type))</f>
        <v/>
      </c>
      <c r="H1692" s="69" t="str">
        <f>IF($B1692="","",PPMT(Rate,ROWS($1:1680),Nper,-PV,,Type))</f>
        <v/>
      </c>
      <c r="I1692" s="69" t="str">
        <f>IF($B1692="","",IPMT(Rate,ROWS($1:1680),Nper,-PV,,Type))</f>
        <v/>
      </c>
      <c r="J1692" s="73" t="str">
        <f t="shared" ref="J1692:K1692" si="1682">IF($B1692="","",N(J1691)+N(H1692))</f>
        <v/>
      </c>
      <c r="K1692" s="74" t="str">
        <f t="shared" si="1682"/>
        <v/>
      </c>
      <c r="L1692" s="69" t="str">
        <f>IF($B1692="","",PV-J1692)</f>
        <v/>
      </c>
      <c r="M1692" s="71" t="str">
        <f>IF($B1692="","",J1692/PV)</f>
        <v/>
      </c>
      <c r="N1692" s="72" t="str">
        <f t="shared" si="4"/>
        <v/>
      </c>
    </row>
    <row r="1693" ht="14.25" customHeight="1">
      <c r="B1693" s="66" t="str">
        <f>IF(ROWS($1:1681)&lt;=Nper,ROWS($1:1681),"")</f>
        <v/>
      </c>
      <c r="C1693" s="67" t="str">
        <f>IF($B1693="","",IF($E$7="Weekly",Start_Date+7*(ROWS($1:1681)-1),EDATE(Start_Date,VLOOKUP(IF(ASTemp!$E$7="","Monthly",ASTemp!$E$7),Parameters!$B$3:$D$6,3,0)*(ROWS($1:1681)-1))))</f>
        <v/>
      </c>
      <c r="D1693" s="68" t="str">
        <f t="shared" si="2"/>
        <v/>
      </c>
      <c r="E1693" s="65" t="str">
        <f>IF($B1693="","",VLOOKUP(MONTH(C1693),Parameters!$F$2:$G$13,2,0))</f>
        <v/>
      </c>
      <c r="F1693" s="69" t="str">
        <f>IF($B1693="","",PV-N(J1692))</f>
        <v/>
      </c>
      <c r="G1693" s="69" t="str">
        <f>IF($B1693="","",PMT(Rate,Nper,-PV,,Type))</f>
        <v/>
      </c>
      <c r="H1693" s="69" t="str">
        <f>IF($B1693="","",PPMT(Rate,ROWS($1:1681),Nper,-PV,,Type))</f>
        <v/>
      </c>
      <c r="I1693" s="69" t="str">
        <f>IF($B1693="","",IPMT(Rate,ROWS($1:1681),Nper,-PV,,Type))</f>
        <v/>
      </c>
      <c r="J1693" s="73" t="str">
        <f t="shared" ref="J1693:K1693" si="1683">IF($B1693="","",N(J1692)+N(H1693))</f>
        <v/>
      </c>
      <c r="K1693" s="74" t="str">
        <f t="shared" si="1683"/>
        <v/>
      </c>
      <c r="L1693" s="69" t="str">
        <f>IF($B1693="","",PV-J1693)</f>
        <v/>
      </c>
      <c r="M1693" s="71" t="str">
        <f>IF($B1693="","",J1693/PV)</f>
        <v/>
      </c>
      <c r="N1693" s="72" t="str">
        <f t="shared" si="4"/>
        <v/>
      </c>
    </row>
    <row r="1694" ht="14.25" customHeight="1">
      <c r="B1694" s="66" t="str">
        <f>IF(ROWS($1:1682)&lt;=Nper,ROWS($1:1682),"")</f>
        <v/>
      </c>
      <c r="C1694" s="67" t="str">
        <f>IF($B1694="","",IF($E$7="Weekly",Start_Date+7*(ROWS($1:1682)-1),EDATE(Start_Date,VLOOKUP(IF(ASTemp!$E$7="","Monthly",ASTemp!$E$7),Parameters!$B$3:$D$6,3,0)*(ROWS($1:1682)-1))))</f>
        <v/>
      </c>
      <c r="D1694" s="68" t="str">
        <f t="shared" si="2"/>
        <v/>
      </c>
      <c r="E1694" s="65" t="str">
        <f>IF($B1694="","",VLOOKUP(MONTH(C1694),Parameters!$F$2:$G$13,2,0))</f>
        <v/>
      </c>
      <c r="F1694" s="69" t="str">
        <f>IF($B1694="","",PV-N(J1693))</f>
        <v/>
      </c>
      <c r="G1694" s="69" t="str">
        <f>IF($B1694="","",PMT(Rate,Nper,-PV,,Type))</f>
        <v/>
      </c>
      <c r="H1694" s="69" t="str">
        <f>IF($B1694="","",PPMT(Rate,ROWS($1:1682),Nper,-PV,,Type))</f>
        <v/>
      </c>
      <c r="I1694" s="69" t="str">
        <f>IF($B1694="","",IPMT(Rate,ROWS($1:1682),Nper,-PV,,Type))</f>
        <v/>
      </c>
      <c r="J1694" s="73" t="str">
        <f t="shared" ref="J1694:K1694" si="1684">IF($B1694="","",N(J1693)+N(H1694))</f>
        <v/>
      </c>
      <c r="K1694" s="74" t="str">
        <f t="shared" si="1684"/>
        <v/>
      </c>
      <c r="L1694" s="69" t="str">
        <f>IF($B1694="","",PV-J1694)</f>
        <v/>
      </c>
      <c r="M1694" s="71" t="str">
        <f>IF($B1694="","",J1694/PV)</f>
        <v/>
      </c>
      <c r="N1694" s="72" t="str">
        <f t="shared" si="4"/>
        <v/>
      </c>
    </row>
    <row r="1695" ht="14.25" customHeight="1">
      <c r="B1695" s="66" t="str">
        <f>IF(ROWS($1:1683)&lt;=Nper,ROWS($1:1683),"")</f>
        <v/>
      </c>
      <c r="C1695" s="67" t="str">
        <f>IF($B1695="","",IF($E$7="Weekly",Start_Date+7*(ROWS($1:1683)-1),EDATE(Start_Date,VLOOKUP(IF(ASTemp!$E$7="","Monthly",ASTemp!$E$7),Parameters!$B$3:$D$6,3,0)*(ROWS($1:1683)-1))))</f>
        <v/>
      </c>
      <c r="D1695" s="68" t="str">
        <f t="shared" si="2"/>
        <v/>
      </c>
      <c r="E1695" s="65" t="str">
        <f>IF($B1695="","",VLOOKUP(MONTH(C1695),Parameters!$F$2:$G$13,2,0))</f>
        <v/>
      </c>
      <c r="F1695" s="69" t="str">
        <f>IF($B1695="","",PV-N(J1694))</f>
        <v/>
      </c>
      <c r="G1695" s="69" t="str">
        <f>IF($B1695="","",PMT(Rate,Nper,-PV,,Type))</f>
        <v/>
      </c>
      <c r="H1695" s="69" t="str">
        <f>IF($B1695="","",PPMT(Rate,ROWS($1:1683),Nper,-PV,,Type))</f>
        <v/>
      </c>
      <c r="I1695" s="69" t="str">
        <f>IF($B1695="","",IPMT(Rate,ROWS($1:1683),Nper,-PV,,Type))</f>
        <v/>
      </c>
      <c r="J1695" s="73" t="str">
        <f t="shared" ref="J1695:K1695" si="1685">IF($B1695="","",N(J1694)+N(H1695))</f>
        <v/>
      </c>
      <c r="K1695" s="74" t="str">
        <f t="shared" si="1685"/>
        <v/>
      </c>
      <c r="L1695" s="69" t="str">
        <f>IF($B1695="","",PV-J1695)</f>
        <v/>
      </c>
      <c r="M1695" s="71" t="str">
        <f>IF($B1695="","",J1695/PV)</f>
        <v/>
      </c>
      <c r="N1695" s="72" t="str">
        <f t="shared" si="4"/>
        <v/>
      </c>
    </row>
    <row r="1696" ht="14.25" customHeight="1">
      <c r="B1696" s="66" t="str">
        <f>IF(ROWS($1:1684)&lt;=Nper,ROWS($1:1684),"")</f>
        <v/>
      </c>
      <c r="C1696" s="67" t="str">
        <f>IF($B1696="","",IF($E$7="Weekly",Start_Date+7*(ROWS($1:1684)-1),EDATE(Start_Date,VLOOKUP(IF(ASTemp!$E$7="","Monthly",ASTemp!$E$7),Parameters!$B$3:$D$6,3,0)*(ROWS($1:1684)-1))))</f>
        <v/>
      </c>
      <c r="D1696" s="68" t="str">
        <f t="shared" si="2"/>
        <v/>
      </c>
      <c r="E1696" s="65" t="str">
        <f>IF($B1696="","",VLOOKUP(MONTH(C1696),Parameters!$F$2:$G$13,2,0))</f>
        <v/>
      </c>
      <c r="F1696" s="69" t="str">
        <f>IF($B1696="","",PV-N(J1695))</f>
        <v/>
      </c>
      <c r="G1696" s="69" t="str">
        <f>IF($B1696="","",PMT(Rate,Nper,-PV,,Type))</f>
        <v/>
      </c>
      <c r="H1696" s="69" t="str">
        <f>IF($B1696="","",PPMT(Rate,ROWS($1:1684),Nper,-PV,,Type))</f>
        <v/>
      </c>
      <c r="I1696" s="69" t="str">
        <f>IF($B1696="","",IPMT(Rate,ROWS($1:1684),Nper,-PV,,Type))</f>
        <v/>
      </c>
      <c r="J1696" s="73" t="str">
        <f t="shared" ref="J1696:K1696" si="1686">IF($B1696="","",N(J1695)+N(H1696))</f>
        <v/>
      </c>
      <c r="K1696" s="74" t="str">
        <f t="shared" si="1686"/>
        <v/>
      </c>
      <c r="L1696" s="69" t="str">
        <f>IF($B1696="","",PV-J1696)</f>
        <v/>
      </c>
      <c r="M1696" s="71" t="str">
        <f>IF($B1696="","",J1696/PV)</f>
        <v/>
      </c>
      <c r="N1696" s="72" t="str">
        <f t="shared" si="4"/>
        <v/>
      </c>
    </row>
    <row r="1697" ht="14.25" customHeight="1">
      <c r="B1697" s="66" t="str">
        <f>IF(ROWS($1:1685)&lt;=Nper,ROWS($1:1685),"")</f>
        <v/>
      </c>
      <c r="C1697" s="67" t="str">
        <f>IF($B1697="","",IF($E$7="Weekly",Start_Date+7*(ROWS($1:1685)-1),EDATE(Start_Date,VLOOKUP(IF(ASTemp!$E$7="","Monthly",ASTemp!$E$7),Parameters!$B$3:$D$6,3,0)*(ROWS($1:1685)-1))))</f>
        <v/>
      </c>
      <c r="D1697" s="68" t="str">
        <f t="shared" si="2"/>
        <v/>
      </c>
      <c r="E1697" s="65" t="str">
        <f>IF($B1697="","",VLOOKUP(MONTH(C1697),Parameters!$F$2:$G$13,2,0))</f>
        <v/>
      </c>
      <c r="F1697" s="69" t="str">
        <f>IF($B1697="","",PV-N(J1696))</f>
        <v/>
      </c>
      <c r="G1697" s="69" t="str">
        <f>IF($B1697="","",PMT(Rate,Nper,-PV,,Type))</f>
        <v/>
      </c>
      <c r="H1697" s="69" t="str">
        <f>IF($B1697="","",PPMT(Rate,ROWS($1:1685),Nper,-PV,,Type))</f>
        <v/>
      </c>
      <c r="I1697" s="69" t="str">
        <f>IF($B1697="","",IPMT(Rate,ROWS($1:1685),Nper,-PV,,Type))</f>
        <v/>
      </c>
      <c r="J1697" s="73" t="str">
        <f t="shared" ref="J1697:K1697" si="1687">IF($B1697="","",N(J1696)+N(H1697))</f>
        <v/>
      </c>
      <c r="K1697" s="74" t="str">
        <f t="shared" si="1687"/>
        <v/>
      </c>
      <c r="L1697" s="69" t="str">
        <f>IF($B1697="","",PV-J1697)</f>
        <v/>
      </c>
      <c r="M1697" s="71" t="str">
        <f>IF($B1697="","",J1697/PV)</f>
        <v/>
      </c>
      <c r="N1697" s="72" t="str">
        <f t="shared" si="4"/>
        <v/>
      </c>
    </row>
    <row r="1698" ht="14.25" customHeight="1">
      <c r="B1698" s="66" t="str">
        <f>IF(ROWS($1:1686)&lt;=Nper,ROWS($1:1686),"")</f>
        <v/>
      </c>
      <c r="C1698" s="67" t="str">
        <f>IF($B1698="","",IF($E$7="Weekly",Start_Date+7*(ROWS($1:1686)-1),EDATE(Start_Date,VLOOKUP(IF(ASTemp!$E$7="","Monthly",ASTemp!$E$7),Parameters!$B$3:$D$6,3,0)*(ROWS($1:1686)-1))))</f>
        <v/>
      </c>
      <c r="D1698" s="68" t="str">
        <f t="shared" si="2"/>
        <v/>
      </c>
      <c r="E1698" s="65" t="str">
        <f>IF($B1698="","",VLOOKUP(MONTH(C1698),Parameters!$F$2:$G$13,2,0))</f>
        <v/>
      </c>
      <c r="F1698" s="69" t="str">
        <f>IF($B1698="","",PV-N(J1697))</f>
        <v/>
      </c>
      <c r="G1698" s="69" t="str">
        <f>IF($B1698="","",PMT(Rate,Nper,-PV,,Type))</f>
        <v/>
      </c>
      <c r="H1698" s="69" t="str">
        <f>IF($B1698="","",PPMT(Rate,ROWS($1:1686),Nper,-PV,,Type))</f>
        <v/>
      </c>
      <c r="I1698" s="69" t="str">
        <f>IF($B1698="","",IPMT(Rate,ROWS($1:1686),Nper,-PV,,Type))</f>
        <v/>
      </c>
      <c r="J1698" s="73" t="str">
        <f t="shared" ref="J1698:K1698" si="1688">IF($B1698="","",N(J1697)+N(H1698))</f>
        <v/>
      </c>
      <c r="K1698" s="74" t="str">
        <f t="shared" si="1688"/>
        <v/>
      </c>
      <c r="L1698" s="69" t="str">
        <f>IF($B1698="","",PV-J1698)</f>
        <v/>
      </c>
      <c r="M1698" s="71" t="str">
        <f>IF($B1698="","",J1698/PV)</f>
        <v/>
      </c>
      <c r="N1698" s="72" t="str">
        <f t="shared" si="4"/>
        <v/>
      </c>
    </row>
    <row r="1699" ht="14.25" customHeight="1">
      <c r="B1699" s="66" t="str">
        <f>IF(ROWS($1:1687)&lt;=Nper,ROWS($1:1687),"")</f>
        <v/>
      </c>
      <c r="C1699" s="67" t="str">
        <f>IF($B1699="","",IF($E$7="Weekly",Start_Date+7*(ROWS($1:1687)-1),EDATE(Start_Date,VLOOKUP(IF(ASTemp!$E$7="","Monthly",ASTemp!$E$7),Parameters!$B$3:$D$6,3,0)*(ROWS($1:1687)-1))))</f>
        <v/>
      </c>
      <c r="D1699" s="68" t="str">
        <f t="shared" si="2"/>
        <v/>
      </c>
      <c r="E1699" s="65" t="str">
        <f>IF($B1699="","",VLOOKUP(MONTH(C1699),Parameters!$F$2:$G$13,2,0))</f>
        <v/>
      </c>
      <c r="F1699" s="69" t="str">
        <f>IF($B1699="","",PV-N(J1698))</f>
        <v/>
      </c>
      <c r="G1699" s="69" t="str">
        <f>IF($B1699="","",PMT(Rate,Nper,-PV,,Type))</f>
        <v/>
      </c>
      <c r="H1699" s="69" t="str">
        <f>IF($B1699="","",PPMT(Rate,ROWS($1:1687),Nper,-PV,,Type))</f>
        <v/>
      </c>
      <c r="I1699" s="69" t="str">
        <f>IF($B1699="","",IPMT(Rate,ROWS($1:1687),Nper,-PV,,Type))</f>
        <v/>
      </c>
      <c r="J1699" s="73" t="str">
        <f t="shared" ref="J1699:K1699" si="1689">IF($B1699="","",N(J1698)+N(H1699))</f>
        <v/>
      </c>
      <c r="K1699" s="74" t="str">
        <f t="shared" si="1689"/>
        <v/>
      </c>
      <c r="L1699" s="69" t="str">
        <f>IF($B1699="","",PV-J1699)</f>
        <v/>
      </c>
      <c r="M1699" s="71" t="str">
        <f>IF($B1699="","",J1699/PV)</f>
        <v/>
      </c>
      <c r="N1699" s="72" t="str">
        <f t="shared" si="4"/>
        <v/>
      </c>
    </row>
    <row r="1700" ht="14.25" customHeight="1">
      <c r="B1700" s="66" t="str">
        <f>IF(ROWS($1:1688)&lt;=Nper,ROWS($1:1688),"")</f>
        <v/>
      </c>
      <c r="C1700" s="67" t="str">
        <f>IF($B1700="","",IF($E$7="Weekly",Start_Date+7*(ROWS($1:1688)-1),EDATE(Start_Date,VLOOKUP(IF(ASTemp!$E$7="","Monthly",ASTemp!$E$7),Parameters!$B$3:$D$6,3,0)*(ROWS($1:1688)-1))))</f>
        <v/>
      </c>
      <c r="D1700" s="68" t="str">
        <f t="shared" si="2"/>
        <v/>
      </c>
      <c r="E1700" s="65" t="str">
        <f>IF($B1700="","",VLOOKUP(MONTH(C1700),Parameters!$F$2:$G$13,2,0))</f>
        <v/>
      </c>
      <c r="F1700" s="69" t="str">
        <f>IF($B1700="","",PV-N(J1699))</f>
        <v/>
      </c>
      <c r="G1700" s="69" t="str">
        <f>IF($B1700="","",PMT(Rate,Nper,-PV,,Type))</f>
        <v/>
      </c>
      <c r="H1700" s="69" t="str">
        <f>IF($B1700="","",PPMT(Rate,ROWS($1:1688),Nper,-PV,,Type))</f>
        <v/>
      </c>
      <c r="I1700" s="69" t="str">
        <f>IF($B1700="","",IPMT(Rate,ROWS($1:1688),Nper,-PV,,Type))</f>
        <v/>
      </c>
      <c r="J1700" s="73" t="str">
        <f t="shared" ref="J1700:K1700" si="1690">IF($B1700="","",N(J1699)+N(H1700))</f>
        <v/>
      </c>
      <c r="K1700" s="74" t="str">
        <f t="shared" si="1690"/>
        <v/>
      </c>
      <c r="L1700" s="69" t="str">
        <f>IF($B1700="","",PV-J1700)</f>
        <v/>
      </c>
      <c r="M1700" s="71" t="str">
        <f>IF($B1700="","",J1700/PV)</f>
        <v/>
      </c>
      <c r="N1700" s="72" t="str">
        <f t="shared" si="4"/>
        <v/>
      </c>
    </row>
    <row r="1701" ht="14.25" customHeight="1">
      <c r="B1701" s="66" t="str">
        <f>IF(ROWS($1:1689)&lt;=Nper,ROWS($1:1689),"")</f>
        <v/>
      </c>
      <c r="C1701" s="67" t="str">
        <f>IF($B1701="","",IF($E$7="Weekly",Start_Date+7*(ROWS($1:1689)-1),EDATE(Start_Date,VLOOKUP(IF(ASTemp!$E$7="","Monthly",ASTemp!$E$7),Parameters!$B$3:$D$6,3,0)*(ROWS($1:1689)-1))))</f>
        <v/>
      </c>
      <c r="D1701" s="68" t="str">
        <f t="shared" si="2"/>
        <v/>
      </c>
      <c r="E1701" s="65" t="str">
        <f>IF($B1701="","",VLOOKUP(MONTH(C1701),Parameters!$F$2:$G$13,2,0))</f>
        <v/>
      </c>
      <c r="F1701" s="69" t="str">
        <f>IF($B1701="","",PV-N(J1700))</f>
        <v/>
      </c>
      <c r="G1701" s="69" t="str">
        <f>IF($B1701="","",PMT(Rate,Nper,-PV,,Type))</f>
        <v/>
      </c>
      <c r="H1701" s="69" t="str">
        <f>IF($B1701="","",PPMT(Rate,ROWS($1:1689),Nper,-PV,,Type))</f>
        <v/>
      </c>
      <c r="I1701" s="69" t="str">
        <f>IF($B1701="","",IPMT(Rate,ROWS($1:1689),Nper,-PV,,Type))</f>
        <v/>
      </c>
      <c r="J1701" s="73" t="str">
        <f t="shared" ref="J1701:K1701" si="1691">IF($B1701="","",N(J1700)+N(H1701))</f>
        <v/>
      </c>
      <c r="K1701" s="74" t="str">
        <f t="shared" si="1691"/>
        <v/>
      </c>
      <c r="L1701" s="69" t="str">
        <f>IF($B1701="","",PV-J1701)</f>
        <v/>
      </c>
      <c r="M1701" s="71" t="str">
        <f>IF($B1701="","",J1701/PV)</f>
        <v/>
      </c>
      <c r="N1701" s="72" t="str">
        <f t="shared" si="4"/>
        <v/>
      </c>
    </row>
    <row r="1702" ht="14.25" customHeight="1">
      <c r="B1702" s="66" t="str">
        <f>IF(ROWS($1:1690)&lt;=Nper,ROWS($1:1690),"")</f>
        <v/>
      </c>
      <c r="C1702" s="67" t="str">
        <f>IF($B1702="","",IF($E$7="Weekly",Start_Date+7*(ROWS($1:1690)-1),EDATE(Start_Date,VLOOKUP(IF(ASTemp!$E$7="","Monthly",ASTemp!$E$7),Parameters!$B$3:$D$6,3,0)*(ROWS($1:1690)-1))))</f>
        <v/>
      </c>
      <c r="D1702" s="68" t="str">
        <f t="shared" si="2"/>
        <v/>
      </c>
      <c r="E1702" s="65" t="str">
        <f>IF($B1702="","",VLOOKUP(MONTH(C1702),Parameters!$F$2:$G$13,2,0))</f>
        <v/>
      </c>
      <c r="F1702" s="69" t="str">
        <f>IF($B1702="","",PV-N(J1701))</f>
        <v/>
      </c>
      <c r="G1702" s="69" t="str">
        <f>IF($B1702="","",PMT(Rate,Nper,-PV,,Type))</f>
        <v/>
      </c>
      <c r="H1702" s="69" t="str">
        <f>IF($B1702="","",PPMT(Rate,ROWS($1:1690),Nper,-PV,,Type))</f>
        <v/>
      </c>
      <c r="I1702" s="69" t="str">
        <f>IF($B1702="","",IPMT(Rate,ROWS($1:1690),Nper,-PV,,Type))</f>
        <v/>
      </c>
      <c r="J1702" s="73" t="str">
        <f t="shared" ref="J1702:K1702" si="1692">IF($B1702="","",N(J1701)+N(H1702))</f>
        <v/>
      </c>
      <c r="K1702" s="74" t="str">
        <f t="shared" si="1692"/>
        <v/>
      </c>
      <c r="L1702" s="69" t="str">
        <f>IF($B1702="","",PV-J1702)</f>
        <v/>
      </c>
      <c r="M1702" s="71" t="str">
        <f>IF($B1702="","",J1702/PV)</f>
        <v/>
      </c>
      <c r="N1702" s="72" t="str">
        <f t="shared" si="4"/>
        <v/>
      </c>
    </row>
    <row r="1703" ht="14.25" customHeight="1">
      <c r="B1703" s="66" t="str">
        <f>IF(ROWS($1:1691)&lt;=Nper,ROWS($1:1691),"")</f>
        <v/>
      </c>
      <c r="C1703" s="67" t="str">
        <f>IF($B1703="","",IF($E$7="Weekly",Start_Date+7*(ROWS($1:1691)-1),EDATE(Start_Date,VLOOKUP(IF(ASTemp!$E$7="","Monthly",ASTemp!$E$7),Parameters!$B$3:$D$6,3,0)*(ROWS($1:1691)-1))))</f>
        <v/>
      </c>
      <c r="D1703" s="68" t="str">
        <f t="shared" si="2"/>
        <v/>
      </c>
      <c r="E1703" s="65" t="str">
        <f>IF($B1703="","",VLOOKUP(MONTH(C1703),Parameters!$F$2:$G$13,2,0))</f>
        <v/>
      </c>
      <c r="F1703" s="69" t="str">
        <f>IF($B1703="","",PV-N(J1702))</f>
        <v/>
      </c>
      <c r="G1703" s="69" t="str">
        <f>IF($B1703="","",PMT(Rate,Nper,-PV,,Type))</f>
        <v/>
      </c>
      <c r="H1703" s="69" t="str">
        <f>IF($B1703="","",PPMT(Rate,ROWS($1:1691),Nper,-PV,,Type))</f>
        <v/>
      </c>
      <c r="I1703" s="69" t="str">
        <f>IF($B1703="","",IPMT(Rate,ROWS($1:1691),Nper,-PV,,Type))</f>
        <v/>
      </c>
      <c r="J1703" s="73" t="str">
        <f t="shared" ref="J1703:K1703" si="1693">IF($B1703="","",N(J1702)+N(H1703))</f>
        <v/>
      </c>
      <c r="K1703" s="74" t="str">
        <f t="shared" si="1693"/>
        <v/>
      </c>
      <c r="L1703" s="69" t="str">
        <f>IF($B1703="","",PV-J1703)</f>
        <v/>
      </c>
      <c r="M1703" s="71" t="str">
        <f>IF($B1703="","",J1703/PV)</f>
        <v/>
      </c>
      <c r="N1703" s="72" t="str">
        <f t="shared" si="4"/>
        <v/>
      </c>
    </row>
    <row r="1704" ht="14.25" customHeight="1">
      <c r="B1704" s="66" t="str">
        <f>IF(ROWS($1:1692)&lt;=Nper,ROWS($1:1692),"")</f>
        <v/>
      </c>
      <c r="C1704" s="67" t="str">
        <f>IF($B1704="","",IF($E$7="Weekly",Start_Date+7*(ROWS($1:1692)-1),EDATE(Start_Date,VLOOKUP(IF(ASTemp!$E$7="","Monthly",ASTemp!$E$7),Parameters!$B$3:$D$6,3,0)*(ROWS($1:1692)-1))))</f>
        <v/>
      </c>
      <c r="D1704" s="68" t="str">
        <f t="shared" si="2"/>
        <v/>
      </c>
      <c r="E1704" s="65" t="str">
        <f>IF($B1704="","",VLOOKUP(MONTH(C1704),Parameters!$F$2:$G$13,2,0))</f>
        <v/>
      </c>
      <c r="F1704" s="69" t="str">
        <f>IF($B1704="","",PV-N(J1703))</f>
        <v/>
      </c>
      <c r="G1704" s="69" t="str">
        <f>IF($B1704="","",PMT(Rate,Nper,-PV,,Type))</f>
        <v/>
      </c>
      <c r="H1704" s="69" t="str">
        <f>IF($B1704="","",PPMT(Rate,ROWS($1:1692),Nper,-PV,,Type))</f>
        <v/>
      </c>
      <c r="I1704" s="69" t="str">
        <f>IF($B1704="","",IPMT(Rate,ROWS($1:1692),Nper,-PV,,Type))</f>
        <v/>
      </c>
      <c r="J1704" s="73" t="str">
        <f t="shared" ref="J1704:K1704" si="1694">IF($B1704="","",N(J1703)+N(H1704))</f>
        <v/>
      </c>
      <c r="K1704" s="74" t="str">
        <f t="shared" si="1694"/>
        <v/>
      </c>
      <c r="L1704" s="69" t="str">
        <f>IF($B1704="","",PV-J1704)</f>
        <v/>
      </c>
      <c r="M1704" s="71" t="str">
        <f>IF($B1704="","",J1704/PV)</f>
        <v/>
      </c>
      <c r="N1704" s="72" t="str">
        <f t="shared" si="4"/>
        <v/>
      </c>
    </row>
    <row r="1705" ht="14.25" customHeight="1">
      <c r="B1705" s="66" t="str">
        <f>IF(ROWS($1:1693)&lt;=Nper,ROWS($1:1693),"")</f>
        <v/>
      </c>
      <c r="C1705" s="67" t="str">
        <f>IF($B1705="","",IF($E$7="Weekly",Start_Date+7*(ROWS($1:1693)-1),EDATE(Start_Date,VLOOKUP(IF(ASTemp!$E$7="","Monthly",ASTemp!$E$7),Parameters!$B$3:$D$6,3,0)*(ROWS($1:1693)-1))))</f>
        <v/>
      </c>
      <c r="D1705" s="68" t="str">
        <f t="shared" si="2"/>
        <v/>
      </c>
      <c r="E1705" s="65" t="str">
        <f>IF($B1705="","",VLOOKUP(MONTH(C1705),Parameters!$F$2:$G$13,2,0))</f>
        <v/>
      </c>
      <c r="F1705" s="69" t="str">
        <f>IF($B1705="","",PV-N(J1704))</f>
        <v/>
      </c>
      <c r="G1705" s="69" t="str">
        <f>IF($B1705="","",PMT(Rate,Nper,-PV,,Type))</f>
        <v/>
      </c>
      <c r="H1705" s="69" t="str">
        <f>IF($B1705="","",PPMT(Rate,ROWS($1:1693),Nper,-PV,,Type))</f>
        <v/>
      </c>
      <c r="I1705" s="69" t="str">
        <f>IF($B1705="","",IPMT(Rate,ROWS($1:1693),Nper,-PV,,Type))</f>
        <v/>
      </c>
      <c r="J1705" s="73" t="str">
        <f t="shared" ref="J1705:K1705" si="1695">IF($B1705="","",N(J1704)+N(H1705))</f>
        <v/>
      </c>
      <c r="K1705" s="74" t="str">
        <f t="shared" si="1695"/>
        <v/>
      </c>
      <c r="L1705" s="69" t="str">
        <f>IF($B1705="","",PV-J1705)</f>
        <v/>
      </c>
      <c r="M1705" s="71" t="str">
        <f>IF($B1705="","",J1705/PV)</f>
        <v/>
      </c>
      <c r="N1705" s="72" t="str">
        <f t="shared" si="4"/>
        <v/>
      </c>
    </row>
    <row r="1706" ht="14.25" customHeight="1">
      <c r="B1706" s="66" t="str">
        <f>IF(ROWS($1:1694)&lt;=Nper,ROWS($1:1694),"")</f>
        <v/>
      </c>
      <c r="C1706" s="67" t="str">
        <f>IF($B1706="","",IF($E$7="Weekly",Start_Date+7*(ROWS($1:1694)-1),EDATE(Start_Date,VLOOKUP(IF(ASTemp!$E$7="","Monthly",ASTemp!$E$7),Parameters!$B$3:$D$6,3,0)*(ROWS($1:1694)-1))))</f>
        <v/>
      </c>
      <c r="D1706" s="68" t="str">
        <f t="shared" si="2"/>
        <v/>
      </c>
      <c r="E1706" s="65" t="str">
        <f>IF($B1706="","",VLOOKUP(MONTH(C1706),Parameters!$F$2:$G$13,2,0))</f>
        <v/>
      </c>
      <c r="F1706" s="69" t="str">
        <f>IF($B1706="","",PV-N(J1705))</f>
        <v/>
      </c>
      <c r="G1706" s="69" t="str">
        <f>IF($B1706="","",PMT(Rate,Nper,-PV,,Type))</f>
        <v/>
      </c>
      <c r="H1706" s="69" t="str">
        <f>IF($B1706="","",PPMT(Rate,ROWS($1:1694),Nper,-PV,,Type))</f>
        <v/>
      </c>
      <c r="I1706" s="69" t="str">
        <f>IF($B1706="","",IPMT(Rate,ROWS($1:1694),Nper,-PV,,Type))</f>
        <v/>
      </c>
      <c r="J1706" s="73" t="str">
        <f t="shared" ref="J1706:K1706" si="1696">IF($B1706="","",N(J1705)+N(H1706))</f>
        <v/>
      </c>
      <c r="K1706" s="74" t="str">
        <f t="shared" si="1696"/>
        <v/>
      </c>
      <c r="L1706" s="69" t="str">
        <f>IF($B1706="","",PV-J1706)</f>
        <v/>
      </c>
      <c r="M1706" s="71" t="str">
        <f>IF($B1706="","",J1706/PV)</f>
        <v/>
      </c>
      <c r="N1706" s="72" t="str">
        <f t="shared" si="4"/>
        <v/>
      </c>
    </row>
    <row r="1707" ht="14.25" customHeight="1">
      <c r="B1707" s="66" t="str">
        <f>IF(ROWS($1:1695)&lt;=Nper,ROWS($1:1695),"")</f>
        <v/>
      </c>
      <c r="C1707" s="67" t="str">
        <f>IF($B1707="","",IF($E$7="Weekly",Start_Date+7*(ROWS($1:1695)-1),EDATE(Start_Date,VLOOKUP(IF(ASTemp!$E$7="","Monthly",ASTemp!$E$7),Parameters!$B$3:$D$6,3,0)*(ROWS($1:1695)-1))))</f>
        <v/>
      </c>
      <c r="D1707" s="68" t="str">
        <f t="shared" si="2"/>
        <v/>
      </c>
      <c r="E1707" s="65" t="str">
        <f>IF($B1707="","",VLOOKUP(MONTH(C1707),Parameters!$F$2:$G$13,2,0))</f>
        <v/>
      </c>
      <c r="F1707" s="69" t="str">
        <f>IF($B1707="","",PV-N(J1706))</f>
        <v/>
      </c>
      <c r="G1707" s="69" t="str">
        <f>IF($B1707="","",PMT(Rate,Nper,-PV,,Type))</f>
        <v/>
      </c>
      <c r="H1707" s="69" t="str">
        <f>IF($B1707="","",PPMT(Rate,ROWS($1:1695),Nper,-PV,,Type))</f>
        <v/>
      </c>
      <c r="I1707" s="69" t="str">
        <f>IF($B1707="","",IPMT(Rate,ROWS($1:1695),Nper,-PV,,Type))</f>
        <v/>
      </c>
      <c r="J1707" s="73" t="str">
        <f t="shared" ref="J1707:K1707" si="1697">IF($B1707="","",N(J1706)+N(H1707))</f>
        <v/>
      </c>
      <c r="K1707" s="74" t="str">
        <f t="shared" si="1697"/>
        <v/>
      </c>
      <c r="L1707" s="69" t="str">
        <f>IF($B1707="","",PV-J1707)</f>
        <v/>
      </c>
      <c r="M1707" s="71" t="str">
        <f>IF($B1707="","",J1707/PV)</f>
        <v/>
      </c>
      <c r="N1707" s="72" t="str">
        <f t="shared" si="4"/>
        <v/>
      </c>
    </row>
    <row r="1708" ht="14.25" customHeight="1">
      <c r="B1708" s="66" t="str">
        <f>IF(ROWS($1:1696)&lt;=Nper,ROWS($1:1696),"")</f>
        <v/>
      </c>
      <c r="C1708" s="67" t="str">
        <f>IF($B1708="","",IF($E$7="Weekly",Start_Date+7*(ROWS($1:1696)-1),EDATE(Start_Date,VLOOKUP(IF(ASTemp!$E$7="","Monthly",ASTemp!$E$7),Parameters!$B$3:$D$6,3,0)*(ROWS($1:1696)-1))))</f>
        <v/>
      </c>
      <c r="D1708" s="68" t="str">
        <f t="shared" si="2"/>
        <v/>
      </c>
      <c r="E1708" s="65" t="str">
        <f>IF($B1708="","",VLOOKUP(MONTH(C1708),Parameters!$F$2:$G$13,2,0))</f>
        <v/>
      </c>
      <c r="F1708" s="69" t="str">
        <f>IF($B1708="","",PV-N(J1707))</f>
        <v/>
      </c>
      <c r="G1708" s="69" t="str">
        <f>IF($B1708="","",PMT(Rate,Nper,-PV,,Type))</f>
        <v/>
      </c>
      <c r="H1708" s="69" t="str">
        <f>IF($B1708="","",PPMT(Rate,ROWS($1:1696),Nper,-PV,,Type))</f>
        <v/>
      </c>
      <c r="I1708" s="69" t="str">
        <f>IF($B1708="","",IPMT(Rate,ROWS($1:1696),Nper,-PV,,Type))</f>
        <v/>
      </c>
      <c r="J1708" s="73" t="str">
        <f t="shared" ref="J1708:K1708" si="1698">IF($B1708="","",N(J1707)+N(H1708))</f>
        <v/>
      </c>
      <c r="K1708" s="74" t="str">
        <f t="shared" si="1698"/>
        <v/>
      </c>
      <c r="L1708" s="69" t="str">
        <f>IF($B1708="","",PV-J1708)</f>
        <v/>
      </c>
      <c r="M1708" s="71" t="str">
        <f>IF($B1708="","",J1708/PV)</f>
        <v/>
      </c>
      <c r="N1708" s="72" t="str">
        <f t="shared" si="4"/>
        <v/>
      </c>
    </row>
    <row r="1709" ht="14.25" customHeight="1">
      <c r="B1709" s="66" t="str">
        <f>IF(ROWS($1:1697)&lt;=Nper,ROWS($1:1697),"")</f>
        <v/>
      </c>
      <c r="C1709" s="67" t="str">
        <f>IF($B1709="","",IF($E$7="Weekly",Start_Date+7*(ROWS($1:1697)-1),EDATE(Start_Date,VLOOKUP(IF(ASTemp!$E$7="","Monthly",ASTemp!$E$7),Parameters!$B$3:$D$6,3,0)*(ROWS($1:1697)-1))))</f>
        <v/>
      </c>
      <c r="D1709" s="68" t="str">
        <f t="shared" si="2"/>
        <v/>
      </c>
      <c r="E1709" s="65" t="str">
        <f>IF($B1709="","",VLOOKUP(MONTH(C1709),Parameters!$F$2:$G$13,2,0))</f>
        <v/>
      </c>
      <c r="F1709" s="69" t="str">
        <f>IF($B1709="","",PV-N(J1708))</f>
        <v/>
      </c>
      <c r="G1709" s="69" t="str">
        <f>IF($B1709="","",PMT(Rate,Nper,-PV,,Type))</f>
        <v/>
      </c>
      <c r="H1709" s="69" t="str">
        <f>IF($B1709="","",PPMT(Rate,ROWS($1:1697),Nper,-PV,,Type))</f>
        <v/>
      </c>
      <c r="I1709" s="69" t="str">
        <f>IF($B1709="","",IPMT(Rate,ROWS($1:1697),Nper,-PV,,Type))</f>
        <v/>
      </c>
      <c r="J1709" s="73" t="str">
        <f t="shared" ref="J1709:K1709" si="1699">IF($B1709="","",N(J1708)+N(H1709))</f>
        <v/>
      </c>
      <c r="K1709" s="74" t="str">
        <f t="shared" si="1699"/>
        <v/>
      </c>
      <c r="L1709" s="69" t="str">
        <f>IF($B1709="","",PV-J1709)</f>
        <v/>
      </c>
      <c r="M1709" s="71" t="str">
        <f>IF($B1709="","",J1709/PV)</f>
        <v/>
      </c>
      <c r="N1709" s="72" t="str">
        <f t="shared" si="4"/>
        <v/>
      </c>
    </row>
    <row r="1710" ht="14.25" customHeight="1">
      <c r="B1710" s="66" t="str">
        <f>IF(ROWS($1:1698)&lt;=Nper,ROWS($1:1698),"")</f>
        <v/>
      </c>
      <c r="C1710" s="67" t="str">
        <f>IF($B1710="","",IF($E$7="Weekly",Start_Date+7*(ROWS($1:1698)-1),EDATE(Start_Date,VLOOKUP(IF(ASTemp!$E$7="","Monthly",ASTemp!$E$7),Parameters!$B$3:$D$6,3,0)*(ROWS($1:1698)-1))))</f>
        <v/>
      </c>
      <c r="D1710" s="68" t="str">
        <f t="shared" si="2"/>
        <v/>
      </c>
      <c r="E1710" s="65" t="str">
        <f>IF($B1710="","",VLOOKUP(MONTH(C1710),Parameters!$F$2:$G$13,2,0))</f>
        <v/>
      </c>
      <c r="F1710" s="69" t="str">
        <f>IF($B1710="","",PV-N(J1709))</f>
        <v/>
      </c>
      <c r="G1710" s="69" t="str">
        <f>IF($B1710="","",PMT(Rate,Nper,-PV,,Type))</f>
        <v/>
      </c>
      <c r="H1710" s="69" t="str">
        <f>IF($B1710="","",PPMT(Rate,ROWS($1:1698),Nper,-PV,,Type))</f>
        <v/>
      </c>
      <c r="I1710" s="69" t="str">
        <f>IF($B1710="","",IPMT(Rate,ROWS($1:1698),Nper,-PV,,Type))</f>
        <v/>
      </c>
      <c r="J1710" s="73" t="str">
        <f t="shared" ref="J1710:K1710" si="1700">IF($B1710="","",N(J1709)+N(H1710))</f>
        <v/>
      </c>
      <c r="K1710" s="74" t="str">
        <f t="shared" si="1700"/>
        <v/>
      </c>
      <c r="L1710" s="69" t="str">
        <f>IF($B1710="","",PV-J1710)</f>
        <v/>
      </c>
      <c r="M1710" s="71" t="str">
        <f>IF($B1710="","",J1710/PV)</f>
        <v/>
      </c>
      <c r="N1710" s="72" t="str">
        <f t="shared" si="4"/>
        <v/>
      </c>
    </row>
    <row r="1711" ht="14.25" customHeight="1">
      <c r="B1711" s="66" t="str">
        <f>IF(ROWS($1:1699)&lt;=Nper,ROWS($1:1699),"")</f>
        <v/>
      </c>
      <c r="C1711" s="67" t="str">
        <f>IF($B1711="","",IF($E$7="Weekly",Start_Date+7*(ROWS($1:1699)-1),EDATE(Start_Date,VLOOKUP(IF(ASTemp!$E$7="","Monthly",ASTemp!$E$7),Parameters!$B$3:$D$6,3,0)*(ROWS($1:1699)-1))))</f>
        <v/>
      </c>
      <c r="D1711" s="68" t="str">
        <f t="shared" si="2"/>
        <v/>
      </c>
      <c r="E1711" s="65" t="str">
        <f>IF($B1711="","",VLOOKUP(MONTH(C1711),Parameters!$F$2:$G$13,2,0))</f>
        <v/>
      </c>
      <c r="F1711" s="69" t="str">
        <f>IF($B1711="","",PV-N(J1710))</f>
        <v/>
      </c>
      <c r="G1711" s="69" t="str">
        <f>IF($B1711="","",PMT(Rate,Nper,-PV,,Type))</f>
        <v/>
      </c>
      <c r="H1711" s="69" t="str">
        <f>IF($B1711="","",PPMT(Rate,ROWS($1:1699),Nper,-PV,,Type))</f>
        <v/>
      </c>
      <c r="I1711" s="69" t="str">
        <f>IF($B1711="","",IPMT(Rate,ROWS($1:1699),Nper,-PV,,Type))</f>
        <v/>
      </c>
      <c r="J1711" s="73" t="str">
        <f t="shared" ref="J1711:K1711" si="1701">IF($B1711="","",N(J1710)+N(H1711))</f>
        <v/>
      </c>
      <c r="K1711" s="74" t="str">
        <f t="shared" si="1701"/>
        <v/>
      </c>
      <c r="L1711" s="69" t="str">
        <f>IF($B1711="","",PV-J1711)</f>
        <v/>
      </c>
      <c r="M1711" s="71" t="str">
        <f>IF($B1711="","",J1711/PV)</f>
        <v/>
      </c>
      <c r="N1711" s="72" t="str">
        <f t="shared" si="4"/>
        <v/>
      </c>
    </row>
    <row r="1712" ht="14.25" customHeight="1">
      <c r="B1712" s="66" t="str">
        <f>IF(ROWS($1:1700)&lt;=Nper,ROWS($1:1700),"")</f>
        <v/>
      </c>
      <c r="C1712" s="67" t="str">
        <f>IF($B1712="","",IF($E$7="Weekly",Start_Date+7*(ROWS($1:1700)-1),EDATE(Start_Date,VLOOKUP(IF(ASTemp!$E$7="","Monthly",ASTemp!$E$7),Parameters!$B$3:$D$6,3,0)*(ROWS($1:1700)-1))))</f>
        <v/>
      </c>
      <c r="D1712" s="68" t="str">
        <f t="shared" si="2"/>
        <v/>
      </c>
      <c r="E1712" s="65" t="str">
        <f>IF($B1712="","",VLOOKUP(MONTH(C1712),Parameters!$F$2:$G$13,2,0))</f>
        <v/>
      </c>
      <c r="F1712" s="69" t="str">
        <f>IF($B1712="","",PV-N(J1711))</f>
        <v/>
      </c>
      <c r="G1712" s="69" t="str">
        <f>IF($B1712="","",PMT(Rate,Nper,-PV,,Type))</f>
        <v/>
      </c>
      <c r="H1712" s="69" t="str">
        <f>IF($B1712="","",PPMT(Rate,ROWS($1:1700),Nper,-PV,,Type))</f>
        <v/>
      </c>
      <c r="I1712" s="69" t="str">
        <f>IF($B1712="","",IPMT(Rate,ROWS($1:1700),Nper,-PV,,Type))</f>
        <v/>
      </c>
      <c r="J1712" s="73" t="str">
        <f t="shared" ref="J1712:K1712" si="1702">IF($B1712="","",N(J1711)+N(H1712))</f>
        <v/>
      </c>
      <c r="K1712" s="74" t="str">
        <f t="shared" si="1702"/>
        <v/>
      </c>
      <c r="L1712" s="69" t="str">
        <f>IF($B1712="","",PV-J1712)</f>
        <v/>
      </c>
      <c r="M1712" s="71" t="str">
        <f>IF($B1712="","",J1712/PV)</f>
        <v/>
      </c>
      <c r="N1712" s="72" t="str">
        <f t="shared" si="4"/>
        <v/>
      </c>
    </row>
    <row r="1713" ht="14.25" customHeight="1">
      <c r="B1713" s="66" t="str">
        <f>IF(ROWS($1:1701)&lt;=Nper,ROWS($1:1701),"")</f>
        <v/>
      </c>
      <c r="C1713" s="67" t="str">
        <f>IF($B1713="","",IF($E$7="Weekly",Start_Date+7*(ROWS($1:1701)-1),EDATE(Start_Date,VLOOKUP(IF(ASTemp!$E$7="","Monthly",ASTemp!$E$7),Parameters!$B$3:$D$6,3,0)*(ROWS($1:1701)-1))))</f>
        <v/>
      </c>
      <c r="D1713" s="68" t="str">
        <f t="shared" si="2"/>
        <v/>
      </c>
      <c r="E1713" s="65" t="str">
        <f>IF($B1713="","",VLOOKUP(MONTH(C1713),Parameters!$F$2:$G$13,2,0))</f>
        <v/>
      </c>
      <c r="F1713" s="69" t="str">
        <f>IF($B1713="","",PV-N(J1712))</f>
        <v/>
      </c>
      <c r="G1713" s="69" t="str">
        <f>IF($B1713="","",PMT(Rate,Nper,-PV,,Type))</f>
        <v/>
      </c>
      <c r="H1713" s="69" t="str">
        <f>IF($B1713="","",PPMT(Rate,ROWS($1:1701),Nper,-PV,,Type))</f>
        <v/>
      </c>
      <c r="I1713" s="69" t="str">
        <f>IF($B1713="","",IPMT(Rate,ROWS($1:1701),Nper,-PV,,Type))</f>
        <v/>
      </c>
      <c r="J1713" s="73" t="str">
        <f t="shared" ref="J1713:K1713" si="1703">IF($B1713="","",N(J1712)+N(H1713))</f>
        <v/>
      </c>
      <c r="K1713" s="74" t="str">
        <f t="shared" si="1703"/>
        <v/>
      </c>
      <c r="L1713" s="69" t="str">
        <f>IF($B1713="","",PV-J1713)</f>
        <v/>
      </c>
      <c r="M1713" s="71" t="str">
        <f>IF($B1713="","",J1713/PV)</f>
        <v/>
      </c>
      <c r="N1713" s="72" t="str">
        <f t="shared" si="4"/>
        <v/>
      </c>
    </row>
    <row r="1714" ht="14.25" customHeight="1">
      <c r="B1714" s="66" t="str">
        <f>IF(ROWS($1:1702)&lt;=Nper,ROWS($1:1702),"")</f>
        <v/>
      </c>
      <c r="C1714" s="67" t="str">
        <f>IF($B1714="","",IF($E$7="Weekly",Start_Date+7*(ROWS($1:1702)-1),EDATE(Start_Date,VLOOKUP(IF(ASTemp!$E$7="","Monthly",ASTemp!$E$7),Parameters!$B$3:$D$6,3,0)*(ROWS($1:1702)-1))))</f>
        <v/>
      </c>
      <c r="D1714" s="68" t="str">
        <f t="shared" si="2"/>
        <v/>
      </c>
      <c r="E1714" s="65" t="str">
        <f>IF($B1714="","",VLOOKUP(MONTH(C1714),Parameters!$F$2:$G$13,2,0))</f>
        <v/>
      </c>
      <c r="F1714" s="69" t="str">
        <f>IF($B1714="","",PV-N(J1713))</f>
        <v/>
      </c>
      <c r="G1714" s="69" t="str">
        <f>IF($B1714="","",PMT(Rate,Nper,-PV,,Type))</f>
        <v/>
      </c>
      <c r="H1714" s="69" t="str">
        <f>IF($B1714="","",PPMT(Rate,ROWS($1:1702),Nper,-PV,,Type))</f>
        <v/>
      </c>
      <c r="I1714" s="69" t="str">
        <f>IF($B1714="","",IPMT(Rate,ROWS($1:1702),Nper,-PV,,Type))</f>
        <v/>
      </c>
      <c r="J1714" s="73" t="str">
        <f t="shared" ref="J1714:K1714" si="1704">IF($B1714="","",N(J1713)+N(H1714))</f>
        <v/>
      </c>
      <c r="K1714" s="74" t="str">
        <f t="shared" si="1704"/>
        <v/>
      </c>
      <c r="L1714" s="69" t="str">
        <f>IF($B1714="","",PV-J1714)</f>
        <v/>
      </c>
      <c r="M1714" s="71" t="str">
        <f>IF($B1714="","",J1714/PV)</f>
        <v/>
      </c>
      <c r="N1714" s="72" t="str">
        <f t="shared" si="4"/>
        <v/>
      </c>
    </row>
    <row r="1715" ht="14.25" customHeight="1">
      <c r="B1715" s="66" t="str">
        <f>IF(ROWS($1:1703)&lt;=Nper,ROWS($1:1703),"")</f>
        <v/>
      </c>
      <c r="C1715" s="67" t="str">
        <f>IF($B1715="","",IF($E$7="Weekly",Start_Date+7*(ROWS($1:1703)-1),EDATE(Start_Date,VLOOKUP(IF(ASTemp!$E$7="","Monthly",ASTemp!$E$7),Parameters!$B$3:$D$6,3,0)*(ROWS($1:1703)-1))))</f>
        <v/>
      </c>
      <c r="D1715" s="68" t="str">
        <f t="shared" si="2"/>
        <v/>
      </c>
      <c r="E1715" s="65" t="str">
        <f>IF($B1715="","",VLOOKUP(MONTH(C1715),Parameters!$F$2:$G$13,2,0))</f>
        <v/>
      </c>
      <c r="F1715" s="69" t="str">
        <f>IF($B1715="","",PV-N(J1714))</f>
        <v/>
      </c>
      <c r="G1715" s="69" t="str">
        <f>IF($B1715="","",PMT(Rate,Nper,-PV,,Type))</f>
        <v/>
      </c>
      <c r="H1715" s="69" t="str">
        <f>IF($B1715="","",PPMT(Rate,ROWS($1:1703),Nper,-PV,,Type))</f>
        <v/>
      </c>
      <c r="I1715" s="69" t="str">
        <f>IF($B1715="","",IPMT(Rate,ROWS($1:1703),Nper,-PV,,Type))</f>
        <v/>
      </c>
      <c r="J1715" s="73" t="str">
        <f t="shared" ref="J1715:K1715" si="1705">IF($B1715="","",N(J1714)+N(H1715))</f>
        <v/>
      </c>
      <c r="K1715" s="74" t="str">
        <f t="shared" si="1705"/>
        <v/>
      </c>
      <c r="L1715" s="69" t="str">
        <f>IF($B1715="","",PV-J1715)</f>
        <v/>
      </c>
      <c r="M1715" s="71" t="str">
        <f>IF($B1715="","",J1715/PV)</f>
        <v/>
      </c>
      <c r="N1715" s="72" t="str">
        <f t="shared" si="4"/>
        <v/>
      </c>
    </row>
    <row r="1716" ht="14.25" customHeight="1">
      <c r="B1716" s="66" t="str">
        <f>IF(ROWS($1:1704)&lt;=Nper,ROWS($1:1704),"")</f>
        <v/>
      </c>
      <c r="C1716" s="67" t="str">
        <f>IF($B1716="","",IF($E$7="Weekly",Start_Date+7*(ROWS($1:1704)-1),EDATE(Start_Date,VLOOKUP(IF(ASTemp!$E$7="","Monthly",ASTemp!$E$7),Parameters!$B$3:$D$6,3,0)*(ROWS($1:1704)-1))))</f>
        <v/>
      </c>
      <c r="D1716" s="68" t="str">
        <f t="shared" si="2"/>
        <v/>
      </c>
      <c r="E1716" s="65" t="str">
        <f>IF($B1716="","",VLOOKUP(MONTH(C1716),Parameters!$F$2:$G$13,2,0))</f>
        <v/>
      </c>
      <c r="F1716" s="69" t="str">
        <f>IF($B1716="","",PV-N(J1715))</f>
        <v/>
      </c>
      <c r="G1716" s="69" t="str">
        <f>IF($B1716="","",PMT(Rate,Nper,-PV,,Type))</f>
        <v/>
      </c>
      <c r="H1716" s="69" t="str">
        <f>IF($B1716="","",PPMT(Rate,ROWS($1:1704),Nper,-PV,,Type))</f>
        <v/>
      </c>
      <c r="I1716" s="69" t="str">
        <f>IF($B1716="","",IPMT(Rate,ROWS($1:1704),Nper,-PV,,Type))</f>
        <v/>
      </c>
      <c r="J1716" s="73" t="str">
        <f t="shared" ref="J1716:K1716" si="1706">IF($B1716="","",N(J1715)+N(H1716))</f>
        <v/>
      </c>
      <c r="K1716" s="74" t="str">
        <f t="shared" si="1706"/>
        <v/>
      </c>
      <c r="L1716" s="69" t="str">
        <f>IF($B1716="","",PV-J1716)</f>
        <v/>
      </c>
      <c r="M1716" s="71" t="str">
        <f>IF($B1716="","",J1716/PV)</f>
        <v/>
      </c>
      <c r="N1716" s="72" t="str">
        <f t="shared" si="4"/>
        <v/>
      </c>
    </row>
    <row r="1717" ht="14.25" customHeight="1">
      <c r="B1717" s="66" t="str">
        <f>IF(ROWS($1:1705)&lt;=Nper,ROWS($1:1705),"")</f>
        <v/>
      </c>
      <c r="C1717" s="67" t="str">
        <f>IF($B1717="","",IF($E$7="Weekly",Start_Date+7*(ROWS($1:1705)-1),EDATE(Start_Date,VLOOKUP(IF(ASTemp!$E$7="","Monthly",ASTemp!$E$7),Parameters!$B$3:$D$6,3,0)*(ROWS($1:1705)-1))))</f>
        <v/>
      </c>
      <c r="D1717" s="68" t="str">
        <f t="shared" si="2"/>
        <v/>
      </c>
      <c r="E1717" s="65" t="str">
        <f>IF($B1717="","",VLOOKUP(MONTH(C1717),Parameters!$F$2:$G$13,2,0))</f>
        <v/>
      </c>
      <c r="F1717" s="69" t="str">
        <f>IF($B1717="","",PV-N(J1716))</f>
        <v/>
      </c>
      <c r="G1717" s="69" t="str">
        <f>IF($B1717="","",PMT(Rate,Nper,-PV,,Type))</f>
        <v/>
      </c>
      <c r="H1717" s="69" t="str">
        <f>IF($B1717="","",PPMT(Rate,ROWS($1:1705),Nper,-PV,,Type))</f>
        <v/>
      </c>
      <c r="I1717" s="69" t="str">
        <f>IF($B1717="","",IPMT(Rate,ROWS($1:1705),Nper,-PV,,Type))</f>
        <v/>
      </c>
      <c r="J1717" s="73" t="str">
        <f t="shared" ref="J1717:K1717" si="1707">IF($B1717="","",N(J1716)+N(H1717))</f>
        <v/>
      </c>
      <c r="K1717" s="74" t="str">
        <f t="shared" si="1707"/>
        <v/>
      </c>
      <c r="L1717" s="69" t="str">
        <f>IF($B1717="","",PV-J1717)</f>
        <v/>
      </c>
      <c r="M1717" s="71" t="str">
        <f>IF($B1717="","",J1717/PV)</f>
        <v/>
      </c>
      <c r="N1717" s="72" t="str">
        <f t="shared" si="4"/>
        <v/>
      </c>
    </row>
    <row r="1718" ht="14.25" customHeight="1">
      <c r="B1718" s="66" t="str">
        <f>IF(ROWS($1:1706)&lt;=Nper,ROWS($1:1706),"")</f>
        <v/>
      </c>
      <c r="C1718" s="67" t="str">
        <f>IF($B1718="","",IF($E$7="Weekly",Start_Date+7*(ROWS($1:1706)-1),EDATE(Start_Date,VLOOKUP(IF(ASTemp!$E$7="","Monthly",ASTemp!$E$7),Parameters!$B$3:$D$6,3,0)*(ROWS($1:1706)-1))))</f>
        <v/>
      </c>
      <c r="D1718" s="68" t="str">
        <f t="shared" si="2"/>
        <v/>
      </c>
      <c r="E1718" s="65" t="str">
        <f>IF($B1718="","",VLOOKUP(MONTH(C1718),Parameters!$F$2:$G$13,2,0))</f>
        <v/>
      </c>
      <c r="F1718" s="69" t="str">
        <f>IF($B1718="","",PV-N(J1717))</f>
        <v/>
      </c>
      <c r="G1718" s="69" t="str">
        <f>IF($B1718="","",PMT(Rate,Nper,-PV,,Type))</f>
        <v/>
      </c>
      <c r="H1718" s="69" t="str">
        <f>IF($B1718="","",PPMT(Rate,ROWS($1:1706),Nper,-PV,,Type))</f>
        <v/>
      </c>
      <c r="I1718" s="69" t="str">
        <f>IF($B1718="","",IPMT(Rate,ROWS($1:1706),Nper,-PV,,Type))</f>
        <v/>
      </c>
      <c r="J1718" s="73" t="str">
        <f t="shared" ref="J1718:K1718" si="1708">IF($B1718="","",N(J1717)+N(H1718))</f>
        <v/>
      </c>
      <c r="K1718" s="74" t="str">
        <f t="shared" si="1708"/>
        <v/>
      </c>
      <c r="L1718" s="69" t="str">
        <f>IF($B1718="","",PV-J1718)</f>
        <v/>
      </c>
      <c r="M1718" s="71" t="str">
        <f>IF($B1718="","",J1718/PV)</f>
        <v/>
      </c>
      <c r="N1718" s="72" t="str">
        <f t="shared" si="4"/>
        <v/>
      </c>
    </row>
    <row r="1719" ht="14.25" customHeight="1">
      <c r="B1719" s="66" t="str">
        <f>IF(ROWS($1:1707)&lt;=Nper,ROWS($1:1707),"")</f>
        <v/>
      </c>
      <c r="C1719" s="67" t="str">
        <f>IF($B1719="","",IF($E$7="Weekly",Start_Date+7*(ROWS($1:1707)-1),EDATE(Start_Date,VLOOKUP(IF(ASTemp!$E$7="","Monthly",ASTemp!$E$7),Parameters!$B$3:$D$6,3,0)*(ROWS($1:1707)-1))))</f>
        <v/>
      </c>
      <c r="D1719" s="68" t="str">
        <f t="shared" si="2"/>
        <v/>
      </c>
      <c r="E1719" s="65" t="str">
        <f>IF($B1719="","",VLOOKUP(MONTH(C1719),Parameters!$F$2:$G$13,2,0))</f>
        <v/>
      </c>
      <c r="F1719" s="69" t="str">
        <f>IF($B1719="","",PV-N(J1718))</f>
        <v/>
      </c>
      <c r="G1719" s="69" t="str">
        <f>IF($B1719="","",PMT(Rate,Nper,-PV,,Type))</f>
        <v/>
      </c>
      <c r="H1719" s="69" t="str">
        <f>IF($B1719="","",PPMT(Rate,ROWS($1:1707),Nper,-PV,,Type))</f>
        <v/>
      </c>
      <c r="I1719" s="69" t="str">
        <f>IF($B1719="","",IPMT(Rate,ROWS($1:1707),Nper,-PV,,Type))</f>
        <v/>
      </c>
      <c r="J1719" s="73" t="str">
        <f t="shared" ref="J1719:K1719" si="1709">IF($B1719="","",N(J1718)+N(H1719))</f>
        <v/>
      </c>
      <c r="K1719" s="74" t="str">
        <f t="shared" si="1709"/>
        <v/>
      </c>
      <c r="L1719" s="69" t="str">
        <f>IF($B1719="","",PV-J1719)</f>
        <v/>
      </c>
      <c r="M1719" s="71" t="str">
        <f>IF($B1719="","",J1719/PV)</f>
        <v/>
      </c>
      <c r="N1719" s="72" t="str">
        <f t="shared" si="4"/>
        <v/>
      </c>
    </row>
    <row r="1720" ht="14.25" customHeight="1">
      <c r="B1720" s="66" t="str">
        <f>IF(ROWS($1:1708)&lt;=Nper,ROWS($1:1708),"")</f>
        <v/>
      </c>
      <c r="C1720" s="67" t="str">
        <f>IF($B1720="","",IF($E$7="Weekly",Start_Date+7*(ROWS($1:1708)-1),EDATE(Start_Date,VLOOKUP(IF(ASTemp!$E$7="","Monthly",ASTemp!$E$7),Parameters!$B$3:$D$6,3,0)*(ROWS($1:1708)-1))))</f>
        <v/>
      </c>
      <c r="D1720" s="68" t="str">
        <f t="shared" si="2"/>
        <v/>
      </c>
      <c r="E1720" s="65" t="str">
        <f>IF($B1720="","",VLOOKUP(MONTH(C1720),Parameters!$F$2:$G$13,2,0))</f>
        <v/>
      </c>
      <c r="F1720" s="69" t="str">
        <f>IF($B1720="","",PV-N(J1719))</f>
        <v/>
      </c>
      <c r="G1720" s="69" t="str">
        <f>IF($B1720="","",PMT(Rate,Nper,-PV,,Type))</f>
        <v/>
      </c>
      <c r="H1720" s="69" t="str">
        <f>IF($B1720="","",PPMT(Rate,ROWS($1:1708),Nper,-PV,,Type))</f>
        <v/>
      </c>
      <c r="I1720" s="69" t="str">
        <f>IF($B1720="","",IPMT(Rate,ROWS($1:1708),Nper,-PV,,Type))</f>
        <v/>
      </c>
      <c r="J1720" s="73" t="str">
        <f t="shared" ref="J1720:K1720" si="1710">IF($B1720="","",N(J1719)+N(H1720))</f>
        <v/>
      </c>
      <c r="K1720" s="74" t="str">
        <f t="shared" si="1710"/>
        <v/>
      </c>
      <c r="L1720" s="69" t="str">
        <f>IF($B1720="","",PV-J1720)</f>
        <v/>
      </c>
      <c r="M1720" s="71" t="str">
        <f>IF($B1720="","",J1720/PV)</f>
        <v/>
      </c>
      <c r="N1720" s="72" t="str">
        <f t="shared" si="4"/>
        <v/>
      </c>
    </row>
    <row r="1721" ht="14.25" customHeight="1">
      <c r="B1721" s="66" t="str">
        <f>IF(ROWS($1:1709)&lt;=Nper,ROWS($1:1709),"")</f>
        <v/>
      </c>
      <c r="C1721" s="67" t="str">
        <f>IF($B1721="","",IF($E$7="Weekly",Start_Date+7*(ROWS($1:1709)-1),EDATE(Start_Date,VLOOKUP(IF(ASTemp!$E$7="","Monthly",ASTemp!$E$7),Parameters!$B$3:$D$6,3,0)*(ROWS($1:1709)-1))))</f>
        <v/>
      </c>
      <c r="D1721" s="68" t="str">
        <f t="shared" si="2"/>
        <v/>
      </c>
      <c r="E1721" s="65" t="str">
        <f>IF($B1721="","",VLOOKUP(MONTH(C1721),Parameters!$F$2:$G$13,2,0))</f>
        <v/>
      </c>
      <c r="F1721" s="69" t="str">
        <f>IF($B1721="","",PV-N(J1720))</f>
        <v/>
      </c>
      <c r="G1721" s="69" t="str">
        <f>IF($B1721="","",PMT(Rate,Nper,-PV,,Type))</f>
        <v/>
      </c>
      <c r="H1721" s="69" t="str">
        <f>IF($B1721="","",PPMT(Rate,ROWS($1:1709),Nper,-PV,,Type))</f>
        <v/>
      </c>
      <c r="I1721" s="69" t="str">
        <f>IF($B1721="","",IPMT(Rate,ROWS($1:1709),Nper,-PV,,Type))</f>
        <v/>
      </c>
      <c r="J1721" s="73" t="str">
        <f t="shared" ref="J1721:K1721" si="1711">IF($B1721="","",N(J1720)+N(H1721))</f>
        <v/>
      </c>
      <c r="K1721" s="74" t="str">
        <f t="shared" si="1711"/>
        <v/>
      </c>
      <c r="L1721" s="69" t="str">
        <f>IF($B1721="","",PV-J1721)</f>
        <v/>
      </c>
      <c r="M1721" s="71" t="str">
        <f>IF($B1721="","",J1721/PV)</f>
        <v/>
      </c>
      <c r="N1721" s="72" t="str">
        <f t="shared" si="4"/>
        <v/>
      </c>
    </row>
    <row r="1722" ht="14.25" customHeight="1">
      <c r="B1722" s="66" t="str">
        <f>IF(ROWS($1:1710)&lt;=Nper,ROWS($1:1710),"")</f>
        <v/>
      </c>
      <c r="C1722" s="67" t="str">
        <f>IF($B1722="","",IF($E$7="Weekly",Start_Date+7*(ROWS($1:1710)-1),EDATE(Start_Date,VLOOKUP(IF(ASTemp!$E$7="","Monthly",ASTemp!$E$7),Parameters!$B$3:$D$6,3,0)*(ROWS($1:1710)-1))))</f>
        <v/>
      </c>
      <c r="D1722" s="68" t="str">
        <f t="shared" si="2"/>
        <v/>
      </c>
      <c r="E1722" s="65" t="str">
        <f>IF($B1722="","",VLOOKUP(MONTH(C1722),Parameters!$F$2:$G$13,2,0))</f>
        <v/>
      </c>
      <c r="F1722" s="69" t="str">
        <f>IF($B1722="","",PV-N(J1721))</f>
        <v/>
      </c>
      <c r="G1722" s="69" t="str">
        <f>IF($B1722="","",PMT(Rate,Nper,-PV,,Type))</f>
        <v/>
      </c>
      <c r="H1722" s="69" t="str">
        <f>IF($B1722="","",PPMT(Rate,ROWS($1:1710),Nper,-PV,,Type))</f>
        <v/>
      </c>
      <c r="I1722" s="69" t="str">
        <f>IF($B1722="","",IPMT(Rate,ROWS($1:1710),Nper,-PV,,Type))</f>
        <v/>
      </c>
      <c r="J1722" s="73" t="str">
        <f t="shared" ref="J1722:K1722" si="1712">IF($B1722="","",N(J1721)+N(H1722))</f>
        <v/>
      </c>
      <c r="K1722" s="74" t="str">
        <f t="shared" si="1712"/>
        <v/>
      </c>
      <c r="L1722" s="69" t="str">
        <f>IF($B1722="","",PV-J1722)</f>
        <v/>
      </c>
      <c r="M1722" s="71" t="str">
        <f>IF($B1722="","",J1722/PV)</f>
        <v/>
      </c>
      <c r="N1722" s="72" t="str">
        <f t="shared" si="4"/>
        <v/>
      </c>
    </row>
    <row r="1723" ht="14.25" customHeight="1">
      <c r="B1723" s="66" t="str">
        <f>IF(ROWS($1:1711)&lt;=Nper,ROWS($1:1711),"")</f>
        <v/>
      </c>
      <c r="C1723" s="67" t="str">
        <f>IF($B1723="","",IF($E$7="Weekly",Start_Date+7*(ROWS($1:1711)-1),EDATE(Start_Date,VLOOKUP(IF(ASTemp!$E$7="","Monthly",ASTemp!$E$7),Parameters!$B$3:$D$6,3,0)*(ROWS($1:1711)-1))))</f>
        <v/>
      </c>
      <c r="D1723" s="68" t="str">
        <f t="shared" si="2"/>
        <v/>
      </c>
      <c r="E1723" s="65" t="str">
        <f>IF($B1723="","",VLOOKUP(MONTH(C1723),Parameters!$F$2:$G$13,2,0))</f>
        <v/>
      </c>
      <c r="F1723" s="69" t="str">
        <f>IF($B1723="","",PV-N(J1722))</f>
        <v/>
      </c>
      <c r="G1723" s="69" t="str">
        <f>IF($B1723="","",PMT(Rate,Nper,-PV,,Type))</f>
        <v/>
      </c>
      <c r="H1723" s="69" t="str">
        <f>IF($B1723="","",PPMT(Rate,ROWS($1:1711),Nper,-PV,,Type))</f>
        <v/>
      </c>
      <c r="I1723" s="69" t="str">
        <f>IF($B1723="","",IPMT(Rate,ROWS($1:1711),Nper,-PV,,Type))</f>
        <v/>
      </c>
      <c r="J1723" s="73" t="str">
        <f t="shared" ref="J1723:K1723" si="1713">IF($B1723="","",N(J1722)+N(H1723))</f>
        <v/>
      </c>
      <c r="K1723" s="74" t="str">
        <f t="shared" si="1713"/>
        <v/>
      </c>
      <c r="L1723" s="69" t="str">
        <f>IF($B1723="","",PV-J1723)</f>
        <v/>
      </c>
      <c r="M1723" s="71" t="str">
        <f>IF($B1723="","",J1723/PV)</f>
        <v/>
      </c>
      <c r="N1723" s="72" t="str">
        <f t="shared" si="4"/>
        <v/>
      </c>
    </row>
    <row r="1724" ht="14.25" customHeight="1">
      <c r="B1724" s="66" t="str">
        <f>IF(ROWS($1:1712)&lt;=Nper,ROWS($1:1712),"")</f>
        <v/>
      </c>
      <c r="C1724" s="67" t="str">
        <f>IF($B1724="","",IF($E$7="Weekly",Start_Date+7*(ROWS($1:1712)-1),EDATE(Start_Date,VLOOKUP(IF(ASTemp!$E$7="","Monthly",ASTemp!$E$7),Parameters!$B$3:$D$6,3,0)*(ROWS($1:1712)-1))))</f>
        <v/>
      </c>
      <c r="D1724" s="68" t="str">
        <f t="shared" si="2"/>
        <v/>
      </c>
      <c r="E1724" s="65" t="str">
        <f>IF($B1724="","",VLOOKUP(MONTH(C1724),Parameters!$F$2:$G$13,2,0))</f>
        <v/>
      </c>
      <c r="F1724" s="69" t="str">
        <f>IF($B1724="","",PV-N(J1723))</f>
        <v/>
      </c>
      <c r="G1724" s="69" t="str">
        <f>IF($B1724="","",PMT(Rate,Nper,-PV,,Type))</f>
        <v/>
      </c>
      <c r="H1724" s="69" t="str">
        <f>IF($B1724="","",PPMT(Rate,ROWS($1:1712),Nper,-PV,,Type))</f>
        <v/>
      </c>
      <c r="I1724" s="69" t="str">
        <f>IF($B1724="","",IPMT(Rate,ROWS($1:1712),Nper,-PV,,Type))</f>
        <v/>
      </c>
      <c r="J1724" s="73" t="str">
        <f t="shared" ref="J1724:K1724" si="1714">IF($B1724="","",N(J1723)+N(H1724))</f>
        <v/>
      </c>
      <c r="K1724" s="74" t="str">
        <f t="shared" si="1714"/>
        <v/>
      </c>
      <c r="L1724" s="69" t="str">
        <f>IF($B1724="","",PV-J1724)</f>
        <v/>
      </c>
      <c r="M1724" s="71" t="str">
        <f>IF($B1724="","",J1724/PV)</f>
        <v/>
      </c>
      <c r="N1724" s="72" t="str">
        <f t="shared" si="4"/>
        <v/>
      </c>
    </row>
    <row r="1725" ht="14.25" customHeight="1">
      <c r="B1725" s="66" t="str">
        <f>IF(ROWS($1:1713)&lt;=Nper,ROWS($1:1713),"")</f>
        <v/>
      </c>
      <c r="C1725" s="67" t="str">
        <f>IF($B1725="","",IF($E$7="Weekly",Start_Date+7*(ROWS($1:1713)-1),EDATE(Start_Date,VLOOKUP(IF(ASTemp!$E$7="","Monthly",ASTemp!$E$7),Parameters!$B$3:$D$6,3,0)*(ROWS($1:1713)-1))))</f>
        <v/>
      </c>
      <c r="D1725" s="68" t="str">
        <f t="shared" si="2"/>
        <v/>
      </c>
      <c r="E1725" s="65" t="str">
        <f>IF($B1725="","",VLOOKUP(MONTH(C1725),Parameters!$F$2:$G$13,2,0))</f>
        <v/>
      </c>
      <c r="F1725" s="69" t="str">
        <f>IF($B1725="","",PV-N(J1724))</f>
        <v/>
      </c>
      <c r="G1725" s="69" t="str">
        <f>IF($B1725="","",PMT(Rate,Nper,-PV,,Type))</f>
        <v/>
      </c>
      <c r="H1725" s="69" t="str">
        <f>IF($B1725="","",PPMT(Rate,ROWS($1:1713),Nper,-PV,,Type))</f>
        <v/>
      </c>
      <c r="I1725" s="69" t="str">
        <f>IF($B1725="","",IPMT(Rate,ROWS($1:1713),Nper,-PV,,Type))</f>
        <v/>
      </c>
      <c r="J1725" s="73" t="str">
        <f t="shared" ref="J1725:K1725" si="1715">IF($B1725="","",N(J1724)+N(H1725))</f>
        <v/>
      </c>
      <c r="K1725" s="74" t="str">
        <f t="shared" si="1715"/>
        <v/>
      </c>
      <c r="L1725" s="69" t="str">
        <f>IF($B1725="","",PV-J1725)</f>
        <v/>
      </c>
      <c r="M1725" s="71" t="str">
        <f>IF($B1725="","",J1725/PV)</f>
        <v/>
      </c>
      <c r="N1725" s="72" t="str">
        <f t="shared" si="4"/>
        <v/>
      </c>
    </row>
    <row r="1726" ht="14.25" customHeight="1">
      <c r="B1726" s="66" t="str">
        <f>IF(ROWS($1:1714)&lt;=Nper,ROWS($1:1714),"")</f>
        <v/>
      </c>
      <c r="C1726" s="67" t="str">
        <f>IF($B1726="","",IF($E$7="Weekly",Start_Date+7*(ROWS($1:1714)-1),EDATE(Start_Date,VLOOKUP(IF(ASTemp!$E$7="","Monthly",ASTemp!$E$7),Parameters!$B$3:$D$6,3,0)*(ROWS($1:1714)-1))))</f>
        <v/>
      </c>
      <c r="D1726" s="68" t="str">
        <f t="shared" si="2"/>
        <v/>
      </c>
      <c r="E1726" s="65" t="str">
        <f>IF($B1726="","",VLOOKUP(MONTH(C1726),Parameters!$F$2:$G$13,2,0))</f>
        <v/>
      </c>
      <c r="F1726" s="69" t="str">
        <f>IF($B1726="","",PV-N(J1725))</f>
        <v/>
      </c>
      <c r="G1726" s="69" t="str">
        <f>IF($B1726="","",PMT(Rate,Nper,-PV,,Type))</f>
        <v/>
      </c>
      <c r="H1726" s="69" t="str">
        <f>IF($B1726="","",PPMT(Rate,ROWS($1:1714),Nper,-PV,,Type))</f>
        <v/>
      </c>
      <c r="I1726" s="69" t="str">
        <f>IF($B1726="","",IPMT(Rate,ROWS($1:1714),Nper,-PV,,Type))</f>
        <v/>
      </c>
      <c r="J1726" s="73" t="str">
        <f t="shared" ref="J1726:K1726" si="1716">IF($B1726="","",N(J1725)+N(H1726))</f>
        <v/>
      </c>
      <c r="K1726" s="74" t="str">
        <f t="shared" si="1716"/>
        <v/>
      </c>
      <c r="L1726" s="69" t="str">
        <f>IF($B1726="","",PV-J1726)</f>
        <v/>
      </c>
      <c r="M1726" s="71" t="str">
        <f>IF($B1726="","",J1726/PV)</f>
        <v/>
      </c>
      <c r="N1726" s="72" t="str">
        <f t="shared" si="4"/>
        <v/>
      </c>
    </row>
    <row r="1727" ht="14.25" customHeight="1">
      <c r="B1727" s="66" t="str">
        <f>IF(ROWS($1:1715)&lt;=Nper,ROWS($1:1715),"")</f>
        <v/>
      </c>
      <c r="C1727" s="67" t="str">
        <f>IF($B1727="","",IF($E$7="Weekly",Start_Date+7*(ROWS($1:1715)-1),EDATE(Start_Date,VLOOKUP(IF(ASTemp!$E$7="","Monthly",ASTemp!$E$7),Parameters!$B$3:$D$6,3,0)*(ROWS($1:1715)-1))))</f>
        <v/>
      </c>
      <c r="D1727" s="68" t="str">
        <f t="shared" si="2"/>
        <v/>
      </c>
      <c r="E1727" s="65" t="str">
        <f>IF($B1727="","",VLOOKUP(MONTH(C1727),Parameters!$F$2:$G$13,2,0))</f>
        <v/>
      </c>
      <c r="F1727" s="69" t="str">
        <f>IF($B1727="","",PV-N(J1726))</f>
        <v/>
      </c>
      <c r="G1727" s="69" t="str">
        <f>IF($B1727="","",PMT(Rate,Nper,-PV,,Type))</f>
        <v/>
      </c>
      <c r="H1727" s="69" t="str">
        <f>IF($B1727="","",PPMT(Rate,ROWS($1:1715),Nper,-PV,,Type))</f>
        <v/>
      </c>
      <c r="I1727" s="69" t="str">
        <f>IF($B1727="","",IPMT(Rate,ROWS($1:1715),Nper,-PV,,Type))</f>
        <v/>
      </c>
      <c r="J1727" s="73" t="str">
        <f t="shared" ref="J1727:K1727" si="1717">IF($B1727="","",N(J1726)+N(H1727))</f>
        <v/>
      </c>
      <c r="K1727" s="74" t="str">
        <f t="shared" si="1717"/>
        <v/>
      </c>
      <c r="L1727" s="69" t="str">
        <f>IF($B1727="","",PV-J1727)</f>
        <v/>
      </c>
      <c r="M1727" s="71" t="str">
        <f>IF($B1727="","",J1727/PV)</f>
        <v/>
      </c>
      <c r="N1727" s="72" t="str">
        <f t="shared" si="4"/>
        <v/>
      </c>
    </row>
    <row r="1728" ht="14.25" customHeight="1">
      <c r="B1728" s="66" t="str">
        <f>IF(ROWS($1:1716)&lt;=Nper,ROWS($1:1716),"")</f>
        <v/>
      </c>
      <c r="C1728" s="67" t="str">
        <f>IF($B1728="","",IF($E$7="Weekly",Start_Date+7*(ROWS($1:1716)-1),EDATE(Start_Date,VLOOKUP(IF(ASTemp!$E$7="","Monthly",ASTemp!$E$7),Parameters!$B$3:$D$6,3,0)*(ROWS($1:1716)-1))))</f>
        <v/>
      </c>
      <c r="D1728" s="68" t="str">
        <f t="shared" si="2"/>
        <v/>
      </c>
      <c r="E1728" s="65" t="str">
        <f>IF($B1728="","",VLOOKUP(MONTH(C1728),Parameters!$F$2:$G$13,2,0))</f>
        <v/>
      </c>
      <c r="F1728" s="69" t="str">
        <f>IF($B1728="","",PV-N(J1727))</f>
        <v/>
      </c>
      <c r="G1728" s="69" t="str">
        <f>IF($B1728="","",PMT(Rate,Nper,-PV,,Type))</f>
        <v/>
      </c>
      <c r="H1728" s="69" t="str">
        <f>IF($B1728="","",PPMT(Rate,ROWS($1:1716),Nper,-PV,,Type))</f>
        <v/>
      </c>
      <c r="I1728" s="69" t="str">
        <f>IF($B1728="","",IPMT(Rate,ROWS($1:1716),Nper,-PV,,Type))</f>
        <v/>
      </c>
      <c r="J1728" s="73" t="str">
        <f t="shared" ref="J1728:K1728" si="1718">IF($B1728="","",N(J1727)+N(H1728))</f>
        <v/>
      </c>
      <c r="K1728" s="74" t="str">
        <f t="shared" si="1718"/>
        <v/>
      </c>
      <c r="L1728" s="69" t="str">
        <f>IF($B1728="","",PV-J1728)</f>
        <v/>
      </c>
      <c r="M1728" s="71" t="str">
        <f>IF($B1728="","",J1728/PV)</f>
        <v/>
      </c>
      <c r="N1728" s="72" t="str">
        <f t="shared" si="4"/>
        <v/>
      </c>
    </row>
    <row r="1729" ht="14.25" customHeight="1">
      <c r="B1729" s="66" t="str">
        <f>IF(ROWS($1:1717)&lt;=Nper,ROWS($1:1717),"")</f>
        <v/>
      </c>
      <c r="C1729" s="67" t="str">
        <f>IF($B1729="","",IF($E$7="Weekly",Start_Date+7*(ROWS($1:1717)-1),EDATE(Start_Date,VLOOKUP(IF(ASTemp!$E$7="","Monthly",ASTemp!$E$7),Parameters!$B$3:$D$6,3,0)*(ROWS($1:1717)-1))))</f>
        <v/>
      </c>
      <c r="D1729" s="68" t="str">
        <f t="shared" si="2"/>
        <v/>
      </c>
      <c r="E1729" s="65" t="str">
        <f>IF($B1729="","",VLOOKUP(MONTH(C1729),Parameters!$F$2:$G$13,2,0))</f>
        <v/>
      </c>
      <c r="F1729" s="69" t="str">
        <f>IF($B1729="","",PV-N(J1728))</f>
        <v/>
      </c>
      <c r="G1729" s="69" t="str">
        <f>IF($B1729="","",PMT(Rate,Nper,-PV,,Type))</f>
        <v/>
      </c>
      <c r="H1729" s="69" t="str">
        <f>IF($B1729="","",PPMT(Rate,ROWS($1:1717),Nper,-PV,,Type))</f>
        <v/>
      </c>
      <c r="I1729" s="69" t="str">
        <f>IF($B1729="","",IPMT(Rate,ROWS($1:1717),Nper,-PV,,Type))</f>
        <v/>
      </c>
      <c r="J1729" s="73" t="str">
        <f t="shared" ref="J1729:K1729" si="1719">IF($B1729="","",N(J1728)+N(H1729))</f>
        <v/>
      </c>
      <c r="K1729" s="74" t="str">
        <f t="shared" si="1719"/>
        <v/>
      </c>
      <c r="L1729" s="69" t="str">
        <f>IF($B1729="","",PV-J1729)</f>
        <v/>
      </c>
      <c r="M1729" s="71" t="str">
        <f>IF($B1729="","",J1729/PV)</f>
        <v/>
      </c>
      <c r="N1729" s="72" t="str">
        <f t="shared" si="4"/>
        <v/>
      </c>
    </row>
    <row r="1730" ht="14.25" customHeight="1">
      <c r="B1730" s="66" t="str">
        <f>IF(ROWS($1:1718)&lt;=Nper,ROWS($1:1718),"")</f>
        <v/>
      </c>
      <c r="C1730" s="67" t="str">
        <f>IF($B1730="","",IF($E$7="Weekly",Start_Date+7*(ROWS($1:1718)-1),EDATE(Start_Date,VLOOKUP(IF(ASTemp!$E$7="","Monthly",ASTemp!$E$7),Parameters!$B$3:$D$6,3,0)*(ROWS($1:1718)-1))))</f>
        <v/>
      </c>
      <c r="D1730" s="68" t="str">
        <f t="shared" si="2"/>
        <v/>
      </c>
      <c r="E1730" s="65" t="str">
        <f>IF($B1730="","",VLOOKUP(MONTH(C1730),Parameters!$F$2:$G$13,2,0))</f>
        <v/>
      </c>
      <c r="F1730" s="69" t="str">
        <f>IF($B1730="","",PV-N(J1729))</f>
        <v/>
      </c>
      <c r="G1730" s="69" t="str">
        <f>IF($B1730="","",PMT(Rate,Nper,-PV,,Type))</f>
        <v/>
      </c>
      <c r="H1730" s="69" t="str">
        <f>IF($B1730="","",PPMT(Rate,ROWS($1:1718),Nper,-PV,,Type))</f>
        <v/>
      </c>
      <c r="I1730" s="69" t="str">
        <f>IF($B1730="","",IPMT(Rate,ROWS($1:1718),Nper,-PV,,Type))</f>
        <v/>
      </c>
      <c r="J1730" s="73" t="str">
        <f t="shared" ref="J1730:K1730" si="1720">IF($B1730="","",N(J1729)+N(H1730))</f>
        <v/>
      </c>
      <c r="K1730" s="74" t="str">
        <f t="shared" si="1720"/>
        <v/>
      </c>
      <c r="L1730" s="69" t="str">
        <f>IF($B1730="","",PV-J1730)</f>
        <v/>
      </c>
      <c r="M1730" s="71" t="str">
        <f>IF($B1730="","",J1730/PV)</f>
        <v/>
      </c>
      <c r="N1730" s="72" t="str">
        <f t="shared" si="4"/>
        <v/>
      </c>
    </row>
    <row r="1731" ht="14.25" customHeight="1">
      <c r="B1731" s="66" t="str">
        <f>IF(ROWS($1:1719)&lt;=Nper,ROWS($1:1719),"")</f>
        <v/>
      </c>
      <c r="C1731" s="67" t="str">
        <f>IF($B1731="","",IF($E$7="Weekly",Start_Date+7*(ROWS($1:1719)-1),EDATE(Start_Date,VLOOKUP(IF(ASTemp!$E$7="","Monthly",ASTemp!$E$7),Parameters!$B$3:$D$6,3,0)*(ROWS($1:1719)-1))))</f>
        <v/>
      </c>
      <c r="D1731" s="68" t="str">
        <f t="shared" si="2"/>
        <v/>
      </c>
      <c r="E1731" s="65" t="str">
        <f>IF($B1731="","",VLOOKUP(MONTH(C1731),Parameters!$F$2:$G$13,2,0))</f>
        <v/>
      </c>
      <c r="F1731" s="69" t="str">
        <f>IF($B1731="","",PV-N(J1730))</f>
        <v/>
      </c>
      <c r="G1731" s="69" t="str">
        <f>IF($B1731="","",PMT(Rate,Nper,-PV,,Type))</f>
        <v/>
      </c>
      <c r="H1731" s="69" t="str">
        <f>IF($B1731="","",PPMT(Rate,ROWS($1:1719),Nper,-PV,,Type))</f>
        <v/>
      </c>
      <c r="I1731" s="69" t="str">
        <f>IF($B1731="","",IPMT(Rate,ROWS($1:1719),Nper,-PV,,Type))</f>
        <v/>
      </c>
      <c r="J1731" s="73" t="str">
        <f t="shared" ref="J1731:K1731" si="1721">IF($B1731="","",N(J1730)+N(H1731))</f>
        <v/>
      </c>
      <c r="K1731" s="74" t="str">
        <f t="shared" si="1721"/>
        <v/>
      </c>
      <c r="L1731" s="69" t="str">
        <f>IF($B1731="","",PV-J1731)</f>
        <v/>
      </c>
      <c r="M1731" s="71" t="str">
        <f>IF($B1731="","",J1731/PV)</f>
        <v/>
      </c>
      <c r="N1731" s="72" t="str">
        <f t="shared" si="4"/>
        <v/>
      </c>
    </row>
    <row r="1732" ht="14.25" customHeight="1">
      <c r="B1732" s="66" t="str">
        <f>IF(ROWS($1:1720)&lt;=Nper,ROWS($1:1720),"")</f>
        <v/>
      </c>
      <c r="C1732" s="67" t="str">
        <f>IF($B1732="","",IF($E$7="Weekly",Start_Date+7*(ROWS($1:1720)-1),EDATE(Start_Date,VLOOKUP(IF(ASTemp!$E$7="","Monthly",ASTemp!$E$7),Parameters!$B$3:$D$6,3,0)*(ROWS($1:1720)-1))))</f>
        <v/>
      </c>
      <c r="D1732" s="68" t="str">
        <f t="shared" si="2"/>
        <v/>
      </c>
      <c r="E1732" s="65" t="str">
        <f>IF($B1732="","",VLOOKUP(MONTH(C1732),Parameters!$F$2:$G$13,2,0))</f>
        <v/>
      </c>
      <c r="F1732" s="69" t="str">
        <f>IF($B1732="","",PV-N(J1731))</f>
        <v/>
      </c>
      <c r="G1732" s="69" t="str">
        <f>IF($B1732="","",PMT(Rate,Nper,-PV,,Type))</f>
        <v/>
      </c>
      <c r="H1732" s="69" t="str">
        <f>IF($B1732="","",PPMT(Rate,ROWS($1:1720),Nper,-PV,,Type))</f>
        <v/>
      </c>
      <c r="I1732" s="69" t="str">
        <f>IF($B1732="","",IPMT(Rate,ROWS($1:1720),Nper,-PV,,Type))</f>
        <v/>
      </c>
      <c r="J1732" s="73" t="str">
        <f t="shared" ref="J1732:K1732" si="1722">IF($B1732="","",N(J1731)+N(H1732))</f>
        <v/>
      </c>
      <c r="K1732" s="74" t="str">
        <f t="shared" si="1722"/>
        <v/>
      </c>
      <c r="L1732" s="69" t="str">
        <f>IF($B1732="","",PV-J1732)</f>
        <v/>
      </c>
      <c r="M1732" s="71" t="str">
        <f>IF($B1732="","",J1732/PV)</f>
        <v/>
      </c>
      <c r="N1732" s="72" t="str">
        <f t="shared" si="4"/>
        <v/>
      </c>
    </row>
    <row r="1733" ht="14.25" customHeight="1">
      <c r="B1733" s="66" t="str">
        <f>IF(ROWS($1:1721)&lt;=Nper,ROWS($1:1721),"")</f>
        <v/>
      </c>
      <c r="C1733" s="67" t="str">
        <f>IF($B1733="","",IF($E$7="Weekly",Start_Date+7*(ROWS($1:1721)-1),EDATE(Start_Date,VLOOKUP(IF(ASTemp!$E$7="","Monthly",ASTemp!$E$7),Parameters!$B$3:$D$6,3,0)*(ROWS($1:1721)-1))))</f>
        <v/>
      </c>
      <c r="D1733" s="68" t="str">
        <f t="shared" si="2"/>
        <v/>
      </c>
      <c r="E1733" s="65" t="str">
        <f>IF($B1733="","",VLOOKUP(MONTH(C1733),Parameters!$F$2:$G$13,2,0))</f>
        <v/>
      </c>
      <c r="F1733" s="69" t="str">
        <f>IF($B1733="","",PV-N(J1732))</f>
        <v/>
      </c>
      <c r="G1733" s="69" t="str">
        <f>IF($B1733="","",PMT(Rate,Nper,-PV,,Type))</f>
        <v/>
      </c>
      <c r="H1733" s="69" t="str">
        <f>IF($B1733="","",PPMT(Rate,ROWS($1:1721),Nper,-PV,,Type))</f>
        <v/>
      </c>
      <c r="I1733" s="69" t="str">
        <f>IF($B1733="","",IPMT(Rate,ROWS($1:1721),Nper,-PV,,Type))</f>
        <v/>
      </c>
      <c r="J1733" s="73" t="str">
        <f t="shared" ref="J1733:K1733" si="1723">IF($B1733="","",N(J1732)+N(H1733))</f>
        <v/>
      </c>
      <c r="K1733" s="74" t="str">
        <f t="shared" si="1723"/>
        <v/>
      </c>
      <c r="L1733" s="69" t="str">
        <f>IF($B1733="","",PV-J1733)</f>
        <v/>
      </c>
      <c r="M1733" s="71" t="str">
        <f>IF($B1733="","",J1733/PV)</f>
        <v/>
      </c>
      <c r="N1733" s="72" t="str">
        <f t="shared" si="4"/>
        <v/>
      </c>
    </row>
    <row r="1734" ht="14.25" customHeight="1">
      <c r="B1734" s="66" t="str">
        <f>IF(ROWS($1:1722)&lt;=Nper,ROWS($1:1722),"")</f>
        <v/>
      </c>
      <c r="C1734" s="67" t="str">
        <f>IF($B1734="","",IF($E$7="Weekly",Start_Date+7*(ROWS($1:1722)-1),EDATE(Start_Date,VLOOKUP(IF(ASTemp!$E$7="","Monthly",ASTemp!$E$7),Parameters!$B$3:$D$6,3,0)*(ROWS($1:1722)-1))))</f>
        <v/>
      </c>
      <c r="D1734" s="68" t="str">
        <f t="shared" si="2"/>
        <v/>
      </c>
      <c r="E1734" s="65" t="str">
        <f>IF($B1734="","",VLOOKUP(MONTH(C1734),Parameters!$F$2:$G$13,2,0))</f>
        <v/>
      </c>
      <c r="F1734" s="69" t="str">
        <f>IF($B1734="","",PV-N(J1733))</f>
        <v/>
      </c>
      <c r="G1734" s="69" t="str">
        <f>IF($B1734="","",PMT(Rate,Nper,-PV,,Type))</f>
        <v/>
      </c>
      <c r="H1734" s="69" t="str">
        <f>IF($B1734="","",PPMT(Rate,ROWS($1:1722),Nper,-PV,,Type))</f>
        <v/>
      </c>
      <c r="I1734" s="69" t="str">
        <f>IF($B1734="","",IPMT(Rate,ROWS($1:1722),Nper,-PV,,Type))</f>
        <v/>
      </c>
      <c r="J1734" s="73" t="str">
        <f t="shared" ref="J1734:K1734" si="1724">IF($B1734="","",N(J1733)+N(H1734))</f>
        <v/>
      </c>
      <c r="K1734" s="74" t="str">
        <f t="shared" si="1724"/>
        <v/>
      </c>
      <c r="L1734" s="69" t="str">
        <f>IF($B1734="","",PV-J1734)</f>
        <v/>
      </c>
      <c r="M1734" s="71" t="str">
        <f>IF($B1734="","",J1734/PV)</f>
        <v/>
      </c>
      <c r="N1734" s="72" t="str">
        <f t="shared" si="4"/>
        <v/>
      </c>
    </row>
    <row r="1735" ht="14.25" customHeight="1">
      <c r="B1735" s="66" t="str">
        <f>IF(ROWS($1:1723)&lt;=Nper,ROWS($1:1723),"")</f>
        <v/>
      </c>
      <c r="C1735" s="67" t="str">
        <f>IF($B1735="","",IF($E$7="Weekly",Start_Date+7*(ROWS($1:1723)-1),EDATE(Start_Date,VLOOKUP(IF(ASTemp!$E$7="","Monthly",ASTemp!$E$7),Parameters!$B$3:$D$6,3,0)*(ROWS($1:1723)-1))))</f>
        <v/>
      </c>
      <c r="D1735" s="68" t="str">
        <f t="shared" si="2"/>
        <v/>
      </c>
      <c r="E1735" s="65" t="str">
        <f>IF($B1735="","",VLOOKUP(MONTH(C1735),Parameters!$F$2:$G$13,2,0))</f>
        <v/>
      </c>
      <c r="F1735" s="69" t="str">
        <f>IF($B1735="","",PV-N(J1734))</f>
        <v/>
      </c>
      <c r="G1735" s="69" t="str">
        <f>IF($B1735="","",PMT(Rate,Nper,-PV,,Type))</f>
        <v/>
      </c>
      <c r="H1735" s="69" t="str">
        <f>IF($B1735="","",PPMT(Rate,ROWS($1:1723),Nper,-PV,,Type))</f>
        <v/>
      </c>
      <c r="I1735" s="69" t="str">
        <f>IF($B1735="","",IPMT(Rate,ROWS($1:1723),Nper,-PV,,Type))</f>
        <v/>
      </c>
      <c r="J1735" s="73" t="str">
        <f t="shared" ref="J1735:K1735" si="1725">IF($B1735="","",N(J1734)+N(H1735))</f>
        <v/>
      </c>
      <c r="K1735" s="74" t="str">
        <f t="shared" si="1725"/>
        <v/>
      </c>
      <c r="L1735" s="69" t="str">
        <f>IF($B1735="","",PV-J1735)</f>
        <v/>
      </c>
      <c r="M1735" s="71" t="str">
        <f>IF($B1735="","",J1735/PV)</f>
        <v/>
      </c>
      <c r="N1735" s="72" t="str">
        <f t="shared" si="4"/>
        <v/>
      </c>
    </row>
    <row r="1736" ht="14.25" customHeight="1">
      <c r="B1736" s="66" t="str">
        <f>IF(ROWS($1:1724)&lt;=Nper,ROWS($1:1724),"")</f>
        <v/>
      </c>
      <c r="C1736" s="67" t="str">
        <f>IF($B1736="","",IF($E$7="Weekly",Start_Date+7*(ROWS($1:1724)-1),EDATE(Start_Date,VLOOKUP(IF(ASTemp!$E$7="","Monthly",ASTemp!$E$7),Parameters!$B$3:$D$6,3,0)*(ROWS($1:1724)-1))))</f>
        <v/>
      </c>
      <c r="D1736" s="68" t="str">
        <f t="shared" si="2"/>
        <v/>
      </c>
      <c r="E1736" s="65" t="str">
        <f>IF($B1736="","",VLOOKUP(MONTH(C1736),Parameters!$F$2:$G$13,2,0))</f>
        <v/>
      </c>
      <c r="F1736" s="69" t="str">
        <f>IF($B1736="","",PV-N(J1735))</f>
        <v/>
      </c>
      <c r="G1736" s="69" t="str">
        <f>IF($B1736="","",PMT(Rate,Nper,-PV,,Type))</f>
        <v/>
      </c>
      <c r="H1736" s="69" t="str">
        <f>IF($B1736="","",PPMT(Rate,ROWS($1:1724),Nper,-PV,,Type))</f>
        <v/>
      </c>
      <c r="I1736" s="69" t="str">
        <f>IF($B1736="","",IPMT(Rate,ROWS($1:1724),Nper,-PV,,Type))</f>
        <v/>
      </c>
      <c r="J1736" s="73" t="str">
        <f t="shared" ref="J1736:K1736" si="1726">IF($B1736="","",N(J1735)+N(H1736))</f>
        <v/>
      </c>
      <c r="K1736" s="74" t="str">
        <f t="shared" si="1726"/>
        <v/>
      </c>
      <c r="L1736" s="69" t="str">
        <f>IF($B1736="","",PV-J1736)</f>
        <v/>
      </c>
      <c r="M1736" s="71" t="str">
        <f>IF($B1736="","",J1736/PV)</f>
        <v/>
      </c>
      <c r="N1736" s="72" t="str">
        <f t="shared" si="4"/>
        <v/>
      </c>
    </row>
    <row r="1737" ht="14.25" customHeight="1">
      <c r="B1737" s="66" t="str">
        <f>IF(ROWS($1:1725)&lt;=Nper,ROWS($1:1725),"")</f>
        <v/>
      </c>
      <c r="C1737" s="67" t="str">
        <f>IF($B1737="","",IF($E$7="Weekly",Start_Date+7*(ROWS($1:1725)-1),EDATE(Start_Date,VLOOKUP(IF(ASTemp!$E$7="","Monthly",ASTemp!$E$7),Parameters!$B$3:$D$6,3,0)*(ROWS($1:1725)-1))))</f>
        <v/>
      </c>
      <c r="D1737" s="68" t="str">
        <f t="shared" si="2"/>
        <v/>
      </c>
      <c r="E1737" s="65" t="str">
        <f>IF($B1737="","",VLOOKUP(MONTH(C1737),Parameters!$F$2:$G$13,2,0))</f>
        <v/>
      </c>
      <c r="F1737" s="69" t="str">
        <f>IF($B1737="","",PV-N(J1736))</f>
        <v/>
      </c>
      <c r="G1737" s="69" t="str">
        <f>IF($B1737="","",PMT(Rate,Nper,-PV,,Type))</f>
        <v/>
      </c>
      <c r="H1737" s="69" t="str">
        <f>IF($B1737="","",PPMT(Rate,ROWS($1:1725),Nper,-PV,,Type))</f>
        <v/>
      </c>
      <c r="I1737" s="69" t="str">
        <f>IF($B1737="","",IPMT(Rate,ROWS($1:1725),Nper,-PV,,Type))</f>
        <v/>
      </c>
      <c r="J1737" s="73" t="str">
        <f t="shared" ref="J1737:K1737" si="1727">IF($B1737="","",N(J1736)+N(H1737))</f>
        <v/>
      </c>
      <c r="K1737" s="74" t="str">
        <f t="shared" si="1727"/>
        <v/>
      </c>
      <c r="L1737" s="69" t="str">
        <f>IF($B1737="","",PV-J1737)</f>
        <v/>
      </c>
      <c r="M1737" s="71" t="str">
        <f>IF($B1737="","",J1737/PV)</f>
        <v/>
      </c>
      <c r="N1737" s="72" t="str">
        <f t="shared" si="4"/>
        <v/>
      </c>
    </row>
    <row r="1738" ht="14.25" customHeight="1">
      <c r="B1738" s="66" t="str">
        <f>IF(ROWS($1:1726)&lt;=Nper,ROWS($1:1726),"")</f>
        <v/>
      </c>
      <c r="C1738" s="67" t="str">
        <f>IF($B1738="","",IF($E$7="Weekly",Start_Date+7*(ROWS($1:1726)-1),EDATE(Start_Date,VLOOKUP(IF(ASTemp!$E$7="","Monthly",ASTemp!$E$7),Parameters!$B$3:$D$6,3,0)*(ROWS($1:1726)-1))))</f>
        <v/>
      </c>
      <c r="D1738" s="68" t="str">
        <f t="shared" si="2"/>
        <v/>
      </c>
      <c r="E1738" s="65" t="str">
        <f>IF($B1738="","",VLOOKUP(MONTH(C1738),Parameters!$F$2:$G$13,2,0))</f>
        <v/>
      </c>
      <c r="F1738" s="69" t="str">
        <f>IF($B1738="","",PV-N(J1737))</f>
        <v/>
      </c>
      <c r="G1738" s="69" t="str">
        <f>IF($B1738="","",PMT(Rate,Nper,-PV,,Type))</f>
        <v/>
      </c>
      <c r="H1738" s="69" t="str">
        <f>IF($B1738="","",PPMT(Rate,ROWS($1:1726),Nper,-PV,,Type))</f>
        <v/>
      </c>
      <c r="I1738" s="69" t="str">
        <f>IF($B1738="","",IPMT(Rate,ROWS($1:1726),Nper,-PV,,Type))</f>
        <v/>
      </c>
      <c r="J1738" s="73" t="str">
        <f t="shared" ref="J1738:K1738" si="1728">IF($B1738="","",N(J1737)+N(H1738))</f>
        <v/>
      </c>
      <c r="K1738" s="74" t="str">
        <f t="shared" si="1728"/>
        <v/>
      </c>
      <c r="L1738" s="69" t="str">
        <f>IF($B1738="","",PV-J1738)</f>
        <v/>
      </c>
      <c r="M1738" s="71" t="str">
        <f>IF($B1738="","",J1738/PV)</f>
        <v/>
      </c>
      <c r="N1738" s="72" t="str">
        <f t="shared" si="4"/>
        <v/>
      </c>
    </row>
    <row r="1739" ht="14.25" customHeight="1">
      <c r="B1739" s="66" t="str">
        <f>IF(ROWS($1:1727)&lt;=Nper,ROWS($1:1727),"")</f>
        <v/>
      </c>
      <c r="C1739" s="67" t="str">
        <f>IF($B1739="","",IF($E$7="Weekly",Start_Date+7*(ROWS($1:1727)-1),EDATE(Start_Date,VLOOKUP(IF(ASTemp!$E$7="","Monthly",ASTemp!$E$7),Parameters!$B$3:$D$6,3,0)*(ROWS($1:1727)-1))))</f>
        <v/>
      </c>
      <c r="D1739" s="68" t="str">
        <f t="shared" si="2"/>
        <v/>
      </c>
      <c r="E1739" s="65" t="str">
        <f>IF($B1739="","",VLOOKUP(MONTH(C1739),Parameters!$F$2:$G$13,2,0))</f>
        <v/>
      </c>
      <c r="F1739" s="69" t="str">
        <f>IF($B1739="","",PV-N(J1738))</f>
        <v/>
      </c>
      <c r="G1739" s="69" t="str">
        <f>IF($B1739="","",PMT(Rate,Nper,-PV,,Type))</f>
        <v/>
      </c>
      <c r="H1739" s="69" t="str">
        <f>IF($B1739="","",PPMT(Rate,ROWS($1:1727),Nper,-PV,,Type))</f>
        <v/>
      </c>
      <c r="I1739" s="69" t="str">
        <f>IF($B1739="","",IPMT(Rate,ROWS($1:1727),Nper,-PV,,Type))</f>
        <v/>
      </c>
      <c r="J1739" s="73" t="str">
        <f t="shared" ref="J1739:K1739" si="1729">IF($B1739="","",N(J1738)+N(H1739))</f>
        <v/>
      </c>
      <c r="K1739" s="74" t="str">
        <f t="shared" si="1729"/>
        <v/>
      </c>
      <c r="L1739" s="69" t="str">
        <f>IF($B1739="","",PV-J1739)</f>
        <v/>
      </c>
      <c r="M1739" s="71" t="str">
        <f>IF($B1739="","",J1739/PV)</f>
        <v/>
      </c>
      <c r="N1739" s="72" t="str">
        <f t="shared" si="4"/>
        <v/>
      </c>
    </row>
    <row r="1740" ht="14.25" customHeight="1">
      <c r="B1740" s="66" t="str">
        <f>IF(ROWS($1:1728)&lt;=Nper,ROWS($1:1728),"")</f>
        <v/>
      </c>
      <c r="C1740" s="67" t="str">
        <f>IF($B1740="","",IF($E$7="Weekly",Start_Date+7*(ROWS($1:1728)-1),EDATE(Start_Date,VLOOKUP(IF(ASTemp!$E$7="","Monthly",ASTemp!$E$7),Parameters!$B$3:$D$6,3,0)*(ROWS($1:1728)-1))))</f>
        <v/>
      </c>
      <c r="D1740" s="68" t="str">
        <f t="shared" si="2"/>
        <v/>
      </c>
      <c r="E1740" s="65" t="str">
        <f>IF($B1740="","",VLOOKUP(MONTH(C1740),Parameters!$F$2:$G$13,2,0))</f>
        <v/>
      </c>
      <c r="F1740" s="69" t="str">
        <f>IF($B1740="","",PV-N(J1739))</f>
        <v/>
      </c>
      <c r="G1740" s="69" t="str">
        <f>IF($B1740="","",PMT(Rate,Nper,-PV,,Type))</f>
        <v/>
      </c>
      <c r="H1740" s="69" t="str">
        <f>IF($B1740="","",PPMT(Rate,ROWS($1:1728),Nper,-PV,,Type))</f>
        <v/>
      </c>
      <c r="I1740" s="69" t="str">
        <f>IF($B1740="","",IPMT(Rate,ROWS($1:1728),Nper,-PV,,Type))</f>
        <v/>
      </c>
      <c r="J1740" s="73" t="str">
        <f t="shared" ref="J1740:K1740" si="1730">IF($B1740="","",N(J1739)+N(H1740))</f>
        <v/>
      </c>
      <c r="K1740" s="74" t="str">
        <f t="shared" si="1730"/>
        <v/>
      </c>
      <c r="L1740" s="69" t="str">
        <f>IF($B1740="","",PV-J1740)</f>
        <v/>
      </c>
      <c r="M1740" s="71" t="str">
        <f>IF($B1740="","",J1740/PV)</f>
        <v/>
      </c>
      <c r="N1740" s="72" t="str">
        <f t="shared" si="4"/>
        <v/>
      </c>
    </row>
    <row r="1741" ht="14.25" customHeight="1">
      <c r="B1741" s="66" t="str">
        <f>IF(ROWS($1:1729)&lt;=Nper,ROWS($1:1729),"")</f>
        <v/>
      </c>
      <c r="C1741" s="67" t="str">
        <f>IF($B1741="","",IF($E$7="Weekly",Start_Date+7*(ROWS($1:1729)-1),EDATE(Start_Date,VLOOKUP(IF(ASTemp!$E$7="","Monthly",ASTemp!$E$7),Parameters!$B$3:$D$6,3,0)*(ROWS($1:1729)-1))))</f>
        <v/>
      </c>
      <c r="D1741" s="68" t="str">
        <f t="shared" si="2"/>
        <v/>
      </c>
      <c r="E1741" s="65" t="str">
        <f>IF($B1741="","",VLOOKUP(MONTH(C1741),Parameters!$F$2:$G$13,2,0))</f>
        <v/>
      </c>
      <c r="F1741" s="69" t="str">
        <f>IF($B1741="","",PV-N(J1740))</f>
        <v/>
      </c>
      <c r="G1741" s="69" t="str">
        <f>IF($B1741="","",PMT(Rate,Nper,-PV,,Type))</f>
        <v/>
      </c>
      <c r="H1741" s="69" t="str">
        <f>IF($B1741="","",PPMT(Rate,ROWS($1:1729),Nper,-PV,,Type))</f>
        <v/>
      </c>
      <c r="I1741" s="69" t="str">
        <f>IF($B1741="","",IPMT(Rate,ROWS($1:1729),Nper,-PV,,Type))</f>
        <v/>
      </c>
      <c r="J1741" s="73" t="str">
        <f t="shared" ref="J1741:K1741" si="1731">IF($B1741="","",N(J1740)+N(H1741))</f>
        <v/>
      </c>
      <c r="K1741" s="74" t="str">
        <f t="shared" si="1731"/>
        <v/>
      </c>
      <c r="L1741" s="69" t="str">
        <f>IF($B1741="","",PV-J1741)</f>
        <v/>
      </c>
      <c r="M1741" s="71" t="str">
        <f>IF($B1741="","",J1741/PV)</f>
        <v/>
      </c>
      <c r="N1741" s="72" t="str">
        <f t="shared" si="4"/>
        <v/>
      </c>
    </row>
    <row r="1742" ht="14.25" customHeight="1">
      <c r="B1742" s="66" t="str">
        <f>IF(ROWS($1:1730)&lt;=Nper,ROWS($1:1730),"")</f>
        <v/>
      </c>
      <c r="C1742" s="67" t="str">
        <f>IF($B1742="","",IF($E$7="Weekly",Start_Date+7*(ROWS($1:1730)-1),EDATE(Start_Date,VLOOKUP(IF(ASTemp!$E$7="","Monthly",ASTemp!$E$7),Parameters!$B$3:$D$6,3,0)*(ROWS($1:1730)-1))))</f>
        <v/>
      </c>
      <c r="D1742" s="68" t="str">
        <f t="shared" si="2"/>
        <v/>
      </c>
      <c r="E1742" s="65" t="str">
        <f>IF($B1742="","",VLOOKUP(MONTH(C1742),Parameters!$F$2:$G$13,2,0))</f>
        <v/>
      </c>
      <c r="F1742" s="69" t="str">
        <f>IF($B1742="","",PV-N(J1741))</f>
        <v/>
      </c>
      <c r="G1742" s="69" t="str">
        <f>IF($B1742="","",PMT(Rate,Nper,-PV,,Type))</f>
        <v/>
      </c>
      <c r="H1742" s="69" t="str">
        <f>IF($B1742="","",PPMT(Rate,ROWS($1:1730),Nper,-PV,,Type))</f>
        <v/>
      </c>
      <c r="I1742" s="69" t="str">
        <f>IF($B1742="","",IPMT(Rate,ROWS($1:1730),Nper,-PV,,Type))</f>
        <v/>
      </c>
      <c r="J1742" s="73" t="str">
        <f t="shared" ref="J1742:K1742" si="1732">IF($B1742="","",N(J1741)+N(H1742))</f>
        <v/>
      </c>
      <c r="K1742" s="74" t="str">
        <f t="shared" si="1732"/>
        <v/>
      </c>
      <c r="L1742" s="69" t="str">
        <f>IF($B1742="","",PV-J1742)</f>
        <v/>
      </c>
      <c r="M1742" s="71" t="str">
        <f>IF($B1742="","",J1742/PV)</f>
        <v/>
      </c>
      <c r="N1742" s="72" t="str">
        <f t="shared" si="4"/>
        <v/>
      </c>
    </row>
    <row r="1743" ht="14.25" customHeight="1">
      <c r="B1743" s="66" t="str">
        <f>IF(ROWS($1:1731)&lt;=Nper,ROWS($1:1731),"")</f>
        <v/>
      </c>
      <c r="C1743" s="67" t="str">
        <f>IF($B1743="","",IF($E$7="Weekly",Start_Date+7*(ROWS($1:1731)-1),EDATE(Start_Date,VLOOKUP(IF(ASTemp!$E$7="","Monthly",ASTemp!$E$7),Parameters!$B$3:$D$6,3,0)*(ROWS($1:1731)-1))))</f>
        <v/>
      </c>
      <c r="D1743" s="68" t="str">
        <f t="shared" si="2"/>
        <v/>
      </c>
      <c r="E1743" s="65" t="str">
        <f>IF($B1743="","",VLOOKUP(MONTH(C1743),Parameters!$F$2:$G$13,2,0))</f>
        <v/>
      </c>
      <c r="F1743" s="69" t="str">
        <f>IF($B1743="","",PV-N(J1742))</f>
        <v/>
      </c>
      <c r="G1743" s="69" t="str">
        <f>IF($B1743="","",PMT(Rate,Nper,-PV,,Type))</f>
        <v/>
      </c>
      <c r="H1743" s="69" t="str">
        <f>IF($B1743="","",PPMT(Rate,ROWS($1:1731),Nper,-PV,,Type))</f>
        <v/>
      </c>
      <c r="I1743" s="69" t="str">
        <f>IF($B1743="","",IPMT(Rate,ROWS($1:1731),Nper,-PV,,Type))</f>
        <v/>
      </c>
      <c r="J1743" s="73" t="str">
        <f t="shared" ref="J1743:K1743" si="1733">IF($B1743="","",N(J1742)+N(H1743))</f>
        <v/>
      </c>
      <c r="K1743" s="74" t="str">
        <f t="shared" si="1733"/>
        <v/>
      </c>
      <c r="L1743" s="69" t="str">
        <f>IF($B1743="","",PV-J1743)</f>
        <v/>
      </c>
      <c r="M1743" s="71" t="str">
        <f>IF($B1743="","",J1743/PV)</f>
        <v/>
      </c>
      <c r="N1743" s="72" t="str">
        <f t="shared" si="4"/>
        <v/>
      </c>
    </row>
    <row r="1744" ht="14.25" customHeight="1">
      <c r="B1744" s="66" t="str">
        <f>IF(ROWS($1:1732)&lt;=Nper,ROWS($1:1732),"")</f>
        <v/>
      </c>
      <c r="C1744" s="67" t="str">
        <f>IF($B1744="","",IF($E$7="Weekly",Start_Date+7*(ROWS($1:1732)-1),EDATE(Start_Date,VLOOKUP(IF(ASTemp!$E$7="","Monthly",ASTemp!$E$7),Parameters!$B$3:$D$6,3,0)*(ROWS($1:1732)-1))))</f>
        <v/>
      </c>
      <c r="D1744" s="68" t="str">
        <f t="shared" si="2"/>
        <v/>
      </c>
      <c r="E1744" s="65" t="str">
        <f>IF($B1744="","",VLOOKUP(MONTH(C1744),Parameters!$F$2:$G$13,2,0))</f>
        <v/>
      </c>
      <c r="F1744" s="69" t="str">
        <f>IF($B1744="","",PV-N(J1743))</f>
        <v/>
      </c>
      <c r="G1744" s="69" t="str">
        <f>IF($B1744="","",PMT(Rate,Nper,-PV,,Type))</f>
        <v/>
      </c>
      <c r="H1744" s="69" t="str">
        <f>IF($B1744="","",PPMT(Rate,ROWS($1:1732),Nper,-PV,,Type))</f>
        <v/>
      </c>
      <c r="I1744" s="69" t="str">
        <f>IF($B1744="","",IPMT(Rate,ROWS($1:1732),Nper,-PV,,Type))</f>
        <v/>
      </c>
      <c r="J1744" s="73" t="str">
        <f t="shared" ref="J1744:K1744" si="1734">IF($B1744="","",N(J1743)+N(H1744))</f>
        <v/>
      </c>
      <c r="K1744" s="74" t="str">
        <f t="shared" si="1734"/>
        <v/>
      </c>
      <c r="L1744" s="69" t="str">
        <f>IF($B1744="","",PV-J1744)</f>
        <v/>
      </c>
      <c r="M1744" s="71" t="str">
        <f>IF($B1744="","",J1744/PV)</f>
        <v/>
      </c>
      <c r="N1744" s="72" t="str">
        <f t="shared" si="4"/>
        <v/>
      </c>
    </row>
    <row r="1745" ht="14.25" customHeight="1">
      <c r="B1745" s="66" t="str">
        <f>IF(ROWS($1:1733)&lt;=Nper,ROWS($1:1733),"")</f>
        <v/>
      </c>
      <c r="C1745" s="67" t="str">
        <f>IF($B1745="","",IF($E$7="Weekly",Start_Date+7*(ROWS($1:1733)-1),EDATE(Start_Date,VLOOKUP(IF(ASTemp!$E$7="","Monthly",ASTemp!$E$7),Parameters!$B$3:$D$6,3,0)*(ROWS($1:1733)-1))))</f>
        <v/>
      </c>
      <c r="D1745" s="68" t="str">
        <f t="shared" si="2"/>
        <v/>
      </c>
      <c r="E1745" s="65" t="str">
        <f>IF($B1745="","",VLOOKUP(MONTH(C1745),Parameters!$F$2:$G$13,2,0))</f>
        <v/>
      </c>
      <c r="F1745" s="69" t="str">
        <f>IF($B1745="","",PV-N(J1744))</f>
        <v/>
      </c>
      <c r="G1745" s="69" t="str">
        <f>IF($B1745="","",PMT(Rate,Nper,-PV,,Type))</f>
        <v/>
      </c>
      <c r="H1745" s="69" t="str">
        <f>IF($B1745="","",PPMT(Rate,ROWS($1:1733),Nper,-PV,,Type))</f>
        <v/>
      </c>
      <c r="I1745" s="69" t="str">
        <f>IF($B1745="","",IPMT(Rate,ROWS($1:1733),Nper,-PV,,Type))</f>
        <v/>
      </c>
      <c r="J1745" s="73" t="str">
        <f t="shared" ref="J1745:K1745" si="1735">IF($B1745="","",N(J1744)+N(H1745))</f>
        <v/>
      </c>
      <c r="K1745" s="74" t="str">
        <f t="shared" si="1735"/>
        <v/>
      </c>
      <c r="L1745" s="69" t="str">
        <f>IF($B1745="","",PV-J1745)</f>
        <v/>
      </c>
      <c r="M1745" s="71" t="str">
        <f>IF($B1745="","",J1745/PV)</f>
        <v/>
      </c>
      <c r="N1745" s="72" t="str">
        <f t="shared" si="4"/>
        <v/>
      </c>
    </row>
    <row r="1746" ht="14.25" customHeight="1">
      <c r="B1746" s="66" t="str">
        <f>IF(ROWS($1:1734)&lt;=Nper,ROWS($1:1734),"")</f>
        <v/>
      </c>
      <c r="C1746" s="67" t="str">
        <f>IF($B1746="","",IF($E$7="Weekly",Start_Date+7*(ROWS($1:1734)-1),EDATE(Start_Date,VLOOKUP(IF(ASTemp!$E$7="","Monthly",ASTemp!$E$7),Parameters!$B$3:$D$6,3,0)*(ROWS($1:1734)-1))))</f>
        <v/>
      </c>
      <c r="D1746" s="68" t="str">
        <f t="shared" si="2"/>
        <v/>
      </c>
      <c r="E1746" s="65" t="str">
        <f>IF($B1746="","",VLOOKUP(MONTH(C1746),Parameters!$F$2:$G$13,2,0))</f>
        <v/>
      </c>
      <c r="F1746" s="69" t="str">
        <f>IF($B1746="","",PV-N(J1745))</f>
        <v/>
      </c>
      <c r="G1746" s="69" t="str">
        <f>IF($B1746="","",PMT(Rate,Nper,-PV,,Type))</f>
        <v/>
      </c>
      <c r="H1746" s="69" t="str">
        <f>IF($B1746="","",PPMT(Rate,ROWS($1:1734),Nper,-PV,,Type))</f>
        <v/>
      </c>
      <c r="I1746" s="69" t="str">
        <f>IF($B1746="","",IPMT(Rate,ROWS($1:1734),Nper,-PV,,Type))</f>
        <v/>
      </c>
      <c r="J1746" s="73" t="str">
        <f t="shared" ref="J1746:K1746" si="1736">IF($B1746="","",N(J1745)+N(H1746))</f>
        <v/>
      </c>
      <c r="K1746" s="74" t="str">
        <f t="shared" si="1736"/>
        <v/>
      </c>
      <c r="L1746" s="69" t="str">
        <f>IF($B1746="","",PV-J1746)</f>
        <v/>
      </c>
      <c r="M1746" s="71" t="str">
        <f>IF($B1746="","",J1746/PV)</f>
        <v/>
      </c>
      <c r="N1746" s="72" t="str">
        <f t="shared" si="4"/>
        <v/>
      </c>
    </row>
    <row r="1747" ht="14.25" customHeight="1">
      <c r="B1747" s="66" t="str">
        <f>IF(ROWS($1:1735)&lt;=Nper,ROWS($1:1735),"")</f>
        <v/>
      </c>
      <c r="C1747" s="67" t="str">
        <f>IF($B1747="","",IF($E$7="Weekly",Start_Date+7*(ROWS($1:1735)-1),EDATE(Start_Date,VLOOKUP(IF(ASTemp!$E$7="","Monthly",ASTemp!$E$7),Parameters!$B$3:$D$6,3,0)*(ROWS($1:1735)-1))))</f>
        <v/>
      </c>
      <c r="D1747" s="68" t="str">
        <f t="shared" si="2"/>
        <v/>
      </c>
      <c r="E1747" s="65" t="str">
        <f>IF($B1747="","",VLOOKUP(MONTH(C1747),Parameters!$F$2:$G$13,2,0))</f>
        <v/>
      </c>
      <c r="F1747" s="69" t="str">
        <f>IF($B1747="","",PV-N(J1746))</f>
        <v/>
      </c>
      <c r="G1747" s="69" t="str">
        <f>IF($B1747="","",PMT(Rate,Nper,-PV,,Type))</f>
        <v/>
      </c>
      <c r="H1747" s="69" t="str">
        <f>IF($B1747="","",PPMT(Rate,ROWS($1:1735),Nper,-PV,,Type))</f>
        <v/>
      </c>
      <c r="I1747" s="69" t="str">
        <f>IF($B1747="","",IPMT(Rate,ROWS($1:1735),Nper,-PV,,Type))</f>
        <v/>
      </c>
      <c r="J1747" s="73" t="str">
        <f t="shared" ref="J1747:K1747" si="1737">IF($B1747="","",N(J1746)+N(H1747))</f>
        <v/>
      </c>
      <c r="K1747" s="74" t="str">
        <f t="shared" si="1737"/>
        <v/>
      </c>
      <c r="L1747" s="69" t="str">
        <f>IF($B1747="","",PV-J1747)</f>
        <v/>
      </c>
      <c r="M1747" s="71" t="str">
        <f>IF($B1747="","",J1747/PV)</f>
        <v/>
      </c>
      <c r="N1747" s="72" t="str">
        <f t="shared" si="4"/>
        <v/>
      </c>
    </row>
    <row r="1748" ht="14.25" customHeight="1">
      <c r="B1748" s="66" t="str">
        <f>IF(ROWS($1:1736)&lt;=Nper,ROWS($1:1736),"")</f>
        <v/>
      </c>
      <c r="C1748" s="67" t="str">
        <f>IF($B1748="","",IF($E$7="Weekly",Start_Date+7*(ROWS($1:1736)-1),EDATE(Start_Date,VLOOKUP(IF(ASTemp!$E$7="","Monthly",ASTemp!$E$7),Parameters!$B$3:$D$6,3,0)*(ROWS($1:1736)-1))))</f>
        <v/>
      </c>
      <c r="D1748" s="68" t="str">
        <f t="shared" si="2"/>
        <v/>
      </c>
      <c r="E1748" s="65" t="str">
        <f>IF($B1748="","",VLOOKUP(MONTH(C1748),Parameters!$F$2:$G$13,2,0))</f>
        <v/>
      </c>
      <c r="F1748" s="69" t="str">
        <f>IF($B1748="","",PV-N(J1747))</f>
        <v/>
      </c>
      <c r="G1748" s="69" t="str">
        <f>IF($B1748="","",PMT(Rate,Nper,-PV,,Type))</f>
        <v/>
      </c>
      <c r="H1748" s="69" t="str">
        <f>IF($B1748="","",PPMT(Rate,ROWS($1:1736),Nper,-PV,,Type))</f>
        <v/>
      </c>
      <c r="I1748" s="69" t="str">
        <f>IF($B1748="","",IPMT(Rate,ROWS($1:1736),Nper,-PV,,Type))</f>
        <v/>
      </c>
      <c r="J1748" s="73" t="str">
        <f t="shared" ref="J1748:K1748" si="1738">IF($B1748="","",N(J1747)+N(H1748))</f>
        <v/>
      </c>
      <c r="K1748" s="74" t="str">
        <f t="shared" si="1738"/>
        <v/>
      </c>
      <c r="L1748" s="69" t="str">
        <f>IF($B1748="","",PV-J1748)</f>
        <v/>
      </c>
      <c r="M1748" s="71" t="str">
        <f>IF($B1748="","",J1748/PV)</f>
        <v/>
      </c>
      <c r="N1748" s="72" t="str">
        <f t="shared" si="4"/>
        <v/>
      </c>
    </row>
    <row r="1749" ht="14.25" customHeight="1">
      <c r="B1749" s="66" t="str">
        <f>IF(ROWS($1:1737)&lt;=Nper,ROWS($1:1737),"")</f>
        <v/>
      </c>
      <c r="C1749" s="67" t="str">
        <f>IF($B1749="","",IF($E$7="Weekly",Start_Date+7*(ROWS($1:1737)-1),EDATE(Start_Date,VLOOKUP(IF(ASTemp!$E$7="","Monthly",ASTemp!$E$7),Parameters!$B$3:$D$6,3,0)*(ROWS($1:1737)-1))))</f>
        <v/>
      </c>
      <c r="D1749" s="68" t="str">
        <f t="shared" si="2"/>
        <v/>
      </c>
      <c r="E1749" s="65" t="str">
        <f>IF($B1749="","",VLOOKUP(MONTH(C1749),Parameters!$F$2:$G$13,2,0))</f>
        <v/>
      </c>
      <c r="F1749" s="69" t="str">
        <f>IF($B1749="","",PV-N(J1748))</f>
        <v/>
      </c>
      <c r="G1749" s="69" t="str">
        <f>IF($B1749="","",PMT(Rate,Nper,-PV,,Type))</f>
        <v/>
      </c>
      <c r="H1749" s="69" t="str">
        <f>IF($B1749="","",PPMT(Rate,ROWS($1:1737),Nper,-PV,,Type))</f>
        <v/>
      </c>
      <c r="I1749" s="69" t="str">
        <f>IF($B1749="","",IPMT(Rate,ROWS($1:1737),Nper,-PV,,Type))</f>
        <v/>
      </c>
      <c r="J1749" s="73" t="str">
        <f t="shared" ref="J1749:K1749" si="1739">IF($B1749="","",N(J1748)+N(H1749))</f>
        <v/>
      </c>
      <c r="K1749" s="74" t="str">
        <f t="shared" si="1739"/>
        <v/>
      </c>
      <c r="L1749" s="69" t="str">
        <f>IF($B1749="","",PV-J1749)</f>
        <v/>
      </c>
      <c r="M1749" s="71" t="str">
        <f>IF($B1749="","",J1749/PV)</f>
        <v/>
      </c>
      <c r="N1749" s="72" t="str">
        <f t="shared" si="4"/>
        <v/>
      </c>
    </row>
    <row r="1750" ht="14.25" customHeight="1">
      <c r="B1750" s="66" t="str">
        <f>IF(ROWS($1:1738)&lt;=Nper,ROWS($1:1738),"")</f>
        <v/>
      </c>
      <c r="C1750" s="67" t="str">
        <f>IF($B1750="","",IF($E$7="Weekly",Start_Date+7*(ROWS($1:1738)-1),EDATE(Start_Date,VLOOKUP(IF(ASTemp!$E$7="","Monthly",ASTemp!$E$7),Parameters!$B$3:$D$6,3,0)*(ROWS($1:1738)-1))))</f>
        <v/>
      </c>
      <c r="D1750" s="68" t="str">
        <f t="shared" si="2"/>
        <v/>
      </c>
      <c r="E1750" s="65" t="str">
        <f>IF($B1750="","",VLOOKUP(MONTH(C1750),Parameters!$F$2:$G$13,2,0))</f>
        <v/>
      </c>
      <c r="F1750" s="69" t="str">
        <f>IF($B1750="","",PV-N(J1749))</f>
        <v/>
      </c>
      <c r="G1750" s="69" t="str">
        <f>IF($B1750="","",PMT(Rate,Nper,-PV,,Type))</f>
        <v/>
      </c>
      <c r="H1750" s="69" t="str">
        <f>IF($B1750="","",PPMT(Rate,ROWS($1:1738),Nper,-PV,,Type))</f>
        <v/>
      </c>
      <c r="I1750" s="69" t="str">
        <f>IF($B1750="","",IPMT(Rate,ROWS($1:1738),Nper,-PV,,Type))</f>
        <v/>
      </c>
      <c r="J1750" s="73" t="str">
        <f t="shared" ref="J1750:K1750" si="1740">IF($B1750="","",N(J1749)+N(H1750))</f>
        <v/>
      </c>
      <c r="K1750" s="74" t="str">
        <f t="shared" si="1740"/>
        <v/>
      </c>
      <c r="L1750" s="69" t="str">
        <f>IF($B1750="","",PV-J1750)</f>
        <v/>
      </c>
      <c r="M1750" s="71" t="str">
        <f>IF($B1750="","",J1750/PV)</f>
        <v/>
      </c>
      <c r="N1750" s="72" t="str">
        <f t="shared" si="4"/>
        <v/>
      </c>
    </row>
    <row r="1751" ht="14.25" customHeight="1">
      <c r="B1751" s="66" t="str">
        <f>IF(ROWS($1:1739)&lt;=Nper,ROWS($1:1739),"")</f>
        <v/>
      </c>
      <c r="C1751" s="67" t="str">
        <f>IF($B1751="","",IF($E$7="Weekly",Start_Date+7*(ROWS($1:1739)-1),EDATE(Start_Date,VLOOKUP(IF(ASTemp!$E$7="","Monthly",ASTemp!$E$7),Parameters!$B$3:$D$6,3,0)*(ROWS($1:1739)-1))))</f>
        <v/>
      </c>
      <c r="D1751" s="68" t="str">
        <f t="shared" si="2"/>
        <v/>
      </c>
      <c r="E1751" s="65" t="str">
        <f>IF($B1751="","",VLOOKUP(MONTH(C1751),Parameters!$F$2:$G$13,2,0))</f>
        <v/>
      </c>
      <c r="F1751" s="69" t="str">
        <f>IF($B1751="","",PV-N(J1750))</f>
        <v/>
      </c>
      <c r="G1751" s="69" t="str">
        <f>IF($B1751="","",PMT(Rate,Nper,-PV,,Type))</f>
        <v/>
      </c>
      <c r="H1751" s="69" t="str">
        <f>IF($B1751="","",PPMT(Rate,ROWS($1:1739),Nper,-PV,,Type))</f>
        <v/>
      </c>
      <c r="I1751" s="69" t="str">
        <f>IF($B1751="","",IPMT(Rate,ROWS($1:1739),Nper,-PV,,Type))</f>
        <v/>
      </c>
      <c r="J1751" s="73" t="str">
        <f t="shared" ref="J1751:K1751" si="1741">IF($B1751="","",N(J1750)+N(H1751))</f>
        <v/>
      </c>
      <c r="K1751" s="74" t="str">
        <f t="shared" si="1741"/>
        <v/>
      </c>
      <c r="L1751" s="69" t="str">
        <f>IF($B1751="","",PV-J1751)</f>
        <v/>
      </c>
      <c r="M1751" s="71" t="str">
        <f>IF($B1751="","",J1751/PV)</f>
        <v/>
      </c>
      <c r="N1751" s="72" t="str">
        <f t="shared" si="4"/>
        <v/>
      </c>
    </row>
    <row r="1752" ht="14.25" customHeight="1">
      <c r="B1752" s="66" t="str">
        <f>IF(ROWS($1:1740)&lt;=Nper,ROWS($1:1740),"")</f>
        <v/>
      </c>
      <c r="C1752" s="67" t="str">
        <f>IF($B1752="","",IF($E$7="Weekly",Start_Date+7*(ROWS($1:1740)-1),EDATE(Start_Date,VLOOKUP(IF(ASTemp!$E$7="","Monthly",ASTemp!$E$7),Parameters!$B$3:$D$6,3,0)*(ROWS($1:1740)-1))))</f>
        <v/>
      </c>
      <c r="D1752" s="68" t="str">
        <f t="shared" si="2"/>
        <v/>
      </c>
      <c r="E1752" s="65" t="str">
        <f>IF($B1752="","",VLOOKUP(MONTH(C1752),Parameters!$F$2:$G$13,2,0))</f>
        <v/>
      </c>
      <c r="F1752" s="69" t="str">
        <f>IF($B1752="","",PV-N(J1751))</f>
        <v/>
      </c>
      <c r="G1752" s="69" t="str">
        <f>IF($B1752="","",PMT(Rate,Nper,-PV,,Type))</f>
        <v/>
      </c>
      <c r="H1752" s="69" t="str">
        <f>IF($B1752="","",PPMT(Rate,ROWS($1:1740),Nper,-PV,,Type))</f>
        <v/>
      </c>
      <c r="I1752" s="69" t="str">
        <f>IF($B1752="","",IPMT(Rate,ROWS($1:1740),Nper,-PV,,Type))</f>
        <v/>
      </c>
      <c r="J1752" s="73" t="str">
        <f t="shared" ref="J1752:K1752" si="1742">IF($B1752="","",N(J1751)+N(H1752))</f>
        <v/>
      </c>
      <c r="K1752" s="74" t="str">
        <f t="shared" si="1742"/>
        <v/>
      </c>
      <c r="L1752" s="69" t="str">
        <f>IF($B1752="","",PV-J1752)</f>
        <v/>
      </c>
      <c r="M1752" s="71" t="str">
        <f>IF($B1752="","",J1752/PV)</f>
        <v/>
      </c>
      <c r="N1752" s="72" t="str">
        <f t="shared" si="4"/>
        <v/>
      </c>
    </row>
    <row r="1753" ht="14.25" customHeight="1">
      <c r="B1753" s="66" t="str">
        <f>IF(ROWS($1:1741)&lt;=Nper,ROWS($1:1741),"")</f>
        <v/>
      </c>
      <c r="C1753" s="67" t="str">
        <f>IF($B1753="","",IF($E$7="Weekly",Start_Date+7*(ROWS($1:1741)-1),EDATE(Start_Date,VLOOKUP(IF(ASTemp!$E$7="","Monthly",ASTemp!$E$7),Parameters!$B$3:$D$6,3,0)*(ROWS($1:1741)-1))))</f>
        <v/>
      </c>
      <c r="D1753" s="68" t="str">
        <f t="shared" si="2"/>
        <v/>
      </c>
      <c r="E1753" s="65" t="str">
        <f>IF($B1753="","",VLOOKUP(MONTH(C1753),Parameters!$F$2:$G$13,2,0))</f>
        <v/>
      </c>
      <c r="F1753" s="69" t="str">
        <f>IF($B1753="","",PV-N(J1752))</f>
        <v/>
      </c>
      <c r="G1753" s="69" t="str">
        <f>IF($B1753="","",PMT(Rate,Nper,-PV,,Type))</f>
        <v/>
      </c>
      <c r="H1753" s="69" t="str">
        <f>IF($B1753="","",PPMT(Rate,ROWS($1:1741),Nper,-PV,,Type))</f>
        <v/>
      </c>
      <c r="I1753" s="69" t="str">
        <f>IF($B1753="","",IPMT(Rate,ROWS($1:1741),Nper,-PV,,Type))</f>
        <v/>
      </c>
      <c r="J1753" s="73" t="str">
        <f t="shared" ref="J1753:K1753" si="1743">IF($B1753="","",N(J1752)+N(H1753))</f>
        <v/>
      </c>
      <c r="K1753" s="74" t="str">
        <f t="shared" si="1743"/>
        <v/>
      </c>
      <c r="L1753" s="69" t="str">
        <f>IF($B1753="","",PV-J1753)</f>
        <v/>
      </c>
      <c r="M1753" s="71" t="str">
        <f>IF($B1753="","",J1753/PV)</f>
        <v/>
      </c>
      <c r="N1753" s="72" t="str">
        <f t="shared" si="4"/>
        <v/>
      </c>
    </row>
    <row r="1754" ht="14.25" customHeight="1">
      <c r="B1754" s="66" t="str">
        <f>IF(ROWS($1:1742)&lt;=Nper,ROWS($1:1742),"")</f>
        <v/>
      </c>
      <c r="C1754" s="67" t="str">
        <f>IF($B1754="","",IF($E$7="Weekly",Start_Date+7*(ROWS($1:1742)-1),EDATE(Start_Date,VLOOKUP(IF(ASTemp!$E$7="","Monthly",ASTemp!$E$7),Parameters!$B$3:$D$6,3,0)*(ROWS($1:1742)-1))))</f>
        <v/>
      </c>
      <c r="D1754" s="68" t="str">
        <f t="shared" si="2"/>
        <v/>
      </c>
      <c r="E1754" s="65" t="str">
        <f>IF($B1754="","",VLOOKUP(MONTH(C1754),Parameters!$F$2:$G$13,2,0))</f>
        <v/>
      </c>
      <c r="F1754" s="69" t="str">
        <f>IF($B1754="","",PV-N(J1753))</f>
        <v/>
      </c>
      <c r="G1754" s="69" t="str">
        <f>IF($B1754="","",PMT(Rate,Nper,-PV,,Type))</f>
        <v/>
      </c>
      <c r="H1754" s="69" t="str">
        <f>IF($B1754="","",PPMT(Rate,ROWS($1:1742),Nper,-PV,,Type))</f>
        <v/>
      </c>
      <c r="I1754" s="69" t="str">
        <f>IF($B1754="","",IPMT(Rate,ROWS($1:1742),Nper,-PV,,Type))</f>
        <v/>
      </c>
      <c r="J1754" s="73" t="str">
        <f t="shared" ref="J1754:K1754" si="1744">IF($B1754="","",N(J1753)+N(H1754))</f>
        <v/>
      </c>
      <c r="K1754" s="74" t="str">
        <f t="shared" si="1744"/>
        <v/>
      </c>
      <c r="L1754" s="69" t="str">
        <f>IF($B1754="","",PV-J1754)</f>
        <v/>
      </c>
      <c r="M1754" s="71" t="str">
        <f>IF($B1754="","",J1754/PV)</f>
        <v/>
      </c>
      <c r="N1754" s="72" t="str">
        <f t="shared" si="4"/>
        <v/>
      </c>
    </row>
    <row r="1755" ht="14.25" customHeight="1">
      <c r="B1755" s="66" t="str">
        <f>IF(ROWS($1:1743)&lt;=Nper,ROWS($1:1743),"")</f>
        <v/>
      </c>
      <c r="C1755" s="67" t="str">
        <f>IF($B1755="","",IF($E$7="Weekly",Start_Date+7*(ROWS($1:1743)-1),EDATE(Start_Date,VLOOKUP(IF(ASTemp!$E$7="","Monthly",ASTemp!$E$7),Parameters!$B$3:$D$6,3,0)*(ROWS($1:1743)-1))))</f>
        <v/>
      </c>
      <c r="D1755" s="68" t="str">
        <f t="shared" si="2"/>
        <v/>
      </c>
      <c r="E1755" s="65" t="str">
        <f>IF($B1755="","",VLOOKUP(MONTH(C1755),Parameters!$F$2:$G$13,2,0))</f>
        <v/>
      </c>
      <c r="F1755" s="69" t="str">
        <f>IF($B1755="","",PV-N(J1754))</f>
        <v/>
      </c>
      <c r="G1755" s="69" t="str">
        <f>IF($B1755="","",PMT(Rate,Nper,-PV,,Type))</f>
        <v/>
      </c>
      <c r="H1755" s="69" t="str">
        <f>IF($B1755="","",PPMT(Rate,ROWS($1:1743),Nper,-PV,,Type))</f>
        <v/>
      </c>
      <c r="I1755" s="69" t="str">
        <f>IF($B1755="","",IPMT(Rate,ROWS($1:1743),Nper,-PV,,Type))</f>
        <v/>
      </c>
      <c r="J1755" s="73" t="str">
        <f t="shared" ref="J1755:K1755" si="1745">IF($B1755="","",N(J1754)+N(H1755))</f>
        <v/>
      </c>
      <c r="K1755" s="74" t="str">
        <f t="shared" si="1745"/>
        <v/>
      </c>
      <c r="L1755" s="69" t="str">
        <f>IF($B1755="","",PV-J1755)</f>
        <v/>
      </c>
      <c r="M1755" s="71" t="str">
        <f>IF($B1755="","",J1755/PV)</f>
        <v/>
      </c>
      <c r="N1755" s="72" t="str">
        <f t="shared" si="4"/>
        <v/>
      </c>
    </row>
    <row r="1756" ht="14.25" customHeight="1">
      <c r="B1756" s="66" t="str">
        <f>IF(ROWS($1:1744)&lt;=Nper,ROWS($1:1744),"")</f>
        <v/>
      </c>
      <c r="C1756" s="67" t="str">
        <f>IF($B1756="","",IF($E$7="Weekly",Start_Date+7*(ROWS($1:1744)-1),EDATE(Start_Date,VLOOKUP(IF(ASTemp!$E$7="","Monthly",ASTemp!$E$7),Parameters!$B$3:$D$6,3,0)*(ROWS($1:1744)-1))))</f>
        <v/>
      </c>
      <c r="D1756" s="68" t="str">
        <f t="shared" si="2"/>
        <v/>
      </c>
      <c r="E1756" s="65" t="str">
        <f>IF($B1756="","",VLOOKUP(MONTH(C1756),Parameters!$F$2:$G$13,2,0))</f>
        <v/>
      </c>
      <c r="F1756" s="69" t="str">
        <f>IF($B1756="","",PV-N(J1755))</f>
        <v/>
      </c>
      <c r="G1756" s="69" t="str">
        <f>IF($B1756="","",PMT(Rate,Nper,-PV,,Type))</f>
        <v/>
      </c>
      <c r="H1756" s="69" t="str">
        <f>IF($B1756="","",PPMT(Rate,ROWS($1:1744),Nper,-PV,,Type))</f>
        <v/>
      </c>
      <c r="I1756" s="69" t="str">
        <f>IF($B1756="","",IPMT(Rate,ROWS($1:1744),Nper,-PV,,Type))</f>
        <v/>
      </c>
      <c r="J1756" s="73" t="str">
        <f t="shared" ref="J1756:K1756" si="1746">IF($B1756="","",N(J1755)+N(H1756))</f>
        <v/>
      </c>
      <c r="K1756" s="74" t="str">
        <f t="shared" si="1746"/>
        <v/>
      </c>
      <c r="L1756" s="69" t="str">
        <f>IF($B1756="","",PV-J1756)</f>
        <v/>
      </c>
      <c r="M1756" s="71" t="str">
        <f>IF($B1756="","",J1756/PV)</f>
        <v/>
      </c>
      <c r="N1756" s="72" t="str">
        <f t="shared" si="4"/>
        <v/>
      </c>
    </row>
    <row r="1757" ht="14.25" customHeight="1">
      <c r="B1757" s="66" t="str">
        <f>IF(ROWS($1:1745)&lt;=Nper,ROWS($1:1745),"")</f>
        <v/>
      </c>
      <c r="C1757" s="67" t="str">
        <f>IF($B1757="","",IF($E$7="Weekly",Start_Date+7*(ROWS($1:1745)-1),EDATE(Start_Date,VLOOKUP(IF(ASTemp!$E$7="","Monthly",ASTemp!$E$7),Parameters!$B$3:$D$6,3,0)*(ROWS($1:1745)-1))))</f>
        <v/>
      </c>
      <c r="D1757" s="68" t="str">
        <f t="shared" si="2"/>
        <v/>
      </c>
      <c r="E1757" s="65" t="str">
        <f>IF($B1757="","",VLOOKUP(MONTH(C1757),Parameters!$F$2:$G$13,2,0))</f>
        <v/>
      </c>
      <c r="F1757" s="69" t="str">
        <f>IF($B1757="","",PV-N(J1756))</f>
        <v/>
      </c>
      <c r="G1757" s="69" t="str">
        <f>IF($B1757="","",PMT(Rate,Nper,-PV,,Type))</f>
        <v/>
      </c>
      <c r="H1757" s="69" t="str">
        <f>IF($B1757="","",PPMT(Rate,ROWS($1:1745),Nper,-PV,,Type))</f>
        <v/>
      </c>
      <c r="I1757" s="69" t="str">
        <f>IF($B1757="","",IPMT(Rate,ROWS($1:1745),Nper,-PV,,Type))</f>
        <v/>
      </c>
      <c r="J1757" s="73" t="str">
        <f t="shared" ref="J1757:K1757" si="1747">IF($B1757="","",N(J1756)+N(H1757))</f>
        <v/>
      </c>
      <c r="K1757" s="74" t="str">
        <f t="shared" si="1747"/>
        <v/>
      </c>
      <c r="L1757" s="69" t="str">
        <f>IF($B1757="","",PV-J1757)</f>
        <v/>
      </c>
      <c r="M1757" s="71" t="str">
        <f>IF($B1757="","",J1757/PV)</f>
        <v/>
      </c>
      <c r="N1757" s="72" t="str">
        <f t="shared" si="4"/>
        <v/>
      </c>
    </row>
    <row r="1758" ht="14.25" customHeight="1">
      <c r="B1758" s="66" t="str">
        <f>IF(ROWS($1:1746)&lt;=Nper,ROWS($1:1746),"")</f>
        <v/>
      </c>
      <c r="C1758" s="67" t="str">
        <f>IF($B1758="","",IF($E$7="Weekly",Start_Date+7*(ROWS($1:1746)-1),EDATE(Start_Date,VLOOKUP(IF(ASTemp!$E$7="","Monthly",ASTemp!$E$7),Parameters!$B$3:$D$6,3,0)*(ROWS($1:1746)-1))))</f>
        <v/>
      </c>
      <c r="D1758" s="68" t="str">
        <f t="shared" si="2"/>
        <v/>
      </c>
      <c r="E1758" s="65" t="str">
        <f>IF($B1758="","",VLOOKUP(MONTH(C1758),Parameters!$F$2:$G$13,2,0))</f>
        <v/>
      </c>
      <c r="F1758" s="69" t="str">
        <f>IF($B1758="","",PV-N(J1757))</f>
        <v/>
      </c>
      <c r="G1758" s="69" t="str">
        <f>IF($B1758="","",PMT(Rate,Nper,-PV,,Type))</f>
        <v/>
      </c>
      <c r="H1758" s="69" t="str">
        <f>IF($B1758="","",PPMT(Rate,ROWS($1:1746),Nper,-PV,,Type))</f>
        <v/>
      </c>
      <c r="I1758" s="69" t="str">
        <f>IF($B1758="","",IPMT(Rate,ROWS($1:1746),Nper,-PV,,Type))</f>
        <v/>
      </c>
      <c r="J1758" s="73" t="str">
        <f t="shared" ref="J1758:K1758" si="1748">IF($B1758="","",N(J1757)+N(H1758))</f>
        <v/>
      </c>
      <c r="K1758" s="74" t="str">
        <f t="shared" si="1748"/>
        <v/>
      </c>
      <c r="L1758" s="69" t="str">
        <f>IF($B1758="","",PV-J1758)</f>
        <v/>
      </c>
      <c r="M1758" s="71" t="str">
        <f>IF($B1758="","",J1758/PV)</f>
        <v/>
      </c>
      <c r="N1758" s="72" t="str">
        <f t="shared" si="4"/>
        <v/>
      </c>
    </row>
    <row r="1759" ht="14.25" customHeight="1">
      <c r="B1759" s="66" t="str">
        <f>IF(ROWS($1:1747)&lt;=Nper,ROWS($1:1747),"")</f>
        <v/>
      </c>
      <c r="C1759" s="67" t="str">
        <f>IF($B1759="","",IF($E$7="Weekly",Start_Date+7*(ROWS($1:1747)-1),EDATE(Start_Date,VLOOKUP(IF(ASTemp!$E$7="","Monthly",ASTemp!$E$7),Parameters!$B$3:$D$6,3,0)*(ROWS($1:1747)-1))))</f>
        <v/>
      </c>
      <c r="D1759" s="68" t="str">
        <f t="shared" si="2"/>
        <v/>
      </c>
      <c r="E1759" s="65" t="str">
        <f>IF($B1759="","",VLOOKUP(MONTH(C1759),Parameters!$F$2:$G$13,2,0))</f>
        <v/>
      </c>
      <c r="F1759" s="69" t="str">
        <f>IF($B1759="","",PV-N(J1758))</f>
        <v/>
      </c>
      <c r="G1759" s="69" t="str">
        <f>IF($B1759="","",PMT(Rate,Nper,-PV,,Type))</f>
        <v/>
      </c>
      <c r="H1759" s="69" t="str">
        <f>IF($B1759="","",PPMT(Rate,ROWS($1:1747),Nper,-PV,,Type))</f>
        <v/>
      </c>
      <c r="I1759" s="69" t="str">
        <f>IF($B1759="","",IPMT(Rate,ROWS($1:1747),Nper,-PV,,Type))</f>
        <v/>
      </c>
      <c r="J1759" s="73" t="str">
        <f t="shared" ref="J1759:K1759" si="1749">IF($B1759="","",N(J1758)+N(H1759))</f>
        <v/>
      </c>
      <c r="K1759" s="74" t="str">
        <f t="shared" si="1749"/>
        <v/>
      </c>
      <c r="L1759" s="69" t="str">
        <f>IF($B1759="","",PV-J1759)</f>
        <v/>
      </c>
      <c r="M1759" s="71" t="str">
        <f>IF($B1759="","",J1759/PV)</f>
        <v/>
      </c>
      <c r="N1759" s="72" t="str">
        <f t="shared" si="4"/>
        <v/>
      </c>
    </row>
    <row r="1760" ht="14.25" customHeight="1">
      <c r="B1760" s="66" t="str">
        <f>IF(ROWS($1:1748)&lt;=Nper,ROWS($1:1748),"")</f>
        <v/>
      </c>
      <c r="C1760" s="67" t="str">
        <f>IF($B1760="","",IF($E$7="Weekly",Start_Date+7*(ROWS($1:1748)-1),EDATE(Start_Date,VLOOKUP(IF(ASTemp!$E$7="","Monthly",ASTemp!$E$7),Parameters!$B$3:$D$6,3,0)*(ROWS($1:1748)-1))))</f>
        <v/>
      </c>
      <c r="D1760" s="68" t="str">
        <f t="shared" si="2"/>
        <v/>
      </c>
      <c r="E1760" s="65" t="str">
        <f>IF($B1760="","",VLOOKUP(MONTH(C1760),Parameters!$F$2:$G$13,2,0))</f>
        <v/>
      </c>
      <c r="F1760" s="69" t="str">
        <f>IF($B1760="","",PV-N(J1759))</f>
        <v/>
      </c>
      <c r="G1760" s="69" t="str">
        <f>IF($B1760="","",PMT(Rate,Nper,-PV,,Type))</f>
        <v/>
      </c>
      <c r="H1760" s="69" t="str">
        <f>IF($B1760="","",PPMT(Rate,ROWS($1:1748),Nper,-PV,,Type))</f>
        <v/>
      </c>
      <c r="I1760" s="69" t="str">
        <f>IF($B1760="","",IPMT(Rate,ROWS($1:1748),Nper,-PV,,Type))</f>
        <v/>
      </c>
      <c r="J1760" s="73" t="str">
        <f t="shared" ref="J1760:K1760" si="1750">IF($B1760="","",N(J1759)+N(H1760))</f>
        <v/>
      </c>
      <c r="K1760" s="74" t="str">
        <f t="shared" si="1750"/>
        <v/>
      </c>
      <c r="L1760" s="69" t="str">
        <f>IF($B1760="","",PV-J1760)</f>
        <v/>
      </c>
      <c r="M1760" s="71" t="str">
        <f>IF($B1760="","",J1760/PV)</f>
        <v/>
      </c>
      <c r="N1760" s="72" t="str">
        <f t="shared" si="4"/>
        <v/>
      </c>
    </row>
    <row r="1761" ht="14.25" customHeight="1">
      <c r="B1761" s="66" t="str">
        <f>IF(ROWS($1:1749)&lt;=Nper,ROWS($1:1749),"")</f>
        <v/>
      </c>
      <c r="C1761" s="67" t="str">
        <f>IF($B1761="","",IF($E$7="Weekly",Start_Date+7*(ROWS($1:1749)-1),EDATE(Start_Date,VLOOKUP(IF(ASTemp!$E$7="","Monthly",ASTemp!$E$7),Parameters!$B$3:$D$6,3,0)*(ROWS($1:1749)-1))))</f>
        <v/>
      </c>
      <c r="D1761" s="68" t="str">
        <f t="shared" si="2"/>
        <v/>
      </c>
      <c r="E1761" s="65" t="str">
        <f>IF($B1761="","",VLOOKUP(MONTH(C1761),Parameters!$F$2:$G$13,2,0))</f>
        <v/>
      </c>
      <c r="F1761" s="69" t="str">
        <f>IF($B1761="","",PV-N(J1760))</f>
        <v/>
      </c>
      <c r="G1761" s="69" t="str">
        <f>IF($B1761="","",PMT(Rate,Nper,-PV,,Type))</f>
        <v/>
      </c>
      <c r="H1761" s="69" t="str">
        <f>IF($B1761="","",PPMT(Rate,ROWS($1:1749),Nper,-PV,,Type))</f>
        <v/>
      </c>
      <c r="I1761" s="69" t="str">
        <f>IF($B1761="","",IPMT(Rate,ROWS($1:1749),Nper,-PV,,Type))</f>
        <v/>
      </c>
      <c r="J1761" s="73" t="str">
        <f t="shared" ref="J1761:K1761" si="1751">IF($B1761="","",N(J1760)+N(H1761))</f>
        <v/>
      </c>
      <c r="K1761" s="74" t="str">
        <f t="shared" si="1751"/>
        <v/>
      </c>
      <c r="L1761" s="69" t="str">
        <f>IF($B1761="","",PV-J1761)</f>
        <v/>
      </c>
      <c r="M1761" s="71" t="str">
        <f>IF($B1761="","",J1761/PV)</f>
        <v/>
      </c>
      <c r="N1761" s="72" t="str">
        <f t="shared" si="4"/>
        <v/>
      </c>
    </row>
    <row r="1762" ht="14.25" customHeight="1">
      <c r="B1762" s="66" t="str">
        <f>IF(ROWS($1:1750)&lt;=Nper,ROWS($1:1750),"")</f>
        <v/>
      </c>
      <c r="C1762" s="67" t="str">
        <f>IF($B1762="","",IF($E$7="Weekly",Start_Date+7*(ROWS($1:1750)-1),EDATE(Start_Date,VLOOKUP(IF(ASTemp!$E$7="","Monthly",ASTemp!$E$7),Parameters!$B$3:$D$6,3,0)*(ROWS($1:1750)-1))))</f>
        <v/>
      </c>
      <c r="D1762" s="68" t="str">
        <f t="shared" si="2"/>
        <v/>
      </c>
      <c r="E1762" s="65" t="str">
        <f>IF($B1762="","",VLOOKUP(MONTH(C1762),Parameters!$F$2:$G$13,2,0))</f>
        <v/>
      </c>
      <c r="F1762" s="69" t="str">
        <f>IF($B1762="","",PV-N(J1761))</f>
        <v/>
      </c>
      <c r="G1762" s="69" t="str">
        <f>IF($B1762="","",PMT(Rate,Nper,-PV,,Type))</f>
        <v/>
      </c>
      <c r="H1762" s="69" t="str">
        <f>IF($B1762="","",PPMT(Rate,ROWS($1:1750),Nper,-PV,,Type))</f>
        <v/>
      </c>
      <c r="I1762" s="69" t="str">
        <f>IF($B1762="","",IPMT(Rate,ROWS($1:1750),Nper,-PV,,Type))</f>
        <v/>
      </c>
      <c r="J1762" s="73" t="str">
        <f t="shared" ref="J1762:K1762" si="1752">IF($B1762="","",N(J1761)+N(H1762))</f>
        <v/>
      </c>
      <c r="K1762" s="74" t="str">
        <f t="shared" si="1752"/>
        <v/>
      </c>
      <c r="L1762" s="69" t="str">
        <f>IF($B1762="","",PV-J1762)</f>
        <v/>
      </c>
      <c r="M1762" s="71" t="str">
        <f>IF($B1762="","",J1762/PV)</f>
        <v/>
      </c>
      <c r="N1762" s="72" t="str">
        <f t="shared" si="4"/>
        <v/>
      </c>
    </row>
    <row r="1763" ht="14.25" customHeight="1">
      <c r="B1763" s="66" t="str">
        <f>IF(ROWS($1:1751)&lt;=Nper,ROWS($1:1751),"")</f>
        <v/>
      </c>
      <c r="C1763" s="67" t="str">
        <f>IF($B1763="","",IF($E$7="Weekly",Start_Date+7*(ROWS($1:1751)-1),EDATE(Start_Date,VLOOKUP(IF(ASTemp!$E$7="","Monthly",ASTemp!$E$7),Parameters!$B$3:$D$6,3,0)*(ROWS($1:1751)-1))))</f>
        <v/>
      </c>
      <c r="D1763" s="68" t="str">
        <f t="shared" si="2"/>
        <v/>
      </c>
      <c r="E1763" s="65" t="str">
        <f>IF($B1763="","",VLOOKUP(MONTH(C1763),Parameters!$F$2:$G$13,2,0))</f>
        <v/>
      </c>
      <c r="F1763" s="69" t="str">
        <f>IF($B1763="","",PV-N(J1762))</f>
        <v/>
      </c>
      <c r="G1763" s="69" t="str">
        <f>IF($B1763="","",PMT(Rate,Nper,-PV,,Type))</f>
        <v/>
      </c>
      <c r="H1763" s="69" t="str">
        <f>IF($B1763="","",PPMT(Rate,ROWS($1:1751),Nper,-PV,,Type))</f>
        <v/>
      </c>
      <c r="I1763" s="69" t="str">
        <f>IF($B1763="","",IPMT(Rate,ROWS($1:1751),Nper,-PV,,Type))</f>
        <v/>
      </c>
      <c r="J1763" s="73" t="str">
        <f t="shared" ref="J1763:K1763" si="1753">IF($B1763="","",N(J1762)+N(H1763))</f>
        <v/>
      </c>
      <c r="K1763" s="74" t="str">
        <f t="shared" si="1753"/>
        <v/>
      </c>
      <c r="L1763" s="69" t="str">
        <f>IF($B1763="","",PV-J1763)</f>
        <v/>
      </c>
      <c r="M1763" s="71" t="str">
        <f>IF($B1763="","",J1763/PV)</f>
        <v/>
      </c>
      <c r="N1763" s="72" t="str">
        <f t="shared" si="4"/>
        <v/>
      </c>
    </row>
    <row r="1764" ht="14.25" customHeight="1">
      <c r="B1764" s="66" t="str">
        <f>IF(ROWS($1:1752)&lt;=Nper,ROWS($1:1752),"")</f>
        <v/>
      </c>
      <c r="C1764" s="67" t="str">
        <f>IF($B1764="","",IF($E$7="Weekly",Start_Date+7*(ROWS($1:1752)-1),EDATE(Start_Date,VLOOKUP(IF(ASTemp!$E$7="","Monthly",ASTemp!$E$7),Parameters!$B$3:$D$6,3,0)*(ROWS($1:1752)-1))))</f>
        <v/>
      </c>
      <c r="D1764" s="68" t="str">
        <f t="shared" si="2"/>
        <v/>
      </c>
      <c r="E1764" s="65" t="str">
        <f>IF($B1764="","",VLOOKUP(MONTH(C1764),Parameters!$F$2:$G$13,2,0))</f>
        <v/>
      </c>
      <c r="F1764" s="69" t="str">
        <f>IF($B1764="","",PV-N(J1763))</f>
        <v/>
      </c>
      <c r="G1764" s="69" t="str">
        <f>IF($B1764="","",PMT(Rate,Nper,-PV,,Type))</f>
        <v/>
      </c>
      <c r="H1764" s="69" t="str">
        <f>IF($B1764="","",PPMT(Rate,ROWS($1:1752),Nper,-PV,,Type))</f>
        <v/>
      </c>
      <c r="I1764" s="69" t="str">
        <f>IF($B1764="","",IPMT(Rate,ROWS($1:1752),Nper,-PV,,Type))</f>
        <v/>
      </c>
      <c r="J1764" s="73" t="str">
        <f t="shared" ref="J1764:K1764" si="1754">IF($B1764="","",N(J1763)+N(H1764))</f>
        <v/>
      </c>
      <c r="K1764" s="74" t="str">
        <f t="shared" si="1754"/>
        <v/>
      </c>
      <c r="L1764" s="69" t="str">
        <f>IF($B1764="","",PV-J1764)</f>
        <v/>
      </c>
      <c r="M1764" s="71" t="str">
        <f>IF($B1764="","",J1764/PV)</f>
        <v/>
      </c>
      <c r="N1764" s="72" t="str">
        <f t="shared" si="4"/>
        <v/>
      </c>
    </row>
    <row r="1765" ht="14.25" customHeight="1">
      <c r="B1765" s="66" t="str">
        <f>IF(ROWS($1:1753)&lt;=Nper,ROWS($1:1753),"")</f>
        <v/>
      </c>
      <c r="C1765" s="67" t="str">
        <f>IF($B1765="","",IF($E$7="Weekly",Start_Date+7*(ROWS($1:1753)-1),EDATE(Start_Date,VLOOKUP(IF(ASTemp!$E$7="","Monthly",ASTemp!$E$7),Parameters!$B$3:$D$6,3,0)*(ROWS($1:1753)-1))))</f>
        <v/>
      </c>
      <c r="D1765" s="68" t="str">
        <f t="shared" si="2"/>
        <v/>
      </c>
      <c r="E1765" s="65" t="str">
        <f>IF($B1765="","",VLOOKUP(MONTH(C1765),Parameters!$F$2:$G$13,2,0))</f>
        <v/>
      </c>
      <c r="F1765" s="69" t="str">
        <f>IF($B1765="","",PV-N(J1764))</f>
        <v/>
      </c>
      <c r="G1765" s="69" t="str">
        <f>IF($B1765="","",PMT(Rate,Nper,-PV,,Type))</f>
        <v/>
      </c>
      <c r="H1765" s="69" t="str">
        <f>IF($B1765="","",PPMT(Rate,ROWS($1:1753),Nper,-PV,,Type))</f>
        <v/>
      </c>
      <c r="I1765" s="69" t="str">
        <f>IF($B1765="","",IPMT(Rate,ROWS($1:1753),Nper,-PV,,Type))</f>
        <v/>
      </c>
      <c r="J1765" s="73" t="str">
        <f t="shared" ref="J1765:K1765" si="1755">IF($B1765="","",N(J1764)+N(H1765))</f>
        <v/>
      </c>
      <c r="K1765" s="74" t="str">
        <f t="shared" si="1755"/>
        <v/>
      </c>
      <c r="L1765" s="69" t="str">
        <f>IF($B1765="","",PV-J1765)</f>
        <v/>
      </c>
      <c r="M1765" s="71" t="str">
        <f>IF($B1765="","",J1765/PV)</f>
        <v/>
      </c>
      <c r="N1765" s="72" t="str">
        <f t="shared" si="4"/>
        <v/>
      </c>
    </row>
    <row r="1766" ht="14.25" customHeight="1">
      <c r="B1766" s="66" t="str">
        <f>IF(ROWS($1:1754)&lt;=Nper,ROWS($1:1754),"")</f>
        <v/>
      </c>
      <c r="C1766" s="67" t="str">
        <f>IF($B1766="","",IF($E$7="Weekly",Start_Date+7*(ROWS($1:1754)-1),EDATE(Start_Date,VLOOKUP(IF(ASTemp!$E$7="","Monthly",ASTemp!$E$7),Parameters!$B$3:$D$6,3,0)*(ROWS($1:1754)-1))))</f>
        <v/>
      </c>
      <c r="D1766" s="68" t="str">
        <f t="shared" si="2"/>
        <v/>
      </c>
      <c r="E1766" s="65" t="str">
        <f>IF($B1766="","",VLOOKUP(MONTH(C1766),Parameters!$F$2:$G$13,2,0))</f>
        <v/>
      </c>
      <c r="F1766" s="69" t="str">
        <f>IF($B1766="","",PV-N(J1765))</f>
        <v/>
      </c>
      <c r="G1766" s="69" t="str">
        <f>IF($B1766="","",PMT(Rate,Nper,-PV,,Type))</f>
        <v/>
      </c>
      <c r="H1766" s="69" t="str">
        <f>IF($B1766="","",PPMT(Rate,ROWS($1:1754),Nper,-PV,,Type))</f>
        <v/>
      </c>
      <c r="I1766" s="69" t="str">
        <f>IF($B1766="","",IPMT(Rate,ROWS($1:1754),Nper,-PV,,Type))</f>
        <v/>
      </c>
      <c r="J1766" s="73" t="str">
        <f t="shared" ref="J1766:K1766" si="1756">IF($B1766="","",N(J1765)+N(H1766))</f>
        <v/>
      </c>
      <c r="K1766" s="74" t="str">
        <f t="shared" si="1756"/>
        <v/>
      </c>
      <c r="L1766" s="69" t="str">
        <f>IF($B1766="","",PV-J1766)</f>
        <v/>
      </c>
      <c r="M1766" s="71" t="str">
        <f>IF($B1766="","",J1766/PV)</f>
        <v/>
      </c>
      <c r="N1766" s="72" t="str">
        <f t="shared" si="4"/>
        <v/>
      </c>
    </row>
    <row r="1767" ht="14.25" customHeight="1">
      <c r="B1767" s="66" t="str">
        <f>IF(ROWS($1:1755)&lt;=Nper,ROWS($1:1755),"")</f>
        <v/>
      </c>
      <c r="C1767" s="67" t="str">
        <f>IF($B1767="","",IF($E$7="Weekly",Start_Date+7*(ROWS($1:1755)-1),EDATE(Start_Date,VLOOKUP(IF(ASTemp!$E$7="","Monthly",ASTemp!$E$7),Parameters!$B$3:$D$6,3,0)*(ROWS($1:1755)-1))))</f>
        <v/>
      </c>
      <c r="D1767" s="68" t="str">
        <f t="shared" si="2"/>
        <v/>
      </c>
      <c r="E1767" s="65" t="str">
        <f>IF($B1767="","",VLOOKUP(MONTH(C1767),Parameters!$F$2:$G$13,2,0))</f>
        <v/>
      </c>
      <c r="F1767" s="69" t="str">
        <f>IF($B1767="","",PV-N(J1766))</f>
        <v/>
      </c>
      <c r="G1767" s="69" t="str">
        <f>IF($B1767="","",PMT(Rate,Nper,-PV,,Type))</f>
        <v/>
      </c>
      <c r="H1767" s="69" t="str">
        <f>IF($B1767="","",PPMT(Rate,ROWS($1:1755),Nper,-PV,,Type))</f>
        <v/>
      </c>
      <c r="I1767" s="69" t="str">
        <f>IF($B1767="","",IPMT(Rate,ROWS($1:1755),Nper,-PV,,Type))</f>
        <v/>
      </c>
      <c r="J1767" s="73" t="str">
        <f t="shared" ref="J1767:K1767" si="1757">IF($B1767="","",N(J1766)+N(H1767))</f>
        <v/>
      </c>
      <c r="K1767" s="74" t="str">
        <f t="shared" si="1757"/>
        <v/>
      </c>
      <c r="L1767" s="69" t="str">
        <f>IF($B1767="","",PV-J1767)</f>
        <v/>
      </c>
      <c r="M1767" s="71" t="str">
        <f>IF($B1767="","",J1767/PV)</f>
        <v/>
      </c>
      <c r="N1767" s="72" t="str">
        <f t="shared" si="4"/>
        <v/>
      </c>
    </row>
    <row r="1768" ht="14.25" customHeight="1">
      <c r="B1768" s="66" t="str">
        <f>IF(ROWS($1:1756)&lt;=Nper,ROWS($1:1756),"")</f>
        <v/>
      </c>
      <c r="C1768" s="67" t="str">
        <f>IF($B1768="","",IF($E$7="Weekly",Start_Date+7*(ROWS($1:1756)-1),EDATE(Start_Date,VLOOKUP(IF(ASTemp!$E$7="","Monthly",ASTemp!$E$7),Parameters!$B$3:$D$6,3,0)*(ROWS($1:1756)-1))))</f>
        <v/>
      </c>
      <c r="D1768" s="68" t="str">
        <f t="shared" si="2"/>
        <v/>
      </c>
      <c r="E1768" s="65" t="str">
        <f>IF($B1768="","",VLOOKUP(MONTH(C1768),Parameters!$F$2:$G$13,2,0))</f>
        <v/>
      </c>
      <c r="F1768" s="69" t="str">
        <f>IF($B1768="","",PV-N(J1767))</f>
        <v/>
      </c>
      <c r="G1768" s="69" t="str">
        <f>IF($B1768="","",PMT(Rate,Nper,-PV,,Type))</f>
        <v/>
      </c>
      <c r="H1768" s="69" t="str">
        <f>IF($B1768="","",PPMT(Rate,ROWS($1:1756),Nper,-PV,,Type))</f>
        <v/>
      </c>
      <c r="I1768" s="69" t="str">
        <f>IF($B1768="","",IPMT(Rate,ROWS($1:1756),Nper,-PV,,Type))</f>
        <v/>
      </c>
      <c r="J1768" s="73" t="str">
        <f t="shared" ref="J1768:K1768" si="1758">IF($B1768="","",N(J1767)+N(H1768))</f>
        <v/>
      </c>
      <c r="K1768" s="74" t="str">
        <f t="shared" si="1758"/>
        <v/>
      </c>
      <c r="L1768" s="69" t="str">
        <f>IF($B1768="","",PV-J1768)</f>
        <v/>
      </c>
      <c r="M1768" s="71" t="str">
        <f>IF($B1768="","",J1768/PV)</f>
        <v/>
      </c>
      <c r="N1768" s="72" t="str">
        <f t="shared" si="4"/>
        <v/>
      </c>
    </row>
    <row r="1769" ht="14.25" customHeight="1">
      <c r="B1769" s="66" t="str">
        <f>IF(ROWS($1:1757)&lt;=Nper,ROWS($1:1757),"")</f>
        <v/>
      </c>
      <c r="C1769" s="67" t="str">
        <f>IF($B1769="","",IF($E$7="Weekly",Start_Date+7*(ROWS($1:1757)-1),EDATE(Start_Date,VLOOKUP(IF(ASTemp!$E$7="","Monthly",ASTemp!$E$7),Parameters!$B$3:$D$6,3,0)*(ROWS($1:1757)-1))))</f>
        <v/>
      </c>
      <c r="D1769" s="68" t="str">
        <f t="shared" si="2"/>
        <v/>
      </c>
      <c r="E1769" s="65" t="str">
        <f>IF($B1769="","",VLOOKUP(MONTH(C1769),Parameters!$F$2:$G$13,2,0))</f>
        <v/>
      </c>
      <c r="F1769" s="69" t="str">
        <f>IF($B1769="","",PV-N(J1768))</f>
        <v/>
      </c>
      <c r="G1769" s="69" t="str">
        <f>IF($B1769="","",PMT(Rate,Nper,-PV,,Type))</f>
        <v/>
      </c>
      <c r="H1769" s="69" t="str">
        <f>IF($B1769="","",PPMT(Rate,ROWS($1:1757),Nper,-PV,,Type))</f>
        <v/>
      </c>
      <c r="I1769" s="69" t="str">
        <f>IF($B1769="","",IPMT(Rate,ROWS($1:1757),Nper,-PV,,Type))</f>
        <v/>
      </c>
      <c r="J1769" s="73" t="str">
        <f t="shared" ref="J1769:K1769" si="1759">IF($B1769="","",N(J1768)+N(H1769))</f>
        <v/>
      </c>
      <c r="K1769" s="74" t="str">
        <f t="shared" si="1759"/>
        <v/>
      </c>
      <c r="L1769" s="69" t="str">
        <f>IF($B1769="","",PV-J1769)</f>
        <v/>
      </c>
      <c r="M1769" s="71" t="str">
        <f>IF($B1769="","",J1769/PV)</f>
        <v/>
      </c>
      <c r="N1769" s="72" t="str">
        <f t="shared" si="4"/>
        <v/>
      </c>
    </row>
    <row r="1770" ht="14.25" customHeight="1">
      <c r="B1770" s="66" t="str">
        <f>IF(ROWS($1:1758)&lt;=Nper,ROWS($1:1758),"")</f>
        <v/>
      </c>
      <c r="C1770" s="67" t="str">
        <f>IF($B1770="","",IF($E$7="Weekly",Start_Date+7*(ROWS($1:1758)-1),EDATE(Start_Date,VLOOKUP(IF(ASTemp!$E$7="","Monthly",ASTemp!$E$7),Parameters!$B$3:$D$6,3,0)*(ROWS($1:1758)-1))))</f>
        <v/>
      </c>
      <c r="D1770" s="68" t="str">
        <f t="shared" si="2"/>
        <v/>
      </c>
      <c r="E1770" s="65" t="str">
        <f>IF($B1770="","",VLOOKUP(MONTH(C1770),Parameters!$F$2:$G$13,2,0))</f>
        <v/>
      </c>
      <c r="F1770" s="69" t="str">
        <f>IF($B1770="","",PV-N(J1769))</f>
        <v/>
      </c>
      <c r="G1770" s="69" t="str">
        <f>IF($B1770="","",PMT(Rate,Nper,-PV,,Type))</f>
        <v/>
      </c>
      <c r="H1770" s="69" t="str">
        <f>IF($B1770="","",PPMT(Rate,ROWS($1:1758),Nper,-PV,,Type))</f>
        <v/>
      </c>
      <c r="I1770" s="69" t="str">
        <f>IF($B1770="","",IPMT(Rate,ROWS($1:1758),Nper,-PV,,Type))</f>
        <v/>
      </c>
      <c r="J1770" s="73" t="str">
        <f t="shared" ref="J1770:K1770" si="1760">IF($B1770="","",N(J1769)+N(H1770))</f>
        <v/>
      </c>
      <c r="K1770" s="74" t="str">
        <f t="shared" si="1760"/>
        <v/>
      </c>
      <c r="L1770" s="69" t="str">
        <f>IF($B1770="","",PV-J1770)</f>
        <v/>
      </c>
      <c r="M1770" s="71" t="str">
        <f>IF($B1770="","",J1770/PV)</f>
        <v/>
      </c>
      <c r="N1770" s="72" t="str">
        <f t="shared" si="4"/>
        <v/>
      </c>
    </row>
    <row r="1771" ht="14.25" customHeight="1">
      <c r="B1771" s="66" t="str">
        <f>IF(ROWS($1:1759)&lt;=Nper,ROWS($1:1759),"")</f>
        <v/>
      </c>
      <c r="C1771" s="67" t="str">
        <f>IF($B1771="","",IF($E$7="Weekly",Start_Date+7*(ROWS($1:1759)-1),EDATE(Start_Date,VLOOKUP(IF(ASTemp!$E$7="","Monthly",ASTemp!$E$7),Parameters!$B$3:$D$6,3,0)*(ROWS($1:1759)-1))))</f>
        <v/>
      </c>
      <c r="D1771" s="68" t="str">
        <f t="shared" si="2"/>
        <v/>
      </c>
      <c r="E1771" s="65" t="str">
        <f>IF($B1771="","",VLOOKUP(MONTH(C1771),Parameters!$F$2:$G$13,2,0))</f>
        <v/>
      </c>
      <c r="F1771" s="69" t="str">
        <f>IF($B1771="","",PV-N(J1770))</f>
        <v/>
      </c>
      <c r="G1771" s="69" t="str">
        <f>IF($B1771="","",PMT(Rate,Nper,-PV,,Type))</f>
        <v/>
      </c>
      <c r="H1771" s="69" t="str">
        <f>IF($B1771="","",PPMT(Rate,ROWS($1:1759),Nper,-PV,,Type))</f>
        <v/>
      </c>
      <c r="I1771" s="69" t="str">
        <f>IF($B1771="","",IPMT(Rate,ROWS($1:1759),Nper,-PV,,Type))</f>
        <v/>
      </c>
      <c r="J1771" s="73" t="str">
        <f t="shared" ref="J1771:K1771" si="1761">IF($B1771="","",N(J1770)+N(H1771))</f>
        <v/>
      </c>
      <c r="K1771" s="74" t="str">
        <f t="shared" si="1761"/>
        <v/>
      </c>
      <c r="L1771" s="69" t="str">
        <f>IF($B1771="","",PV-J1771)</f>
        <v/>
      </c>
      <c r="M1771" s="71" t="str">
        <f>IF($B1771="","",J1771/PV)</f>
        <v/>
      </c>
      <c r="N1771" s="72" t="str">
        <f t="shared" si="4"/>
        <v/>
      </c>
    </row>
    <row r="1772" ht="14.25" customHeight="1">
      <c r="B1772" s="66" t="str">
        <f>IF(ROWS($1:1760)&lt;=Nper,ROWS($1:1760),"")</f>
        <v/>
      </c>
      <c r="C1772" s="67" t="str">
        <f>IF($B1772="","",IF($E$7="Weekly",Start_Date+7*(ROWS($1:1760)-1),EDATE(Start_Date,VLOOKUP(IF(ASTemp!$E$7="","Monthly",ASTemp!$E$7),Parameters!$B$3:$D$6,3,0)*(ROWS($1:1760)-1))))</f>
        <v/>
      </c>
      <c r="D1772" s="68" t="str">
        <f t="shared" si="2"/>
        <v/>
      </c>
      <c r="E1772" s="65" t="str">
        <f>IF($B1772="","",VLOOKUP(MONTH(C1772),Parameters!$F$2:$G$13,2,0))</f>
        <v/>
      </c>
      <c r="F1772" s="69" t="str">
        <f>IF($B1772="","",PV-N(J1771))</f>
        <v/>
      </c>
      <c r="G1772" s="69" t="str">
        <f>IF($B1772="","",PMT(Rate,Nper,-PV,,Type))</f>
        <v/>
      </c>
      <c r="H1772" s="69" t="str">
        <f>IF($B1772="","",PPMT(Rate,ROWS($1:1760),Nper,-PV,,Type))</f>
        <v/>
      </c>
      <c r="I1772" s="69" t="str">
        <f>IF($B1772="","",IPMT(Rate,ROWS($1:1760),Nper,-PV,,Type))</f>
        <v/>
      </c>
      <c r="J1772" s="73" t="str">
        <f t="shared" ref="J1772:K1772" si="1762">IF($B1772="","",N(J1771)+N(H1772))</f>
        <v/>
      </c>
      <c r="K1772" s="74" t="str">
        <f t="shared" si="1762"/>
        <v/>
      </c>
      <c r="L1772" s="69" t="str">
        <f>IF($B1772="","",PV-J1772)</f>
        <v/>
      </c>
      <c r="M1772" s="71" t="str">
        <f>IF($B1772="","",J1772/PV)</f>
        <v/>
      </c>
      <c r="N1772" s="72" t="str">
        <f t="shared" si="4"/>
        <v/>
      </c>
    </row>
    <row r="1773" ht="14.25" customHeight="1">
      <c r="B1773" s="66" t="str">
        <f>IF(ROWS($1:1761)&lt;=Nper,ROWS($1:1761),"")</f>
        <v/>
      </c>
      <c r="C1773" s="67" t="str">
        <f>IF($B1773="","",IF($E$7="Weekly",Start_Date+7*(ROWS($1:1761)-1),EDATE(Start_Date,VLOOKUP(IF(ASTemp!$E$7="","Monthly",ASTemp!$E$7),Parameters!$B$3:$D$6,3,0)*(ROWS($1:1761)-1))))</f>
        <v/>
      </c>
      <c r="D1773" s="68" t="str">
        <f t="shared" si="2"/>
        <v/>
      </c>
      <c r="E1773" s="65" t="str">
        <f>IF($B1773="","",VLOOKUP(MONTH(C1773),Parameters!$F$2:$G$13,2,0))</f>
        <v/>
      </c>
      <c r="F1773" s="69" t="str">
        <f>IF($B1773="","",PV-N(J1772))</f>
        <v/>
      </c>
      <c r="G1773" s="69" t="str">
        <f>IF($B1773="","",PMT(Rate,Nper,-PV,,Type))</f>
        <v/>
      </c>
      <c r="H1773" s="69" t="str">
        <f>IF($B1773="","",PPMT(Rate,ROWS($1:1761),Nper,-PV,,Type))</f>
        <v/>
      </c>
      <c r="I1773" s="69" t="str">
        <f>IF($B1773="","",IPMT(Rate,ROWS($1:1761),Nper,-PV,,Type))</f>
        <v/>
      </c>
      <c r="J1773" s="73" t="str">
        <f t="shared" ref="J1773:K1773" si="1763">IF($B1773="","",N(J1772)+N(H1773))</f>
        <v/>
      </c>
      <c r="K1773" s="74" t="str">
        <f t="shared" si="1763"/>
        <v/>
      </c>
      <c r="L1773" s="69" t="str">
        <f>IF($B1773="","",PV-J1773)</f>
        <v/>
      </c>
      <c r="M1773" s="71" t="str">
        <f>IF($B1773="","",J1773/PV)</f>
        <v/>
      </c>
      <c r="N1773" s="72" t="str">
        <f t="shared" si="4"/>
        <v/>
      </c>
    </row>
    <row r="1774" ht="14.25" customHeight="1">
      <c r="B1774" s="66" t="str">
        <f>IF(ROWS($1:1762)&lt;=Nper,ROWS($1:1762),"")</f>
        <v/>
      </c>
      <c r="C1774" s="67" t="str">
        <f>IF($B1774="","",IF($E$7="Weekly",Start_Date+7*(ROWS($1:1762)-1),EDATE(Start_Date,VLOOKUP(IF(ASTemp!$E$7="","Monthly",ASTemp!$E$7),Parameters!$B$3:$D$6,3,0)*(ROWS($1:1762)-1))))</f>
        <v/>
      </c>
      <c r="D1774" s="68" t="str">
        <f t="shared" si="2"/>
        <v/>
      </c>
      <c r="E1774" s="65" t="str">
        <f>IF($B1774="","",VLOOKUP(MONTH(C1774),Parameters!$F$2:$G$13,2,0))</f>
        <v/>
      </c>
      <c r="F1774" s="69" t="str">
        <f>IF($B1774="","",PV-N(J1773))</f>
        <v/>
      </c>
      <c r="G1774" s="69" t="str">
        <f>IF($B1774="","",PMT(Rate,Nper,-PV,,Type))</f>
        <v/>
      </c>
      <c r="H1774" s="69" t="str">
        <f>IF($B1774="","",PPMT(Rate,ROWS($1:1762),Nper,-PV,,Type))</f>
        <v/>
      </c>
      <c r="I1774" s="69" t="str">
        <f>IF($B1774="","",IPMT(Rate,ROWS($1:1762),Nper,-PV,,Type))</f>
        <v/>
      </c>
      <c r="J1774" s="73" t="str">
        <f t="shared" ref="J1774:K1774" si="1764">IF($B1774="","",N(J1773)+N(H1774))</f>
        <v/>
      </c>
      <c r="K1774" s="74" t="str">
        <f t="shared" si="1764"/>
        <v/>
      </c>
      <c r="L1774" s="69" t="str">
        <f>IF($B1774="","",PV-J1774)</f>
        <v/>
      </c>
      <c r="M1774" s="71" t="str">
        <f>IF($B1774="","",J1774/PV)</f>
        <v/>
      </c>
      <c r="N1774" s="72" t="str">
        <f t="shared" si="4"/>
        <v/>
      </c>
    </row>
    <row r="1775" ht="14.25" customHeight="1">
      <c r="B1775" s="66" t="str">
        <f>IF(ROWS($1:1763)&lt;=Nper,ROWS($1:1763),"")</f>
        <v/>
      </c>
      <c r="C1775" s="67" t="str">
        <f>IF($B1775="","",IF($E$7="Weekly",Start_Date+7*(ROWS($1:1763)-1),EDATE(Start_Date,VLOOKUP(IF(ASTemp!$E$7="","Monthly",ASTemp!$E$7),Parameters!$B$3:$D$6,3,0)*(ROWS($1:1763)-1))))</f>
        <v/>
      </c>
      <c r="D1775" s="68" t="str">
        <f t="shared" si="2"/>
        <v/>
      </c>
      <c r="E1775" s="65" t="str">
        <f>IF($B1775="","",VLOOKUP(MONTH(C1775),Parameters!$F$2:$G$13,2,0))</f>
        <v/>
      </c>
      <c r="F1775" s="69" t="str">
        <f>IF($B1775="","",PV-N(J1774))</f>
        <v/>
      </c>
      <c r="G1775" s="69" t="str">
        <f>IF($B1775="","",PMT(Rate,Nper,-PV,,Type))</f>
        <v/>
      </c>
      <c r="H1775" s="69" t="str">
        <f>IF($B1775="","",PPMT(Rate,ROWS($1:1763),Nper,-PV,,Type))</f>
        <v/>
      </c>
      <c r="I1775" s="69" t="str">
        <f>IF($B1775="","",IPMT(Rate,ROWS($1:1763),Nper,-PV,,Type))</f>
        <v/>
      </c>
      <c r="J1775" s="73" t="str">
        <f t="shared" ref="J1775:K1775" si="1765">IF($B1775="","",N(J1774)+N(H1775))</f>
        <v/>
      </c>
      <c r="K1775" s="74" t="str">
        <f t="shared" si="1765"/>
        <v/>
      </c>
      <c r="L1775" s="69" t="str">
        <f>IF($B1775="","",PV-J1775)</f>
        <v/>
      </c>
      <c r="M1775" s="71" t="str">
        <f>IF($B1775="","",J1775/PV)</f>
        <v/>
      </c>
      <c r="N1775" s="72" t="str">
        <f t="shared" si="4"/>
        <v/>
      </c>
    </row>
    <row r="1776" ht="14.25" customHeight="1">
      <c r="B1776" s="66" t="str">
        <f>IF(ROWS($1:1764)&lt;=Nper,ROWS($1:1764),"")</f>
        <v/>
      </c>
      <c r="C1776" s="67" t="str">
        <f>IF($B1776="","",IF($E$7="Weekly",Start_Date+7*(ROWS($1:1764)-1),EDATE(Start_Date,VLOOKUP(IF(ASTemp!$E$7="","Monthly",ASTemp!$E$7),Parameters!$B$3:$D$6,3,0)*(ROWS($1:1764)-1))))</f>
        <v/>
      </c>
      <c r="D1776" s="68" t="str">
        <f t="shared" si="2"/>
        <v/>
      </c>
      <c r="E1776" s="65" t="str">
        <f>IF($B1776="","",VLOOKUP(MONTH(C1776),Parameters!$F$2:$G$13,2,0))</f>
        <v/>
      </c>
      <c r="F1776" s="69" t="str">
        <f>IF($B1776="","",PV-N(J1775))</f>
        <v/>
      </c>
      <c r="G1776" s="69" t="str">
        <f>IF($B1776="","",PMT(Rate,Nper,-PV,,Type))</f>
        <v/>
      </c>
      <c r="H1776" s="69" t="str">
        <f>IF($B1776="","",PPMT(Rate,ROWS($1:1764),Nper,-PV,,Type))</f>
        <v/>
      </c>
      <c r="I1776" s="69" t="str">
        <f>IF($B1776="","",IPMT(Rate,ROWS($1:1764),Nper,-PV,,Type))</f>
        <v/>
      </c>
      <c r="J1776" s="73" t="str">
        <f t="shared" ref="J1776:K1776" si="1766">IF($B1776="","",N(J1775)+N(H1776))</f>
        <v/>
      </c>
      <c r="K1776" s="74" t="str">
        <f t="shared" si="1766"/>
        <v/>
      </c>
      <c r="L1776" s="69" t="str">
        <f>IF($B1776="","",PV-J1776)</f>
        <v/>
      </c>
      <c r="M1776" s="71" t="str">
        <f>IF($B1776="","",J1776/PV)</f>
        <v/>
      </c>
      <c r="N1776" s="72" t="str">
        <f t="shared" si="4"/>
        <v/>
      </c>
    </row>
    <row r="1777" ht="14.25" customHeight="1">
      <c r="B1777" s="66" t="str">
        <f>IF(ROWS($1:1765)&lt;=Nper,ROWS($1:1765),"")</f>
        <v/>
      </c>
      <c r="C1777" s="67" t="str">
        <f>IF($B1777="","",IF($E$7="Weekly",Start_Date+7*(ROWS($1:1765)-1),EDATE(Start_Date,VLOOKUP(IF(ASTemp!$E$7="","Monthly",ASTemp!$E$7),Parameters!$B$3:$D$6,3,0)*(ROWS($1:1765)-1))))</f>
        <v/>
      </c>
      <c r="D1777" s="68" t="str">
        <f t="shared" si="2"/>
        <v/>
      </c>
      <c r="E1777" s="65" t="str">
        <f>IF($B1777="","",VLOOKUP(MONTH(C1777),Parameters!$F$2:$G$13,2,0))</f>
        <v/>
      </c>
      <c r="F1777" s="69" t="str">
        <f>IF($B1777="","",PV-N(J1776))</f>
        <v/>
      </c>
      <c r="G1777" s="69" t="str">
        <f>IF($B1777="","",PMT(Rate,Nper,-PV,,Type))</f>
        <v/>
      </c>
      <c r="H1777" s="69" t="str">
        <f>IF($B1777="","",PPMT(Rate,ROWS($1:1765),Nper,-PV,,Type))</f>
        <v/>
      </c>
      <c r="I1777" s="69" t="str">
        <f>IF($B1777="","",IPMT(Rate,ROWS($1:1765),Nper,-PV,,Type))</f>
        <v/>
      </c>
      <c r="J1777" s="73" t="str">
        <f t="shared" ref="J1777:K1777" si="1767">IF($B1777="","",N(J1776)+N(H1777))</f>
        <v/>
      </c>
      <c r="K1777" s="74" t="str">
        <f t="shared" si="1767"/>
        <v/>
      </c>
      <c r="L1777" s="69" t="str">
        <f>IF($B1777="","",PV-J1777)</f>
        <v/>
      </c>
      <c r="M1777" s="71" t="str">
        <f>IF($B1777="","",J1777/PV)</f>
        <v/>
      </c>
      <c r="N1777" s="72" t="str">
        <f t="shared" si="4"/>
        <v/>
      </c>
    </row>
    <row r="1778" ht="14.25" customHeight="1">
      <c r="B1778" s="66" t="str">
        <f>IF(ROWS($1:1766)&lt;=Nper,ROWS($1:1766),"")</f>
        <v/>
      </c>
      <c r="C1778" s="67" t="str">
        <f>IF($B1778="","",IF($E$7="Weekly",Start_Date+7*(ROWS($1:1766)-1),EDATE(Start_Date,VLOOKUP(IF(ASTemp!$E$7="","Monthly",ASTemp!$E$7),Parameters!$B$3:$D$6,3,0)*(ROWS($1:1766)-1))))</f>
        <v/>
      </c>
      <c r="D1778" s="68" t="str">
        <f t="shared" si="2"/>
        <v/>
      </c>
      <c r="E1778" s="65" t="str">
        <f>IF($B1778="","",VLOOKUP(MONTH(C1778),Parameters!$F$2:$G$13,2,0))</f>
        <v/>
      </c>
      <c r="F1778" s="69" t="str">
        <f>IF($B1778="","",PV-N(J1777))</f>
        <v/>
      </c>
      <c r="G1778" s="69" t="str">
        <f>IF($B1778="","",PMT(Rate,Nper,-PV,,Type))</f>
        <v/>
      </c>
      <c r="H1778" s="69" t="str">
        <f>IF($B1778="","",PPMT(Rate,ROWS($1:1766),Nper,-PV,,Type))</f>
        <v/>
      </c>
      <c r="I1778" s="69" t="str">
        <f>IF($B1778="","",IPMT(Rate,ROWS($1:1766),Nper,-PV,,Type))</f>
        <v/>
      </c>
      <c r="J1778" s="73" t="str">
        <f t="shared" ref="J1778:K1778" si="1768">IF($B1778="","",N(J1777)+N(H1778))</f>
        <v/>
      </c>
      <c r="K1778" s="74" t="str">
        <f t="shared" si="1768"/>
        <v/>
      </c>
      <c r="L1778" s="69" t="str">
        <f>IF($B1778="","",PV-J1778)</f>
        <v/>
      </c>
      <c r="M1778" s="71" t="str">
        <f>IF($B1778="","",J1778/PV)</f>
        <v/>
      </c>
      <c r="N1778" s="72" t="str">
        <f t="shared" si="4"/>
        <v/>
      </c>
    </row>
    <row r="1779" ht="14.25" customHeight="1">
      <c r="B1779" s="66" t="str">
        <f>IF(ROWS($1:1767)&lt;=Nper,ROWS($1:1767),"")</f>
        <v/>
      </c>
      <c r="C1779" s="67" t="str">
        <f>IF($B1779="","",IF($E$7="Weekly",Start_Date+7*(ROWS($1:1767)-1),EDATE(Start_Date,VLOOKUP(IF(ASTemp!$E$7="","Monthly",ASTemp!$E$7),Parameters!$B$3:$D$6,3,0)*(ROWS($1:1767)-1))))</f>
        <v/>
      </c>
      <c r="D1779" s="68" t="str">
        <f t="shared" si="2"/>
        <v/>
      </c>
      <c r="E1779" s="65" t="str">
        <f>IF($B1779="","",VLOOKUP(MONTH(C1779),Parameters!$F$2:$G$13,2,0))</f>
        <v/>
      </c>
      <c r="F1779" s="69" t="str">
        <f>IF($B1779="","",PV-N(J1778))</f>
        <v/>
      </c>
      <c r="G1779" s="69" t="str">
        <f>IF($B1779="","",PMT(Rate,Nper,-PV,,Type))</f>
        <v/>
      </c>
      <c r="H1779" s="69" t="str">
        <f>IF($B1779="","",PPMT(Rate,ROWS($1:1767),Nper,-PV,,Type))</f>
        <v/>
      </c>
      <c r="I1779" s="69" t="str">
        <f>IF($B1779="","",IPMT(Rate,ROWS($1:1767),Nper,-PV,,Type))</f>
        <v/>
      </c>
      <c r="J1779" s="73" t="str">
        <f t="shared" ref="J1779:K1779" si="1769">IF($B1779="","",N(J1778)+N(H1779))</f>
        <v/>
      </c>
      <c r="K1779" s="74" t="str">
        <f t="shared" si="1769"/>
        <v/>
      </c>
      <c r="L1779" s="69" t="str">
        <f>IF($B1779="","",PV-J1779)</f>
        <v/>
      </c>
      <c r="M1779" s="71" t="str">
        <f>IF($B1779="","",J1779/PV)</f>
        <v/>
      </c>
      <c r="N1779" s="72" t="str">
        <f t="shared" si="4"/>
        <v/>
      </c>
    </row>
    <row r="1780" ht="14.25" customHeight="1">
      <c r="B1780" s="66" t="str">
        <f>IF(ROWS($1:1768)&lt;=Nper,ROWS($1:1768),"")</f>
        <v/>
      </c>
      <c r="C1780" s="67" t="str">
        <f>IF($B1780="","",IF($E$7="Weekly",Start_Date+7*(ROWS($1:1768)-1),EDATE(Start_Date,VLOOKUP(IF(ASTemp!$E$7="","Monthly",ASTemp!$E$7),Parameters!$B$3:$D$6,3,0)*(ROWS($1:1768)-1))))</f>
        <v/>
      </c>
      <c r="D1780" s="68" t="str">
        <f t="shared" si="2"/>
        <v/>
      </c>
      <c r="E1780" s="65" t="str">
        <f>IF($B1780="","",VLOOKUP(MONTH(C1780),Parameters!$F$2:$G$13,2,0))</f>
        <v/>
      </c>
      <c r="F1780" s="69" t="str">
        <f>IF($B1780="","",PV-N(J1779))</f>
        <v/>
      </c>
      <c r="G1780" s="69" t="str">
        <f>IF($B1780="","",PMT(Rate,Nper,-PV,,Type))</f>
        <v/>
      </c>
      <c r="H1780" s="69" t="str">
        <f>IF($B1780="","",PPMT(Rate,ROWS($1:1768),Nper,-PV,,Type))</f>
        <v/>
      </c>
      <c r="I1780" s="69" t="str">
        <f>IF($B1780="","",IPMT(Rate,ROWS($1:1768),Nper,-PV,,Type))</f>
        <v/>
      </c>
      <c r="J1780" s="73" t="str">
        <f t="shared" ref="J1780:K1780" si="1770">IF($B1780="","",N(J1779)+N(H1780))</f>
        <v/>
      </c>
      <c r="K1780" s="74" t="str">
        <f t="shared" si="1770"/>
        <v/>
      </c>
      <c r="L1780" s="69" t="str">
        <f>IF($B1780="","",PV-J1780)</f>
        <v/>
      </c>
      <c r="M1780" s="71" t="str">
        <f>IF($B1780="","",J1780/PV)</f>
        <v/>
      </c>
      <c r="N1780" s="72" t="str">
        <f t="shared" si="4"/>
        <v/>
      </c>
    </row>
    <row r="1781" ht="14.25" customHeight="1">
      <c r="B1781" s="66" t="str">
        <f>IF(ROWS($1:1769)&lt;=Nper,ROWS($1:1769),"")</f>
        <v/>
      </c>
      <c r="C1781" s="67" t="str">
        <f>IF($B1781="","",IF($E$7="Weekly",Start_Date+7*(ROWS($1:1769)-1),EDATE(Start_Date,VLOOKUP(IF(ASTemp!$E$7="","Monthly",ASTemp!$E$7),Parameters!$B$3:$D$6,3,0)*(ROWS($1:1769)-1))))</f>
        <v/>
      </c>
      <c r="D1781" s="68" t="str">
        <f t="shared" si="2"/>
        <v/>
      </c>
      <c r="E1781" s="65" t="str">
        <f>IF($B1781="","",VLOOKUP(MONTH(C1781),Parameters!$F$2:$G$13,2,0))</f>
        <v/>
      </c>
      <c r="F1781" s="69" t="str">
        <f>IF($B1781="","",PV-N(J1780))</f>
        <v/>
      </c>
      <c r="G1781" s="69" t="str">
        <f>IF($B1781="","",PMT(Rate,Nper,-PV,,Type))</f>
        <v/>
      </c>
      <c r="H1781" s="69" t="str">
        <f>IF($B1781="","",PPMT(Rate,ROWS($1:1769),Nper,-PV,,Type))</f>
        <v/>
      </c>
      <c r="I1781" s="69" t="str">
        <f>IF($B1781="","",IPMT(Rate,ROWS($1:1769),Nper,-PV,,Type))</f>
        <v/>
      </c>
      <c r="J1781" s="73" t="str">
        <f t="shared" ref="J1781:K1781" si="1771">IF($B1781="","",N(J1780)+N(H1781))</f>
        <v/>
      </c>
      <c r="K1781" s="74" t="str">
        <f t="shared" si="1771"/>
        <v/>
      </c>
      <c r="L1781" s="69" t="str">
        <f>IF($B1781="","",PV-J1781)</f>
        <v/>
      </c>
      <c r="M1781" s="71" t="str">
        <f>IF($B1781="","",J1781/PV)</f>
        <v/>
      </c>
      <c r="N1781" s="72" t="str">
        <f t="shared" si="4"/>
        <v/>
      </c>
    </row>
    <row r="1782" ht="14.25" customHeight="1">
      <c r="B1782" s="66" t="str">
        <f>IF(ROWS($1:1770)&lt;=Nper,ROWS($1:1770),"")</f>
        <v/>
      </c>
      <c r="C1782" s="67" t="str">
        <f>IF($B1782="","",IF($E$7="Weekly",Start_Date+7*(ROWS($1:1770)-1),EDATE(Start_Date,VLOOKUP(IF(ASTemp!$E$7="","Monthly",ASTemp!$E$7),Parameters!$B$3:$D$6,3,0)*(ROWS($1:1770)-1))))</f>
        <v/>
      </c>
      <c r="D1782" s="68" t="str">
        <f t="shared" si="2"/>
        <v/>
      </c>
      <c r="E1782" s="65" t="str">
        <f>IF($B1782="","",VLOOKUP(MONTH(C1782),Parameters!$F$2:$G$13,2,0))</f>
        <v/>
      </c>
      <c r="F1782" s="69" t="str">
        <f>IF($B1782="","",PV-N(J1781))</f>
        <v/>
      </c>
      <c r="G1782" s="69" t="str">
        <f>IF($B1782="","",PMT(Rate,Nper,-PV,,Type))</f>
        <v/>
      </c>
      <c r="H1782" s="69" t="str">
        <f>IF($B1782="","",PPMT(Rate,ROWS($1:1770),Nper,-PV,,Type))</f>
        <v/>
      </c>
      <c r="I1782" s="69" t="str">
        <f>IF($B1782="","",IPMT(Rate,ROWS($1:1770),Nper,-PV,,Type))</f>
        <v/>
      </c>
      <c r="J1782" s="73" t="str">
        <f t="shared" ref="J1782:K1782" si="1772">IF($B1782="","",N(J1781)+N(H1782))</f>
        <v/>
      </c>
      <c r="K1782" s="74" t="str">
        <f t="shared" si="1772"/>
        <v/>
      </c>
      <c r="L1782" s="69" t="str">
        <f>IF($B1782="","",PV-J1782)</f>
        <v/>
      </c>
      <c r="M1782" s="71" t="str">
        <f>IF($B1782="","",J1782/PV)</f>
        <v/>
      </c>
      <c r="N1782" s="72" t="str">
        <f t="shared" si="4"/>
        <v/>
      </c>
    </row>
    <row r="1783" ht="14.25" customHeight="1">
      <c r="B1783" s="66" t="str">
        <f>IF(ROWS($1:1771)&lt;=Nper,ROWS($1:1771),"")</f>
        <v/>
      </c>
      <c r="C1783" s="67" t="str">
        <f>IF($B1783="","",IF($E$7="Weekly",Start_Date+7*(ROWS($1:1771)-1),EDATE(Start_Date,VLOOKUP(IF(ASTemp!$E$7="","Monthly",ASTemp!$E$7),Parameters!$B$3:$D$6,3,0)*(ROWS($1:1771)-1))))</f>
        <v/>
      </c>
      <c r="D1783" s="68" t="str">
        <f t="shared" si="2"/>
        <v/>
      </c>
      <c r="E1783" s="65" t="str">
        <f>IF($B1783="","",VLOOKUP(MONTH(C1783),Parameters!$F$2:$G$13,2,0))</f>
        <v/>
      </c>
      <c r="F1783" s="69" t="str">
        <f>IF($B1783="","",PV-N(J1782))</f>
        <v/>
      </c>
      <c r="G1783" s="69" t="str">
        <f>IF($B1783="","",PMT(Rate,Nper,-PV,,Type))</f>
        <v/>
      </c>
      <c r="H1783" s="69" t="str">
        <f>IF($B1783="","",PPMT(Rate,ROWS($1:1771),Nper,-PV,,Type))</f>
        <v/>
      </c>
      <c r="I1783" s="69" t="str">
        <f>IF($B1783="","",IPMT(Rate,ROWS($1:1771),Nper,-PV,,Type))</f>
        <v/>
      </c>
      <c r="J1783" s="73" t="str">
        <f t="shared" ref="J1783:K1783" si="1773">IF($B1783="","",N(J1782)+N(H1783))</f>
        <v/>
      </c>
      <c r="K1783" s="74" t="str">
        <f t="shared" si="1773"/>
        <v/>
      </c>
      <c r="L1783" s="69" t="str">
        <f>IF($B1783="","",PV-J1783)</f>
        <v/>
      </c>
      <c r="M1783" s="71" t="str">
        <f>IF($B1783="","",J1783/PV)</f>
        <v/>
      </c>
      <c r="N1783" s="72" t="str">
        <f t="shared" si="4"/>
        <v/>
      </c>
    </row>
    <row r="1784" ht="14.25" customHeight="1">
      <c r="B1784" s="66" t="str">
        <f>IF(ROWS($1:1772)&lt;=Nper,ROWS($1:1772),"")</f>
        <v/>
      </c>
      <c r="C1784" s="67" t="str">
        <f>IF($B1784="","",IF($E$7="Weekly",Start_Date+7*(ROWS($1:1772)-1),EDATE(Start_Date,VLOOKUP(IF(ASTemp!$E$7="","Monthly",ASTemp!$E$7),Parameters!$B$3:$D$6,3,0)*(ROWS($1:1772)-1))))</f>
        <v/>
      </c>
      <c r="D1784" s="68" t="str">
        <f t="shared" si="2"/>
        <v/>
      </c>
      <c r="E1784" s="65" t="str">
        <f>IF($B1784="","",VLOOKUP(MONTH(C1784),Parameters!$F$2:$G$13,2,0))</f>
        <v/>
      </c>
      <c r="F1784" s="69" t="str">
        <f>IF($B1784="","",PV-N(J1783))</f>
        <v/>
      </c>
      <c r="G1784" s="69" t="str">
        <f>IF($B1784="","",PMT(Rate,Nper,-PV,,Type))</f>
        <v/>
      </c>
      <c r="H1784" s="69" t="str">
        <f>IF($B1784="","",PPMT(Rate,ROWS($1:1772),Nper,-PV,,Type))</f>
        <v/>
      </c>
      <c r="I1784" s="69" t="str">
        <f>IF($B1784="","",IPMT(Rate,ROWS($1:1772),Nper,-PV,,Type))</f>
        <v/>
      </c>
      <c r="J1784" s="73" t="str">
        <f t="shared" ref="J1784:K1784" si="1774">IF($B1784="","",N(J1783)+N(H1784))</f>
        <v/>
      </c>
      <c r="K1784" s="74" t="str">
        <f t="shared" si="1774"/>
        <v/>
      </c>
      <c r="L1784" s="69" t="str">
        <f>IF($B1784="","",PV-J1784)</f>
        <v/>
      </c>
      <c r="M1784" s="71" t="str">
        <f>IF($B1784="","",J1784/PV)</f>
        <v/>
      </c>
      <c r="N1784" s="72" t="str">
        <f t="shared" si="4"/>
        <v/>
      </c>
    </row>
    <row r="1785" ht="14.25" customHeight="1">
      <c r="B1785" s="66" t="str">
        <f>IF(ROWS($1:1773)&lt;=Nper,ROWS($1:1773),"")</f>
        <v/>
      </c>
      <c r="C1785" s="67" t="str">
        <f>IF($B1785="","",IF($E$7="Weekly",Start_Date+7*(ROWS($1:1773)-1),EDATE(Start_Date,VLOOKUP(IF(ASTemp!$E$7="","Monthly",ASTemp!$E$7),Parameters!$B$3:$D$6,3,0)*(ROWS($1:1773)-1))))</f>
        <v/>
      </c>
      <c r="D1785" s="68" t="str">
        <f t="shared" si="2"/>
        <v/>
      </c>
      <c r="E1785" s="65" t="str">
        <f>IF($B1785="","",VLOOKUP(MONTH(C1785),Parameters!$F$2:$G$13,2,0))</f>
        <v/>
      </c>
      <c r="F1785" s="69" t="str">
        <f>IF($B1785="","",PV-N(J1784))</f>
        <v/>
      </c>
      <c r="G1785" s="69" t="str">
        <f>IF($B1785="","",PMT(Rate,Nper,-PV,,Type))</f>
        <v/>
      </c>
      <c r="H1785" s="69" t="str">
        <f>IF($B1785="","",PPMT(Rate,ROWS($1:1773),Nper,-PV,,Type))</f>
        <v/>
      </c>
      <c r="I1785" s="69" t="str">
        <f>IF($B1785="","",IPMT(Rate,ROWS($1:1773),Nper,-PV,,Type))</f>
        <v/>
      </c>
      <c r="J1785" s="73" t="str">
        <f t="shared" ref="J1785:K1785" si="1775">IF($B1785="","",N(J1784)+N(H1785))</f>
        <v/>
      </c>
      <c r="K1785" s="74" t="str">
        <f t="shared" si="1775"/>
        <v/>
      </c>
      <c r="L1785" s="69" t="str">
        <f>IF($B1785="","",PV-J1785)</f>
        <v/>
      </c>
      <c r="M1785" s="71" t="str">
        <f>IF($B1785="","",J1785/PV)</f>
        <v/>
      </c>
      <c r="N1785" s="72" t="str">
        <f t="shared" si="4"/>
        <v/>
      </c>
    </row>
    <row r="1786" ht="14.25" customHeight="1">
      <c r="B1786" s="66" t="str">
        <f>IF(ROWS($1:1774)&lt;=Nper,ROWS($1:1774),"")</f>
        <v/>
      </c>
      <c r="C1786" s="67" t="str">
        <f>IF($B1786="","",IF($E$7="Weekly",Start_Date+7*(ROWS($1:1774)-1),EDATE(Start_Date,VLOOKUP(IF(ASTemp!$E$7="","Monthly",ASTemp!$E$7),Parameters!$B$3:$D$6,3,0)*(ROWS($1:1774)-1))))</f>
        <v/>
      </c>
      <c r="D1786" s="68" t="str">
        <f t="shared" si="2"/>
        <v/>
      </c>
      <c r="E1786" s="65" t="str">
        <f>IF($B1786="","",VLOOKUP(MONTH(C1786),Parameters!$F$2:$G$13,2,0))</f>
        <v/>
      </c>
      <c r="F1786" s="69" t="str">
        <f>IF($B1786="","",PV-N(J1785))</f>
        <v/>
      </c>
      <c r="G1786" s="69" t="str">
        <f>IF($B1786="","",PMT(Rate,Nper,-PV,,Type))</f>
        <v/>
      </c>
      <c r="H1786" s="69" t="str">
        <f>IF($B1786="","",PPMT(Rate,ROWS($1:1774),Nper,-PV,,Type))</f>
        <v/>
      </c>
      <c r="I1786" s="69" t="str">
        <f>IF($B1786="","",IPMT(Rate,ROWS($1:1774),Nper,-PV,,Type))</f>
        <v/>
      </c>
      <c r="J1786" s="73" t="str">
        <f t="shared" ref="J1786:K1786" si="1776">IF($B1786="","",N(J1785)+N(H1786))</f>
        <v/>
      </c>
      <c r="K1786" s="74" t="str">
        <f t="shared" si="1776"/>
        <v/>
      </c>
      <c r="L1786" s="69" t="str">
        <f>IF($B1786="","",PV-J1786)</f>
        <v/>
      </c>
      <c r="M1786" s="71" t="str">
        <f>IF($B1786="","",J1786/PV)</f>
        <v/>
      </c>
      <c r="N1786" s="72" t="str">
        <f t="shared" si="4"/>
        <v/>
      </c>
    </row>
    <row r="1787" ht="14.25" customHeight="1">
      <c r="B1787" s="66" t="str">
        <f>IF(ROWS($1:1775)&lt;=Nper,ROWS($1:1775),"")</f>
        <v/>
      </c>
      <c r="C1787" s="67" t="str">
        <f>IF($B1787="","",IF($E$7="Weekly",Start_Date+7*(ROWS($1:1775)-1),EDATE(Start_Date,VLOOKUP(IF(ASTemp!$E$7="","Monthly",ASTemp!$E$7),Parameters!$B$3:$D$6,3,0)*(ROWS($1:1775)-1))))</f>
        <v/>
      </c>
      <c r="D1787" s="68" t="str">
        <f t="shared" si="2"/>
        <v/>
      </c>
      <c r="E1787" s="65" t="str">
        <f>IF($B1787="","",VLOOKUP(MONTH(C1787),Parameters!$F$2:$G$13,2,0))</f>
        <v/>
      </c>
      <c r="F1787" s="69" t="str">
        <f>IF($B1787="","",PV-N(J1786))</f>
        <v/>
      </c>
      <c r="G1787" s="69" t="str">
        <f>IF($B1787="","",PMT(Rate,Nper,-PV,,Type))</f>
        <v/>
      </c>
      <c r="H1787" s="69" t="str">
        <f>IF($B1787="","",PPMT(Rate,ROWS($1:1775),Nper,-PV,,Type))</f>
        <v/>
      </c>
      <c r="I1787" s="69" t="str">
        <f>IF($B1787="","",IPMT(Rate,ROWS($1:1775),Nper,-PV,,Type))</f>
        <v/>
      </c>
      <c r="J1787" s="73" t="str">
        <f t="shared" ref="J1787:K1787" si="1777">IF($B1787="","",N(J1786)+N(H1787))</f>
        <v/>
      </c>
      <c r="K1787" s="74" t="str">
        <f t="shared" si="1777"/>
        <v/>
      </c>
      <c r="L1787" s="69" t="str">
        <f>IF($B1787="","",PV-J1787)</f>
        <v/>
      </c>
      <c r="M1787" s="71" t="str">
        <f>IF($B1787="","",J1787/PV)</f>
        <v/>
      </c>
      <c r="N1787" s="72" t="str">
        <f t="shared" si="4"/>
        <v/>
      </c>
    </row>
    <row r="1788" ht="14.25" customHeight="1">
      <c r="B1788" s="66" t="str">
        <f>IF(ROWS($1:1776)&lt;=Nper,ROWS($1:1776),"")</f>
        <v/>
      </c>
      <c r="C1788" s="67" t="str">
        <f>IF($B1788="","",IF($E$7="Weekly",Start_Date+7*(ROWS($1:1776)-1),EDATE(Start_Date,VLOOKUP(IF(ASTemp!$E$7="","Monthly",ASTemp!$E$7),Parameters!$B$3:$D$6,3,0)*(ROWS($1:1776)-1))))</f>
        <v/>
      </c>
      <c r="D1788" s="68" t="str">
        <f t="shared" si="2"/>
        <v/>
      </c>
      <c r="E1788" s="65" t="str">
        <f>IF($B1788="","",VLOOKUP(MONTH(C1788),Parameters!$F$2:$G$13,2,0))</f>
        <v/>
      </c>
      <c r="F1788" s="69" t="str">
        <f>IF($B1788="","",PV-N(J1787))</f>
        <v/>
      </c>
      <c r="G1788" s="69" t="str">
        <f>IF($B1788="","",PMT(Rate,Nper,-PV,,Type))</f>
        <v/>
      </c>
      <c r="H1788" s="69" t="str">
        <f>IF($B1788="","",PPMT(Rate,ROWS($1:1776),Nper,-PV,,Type))</f>
        <v/>
      </c>
      <c r="I1788" s="69" t="str">
        <f>IF($B1788="","",IPMT(Rate,ROWS($1:1776),Nper,-PV,,Type))</f>
        <v/>
      </c>
      <c r="J1788" s="73" t="str">
        <f t="shared" ref="J1788:K1788" si="1778">IF($B1788="","",N(J1787)+N(H1788))</f>
        <v/>
      </c>
      <c r="K1788" s="74" t="str">
        <f t="shared" si="1778"/>
        <v/>
      </c>
      <c r="L1788" s="69" t="str">
        <f>IF($B1788="","",PV-J1788)</f>
        <v/>
      </c>
      <c r="M1788" s="71" t="str">
        <f>IF($B1788="","",J1788/PV)</f>
        <v/>
      </c>
      <c r="N1788" s="72" t="str">
        <f t="shared" si="4"/>
        <v/>
      </c>
    </row>
    <row r="1789" ht="14.25" customHeight="1">
      <c r="B1789" s="66" t="str">
        <f>IF(ROWS($1:1777)&lt;=Nper,ROWS($1:1777),"")</f>
        <v/>
      </c>
      <c r="C1789" s="67" t="str">
        <f>IF($B1789="","",IF($E$7="Weekly",Start_Date+7*(ROWS($1:1777)-1),EDATE(Start_Date,VLOOKUP(IF(ASTemp!$E$7="","Monthly",ASTemp!$E$7),Parameters!$B$3:$D$6,3,0)*(ROWS($1:1777)-1))))</f>
        <v/>
      </c>
      <c r="D1789" s="68" t="str">
        <f t="shared" si="2"/>
        <v/>
      </c>
      <c r="E1789" s="65" t="str">
        <f>IF($B1789="","",VLOOKUP(MONTH(C1789),Parameters!$F$2:$G$13,2,0))</f>
        <v/>
      </c>
      <c r="F1789" s="69" t="str">
        <f>IF($B1789="","",PV-N(J1788))</f>
        <v/>
      </c>
      <c r="G1789" s="69" t="str">
        <f>IF($B1789="","",PMT(Rate,Nper,-PV,,Type))</f>
        <v/>
      </c>
      <c r="H1789" s="69" t="str">
        <f>IF($B1789="","",PPMT(Rate,ROWS($1:1777),Nper,-PV,,Type))</f>
        <v/>
      </c>
      <c r="I1789" s="69" t="str">
        <f>IF($B1789="","",IPMT(Rate,ROWS($1:1777),Nper,-PV,,Type))</f>
        <v/>
      </c>
      <c r="J1789" s="73" t="str">
        <f t="shared" ref="J1789:K1789" si="1779">IF($B1789="","",N(J1788)+N(H1789))</f>
        <v/>
      </c>
      <c r="K1789" s="74" t="str">
        <f t="shared" si="1779"/>
        <v/>
      </c>
      <c r="L1789" s="69" t="str">
        <f>IF($B1789="","",PV-J1789)</f>
        <v/>
      </c>
      <c r="M1789" s="71" t="str">
        <f>IF($B1789="","",J1789/PV)</f>
        <v/>
      </c>
      <c r="N1789" s="72" t="str">
        <f t="shared" si="4"/>
        <v/>
      </c>
    </row>
    <row r="1790" ht="14.25" customHeight="1">
      <c r="B1790" s="66" t="str">
        <f>IF(ROWS($1:1778)&lt;=Nper,ROWS($1:1778),"")</f>
        <v/>
      </c>
      <c r="C1790" s="67" t="str">
        <f>IF($B1790="","",IF($E$7="Weekly",Start_Date+7*(ROWS($1:1778)-1),EDATE(Start_Date,VLOOKUP(IF(ASTemp!$E$7="","Monthly",ASTemp!$E$7),Parameters!$B$3:$D$6,3,0)*(ROWS($1:1778)-1))))</f>
        <v/>
      </c>
      <c r="D1790" s="68" t="str">
        <f t="shared" si="2"/>
        <v/>
      </c>
      <c r="E1790" s="65" t="str">
        <f>IF($B1790="","",VLOOKUP(MONTH(C1790),Parameters!$F$2:$G$13,2,0))</f>
        <v/>
      </c>
      <c r="F1790" s="69" t="str">
        <f>IF($B1790="","",PV-N(J1789))</f>
        <v/>
      </c>
      <c r="G1790" s="69" t="str">
        <f>IF($B1790="","",PMT(Rate,Nper,-PV,,Type))</f>
        <v/>
      </c>
      <c r="H1790" s="69" t="str">
        <f>IF($B1790="","",PPMT(Rate,ROWS($1:1778),Nper,-PV,,Type))</f>
        <v/>
      </c>
      <c r="I1790" s="69" t="str">
        <f>IF($B1790="","",IPMT(Rate,ROWS($1:1778),Nper,-PV,,Type))</f>
        <v/>
      </c>
      <c r="J1790" s="73" t="str">
        <f t="shared" ref="J1790:K1790" si="1780">IF($B1790="","",N(J1789)+N(H1790))</f>
        <v/>
      </c>
      <c r="K1790" s="74" t="str">
        <f t="shared" si="1780"/>
        <v/>
      </c>
      <c r="L1790" s="69" t="str">
        <f>IF($B1790="","",PV-J1790)</f>
        <v/>
      </c>
      <c r="M1790" s="71" t="str">
        <f>IF($B1790="","",J1790/PV)</f>
        <v/>
      </c>
      <c r="N1790" s="72" t="str">
        <f t="shared" si="4"/>
        <v/>
      </c>
    </row>
    <row r="1791" ht="14.25" customHeight="1">
      <c r="B1791" s="66" t="str">
        <f>IF(ROWS($1:1779)&lt;=Nper,ROWS($1:1779),"")</f>
        <v/>
      </c>
      <c r="C1791" s="67" t="str">
        <f>IF($B1791="","",IF($E$7="Weekly",Start_Date+7*(ROWS($1:1779)-1),EDATE(Start_Date,VLOOKUP(IF(ASTemp!$E$7="","Monthly",ASTemp!$E$7),Parameters!$B$3:$D$6,3,0)*(ROWS($1:1779)-1))))</f>
        <v/>
      </c>
      <c r="D1791" s="68" t="str">
        <f t="shared" si="2"/>
        <v/>
      </c>
      <c r="E1791" s="65" t="str">
        <f>IF($B1791="","",VLOOKUP(MONTH(C1791),Parameters!$F$2:$G$13,2,0))</f>
        <v/>
      </c>
      <c r="F1791" s="69" t="str">
        <f>IF($B1791="","",PV-N(J1790))</f>
        <v/>
      </c>
      <c r="G1791" s="69" t="str">
        <f>IF($B1791="","",PMT(Rate,Nper,-PV,,Type))</f>
        <v/>
      </c>
      <c r="H1791" s="69" t="str">
        <f>IF($B1791="","",PPMT(Rate,ROWS($1:1779),Nper,-PV,,Type))</f>
        <v/>
      </c>
      <c r="I1791" s="69" t="str">
        <f>IF($B1791="","",IPMT(Rate,ROWS($1:1779),Nper,-PV,,Type))</f>
        <v/>
      </c>
      <c r="J1791" s="73" t="str">
        <f t="shared" ref="J1791:K1791" si="1781">IF($B1791="","",N(J1790)+N(H1791))</f>
        <v/>
      </c>
      <c r="K1791" s="74" t="str">
        <f t="shared" si="1781"/>
        <v/>
      </c>
      <c r="L1791" s="69" t="str">
        <f>IF($B1791="","",PV-J1791)</f>
        <v/>
      </c>
      <c r="M1791" s="71" t="str">
        <f>IF($B1791="","",J1791/PV)</f>
        <v/>
      </c>
      <c r="N1791" s="72" t="str">
        <f t="shared" si="4"/>
        <v/>
      </c>
    </row>
    <row r="1792" ht="14.25" customHeight="1">
      <c r="B1792" s="66" t="str">
        <f>IF(ROWS($1:1780)&lt;=Nper,ROWS($1:1780),"")</f>
        <v/>
      </c>
      <c r="C1792" s="67" t="str">
        <f>IF($B1792="","",IF($E$7="Weekly",Start_Date+7*(ROWS($1:1780)-1),EDATE(Start_Date,VLOOKUP(IF(ASTemp!$E$7="","Monthly",ASTemp!$E$7),Parameters!$B$3:$D$6,3,0)*(ROWS($1:1780)-1))))</f>
        <v/>
      </c>
      <c r="D1792" s="68" t="str">
        <f t="shared" si="2"/>
        <v/>
      </c>
      <c r="E1792" s="65" t="str">
        <f>IF($B1792="","",VLOOKUP(MONTH(C1792),Parameters!$F$2:$G$13,2,0))</f>
        <v/>
      </c>
      <c r="F1792" s="69" t="str">
        <f>IF($B1792="","",PV-N(J1791))</f>
        <v/>
      </c>
      <c r="G1792" s="69" t="str">
        <f>IF($B1792="","",PMT(Rate,Nper,-PV,,Type))</f>
        <v/>
      </c>
      <c r="H1792" s="69" t="str">
        <f>IF($B1792="","",PPMT(Rate,ROWS($1:1780),Nper,-PV,,Type))</f>
        <v/>
      </c>
      <c r="I1792" s="69" t="str">
        <f>IF($B1792="","",IPMT(Rate,ROWS($1:1780),Nper,-PV,,Type))</f>
        <v/>
      </c>
      <c r="J1792" s="73" t="str">
        <f t="shared" ref="J1792:K1792" si="1782">IF($B1792="","",N(J1791)+N(H1792))</f>
        <v/>
      </c>
      <c r="K1792" s="74" t="str">
        <f t="shared" si="1782"/>
        <v/>
      </c>
      <c r="L1792" s="69" t="str">
        <f>IF($B1792="","",PV-J1792)</f>
        <v/>
      </c>
      <c r="M1792" s="71" t="str">
        <f>IF($B1792="","",J1792/PV)</f>
        <v/>
      </c>
      <c r="N1792" s="72" t="str">
        <f t="shared" si="4"/>
        <v/>
      </c>
    </row>
    <row r="1793" ht="14.25" customHeight="1">
      <c r="B1793" s="66" t="str">
        <f>IF(ROWS($1:1781)&lt;=Nper,ROWS($1:1781),"")</f>
        <v/>
      </c>
      <c r="C1793" s="67" t="str">
        <f>IF($B1793="","",IF($E$7="Weekly",Start_Date+7*(ROWS($1:1781)-1),EDATE(Start_Date,VLOOKUP(IF(ASTemp!$E$7="","Monthly",ASTemp!$E$7),Parameters!$B$3:$D$6,3,0)*(ROWS($1:1781)-1))))</f>
        <v/>
      </c>
      <c r="D1793" s="68" t="str">
        <f t="shared" si="2"/>
        <v/>
      </c>
      <c r="E1793" s="65" t="str">
        <f>IF($B1793="","",VLOOKUP(MONTH(C1793),Parameters!$F$2:$G$13,2,0))</f>
        <v/>
      </c>
      <c r="F1793" s="69" t="str">
        <f>IF($B1793="","",PV-N(J1792))</f>
        <v/>
      </c>
      <c r="G1793" s="69" t="str">
        <f>IF($B1793="","",PMT(Rate,Nper,-PV,,Type))</f>
        <v/>
      </c>
      <c r="H1793" s="69" t="str">
        <f>IF($B1793="","",PPMT(Rate,ROWS($1:1781),Nper,-PV,,Type))</f>
        <v/>
      </c>
      <c r="I1793" s="69" t="str">
        <f>IF($B1793="","",IPMT(Rate,ROWS($1:1781),Nper,-PV,,Type))</f>
        <v/>
      </c>
      <c r="J1793" s="73" t="str">
        <f t="shared" ref="J1793:K1793" si="1783">IF($B1793="","",N(J1792)+N(H1793))</f>
        <v/>
      </c>
      <c r="K1793" s="74" t="str">
        <f t="shared" si="1783"/>
        <v/>
      </c>
      <c r="L1793" s="69" t="str">
        <f>IF($B1793="","",PV-J1793)</f>
        <v/>
      </c>
      <c r="M1793" s="71" t="str">
        <f>IF($B1793="","",J1793/PV)</f>
        <v/>
      </c>
      <c r="N1793" s="72" t="str">
        <f t="shared" si="4"/>
        <v/>
      </c>
    </row>
    <row r="1794" ht="14.25" customHeight="1">
      <c r="B1794" s="66" t="str">
        <f>IF(ROWS($1:1782)&lt;=Nper,ROWS($1:1782),"")</f>
        <v/>
      </c>
      <c r="C1794" s="67" t="str">
        <f>IF($B1794="","",IF($E$7="Weekly",Start_Date+7*(ROWS($1:1782)-1),EDATE(Start_Date,VLOOKUP(IF(ASTemp!$E$7="","Monthly",ASTemp!$E$7),Parameters!$B$3:$D$6,3,0)*(ROWS($1:1782)-1))))</f>
        <v/>
      </c>
      <c r="D1794" s="68" t="str">
        <f t="shared" si="2"/>
        <v/>
      </c>
      <c r="E1794" s="65" t="str">
        <f>IF($B1794="","",VLOOKUP(MONTH(C1794),Parameters!$F$2:$G$13,2,0))</f>
        <v/>
      </c>
      <c r="F1794" s="69" t="str">
        <f>IF($B1794="","",PV-N(J1793))</f>
        <v/>
      </c>
      <c r="G1794" s="69" t="str">
        <f>IF($B1794="","",PMT(Rate,Nper,-PV,,Type))</f>
        <v/>
      </c>
      <c r="H1794" s="69" t="str">
        <f>IF($B1794="","",PPMT(Rate,ROWS($1:1782),Nper,-PV,,Type))</f>
        <v/>
      </c>
      <c r="I1794" s="69" t="str">
        <f>IF($B1794="","",IPMT(Rate,ROWS($1:1782),Nper,-PV,,Type))</f>
        <v/>
      </c>
      <c r="J1794" s="73" t="str">
        <f t="shared" ref="J1794:K1794" si="1784">IF($B1794="","",N(J1793)+N(H1794))</f>
        <v/>
      </c>
      <c r="K1794" s="74" t="str">
        <f t="shared" si="1784"/>
        <v/>
      </c>
      <c r="L1794" s="69" t="str">
        <f>IF($B1794="","",PV-J1794)</f>
        <v/>
      </c>
      <c r="M1794" s="71" t="str">
        <f>IF($B1794="","",J1794/PV)</f>
        <v/>
      </c>
      <c r="N1794" s="72" t="str">
        <f t="shared" si="4"/>
        <v/>
      </c>
    </row>
    <row r="1795" ht="14.25" customHeight="1">
      <c r="B1795" s="66" t="str">
        <f>IF(ROWS($1:1783)&lt;=Nper,ROWS($1:1783),"")</f>
        <v/>
      </c>
      <c r="C1795" s="67" t="str">
        <f>IF($B1795="","",IF($E$7="Weekly",Start_Date+7*(ROWS($1:1783)-1),EDATE(Start_Date,VLOOKUP(IF(ASTemp!$E$7="","Monthly",ASTemp!$E$7),Parameters!$B$3:$D$6,3,0)*(ROWS($1:1783)-1))))</f>
        <v/>
      </c>
      <c r="D1795" s="68" t="str">
        <f t="shared" si="2"/>
        <v/>
      </c>
      <c r="E1795" s="65" t="str">
        <f>IF($B1795="","",VLOOKUP(MONTH(C1795),Parameters!$F$2:$G$13,2,0))</f>
        <v/>
      </c>
      <c r="F1795" s="69" t="str">
        <f>IF($B1795="","",PV-N(J1794))</f>
        <v/>
      </c>
      <c r="G1795" s="69" t="str">
        <f>IF($B1795="","",PMT(Rate,Nper,-PV,,Type))</f>
        <v/>
      </c>
      <c r="H1795" s="69" t="str">
        <f>IF($B1795="","",PPMT(Rate,ROWS($1:1783),Nper,-PV,,Type))</f>
        <v/>
      </c>
      <c r="I1795" s="69" t="str">
        <f>IF($B1795="","",IPMT(Rate,ROWS($1:1783),Nper,-PV,,Type))</f>
        <v/>
      </c>
      <c r="J1795" s="73" t="str">
        <f t="shared" ref="J1795:K1795" si="1785">IF($B1795="","",N(J1794)+N(H1795))</f>
        <v/>
      </c>
      <c r="K1795" s="74" t="str">
        <f t="shared" si="1785"/>
        <v/>
      </c>
      <c r="L1795" s="69" t="str">
        <f>IF($B1795="","",PV-J1795)</f>
        <v/>
      </c>
      <c r="M1795" s="71" t="str">
        <f>IF($B1795="","",J1795/PV)</f>
        <v/>
      </c>
      <c r="N1795" s="72" t="str">
        <f t="shared" si="4"/>
        <v/>
      </c>
    </row>
    <row r="1796" ht="14.25" customHeight="1">
      <c r="B1796" s="66" t="str">
        <f>IF(ROWS($1:1784)&lt;=Nper,ROWS($1:1784),"")</f>
        <v/>
      </c>
      <c r="C1796" s="67" t="str">
        <f>IF($B1796="","",IF($E$7="Weekly",Start_Date+7*(ROWS($1:1784)-1),EDATE(Start_Date,VLOOKUP(IF(ASTemp!$E$7="","Monthly",ASTemp!$E$7),Parameters!$B$3:$D$6,3,0)*(ROWS($1:1784)-1))))</f>
        <v/>
      </c>
      <c r="D1796" s="68" t="str">
        <f t="shared" si="2"/>
        <v/>
      </c>
      <c r="E1796" s="65" t="str">
        <f>IF($B1796="","",VLOOKUP(MONTH(C1796),Parameters!$F$2:$G$13,2,0))</f>
        <v/>
      </c>
      <c r="F1796" s="69" t="str">
        <f>IF($B1796="","",PV-N(J1795))</f>
        <v/>
      </c>
      <c r="G1796" s="69" t="str">
        <f>IF($B1796="","",PMT(Rate,Nper,-PV,,Type))</f>
        <v/>
      </c>
      <c r="H1796" s="69" t="str">
        <f>IF($B1796="","",PPMT(Rate,ROWS($1:1784),Nper,-PV,,Type))</f>
        <v/>
      </c>
      <c r="I1796" s="69" t="str">
        <f>IF($B1796="","",IPMT(Rate,ROWS($1:1784),Nper,-PV,,Type))</f>
        <v/>
      </c>
      <c r="J1796" s="73" t="str">
        <f t="shared" ref="J1796:K1796" si="1786">IF($B1796="","",N(J1795)+N(H1796))</f>
        <v/>
      </c>
      <c r="K1796" s="74" t="str">
        <f t="shared" si="1786"/>
        <v/>
      </c>
      <c r="L1796" s="69" t="str">
        <f>IF($B1796="","",PV-J1796)</f>
        <v/>
      </c>
      <c r="M1796" s="71" t="str">
        <f>IF($B1796="","",J1796/PV)</f>
        <v/>
      </c>
      <c r="N1796" s="72" t="str">
        <f t="shared" si="4"/>
        <v/>
      </c>
    </row>
    <row r="1797" ht="14.25" customHeight="1">
      <c r="B1797" s="66" t="str">
        <f>IF(ROWS($1:1785)&lt;=Nper,ROWS($1:1785),"")</f>
        <v/>
      </c>
      <c r="C1797" s="67" t="str">
        <f>IF($B1797="","",IF($E$7="Weekly",Start_Date+7*(ROWS($1:1785)-1),EDATE(Start_Date,VLOOKUP(IF(ASTemp!$E$7="","Monthly",ASTemp!$E$7),Parameters!$B$3:$D$6,3,0)*(ROWS($1:1785)-1))))</f>
        <v/>
      </c>
      <c r="D1797" s="68" t="str">
        <f t="shared" si="2"/>
        <v/>
      </c>
      <c r="E1797" s="65" t="str">
        <f>IF($B1797="","",VLOOKUP(MONTH(C1797),Parameters!$F$2:$G$13,2,0))</f>
        <v/>
      </c>
      <c r="F1797" s="69" t="str">
        <f>IF($B1797="","",PV-N(J1796))</f>
        <v/>
      </c>
      <c r="G1797" s="69" t="str">
        <f>IF($B1797="","",PMT(Rate,Nper,-PV,,Type))</f>
        <v/>
      </c>
      <c r="H1797" s="69" t="str">
        <f>IF($B1797="","",PPMT(Rate,ROWS($1:1785),Nper,-PV,,Type))</f>
        <v/>
      </c>
      <c r="I1797" s="69" t="str">
        <f>IF($B1797="","",IPMT(Rate,ROWS($1:1785),Nper,-PV,,Type))</f>
        <v/>
      </c>
      <c r="J1797" s="73" t="str">
        <f t="shared" ref="J1797:K1797" si="1787">IF($B1797="","",N(J1796)+N(H1797))</f>
        <v/>
      </c>
      <c r="K1797" s="74" t="str">
        <f t="shared" si="1787"/>
        <v/>
      </c>
      <c r="L1797" s="69" t="str">
        <f>IF($B1797="","",PV-J1797)</f>
        <v/>
      </c>
      <c r="M1797" s="71" t="str">
        <f>IF($B1797="","",J1797/PV)</f>
        <v/>
      </c>
      <c r="N1797" s="72" t="str">
        <f t="shared" si="4"/>
        <v/>
      </c>
    </row>
    <row r="1798" ht="14.25" customHeight="1">
      <c r="B1798" s="66" t="str">
        <f>IF(ROWS($1:1786)&lt;=Nper,ROWS($1:1786),"")</f>
        <v/>
      </c>
      <c r="C1798" s="67" t="str">
        <f>IF($B1798="","",IF($E$7="Weekly",Start_Date+7*(ROWS($1:1786)-1),EDATE(Start_Date,VLOOKUP(IF(ASTemp!$E$7="","Monthly",ASTemp!$E$7),Parameters!$B$3:$D$6,3,0)*(ROWS($1:1786)-1))))</f>
        <v/>
      </c>
      <c r="D1798" s="68" t="str">
        <f t="shared" si="2"/>
        <v/>
      </c>
      <c r="E1798" s="65" t="str">
        <f>IF($B1798="","",VLOOKUP(MONTH(C1798),Parameters!$F$2:$G$13,2,0))</f>
        <v/>
      </c>
      <c r="F1798" s="69" t="str">
        <f>IF($B1798="","",PV-N(J1797))</f>
        <v/>
      </c>
      <c r="G1798" s="69" t="str">
        <f>IF($B1798="","",PMT(Rate,Nper,-PV,,Type))</f>
        <v/>
      </c>
      <c r="H1798" s="69" t="str">
        <f>IF($B1798="","",PPMT(Rate,ROWS($1:1786),Nper,-PV,,Type))</f>
        <v/>
      </c>
      <c r="I1798" s="69" t="str">
        <f>IF($B1798="","",IPMT(Rate,ROWS($1:1786),Nper,-PV,,Type))</f>
        <v/>
      </c>
      <c r="J1798" s="73" t="str">
        <f t="shared" ref="J1798:K1798" si="1788">IF($B1798="","",N(J1797)+N(H1798))</f>
        <v/>
      </c>
      <c r="K1798" s="74" t="str">
        <f t="shared" si="1788"/>
        <v/>
      </c>
      <c r="L1798" s="69" t="str">
        <f>IF($B1798="","",PV-J1798)</f>
        <v/>
      </c>
      <c r="M1798" s="71" t="str">
        <f>IF($B1798="","",J1798/PV)</f>
        <v/>
      </c>
      <c r="N1798" s="72" t="str">
        <f t="shared" si="4"/>
        <v/>
      </c>
    </row>
    <row r="1799" ht="14.25" customHeight="1">
      <c r="B1799" s="66" t="str">
        <f>IF(ROWS($1:1787)&lt;=Nper,ROWS($1:1787),"")</f>
        <v/>
      </c>
      <c r="C1799" s="67" t="str">
        <f>IF($B1799="","",IF($E$7="Weekly",Start_Date+7*(ROWS($1:1787)-1),EDATE(Start_Date,VLOOKUP(IF(ASTemp!$E$7="","Monthly",ASTemp!$E$7),Parameters!$B$3:$D$6,3,0)*(ROWS($1:1787)-1))))</f>
        <v/>
      </c>
      <c r="D1799" s="68" t="str">
        <f t="shared" si="2"/>
        <v/>
      </c>
      <c r="E1799" s="65" t="str">
        <f>IF($B1799="","",VLOOKUP(MONTH(C1799),Parameters!$F$2:$G$13,2,0))</f>
        <v/>
      </c>
      <c r="F1799" s="69" t="str">
        <f>IF($B1799="","",PV-N(J1798))</f>
        <v/>
      </c>
      <c r="G1799" s="69" t="str">
        <f>IF($B1799="","",PMT(Rate,Nper,-PV,,Type))</f>
        <v/>
      </c>
      <c r="H1799" s="69" t="str">
        <f>IF($B1799="","",PPMT(Rate,ROWS($1:1787),Nper,-PV,,Type))</f>
        <v/>
      </c>
      <c r="I1799" s="69" t="str">
        <f>IF($B1799="","",IPMT(Rate,ROWS($1:1787),Nper,-PV,,Type))</f>
        <v/>
      </c>
      <c r="J1799" s="73" t="str">
        <f t="shared" ref="J1799:K1799" si="1789">IF($B1799="","",N(J1798)+N(H1799))</f>
        <v/>
      </c>
      <c r="K1799" s="74" t="str">
        <f t="shared" si="1789"/>
        <v/>
      </c>
      <c r="L1799" s="69" t="str">
        <f>IF($B1799="","",PV-J1799)</f>
        <v/>
      </c>
      <c r="M1799" s="71" t="str">
        <f>IF($B1799="","",J1799/PV)</f>
        <v/>
      </c>
      <c r="N1799" s="72" t="str">
        <f t="shared" si="4"/>
        <v/>
      </c>
    </row>
    <row r="1800" ht="14.25" customHeight="1">
      <c r="B1800" s="66" t="str">
        <f>IF(ROWS($1:1788)&lt;=Nper,ROWS($1:1788),"")</f>
        <v/>
      </c>
      <c r="C1800" s="67" t="str">
        <f>IF($B1800="","",IF($E$7="Weekly",Start_Date+7*(ROWS($1:1788)-1),EDATE(Start_Date,VLOOKUP(IF(ASTemp!$E$7="","Monthly",ASTemp!$E$7),Parameters!$B$3:$D$6,3,0)*(ROWS($1:1788)-1))))</f>
        <v/>
      </c>
      <c r="D1800" s="68" t="str">
        <f t="shared" si="2"/>
        <v/>
      </c>
      <c r="E1800" s="65" t="str">
        <f>IF($B1800="","",VLOOKUP(MONTH(C1800),Parameters!$F$2:$G$13,2,0))</f>
        <v/>
      </c>
      <c r="F1800" s="69" t="str">
        <f>IF($B1800="","",PV-N(J1799))</f>
        <v/>
      </c>
      <c r="G1800" s="69" t="str">
        <f>IF($B1800="","",PMT(Rate,Nper,-PV,,Type))</f>
        <v/>
      </c>
      <c r="H1800" s="69" t="str">
        <f>IF($B1800="","",PPMT(Rate,ROWS($1:1788),Nper,-PV,,Type))</f>
        <v/>
      </c>
      <c r="I1800" s="69" t="str">
        <f>IF($B1800="","",IPMT(Rate,ROWS($1:1788),Nper,-PV,,Type))</f>
        <v/>
      </c>
      <c r="J1800" s="73" t="str">
        <f t="shared" ref="J1800:K1800" si="1790">IF($B1800="","",N(J1799)+N(H1800))</f>
        <v/>
      </c>
      <c r="K1800" s="74" t="str">
        <f t="shared" si="1790"/>
        <v/>
      </c>
      <c r="L1800" s="69" t="str">
        <f>IF($B1800="","",PV-J1800)</f>
        <v/>
      </c>
      <c r="M1800" s="71" t="str">
        <f>IF($B1800="","",J1800/PV)</f>
        <v/>
      </c>
      <c r="N1800" s="72" t="str">
        <f t="shared" si="4"/>
        <v/>
      </c>
    </row>
    <row r="1801" ht="14.25" customHeight="1">
      <c r="B1801" s="66" t="str">
        <f>IF(ROWS($1:1789)&lt;=Nper,ROWS($1:1789),"")</f>
        <v/>
      </c>
      <c r="C1801" s="67" t="str">
        <f>IF($B1801="","",IF($E$7="Weekly",Start_Date+7*(ROWS($1:1789)-1),EDATE(Start_Date,VLOOKUP(IF(ASTemp!$E$7="","Monthly",ASTemp!$E$7),Parameters!$B$3:$D$6,3,0)*(ROWS($1:1789)-1))))</f>
        <v/>
      </c>
      <c r="D1801" s="68" t="str">
        <f t="shared" si="2"/>
        <v/>
      </c>
      <c r="E1801" s="65" t="str">
        <f>IF($B1801="","",VLOOKUP(MONTH(C1801),Parameters!$F$2:$G$13,2,0))</f>
        <v/>
      </c>
      <c r="F1801" s="69" t="str">
        <f>IF($B1801="","",PV-N(J1800))</f>
        <v/>
      </c>
      <c r="G1801" s="69" t="str">
        <f>IF($B1801="","",PMT(Rate,Nper,-PV,,Type))</f>
        <v/>
      </c>
      <c r="H1801" s="69" t="str">
        <f>IF($B1801="","",PPMT(Rate,ROWS($1:1789),Nper,-PV,,Type))</f>
        <v/>
      </c>
      <c r="I1801" s="69" t="str">
        <f>IF($B1801="","",IPMT(Rate,ROWS($1:1789),Nper,-PV,,Type))</f>
        <v/>
      </c>
      <c r="J1801" s="73" t="str">
        <f t="shared" ref="J1801:K1801" si="1791">IF($B1801="","",N(J1800)+N(H1801))</f>
        <v/>
      </c>
      <c r="K1801" s="74" t="str">
        <f t="shared" si="1791"/>
        <v/>
      </c>
      <c r="L1801" s="69" t="str">
        <f>IF($B1801="","",PV-J1801)</f>
        <v/>
      </c>
      <c r="M1801" s="71" t="str">
        <f>IF($B1801="","",J1801/PV)</f>
        <v/>
      </c>
      <c r="N1801" s="72" t="str">
        <f t="shared" si="4"/>
        <v/>
      </c>
    </row>
    <row r="1802" ht="14.25" customHeight="1">
      <c r="B1802" s="66" t="str">
        <f>IF(ROWS($1:1790)&lt;=Nper,ROWS($1:1790),"")</f>
        <v/>
      </c>
      <c r="C1802" s="67" t="str">
        <f>IF($B1802="","",IF($E$7="Weekly",Start_Date+7*(ROWS($1:1790)-1),EDATE(Start_Date,VLOOKUP(IF(ASTemp!$E$7="","Monthly",ASTemp!$E$7),Parameters!$B$3:$D$6,3,0)*(ROWS($1:1790)-1))))</f>
        <v/>
      </c>
      <c r="D1802" s="68" t="str">
        <f t="shared" si="2"/>
        <v/>
      </c>
      <c r="E1802" s="65" t="str">
        <f>IF($B1802="","",VLOOKUP(MONTH(C1802),Parameters!$F$2:$G$13,2,0))</f>
        <v/>
      </c>
      <c r="F1802" s="69" t="str">
        <f>IF($B1802="","",PV-N(J1801))</f>
        <v/>
      </c>
      <c r="G1802" s="69" t="str">
        <f>IF($B1802="","",PMT(Rate,Nper,-PV,,Type))</f>
        <v/>
      </c>
      <c r="H1802" s="69" t="str">
        <f>IF($B1802="","",PPMT(Rate,ROWS($1:1790),Nper,-PV,,Type))</f>
        <v/>
      </c>
      <c r="I1802" s="69" t="str">
        <f>IF($B1802="","",IPMT(Rate,ROWS($1:1790),Nper,-PV,,Type))</f>
        <v/>
      </c>
      <c r="J1802" s="73" t="str">
        <f t="shared" ref="J1802:K1802" si="1792">IF($B1802="","",N(J1801)+N(H1802))</f>
        <v/>
      </c>
      <c r="K1802" s="74" t="str">
        <f t="shared" si="1792"/>
        <v/>
      </c>
      <c r="L1802" s="69" t="str">
        <f>IF($B1802="","",PV-J1802)</f>
        <v/>
      </c>
      <c r="M1802" s="71" t="str">
        <f>IF($B1802="","",J1802/PV)</f>
        <v/>
      </c>
      <c r="N1802" s="72" t="str">
        <f t="shared" si="4"/>
        <v/>
      </c>
    </row>
    <row r="1803" ht="14.25" customHeight="1">
      <c r="B1803" s="66" t="str">
        <f>IF(ROWS($1:1791)&lt;=Nper,ROWS($1:1791),"")</f>
        <v/>
      </c>
      <c r="C1803" s="67" t="str">
        <f>IF($B1803="","",IF($E$7="Weekly",Start_Date+7*(ROWS($1:1791)-1),EDATE(Start_Date,VLOOKUP(IF(ASTemp!$E$7="","Monthly",ASTemp!$E$7),Parameters!$B$3:$D$6,3,0)*(ROWS($1:1791)-1))))</f>
        <v/>
      </c>
      <c r="D1803" s="68" t="str">
        <f t="shared" si="2"/>
        <v/>
      </c>
      <c r="E1803" s="65" t="str">
        <f>IF($B1803="","",VLOOKUP(MONTH(C1803),Parameters!$F$2:$G$13,2,0))</f>
        <v/>
      </c>
      <c r="F1803" s="69" t="str">
        <f>IF($B1803="","",PV-N(J1802))</f>
        <v/>
      </c>
      <c r="G1803" s="69" t="str">
        <f>IF($B1803="","",PMT(Rate,Nper,-PV,,Type))</f>
        <v/>
      </c>
      <c r="H1803" s="69" t="str">
        <f>IF($B1803="","",PPMT(Rate,ROWS($1:1791),Nper,-PV,,Type))</f>
        <v/>
      </c>
      <c r="I1803" s="69" t="str">
        <f>IF($B1803="","",IPMT(Rate,ROWS($1:1791),Nper,-PV,,Type))</f>
        <v/>
      </c>
      <c r="J1803" s="73" t="str">
        <f t="shared" ref="J1803:K1803" si="1793">IF($B1803="","",N(J1802)+N(H1803))</f>
        <v/>
      </c>
      <c r="K1803" s="74" t="str">
        <f t="shared" si="1793"/>
        <v/>
      </c>
      <c r="L1803" s="69" t="str">
        <f>IF($B1803="","",PV-J1803)</f>
        <v/>
      </c>
      <c r="M1803" s="71" t="str">
        <f>IF($B1803="","",J1803/PV)</f>
        <v/>
      </c>
      <c r="N1803" s="72" t="str">
        <f t="shared" si="4"/>
        <v/>
      </c>
    </row>
    <row r="1804" ht="14.25" customHeight="1">
      <c r="B1804" s="66" t="str">
        <f>IF(ROWS($1:1792)&lt;=Nper,ROWS($1:1792),"")</f>
        <v/>
      </c>
      <c r="C1804" s="67" t="str">
        <f>IF($B1804="","",IF($E$7="Weekly",Start_Date+7*(ROWS($1:1792)-1),EDATE(Start_Date,VLOOKUP(IF(ASTemp!$E$7="","Monthly",ASTemp!$E$7),Parameters!$B$3:$D$6,3,0)*(ROWS($1:1792)-1))))</f>
        <v/>
      </c>
      <c r="D1804" s="68" t="str">
        <f t="shared" si="2"/>
        <v/>
      </c>
      <c r="E1804" s="65" t="str">
        <f>IF($B1804="","",VLOOKUP(MONTH(C1804),Parameters!$F$2:$G$13,2,0))</f>
        <v/>
      </c>
      <c r="F1804" s="69" t="str">
        <f>IF($B1804="","",PV-N(J1803))</f>
        <v/>
      </c>
      <c r="G1804" s="69" t="str">
        <f>IF($B1804="","",PMT(Rate,Nper,-PV,,Type))</f>
        <v/>
      </c>
      <c r="H1804" s="69" t="str">
        <f>IF($B1804="","",PPMT(Rate,ROWS($1:1792),Nper,-PV,,Type))</f>
        <v/>
      </c>
      <c r="I1804" s="69" t="str">
        <f>IF($B1804="","",IPMT(Rate,ROWS($1:1792),Nper,-PV,,Type))</f>
        <v/>
      </c>
      <c r="J1804" s="73" t="str">
        <f t="shared" ref="J1804:K1804" si="1794">IF($B1804="","",N(J1803)+N(H1804))</f>
        <v/>
      </c>
      <c r="K1804" s="74" t="str">
        <f t="shared" si="1794"/>
        <v/>
      </c>
      <c r="L1804" s="69" t="str">
        <f>IF($B1804="","",PV-J1804)</f>
        <v/>
      </c>
      <c r="M1804" s="71" t="str">
        <f>IF($B1804="","",J1804/PV)</f>
        <v/>
      </c>
      <c r="N1804" s="72" t="str">
        <f t="shared" si="4"/>
        <v/>
      </c>
    </row>
    <row r="1805" ht="14.25" customHeight="1">
      <c r="B1805" s="66" t="str">
        <f>IF(ROWS($1:1793)&lt;=Nper,ROWS($1:1793),"")</f>
        <v/>
      </c>
      <c r="C1805" s="67" t="str">
        <f>IF($B1805="","",IF($E$7="Weekly",Start_Date+7*(ROWS($1:1793)-1),EDATE(Start_Date,VLOOKUP(IF(ASTemp!$E$7="","Monthly",ASTemp!$E$7),Parameters!$B$3:$D$6,3,0)*(ROWS($1:1793)-1))))</f>
        <v/>
      </c>
      <c r="D1805" s="68" t="str">
        <f t="shared" si="2"/>
        <v/>
      </c>
      <c r="E1805" s="65" t="str">
        <f>IF($B1805="","",VLOOKUP(MONTH(C1805),Parameters!$F$2:$G$13,2,0))</f>
        <v/>
      </c>
      <c r="F1805" s="69" t="str">
        <f>IF($B1805="","",PV-N(J1804))</f>
        <v/>
      </c>
      <c r="G1805" s="69" t="str">
        <f>IF($B1805="","",PMT(Rate,Nper,-PV,,Type))</f>
        <v/>
      </c>
      <c r="H1805" s="69" t="str">
        <f>IF($B1805="","",PPMT(Rate,ROWS($1:1793),Nper,-PV,,Type))</f>
        <v/>
      </c>
      <c r="I1805" s="69" t="str">
        <f>IF($B1805="","",IPMT(Rate,ROWS($1:1793),Nper,-PV,,Type))</f>
        <v/>
      </c>
      <c r="J1805" s="73" t="str">
        <f t="shared" ref="J1805:K1805" si="1795">IF($B1805="","",N(J1804)+N(H1805))</f>
        <v/>
      </c>
      <c r="K1805" s="74" t="str">
        <f t="shared" si="1795"/>
        <v/>
      </c>
      <c r="L1805" s="69" t="str">
        <f>IF($B1805="","",PV-J1805)</f>
        <v/>
      </c>
      <c r="M1805" s="71" t="str">
        <f>IF($B1805="","",J1805/PV)</f>
        <v/>
      </c>
      <c r="N1805" s="72" t="str">
        <f t="shared" si="4"/>
        <v/>
      </c>
    </row>
    <row r="1806" ht="14.25" customHeight="1">
      <c r="B1806" s="66" t="str">
        <f>IF(ROWS($1:1794)&lt;=Nper,ROWS($1:1794),"")</f>
        <v/>
      </c>
      <c r="C1806" s="67" t="str">
        <f>IF($B1806="","",IF($E$7="Weekly",Start_Date+7*(ROWS($1:1794)-1),EDATE(Start_Date,VLOOKUP(IF(ASTemp!$E$7="","Monthly",ASTemp!$E$7),Parameters!$B$3:$D$6,3,0)*(ROWS($1:1794)-1))))</f>
        <v/>
      </c>
      <c r="D1806" s="68" t="str">
        <f t="shared" si="2"/>
        <v/>
      </c>
      <c r="E1806" s="65" t="str">
        <f>IF($B1806="","",VLOOKUP(MONTH(C1806),Parameters!$F$2:$G$13,2,0))</f>
        <v/>
      </c>
      <c r="F1806" s="69" t="str">
        <f>IF($B1806="","",PV-N(J1805))</f>
        <v/>
      </c>
      <c r="G1806" s="69" t="str">
        <f>IF($B1806="","",PMT(Rate,Nper,-PV,,Type))</f>
        <v/>
      </c>
      <c r="H1806" s="69" t="str">
        <f>IF($B1806="","",PPMT(Rate,ROWS($1:1794),Nper,-PV,,Type))</f>
        <v/>
      </c>
      <c r="I1806" s="69" t="str">
        <f>IF($B1806="","",IPMT(Rate,ROWS($1:1794),Nper,-PV,,Type))</f>
        <v/>
      </c>
      <c r="J1806" s="73" t="str">
        <f t="shared" ref="J1806:K1806" si="1796">IF($B1806="","",N(J1805)+N(H1806))</f>
        <v/>
      </c>
      <c r="K1806" s="74" t="str">
        <f t="shared" si="1796"/>
        <v/>
      </c>
      <c r="L1806" s="69" t="str">
        <f>IF($B1806="","",PV-J1806)</f>
        <v/>
      </c>
      <c r="M1806" s="71" t="str">
        <f>IF($B1806="","",J1806/PV)</f>
        <v/>
      </c>
      <c r="N1806" s="72" t="str">
        <f t="shared" si="4"/>
        <v/>
      </c>
    </row>
    <row r="1807" ht="14.25" customHeight="1">
      <c r="B1807" s="66" t="str">
        <f>IF(ROWS($1:1795)&lt;=Nper,ROWS($1:1795),"")</f>
        <v/>
      </c>
      <c r="C1807" s="67" t="str">
        <f>IF($B1807="","",IF($E$7="Weekly",Start_Date+7*(ROWS($1:1795)-1),EDATE(Start_Date,VLOOKUP(IF(ASTemp!$E$7="","Monthly",ASTemp!$E$7),Parameters!$B$3:$D$6,3,0)*(ROWS($1:1795)-1))))</f>
        <v/>
      </c>
      <c r="D1807" s="68" t="str">
        <f t="shared" si="2"/>
        <v/>
      </c>
      <c r="E1807" s="65" t="str">
        <f>IF($B1807="","",VLOOKUP(MONTH(C1807),Parameters!$F$2:$G$13,2,0))</f>
        <v/>
      </c>
      <c r="F1807" s="69" t="str">
        <f>IF($B1807="","",PV-N(J1806))</f>
        <v/>
      </c>
      <c r="G1807" s="69" t="str">
        <f>IF($B1807="","",PMT(Rate,Nper,-PV,,Type))</f>
        <v/>
      </c>
      <c r="H1807" s="69" t="str">
        <f>IF($B1807="","",PPMT(Rate,ROWS($1:1795),Nper,-PV,,Type))</f>
        <v/>
      </c>
      <c r="I1807" s="69" t="str">
        <f>IF($B1807="","",IPMT(Rate,ROWS($1:1795),Nper,-PV,,Type))</f>
        <v/>
      </c>
      <c r="J1807" s="73" t="str">
        <f t="shared" ref="J1807:K1807" si="1797">IF($B1807="","",N(J1806)+N(H1807))</f>
        <v/>
      </c>
      <c r="K1807" s="74" t="str">
        <f t="shared" si="1797"/>
        <v/>
      </c>
      <c r="L1807" s="69" t="str">
        <f>IF($B1807="","",PV-J1807)</f>
        <v/>
      </c>
      <c r="M1807" s="71" t="str">
        <f>IF($B1807="","",J1807/PV)</f>
        <v/>
      </c>
      <c r="N1807" s="72" t="str">
        <f t="shared" si="4"/>
        <v/>
      </c>
    </row>
    <row r="1808" ht="14.25" customHeight="1">
      <c r="B1808" s="66" t="str">
        <f>IF(ROWS($1:1796)&lt;=Nper,ROWS($1:1796),"")</f>
        <v/>
      </c>
      <c r="C1808" s="67" t="str">
        <f>IF($B1808="","",IF($E$7="Weekly",Start_Date+7*(ROWS($1:1796)-1),EDATE(Start_Date,VLOOKUP(IF(ASTemp!$E$7="","Monthly",ASTemp!$E$7),Parameters!$B$3:$D$6,3,0)*(ROWS($1:1796)-1))))</f>
        <v/>
      </c>
      <c r="D1808" s="68" t="str">
        <f t="shared" si="2"/>
        <v/>
      </c>
      <c r="E1808" s="65" t="str">
        <f>IF($B1808="","",VLOOKUP(MONTH(C1808),Parameters!$F$2:$G$13,2,0))</f>
        <v/>
      </c>
      <c r="F1808" s="69" t="str">
        <f>IF($B1808="","",PV-N(J1807))</f>
        <v/>
      </c>
      <c r="G1808" s="69" t="str">
        <f>IF($B1808="","",PMT(Rate,Nper,-PV,,Type))</f>
        <v/>
      </c>
      <c r="H1808" s="69" t="str">
        <f>IF($B1808="","",PPMT(Rate,ROWS($1:1796),Nper,-PV,,Type))</f>
        <v/>
      </c>
      <c r="I1808" s="69" t="str">
        <f>IF($B1808="","",IPMT(Rate,ROWS($1:1796),Nper,-PV,,Type))</f>
        <v/>
      </c>
      <c r="J1808" s="73" t="str">
        <f t="shared" ref="J1808:K1808" si="1798">IF($B1808="","",N(J1807)+N(H1808))</f>
        <v/>
      </c>
      <c r="K1808" s="74" t="str">
        <f t="shared" si="1798"/>
        <v/>
      </c>
      <c r="L1808" s="69" t="str">
        <f>IF($B1808="","",PV-J1808)</f>
        <v/>
      </c>
      <c r="M1808" s="71" t="str">
        <f>IF($B1808="","",J1808/PV)</f>
        <v/>
      </c>
      <c r="N1808" s="72" t="str">
        <f t="shared" si="4"/>
        <v/>
      </c>
    </row>
    <row r="1809" ht="14.25" customHeight="1">
      <c r="B1809" s="66" t="str">
        <f>IF(ROWS($1:1797)&lt;=Nper,ROWS($1:1797),"")</f>
        <v/>
      </c>
      <c r="C1809" s="67" t="str">
        <f>IF($B1809="","",IF($E$7="Weekly",Start_Date+7*(ROWS($1:1797)-1),EDATE(Start_Date,VLOOKUP(IF(ASTemp!$E$7="","Monthly",ASTemp!$E$7),Parameters!$B$3:$D$6,3,0)*(ROWS($1:1797)-1))))</f>
        <v/>
      </c>
      <c r="D1809" s="68" t="str">
        <f t="shared" si="2"/>
        <v/>
      </c>
      <c r="E1809" s="65" t="str">
        <f>IF($B1809="","",VLOOKUP(MONTH(C1809),Parameters!$F$2:$G$13,2,0))</f>
        <v/>
      </c>
      <c r="F1809" s="69" t="str">
        <f>IF($B1809="","",PV-N(J1808))</f>
        <v/>
      </c>
      <c r="G1809" s="69" t="str">
        <f>IF($B1809="","",PMT(Rate,Nper,-PV,,Type))</f>
        <v/>
      </c>
      <c r="H1809" s="69" t="str">
        <f>IF($B1809="","",PPMT(Rate,ROWS($1:1797),Nper,-PV,,Type))</f>
        <v/>
      </c>
      <c r="I1809" s="69" t="str">
        <f>IF($B1809="","",IPMT(Rate,ROWS($1:1797),Nper,-PV,,Type))</f>
        <v/>
      </c>
      <c r="J1809" s="73" t="str">
        <f t="shared" ref="J1809:K1809" si="1799">IF($B1809="","",N(J1808)+N(H1809))</f>
        <v/>
      </c>
      <c r="K1809" s="74" t="str">
        <f t="shared" si="1799"/>
        <v/>
      </c>
      <c r="L1809" s="69" t="str">
        <f>IF($B1809="","",PV-J1809)</f>
        <v/>
      </c>
      <c r="M1809" s="71" t="str">
        <f>IF($B1809="","",J1809/PV)</f>
        <v/>
      </c>
      <c r="N1809" s="72" t="str">
        <f t="shared" si="4"/>
        <v/>
      </c>
    </row>
    <row r="1810" ht="14.25" customHeight="1">
      <c r="B1810" s="66" t="str">
        <f>IF(ROWS($1:1798)&lt;=Nper,ROWS($1:1798),"")</f>
        <v/>
      </c>
      <c r="C1810" s="67" t="str">
        <f>IF($B1810="","",IF($E$7="Weekly",Start_Date+7*(ROWS($1:1798)-1),EDATE(Start_Date,VLOOKUP(IF(ASTemp!$E$7="","Monthly",ASTemp!$E$7),Parameters!$B$3:$D$6,3,0)*(ROWS($1:1798)-1))))</f>
        <v/>
      </c>
      <c r="D1810" s="68" t="str">
        <f t="shared" si="2"/>
        <v/>
      </c>
      <c r="E1810" s="65" t="str">
        <f>IF($B1810="","",VLOOKUP(MONTH(C1810),Parameters!$F$2:$G$13,2,0))</f>
        <v/>
      </c>
      <c r="F1810" s="69" t="str">
        <f>IF($B1810="","",PV-N(J1809))</f>
        <v/>
      </c>
      <c r="G1810" s="69" t="str">
        <f>IF($B1810="","",PMT(Rate,Nper,-PV,,Type))</f>
        <v/>
      </c>
      <c r="H1810" s="69" t="str">
        <f>IF($B1810="","",PPMT(Rate,ROWS($1:1798),Nper,-PV,,Type))</f>
        <v/>
      </c>
      <c r="I1810" s="69" t="str">
        <f>IF($B1810="","",IPMT(Rate,ROWS($1:1798),Nper,-PV,,Type))</f>
        <v/>
      </c>
      <c r="J1810" s="73" t="str">
        <f t="shared" ref="J1810:K1810" si="1800">IF($B1810="","",N(J1809)+N(H1810))</f>
        <v/>
      </c>
      <c r="K1810" s="74" t="str">
        <f t="shared" si="1800"/>
        <v/>
      </c>
      <c r="L1810" s="69" t="str">
        <f>IF($B1810="","",PV-J1810)</f>
        <v/>
      </c>
      <c r="M1810" s="71" t="str">
        <f>IF($B1810="","",J1810/PV)</f>
        <v/>
      </c>
      <c r="N1810" s="72" t="str">
        <f t="shared" si="4"/>
        <v/>
      </c>
    </row>
    <row r="1811" ht="14.25" customHeight="1">
      <c r="B1811" s="66" t="str">
        <f>IF(ROWS($1:1799)&lt;=Nper,ROWS($1:1799),"")</f>
        <v/>
      </c>
      <c r="C1811" s="67" t="str">
        <f>IF($B1811="","",IF($E$7="Weekly",Start_Date+7*(ROWS($1:1799)-1),EDATE(Start_Date,VLOOKUP(IF(ASTemp!$E$7="","Monthly",ASTemp!$E$7),Parameters!$B$3:$D$6,3,0)*(ROWS($1:1799)-1))))</f>
        <v/>
      </c>
      <c r="D1811" s="68" t="str">
        <f t="shared" si="2"/>
        <v/>
      </c>
      <c r="E1811" s="65" t="str">
        <f>IF($B1811="","",VLOOKUP(MONTH(C1811),Parameters!$F$2:$G$13,2,0))</f>
        <v/>
      </c>
      <c r="F1811" s="69" t="str">
        <f>IF($B1811="","",PV-N(J1810))</f>
        <v/>
      </c>
      <c r="G1811" s="69" t="str">
        <f>IF($B1811="","",PMT(Rate,Nper,-PV,,Type))</f>
        <v/>
      </c>
      <c r="H1811" s="69" t="str">
        <f>IF($B1811="","",PPMT(Rate,ROWS($1:1799),Nper,-PV,,Type))</f>
        <v/>
      </c>
      <c r="I1811" s="69" t="str">
        <f>IF($B1811="","",IPMT(Rate,ROWS($1:1799),Nper,-PV,,Type))</f>
        <v/>
      </c>
      <c r="J1811" s="73" t="str">
        <f t="shared" ref="J1811:K1811" si="1801">IF($B1811="","",N(J1810)+N(H1811))</f>
        <v/>
      </c>
      <c r="K1811" s="74" t="str">
        <f t="shared" si="1801"/>
        <v/>
      </c>
      <c r="L1811" s="69" t="str">
        <f>IF($B1811="","",PV-J1811)</f>
        <v/>
      </c>
      <c r="M1811" s="71" t="str">
        <f>IF($B1811="","",J1811/PV)</f>
        <v/>
      </c>
      <c r="N1811" s="72" t="str">
        <f t="shared" si="4"/>
        <v/>
      </c>
    </row>
    <row r="1812" ht="14.25" customHeight="1">
      <c r="B1812" s="66" t="str">
        <f>IF(ROWS($1:1800)&lt;=Nper,ROWS($1:1800),"")</f>
        <v/>
      </c>
      <c r="C1812" s="67" t="str">
        <f>IF($B1812="","",IF($E$7="Weekly",Start_Date+7*(ROWS($1:1800)-1),EDATE(Start_Date,VLOOKUP(IF(ASTemp!$E$7="","Monthly",ASTemp!$E$7),Parameters!$B$3:$D$6,3,0)*(ROWS($1:1800)-1))))</f>
        <v/>
      </c>
      <c r="D1812" s="68" t="str">
        <f t="shared" si="2"/>
        <v/>
      </c>
      <c r="E1812" s="65" t="str">
        <f>IF($B1812="","",VLOOKUP(MONTH(C1812),Parameters!$F$2:$G$13,2,0))</f>
        <v/>
      </c>
      <c r="F1812" s="69" t="str">
        <f>IF($B1812="","",PV-N(J1811))</f>
        <v/>
      </c>
      <c r="G1812" s="69" t="str">
        <f>IF($B1812="","",PMT(Rate,Nper,-PV,,Type))</f>
        <v/>
      </c>
      <c r="H1812" s="69" t="str">
        <f>IF($B1812="","",PPMT(Rate,ROWS($1:1800),Nper,-PV,,Type))</f>
        <v/>
      </c>
      <c r="I1812" s="69" t="str">
        <f>IF($B1812="","",IPMT(Rate,ROWS($1:1800),Nper,-PV,,Type))</f>
        <v/>
      </c>
      <c r="J1812" s="73" t="str">
        <f t="shared" ref="J1812:K1812" si="1802">IF($B1812="","",N(J1811)+N(H1812))</f>
        <v/>
      </c>
      <c r="K1812" s="74" t="str">
        <f t="shared" si="1802"/>
        <v/>
      </c>
      <c r="L1812" s="69" t="str">
        <f>IF($B1812="","",PV-J1812)</f>
        <v/>
      </c>
      <c r="M1812" s="71" t="str">
        <f>IF($B1812="","",J1812/PV)</f>
        <v/>
      </c>
      <c r="N1812" s="72" t="str">
        <f t="shared" si="4"/>
        <v/>
      </c>
    </row>
    <row r="1813" ht="14.25" customHeight="1">
      <c r="B1813" s="66" t="str">
        <f>IF(ROWS($1:1801)&lt;=Nper,ROWS($1:1801),"")</f>
        <v/>
      </c>
      <c r="C1813" s="67" t="str">
        <f>IF($B1813="","",IF($E$7="Weekly",Start_Date+7*(ROWS($1:1801)-1),EDATE(Start_Date,VLOOKUP(IF(ASTemp!$E$7="","Monthly",ASTemp!$E$7),Parameters!$B$3:$D$6,3,0)*(ROWS($1:1801)-1))))</f>
        <v/>
      </c>
      <c r="D1813" s="68" t="str">
        <f t="shared" si="2"/>
        <v/>
      </c>
      <c r="E1813" s="65" t="str">
        <f>IF($B1813="","",VLOOKUP(MONTH(C1813),Parameters!$F$2:$G$13,2,0))</f>
        <v/>
      </c>
      <c r="F1813" s="69" t="str">
        <f>IF($B1813="","",PV-N(J1812))</f>
        <v/>
      </c>
      <c r="G1813" s="69" t="str">
        <f>IF($B1813="","",PMT(Rate,Nper,-PV,,Type))</f>
        <v/>
      </c>
      <c r="H1813" s="69" t="str">
        <f>IF($B1813="","",PPMT(Rate,ROWS($1:1801),Nper,-PV,,Type))</f>
        <v/>
      </c>
      <c r="I1813" s="69" t="str">
        <f>IF($B1813="","",IPMT(Rate,ROWS($1:1801),Nper,-PV,,Type))</f>
        <v/>
      </c>
      <c r="J1813" s="73" t="str">
        <f t="shared" ref="J1813:K1813" si="1803">IF($B1813="","",N(J1812)+N(H1813))</f>
        <v/>
      </c>
      <c r="K1813" s="74" t="str">
        <f t="shared" si="1803"/>
        <v/>
      </c>
      <c r="L1813" s="69" t="str">
        <f>IF($B1813="","",PV-J1813)</f>
        <v/>
      </c>
      <c r="M1813" s="71" t="str">
        <f>IF($B1813="","",J1813/PV)</f>
        <v/>
      </c>
      <c r="N1813" s="72" t="str">
        <f t="shared" si="4"/>
        <v/>
      </c>
    </row>
    <row r="1814" ht="14.25" customHeight="1">
      <c r="B1814" s="66" t="str">
        <f>IF(ROWS($1:1802)&lt;=Nper,ROWS($1:1802),"")</f>
        <v/>
      </c>
      <c r="C1814" s="67" t="str">
        <f>IF($B1814="","",IF($E$7="Weekly",Start_Date+7*(ROWS($1:1802)-1),EDATE(Start_Date,VLOOKUP(IF(ASTemp!$E$7="","Monthly",ASTemp!$E$7),Parameters!$B$3:$D$6,3,0)*(ROWS($1:1802)-1))))</f>
        <v/>
      </c>
      <c r="D1814" s="68" t="str">
        <f t="shared" si="2"/>
        <v/>
      </c>
      <c r="E1814" s="65" t="str">
        <f>IF($B1814="","",VLOOKUP(MONTH(C1814),Parameters!$F$2:$G$13,2,0))</f>
        <v/>
      </c>
      <c r="F1814" s="69" t="str">
        <f>IF($B1814="","",PV-N(J1813))</f>
        <v/>
      </c>
      <c r="G1814" s="69" t="str">
        <f>IF($B1814="","",PMT(Rate,Nper,-PV,,Type))</f>
        <v/>
      </c>
      <c r="H1814" s="69" t="str">
        <f>IF($B1814="","",PPMT(Rate,ROWS($1:1802),Nper,-PV,,Type))</f>
        <v/>
      </c>
      <c r="I1814" s="69" t="str">
        <f>IF($B1814="","",IPMT(Rate,ROWS($1:1802),Nper,-PV,,Type))</f>
        <v/>
      </c>
      <c r="J1814" s="73" t="str">
        <f t="shared" ref="J1814:K1814" si="1804">IF($B1814="","",N(J1813)+N(H1814))</f>
        <v/>
      </c>
      <c r="K1814" s="74" t="str">
        <f t="shared" si="1804"/>
        <v/>
      </c>
      <c r="L1814" s="69" t="str">
        <f>IF($B1814="","",PV-J1814)</f>
        <v/>
      </c>
      <c r="M1814" s="71" t="str">
        <f>IF($B1814="","",J1814/PV)</f>
        <v/>
      </c>
      <c r="N1814" s="72" t="str">
        <f t="shared" si="4"/>
        <v/>
      </c>
    </row>
    <row r="1815" ht="14.25" customHeight="1">
      <c r="B1815" s="66" t="str">
        <f>IF(ROWS($1:1803)&lt;=Nper,ROWS($1:1803),"")</f>
        <v/>
      </c>
      <c r="C1815" s="67" t="str">
        <f>IF($B1815="","",IF($E$7="Weekly",Start_Date+7*(ROWS($1:1803)-1),EDATE(Start_Date,VLOOKUP(IF(ASTemp!$E$7="","Monthly",ASTemp!$E$7),Parameters!$B$3:$D$6,3,0)*(ROWS($1:1803)-1))))</f>
        <v/>
      </c>
      <c r="D1815" s="68" t="str">
        <f t="shared" si="2"/>
        <v/>
      </c>
      <c r="E1815" s="65" t="str">
        <f>IF($B1815="","",VLOOKUP(MONTH(C1815),Parameters!$F$2:$G$13,2,0))</f>
        <v/>
      </c>
      <c r="F1815" s="69" t="str">
        <f>IF($B1815="","",PV-N(J1814))</f>
        <v/>
      </c>
      <c r="G1815" s="69" t="str">
        <f>IF($B1815="","",PMT(Rate,Nper,-PV,,Type))</f>
        <v/>
      </c>
      <c r="H1815" s="69" t="str">
        <f>IF($B1815="","",PPMT(Rate,ROWS($1:1803),Nper,-PV,,Type))</f>
        <v/>
      </c>
      <c r="I1815" s="69" t="str">
        <f>IF($B1815="","",IPMT(Rate,ROWS($1:1803),Nper,-PV,,Type))</f>
        <v/>
      </c>
      <c r="J1815" s="73" t="str">
        <f t="shared" ref="J1815:K1815" si="1805">IF($B1815="","",N(J1814)+N(H1815))</f>
        <v/>
      </c>
      <c r="K1815" s="74" t="str">
        <f t="shared" si="1805"/>
        <v/>
      </c>
      <c r="L1815" s="69" t="str">
        <f>IF($B1815="","",PV-J1815)</f>
        <v/>
      </c>
      <c r="M1815" s="71" t="str">
        <f>IF($B1815="","",J1815/PV)</f>
        <v/>
      </c>
      <c r="N1815" s="72" t="str">
        <f t="shared" si="4"/>
        <v/>
      </c>
    </row>
    <row r="1816" ht="14.25" customHeight="1">
      <c r="B1816" s="66" t="str">
        <f>IF(ROWS($1:1804)&lt;=Nper,ROWS($1:1804),"")</f>
        <v/>
      </c>
      <c r="C1816" s="67" t="str">
        <f>IF($B1816="","",IF($E$7="Weekly",Start_Date+7*(ROWS($1:1804)-1),EDATE(Start_Date,VLOOKUP(IF(ASTemp!$E$7="","Monthly",ASTemp!$E$7),Parameters!$B$3:$D$6,3,0)*(ROWS($1:1804)-1))))</f>
        <v/>
      </c>
      <c r="D1816" s="68" t="str">
        <f t="shared" si="2"/>
        <v/>
      </c>
      <c r="E1816" s="65" t="str">
        <f>IF($B1816="","",VLOOKUP(MONTH(C1816),Parameters!$F$2:$G$13,2,0))</f>
        <v/>
      </c>
      <c r="F1816" s="69" t="str">
        <f>IF($B1816="","",PV-N(J1815))</f>
        <v/>
      </c>
      <c r="G1816" s="69" t="str">
        <f>IF($B1816="","",PMT(Rate,Nper,-PV,,Type))</f>
        <v/>
      </c>
      <c r="H1816" s="69" t="str">
        <f>IF($B1816="","",PPMT(Rate,ROWS($1:1804),Nper,-PV,,Type))</f>
        <v/>
      </c>
      <c r="I1816" s="69" t="str">
        <f>IF($B1816="","",IPMT(Rate,ROWS($1:1804),Nper,-PV,,Type))</f>
        <v/>
      </c>
      <c r="J1816" s="73" t="str">
        <f t="shared" ref="J1816:K1816" si="1806">IF($B1816="","",N(J1815)+N(H1816))</f>
        <v/>
      </c>
      <c r="K1816" s="74" t="str">
        <f t="shared" si="1806"/>
        <v/>
      </c>
      <c r="L1816" s="69" t="str">
        <f>IF($B1816="","",PV-J1816)</f>
        <v/>
      </c>
      <c r="M1816" s="71" t="str">
        <f>IF($B1816="","",J1816/PV)</f>
        <v/>
      </c>
      <c r="N1816" s="72" t="str">
        <f t="shared" si="4"/>
        <v/>
      </c>
    </row>
    <row r="1817" ht="14.25" customHeight="1">
      <c r="B1817" s="66" t="str">
        <f>IF(ROWS($1:1805)&lt;=Nper,ROWS($1:1805),"")</f>
        <v/>
      </c>
      <c r="C1817" s="67" t="str">
        <f>IF($B1817="","",IF($E$7="Weekly",Start_Date+7*(ROWS($1:1805)-1),EDATE(Start_Date,VLOOKUP(IF(ASTemp!$E$7="","Monthly",ASTemp!$E$7),Parameters!$B$3:$D$6,3,0)*(ROWS($1:1805)-1))))</f>
        <v/>
      </c>
      <c r="D1817" s="68" t="str">
        <f t="shared" si="2"/>
        <v/>
      </c>
      <c r="E1817" s="65" t="str">
        <f>IF($B1817="","",VLOOKUP(MONTH(C1817),Parameters!$F$2:$G$13,2,0))</f>
        <v/>
      </c>
      <c r="F1817" s="69" t="str">
        <f>IF($B1817="","",PV-N(J1816))</f>
        <v/>
      </c>
      <c r="G1817" s="69" t="str">
        <f>IF($B1817="","",PMT(Rate,Nper,-PV,,Type))</f>
        <v/>
      </c>
      <c r="H1817" s="69" t="str">
        <f>IF($B1817="","",PPMT(Rate,ROWS($1:1805),Nper,-PV,,Type))</f>
        <v/>
      </c>
      <c r="I1817" s="69" t="str">
        <f>IF($B1817="","",IPMT(Rate,ROWS($1:1805),Nper,-PV,,Type))</f>
        <v/>
      </c>
      <c r="J1817" s="73" t="str">
        <f t="shared" ref="J1817:K1817" si="1807">IF($B1817="","",N(J1816)+N(H1817))</f>
        <v/>
      </c>
      <c r="K1817" s="74" t="str">
        <f t="shared" si="1807"/>
        <v/>
      </c>
      <c r="L1817" s="69" t="str">
        <f>IF($B1817="","",PV-J1817)</f>
        <v/>
      </c>
      <c r="M1817" s="71" t="str">
        <f>IF($B1817="","",J1817/PV)</f>
        <v/>
      </c>
      <c r="N1817" s="72" t="str">
        <f t="shared" si="4"/>
        <v/>
      </c>
    </row>
    <row r="1818" ht="14.25" customHeight="1">
      <c r="B1818" s="66" t="str">
        <f>IF(ROWS($1:1806)&lt;=Nper,ROWS($1:1806),"")</f>
        <v/>
      </c>
      <c r="C1818" s="67" t="str">
        <f>IF($B1818="","",IF($E$7="Weekly",Start_Date+7*(ROWS($1:1806)-1),EDATE(Start_Date,VLOOKUP(IF(ASTemp!$E$7="","Monthly",ASTemp!$E$7),Parameters!$B$3:$D$6,3,0)*(ROWS($1:1806)-1))))</f>
        <v/>
      </c>
      <c r="D1818" s="68" t="str">
        <f t="shared" si="2"/>
        <v/>
      </c>
      <c r="E1818" s="65" t="str">
        <f>IF($B1818="","",VLOOKUP(MONTH(C1818),Parameters!$F$2:$G$13,2,0))</f>
        <v/>
      </c>
      <c r="F1818" s="69" t="str">
        <f>IF($B1818="","",PV-N(J1817))</f>
        <v/>
      </c>
      <c r="G1818" s="69" t="str">
        <f>IF($B1818="","",PMT(Rate,Nper,-PV,,Type))</f>
        <v/>
      </c>
      <c r="H1818" s="69" t="str">
        <f>IF($B1818="","",PPMT(Rate,ROWS($1:1806),Nper,-PV,,Type))</f>
        <v/>
      </c>
      <c r="I1818" s="69" t="str">
        <f>IF($B1818="","",IPMT(Rate,ROWS($1:1806),Nper,-PV,,Type))</f>
        <v/>
      </c>
      <c r="J1818" s="73" t="str">
        <f t="shared" ref="J1818:K1818" si="1808">IF($B1818="","",N(J1817)+N(H1818))</f>
        <v/>
      </c>
      <c r="K1818" s="74" t="str">
        <f t="shared" si="1808"/>
        <v/>
      </c>
      <c r="L1818" s="69" t="str">
        <f>IF($B1818="","",PV-J1818)</f>
        <v/>
      </c>
      <c r="M1818" s="71" t="str">
        <f>IF($B1818="","",J1818/PV)</f>
        <v/>
      </c>
      <c r="N1818" s="72" t="str">
        <f t="shared" si="4"/>
        <v/>
      </c>
    </row>
    <row r="1819" ht="14.25" customHeight="1">
      <c r="B1819" s="66" t="str">
        <f>IF(ROWS($1:1807)&lt;=Nper,ROWS($1:1807),"")</f>
        <v/>
      </c>
      <c r="C1819" s="67" t="str">
        <f>IF($B1819="","",IF($E$7="Weekly",Start_Date+7*(ROWS($1:1807)-1),EDATE(Start_Date,VLOOKUP(IF(ASTemp!$E$7="","Monthly",ASTemp!$E$7),Parameters!$B$3:$D$6,3,0)*(ROWS($1:1807)-1))))</f>
        <v/>
      </c>
      <c r="D1819" s="68" t="str">
        <f t="shared" si="2"/>
        <v/>
      </c>
      <c r="E1819" s="65" t="str">
        <f>IF($B1819="","",VLOOKUP(MONTH(C1819),Parameters!$F$2:$G$13,2,0))</f>
        <v/>
      </c>
      <c r="F1819" s="69" t="str">
        <f>IF($B1819="","",PV-N(J1818))</f>
        <v/>
      </c>
      <c r="G1819" s="69" t="str">
        <f>IF($B1819="","",PMT(Rate,Nper,-PV,,Type))</f>
        <v/>
      </c>
      <c r="H1819" s="69" t="str">
        <f>IF($B1819="","",PPMT(Rate,ROWS($1:1807),Nper,-PV,,Type))</f>
        <v/>
      </c>
      <c r="I1819" s="69" t="str">
        <f>IF($B1819="","",IPMT(Rate,ROWS($1:1807),Nper,-PV,,Type))</f>
        <v/>
      </c>
      <c r="J1819" s="73" t="str">
        <f t="shared" ref="J1819:K1819" si="1809">IF($B1819="","",N(J1818)+N(H1819))</f>
        <v/>
      </c>
      <c r="K1819" s="74" t="str">
        <f t="shared" si="1809"/>
        <v/>
      </c>
      <c r="L1819" s="69" t="str">
        <f>IF($B1819="","",PV-J1819)</f>
        <v/>
      </c>
      <c r="M1819" s="71" t="str">
        <f>IF($B1819="","",J1819/PV)</f>
        <v/>
      </c>
      <c r="N1819" s="72" t="str">
        <f t="shared" si="4"/>
        <v/>
      </c>
    </row>
    <row r="1820" ht="14.25" customHeight="1">
      <c r="B1820" s="66" t="str">
        <f>IF(ROWS($1:1808)&lt;=Nper,ROWS($1:1808),"")</f>
        <v/>
      </c>
      <c r="C1820" s="67" t="str">
        <f>IF($B1820="","",IF($E$7="Weekly",Start_Date+7*(ROWS($1:1808)-1),EDATE(Start_Date,VLOOKUP(IF(ASTemp!$E$7="","Monthly",ASTemp!$E$7),Parameters!$B$3:$D$6,3,0)*(ROWS($1:1808)-1))))</f>
        <v/>
      </c>
      <c r="D1820" s="68" t="str">
        <f t="shared" si="2"/>
        <v/>
      </c>
      <c r="E1820" s="65" t="str">
        <f>IF($B1820="","",VLOOKUP(MONTH(C1820),Parameters!$F$2:$G$13,2,0))</f>
        <v/>
      </c>
      <c r="F1820" s="69" t="str">
        <f>IF($B1820="","",PV-N(J1819))</f>
        <v/>
      </c>
      <c r="G1820" s="69" t="str">
        <f>IF($B1820="","",PMT(Rate,Nper,-PV,,Type))</f>
        <v/>
      </c>
      <c r="H1820" s="69" t="str">
        <f>IF($B1820="","",PPMT(Rate,ROWS($1:1808),Nper,-PV,,Type))</f>
        <v/>
      </c>
      <c r="I1820" s="69" t="str">
        <f>IF($B1820="","",IPMT(Rate,ROWS($1:1808),Nper,-PV,,Type))</f>
        <v/>
      </c>
      <c r="J1820" s="73" t="str">
        <f t="shared" ref="J1820:K1820" si="1810">IF($B1820="","",N(J1819)+N(H1820))</f>
        <v/>
      </c>
      <c r="K1820" s="74" t="str">
        <f t="shared" si="1810"/>
        <v/>
      </c>
      <c r="L1820" s="69" t="str">
        <f>IF($B1820="","",PV-J1820)</f>
        <v/>
      </c>
      <c r="M1820" s="71" t="str">
        <f>IF($B1820="","",J1820/PV)</f>
        <v/>
      </c>
      <c r="N1820" s="72" t="str">
        <f t="shared" si="4"/>
        <v/>
      </c>
    </row>
    <row r="1821" ht="14.25" customHeight="1">
      <c r="B1821" s="66" t="str">
        <f>IF(ROWS($1:1809)&lt;=Nper,ROWS($1:1809),"")</f>
        <v/>
      </c>
      <c r="C1821" s="67" t="str">
        <f>IF($B1821="","",IF($E$7="Weekly",Start_Date+7*(ROWS($1:1809)-1),EDATE(Start_Date,VLOOKUP(IF(ASTemp!$E$7="","Monthly",ASTemp!$E$7),Parameters!$B$3:$D$6,3,0)*(ROWS($1:1809)-1))))</f>
        <v/>
      </c>
      <c r="D1821" s="68" t="str">
        <f t="shared" si="2"/>
        <v/>
      </c>
      <c r="E1821" s="65" t="str">
        <f>IF($B1821="","",VLOOKUP(MONTH(C1821),Parameters!$F$2:$G$13,2,0))</f>
        <v/>
      </c>
      <c r="F1821" s="69" t="str">
        <f>IF($B1821="","",PV-N(J1820))</f>
        <v/>
      </c>
      <c r="G1821" s="69" t="str">
        <f>IF($B1821="","",PMT(Rate,Nper,-PV,,Type))</f>
        <v/>
      </c>
      <c r="H1821" s="69" t="str">
        <f>IF($B1821="","",PPMT(Rate,ROWS($1:1809),Nper,-PV,,Type))</f>
        <v/>
      </c>
      <c r="I1821" s="69" t="str">
        <f>IF($B1821="","",IPMT(Rate,ROWS($1:1809),Nper,-PV,,Type))</f>
        <v/>
      </c>
      <c r="J1821" s="73" t="str">
        <f t="shared" ref="J1821:K1821" si="1811">IF($B1821="","",N(J1820)+N(H1821))</f>
        <v/>
      </c>
      <c r="K1821" s="74" t="str">
        <f t="shared" si="1811"/>
        <v/>
      </c>
      <c r="L1821" s="69" t="str">
        <f>IF($B1821="","",PV-J1821)</f>
        <v/>
      </c>
      <c r="M1821" s="71" t="str">
        <f>IF($B1821="","",J1821/PV)</f>
        <v/>
      </c>
      <c r="N1821" s="72" t="str">
        <f t="shared" si="4"/>
        <v/>
      </c>
    </row>
    <row r="1822" ht="14.25" customHeight="1">
      <c r="B1822" s="66" t="str">
        <f>IF(ROWS($1:1810)&lt;=Nper,ROWS($1:1810),"")</f>
        <v/>
      </c>
      <c r="C1822" s="67" t="str">
        <f>IF($B1822="","",IF($E$7="Weekly",Start_Date+7*(ROWS($1:1810)-1),EDATE(Start_Date,VLOOKUP(IF(ASTemp!$E$7="","Monthly",ASTemp!$E$7),Parameters!$B$3:$D$6,3,0)*(ROWS($1:1810)-1))))</f>
        <v/>
      </c>
      <c r="D1822" s="68" t="str">
        <f t="shared" si="2"/>
        <v/>
      </c>
      <c r="E1822" s="65" t="str">
        <f>IF($B1822="","",VLOOKUP(MONTH(C1822),Parameters!$F$2:$G$13,2,0))</f>
        <v/>
      </c>
      <c r="F1822" s="69" t="str">
        <f>IF($B1822="","",PV-N(J1821))</f>
        <v/>
      </c>
      <c r="G1822" s="69" t="str">
        <f>IF($B1822="","",PMT(Rate,Nper,-PV,,Type))</f>
        <v/>
      </c>
      <c r="H1822" s="69" t="str">
        <f>IF($B1822="","",PPMT(Rate,ROWS($1:1810),Nper,-PV,,Type))</f>
        <v/>
      </c>
      <c r="I1822" s="69" t="str">
        <f>IF($B1822="","",IPMT(Rate,ROWS($1:1810),Nper,-PV,,Type))</f>
        <v/>
      </c>
      <c r="J1822" s="73" t="str">
        <f t="shared" ref="J1822:K1822" si="1812">IF($B1822="","",N(J1821)+N(H1822))</f>
        <v/>
      </c>
      <c r="K1822" s="74" t="str">
        <f t="shared" si="1812"/>
        <v/>
      </c>
      <c r="L1822" s="69" t="str">
        <f>IF($B1822="","",PV-J1822)</f>
        <v/>
      </c>
      <c r="M1822" s="71" t="str">
        <f>IF($B1822="","",J1822/PV)</f>
        <v/>
      </c>
      <c r="N1822" s="72" t="str">
        <f t="shared" si="4"/>
        <v/>
      </c>
    </row>
    <row r="1823" ht="14.25" customHeight="1">
      <c r="B1823" s="66" t="str">
        <f>IF(ROWS($1:1811)&lt;=Nper,ROWS($1:1811),"")</f>
        <v/>
      </c>
      <c r="C1823" s="67" t="str">
        <f>IF($B1823="","",IF($E$7="Weekly",Start_Date+7*(ROWS($1:1811)-1),EDATE(Start_Date,VLOOKUP(IF(ASTemp!$E$7="","Monthly",ASTemp!$E$7),Parameters!$B$3:$D$6,3,0)*(ROWS($1:1811)-1))))</f>
        <v/>
      </c>
      <c r="D1823" s="68" t="str">
        <f t="shared" si="2"/>
        <v/>
      </c>
      <c r="E1823" s="65" t="str">
        <f>IF($B1823="","",VLOOKUP(MONTH(C1823),Parameters!$F$2:$G$13,2,0))</f>
        <v/>
      </c>
      <c r="F1823" s="69" t="str">
        <f>IF($B1823="","",PV-N(J1822))</f>
        <v/>
      </c>
      <c r="G1823" s="69" t="str">
        <f>IF($B1823="","",PMT(Rate,Nper,-PV,,Type))</f>
        <v/>
      </c>
      <c r="H1823" s="69" t="str">
        <f>IF($B1823="","",PPMT(Rate,ROWS($1:1811),Nper,-PV,,Type))</f>
        <v/>
      </c>
      <c r="I1823" s="69" t="str">
        <f>IF($B1823="","",IPMT(Rate,ROWS($1:1811),Nper,-PV,,Type))</f>
        <v/>
      </c>
      <c r="J1823" s="73" t="str">
        <f t="shared" ref="J1823:K1823" si="1813">IF($B1823="","",N(J1822)+N(H1823))</f>
        <v/>
      </c>
      <c r="K1823" s="74" t="str">
        <f t="shared" si="1813"/>
        <v/>
      </c>
      <c r="L1823" s="69" t="str">
        <f>IF($B1823="","",PV-J1823)</f>
        <v/>
      </c>
      <c r="M1823" s="71" t="str">
        <f>IF($B1823="","",J1823/PV)</f>
        <v/>
      </c>
      <c r="N1823" s="72" t="str">
        <f t="shared" si="4"/>
        <v/>
      </c>
    </row>
    <row r="1824" ht="14.25" customHeight="1">
      <c r="B1824" s="66" t="str">
        <f>IF(ROWS($1:1812)&lt;=Nper,ROWS($1:1812),"")</f>
        <v/>
      </c>
      <c r="C1824" s="67" t="str">
        <f>IF($B1824="","",IF($E$7="Weekly",Start_Date+7*(ROWS($1:1812)-1),EDATE(Start_Date,VLOOKUP(IF(ASTemp!$E$7="","Monthly",ASTemp!$E$7),Parameters!$B$3:$D$6,3,0)*(ROWS($1:1812)-1))))</f>
        <v/>
      </c>
      <c r="D1824" s="68" t="str">
        <f t="shared" si="2"/>
        <v/>
      </c>
      <c r="E1824" s="65" t="str">
        <f>IF($B1824="","",VLOOKUP(MONTH(C1824),Parameters!$F$2:$G$13,2,0))</f>
        <v/>
      </c>
      <c r="F1824" s="69" t="str">
        <f>IF($B1824="","",PV-N(J1823))</f>
        <v/>
      </c>
      <c r="G1824" s="69" t="str">
        <f>IF($B1824="","",PMT(Rate,Nper,-PV,,Type))</f>
        <v/>
      </c>
      <c r="H1824" s="69" t="str">
        <f>IF($B1824="","",PPMT(Rate,ROWS($1:1812),Nper,-PV,,Type))</f>
        <v/>
      </c>
      <c r="I1824" s="69" t="str">
        <f>IF($B1824="","",IPMT(Rate,ROWS($1:1812),Nper,-PV,,Type))</f>
        <v/>
      </c>
      <c r="J1824" s="73" t="str">
        <f t="shared" ref="J1824:K1824" si="1814">IF($B1824="","",N(J1823)+N(H1824))</f>
        <v/>
      </c>
      <c r="K1824" s="74" t="str">
        <f t="shared" si="1814"/>
        <v/>
      </c>
      <c r="L1824" s="69" t="str">
        <f>IF($B1824="","",PV-J1824)</f>
        <v/>
      </c>
      <c r="M1824" s="71" t="str">
        <f>IF($B1824="","",J1824/PV)</f>
        <v/>
      </c>
      <c r="N1824" s="72" t="str">
        <f t="shared" si="4"/>
        <v/>
      </c>
    </row>
    <row r="1825" ht="14.25" customHeight="1">
      <c r="B1825" s="66" t="str">
        <f>IF(ROWS($1:1813)&lt;=Nper,ROWS($1:1813),"")</f>
        <v/>
      </c>
      <c r="C1825" s="67" t="str">
        <f>IF($B1825="","",IF($E$7="Weekly",Start_Date+7*(ROWS($1:1813)-1),EDATE(Start_Date,VLOOKUP(IF(ASTemp!$E$7="","Monthly",ASTemp!$E$7),Parameters!$B$3:$D$6,3,0)*(ROWS($1:1813)-1))))</f>
        <v/>
      </c>
      <c r="D1825" s="68" t="str">
        <f t="shared" si="2"/>
        <v/>
      </c>
      <c r="E1825" s="65" t="str">
        <f>IF($B1825="","",VLOOKUP(MONTH(C1825),Parameters!$F$2:$G$13,2,0))</f>
        <v/>
      </c>
      <c r="F1825" s="69" t="str">
        <f>IF($B1825="","",PV-N(J1824))</f>
        <v/>
      </c>
      <c r="G1825" s="69" t="str">
        <f>IF($B1825="","",PMT(Rate,Nper,-PV,,Type))</f>
        <v/>
      </c>
      <c r="H1825" s="69" t="str">
        <f>IF($B1825="","",PPMT(Rate,ROWS($1:1813),Nper,-PV,,Type))</f>
        <v/>
      </c>
      <c r="I1825" s="69" t="str">
        <f>IF($B1825="","",IPMT(Rate,ROWS($1:1813),Nper,-PV,,Type))</f>
        <v/>
      </c>
      <c r="J1825" s="73" t="str">
        <f t="shared" ref="J1825:K1825" si="1815">IF($B1825="","",N(J1824)+N(H1825))</f>
        <v/>
      </c>
      <c r="K1825" s="74" t="str">
        <f t="shared" si="1815"/>
        <v/>
      </c>
      <c r="L1825" s="69" t="str">
        <f>IF($B1825="","",PV-J1825)</f>
        <v/>
      </c>
      <c r="M1825" s="71" t="str">
        <f>IF($B1825="","",J1825/PV)</f>
        <v/>
      </c>
      <c r="N1825" s="72" t="str">
        <f t="shared" si="4"/>
        <v/>
      </c>
    </row>
    <row r="1826" ht="14.25" customHeight="1">
      <c r="B1826" s="66" t="str">
        <f>IF(ROWS($1:1814)&lt;=Nper,ROWS($1:1814),"")</f>
        <v/>
      </c>
      <c r="C1826" s="67" t="str">
        <f>IF($B1826="","",IF($E$7="Weekly",Start_Date+7*(ROWS($1:1814)-1),EDATE(Start_Date,VLOOKUP(IF(ASTemp!$E$7="","Monthly",ASTemp!$E$7),Parameters!$B$3:$D$6,3,0)*(ROWS($1:1814)-1))))</f>
        <v/>
      </c>
      <c r="D1826" s="68" t="str">
        <f t="shared" si="2"/>
        <v/>
      </c>
      <c r="E1826" s="65" t="str">
        <f>IF($B1826="","",VLOOKUP(MONTH(C1826),Parameters!$F$2:$G$13,2,0))</f>
        <v/>
      </c>
      <c r="F1826" s="69" t="str">
        <f>IF($B1826="","",PV-N(J1825))</f>
        <v/>
      </c>
      <c r="G1826" s="69" t="str">
        <f>IF($B1826="","",PMT(Rate,Nper,-PV,,Type))</f>
        <v/>
      </c>
      <c r="H1826" s="69" t="str">
        <f>IF($B1826="","",PPMT(Rate,ROWS($1:1814),Nper,-PV,,Type))</f>
        <v/>
      </c>
      <c r="I1826" s="69" t="str">
        <f>IF($B1826="","",IPMT(Rate,ROWS($1:1814),Nper,-PV,,Type))</f>
        <v/>
      </c>
      <c r="J1826" s="73" t="str">
        <f t="shared" ref="J1826:K1826" si="1816">IF($B1826="","",N(J1825)+N(H1826))</f>
        <v/>
      </c>
      <c r="K1826" s="74" t="str">
        <f t="shared" si="1816"/>
        <v/>
      </c>
      <c r="L1826" s="69" t="str">
        <f>IF($B1826="","",PV-J1826)</f>
        <v/>
      </c>
      <c r="M1826" s="71" t="str">
        <f>IF($B1826="","",J1826/PV)</f>
        <v/>
      </c>
      <c r="N1826" s="72" t="str">
        <f t="shared" si="4"/>
        <v/>
      </c>
    </row>
    <row r="1827" ht="14.25" customHeight="1">
      <c r="B1827" s="66" t="str">
        <f>IF(ROWS($1:1815)&lt;=Nper,ROWS($1:1815),"")</f>
        <v/>
      </c>
      <c r="C1827" s="67" t="str">
        <f>IF($B1827="","",IF($E$7="Weekly",Start_Date+7*(ROWS($1:1815)-1),EDATE(Start_Date,VLOOKUP(IF(ASTemp!$E$7="","Monthly",ASTemp!$E$7),Parameters!$B$3:$D$6,3,0)*(ROWS($1:1815)-1))))</f>
        <v/>
      </c>
      <c r="D1827" s="68" t="str">
        <f t="shared" si="2"/>
        <v/>
      </c>
      <c r="E1827" s="65" t="str">
        <f>IF($B1827="","",VLOOKUP(MONTH(C1827),Parameters!$F$2:$G$13,2,0))</f>
        <v/>
      </c>
      <c r="F1827" s="69" t="str">
        <f>IF($B1827="","",PV-N(J1826))</f>
        <v/>
      </c>
      <c r="G1827" s="69" t="str">
        <f>IF($B1827="","",PMT(Rate,Nper,-PV,,Type))</f>
        <v/>
      </c>
      <c r="H1827" s="69" t="str">
        <f>IF($B1827="","",PPMT(Rate,ROWS($1:1815),Nper,-PV,,Type))</f>
        <v/>
      </c>
      <c r="I1827" s="69" t="str">
        <f>IF($B1827="","",IPMT(Rate,ROWS($1:1815),Nper,-PV,,Type))</f>
        <v/>
      </c>
      <c r="J1827" s="73" t="str">
        <f t="shared" ref="J1827:K1827" si="1817">IF($B1827="","",N(J1826)+N(H1827))</f>
        <v/>
      </c>
      <c r="K1827" s="74" t="str">
        <f t="shared" si="1817"/>
        <v/>
      </c>
      <c r="L1827" s="69" t="str">
        <f>IF($B1827="","",PV-J1827)</f>
        <v/>
      </c>
      <c r="M1827" s="71" t="str">
        <f>IF($B1827="","",J1827/PV)</f>
        <v/>
      </c>
      <c r="N1827" s="72" t="str">
        <f t="shared" si="4"/>
        <v/>
      </c>
    </row>
    <row r="1828" ht="14.25" customHeight="1">
      <c r="B1828" s="66" t="str">
        <f>IF(ROWS($1:1816)&lt;=Nper,ROWS($1:1816),"")</f>
        <v/>
      </c>
      <c r="C1828" s="67" t="str">
        <f>IF($B1828="","",IF($E$7="Weekly",Start_Date+7*(ROWS($1:1816)-1),EDATE(Start_Date,VLOOKUP(IF(ASTemp!$E$7="","Monthly",ASTemp!$E$7),Parameters!$B$3:$D$6,3,0)*(ROWS($1:1816)-1))))</f>
        <v/>
      </c>
      <c r="D1828" s="68" t="str">
        <f t="shared" si="2"/>
        <v/>
      </c>
      <c r="E1828" s="65" t="str">
        <f>IF($B1828="","",VLOOKUP(MONTH(C1828),Parameters!$F$2:$G$13,2,0))</f>
        <v/>
      </c>
      <c r="F1828" s="69" t="str">
        <f>IF($B1828="","",PV-N(J1827))</f>
        <v/>
      </c>
      <c r="G1828" s="69" t="str">
        <f>IF($B1828="","",PMT(Rate,Nper,-PV,,Type))</f>
        <v/>
      </c>
      <c r="H1828" s="69" t="str">
        <f>IF($B1828="","",PPMT(Rate,ROWS($1:1816),Nper,-PV,,Type))</f>
        <v/>
      </c>
      <c r="I1828" s="69" t="str">
        <f>IF($B1828="","",IPMT(Rate,ROWS($1:1816),Nper,-PV,,Type))</f>
        <v/>
      </c>
      <c r="J1828" s="73" t="str">
        <f t="shared" ref="J1828:K1828" si="1818">IF($B1828="","",N(J1827)+N(H1828))</f>
        <v/>
      </c>
      <c r="K1828" s="74" t="str">
        <f t="shared" si="1818"/>
        <v/>
      </c>
      <c r="L1828" s="69" t="str">
        <f>IF($B1828="","",PV-J1828)</f>
        <v/>
      </c>
      <c r="M1828" s="71" t="str">
        <f>IF($B1828="","",J1828/PV)</f>
        <v/>
      </c>
      <c r="N1828" s="72" t="str">
        <f t="shared" si="4"/>
        <v/>
      </c>
    </row>
    <row r="1829" ht="14.25" customHeight="1">
      <c r="B1829" s="66" t="str">
        <f>IF(ROWS($1:1817)&lt;=Nper,ROWS($1:1817),"")</f>
        <v/>
      </c>
      <c r="C1829" s="67" t="str">
        <f>IF($B1829="","",IF($E$7="Weekly",Start_Date+7*(ROWS($1:1817)-1),EDATE(Start_Date,VLOOKUP(IF(ASTemp!$E$7="","Monthly",ASTemp!$E$7),Parameters!$B$3:$D$6,3,0)*(ROWS($1:1817)-1))))</f>
        <v/>
      </c>
      <c r="D1829" s="68" t="str">
        <f t="shared" si="2"/>
        <v/>
      </c>
      <c r="E1829" s="65" t="str">
        <f>IF($B1829="","",VLOOKUP(MONTH(C1829),Parameters!$F$2:$G$13,2,0))</f>
        <v/>
      </c>
      <c r="F1829" s="69" t="str">
        <f>IF($B1829="","",PV-N(J1828))</f>
        <v/>
      </c>
      <c r="G1829" s="69" t="str">
        <f>IF($B1829="","",PMT(Rate,Nper,-PV,,Type))</f>
        <v/>
      </c>
      <c r="H1829" s="69" t="str">
        <f>IF($B1829="","",PPMT(Rate,ROWS($1:1817),Nper,-PV,,Type))</f>
        <v/>
      </c>
      <c r="I1829" s="69" t="str">
        <f>IF($B1829="","",IPMT(Rate,ROWS($1:1817),Nper,-PV,,Type))</f>
        <v/>
      </c>
      <c r="J1829" s="73" t="str">
        <f t="shared" ref="J1829:K1829" si="1819">IF($B1829="","",N(J1828)+N(H1829))</f>
        <v/>
      </c>
      <c r="K1829" s="74" t="str">
        <f t="shared" si="1819"/>
        <v/>
      </c>
      <c r="L1829" s="69" t="str">
        <f>IF($B1829="","",PV-J1829)</f>
        <v/>
      </c>
      <c r="M1829" s="71" t="str">
        <f>IF($B1829="","",J1829/PV)</f>
        <v/>
      </c>
      <c r="N1829" s="72" t="str">
        <f t="shared" si="4"/>
        <v/>
      </c>
    </row>
    <row r="1830" ht="14.25" customHeight="1">
      <c r="B1830" s="66" t="str">
        <f>IF(ROWS($1:1818)&lt;=Nper,ROWS($1:1818),"")</f>
        <v/>
      </c>
      <c r="C1830" s="67" t="str">
        <f>IF($B1830="","",IF($E$7="Weekly",Start_Date+7*(ROWS($1:1818)-1),EDATE(Start_Date,VLOOKUP(IF(ASTemp!$E$7="","Monthly",ASTemp!$E$7),Parameters!$B$3:$D$6,3,0)*(ROWS($1:1818)-1))))</f>
        <v/>
      </c>
      <c r="D1830" s="68" t="str">
        <f t="shared" si="2"/>
        <v/>
      </c>
      <c r="E1830" s="65" t="str">
        <f>IF($B1830="","",VLOOKUP(MONTH(C1830),Parameters!$F$2:$G$13,2,0))</f>
        <v/>
      </c>
      <c r="F1830" s="69" t="str">
        <f>IF($B1830="","",PV-N(J1829))</f>
        <v/>
      </c>
      <c r="G1830" s="69" t="str">
        <f>IF($B1830="","",PMT(Rate,Nper,-PV,,Type))</f>
        <v/>
      </c>
      <c r="H1830" s="69" t="str">
        <f>IF($B1830="","",PPMT(Rate,ROWS($1:1818),Nper,-PV,,Type))</f>
        <v/>
      </c>
      <c r="I1830" s="69" t="str">
        <f>IF($B1830="","",IPMT(Rate,ROWS($1:1818),Nper,-PV,,Type))</f>
        <v/>
      </c>
      <c r="J1830" s="73" t="str">
        <f t="shared" ref="J1830:K1830" si="1820">IF($B1830="","",N(J1829)+N(H1830))</f>
        <v/>
      </c>
      <c r="K1830" s="74" t="str">
        <f t="shared" si="1820"/>
        <v/>
      </c>
      <c r="L1830" s="69" t="str">
        <f>IF($B1830="","",PV-J1830)</f>
        <v/>
      </c>
      <c r="M1830" s="71" t="str">
        <f>IF($B1830="","",J1830/PV)</f>
        <v/>
      </c>
      <c r="N1830" s="72" t="str">
        <f t="shared" si="4"/>
        <v/>
      </c>
    </row>
    <row r="1831" ht="14.25" customHeight="1">
      <c r="B1831" s="66" t="str">
        <f>IF(ROWS($1:1819)&lt;=Nper,ROWS($1:1819),"")</f>
        <v/>
      </c>
      <c r="C1831" s="67" t="str">
        <f>IF($B1831="","",IF($E$7="Weekly",Start_Date+7*(ROWS($1:1819)-1),EDATE(Start_Date,VLOOKUP(IF(ASTemp!$E$7="","Monthly",ASTemp!$E$7),Parameters!$B$3:$D$6,3,0)*(ROWS($1:1819)-1))))</f>
        <v/>
      </c>
      <c r="D1831" s="68" t="str">
        <f t="shared" si="2"/>
        <v/>
      </c>
      <c r="E1831" s="65" t="str">
        <f>IF($B1831="","",VLOOKUP(MONTH(C1831),Parameters!$F$2:$G$13,2,0))</f>
        <v/>
      </c>
      <c r="F1831" s="69" t="str">
        <f>IF($B1831="","",PV-N(J1830))</f>
        <v/>
      </c>
      <c r="G1831" s="69" t="str">
        <f>IF($B1831="","",PMT(Rate,Nper,-PV,,Type))</f>
        <v/>
      </c>
      <c r="H1831" s="69" t="str">
        <f>IF($B1831="","",PPMT(Rate,ROWS($1:1819),Nper,-PV,,Type))</f>
        <v/>
      </c>
      <c r="I1831" s="69" t="str">
        <f>IF($B1831="","",IPMT(Rate,ROWS($1:1819),Nper,-PV,,Type))</f>
        <v/>
      </c>
      <c r="J1831" s="73" t="str">
        <f t="shared" ref="J1831:K1831" si="1821">IF($B1831="","",N(J1830)+N(H1831))</f>
        <v/>
      </c>
      <c r="K1831" s="74" t="str">
        <f t="shared" si="1821"/>
        <v/>
      </c>
      <c r="L1831" s="69" t="str">
        <f>IF($B1831="","",PV-J1831)</f>
        <v/>
      </c>
      <c r="M1831" s="71" t="str">
        <f>IF($B1831="","",J1831/PV)</f>
        <v/>
      </c>
      <c r="N1831" s="72" t="str">
        <f t="shared" si="4"/>
        <v/>
      </c>
    </row>
    <row r="1832" ht="14.25" customHeight="1">
      <c r="B1832" s="66" t="str">
        <f>IF(ROWS($1:1820)&lt;=Nper,ROWS($1:1820),"")</f>
        <v/>
      </c>
      <c r="C1832" s="67" t="str">
        <f>IF($B1832="","",IF($E$7="Weekly",Start_Date+7*(ROWS($1:1820)-1),EDATE(Start_Date,VLOOKUP(IF(ASTemp!$E$7="","Monthly",ASTemp!$E$7),Parameters!$B$3:$D$6,3,0)*(ROWS($1:1820)-1))))</f>
        <v/>
      </c>
      <c r="D1832" s="68" t="str">
        <f t="shared" si="2"/>
        <v/>
      </c>
      <c r="E1832" s="65" t="str">
        <f>IF($B1832="","",VLOOKUP(MONTH(C1832),Parameters!$F$2:$G$13,2,0))</f>
        <v/>
      </c>
      <c r="F1832" s="69" t="str">
        <f>IF($B1832="","",PV-N(J1831))</f>
        <v/>
      </c>
      <c r="G1832" s="69" t="str">
        <f>IF($B1832="","",PMT(Rate,Nper,-PV,,Type))</f>
        <v/>
      </c>
      <c r="H1832" s="69" t="str">
        <f>IF($B1832="","",PPMT(Rate,ROWS($1:1820),Nper,-PV,,Type))</f>
        <v/>
      </c>
      <c r="I1832" s="69" t="str">
        <f>IF($B1832="","",IPMT(Rate,ROWS($1:1820),Nper,-PV,,Type))</f>
        <v/>
      </c>
      <c r="J1832" s="73" t="str">
        <f t="shared" ref="J1832:K1832" si="1822">IF($B1832="","",N(J1831)+N(H1832))</f>
        <v/>
      </c>
      <c r="K1832" s="74" t="str">
        <f t="shared" si="1822"/>
        <v/>
      </c>
      <c r="L1832" s="69" t="str">
        <f>IF($B1832="","",PV-J1832)</f>
        <v/>
      </c>
      <c r="M1832" s="71" t="str">
        <f>IF($B1832="","",J1832/PV)</f>
        <v/>
      </c>
      <c r="N1832" s="72" t="str">
        <f t="shared" si="4"/>
        <v/>
      </c>
    </row>
    <row r="1833" ht="14.25" customHeight="1">
      <c r="B1833" s="66" t="str">
        <f>IF(ROWS($1:1821)&lt;=Nper,ROWS($1:1821),"")</f>
        <v/>
      </c>
      <c r="C1833" s="67" t="str">
        <f>IF($B1833="","",IF($E$7="Weekly",Start_Date+7*(ROWS($1:1821)-1),EDATE(Start_Date,VLOOKUP(IF(ASTemp!$E$7="","Monthly",ASTemp!$E$7),Parameters!$B$3:$D$6,3,0)*(ROWS($1:1821)-1))))</f>
        <v/>
      </c>
      <c r="D1833" s="68" t="str">
        <f t="shared" si="2"/>
        <v/>
      </c>
      <c r="E1833" s="65" t="str">
        <f>IF($B1833="","",VLOOKUP(MONTH(C1833),Parameters!$F$2:$G$13,2,0))</f>
        <v/>
      </c>
      <c r="F1833" s="69" t="str">
        <f>IF($B1833="","",PV-N(J1832))</f>
        <v/>
      </c>
      <c r="G1833" s="69" t="str">
        <f>IF($B1833="","",PMT(Rate,Nper,-PV,,Type))</f>
        <v/>
      </c>
      <c r="H1833" s="69" t="str">
        <f>IF($B1833="","",PPMT(Rate,ROWS($1:1821),Nper,-PV,,Type))</f>
        <v/>
      </c>
      <c r="I1833" s="69" t="str">
        <f>IF($B1833="","",IPMT(Rate,ROWS($1:1821),Nper,-PV,,Type))</f>
        <v/>
      </c>
      <c r="J1833" s="73" t="str">
        <f t="shared" ref="J1833:K1833" si="1823">IF($B1833="","",N(J1832)+N(H1833))</f>
        <v/>
      </c>
      <c r="K1833" s="74" t="str">
        <f t="shared" si="1823"/>
        <v/>
      </c>
      <c r="L1833" s="69" t="str">
        <f>IF($B1833="","",PV-J1833)</f>
        <v/>
      </c>
      <c r="M1833" s="71" t="str">
        <f>IF($B1833="","",J1833/PV)</f>
        <v/>
      </c>
      <c r="N1833" s="72" t="str">
        <f t="shared" si="4"/>
        <v/>
      </c>
    </row>
    <row r="1834" ht="14.25" customHeight="1">
      <c r="B1834" s="66" t="str">
        <f>IF(ROWS($1:1822)&lt;=Nper,ROWS($1:1822),"")</f>
        <v/>
      </c>
      <c r="C1834" s="67" t="str">
        <f>IF($B1834="","",IF($E$7="Weekly",Start_Date+7*(ROWS($1:1822)-1),EDATE(Start_Date,VLOOKUP(IF(ASTemp!$E$7="","Monthly",ASTemp!$E$7),Parameters!$B$3:$D$6,3,0)*(ROWS($1:1822)-1))))</f>
        <v/>
      </c>
      <c r="D1834" s="68" t="str">
        <f t="shared" si="2"/>
        <v/>
      </c>
      <c r="E1834" s="65" t="str">
        <f>IF($B1834="","",VLOOKUP(MONTH(C1834),Parameters!$F$2:$G$13,2,0))</f>
        <v/>
      </c>
      <c r="F1834" s="69" t="str">
        <f>IF($B1834="","",PV-N(J1833))</f>
        <v/>
      </c>
      <c r="G1834" s="69" t="str">
        <f>IF($B1834="","",PMT(Rate,Nper,-PV,,Type))</f>
        <v/>
      </c>
      <c r="H1834" s="69" t="str">
        <f>IF($B1834="","",PPMT(Rate,ROWS($1:1822),Nper,-PV,,Type))</f>
        <v/>
      </c>
      <c r="I1834" s="69" t="str">
        <f>IF($B1834="","",IPMT(Rate,ROWS($1:1822),Nper,-PV,,Type))</f>
        <v/>
      </c>
      <c r="J1834" s="73" t="str">
        <f t="shared" ref="J1834:K1834" si="1824">IF($B1834="","",N(J1833)+N(H1834))</f>
        <v/>
      </c>
      <c r="K1834" s="74" t="str">
        <f t="shared" si="1824"/>
        <v/>
      </c>
      <c r="L1834" s="69" t="str">
        <f>IF($B1834="","",PV-J1834)</f>
        <v/>
      </c>
      <c r="M1834" s="71" t="str">
        <f>IF($B1834="","",J1834/PV)</f>
        <v/>
      </c>
      <c r="N1834" s="72" t="str">
        <f t="shared" si="4"/>
        <v/>
      </c>
    </row>
    <row r="1835" ht="14.25" customHeight="1">
      <c r="B1835" s="66" t="str">
        <f>IF(ROWS($1:1823)&lt;=Nper,ROWS($1:1823),"")</f>
        <v/>
      </c>
      <c r="C1835" s="67" t="str">
        <f>IF($B1835="","",IF($E$7="Weekly",Start_Date+7*(ROWS($1:1823)-1),EDATE(Start_Date,VLOOKUP(IF(ASTemp!$E$7="","Monthly",ASTemp!$E$7),Parameters!$B$3:$D$6,3,0)*(ROWS($1:1823)-1))))</f>
        <v/>
      </c>
      <c r="D1835" s="68" t="str">
        <f t="shared" si="2"/>
        <v/>
      </c>
      <c r="E1835" s="65" t="str">
        <f>IF($B1835="","",VLOOKUP(MONTH(C1835),Parameters!$F$2:$G$13,2,0))</f>
        <v/>
      </c>
      <c r="F1835" s="69" t="str">
        <f>IF($B1835="","",PV-N(J1834))</f>
        <v/>
      </c>
      <c r="G1835" s="69" t="str">
        <f>IF($B1835="","",PMT(Rate,Nper,-PV,,Type))</f>
        <v/>
      </c>
      <c r="H1835" s="69" t="str">
        <f>IF($B1835="","",PPMT(Rate,ROWS($1:1823),Nper,-PV,,Type))</f>
        <v/>
      </c>
      <c r="I1835" s="69" t="str">
        <f>IF($B1835="","",IPMT(Rate,ROWS($1:1823),Nper,-PV,,Type))</f>
        <v/>
      </c>
      <c r="J1835" s="73" t="str">
        <f t="shared" ref="J1835:K1835" si="1825">IF($B1835="","",N(J1834)+N(H1835))</f>
        <v/>
      </c>
      <c r="K1835" s="74" t="str">
        <f t="shared" si="1825"/>
        <v/>
      </c>
      <c r="L1835" s="69" t="str">
        <f>IF($B1835="","",PV-J1835)</f>
        <v/>
      </c>
      <c r="M1835" s="71" t="str">
        <f>IF($B1835="","",J1835/PV)</f>
        <v/>
      </c>
      <c r="N1835" s="72" t="str">
        <f t="shared" si="4"/>
        <v/>
      </c>
    </row>
    <row r="1836" ht="14.25" customHeight="1">
      <c r="B1836" s="66" t="str">
        <f>IF(ROWS($1:1824)&lt;=Nper,ROWS($1:1824),"")</f>
        <v/>
      </c>
      <c r="C1836" s="67" t="str">
        <f>IF($B1836="","",IF($E$7="Weekly",Start_Date+7*(ROWS($1:1824)-1),EDATE(Start_Date,VLOOKUP(IF(ASTemp!$E$7="","Monthly",ASTemp!$E$7),Parameters!$B$3:$D$6,3,0)*(ROWS($1:1824)-1))))</f>
        <v/>
      </c>
      <c r="D1836" s="68" t="str">
        <f t="shared" si="2"/>
        <v/>
      </c>
      <c r="E1836" s="65" t="str">
        <f>IF($B1836="","",VLOOKUP(MONTH(C1836),Parameters!$F$2:$G$13,2,0))</f>
        <v/>
      </c>
      <c r="F1836" s="69" t="str">
        <f>IF($B1836="","",PV-N(J1835))</f>
        <v/>
      </c>
      <c r="G1836" s="69" t="str">
        <f>IF($B1836="","",PMT(Rate,Nper,-PV,,Type))</f>
        <v/>
      </c>
      <c r="H1836" s="69" t="str">
        <f>IF($B1836="","",PPMT(Rate,ROWS($1:1824),Nper,-PV,,Type))</f>
        <v/>
      </c>
      <c r="I1836" s="69" t="str">
        <f>IF($B1836="","",IPMT(Rate,ROWS($1:1824),Nper,-PV,,Type))</f>
        <v/>
      </c>
      <c r="J1836" s="73" t="str">
        <f t="shared" ref="J1836:K1836" si="1826">IF($B1836="","",N(J1835)+N(H1836))</f>
        <v/>
      </c>
      <c r="K1836" s="74" t="str">
        <f t="shared" si="1826"/>
        <v/>
      </c>
      <c r="L1836" s="69" t="str">
        <f>IF($B1836="","",PV-J1836)</f>
        <v/>
      </c>
      <c r="M1836" s="71" t="str">
        <f>IF($B1836="","",J1836/PV)</f>
        <v/>
      </c>
      <c r="N1836" s="72" t="str">
        <f t="shared" si="4"/>
        <v/>
      </c>
    </row>
    <row r="1837" ht="14.25" customHeight="1">
      <c r="B1837" s="66" t="str">
        <f>IF(ROWS($1:1825)&lt;=Nper,ROWS($1:1825),"")</f>
        <v/>
      </c>
      <c r="C1837" s="67" t="str">
        <f>IF($B1837="","",IF($E$7="Weekly",Start_Date+7*(ROWS($1:1825)-1),EDATE(Start_Date,VLOOKUP(IF(ASTemp!$E$7="","Monthly",ASTemp!$E$7),Parameters!$B$3:$D$6,3,0)*(ROWS($1:1825)-1))))</f>
        <v/>
      </c>
      <c r="D1837" s="68" t="str">
        <f t="shared" si="2"/>
        <v/>
      </c>
      <c r="E1837" s="65" t="str">
        <f>IF($B1837="","",VLOOKUP(MONTH(C1837),Parameters!$F$2:$G$13,2,0))</f>
        <v/>
      </c>
      <c r="F1837" s="69" t="str">
        <f>IF($B1837="","",PV-N(J1836))</f>
        <v/>
      </c>
      <c r="G1837" s="69" t="str">
        <f>IF($B1837="","",PMT(Rate,Nper,-PV,,Type))</f>
        <v/>
      </c>
      <c r="H1837" s="69" t="str">
        <f>IF($B1837="","",PPMT(Rate,ROWS($1:1825),Nper,-PV,,Type))</f>
        <v/>
      </c>
      <c r="I1837" s="69" t="str">
        <f>IF($B1837="","",IPMT(Rate,ROWS($1:1825),Nper,-PV,,Type))</f>
        <v/>
      </c>
      <c r="J1837" s="73" t="str">
        <f t="shared" ref="J1837:K1837" si="1827">IF($B1837="","",N(J1836)+N(H1837))</f>
        <v/>
      </c>
      <c r="K1837" s="74" t="str">
        <f t="shared" si="1827"/>
        <v/>
      </c>
      <c r="L1837" s="69" t="str">
        <f>IF($B1837="","",PV-J1837)</f>
        <v/>
      </c>
      <c r="M1837" s="71" t="str">
        <f>IF($B1837="","",J1837/PV)</f>
        <v/>
      </c>
      <c r="N1837" s="72" t="str">
        <f t="shared" si="4"/>
        <v/>
      </c>
    </row>
    <row r="1838" ht="14.25" customHeight="1">
      <c r="B1838" s="66" t="str">
        <f>IF(ROWS($1:1826)&lt;=Nper,ROWS($1:1826),"")</f>
        <v/>
      </c>
      <c r="C1838" s="67" t="str">
        <f>IF($B1838="","",IF($E$7="Weekly",Start_Date+7*(ROWS($1:1826)-1),EDATE(Start_Date,VLOOKUP(IF(ASTemp!$E$7="","Monthly",ASTemp!$E$7),Parameters!$B$3:$D$6,3,0)*(ROWS($1:1826)-1))))</f>
        <v/>
      </c>
      <c r="D1838" s="68" t="str">
        <f t="shared" si="2"/>
        <v/>
      </c>
      <c r="E1838" s="65" t="str">
        <f>IF($B1838="","",VLOOKUP(MONTH(C1838),Parameters!$F$2:$G$13,2,0))</f>
        <v/>
      </c>
      <c r="F1838" s="69" t="str">
        <f>IF($B1838="","",PV-N(J1837))</f>
        <v/>
      </c>
      <c r="G1838" s="69" t="str">
        <f>IF($B1838="","",PMT(Rate,Nper,-PV,,Type))</f>
        <v/>
      </c>
      <c r="H1838" s="69" t="str">
        <f>IF($B1838="","",PPMT(Rate,ROWS($1:1826),Nper,-PV,,Type))</f>
        <v/>
      </c>
      <c r="I1838" s="69" t="str">
        <f>IF($B1838="","",IPMT(Rate,ROWS($1:1826),Nper,-PV,,Type))</f>
        <v/>
      </c>
      <c r="J1838" s="73" t="str">
        <f t="shared" ref="J1838:K1838" si="1828">IF($B1838="","",N(J1837)+N(H1838))</f>
        <v/>
      </c>
      <c r="K1838" s="74" t="str">
        <f t="shared" si="1828"/>
        <v/>
      </c>
      <c r="L1838" s="69" t="str">
        <f>IF($B1838="","",PV-J1838)</f>
        <v/>
      </c>
      <c r="M1838" s="71" t="str">
        <f>IF($B1838="","",J1838/PV)</f>
        <v/>
      </c>
      <c r="N1838" s="72" t="str">
        <f t="shared" si="4"/>
        <v/>
      </c>
    </row>
    <row r="1839" ht="14.25" customHeight="1">
      <c r="B1839" s="66" t="str">
        <f>IF(ROWS($1:1827)&lt;=Nper,ROWS($1:1827),"")</f>
        <v/>
      </c>
      <c r="C1839" s="67" t="str">
        <f>IF($B1839="","",IF($E$7="Weekly",Start_Date+7*(ROWS($1:1827)-1),EDATE(Start_Date,VLOOKUP(IF(ASTemp!$E$7="","Monthly",ASTemp!$E$7),Parameters!$B$3:$D$6,3,0)*(ROWS($1:1827)-1))))</f>
        <v/>
      </c>
      <c r="D1839" s="68" t="str">
        <f t="shared" si="2"/>
        <v/>
      </c>
      <c r="E1839" s="65" t="str">
        <f>IF($B1839="","",VLOOKUP(MONTH(C1839),Parameters!$F$2:$G$13,2,0))</f>
        <v/>
      </c>
      <c r="F1839" s="69" t="str">
        <f>IF($B1839="","",PV-N(J1838))</f>
        <v/>
      </c>
      <c r="G1839" s="69" t="str">
        <f>IF($B1839="","",PMT(Rate,Nper,-PV,,Type))</f>
        <v/>
      </c>
      <c r="H1839" s="69" t="str">
        <f>IF($B1839="","",PPMT(Rate,ROWS($1:1827),Nper,-PV,,Type))</f>
        <v/>
      </c>
      <c r="I1839" s="69" t="str">
        <f>IF($B1839="","",IPMT(Rate,ROWS($1:1827),Nper,-PV,,Type))</f>
        <v/>
      </c>
      <c r="J1839" s="73" t="str">
        <f t="shared" ref="J1839:K1839" si="1829">IF($B1839="","",N(J1838)+N(H1839))</f>
        <v/>
      </c>
      <c r="K1839" s="74" t="str">
        <f t="shared" si="1829"/>
        <v/>
      </c>
      <c r="L1839" s="69" t="str">
        <f>IF($B1839="","",PV-J1839)</f>
        <v/>
      </c>
      <c r="M1839" s="71" t="str">
        <f>IF($B1839="","",J1839/PV)</f>
        <v/>
      </c>
      <c r="N1839" s="72" t="str">
        <f t="shared" si="4"/>
        <v/>
      </c>
    </row>
    <row r="1840" ht="14.25" customHeight="1">
      <c r="B1840" s="66" t="str">
        <f>IF(ROWS($1:1828)&lt;=Nper,ROWS($1:1828),"")</f>
        <v/>
      </c>
      <c r="C1840" s="67" t="str">
        <f>IF($B1840="","",IF($E$7="Weekly",Start_Date+7*(ROWS($1:1828)-1),EDATE(Start_Date,VLOOKUP(IF(ASTemp!$E$7="","Monthly",ASTemp!$E$7),Parameters!$B$3:$D$6,3,0)*(ROWS($1:1828)-1))))</f>
        <v/>
      </c>
      <c r="D1840" s="68" t="str">
        <f t="shared" si="2"/>
        <v/>
      </c>
      <c r="E1840" s="65" t="str">
        <f>IF($B1840="","",VLOOKUP(MONTH(C1840),Parameters!$F$2:$G$13,2,0))</f>
        <v/>
      </c>
      <c r="F1840" s="69" t="str">
        <f>IF($B1840="","",PV-N(J1839))</f>
        <v/>
      </c>
      <c r="G1840" s="69" t="str">
        <f>IF($B1840="","",PMT(Rate,Nper,-PV,,Type))</f>
        <v/>
      </c>
      <c r="H1840" s="69" t="str">
        <f>IF($B1840="","",PPMT(Rate,ROWS($1:1828),Nper,-PV,,Type))</f>
        <v/>
      </c>
      <c r="I1840" s="69" t="str">
        <f>IF($B1840="","",IPMT(Rate,ROWS($1:1828),Nper,-PV,,Type))</f>
        <v/>
      </c>
      <c r="J1840" s="73" t="str">
        <f t="shared" ref="J1840:K1840" si="1830">IF($B1840="","",N(J1839)+N(H1840))</f>
        <v/>
      </c>
      <c r="K1840" s="74" t="str">
        <f t="shared" si="1830"/>
        <v/>
      </c>
      <c r="L1840" s="69" t="str">
        <f>IF($B1840="","",PV-J1840)</f>
        <v/>
      </c>
      <c r="M1840" s="71" t="str">
        <f>IF($B1840="","",J1840/PV)</f>
        <v/>
      </c>
      <c r="N1840" s="72" t="str">
        <f t="shared" si="4"/>
        <v/>
      </c>
    </row>
    <row r="1841" ht="14.25" customHeight="1">
      <c r="B1841" s="66" t="str">
        <f>IF(ROWS($1:1829)&lt;=Nper,ROWS($1:1829),"")</f>
        <v/>
      </c>
      <c r="C1841" s="67" t="str">
        <f>IF($B1841="","",IF($E$7="Weekly",Start_Date+7*(ROWS($1:1829)-1),EDATE(Start_Date,VLOOKUP(IF(ASTemp!$E$7="","Monthly",ASTemp!$E$7),Parameters!$B$3:$D$6,3,0)*(ROWS($1:1829)-1))))</f>
        <v/>
      </c>
      <c r="D1841" s="68" t="str">
        <f t="shared" si="2"/>
        <v/>
      </c>
      <c r="E1841" s="65" t="str">
        <f>IF($B1841="","",VLOOKUP(MONTH(C1841),Parameters!$F$2:$G$13,2,0))</f>
        <v/>
      </c>
      <c r="F1841" s="69" t="str">
        <f>IF($B1841="","",PV-N(J1840))</f>
        <v/>
      </c>
      <c r="G1841" s="69" t="str">
        <f>IF($B1841="","",PMT(Rate,Nper,-PV,,Type))</f>
        <v/>
      </c>
      <c r="H1841" s="69" t="str">
        <f>IF($B1841="","",PPMT(Rate,ROWS($1:1829),Nper,-PV,,Type))</f>
        <v/>
      </c>
      <c r="I1841" s="69" t="str">
        <f>IF($B1841="","",IPMT(Rate,ROWS($1:1829),Nper,-PV,,Type))</f>
        <v/>
      </c>
      <c r="J1841" s="73" t="str">
        <f t="shared" ref="J1841:K1841" si="1831">IF($B1841="","",N(J1840)+N(H1841))</f>
        <v/>
      </c>
      <c r="K1841" s="74" t="str">
        <f t="shared" si="1831"/>
        <v/>
      </c>
      <c r="L1841" s="69" t="str">
        <f>IF($B1841="","",PV-J1841)</f>
        <v/>
      </c>
      <c r="M1841" s="71" t="str">
        <f>IF($B1841="","",J1841/PV)</f>
        <v/>
      </c>
      <c r="N1841" s="72" t="str">
        <f t="shared" si="4"/>
        <v/>
      </c>
    </row>
    <row r="1842" ht="14.25" customHeight="1">
      <c r="B1842" s="66" t="str">
        <f>IF(ROWS($1:1830)&lt;=Nper,ROWS($1:1830),"")</f>
        <v/>
      </c>
      <c r="C1842" s="67" t="str">
        <f>IF($B1842="","",IF($E$7="Weekly",Start_Date+7*(ROWS($1:1830)-1),EDATE(Start_Date,VLOOKUP(IF(ASTemp!$E$7="","Monthly",ASTemp!$E$7),Parameters!$B$3:$D$6,3,0)*(ROWS($1:1830)-1))))</f>
        <v/>
      </c>
      <c r="D1842" s="68" t="str">
        <f t="shared" si="2"/>
        <v/>
      </c>
      <c r="E1842" s="65" t="str">
        <f>IF($B1842="","",VLOOKUP(MONTH(C1842),Parameters!$F$2:$G$13,2,0))</f>
        <v/>
      </c>
      <c r="F1842" s="69" t="str">
        <f>IF($B1842="","",PV-N(J1841))</f>
        <v/>
      </c>
      <c r="G1842" s="69" t="str">
        <f>IF($B1842="","",PMT(Rate,Nper,-PV,,Type))</f>
        <v/>
      </c>
      <c r="H1842" s="69" t="str">
        <f>IF($B1842="","",PPMT(Rate,ROWS($1:1830),Nper,-PV,,Type))</f>
        <v/>
      </c>
      <c r="I1842" s="69" t="str">
        <f>IF($B1842="","",IPMT(Rate,ROWS($1:1830),Nper,-PV,,Type))</f>
        <v/>
      </c>
      <c r="J1842" s="73" t="str">
        <f t="shared" ref="J1842:K1842" si="1832">IF($B1842="","",N(J1841)+N(H1842))</f>
        <v/>
      </c>
      <c r="K1842" s="74" t="str">
        <f t="shared" si="1832"/>
        <v/>
      </c>
      <c r="L1842" s="69" t="str">
        <f>IF($B1842="","",PV-J1842)</f>
        <v/>
      </c>
      <c r="M1842" s="71" t="str">
        <f>IF($B1842="","",J1842/PV)</f>
        <v/>
      </c>
      <c r="N1842" s="72" t="str">
        <f t="shared" si="4"/>
        <v/>
      </c>
    </row>
    <row r="1843" ht="14.25" customHeight="1">
      <c r="B1843" s="66" t="str">
        <f>IF(ROWS($1:1831)&lt;=Nper,ROWS($1:1831),"")</f>
        <v/>
      </c>
      <c r="C1843" s="67" t="str">
        <f>IF($B1843="","",IF($E$7="Weekly",Start_Date+7*(ROWS($1:1831)-1),EDATE(Start_Date,VLOOKUP(IF(ASTemp!$E$7="","Monthly",ASTemp!$E$7),Parameters!$B$3:$D$6,3,0)*(ROWS($1:1831)-1))))</f>
        <v/>
      </c>
      <c r="D1843" s="68" t="str">
        <f t="shared" si="2"/>
        <v/>
      </c>
      <c r="E1843" s="65" t="str">
        <f>IF($B1843="","",VLOOKUP(MONTH(C1843),Parameters!$F$2:$G$13,2,0))</f>
        <v/>
      </c>
      <c r="F1843" s="69" t="str">
        <f>IF($B1843="","",PV-N(J1842))</f>
        <v/>
      </c>
      <c r="G1843" s="69" t="str">
        <f>IF($B1843="","",PMT(Rate,Nper,-PV,,Type))</f>
        <v/>
      </c>
      <c r="H1843" s="69" t="str">
        <f>IF($B1843="","",PPMT(Rate,ROWS($1:1831),Nper,-PV,,Type))</f>
        <v/>
      </c>
      <c r="I1843" s="69" t="str">
        <f>IF($B1843="","",IPMT(Rate,ROWS($1:1831),Nper,-PV,,Type))</f>
        <v/>
      </c>
      <c r="J1843" s="73" t="str">
        <f t="shared" ref="J1843:K1843" si="1833">IF($B1843="","",N(J1842)+N(H1843))</f>
        <v/>
      </c>
      <c r="K1843" s="74" t="str">
        <f t="shared" si="1833"/>
        <v/>
      </c>
      <c r="L1843" s="69" t="str">
        <f>IF($B1843="","",PV-J1843)</f>
        <v/>
      </c>
      <c r="M1843" s="71" t="str">
        <f>IF($B1843="","",J1843/PV)</f>
        <v/>
      </c>
      <c r="N1843" s="72" t="str">
        <f t="shared" si="4"/>
        <v/>
      </c>
    </row>
    <row r="1844" ht="14.25" customHeight="1">
      <c r="B1844" s="66" t="str">
        <f>IF(ROWS($1:1832)&lt;=Nper,ROWS($1:1832),"")</f>
        <v/>
      </c>
      <c r="C1844" s="67" t="str">
        <f>IF($B1844="","",IF($E$7="Weekly",Start_Date+7*(ROWS($1:1832)-1),EDATE(Start_Date,VLOOKUP(IF(ASTemp!$E$7="","Monthly",ASTemp!$E$7),Parameters!$B$3:$D$6,3,0)*(ROWS($1:1832)-1))))</f>
        <v/>
      </c>
      <c r="D1844" s="68" t="str">
        <f t="shared" si="2"/>
        <v/>
      </c>
      <c r="E1844" s="65" t="str">
        <f>IF($B1844="","",VLOOKUP(MONTH(C1844),Parameters!$F$2:$G$13,2,0))</f>
        <v/>
      </c>
      <c r="F1844" s="69" t="str">
        <f>IF($B1844="","",PV-N(J1843))</f>
        <v/>
      </c>
      <c r="G1844" s="69" t="str">
        <f>IF($B1844="","",PMT(Rate,Nper,-PV,,Type))</f>
        <v/>
      </c>
      <c r="H1844" s="69" t="str">
        <f>IF($B1844="","",PPMT(Rate,ROWS($1:1832),Nper,-PV,,Type))</f>
        <v/>
      </c>
      <c r="I1844" s="69" t="str">
        <f>IF($B1844="","",IPMT(Rate,ROWS($1:1832),Nper,-PV,,Type))</f>
        <v/>
      </c>
      <c r="J1844" s="73" t="str">
        <f t="shared" ref="J1844:K1844" si="1834">IF($B1844="","",N(J1843)+N(H1844))</f>
        <v/>
      </c>
      <c r="K1844" s="74" t="str">
        <f t="shared" si="1834"/>
        <v/>
      </c>
      <c r="L1844" s="69" t="str">
        <f>IF($B1844="","",PV-J1844)</f>
        <v/>
      </c>
      <c r="M1844" s="71" t="str">
        <f>IF($B1844="","",J1844/PV)</f>
        <v/>
      </c>
      <c r="N1844" s="72" t="str">
        <f t="shared" si="4"/>
        <v/>
      </c>
    </row>
    <row r="1845" ht="14.25" customHeight="1">
      <c r="B1845" s="66" t="str">
        <f>IF(ROWS($1:1833)&lt;=Nper,ROWS($1:1833),"")</f>
        <v/>
      </c>
      <c r="C1845" s="67" t="str">
        <f>IF($B1845="","",IF($E$7="Weekly",Start_Date+7*(ROWS($1:1833)-1),EDATE(Start_Date,VLOOKUP(IF(ASTemp!$E$7="","Monthly",ASTemp!$E$7),Parameters!$B$3:$D$6,3,0)*(ROWS($1:1833)-1))))</f>
        <v/>
      </c>
      <c r="D1845" s="68" t="str">
        <f t="shared" si="2"/>
        <v/>
      </c>
      <c r="E1845" s="65" t="str">
        <f>IF($B1845="","",VLOOKUP(MONTH(C1845),Parameters!$F$2:$G$13,2,0))</f>
        <v/>
      </c>
      <c r="F1845" s="69" t="str">
        <f>IF($B1845="","",PV-N(J1844))</f>
        <v/>
      </c>
      <c r="G1845" s="69" t="str">
        <f>IF($B1845="","",PMT(Rate,Nper,-PV,,Type))</f>
        <v/>
      </c>
      <c r="H1845" s="69" t="str">
        <f>IF($B1845="","",PPMT(Rate,ROWS($1:1833),Nper,-PV,,Type))</f>
        <v/>
      </c>
      <c r="I1845" s="69" t="str">
        <f>IF($B1845="","",IPMT(Rate,ROWS($1:1833),Nper,-PV,,Type))</f>
        <v/>
      </c>
      <c r="J1845" s="73" t="str">
        <f t="shared" ref="J1845:K1845" si="1835">IF($B1845="","",N(J1844)+N(H1845))</f>
        <v/>
      </c>
      <c r="K1845" s="74" t="str">
        <f t="shared" si="1835"/>
        <v/>
      </c>
      <c r="L1845" s="69" t="str">
        <f>IF($B1845="","",PV-J1845)</f>
        <v/>
      </c>
      <c r="M1845" s="71" t="str">
        <f>IF($B1845="","",J1845/PV)</f>
        <v/>
      </c>
      <c r="N1845" s="72" t="str">
        <f t="shared" si="4"/>
        <v/>
      </c>
    </row>
    <row r="1846" ht="14.25" customHeight="1">
      <c r="B1846" s="66" t="str">
        <f>IF(ROWS($1:1834)&lt;=Nper,ROWS($1:1834),"")</f>
        <v/>
      </c>
      <c r="C1846" s="67" t="str">
        <f>IF($B1846="","",IF($E$7="Weekly",Start_Date+7*(ROWS($1:1834)-1),EDATE(Start_Date,VLOOKUP(IF(ASTemp!$E$7="","Monthly",ASTemp!$E$7),Parameters!$B$3:$D$6,3,0)*(ROWS($1:1834)-1))))</f>
        <v/>
      </c>
      <c r="D1846" s="68" t="str">
        <f t="shared" si="2"/>
        <v/>
      </c>
      <c r="E1846" s="65" t="str">
        <f>IF($B1846="","",VLOOKUP(MONTH(C1846),Parameters!$F$2:$G$13,2,0))</f>
        <v/>
      </c>
      <c r="F1846" s="69" t="str">
        <f>IF($B1846="","",PV-N(J1845))</f>
        <v/>
      </c>
      <c r="G1846" s="69" t="str">
        <f>IF($B1846="","",PMT(Rate,Nper,-PV,,Type))</f>
        <v/>
      </c>
      <c r="H1846" s="69" t="str">
        <f>IF($B1846="","",PPMT(Rate,ROWS($1:1834),Nper,-PV,,Type))</f>
        <v/>
      </c>
      <c r="I1846" s="69" t="str">
        <f>IF($B1846="","",IPMT(Rate,ROWS($1:1834),Nper,-PV,,Type))</f>
        <v/>
      </c>
      <c r="J1846" s="73" t="str">
        <f t="shared" ref="J1846:K1846" si="1836">IF($B1846="","",N(J1845)+N(H1846))</f>
        <v/>
      </c>
      <c r="K1846" s="74" t="str">
        <f t="shared" si="1836"/>
        <v/>
      </c>
      <c r="L1846" s="69" t="str">
        <f>IF($B1846="","",PV-J1846)</f>
        <v/>
      </c>
      <c r="M1846" s="71" t="str">
        <f>IF($B1846="","",J1846/PV)</f>
        <v/>
      </c>
      <c r="N1846" s="72" t="str">
        <f t="shared" si="4"/>
        <v/>
      </c>
    </row>
    <row r="1847" ht="14.25" customHeight="1">
      <c r="B1847" s="66" t="str">
        <f>IF(ROWS($1:1835)&lt;=Nper,ROWS($1:1835),"")</f>
        <v/>
      </c>
      <c r="C1847" s="67" t="str">
        <f>IF($B1847="","",IF($E$7="Weekly",Start_Date+7*(ROWS($1:1835)-1),EDATE(Start_Date,VLOOKUP(IF(ASTemp!$E$7="","Monthly",ASTemp!$E$7),Parameters!$B$3:$D$6,3,0)*(ROWS($1:1835)-1))))</f>
        <v/>
      </c>
      <c r="D1847" s="68" t="str">
        <f t="shared" si="2"/>
        <v/>
      </c>
      <c r="E1847" s="65" t="str">
        <f>IF($B1847="","",VLOOKUP(MONTH(C1847),Parameters!$F$2:$G$13,2,0))</f>
        <v/>
      </c>
      <c r="F1847" s="69" t="str">
        <f>IF($B1847="","",PV-N(J1846))</f>
        <v/>
      </c>
      <c r="G1847" s="69" t="str">
        <f>IF($B1847="","",PMT(Rate,Nper,-PV,,Type))</f>
        <v/>
      </c>
      <c r="H1847" s="69" t="str">
        <f>IF($B1847="","",PPMT(Rate,ROWS($1:1835),Nper,-PV,,Type))</f>
        <v/>
      </c>
      <c r="I1847" s="69" t="str">
        <f>IF($B1847="","",IPMT(Rate,ROWS($1:1835),Nper,-PV,,Type))</f>
        <v/>
      </c>
      <c r="J1847" s="73" t="str">
        <f t="shared" ref="J1847:K1847" si="1837">IF($B1847="","",N(J1846)+N(H1847))</f>
        <v/>
      </c>
      <c r="K1847" s="74" t="str">
        <f t="shared" si="1837"/>
        <v/>
      </c>
      <c r="L1847" s="69" t="str">
        <f>IF($B1847="","",PV-J1847)</f>
        <v/>
      </c>
      <c r="M1847" s="71" t="str">
        <f>IF($B1847="","",J1847/PV)</f>
        <v/>
      </c>
      <c r="N1847" s="72" t="str">
        <f t="shared" si="4"/>
        <v/>
      </c>
    </row>
    <row r="1848" ht="14.25" customHeight="1">
      <c r="B1848" s="66" t="str">
        <f>IF(ROWS($1:1836)&lt;=Nper,ROWS($1:1836),"")</f>
        <v/>
      </c>
      <c r="C1848" s="67" t="str">
        <f>IF($B1848="","",IF($E$7="Weekly",Start_Date+7*(ROWS($1:1836)-1),EDATE(Start_Date,VLOOKUP(IF(ASTemp!$E$7="","Monthly",ASTemp!$E$7),Parameters!$B$3:$D$6,3,0)*(ROWS($1:1836)-1))))</f>
        <v/>
      </c>
      <c r="D1848" s="68" t="str">
        <f t="shared" si="2"/>
        <v/>
      </c>
      <c r="E1848" s="65" t="str">
        <f>IF($B1848="","",VLOOKUP(MONTH(C1848),Parameters!$F$2:$G$13,2,0))</f>
        <v/>
      </c>
      <c r="F1848" s="69" t="str">
        <f>IF($B1848="","",PV-N(J1847))</f>
        <v/>
      </c>
      <c r="G1848" s="69" t="str">
        <f>IF($B1848="","",PMT(Rate,Nper,-PV,,Type))</f>
        <v/>
      </c>
      <c r="H1848" s="69" t="str">
        <f>IF($B1848="","",PPMT(Rate,ROWS($1:1836),Nper,-PV,,Type))</f>
        <v/>
      </c>
      <c r="I1848" s="69" t="str">
        <f>IF($B1848="","",IPMT(Rate,ROWS($1:1836),Nper,-PV,,Type))</f>
        <v/>
      </c>
      <c r="J1848" s="73" t="str">
        <f t="shared" ref="J1848:K1848" si="1838">IF($B1848="","",N(J1847)+N(H1848))</f>
        <v/>
      </c>
      <c r="K1848" s="74" t="str">
        <f t="shared" si="1838"/>
        <v/>
      </c>
      <c r="L1848" s="69" t="str">
        <f>IF($B1848="","",PV-J1848)</f>
        <v/>
      </c>
      <c r="M1848" s="71" t="str">
        <f>IF($B1848="","",J1848/PV)</f>
        <v/>
      </c>
      <c r="N1848" s="72" t="str">
        <f t="shared" si="4"/>
        <v/>
      </c>
    </row>
    <row r="1849" ht="14.25" customHeight="1">
      <c r="B1849" s="66" t="str">
        <f>IF(ROWS($1:1837)&lt;=Nper,ROWS($1:1837),"")</f>
        <v/>
      </c>
      <c r="C1849" s="67" t="str">
        <f>IF($B1849="","",IF($E$7="Weekly",Start_Date+7*(ROWS($1:1837)-1),EDATE(Start_Date,VLOOKUP(IF(ASTemp!$E$7="","Monthly",ASTemp!$E$7),Parameters!$B$3:$D$6,3,0)*(ROWS($1:1837)-1))))</f>
        <v/>
      </c>
      <c r="D1849" s="68" t="str">
        <f t="shared" si="2"/>
        <v/>
      </c>
      <c r="E1849" s="65" t="str">
        <f>IF($B1849="","",VLOOKUP(MONTH(C1849),Parameters!$F$2:$G$13,2,0))</f>
        <v/>
      </c>
      <c r="F1849" s="69" t="str">
        <f>IF($B1849="","",PV-N(J1848))</f>
        <v/>
      </c>
      <c r="G1849" s="69" t="str">
        <f>IF($B1849="","",PMT(Rate,Nper,-PV,,Type))</f>
        <v/>
      </c>
      <c r="H1849" s="69" t="str">
        <f>IF($B1849="","",PPMT(Rate,ROWS($1:1837),Nper,-PV,,Type))</f>
        <v/>
      </c>
      <c r="I1849" s="69" t="str">
        <f>IF($B1849="","",IPMT(Rate,ROWS($1:1837),Nper,-PV,,Type))</f>
        <v/>
      </c>
      <c r="J1849" s="73" t="str">
        <f t="shared" ref="J1849:K1849" si="1839">IF($B1849="","",N(J1848)+N(H1849))</f>
        <v/>
      </c>
      <c r="K1849" s="74" t="str">
        <f t="shared" si="1839"/>
        <v/>
      </c>
      <c r="L1849" s="69" t="str">
        <f>IF($B1849="","",PV-J1849)</f>
        <v/>
      </c>
      <c r="M1849" s="71" t="str">
        <f>IF($B1849="","",J1849/PV)</f>
        <v/>
      </c>
      <c r="N1849" s="72" t="str">
        <f t="shared" si="4"/>
        <v/>
      </c>
    </row>
    <row r="1850" ht="14.25" customHeight="1">
      <c r="B1850" s="66" t="str">
        <f>IF(ROWS($1:1838)&lt;=Nper,ROWS($1:1838),"")</f>
        <v/>
      </c>
      <c r="C1850" s="67" t="str">
        <f>IF($B1850="","",IF($E$7="Weekly",Start_Date+7*(ROWS($1:1838)-1),EDATE(Start_Date,VLOOKUP(IF(ASTemp!$E$7="","Monthly",ASTemp!$E$7),Parameters!$B$3:$D$6,3,0)*(ROWS($1:1838)-1))))</f>
        <v/>
      </c>
      <c r="D1850" s="68" t="str">
        <f t="shared" si="2"/>
        <v/>
      </c>
      <c r="E1850" s="65" t="str">
        <f>IF($B1850="","",VLOOKUP(MONTH(C1850),Parameters!$F$2:$G$13,2,0))</f>
        <v/>
      </c>
      <c r="F1850" s="69" t="str">
        <f>IF($B1850="","",PV-N(J1849))</f>
        <v/>
      </c>
      <c r="G1850" s="69" t="str">
        <f>IF($B1850="","",PMT(Rate,Nper,-PV,,Type))</f>
        <v/>
      </c>
      <c r="H1850" s="69" t="str">
        <f>IF($B1850="","",PPMT(Rate,ROWS($1:1838),Nper,-PV,,Type))</f>
        <v/>
      </c>
      <c r="I1850" s="69" t="str">
        <f>IF($B1850="","",IPMT(Rate,ROWS($1:1838),Nper,-PV,,Type))</f>
        <v/>
      </c>
      <c r="J1850" s="73" t="str">
        <f t="shared" ref="J1850:K1850" si="1840">IF($B1850="","",N(J1849)+N(H1850))</f>
        <v/>
      </c>
      <c r="K1850" s="74" t="str">
        <f t="shared" si="1840"/>
        <v/>
      </c>
      <c r="L1850" s="69" t="str">
        <f>IF($B1850="","",PV-J1850)</f>
        <v/>
      </c>
      <c r="M1850" s="71" t="str">
        <f>IF($B1850="","",J1850/PV)</f>
        <v/>
      </c>
      <c r="N1850" s="72" t="str">
        <f t="shared" si="4"/>
        <v/>
      </c>
    </row>
    <row r="1851" ht="14.25" customHeight="1">
      <c r="B1851" s="66" t="str">
        <f>IF(ROWS($1:1839)&lt;=Nper,ROWS($1:1839),"")</f>
        <v/>
      </c>
      <c r="C1851" s="67" t="str">
        <f>IF($B1851="","",IF($E$7="Weekly",Start_Date+7*(ROWS($1:1839)-1),EDATE(Start_Date,VLOOKUP(IF(ASTemp!$E$7="","Monthly",ASTemp!$E$7),Parameters!$B$3:$D$6,3,0)*(ROWS($1:1839)-1))))</f>
        <v/>
      </c>
      <c r="D1851" s="68" t="str">
        <f t="shared" si="2"/>
        <v/>
      </c>
      <c r="E1851" s="65" t="str">
        <f>IF($B1851="","",VLOOKUP(MONTH(C1851),Parameters!$F$2:$G$13,2,0))</f>
        <v/>
      </c>
      <c r="F1851" s="69" t="str">
        <f>IF($B1851="","",PV-N(J1850))</f>
        <v/>
      </c>
      <c r="G1851" s="69" t="str">
        <f>IF($B1851="","",PMT(Rate,Nper,-PV,,Type))</f>
        <v/>
      </c>
      <c r="H1851" s="69" t="str">
        <f>IF($B1851="","",PPMT(Rate,ROWS($1:1839),Nper,-PV,,Type))</f>
        <v/>
      </c>
      <c r="I1851" s="69" t="str">
        <f>IF($B1851="","",IPMT(Rate,ROWS($1:1839),Nper,-PV,,Type))</f>
        <v/>
      </c>
      <c r="J1851" s="73" t="str">
        <f t="shared" ref="J1851:K1851" si="1841">IF($B1851="","",N(J1850)+N(H1851))</f>
        <v/>
      </c>
      <c r="K1851" s="74" t="str">
        <f t="shared" si="1841"/>
        <v/>
      </c>
      <c r="L1851" s="69" t="str">
        <f>IF($B1851="","",PV-J1851)</f>
        <v/>
      </c>
      <c r="M1851" s="71" t="str">
        <f>IF($B1851="","",J1851/PV)</f>
        <v/>
      </c>
      <c r="N1851" s="72" t="str">
        <f t="shared" si="4"/>
        <v/>
      </c>
    </row>
    <row r="1852" ht="14.25" customHeight="1">
      <c r="B1852" s="66" t="str">
        <f>IF(ROWS($1:1840)&lt;=Nper,ROWS($1:1840),"")</f>
        <v/>
      </c>
      <c r="C1852" s="67" t="str">
        <f>IF($B1852="","",IF($E$7="Weekly",Start_Date+7*(ROWS($1:1840)-1),EDATE(Start_Date,VLOOKUP(IF(ASTemp!$E$7="","Monthly",ASTemp!$E$7),Parameters!$B$3:$D$6,3,0)*(ROWS($1:1840)-1))))</f>
        <v/>
      </c>
      <c r="D1852" s="68" t="str">
        <f t="shared" si="2"/>
        <v/>
      </c>
      <c r="E1852" s="65" t="str">
        <f>IF($B1852="","",VLOOKUP(MONTH(C1852),Parameters!$F$2:$G$13,2,0))</f>
        <v/>
      </c>
      <c r="F1852" s="69" t="str">
        <f>IF($B1852="","",PV-N(J1851))</f>
        <v/>
      </c>
      <c r="G1852" s="69" t="str">
        <f>IF($B1852="","",PMT(Rate,Nper,-PV,,Type))</f>
        <v/>
      </c>
      <c r="H1852" s="69" t="str">
        <f>IF($B1852="","",PPMT(Rate,ROWS($1:1840),Nper,-PV,,Type))</f>
        <v/>
      </c>
      <c r="I1852" s="69" t="str">
        <f>IF($B1852="","",IPMT(Rate,ROWS($1:1840),Nper,-PV,,Type))</f>
        <v/>
      </c>
      <c r="J1852" s="73" t="str">
        <f t="shared" ref="J1852:K1852" si="1842">IF($B1852="","",N(J1851)+N(H1852))</f>
        <v/>
      </c>
      <c r="K1852" s="74" t="str">
        <f t="shared" si="1842"/>
        <v/>
      </c>
      <c r="L1852" s="69" t="str">
        <f>IF($B1852="","",PV-J1852)</f>
        <v/>
      </c>
      <c r="M1852" s="71" t="str">
        <f>IF($B1852="","",J1852/PV)</f>
        <v/>
      </c>
      <c r="N1852" s="72" t="str">
        <f t="shared" si="4"/>
        <v/>
      </c>
    </row>
    <row r="1853" ht="14.25" customHeight="1">
      <c r="B1853" s="66" t="str">
        <f>IF(ROWS($1:1841)&lt;=Nper,ROWS($1:1841),"")</f>
        <v/>
      </c>
      <c r="C1853" s="67" t="str">
        <f>IF($B1853="","",IF($E$7="Weekly",Start_Date+7*(ROWS($1:1841)-1),EDATE(Start_Date,VLOOKUP(IF(ASTemp!$E$7="","Monthly",ASTemp!$E$7),Parameters!$B$3:$D$6,3,0)*(ROWS($1:1841)-1))))</f>
        <v/>
      </c>
      <c r="D1853" s="68" t="str">
        <f t="shared" si="2"/>
        <v/>
      </c>
      <c r="E1853" s="65" t="str">
        <f>IF($B1853="","",VLOOKUP(MONTH(C1853),Parameters!$F$2:$G$13,2,0))</f>
        <v/>
      </c>
      <c r="F1853" s="69" t="str">
        <f>IF($B1853="","",PV-N(J1852))</f>
        <v/>
      </c>
      <c r="G1853" s="69" t="str">
        <f>IF($B1853="","",PMT(Rate,Nper,-PV,,Type))</f>
        <v/>
      </c>
      <c r="H1853" s="69" t="str">
        <f>IF($B1853="","",PPMT(Rate,ROWS($1:1841),Nper,-PV,,Type))</f>
        <v/>
      </c>
      <c r="I1853" s="69" t="str">
        <f>IF($B1853="","",IPMT(Rate,ROWS($1:1841),Nper,-PV,,Type))</f>
        <v/>
      </c>
      <c r="J1853" s="73" t="str">
        <f t="shared" ref="J1853:K1853" si="1843">IF($B1853="","",N(J1852)+N(H1853))</f>
        <v/>
      </c>
      <c r="K1853" s="74" t="str">
        <f t="shared" si="1843"/>
        <v/>
      </c>
      <c r="L1853" s="69" t="str">
        <f>IF($B1853="","",PV-J1853)</f>
        <v/>
      </c>
      <c r="M1853" s="71" t="str">
        <f>IF($B1853="","",J1853/PV)</f>
        <v/>
      </c>
      <c r="N1853" s="72" t="str">
        <f t="shared" si="4"/>
        <v/>
      </c>
    </row>
    <row r="1854" ht="14.25" customHeight="1">
      <c r="B1854" s="66" t="str">
        <f>IF(ROWS($1:1842)&lt;=Nper,ROWS($1:1842),"")</f>
        <v/>
      </c>
      <c r="C1854" s="67" t="str">
        <f>IF($B1854="","",IF($E$7="Weekly",Start_Date+7*(ROWS($1:1842)-1),EDATE(Start_Date,VLOOKUP(IF(ASTemp!$E$7="","Monthly",ASTemp!$E$7),Parameters!$B$3:$D$6,3,0)*(ROWS($1:1842)-1))))</f>
        <v/>
      </c>
      <c r="D1854" s="68" t="str">
        <f t="shared" si="2"/>
        <v/>
      </c>
      <c r="E1854" s="65" t="str">
        <f>IF($B1854="","",VLOOKUP(MONTH(C1854),Parameters!$F$2:$G$13,2,0))</f>
        <v/>
      </c>
      <c r="F1854" s="69" t="str">
        <f>IF($B1854="","",PV-N(J1853))</f>
        <v/>
      </c>
      <c r="G1854" s="69" t="str">
        <f>IF($B1854="","",PMT(Rate,Nper,-PV,,Type))</f>
        <v/>
      </c>
      <c r="H1854" s="69" t="str">
        <f>IF($B1854="","",PPMT(Rate,ROWS($1:1842),Nper,-PV,,Type))</f>
        <v/>
      </c>
      <c r="I1854" s="69" t="str">
        <f>IF($B1854="","",IPMT(Rate,ROWS($1:1842),Nper,-PV,,Type))</f>
        <v/>
      </c>
      <c r="J1854" s="73" t="str">
        <f t="shared" ref="J1854:K1854" si="1844">IF($B1854="","",N(J1853)+N(H1854))</f>
        <v/>
      </c>
      <c r="K1854" s="74" t="str">
        <f t="shared" si="1844"/>
        <v/>
      </c>
      <c r="L1854" s="69" t="str">
        <f>IF($B1854="","",PV-J1854)</f>
        <v/>
      </c>
      <c r="M1854" s="71" t="str">
        <f>IF($B1854="","",J1854/PV)</f>
        <v/>
      </c>
      <c r="N1854" s="72" t="str">
        <f t="shared" si="4"/>
        <v/>
      </c>
    </row>
    <row r="1855" ht="14.25" customHeight="1">
      <c r="B1855" s="66" t="str">
        <f>IF(ROWS($1:1843)&lt;=Nper,ROWS($1:1843),"")</f>
        <v/>
      </c>
      <c r="C1855" s="67" t="str">
        <f>IF($B1855="","",IF($E$7="Weekly",Start_Date+7*(ROWS($1:1843)-1),EDATE(Start_Date,VLOOKUP(IF(ASTemp!$E$7="","Monthly",ASTemp!$E$7),Parameters!$B$3:$D$6,3,0)*(ROWS($1:1843)-1))))</f>
        <v/>
      </c>
      <c r="D1855" s="68" t="str">
        <f t="shared" si="2"/>
        <v/>
      </c>
      <c r="E1855" s="65" t="str">
        <f>IF($B1855="","",VLOOKUP(MONTH(C1855),Parameters!$F$2:$G$13,2,0))</f>
        <v/>
      </c>
      <c r="F1855" s="69" t="str">
        <f>IF($B1855="","",PV-N(J1854))</f>
        <v/>
      </c>
      <c r="G1855" s="69" t="str">
        <f>IF($B1855="","",PMT(Rate,Nper,-PV,,Type))</f>
        <v/>
      </c>
      <c r="H1855" s="69" t="str">
        <f>IF($B1855="","",PPMT(Rate,ROWS($1:1843),Nper,-PV,,Type))</f>
        <v/>
      </c>
      <c r="I1855" s="69" t="str">
        <f>IF($B1855="","",IPMT(Rate,ROWS($1:1843),Nper,-PV,,Type))</f>
        <v/>
      </c>
      <c r="J1855" s="73" t="str">
        <f t="shared" ref="J1855:K1855" si="1845">IF($B1855="","",N(J1854)+N(H1855))</f>
        <v/>
      </c>
      <c r="K1855" s="74" t="str">
        <f t="shared" si="1845"/>
        <v/>
      </c>
      <c r="L1855" s="69" t="str">
        <f>IF($B1855="","",PV-J1855)</f>
        <v/>
      </c>
      <c r="M1855" s="71" t="str">
        <f>IF($B1855="","",J1855/PV)</f>
        <v/>
      </c>
      <c r="N1855" s="72" t="str">
        <f t="shared" si="4"/>
        <v/>
      </c>
    </row>
    <row r="1856" ht="14.25" customHeight="1">
      <c r="B1856" s="66" t="str">
        <f>IF(ROWS($1:1844)&lt;=Nper,ROWS($1:1844),"")</f>
        <v/>
      </c>
      <c r="C1856" s="67" t="str">
        <f>IF($B1856="","",IF($E$7="Weekly",Start_Date+7*(ROWS($1:1844)-1),EDATE(Start_Date,VLOOKUP(IF(ASTemp!$E$7="","Monthly",ASTemp!$E$7),Parameters!$B$3:$D$6,3,0)*(ROWS($1:1844)-1))))</f>
        <v/>
      </c>
      <c r="D1856" s="68" t="str">
        <f t="shared" si="2"/>
        <v/>
      </c>
      <c r="E1856" s="65" t="str">
        <f>IF($B1856="","",VLOOKUP(MONTH(C1856),Parameters!$F$2:$G$13,2,0))</f>
        <v/>
      </c>
      <c r="F1856" s="69" t="str">
        <f>IF($B1856="","",PV-N(J1855))</f>
        <v/>
      </c>
      <c r="G1856" s="69" t="str">
        <f>IF($B1856="","",PMT(Rate,Nper,-PV,,Type))</f>
        <v/>
      </c>
      <c r="H1856" s="69" t="str">
        <f>IF($B1856="","",PPMT(Rate,ROWS($1:1844),Nper,-PV,,Type))</f>
        <v/>
      </c>
      <c r="I1856" s="69" t="str">
        <f>IF($B1856="","",IPMT(Rate,ROWS($1:1844),Nper,-PV,,Type))</f>
        <v/>
      </c>
      <c r="J1856" s="73" t="str">
        <f t="shared" ref="J1856:K1856" si="1846">IF($B1856="","",N(J1855)+N(H1856))</f>
        <v/>
      </c>
      <c r="K1856" s="74" t="str">
        <f t="shared" si="1846"/>
        <v/>
      </c>
      <c r="L1856" s="69" t="str">
        <f>IF($B1856="","",PV-J1856)</f>
        <v/>
      </c>
      <c r="M1856" s="71" t="str">
        <f>IF($B1856="","",J1856/PV)</f>
        <v/>
      </c>
      <c r="N1856" s="72" t="str">
        <f t="shared" si="4"/>
        <v/>
      </c>
    </row>
    <row r="1857" ht="14.25" customHeight="1">
      <c r="B1857" s="66" t="str">
        <f>IF(ROWS($1:1845)&lt;=Nper,ROWS($1:1845),"")</f>
        <v/>
      </c>
      <c r="C1857" s="67" t="str">
        <f>IF($B1857="","",IF($E$7="Weekly",Start_Date+7*(ROWS($1:1845)-1),EDATE(Start_Date,VLOOKUP(IF(ASTemp!$E$7="","Monthly",ASTemp!$E$7),Parameters!$B$3:$D$6,3,0)*(ROWS($1:1845)-1))))</f>
        <v/>
      </c>
      <c r="D1857" s="68" t="str">
        <f t="shared" si="2"/>
        <v/>
      </c>
      <c r="E1857" s="65" t="str">
        <f>IF($B1857="","",VLOOKUP(MONTH(C1857),Parameters!$F$2:$G$13,2,0))</f>
        <v/>
      </c>
      <c r="F1857" s="69" t="str">
        <f>IF($B1857="","",PV-N(J1856))</f>
        <v/>
      </c>
      <c r="G1857" s="69" t="str">
        <f>IF($B1857="","",PMT(Rate,Nper,-PV,,Type))</f>
        <v/>
      </c>
      <c r="H1857" s="69" t="str">
        <f>IF($B1857="","",PPMT(Rate,ROWS($1:1845),Nper,-PV,,Type))</f>
        <v/>
      </c>
      <c r="I1857" s="69" t="str">
        <f>IF($B1857="","",IPMT(Rate,ROWS($1:1845),Nper,-PV,,Type))</f>
        <v/>
      </c>
      <c r="J1857" s="73" t="str">
        <f t="shared" ref="J1857:K1857" si="1847">IF($B1857="","",N(J1856)+N(H1857))</f>
        <v/>
      </c>
      <c r="K1857" s="74" t="str">
        <f t="shared" si="1847"/>
        <v/>
      </c>
      <c r="L1857" s="69" t="str">
        <f>IF($B1857="","",PV-J1857)</f>
        <v/>
      </c>
      <c r="M1857" s="71" t="str">
        <f>IF($B1857="","",J1857/PV)</f>
        <v/>
      </c>
      <c r="N1857" s="72" t="str">
        <f t="shared" si="4"/>
        <v/>
      </c>
    </row>
    <row r="1858" ht="14.25" customHeight="1">
      <c r="B1858" s="66" t="str">
        <f>IF(ROWS($1:1846)&lt;=Nper,ROWS($1:1846),"")</f>
        <v/>
      </c>
      <c r="C1858" s="67" t="str">
        <f>IF($B1858="","",IF($E$7="Weekly",Start_Date+7*(ROWS($1:1846)-1),EDATE(Start_Date,VLOOKUP(IF(ASTemp!$E$7="","Monthly",ASTemp!$E$7),Parameters!$B$3:$D$6,3,0)*(ROWS($1:1846)-1))))</f>
        <v/>
      </c>
      <c r="D1858" s="68" t="str">
        <f t="shared" si="2"/>
        <v/>
      </c>
      <c r="E1858" s="65" t="str">
        <f>IF($B1858="","",VLOOKUP(MONTH(C1858),Parameters!$F$2:$G$13,2,0))</f>
        <v/>
      </c>
      <c r="F1858" s="69" t="str">
        <f>IF($B1858="","",PV-N(J1857))</f>
        <v/>
      </c>
      <c r="G1858" s="69" t="str">
        <f>IF($B1858="","",PMT(Rate,Nper,-PV,,Type))</f>
        <v/>
      </c>
      <c r="H1858" s="69" t="str">
        <f>IF($B1858="","",PPMT(Rate,ROWS($1:1846),Nper,-PV,,Type))</f>
        <v/>
      </c>
      <c r="I1858" s="69" t="str">
        <f>IF($B1858="","",IPMT(Rate,ROWS($1:1846),Nper,-PV,,Type))</f>
        <v/>
      </c>
      <c r="J1858" s="73" t="str">
        <f t="shared" ref="J1858:K1858" si="1848">IF($B1858="","",N(J1857)+N(H1858))</f>
        <v/>
      </c>
      <c r="K1858" s="74" t="str">
        <f t="shared" si="1848"/>
        <v/>
      </c>
      <c r="L1858" s="69" t="str">
        <f>IF($B1858="","",PV-J1858)</f>
        <v/>
      </c>
      <c r="M1858" s="71" t="str">
        <f>IF($B1858="","",J1858/PV)</f>
        <v/>
      </c>
      <c r="N1858" s="72" t="str">
        <f t="shared" si="4"/>
        <v/>
      </c>
    </row>
    <row r="1859" ht="14.25" customHeight="1">
      <c r="B1859" s="66" t="str">
        <f>IF(ROWS($1:1847)&lt;=Nper,ROWS($1:1847),"")</f>
        <v/>
      </c>
      <c r="C1859" s="67" t="str">
        <f>IF($B1859="","",IF($E$7="Weekly",Start_Date+7*(ROWS($1:1847)-1),EDATE(Start_Date,VLOOKUP(IF(ASTemp!$E$7="","Monthly",ASTemp!$E$7),Parameters!$B$3:$D$6,3,0)*(ROWS($1:1847)-1))))</f>
        <v/>
      </c>
      <c r="D1859" s="68" t="str">
        <f t="shared" si="2"/>
        <v/>
      </c>
      <c r="E1859" s="65" t="str">
        <f>IF($B1859="","",VLOOKUP(MONTH(C1859),Parameters!$F$2:$G$13,2,0))</f>
        <v/>
      </c>
      <c r="F1859" s="69" t="str">
        <f>IF($B1859="","",PV-N(J1858))</f>
        <v/>
      </c>
      <c r="G1859" s="69" t="str">
        <f>IF($B1859="","",PMT(Rate,Nper,-PV,,Type))</f>
        <v/>
      </c>
      <c r="H1859" s="69" t="str">
        <f>IF($B1859="","",PPMT(Rate,ROWS($1:1847),Nper,-PV,,Type))</f>
        <v/>
      </c>
      <c r="I1859" s="69" t="str">
        <f>IF($B1859="","",IPMT(Rate,ROWS($1:1847),Nper,-PV,,Type))</f>
        <v/>
      </c>
      <c r="J1859" s="73" t="str">
        <f t="shared" ref="J1859:K1859" si="1849">IF($B1859="","",N(J1858)+N(H1859))</f>
        <v/>
      </c>
      <c r="K1859" s="74" t="str">
        <f t="shared" si="1849"/>
        <v/>
      </c>
      <c r="L1859" s="69" t="str">
        <f>IF($B1859="","",PV-J1859)</f>
        <v/>
      </c>
      <c r="M1859" s="71" t="str">
        <f>IF($B1859="","",J1859/PV)</f>
        <v/>
      </c>
      <c r="N1859" s="72" t="str">
        <f t="shared" si="4"/>
        <v/>
      </c>
    </row>
    <row r="1860" ht="14.25" customHeight="1">
      <c r="B1860" s="66" t="str">
        <f>IF(ROWS($1:1848)&lt;=Nper,ROWS($1:1848),"")</f>
        <v/>
      </c>
      <c r="C1860" s="67" t="str">
        <f>IF($B1860="","",IF($E$7="Weekly",Start_Date+7*(ROWS($1:1848)-1),EDATE(Start_Date,VLOOKUP(IF(ASTemp!$E$7="","Monthly",ASTemp!$E$7),Parameters!$B$3:$D$6,3,0)*(ROWS($1:1848)-1))))</f>
        <v/>
      </c>
      <c r="D1860" s="68" t="str">
        <f t="shared" si="2"/>
        <v/>
      </c>
      <c r="E1860" s="65" t="str">
        <f>IF($B1860="","",VLOOKUP(MONTH(C1860),Parameters!$F$2:$G$13,2,0))</f>
        <v/>
      </c>
      <c r="F1860" s="69" t="str">
        <f>IF($B1860="","",PV-N(J1859))</f>
        <v/>
      </c>
      <c r="G1860" s="69" t="str">
        <f>IF($B1860="","",PMT(Rate,Nper,-PV,,Type))</f>
        <v/>
      </c>
      <c r="H1860" s="69" t="str">
        <f>IF($B1860="","",PPMT(Rate,ROWS($1:1848),Nper,-PV,,Type))</f>
        <v/>
      </c>
      <c r="I1860" s="69" t="str">
        <f>IF($B1860="","",IPMT(Rate,ROWS($1:1848),Nper,-PV,,Type))</f>
        <v/>
      </c>
      <c r="J1860" s="73" t="str">
        <f t="shared" ref="J1860:K1860" si="1850">IF($B1860="","",N(J1859)+N(H1860))</f>
        <v/>
      </c>
      <c r="K1860" s="74" t="str">
        <f t="shared" si="1850"/>
        <v/>
      </c>
      <c r="L1860" s="69" t="str">
        <f>IF($B1860="","",PV-J1860)</f>
        <v/>
      </c>
      <c r="M1860" s="71" t="str">
        <f>IF($B1860="","",J1860/PV)</f>
        <v/>
      </c>
      <c r="N1860" s="72" t="str">
        <f t="shared" si="4"/>
        <v/>
      </c>
    </row>
    <row r="1861" ht="14.25" customHeight="1">
      <c r="B1861" s="66" t="str">
        <f>IF(ROWS($1:1849)&lt;=Nper,ROWS($1:1849),"")</f>
        <v/>
      </c>
      <c r="C1861" s="67" t="str">
        <f>IF($B1861="","",IF($E$7="Weekly",Start_Date+7*(ROWS($1:1849)-1),EDATE(Start_Date,VLOOKUP(IF(ASTemp!$E$7="","Monthly",ASTemp!$E$7),Parameters!$B$3:$D$6,3,0)*(ROWS($1:1849)-1))))</f>
        <v/>
      </c>
      <c r="D1861" s="68" t="str">
        <f t="shared" si="2"/>
        <v/>
      </c>
      <c r="E1861" s="65" t="str">
        <f>IF($B1861="","",VLOOKUP(MONTH(C1861),Parameters!$F$2:$G$13,2,0))</f>
        <v/>
      </c>
      <c r="F1861" s="69" t="str">
        <f>IF($B1861="","",PV-N(J1860))</f>
        <v/>
      </c>
      <c r="G1861" s="69" t="str">
        <f>IF($B1861="","",PMT(Rate,Nper,-PV,,Type))</f>
        <v/>
      </c>
      <c r="H1861" s="69" t="str">
        <f>IF($B1861="","",PPMT(Rate,ROWS($1:1849),Nper,-PV,,Type))</f>
        <v/>
      </c>
      <c r="I1861" s="69" t="str">
        <f>IF($B1861="","",IPMT(Rate,ROWS($1:1849),Nper,-PV,,Type))</f>
        <v/>
      </c>
      <c r="J1861" s="73" t="str">
        <f t="shared" ref="J1861:K1861" si="1851">IF($B1861="","",N(J1860)+N(H1861))</f>
        <v/>
      </c>
      <c r="K1861" s="74" t="str">
        <f t="shared" si="1851"/>
        <v/>
      </c>
      <c r="L1861" s="69" t="str">
        <f>IF($B1861="","",PV-J1861)</f>
        <v/>
      </c>
      <c r="M1861" s="71" t="str">
        <f>IF($B1861="","",J1861/PV)</f>
        <v/>
      </c>
      <c r="N1861" s="72" t="str">
        <f t="shared" si="4"/>
        <v/>
      </c>
    </row>
    <row r="1862" ht="14.25" customHeight="1">
      <c r="B1862" s="66" t="str">
        <f>IF(ROWS($1:1850)&lt;=Nper,ROWS($1:1850),"")</f>
        <v/>
      </c>
      <c r="C1862" s="67" t="str">
        <f>IF($B1862="","",IF($E$7="Weekly",Start_Date+7*(ROWS($1:1850)-1),EDATE(Start_Date,VLOOKUP(IF(ASTemp!$E$7="","Monthly",ASTemp!$E$7),Parameters!$B$3:$D$6,3,0)*(ROWS($1:1850)-1))))</f>
        <v/>
      </c>
      <c r="D1862" s="68" t="str">
        <f t="shared" si="2"/>
        <v/>
      </c>
      <c r="E1862" s="65" t="str">
        <f>IF($B1862="","",VLOOKUP(MONTH(C1862),Parameters!$F$2:$G$13,2,0))</f>
        <v/>
      </c>
      <c r="F1862" s="69" t="str">
        <f>IF($B1862="","",PV-N(J1861))</f>
        <v/>
      </c>
      <c r="G1862" s="69" t="str">
        <f>IF($B1862="","",PMT(Rate,Nper,-PV,,Type))</f>
        <v/>
      </c>
      <c r="H1862" s="69" t="str">
        <f>IF($B1862="","",PPMT(Rate,ROWS($1:1850),Nper,-PV,,Type))</f>
        <v/>
      </c>
      <c r="I1862" s="69" t="str">
        <f>IF($B1862="","",IPMT(Rate,ROWS($1:1850),Nper,-PV,,Type))</f>
        <v/>
      </c>
      <c r="J1862" s="73" t="str">
        <f t="shared" ref="J1862:K1862" si="1852">IF($B1862="","",N(J1861)+N(H1862))</f>
        <v/>
      </c>
      <c r="K1862" s="74" t="str">
        <f t="shared" si="1852"/>
        <v/>
      </c>
      <c r="L1862" s="69" t="str">
        <f>IF($B1862="","",PV-J1862)</f>
        <v/>
      </c>
      <c r="M1862" s="71" t="str">
        <f>IF($B1862="","",J1862/PV)</f>
        <v/>
      </c>
      <c r="N1862" s="72" t="str">
        <f t="shared" si="4"/>
        <v/>
      </c>
    </row>
    <row r="1863" ht="14.25" customHeight="1">
      <c r="B1863" s="66" t="str">
        <f>IF(ROWS($1:1851)&lt;=Nper,ROWS($1:1851),"")</f>
        <v/>
      </c>
      <c r="C1863" s="67" t="str">
        <f>IF($B1863="","",IF($E$7="Weekly",Start_Date+7*(ROWS($1:1851)-1),EDATE(Start_Date,VLOOKUP(IF(ASTemp!$E$7="","Monthly",ASTemp!$E$7),Parameters!$B$3:$D$6,3,0)*(ROWS($1:1851)-1))))</f>
        <v/>
      </c>
      <c r="D1863" s="68" t="str">
        <f t="shared" si="2"/>
        <v/>
      </c>
      <c r="E1863" s="65" t="str">
        <f>IF($B1863="","",VLOOKUP(MONTH(C1863),Parameters!$F$2:$G$13,2,0))</f>
        <v/>
      </c>
      <c r="F1863" s="69" t="str">
        <f>IF($B1863="","",PV-N(J1862))</f>
        <v/>
      </c>
      <c r="G1863" s="69" t="str">
        <f>IF($B1863="","",PMT(Rate,Nper,-PV,,Type))</f>
        <v/>
      </c>
      <c r="H1863" s="69" t="str">
        <f>IF($B1863="","",PPMT(Rate,ROWS($1:1851),Nper,-PV,,Type))</f>
        <v/>
      </c>
      <c r="I1863" s="69" t="str">
        <f>IF($B1863="","",IPMT(Rate,ROWS($1:1851),Nper,-PV,,Type))</f>
        <v/>
      </c>
      <c r="J1863" s="73" t="str">
        <f t="shared" ref="J1863:K1863" si="1853">IF($B1863="","",N(J1862)+N(H1863))</f>
        <v/>
      </c>
      <c r="K1863" s="74" t="str">
        <f t="shared" si="1853"/>
        <v/>
      </c>
      <c r="L1863" s="69" t="str">
        <f>IF($B1863="","",PV-J1863)</f>
        <v/>
      </c>
      <c r="M1863" s="71" t="str">
        <f>IF($B1863="","",J1863/PV)</f>
        <v/>
      </c>
      <c r="N1863" s="72" t="str">
        <f t="shared" si="4"/>
        <v/>
      </c>
    </row>
    <row r="1864" ht="14.25" customHeight="1">
      <c r="B1864" s="66" t="str">
        <f>IF(ROWS($1:1852)&lt;=Nper,ROWS($1:1852),"")</f>
        <v/>
      </c>
      <c r="C1864" s="67" t="str">
        <f>IF($B1864="","",IF($E$7="Weekly",Start_Date+7*(ROWS($1:1852)-1),EDATE(Start_Date,VLOOKUP(IF(ASTemp!$E$7="","Monthly",ASTemp!$E$7),Parameters!$B$3:$D$6,3,0)*(ROWS($1:1852)-1))))</f>
        <v/>
      </c>
      <c r="D1864" s="68" t="str">
        <f t="shared" si="2"/>
        <v/>
      </c>
      <c r="E1864" s="65" t="str">
        <f>IF($B1864="","",VLOOKUP(MONTH(C1864),Parameters!$F$2:$G$13,2,0))</f>
        <v/>
      </c>
      <c r="F1864" s="69" t="str">
        <f>IF($B1864="","",PV-N(J1863))</f>
        <v/>
      </c>
      <c r="G1864" s="69" t="str">
        <f>IF($B1864="","",PMT(Rate,Nper,-PV,,Type))</f>
        <v/>
      </c>
      <c r="H1864" s="69" t="str">
        <f>IF($B1864="","",PPMT(Rate,ROWS($1:1852),Nper,-PV,,Type))</f>
        <v/>
      </c>
      <c r="I1864" s="69" t="str">
        <f>IF($B1864="","",IPMT(Rate,ROWS($1:1852),Nper,-PV,,Type))</f>
        <v/>
      </c>
      <c r="J1864" s="73" t="str">
        <f t="shared" ref="J1864:K1864" si="1854">IF($B1864="","",N(J1863)+N(H1864))</f>
        <v/>
      </c>
      <c r="K1864" s="74" t="str">
        <f t="shared" si="1854"/>
        <v/>
      </c>
      <c r="L1864" s="69" t="str">
        <f>IF($B1864="","",PV-J1864)</f>
        <v/>
      </c>
      <c r="M1864" s="71" t="str">
        <f>IF($B1864="","",J1864/PV)</f>
        <v/>
      </c>
      <c r="N1864" s="72" t="str">
        <f t="shared" si="4"/>
        <v/>
      </c>
    </row>
    <row r="1865" ht="14.25" customHeight="1">
      <c r="B1865" s="66" t="str">
        <f>IF(ROWS($1:1853)&lt;=Nper,ROWS($1:1853),"")</f>
        <v/>
      </c>
      <c r="C1865" s="67" t="str">
        <f>IF($B1865="","",IF($E$7="Weekly",Start_Date+7*(ROWS($1:1853)-1),EDATE(Start_Date,VLOOKUP(IF(ASTemp!$E$7="","Monthly",ASTemp!$E$7),Parameters!$B$3:$D$6,3,0)*(ROWS($1:1853)-1))))</f>
        <v/>
      </c>
      <c r="D1865" s="68" t="str">
        <f t="shared" si="2"/>
        <v/>
      </c>
      <c r="E1865" s="65" t="str">
        <f>IF($B1865="","",VLOOKUP(MONTH(C1865),Parameters!$F$2:$G$13,2,0))</f>
        <v/>
      </c>
      <c r="F1865" s="69" t="str">
        <f>IF($B1865="","",PV-N(J1864))</f>
        <v/>
      </c>
      <c r="G1865" s="69" t="str">
        <f>IF($B1865="","",PMT(Rate,Nper,-PV,,Type))</f>
        <v/>
      </c>
      <c r="H1865" s="69" t="str">
        <f>IF($B1865="","",PPMT(Rate,ROWS($1:1853),Nper,-PV,,Type))</f>
        <v/>
      </c>
      <c r="I1865" s="69" t="str">
        <f>IF($B1865="","",IPMT(Rate,ROWS($1:1853),Nper,-PV,,Type))</f>
        <v/>
      </c>
      <c r="J1865" s="73" t="str">
        <f t="shared" ref="J1865:K1865" si="1855">IF($B1865="","",N(J1864)+N(H1865))</f>
        <v/>
      </c>
      <c r="K1865" s="74" t="str">
        <f t="shared" si="1855"/>
        <v/>
      </c>
      <c r="L1865" s="69" t="str">
        <f>IF($B1865="","",PV-J1865)</f>
        <v/>
      </c>
      <c r="M1865" s="71" t="str">
        <f>IF($B1865="","",J1865/PV)</f>
        <v/>
      </c>
      <c r="N1865" s="72" t="str">
        <f t="shared" si="4"/>
        <v/>
      </c>
    </row>
    <row r="1866" ht="14.25" customHeight="1">
      <c r="B1866" s="66" t="str">
        <f>IF(ROWS($1:1854)&lt;=Nper,ROWS($1:1854),"")</f>
        <v/>
      </c>
      <c r="C1866" s="67" t="str">
        <f>IF($B1866="","",IF($E$7="Weekly",Start_Date+7*(ROWS($1:1854)-1),EDATE(Start_Date,VLOOKUP(IF(ASTemp!$E$7="","Monthly",ASTemp!$E$7),Parameters!$B$3:$D$6,3,0)*(ROWS($1:1854)-1))))</f>
        <v/>
      </c>
      <c r="D1866" s="68" t="str">
        <f t="shared" si="2"/>
        <v/>
      </c>
      <c r="E1866" s="65" t="str">
        <f>IF($B1866="","",VLOOKUP(MONTH(C1866),Parameters!$F$2:$G$13,2,0))</f>
        <v/>
      </c>
      <c r="F1866" s="69" t="str">
        <f>IF($B1866="","",PV-N(J1865))</f>
        <v/>
      </c>
      <c r="G1866" s="69" t="str">
        <f>IF($B1866="","",PMT(Rate,Nper,-PV,,Type))</f>
        <v/>
      </c>
      <c r="H1866" s="69" t="str">
        <f>IF($B1866="","",PPMT(Rate,ROWS($1:1854),Nper,-PV,,Type))</f>
        <v/>
      </c>
      <c r="I1866" s="69" t="str">
        <f>IF($B1866="","",IPMT(Rate,ROWS($1:1854),Nper,-PV,,Type))</f>
        <v/>
      </c>
      <c r="J1866" s="73" t="str">
        <f t="shared" ref="J1866:K1866" si="1856">IF($B1866="","",N(J1865)+N(H1866))</f>
        <v/>
      </c>
      <c r="K1866" s="74" t="str">
        <f t="shared" si="1856"/>
        <v/>
      </c>
      <c r="L1866" s="69" t="str">
        <f>IF($B1866="","",PV-J1866)</f>
        <v/>
      </c>
      <c r="M1866" s="71" t="str">
        <f>IF($B1866="","",J1866/PV)</f>
        <v/>
      </c>
      <c r="N1866" s="72" t="str">
        <f t="shared" si="4"/>
        <v/>
      </c>
    </row>
    <row r="1867" ht="14.25" customHeight="1">
      <c r="B1867" s="66" t="str">
        <f>IF(ROWS($1:1855)&lt;=Nper,ROWS($1:1855),"")</f>
        <v/>
      </c>
      <c r="C1867" s="67" t="str">
        <f>IF($B1867="","",IF($E$7="Weekly",Start_Date+7*(ROWS($1:1855)-1),EDATE(Start_Date,VLOOKUP(IF(ASTemp!$E$7="","Monthly",ASTemp!$E$7),Parameters!$B$3:$D$6,3,0)*(ROWS($1:1855)-1))))</f>
        <v/>
      </c>
      <c r="D1867" s="68" t="str">
        <f t="shared" si="2"/>
        <v/>
      </c>
      <c r="E1867" s="65" t="str">
        <f>IF($B1867="","",VLOOKUP(MONTH(C1867),Parameters!$F$2:$G$13,2,0))</f>
        <v/>
      </c>
      <c r="F1867" s="69" t="str">
        <f>IF($B1867="","",PV-N(J1866))</f>
        <v/>
      </c>
      <c r="G1867" s="69" t="str">
        <f>IF($B1867="","",PMT(Rate,Nper,-PV,,Type))</f>
        <v/>
      </c>
      <c r="H1867" s="69" t="str">
        <f>IF($B1867="","",PPMT(Rate,ROWS($1:1855),Nper,-PV,,Type))</f>
        <v/>
      </c>
      <c r="I1867" s="69" t="str">
        <f>IF($B1867="","",IPMT(Rate,ROWS($1:1855),Nper,-PV,,Type))</f>
        <v/>
      </c>
      <c r="J1867" s="73" t="str">
        <f t="shared" ref="J1867:K1867" si="1857">IF($B1867="","",N(J1866)+N(H1867))</f>
        <v/>
      </c>
      <c r="K1867" s="74" t="str">
        <f t="shared" si="1857"/>
        <v/>
      </c>
      <c r="L1867" s="69" t="str">
        <f>IF($B1867="","",PV-J1867)</f>
        <v/>
      </c>
      <c r="M1867" s="71" t="str">
        <f>IF($B1867="","",J1867/PV)</f>
        <v/>
      </c>
      <c r="N1867" s="72" t="str">
        <f t="shared" si="4"/>
        <v/>
      </c>
    </row>
    <row r="1868" ht="14.25" customHeight="1">
      <c r="B1868" s="66" t="str">
        <f>IF(ROWS($1:1856)&lt;=Nper,ROWS($1:1856),"")</f>
        <v/>
      </c>
      <c r="C1868" s="67" t="str">
        <f>IF($B1868="","",IF($E$7="Weekly",Start_Date+7*(ROWS($1:1856)-1),EDATE(Start_Date,VLOOKUP(IF(ASTemp!$E$7="","Monthly",ASTemp!$E$7),Parameters!$B$3:$D$6,3,0)*(ROWS($1:1856)-1))))</f>
        <v/>
      </c>
      <c r="D1868" s="68" t="str">
        <f t="shared" si="2"/>
        <v/>
      </c>
      <c r="E1868" s="65" t="str">
        <f>IF($B1868="","",VLOOKUP(MONTH(C1868),Parameters!$F$2:$G$13,2,0))</f>
        <v/>
      </c>
      <c r="F1868" s="69" t="str">
        <f>IF($B1868="","",PV-N(J1867))</f>
        <v/>
      </c>
      <c r="G1868" s="69" t="str">
        <f>IF($B1868="","",PMT(Rate,Nper,-PV,,Type))</f>
        <v/>
      </c>
      <c r="H1868" s="69" t="str">
        <f>IF($B1868="","",PPMT(Rate,ROWS($1:1856),Nper,-PV,,Type))</f>
        <v/>
      </c>
      <c r="I1868" s="69" t="str">
        <f>IF($B1868="","",IPMT(Rate,ROWS($1:1856),Nper,-PV,,Type))</f>
        <v/>
      </c>
      <c r="J1868" s="73" t="str">
        <f t="shared" ref="J1868:K1868" si="1858">IF($B1868="","",N(J1867)+N(H1868))</f>
        <v/>
      </c>
      <c r="K1868" s="74" t="str">
        <f t="shared" si="1858"/>
        <v/>
      </c>
      <c r="L1868" s="69" t="str">
        <f>IF($B1868="","",PV-J1868)</f>
        <v/>
      </c>
      <c r="M1868" s="71" t="str">
        <f>IF($B1868="","",J1868/PV)</f>
        <v/>
      </c>
      <c r="N1868" s="72" t="str">
        <f t="shared" si="4"/>
        <v/>
      </c>
    </row>
    <row r="1869" ht="14.25" customHeight="1">
      <c r="B1869" s="66" t="str">
        <f>IF(ROWS($1:1857)&lt;=Nper,ROWS($1:1857),"")</f>
        <v/>
      </c>
      <c r="C1869" s="67" t="str">
        <f>IF($B1869="","",IF($E$7="Weekly",Start_Date+7*(ROWS($1:1857)-1),EDATE(Start_Date,VLOOKUP(IF(ASTemp!$E$7="","Monthly",ASTemp!$E$7),Parameters!$B$3:$D$6,3,0)*(ROWS($1:1857)-1))))</f>
        <v/>
      </c>
      <c r="D1869" s="68" t="str">
        <f t="shared" si="2"/>
        <v/>
      </c>
      <c r="E1869" s="65" t="str">
        <f>IF($B1869="","",VLOOKUP(MONTH(C1869),Parameters!$F$2:$G$13,2,0))</f>
        <v/>
      </c>
      <c r="F1869" s="69" t="str">
        <f>IF($B1869="","",PV-N(J1868))</f>
        <v/>
      </c>
      <c r="G1869" s="69" t="str">
        <f>IF($B1869="","",PMT(Rate,Nper,-PV,,Type))</f>
        <v/>
      </c>
      <c r="H1869" s="69" t="str">
        <f>IF($B1869="","",PPMT(Rate,ROWS($1:1857),Nper,-PV,,Type))</f>
        <v/>
      </c>
      <c r="I1869" s="69" t="str">
        <f>IF($B1869="","",IPMT(Rate,ROWS($1:1857),Nper,-PV,,Type))</f>
        <v/>
      </c>
      <c r="J1869" s="73" t="str">
        <f t="shared" ref="J1869:K1869" si="1859">IF($B1869="","",N(J1868)+N(H1869))</f>
        <v/>
      </c>
      <c r="K1869" s="74" t="str">
        <f t="shared" si="1859"/>
        <v/>
      </c>
      <c r="L1869" s="69" t="str">
        <f>IF($B1869="","",PV-J1869)</f>
        <v/>
      </c>
      <c r="M1869" s="71" t="str">
        <f>IF($B1869="","",J1869/PV)</f>
        <v/>
      </c>
      <c r="N1869" s="72" t="str">
        <f t="shared" si="4"/>
        <v/>
      </c>
    </row>
    <row r="1870" ht="14.25" customHeight="1">
      <c r="B1870" s="66" t="str">
        <f>IF(ROWS($1:1858)&lt;=Nper,ROWS($1:1858),"")</f>
        <v/>
      </c>
      <c r="C1870" s="67" t="str">
        <f>IF($B1870="","",IF($E$7="Weekly",Start_Date+7*(ROWS($1:1858)-1),EDATE(Start_Date,VLOOKUP(IF(ASTemp!$E$7="","Monthly",ASTemp!$E$7),Parameters!$B$3:$D$6,3,0)*(ROWS($1:1858)-1))))</f>
        <v/>
      </c>
      <c r="D1870" s="68" t="str">
        <f t="shared" si="2"/>
        <v/>
      </c>
      <c r="E1870" s="65" t="str">
        <f>IF($B1870="","",VLOOKUP(MONTH(C1870),Parameters!$F$2:$G$13,2,0))</f>
        <v/>
      </c>
      <c r="F1870" s="69" t="str">
        <f>IF($B1870="","",PV-N(J1869))</f>
        <v/>
      </c>
      <c r="G1870" s="69" t="str">
        <f>IF($B1870="","",PMT(Rate,Nper,-PV,,Type))</f>
        <v/>
      </c>
      <c r="H1870" s="69" t="str">
        <f>IF($B1870="","",PPMT(Rate,ROWS($1:1858),Nper,-PV,,Type))</f>
        <v/>
      </c>
      <c r="I1870" s="69" t="str">
        <f>IF($B1870="","",IPMT(Rate,ROWS($1:1858),Nper,-PV,,Type))</f>
        <v/>
      </c>
      <c r="J1870" s="73" t="str">
        <f t="shared" ref="J1870:K1870" si="1860">IF($B1870="","",N(J1869)+N(H1870))</f>
        <v/>
      </c>
      <c r="K1870" s="74" t="str">
        <f t="shared" si="1860"/>
        <v/>
      </c>
      <c r="L1870" s="69" t="str">
        <f>IF($B1870="","",PV-J1870)</f>
        <v/>
      </c>
      <c r="M1870" s="71" t="str">
        <f>IF($B1870="","",J1870/PV)</f>
        <v/>
      </c>
      <c r="N1870" s="72" t="str">
        <f t="shared" si="4"/>
        <v/>
      </c>
    </row>
    <row r="1871" ht="14.25" customHeight="1">
      <c r="B1871" s="66" t="str">
        <f>IF(ROWS($1:1859)&lt;=Nper,ROWS($1:1859),"")</f>
        <v/>
      </c>
      <c r="C1871" s="67" t="str">
        <f>IF($B1871="","",IF($E$7="Weekly",Start_Date+7*(ROWS($1:1859)-1),EDATE(Start_Date,VLOOKUP(IF(ASTemp!$E$7="","Monthly",ASTemp!$E$7),Parameters!$B$3:$D$6,3,0)*(ROWS($1:1859)-1))))</f>
        <v/>
      </c>
      <c r="D1871" s="68" t="str">
        <f t="shared" si="2"/>
        <v/>
      </c>
      <c r="E1871" s="65" t="str">
        <f>IF($B1871="","",VLOOKUP(MONTH(C1871),Parameters!$F$2:$G$13,2,0))</f>
        <v/>
      </c>
      <c r="F1871" s="69" t="str">
        <f>IF($B1871="","",PV-N(J1870))</f>
        <v/>
      </c>
      <c r="G1871" s="69" t="str">
        <f>IF($B1871="","",PMT(Rate,Nper,-PV,,Type))</f>
        <v/>
      </c>
      <c r="H1871" s="69" t="str">
        <f>IF($B1871="","",PPMT(Rate,ROWS($1:1859),Nper,-PV,,Type))</f>
        <v/>
      </c>
      <c r="I1871" s="69" t="str">
        <f>IF($B1871="","",IPMT(Rate,ROWS($1:1859),Nper,-PV,,Type))</f>
        <v/>
      </c>
      <c r="J1871" s="73" t="str">
        <f t="shared" ref="J1871:K1871" si="1861">IF($B1871="","",N(J1870)+N(H1871))</f>
        <v/>
      </c>
      <c r="K1871" s="74" t="str">
        <f t="shared" si="1861"/>
        <v/>
      </c>
      <c r="L1871" s="69" t="str">
        <f>IF($B1871="","",PV-J1871)</f>
        <v/>
      </c>
      <c r="M1871" s="71" t="str">
        <f>IF($B1871="","",J1871/PV)</f>
        <v/>
      </c>
      <c r="N1871" s="72" t="str">
        <f t="shared" si="4"/>
        <v/>
      </c>
    </row>
    <row r="1872" ht="14.25" customHeight="1">
      <c r="B1872" s="66" t="str">
        <f>IF(ROWS($1:1860)&lt;=Nper,ROWS($1:1860),"")</f>
        <v/>
      </c>
      <c r="C1872" s="67" t="str">
        <f>IF($B1872="","",IF($E$7="Weekly",Start_Date+7*(ROWS($1:1860)-1),EDATE(Start_Date,VLOOKUP(IF(ASTemp!$E$7="","Monthly",ASTemp!$E$7),Parameters!$B$3:$D$6,3,0)*(ROWS($1:1860)-1))))</f>
        <v/>
      </c>
      <c r="D1872" s="68" t="str">
        <f t="shared" si="2"/>
        <v/>
      </c>
      <c r="E1872" s="65" t="str">
        <f>IF($B1872="","",VLOOKUP(MONTH(C1872),Parameters!$F$2:$G$13,2,0))</f>
        <v/>
      </c>
      <c r="F1872" s="69" t="str">
        <f>IF($B1872="","",PV-N(J1871))</f>
        <v/>
      </c>
      <c r="G1872" s="69" t="str">
        <f>IF($B1872="","",PMT(Rate,Nper,-PV,,Type))</f>
        <v/>
      </c>
      <c r="H1872" s="69" t="str">
        <f>IF($B1872="","",PPMT(Rate,ROWS($1:1860),Nper,-PV,,Type))</f>
        <v/>
      </c>
      <c r="I1872" s="69" t="str">
        <f>IF($B1872="","",IPMT(Rate,ROWS($1:1860),Nper,-PV,,Type))</f>
        <v/>
      </c>
      <c r="J1872" s="73" t="str">
        <f t="shared" ref="J1872:K1872" si="1862">IF($B1872="","",N(J1871)+N(H1872))</f>
        <v/>
      </c>
      <c r="K1872" s="74" t="str">
        <f t="shared" si="1862"/>
        <v/>
      </c>
      <c r="L1872" s="69" t="str">
        <f>IF($B1872="","",PV-J1872)</f>
        <v/>
      </c>
      <c r="M1872" s="71" t="str">
        <f>IF($B1872="","",J1872/PV)</f>
        <v/>
      </c>
      <c r="N1872" s="72" t="str">
        <f t="shared" si="4"/>
        <v/>
      </c>
    </row>
    <row r="1873" ht="14.25" customHeight="1">
      <c r="B1873" s="66" t="str">
        <f>IF(ROWS($1:1861)&lt;=Nper,ROWS($1:1861),"")</f>
        <v/>
      </c>
      <c r="C1873" s="67" t="str">
        <f>IF($B1873="","",IF($E$7="Weekly",Start_Date+7*(ROWS($1:1861)-1),EDATE(Start_Date,VLOOKUP(IF(ASTemp!$E$7="","Monthly",ASTemp!$E$7),Parameters!$B$3:$D$6,3,0)*(ROWS($1:1861)-1))))</f>
        <v/>
      </c>
      <c r="D1873" s="68" t="str">
        <f t="shared" si="2"/>
        <v/>
      </c>
      <c r="E1873" s="65" t="str">
        <f>IF($B1873="","",VLOOKUP(MONTH(C1873),Parameters!$F$2:$G$13,2,0))</f>
        <v/>
      </c>
      <c r="F1873" s="69" t="str">
        <f>IF($B1873="","",PV-N(J1872))</f>
        <v/>
      </c>
      <c r="G1873" s="69" t="str">
        <f>IF($B1873="","",PMT(Rate,Nper,-PV,,Type))</f>
        <v/>
      </c>
      <c r="H1873" s="69" t="str">
        <f>IF($B1873="","",PPMT(Rate,ROWS($1:1861),Nper,-PV,,Type))</f>
        <v/>
      </c>
      <c r="I1873" s="69" t="str">
        <f>IF($B1873="","",IPMT(Rate,ROWS($1:1861),Nper,-PV,,Type))</f>
        <v/>
      </c>
      <c r="J1873" s="73" t="str">
        <f t="shared" ref="J1873:K1873" si="1863">IF($B1873="","",N(J1872)+N(H1873))</f>
        <v/>
      </c>
      <c r="K1873" s="74" t="str">
        <f t="shared" si="1863"/>
        <v/>
      </c>
      <c r="L1873" s="69" t="str">
        <f>IF($B1873="","",PV-J1873)</f>
        <v/>
      </c>
      <c r="M1873" s="71" t="str">
        <f>IF($B1873="","",J1873/PV)</f>
        <v/>
      </c>
      <c r="N1873" s="72" t="str">
        <f t="shared" si="4"/>
        <v/>
      </c>
    </row>
    <row r="1874" ht="14.25" customHeight="1">
      <c r="B1874" s="66" t="str">
        <f>IF(ROWS($1:1862)&lt;=Nper,ROWS($1:1862),"")</f>
        <v/>
      </c>
      <c r="C1874" s="67" t="str">
        <f>IF($B1874="","",IF($E$7="Weekly",Start_Date+7*(ROWS($1:1862)-1),EDATE(Start_Date,VLOOKUP(IF(ASTemp!$E$7="","Monthly",ASTemp!$E$7),Parameters!$B$3:$D$6,3,0)*(ROWS($1:1862)-1))))</f>
        <v/>
      </c>
      <c r="D1874" s="68" t="str">
        <f t="shared" si="2"/>
        <v/>
      </c>
      <c r="E1874" s="65" t="str">
        <f>IF($B1874="","",VLOOKUP(MONTH(C1874),Parameters!$F$2:$G$13,2,0))</f>
        <v/>
      </c>
      <c r="F1874" s="69" t="str">
        <f>IF($B1874="","",PV-N(J1873))</f>
        <v/>
      </c>
      <c r="G1874" s="69" t="str">
        <f>IF($B1874="","",PMT(Rate,Nper,-PV,,Type))</f>
        <v/>
      </c>
      <c r="H1874" s="69" t="str">
        <f>IF($B1874="","",PPMT(Rate,ROWS($1:1862),Nper,-PV,,Type))</f>
        <v/>
      </c>
      <c r="I1874" s="69" t="str">
        <f>IF($B1874="","",IPMT(Rate,ROWS($1:1862),Nper,-PV,,Type))</f>
        <v/>
      </c>
      <c r="J1874" s="73" t="str">
        <f t="shared" ref="J1874:K1874" si="1864">IF($B1874="","",N(J1873)+N(H1874))</f>
        <v/>
      </c>
      <c r="K1874" s="74" t="str">
        <f t="shared" si="1864"/>
        <v/>
      </c>
      <c r="L1874" s="69" t="str">
        <f>IF($B1874="","",PV-J1874)</f>
        <v/>
      </c>
      <c r="M1874" s="71" t="str">
        <f>IF($B1874="","",J1874/PV)</f>
        <v/>
      </c>
      <c r="N1874" s="72" t="str">
        <f t="shared" si="4"/>
        <v/>
      </c>
    </row>
    <row r="1875" ht="14.25" customHeight="1">
      <c r="B1875" s="66" t="str">
        <f>IF(ROWS($1:1863)&lt;=Nper,ROWS($1:1863),"")</f>
        <v/>
      </c>
      <c r="C1875" s="67" t="str">
        <f>IF($B1875="","",IF($E$7="Weekly",Start_Date+7*(ROWS($1:1863)-1),EDATE(Start_Date,VLOOKUP(IF(ASTemp!$E$7="","Monthly",ASTemp!$E$7),Parameters!$B$3:$D$6,3,0)*(ROWS($1:1863)-1))))</f>
        <v/>
      </c>
      <c r="D1875" s="68" t="str">
        <f t="shared" si="2"/>
        <v/>
      </c>
      <c r="E1875" s="65" t="str">
        <f>IF($B1875="","",VLOOKUP(MONTH(C1875),Parameters!$F$2:$G$13,2,0))</f>
        <v/>
      </c>
      <c r="F1875" s="69" t="str">
        <f>IF($B1875="","",PV-N(J1874))</f>
        <v/>
      </c>
      <c r="G1875" s="69" t="str">
        <f>IF($B1875="","",PMT(Rate,Nper,-PV,,Type))</f>
        <v/>
      </c>
      <c r="H1875" s="69" t="str">
        <f>IF($B1875="","",PPMT(Rate,ROWS($1:1863),Nper,-PV,,Type))</f>
        <v/>
      </c>
      <c r="I1875" s="69" t="str">
        <f>IF($B1875="","",IPMT(Rate,ROWS($1:1863),Nper,-PV,,Type))</f>
        <v/>
      </c>
      <c r="J1875" s="73" t="str">
        <f t="shared" ref="J1875:K1875" si="1865">IF($B1875="","",N(J1874)+N(H1875))</f>
        <v/>
      </c>
      <c r="K1875" s="74" t="str">
        <f t="shared" si="1865"/>
        <v/>
      </c>
      <c r="L1875" s="69" t="str">
        <f>IF($B1875="","",PV-J1875)</f>
        <v/>
      </c>
      <c r="M1875" s="71" t="str">
        <f>IF($B1875="","",J1875/PV)</f>
        <v/>
      </c>
      <c r="N1875" s="72" t="str">
        <f t="shared" si="4"/>
        <v/>
      </c>
    </row>
    <row r="1876" ht="14.25" customHeight="1">
      <c r="B1876" s="66" t="str">
        <f>IF(ROWS($1:1864)&lt;=Nper,ROWS($1:1864),"")</f>
        <v/>
      </c>
      <c r="C1876" s="67" t="str">
        <f>IF($B1876="","",IF($E$7="Weekly",Start_Date+7*(ROWS($1:1864)-1),EDATE(Start_Date,VLOOKUP(IF(ASTemp!$E$7="","Monthly",ASTemp!$E$7),Parameters!$B$3:$D$6,3,0)*(ROWS($1:1864)-1))))</f>
        <v/>
      </c>
      <c r="D1876" s="68" t="str">
        <f t="shared" si="2"/>
        <v/>
      </c>
      <c r="E1876" s="65" t="str">
        <f>IF($B1876="","",VLOOKUP(MONTH(C1876),Parameters!$F$2:$G$13,2,0))</f>
        <v/>
      </c>
      <c r="F1876" s="69" t="str">
        <f>IF($B1876="","",PV-N(J1875))</f>
        <v/>
      </c>
      <c r="G1876" s="69" t="str">
        <f>IF($B1876="","",PMT(Rate,Nper,-PV,,Type))</f>
        <v/>
      </c>
      <c r="H1876" s="69" t="str">
        <f>IF($B1876="","",PPMT(Rate,ROWS($1:1864),Nper,-PV,,Type))</f>
        <v/>
      </c>
      <c r="I1876" s="69" t="str">
        <f>IF($B1876="","",IPMT(Rate,ROWS($1:1864),Nper,-PV,,Type))</f>
        <v/>
      </c>
      <c r="J1876" s="73" t="str">
        <f t="shared" ref="J1876:K1876" si="1866">IF($B1876="","",N(J1875)+N(H1876))</f>
        <v/>
      </c>
      <c r="K1876" s="74" t="str">
        <f t="shared" si="1866"/>
        <v/>
      </c>
      <c r="L1876" s="69" t="str">
        <f>IF($B1876="","",PV-J1876)</f>
        <v/>
      </c>
      <c r="M1876" s="71" t="str">
        <f>IF($B1876="","",J1876/PV)</f>
        <v/>
      </c>
      <c r="N1876" s="72" t="str">
        <f t="shared" si="4"/>
        <v/>
      </c>
    </row>
    <row r="1877" ht="14.25" customHeight="1">
      <c r="B1877" s="66" t="str">
        <f>IF(ROWS($1:1865)&lt;=Nper,ROWS($1:1865),"")</f>
        <v/>
      </c>
      <c r="C1877" s="67" t="str">
        <f>IF($B1877="","",IF($E$7="Weekly",Start_Date+7*(ROWS($1:1865)-1),EDATE(Start_Date,VLOOKUP(IF(ASTemp!$E$7="","Monthly",ASTemp!$E$7),Parameters!$B$3:$D$6,3,0)*(ROWS($1:1865)-1))))</f>
        <v/>
      </c>
      <c r="D1877" s="68" t="str">
        <f t="shared" si="2"/>
        <v/>
      </c>
      <c r="E1877" s="65" t="str">
        <f>IF($B1877="","",VLOOKUP(MONTH(C1877),Parameters!$F$2:$G$13,2,0))</f>
        <v/>
      </c>
      <c r="F1877" s="69" t="str">
        <f>IF($B1877="","",PV-N(J1876))</f>
        <v/>
      </c>
      <c r="G1877" s="69" t="str">
        <f>IF($B1877="","",PMT(Rate,Nper,-PV,,Type))</f>
        <v/>
      </c>
      <c r="H1877" s="69" t="str">
        <f>IF($B1877="","",PPMT(Rate,ROWS($1:1865),Nper,-PV,,Type))</f>
        <v/>
      </c>
      <c r="I1877" s="69" t="str">
        <f>IF($B1877="","",IPMT(Rate,ROWS($1:1865),Nper,-PV,,Type))</f>
        <v/>
      </c>
      <c r="J1877" s="73" t="str">
        <f t="shared" ref="J1877:K1877" si="1867">IF($B1877="","",N(J1876)+N(H1877))</f>
        <v/>
      </c>
      <c r="K1877" s="74" t="str">
        <f t="shared" si="1867"/>
        <v/>
      </c>
      <c r="L1877" s="69" t="str">
        <f>IF($B1877="","",PV-J1877)</f>
        <v/>
      </c>
      <c r="M1877" s="71" t="str">
        <f>IF($B1877="","",J1877/PV)</f>
        <v/>
      </c>
      <c r="N1877" s="72" t="str">
        <f t="shared" si="4"/>
        <v/>
      </c>
    </row>
    <row r="1878" ht="14.25" customHeight="1">
      <c r="B1878" s="66" t="str">
        <f>IF(ROWS($1:1866)&lt;=Nper,ROWS($1:1866),"")</f>
        <v/>
      </c>
      <c r="C1878" s="67" t="str">
        <f>IF($B1878="","",IF($E$7="Weekly",Start_Date+7*(ROWS($1:1866)-1),EDATE(Start_Date,VLOOKUP(IF(ASTemp!$E$7="","Monthly",ASTemp!$E$7),Parameters!$B$3:$D$6,3,0)*(ROWS($1:1866)-1))))</f>
        <v/>
      </c>
      <c r="D1878" s="68" t="str">
        <f t="shared" si="2"/>
        <v/>
      </c>
      <c r="E1878" s="65" t="str">
        <f>IF($B1878="","",VLOOKUP(MONTH(C1878),Parameters!$F$2:$G$13,2,0))</f>
        <v/>
      </c>
      <c r="F1878" s="69" t="str">
        <f>IF($B1878="","",PV-N(J1877))</f>
        <v/>
      </c>
      <c r="G1878" s="69" t="str">
        <f>IF($B1878="","",PMT(Rate,Nper,-PV,,Type))</f>
        <v/>
      </c>
      <c r="H1878" s="69" t="str">
        <f>IF($B1878="","",PPMT(Rate,ROWS($1:1866),Nper,-PV,,Type))</f>
        <v/>
      </c>
      <c r="I1878" s="69" t="str">
        <f>IF($B1878="","",IPMT(Rate,ROWS($1:1866),Nper,-PV,,Type))</f>
        <v/>
      </c>
      <c r="J1878" s="73" t="str">
        <f t="shared" ref="J1878:K1878" si="1868">IF($B1878="","",N(J1877)+N(H1878))</f>
        <v/>
      </c>
      <c r="K1878" s="74" t="str">
        <f t="shared" si="1868"/>
        <v/>
      </c>
      <c r="L1878" s="69" t="str">
        <f>IF($B1878="","",PV-J1878)</f>
        <v/>
      </c>
      <c r="M1878" s="71" t="str">
        <f>IF($B1878="","",J1878/PV)</f>
        <v/>
      </c>
      <c r="N1878" s="72" t="str">
        <f t="shared" si="4"/>
        <v/>
      </c>
    </row>
    <row r="1879" ht="14.25" customHeight="1">
      <c r="B1879" s="66" t="str">
        <f>IF(ROWS($1:1867)&lt;=Nper,ROWS($1:1867),"")</f>
        <v/>
      </c>
      <c r="C1879" s="67" t="str">
        <f>IF($B1879="","",IF($E$7="Weekly",Start_Date+7*(ROWS($1:1867)-1),EDATE(Start_Date,VLOOKUP(IF(ASTemp!$E$7="","Monthly",ASTemp!$E$7),Parameters!$B$3:$D$6,3,0)*(ROWS($1:1867)-1))))</f>
        <v/>
      </c>
      <c r="D1879" s="68" t="str">
        <f t="shared" si="2"/>
        <v/>
      </c>
      <c r="E1879" s="65" t="str">
        <f>IF($B1879="","",VLOOKUP(MONTH(C1879),Parameters!$F$2:$G$13,2,0))</f>
        <v/>
      </c>
      <c r="F1879" s="69" t="str">
        <f>IF($B1879="","",PV-N(J1878))</f>
        <v/>
      </c>
      <c r="G1879" s="69" t="str">
        <f>IF($B1879="","",PMT(Rate,Nper,-PV,,Type))</f>
        <v/>
      </c>
      <c r="H1879" s="69" t="str">
        <f>IF($B1879="","",PPMT(Rate,ROWS($1:1867),Nper,-PV,,Type))</f>
        <v/>
      </c>
      <c r="I1879" s="69" t="str">
        <f>IF($B1879="","",IPMT(Rate,ROWS($1:1867),Nper,-PV,,Type))</f>
        <v/>
      </c>
      <c r="J1879" s="73" t="str">
        <f t="shared" ref="J1879:K1879" si="1869">IF($B1879="","",N(J1878)+N(H1879))</f>
        <v/>
      </c>
      <c r="K1879" s="74" t="str">
        <f t="shared" si="1869"/>
        <v/>
      </c>
      <c r="L1879" s="69" t="str">
        <f>IF($B1879="","",PV-J1879)</f>
        <v/>
      </c>
      <c r="M1879" s="71" t="str">
        <f>IF($B1879="","",J1879/PV)</f>
        <v/>
      </c>
      <c r="N1879" s="72" t="str">
        <f t="shared" si="4"/>
        <v/>
      </c>
    </row>
    <row r="1880" ht="14.25" customHeight="1">
      <c r="B1880" s="66" t="str">
        <f>IF(ROWS($1:1868)&lt;=Nper,ROWS($1:1868),"")</f>
        <v/>
      </c>
      <c r="C1880" s="67" t="str">
        <f>IF($B1880="","",IF($E$7="Weekly",Start_Date+7*(ROWS($1:1868)-1),EDATE(Start_Date,VLOOKUP(IF(ASTemp!$E$7="","Monthly",ASTemp!$E$7),Parameters!$B$3:$D$6,3,0)*(ROWS($1:1868)-1))))</f>
        <v/>
      </c>
      <c r="D1880" s="68" t="str">
        <f t="shared" si="2"/>
        <v/>
      </c>
      <c r="E1880" s="65" t="str">
        <f>IF($B1880="","",VLOOKUP(MONTH(C1880),Parameters!$F$2:$G$13,2,0))</f>
        <v/>
      </c>
      <c r="F1880" s="69" t="str">
        <f>IF($B1880="","",PV-N(J1879))</f>
        <v/>
      </c>
      <c r="G1880" s="69" t="str">
        <f>IF($B1880="","",PMT(Rate,Nper,-PV,,Type))</f>
        <v/>
      </c>
      <c r="H1880" s="69" t="str">
        <f>IF($B1880="","",PPMT(Rate,ROWS($1:1868),Nper,-PV,,Type))</f>
        <v/>
      </c>
      <c r="I1880" s="69" t="str">
        <f>IF($B1880="","",IPMT(Rate,ROWS($1:1868),Nper,-PV,,Type))</f>
        <v/>
      </c>
      <c r="J1880" s="73" t="str">
        <f t="shared" ref="J1880:K1880" si="1870">IF($B1880="","",N(J1879)+N(H1880))</f>
        <v/>
      </c>
      <c r="K1880" s="74" t="str">
        <f t="shared" si="1870"/>
        <v/>
      </c>
      <c r="L1880" s="69" t="str">
        <f>IF($B1880="","",PV-J1880)</f>
        <v/>
      </c>
      <c r="M1880" s="71" t="str">
        <f>IF($B1880="","",J1880/PV)</f>
        <v/>
      </c>
      <c r="N1880" s="72" t="str">
        <f t="shared" si="4"/>
        <v/>
      </c>
    </row>
    <row r="1881" ht="14.25" customHeight="1">
      <c r="B1881" s="66" t="str">
        <f>IF(ROWS($1:1869)&lt;=Nper,ROWS($1:1869),"")</f>
        <v/>
      </c>
      <c r="C1881" s="67" t="str">
        <f>IF($B1881="","",IF($E$7="Weekly",Start_Date+7*(ROWS($1:1869)-1),EDATE(Start_Date,VLOOKUP(IF(ASTemp!$E$7="","Monthly",ASTemp!$E$7),Parameters!$B$3:$D$6,3,0)*(ROWS($1:1869)-1))))</f>
        <v/>
      </c>
      <c r="D1881" s="68" t="str">
        <f t="shared" si="2"/>
        <v/>
      </c>
      <c r="E1881" s="65" t="str">
        <f>IF($B1881="","",VLOOKUP(MONTH(C1881),Parameters!$F$2:$G$13,2,0))</f>
        <v/>
      </c>
      <c r="F1881" s="69" t="str">
        <f>IF($B1881="","",PV-N(J1880))</f>
        <v/>
      </c>
      <c r="G1881" s="69" t="str">
        <f>IF($B1881="","",PMT(Rate,Nper,-PV,,Type))</f>
        <v/>
      </c>
      <c r="H1881" s="69" t="str">
        <f>IF($B1881="","",PPMT(Rate,ROWS($1:1869),Nper,-PV,,Type))</f>
        <v/>
      </c>
      <c r="I1881" s="69" t="str">
        <f>IF($B1881="","",IPMT(Rate,ROWS($1:1869),Nper,-PV,,Type))</f>
        <v/>
      </c>
      <c r="J1881" s="73" t="str">
        <f t="shared" ref="J1881:K1881" si="1871">IF($B1881="","",N(J1880)+N(H1881))</f>
        <v/>
      </c>
      <c r="K1881" s="74" t="str">
        <f t="shared" si="1871"/>
        <v/>
      </c>
      <c r="L1881" s="69" t="str">
        <f>IF($B1881="","",PV-J1881)</f>
        <v/>
      </c>
      <c r="M1881" s="71" t="str">
        <f>IF($B1881="","",J1881/PV)</f>
        <v/>
      </c>
      <c r="N1881" s="72" t="str">
        <f t="shared" si="4"/>
        <v/>
      </c>
    </row>
    <row r="1882" ht="14.25" customHeight="1">
      <c r="B1882" s="66" t="str">
        <f>IF(ROWS($1:1870)&lt;=Nper,ROWS($1:1870),"")</f>
        <v/>
      </c>
      <c r="C1882" s="67" t="str">
        <f>IF($B1882="","",IF($E$7="Weekly",Start_Date+7*(ROWS($1:1870)-1),EDATE(Start_Date,VLOOKUP(IF(ASTemp!$E$7="","Monthly",ASTemp!$E$7),Parameters!$B$3:$D$6,3,0)*(ROWS($1:1870)-1))))</f>
        <v/>
      </c>
      <c r="D1882" s="68" t="str">
        <f t="shared" si="2"/>
        <v/>
      </c>
      <c r="E1882" s="65" t="str">
        <f>IF($B1882="","",VLOOKUP(MONTH(C1882),Parameters!$F$2:$G$13,2,0))</f>
        <v/>
      </c>
      <c r="F1882" s="69" t="str">
        <f>IF($B1882="","",PV-N(J1881))</f>
        <v/>
      </c>
      <c r="G1882" s="69" t="str">
        <f>IF($B1882="","",PMT(Rate,Nper,-PV,,Type))</f>
        <v/>
      </c>
      <c r="H1882" s="69" t="str">
        <f>IF($B1882="","",PPMT(Rate,ROWS($1:1870),Nper,-PV,,Type))</f>
        <v/>
      </c>
      <c r="I1882" s="69" t="str">
        <f>IF($B1882="","",IPMT(Rate,ROWS($1:1870),Nper,-PV,,Type))</f>
        <v/>
      </c>
      <c r="J1882" s="73" t="str">
        <f t="shared" ref="J1882:K1882" si="1872">IF($B1882="","",N(J1881)+N(H1882))</f>
        <v/>
      </c>
      <c r="K1882" s="74" t="str">
        <f t="shared" si="1872"/>
        <v/>
      </c>
      <c r="L1882" s="69" t="str">
        <f>IF($B1882="","",PV-J1882)</f>
        <v/>
      </c>
      <c r="M1882" s="71" t="str">
        <f>IF($B1882="","",J1882/PV)</f>
        <v/>
      </c>
      <c r="N1882" s="72" t="str">
        <f t="shared" si="4"/>
        <v/>
      </c>
    </row>
    <row r="1883" ht="14.25" customHeight="1">
      <c r="B1883" s="66" t="str">
        <f>IF(ROWS($1:1871)&lt;=Nper,ROWS($1:1871),"")</f>
        <v/>
      </c>
      <c r="C1883" s="67" t="str">
        <f>IF($B1883="","",IF($E$7="Weekly",Start_Date+7*(ROWS($1:1871)-1),EDATE(Start_Date,VLOOKUP(IF(ASTemp!$E$7="","Monthly",ASTemp!$E$7),Parameters!$B$3:$D$6,3,0)*(ROWS($1:1871)-1))))</f>
        <v/>
      </c>
      <c r="D1883" s="68" t="str">
        <f t="shared" si="2"/>
        <v/>
      </c>
      <c r="E1883" s="65" t="str">
        <f>IF($B1883="","",VLOOKUP(MONTH(C1883),Parameters!$F$2:$G$13,2,0))</f>
        <v/>
      </c>
      <c r="F1883" s="69" t="str">
        <f>IF($B1883="","",PV-N(J1882))</f>
        <v/>
      </c>
      <c r="G1883" s="69" t="str">
        <f>IF($B1883="","",PMT(Rate,Nper,-PV,,Type))</f>
        <v/>
      </c>
      <c r="H1883" s="69" t="str">
        <f>IF($B1883="","",PPMT(Rate,ROWS($1:1871),Nper,-PV,,Type))</f>
        <v/>
      </c>
      <c r="I1883" s="69" t="str">
        <f>IF($B1883="","",IPMT(Rate,ROWS($1:1871),Nper,-PV,,Type))</f>
        <v/>
      </c>
      <c r="J1883" s="73" t="str">
        <f t="shared" ref="J1883:K1883" si="1873">IF($B1883="","",N(J1882)+N(H1883))</f>
        <v/>
      </c>
      <c r="K1883" s="74" t="str">
        <f t="shared" si="1873"/>
        <v/>
      </c>
      <c r="L1883" s="69" t="str">
        <f>IF($B1883="","",PV-J1883)</f>
        <v/>
      </c>
      <c r="M1883" s="71" t="str">
        <f>IF($B1883="","",J1883/PV)</f>
        <v/>
      </c>
      <c r="N1883" s="72" t="str">
        <f t="shared" si="4"/>
        <v/>
      </c>
    </row>
    <row r="1884" ht="14.25" customHeight="1">
      <c r="B1884" s="66" t="str">
        <f>IF(ROWS($1:1872)&lt;=Nper,ROWS($1:1872),"")</f>
        <v/>
      </c>
      <c r="C1884" s="67" t="str">
        <f>IF($B1884="","",IF($E$7="Weekly",Start_Date+7*(ROWS($1:1872)-1),EDATE(Start_Date,VLOOKUP(IF(ASTemp!$E$7="","Monthly",ASTemp!$E$7),Parameters!$B$3:$D$6,3,0)*(ROWS($1:1872)-1))))</f>
        <v/>
      </c>
      <c r="D1884" s="68" t="str">
        <f t="shared" si="2"/>
        <v/>
      </c>
      <c r="E1884" s="65" t="str">
        <f>IF($B1884="","",VLOOKUP(MONTH(C1884),Parameters!$F$2:$G$13,2,0))</f>
        <v/>
      </c>
      <c r="F1884" s="69" t="str">
        <f>IF($B1884="","",PV-N(J1883))</f>
        <v/>
      </c>
      <c r="G1884" s="69" t="str">
        <f>IF($B1884="","",PMT(Rate,Nper,-PV,,Type))</f>
        <v/>
      </c>
      <c r="H1884" s="69" t="str">
        <f>IF($B1884="","",PPMT(Rate,ROWS($1:1872),Nper,-PV,,Type))</f>
        <v/>
      </c>
      <c r="I1884" s="69" t="str">
        <f>IF($B1884="","",IPMT(Rate,ROWS($1:1872),Nper,-PV,,Type))</f>
        <v/>
      </c>
      <c r="J1884" s="73" t="str">
        <f t="shared" ref="J1884:K1884" si="1874">IF($B1884="","",N(J1883)+N(H1884))</f>
        <v/>
      </c>
      <c r="K1884" s="74" t="str">
        <f t="shared" si="1874"/>
        <v/>
      </c>
      <c r="L1884" s="69" t="str">
        <f>IF($B1884="","",PV-J1884)</f>
        <v/>
      </c>
      <c r="M1884" s="71" t="str">
        <f>IF($B1884="","",J1884/PV)</f>
        <v/>
      </c>
      <c r="N1884" s="72" t="str">
        <f t="shared" si="4"/>
        <v/>
      </c>
    </row>
    <row r="1885" ht="14.25" customHeight="1">
      <c r="B1885" s="66" t="str">
        <f>IF(ROWS($1:1873)&lt;=Nper,ROWS($1:1873),"")</f>
        <v/>
      </c>
      <c r="C1885" s="67" t="str">
        <f>IF($B1885="","",IF($E$7="Weekly",Start_Date+7*(ROWS($1:1873)-1),EDATE(Start_Date,VLOOKUP(IF(ASTemp!$E$7="","Monthly",ASTemp!$E$7),Parameters!$B$3:$D$6,3,0)*(ROWS($1:1873)-1))))</f>
        <v/>
      </c>
      <c r="D1885" s="68" t="str">
        <f t="shared" si="2"/>
        <v/>
      </c>
      <c r="E1885" s="65" t="str">
        <f>IF($B1885="","",VLOOKUP(MONTH(C1885),Parameters!$F$2:$G$13,2,0))</f>
        <v/>
      </c>
      <c r="F1885" s="69" t="str">
        <f>IF($B1885="","",PV-N(J1884))</f>
        <v/>
      </c>
      <c r="G1885" s="69" t="str">
        <f>IF($B1885="","",PMT(Rate,Nper,-PV,,Type))</f>
        <v/>
      </c>
      <c r="H1885" s="69" t="str">
        <f>IF($B1885="","",PPMT(Rate,ROWS($1:1873),Nper,-PV,,Type))</f>
        <v/>
      </c>
      <c r="I1885" s="69" t="str">
        <f>IF($B1885="","",IPMT(Rate,ROWS($1:1873),Nper,-PV,,Type))</f>
        <v/>
      </c>
      <c r="J1885" s="73" t="str">
        <f t="shared" ref="J1885:K1885" si="1875">IF($B1885="","",N(J1884)+N(H1885))</f>
        <v/>
      </c>
      <c r="K1885" s="74" t="str">
        <f t="shared" si="1875"/>
        <v/>
      </c>
      <c r="L1885" s="69" t="str">
        <f>IF($B1885="","",PV-J1885)</f>
        <v/>
      </c>
      <c r="M1885" s="71" t="str">
        <f>IF($B1885="","",J1885/PV)</f>
        <v/>
      </c>
      <c r="N1885" s="72" t="str">
        <f t="shared" si="4"/>
        <v/>
      </c>
    </row>
    <row r="1886" ht="14.25" customHeight="1">
      <c r="B1886" s="66" t="str">
        <f>IF(ROWS($1:1874)&lt;=Nper,ROWS($1:1874),"")</f>
        <v/>
      </c>
      <c r="C1886" s="67" t="str">
        <f>IF($B1886="","",IF($E$7="Weekly",Start_Date+7*(ROWS($1:1874)-1),EDATE(Start_Date,VLOOKUP(IF(ASTemp!$E$7="","Monthly",ASTemp!$E$7),Parameters!$B$3:$D$6,3,0)*(ROWS($1:1874)-1))))</f>
        <v/>
      </c>
      <c r="D1886" s="68" t="str">
        <f t="shared" si="2"/>
        <v/>
      </c>
      <c r="E1886" s="65" t="str">
        <f>IF($B1886="","",VLOOKUP(MONTH(C1886),Parameters!$F$2:$G$13,2,0))</f>
        <v/>
      </c>
      <c r="F1886" s="69" t="str">
        <f>IF($B1886="","",PV-N(J1885))</f>
        <v/>
      </c>
      <c r="G1886" s="69" t="str">
        <f>IF($B1886="","",PMT(Rate,Nper,-PV,,Type))</f>
        <v/>
      </c>
      <c r="H1886" s="69" t="str">
        <f>IF($B1886="","",PPMT(Rate,ROWS($1:1874),Nper,-PV,,Type))</f>
        <v/>
      </c>
      <c r="I1886" s="69" t="str">
        <f>IF($B1886="","",IPMT(Rate,ROWS($1:1874),Nper,-PV,,Type))</f>
        <v/>
      </c>
      <c r="J1886" s="73" t="str">
        <f t="shared" ref="J1886:K1886" si="1876">IF($B1886="","",N(J1885)+N(H1886))</f>
        <v/>
      </c>
      <c r="K1886" s="74" t="str">
        <f t="shared" si="1876"/>
        <v/>
      </c>
      <c r="L1886" s="69" t="str">
        <f>IF($B1886="","",PV-J1886)</f>
        <v/>
      </c>
      <c r="M1886" s="71" t="str">
        <f>IF($B1886="","",J1886/PV)</f>
        <v/>
      </c>
      <c r="N1886" s="72" t="str">
        <f t="shared" si="4"/>
        <v/>
      </c>
    </row>
    <row r="1887" ht="14.25" customHeight="1">
      <c r="B1887" s="66" t="str">
        <f>IF(ROWS($1:1875)&lt;=Nper,ROWS($1:1875),"")</f>
        <v/>
      </c>
      <c r="C1887" s="67" t="str">
        <f>IF($B1887="","",IF($E$7="Weekly",Start_Date+7*(ROWS($1:1875)-1),EDATE(Start_Date,VLOOKUP(IF(ASTemp!$E$7="","Monthly",ASTemp!$E$7),Parameters!$B$3:$D$6,3,0)*(ROWS($1:1875)-1))))</f>
        <v/>
      </c>
      <c r="D1887" s="68" t="str">
        <f t="shared" si="2"/>
        <v/>
      </c>
      <c r="E1887" s="65" t="str">
        <f>IF($B1887="","",VLOOKUP(MONTH(C1887),Parameters!$F$2:$G$13,2,0))</f>
        <v/>
      </c>
      <c r="F1887" s="69" t="str">
        <f>IF($B1887="","",PV-N(J1886))</f>
        <v/>
      </c>
      <c r="G1887" s="69" t="str">
        <f>IF($B1887="","",PMT(Rate,Nper,-PV,,Type))</f>
        <v/>
      </c>
      <c r="H1887" s="69" t="str">
        <f>IF($B1887="","",PPMT(Rate,ROWS($1:1875),Nper,-PV,,Type))</f>
        <v/>
      </c>
      <c r="I1887" s="69" t="str">
        <f>IF($B1887="","",IPMT(Rate,ROWS($1:1875),Nper,-PV,,Type))</f>
        <v/>
      </c>
      <c r="J1887" s="73" t="str">
        <f t="shared" ref="J1887:K1887" si="1877">IF($B1887="","",N(J1886)+N(H1887))</f>
        <v/>
      </c>
      <c r="K1887" s="74" t="str">
        <f t="shared" si="1877"/>
        <v/>
      </c>
      <c r="L1887" s="69" t="str">
        <f>IF($B1887="","",PV-J1887)</f>
        <v/>
      </c>
      <c r="M1887" s="71" t="str">
        <f>IF($B1887="","",J1887/PV)</f>
        <v/>
      </c>
      <c r="N1887" s="72" t="str">
        <f t="shared" si="4"/>
        <v/>
      </c>
    </row>
    <row r="1888" ht="14.25" customHeight="1">
      <c r="B1888" s="66" t="str">
        <f>IF(ROWS($1:1876)&lt;=Nper,ROWS($1:1876),"")</f>
        <v/>
      </c>
      <c r="C1888" s="67" t="str">
        <f>IF($B1888="","",IF($E$7="Weekly",Start_Date+7*(ROWS($1:1876)-1),EDATE(Start_Date,VLOOKUP(IF(ASTemp!$E$7="","Monthly",ASTemp!$E$7),Parameters!$B$3:$D$6,3,0)*(ROWS($1:1876)-1))))</f>
        <v/>
      </c>
      <c r="D1888" s="68" t="str">
        <f t="shared" si="2"/>
        <v/>
      </c>
      <c r="E1888" s="65" t="str">
        <f>IF($B1888="","",VLOOKUP(MONTH(C1888),Parameters!$F$2:$G$13,2,0))</f>
        <v/>
      </c>
      <c r="F1888" s="69" t="str">
        <f>IF($B1888="","",PV-N(J1887))</f>
        <v/>
      </c>
      <c r="G1888" s="69" t="str">
        <f>IF($B1888="","",PMT(Rate,Nper,-PV,,Type))</f>
        <v/>
      </c>
      <c r="H1888" s="69" t="str">
        <f>IF($B1888="","",PPMT(Rate,ROWS($1:1876),Nper,-PV,,Type))</f>
        <v/>
      </c>
      <c r="I1888" s="69" t="str">
        <f>IF($B1888="","",IPMT(Rate,ROWS($1:1876),Nper,-PV,,Type))</f>
        <v/>
      </c>
      <c r="J1888" s="73" t="str">
        <f t="shared" ref="J1888:K1888" si="1878">IF($B1888="","",N(J1887)+N(H1888))</f>
        <v/>
      </c>
      <c r="K1888" s="74" t="str">
        <f t="shared" si="1878"/>
        <v/>
      </c>
      <c r="L1888" s="69" t="str">
        <f>IF($B1888="","",PV-J1888)</f>
        <v/>
      </c>
      <c r="M1888" s="71" t="str">
        <f>IF($B1888="","",J1888/PV)</f>
        <v/>
      </c>
      <c r="N1888" s="72" t="str">
        <f t="shared" si="4"/>
        <v/>
      </c>
    </row>
    <row r="1889" ht="14.25" customHeight="1">
      <c r="B1889" s="66" t="str">
        <f>IF(ROWS($1:1877)&lt;=Nper,ROWS($1:1877),"")</f>
        <v/>
      </c>
      <c r="C1889" s="67" t="str">
        <f>IF($B1889="","",IF($E$7="Weekly",Start_Date+7*(ROWS($1:1877)-1),EDATE(Start_Date,VLOOKUP(IF(ASTemp!$E$7="","Monthly",ASTemp!$E$7),Parameters!$B$3:$D$6,3,0)*(ROWS($1:1877)-1))))</f>
        <v/>
      </c>
      <c r="D1889" s="68" t="str">
        <f t="shared" si="2"/>
        <v/>
      </c>
      <c r="E1889" s="65" t="str">
        <f>IF($B1889="","",VLOOKUP(MONTH(C1889),Parameters!$F$2:$G$13,2,0))</f>
        <v/>
      </c>
      <c r="F1889" s="69" t="str">
        <f>IF($B1889="","",PV-N(J1888))</f>
        <v/>
      </c>
      <c r="G1889" s="69" t="str">
        <f>IF($B1889="","",PMT(Rate,Nper,-PV,,Type))</f>
        <v/>
      </c>
      <c r="H1889" s="69" t="str">
        <f>IF($B1889="","",PPMT(Rate,ROWS($1:1877),Nper,-PV,,Type))</f>
        <v/>
      </c>
      <c r="I1889" s="69" t="str">
        <f>IF($B1889="","",IPMT(Rate,ROWS($1:1877),Nper,-PV,,Type))</f>
        <v/>
      </c>
      <c r="J1889" s="73" t="str">
        <f t="shared" ref="J1889:K1889" si="1879">IF($B1889="","",N(J1888)+N(H1889))</f>
        <v/>
      </c>
      <c r="K1889" s="74" t="str">
        <f t="shared" si="1879"/>
        <v/>
      </c>
      <c r="L1889" s="69" t="str">
        <f>IF($B1889="","",PV-J1889)</f>
        <v/>
      </c>
      <c r="M1889" s="71" t="str">
        <f>IF($B1889="","",J1889/PV)</f>
        <v/>
      </c>
      <c r="N1889" s="72" t="str">
        <f t="shared" si="4"/>
        <v/>
      </c>
    </row>
    <row r="1890" ht="14.25" customHeight="1">
      <c r="B1890" s="66" t="str">
        <f>IF(ROWS($1:1878)&lt;=Nper,ROWS($1:1878),"")</f>
        <v/>
      </c>
      <c r="C1890" s="67" t="str">
        <f>IF($B1890="","",IF($E$7="Weekly",Start_Date+7*(ROWS($1:1878)-1),EDATE(Start_Date,VLOOKUP(IF(ASTemp!$E$7="","Monthly",ASTemp!$E$7),Parameters!$B$3:$D$6,3,0)*(ROWS($1:1878)-1))))</f>
        <v/>
      </c>
      <c r="D1890" s="68" t="str">
        <f t="shared" si="2"/>
        <v/>
      </c>
      <c r="E1890" s="65" t="str">
        <f>IF($B1890="","",VLOOKUP(MONTH(C1890),Parameters!$F$2:$G$13,2,0))</f>
        <v/>
      </c>
      <c r="F1890" s="69" t="str">
        <f>IF($B1890="","",PV-N(J1889))</f>
        <v/>
      </c>
      <c r="G1890" s="69" t="str">
        <f>IF($B1890="","",PMT(Rate,Nper,-PV,,Type))</f>
        <v/>
      </c>
      <c r="H1890" s="69" t="str">
        <f>IF($B1890="","",PPMT(Rate,ROWS($1:1878),Nper,-PV,,Type))</f>
        <v/>
      </c>
      <c r="I1890" s="69" t="str">
        <f>IF($B1890="","",IPMT(Rate,ROWS($1:1878),Nper,-PV,,Type))</f>
        <v/>
      </c>
      <c r="J1890" s="73" t="str">
        <f t="shared" ref="J1890:K1890" si="1880">IF($B1890="","",N(J1889)+N(H1890))</f>
        <v/>
      </c>
      <c r="K1890" s="74" t="str">
        <f t="shared" si="1880"/>
        <v/>
      </c>
      <c r="L1890" s="69" t="str">
        <f>IF($B1890="","",PV-J1890)</f>
        <v/>
      </c>
      <c r="M1890" s="71" t="str">
        <f>IF($B1890="","",J1890/PV)</f>
        <v/>
      </c>
      <c r="N1890" s="72" t="str">
        <f t="shared" si="4"/>
        <v/>
      </c>
    </row>
    <row r="1891" ht="14.25" customHeight="1">
      <c r="B1891" s="66" t="str">
        <f>IF(ROWS($1:1879)&lt;=Nper,ROWS($1:1879),"")</f>
        <v/>
      </c>
      <c r="C1891" s="67" t="str">
        <f>IF($B1891="","",IF($E$7="Weekly",Start_Date+7*(ROWS($1:1879)-1),EDATE(Start_Date,VLOOKUP(IF(ASTemp!$E$7="","Monthly",ASTemp!$E$7),Parameters!$B$3:$D$6,3,0)*(ROWS($1:1879)-1))))</f>
        <v/>
      </c>
      <c r="D1891" s="68" t="str">
        <f t="shared" si="2"/>
        <v/>
      </c>
      <c r="E1891" s="65" t="str">
        <f>IF($B1891="","",VLOOKUP(MONTH(C1891),Parameters!$F$2:$G$13,2,0))</f>
        <v/>
      </c>
      <c r="F1891" s="69" t="str">
        <f>IF($B1891="","",PV-N(J1890))</f>
        <v/>
      </c>
      <c r="G1891" s="69" t="str">
        <f>IF($B1891="","",PMT(Rate,Nper,-PV,,Type))</f>
        <v/>
      </c>
      <c r="H1891" s="69" t="str">
        <f>IF($B1891="","",PPMT(Rate,ROWS($1:1879),Nper,-PV,,Type))</f>
        <v/>
      </c>
      <c r="I1891" s="69" t="str">
        <f>IF($B1891="","",IPMT(Rate,ROWS($1:1879),Nper,-PV,,Type))</f>
        <v/>
      </c>
      <c r="J1891" s="73" t="str">
        <f t="shared" ref="J1891:K1891" si="1881">IF($B1891="","",N(J1890)+N(H1891))</f>
        <v/>
      </c>
      <c r="K1891" s="74" t="str">
        <f t="shared" si="1881"/>
        <v/>
      </c>
      <c r="L1891" s="69" t="str">
        <f>IF($B1891="","",PV-J1891)</f>
        <v/>
      </c>
      <c r="M1891" s="71" t="str">
        <f>IF($B1891="","",J1891/PV)</f>
        <v/>
      </c>
      <c r="N1891" s="72" t="str">
        <f t="shared" si="4"/>
        <v/>
      </c>
    </row>
    <row r="1892" ht="14.25" customHeight="1">
      <c r="B1892" s="66" t="str">
        <f>IF(ROWS($1:1880)&lt;=Nper,ROWS($1:1880),"")</f>
        <v/>
      </c>
      <c r="C1892" s="67" t="str">
        <f>IF($B1892="","",IF($E$7="Weekly",Start_Date+7*(ROWS($1:1880)-1),EDATE(Start_Date,VLOOKUP(IF(ASTemp!$E$7="","Monthly",ASTemp!$E$7),Parameters!$B$3:$D$6,3,0)*(ROWS($1:1880)-1))))</f>
        <v/>
      </c>
      <c r="D1892" s="68" t="str">
        <f t="shared" si="2"/>
        <v/>
      </c>
      <c r="E1892" s="65" t="str">
        <f>IF($B1892="","",VLOOKUP(MONTH(C1892),Parameters!$F$2:$G$13,2,0))</f>
        <v/>
      </c>
      <c r="F1892" s="69" t="str">
        <f>IF($B1892="","",PV-N(J1891))</f>
        <v/>
      </c>
      <c r="G1892" s="69" t="str">
        <f>IF($B1892="","",PMT(Rate,Nper,-PV,,Type))</f>
        <v/>
      </c>
      <c r="H1892" s="69" t="str">
        <f>IF($B1892="","",PPMT(Rate,ROWS($1:1880),Nper,-PV,,Type))</f>
        <v/>
      </c>
      <c r="I1892" s="69" t="str">
        <f>IF($B1892="","",IPMT(Rate,ROWS($1:1880),Nper,-PV,,Type))</f>
        <v/>
      </c>
      <c r="J1892" s="73" t="str">
        <f t="shared" ref="J1892:K1892" si="1882">IF($B1892="","",N(J1891)+N(H1892))</f>
        <v/>
      </c>
      <c r="K1892" s="74" t="str">
        <f t="shared" si="1882"/>
        <v/>
      </c>
      <c r="L1892" s="69" t="str">
        <f>IF($B1892="","",PV-J1892)</f>
        <v/>
      </c>
      <c r="M1892" s="71" t="str">
        <f>IF($B1892="","",J1892/PV)</f>
        <v/>
      </c>
      <c r="N1892" s="72" t="str">
        <f t="shared" si="4"/>
        <v/>
      </c>
    </row>
    <row r="1893" ht="14.25" customHeight="1">
      <c r="B1893" s="66" t="str">
        <f>IF(ROWS($1:1881)&lt;=Nper,ROWS($1:1881),"")</f>
        <v/>
      </c>
      <c r="C1893" s="67" t="str">
        <f>IF($B1893="","",IF($E$7="Weekly",Start_Date+7*(ROWS($1:1881)-1),EDATE(Start_Date,VLOOKUP(IF(ASTemp!$E$7="","Monthly",ASTemp!$E$7),Parameters!$B$3:$D$6,3,0)*(ROWS($1:1881)-1))))</f>
        <v/>
      </c>
      <c r="D1893" s="68" t="str">
        <f t="shared" si="2"/>
        <v/>
      </c>
      <c r="E1893" s="65" t="str">
        <f>IF($B1893="","",VLOOKUP(MONTH(C1893),Parameters!$F$2:$G$13,2,0))</f>
        <v/>
      </c>
      <c r="F1893" s="69" t="str">
        <f>IF($B1893="","",PV-N(J1892))</f>
        <v/>
      </c>
      <c r="G1893" s="69" t="str">
        <f>IF($B1893="","",PMT(Rate,Nper,-PV,,Type))</f>
        <v/>
      </c>
      <c r="H1893" s="69" t="str">
        <f>IF($B1893="","",PPMT(Rate,ROWS($1:1881),Nper,-PV,,Type))</f>
        <v/>
      </c>
      <c r="I1893" s="69" t="str">
        <f>IF($B1893="","",IPMT(Rate,ROWS($1:1881),Nper,-PV,,Type))</f>
        <v/>
      </c>
      <c r="J1893" s="73" t="str">
        <f t="shared" ref="J1893:K1893" si="1883">IF($B1893="","",N(J1892)+N(H1893))</f>
        <v/>
      </c>
      <c r="K1893" s="74" t="str">
        <f t="shared" si="1883"/>
        <v/>
      </c>
      <c r="L1893" s="69" t="str">
        <f>IF($B1893="","",PV-J1893)</f>
        <v/>
      </c>
      <c r="M1893" s="71" t="str">
        <f>IF($B1893="","",J1893/PV)</f>
        <v/>
      </c>
      <c r="N1893" s="72" t="str">
        <f t="shared" si="4"/>
        <v/>
      </c>
    </row>
    <row r="1894" ht="14.25" customHeight="1">
      <c r="B1894" s="66" t="str">
        <f>IF(ROWS($1:1882)&lt;=Nper,ROWS($1:1882),"")</f>
        <v/>
      </c>
      <c r="C1894" s="67" t="str">
        <f>IF($B1894="","",IF($E$7="Weekly",Start_Date+7*(ROWS($1:1882)-1),EDATE(Start_Date,VLOOKUP(IF(ASTemp!$E$7="","Monthly",ASTemp!$E$7),Parameters!$B$3:$D$6,3,0)*(ROWS($1:1882)-1))))</f>
        <v/>
      </c>
      <c r="D1894" s="68" t="str">
        <f t="shared" si="2"/>
        <v/>
      </c>
      <c r="E1894" s="65" t="str">
        <f>IF($B1894="","",VLOOKUP(MONTH(C1894),Parameters!$F$2:$G$13,2,0))</f>
        <v/>
      </c>
      <c r="F1894" s="69" t="str">
        <f>IF($B1894="","",PV-N(J1893))</f>
        <v/>
      </c>
      <c r="G1894" s="69" t="str">
        <f>IF($B1894="","",PMT(Rate,Nper,-PV,,Type))</f>
        <v/>
      </c>
      <c r="H1894" s="69" t="str">
        <f>IF($B1894="","",PPMT(Rate,ROWS($1:1882),Nper,-PV,,Type))</f>
        <v/>
      </c>
      <c r="I1894" s="69" t="str">
        <f>IF($B1894="","",IPMT(Rate,ROWS($1:1882),Nper,-PV,,Type))</f>
        <v/>
      </c>
      <c r="J1894" s="73" t="str">
        <f t="shared" ref="J1894:K1894" si="1884">IF($B1894="","",N(J1893)+N(H1894))</f>
        <v/>
      </c>
      <c r="K1894" s="74" t="str">
        <f t="shared" si="1884"/>
        <v/>
      </c>
      <c r="L1894" s="69" t="str">
        <f>IF($B1894="","",PV-J1894)</f>
        <v/>
      </c>
      <c r="M1894" s="71" t="str">
        <f>IF($B1894="","",J1894/PV)</f>
        <v/>
      </c>
      <c r="N1894" s="72" t="str">
        <f t="shared" si="4"/>
        <v/>
      </c>
    </row>
    <row r="1895" ht="14.25" customHeight="1">
      <c r="B1895" s="66" t="str">
        <f>IF(ROWS($1:1883)&lt;=Nper,ROWS($1:1883),"")</f>
        <v/>
      </c>
      <c r="C1895" s="67" t="str">
        <f>IF($B1895="","",IF($E$7="Weekly",Start_Date+7*(ROWS($1:1883)-1),EDATE(Start_Date,VLOOKUP(IF(ASTemp!$E$7="","Monthly",ASTemp!$E$7),Parameters!$B$3:$D$6,3,0)*(ROWS($1:1883)-1))))</f>
        <v/>
      </c>
      <c r="D1895" s="68" t="str">
        <f t="shared" si="2"/>
        <v/>
      </c>
      <c r="E1895" s="65" t="str">
        <f>IF($B1895="","",VLOOKUP(MONTH(C1895),Parameters!$F$2:$G$13,2,0))</f>
        <v/>
      </c>
      <c r="F1895" s="69" t="str">
        <f>IF($B1895="","",PV-N(J1894))</f>
        <v/>
      </c>
      <c r="G1895" s="69" t="str">
        <f>IF($B1895="","",PMT(Rate,Nper,-PV,,Type))</f>
        <v/>
      </c>
      <c r="H1895" s="69" t="str">
        <f>IF($B1895="","",PPMT(Rate,ROWS($1:1883),Nper,-PV,,Type))</f>
        <v/>
      </c>
      <c r="I1895" s="69" t="str">
        <f>IF($B1895="","",IPMT(Rate,ROWS($1:1883),Nper,-PV,,Type))</f>
        <v/>
      </c>
      <c r="J1895" s="73" t="str">
        <f t="shared" ref="J1895:K1895" si="1885">IF($B1895="","",N(J1894)+N(H1895))</f>
        <v/>
      </c>
      <c r="K1895" s="74" t="str">
        <f t="shared" si="1885"/>
        <v/>
      </c>
      <c r="L1895" s="69" t="str">
        <f>IF($B1895="","",PV-J1895)</f>
        <v/>
      </c>
      <c r="M1895" s="71" t="str">
        <f>IF($B1895="","",J1895/PV)</f>
        <v/>
      </c>
      <c r="N1895" s="72" t="str">
        <f t="shared" si="4"/>
        <v/>
      </c>
    </row>
    <row r="1896" ht="14.25" customHeight="1">
      <c r="B1896" s="66" t="str">
        <f>IF(ROWS($1:1884)&lt;=Nper,ROWS($1:1884),"")</f>
        <v/>
      </c>
      <c r="C1896" s="67" t="str">
        <f>IF($B1896="","",IF($E$7="Weekly",Start_Date+7*(ROWS($1:1884)-1),EDATE(Start_Date,VLOOKUP(IF(ASTemp!$E$7="","Monthly",ASTemp!$E$7),Parameters!$B$3:$D$6,3,0)*(ROWS($1:1884)-1))))</f>
        <v/>
      </c>
      <c r="D1896" s="68" t="str">
        <f t="shared" si="2"/>
        <v/>
      </c>
      <c r="E1896" s="65" t="str">
        <f>IF($B1896="","",VLOOKUP(MONTH(C1896),Parameters!$F$2:$G$13,2,0))</f>
        <v/>
      </c>
      <c r="F1896" s="69" t="str">
        <f>IF($B1896="","",PV-N(J1895))</f>
        <v/>
      </c>
      <c r="G1896" s="69" t="str">
        <f>IF($B1896="","",PMT(Rate,Nper,-PV,,Type))</f>
        <v/>
      </c>
      <c r="H1896" s="69" t="str">
        <f>IF($B1896="","",PPMT(Rate,ROWS($1:1884),Nper,-PV,,Type))</f>
        <v/>
      </c>
      <c r="I1896" s="69" t="str">
        <f>IF($B1896="","",IPMT(Rate,ROWS($1:1884),Nper,-PV,,Type))</f>
        <v/>
      </c>
      <c r="J1896" s="73" t="str">
        <f t="shared" ref="J1896:K1896" si="1886">IF($B1896="","",N(J1895)+N(H1896))</f>
        <v/>
      </c>
      <c r="K1896" s="74" t="str">
        <f t="shared" si="1886"/>
        <v/>
      </c>
      <c r="L1896" s="69" t="str">
        <f>IF($B1896="","",PV-J1896)</f>
        <v/>
      </c>
      <c r="M1896" s="71" t="str">
        <f>IF($B1896="","",J1896/PV)</f>
        <v/>
      </c>
      <c r="N1896" s="72" t="str">
        <f t="shared" si="4"/>
        <v/>
      </c>
    </row>
    <row r="1897" ht="14.25" customHeight="1">
      <c r="B1897" s="66" t="str">
        <f>IF(ROWS($1:1885)&lt;=Nper,ROWS($1:1885),"")</f>
        <v/>
      </c>
      <c r="C1897" s="67" t="str">
        <f>IF($B1897="","",IF($E$7="Weekly",Start_Date+7*(ROWS($1:1885)-1),EDATE(Start_Date,VLOOKUP(IF(ASTemp!$E$7="","Monthly",ASTemp!$E$7),Parameters!$B$3:$D$6,3,0)*(ROWS($1:1885)-1))))</f>
        <v/>
      </c>
      <c r="D1897" s="68" t="str">
        <f t="shared" si="2"/>
        <v/>
      </c>
      <c r="E1897" s="65" t="str">
        <f>IF($B1897="","",VLOOKUP(MONTH(C1897),Parameters!$F$2:$G$13,2,0))</f>
        <v/>
      </c>
      <c r="F1897" s="69" t="str">
        <f>IF($B1897="","",PV-N(J1896))</f>
        <v/>
      </c>
      <c r="G1897" s="69" t="str">
        <f>IF($B1897="","",PMT(Rate,Nper,-PV,,Type))</f>
        <v/>
      </c>
      <c r="H1897" s="69" t="str">
        <f>IF($B1897="","",PPMT(Rate,ROWS($1:1885),Nper,-PV,,Type))</f>
        <v/>
      </c>
      <c r="I1897" s="69" t="str">
        <f>IF($B1897="","",IPMT(Rate,ROWS($1:1885),Nper,-PV,,Type))</f>
        <v/>
      </c>
      <c r="J1897" s="73" t="str">
        <f t="shared" ref="J1897:K1897" si="1887">IF($B1897="","",N(J1896)+N(H1897))</f>
        <v/>
      </c>
      <c r="K1897" s="74" t="str">
        <f t="shared" si="1887"/>
        <v/>
      </c>
      <c r="L1897" s="69" t="str">
        <f>IF($B1897="","",PV-J1897)</f>
        <v/>
      </c>
      <c r="M1897" s="71" t="str">
        <f>IF($B1897="","",J1897/PV)</f>
        <v/>
      </c>
      <c r="N1897" s="72" t="str">
        <f t="shared" si="4"/>
        <v/>
      </c>
    </row>
    <row r="1898" ht="14.25" customHeight="1">
      <c r="B1898" s="66" t="str">
        <f>IF(ROWS($1:1886)&lt;=Nper,ROWS($1:1886),"")</f>
        <v/>
      </c>
      <c r="C1898" s="67" t="str">
        <f>IF($B1898="","",IF($E$7="Weekly",Start_Date+7*(ROWS($1:1886)-1),EDATE(Start_Date,VLOOKUP(IF(ASTemp!$E$7="","Monthly",ASTemp!$E$7),Parameters!$B$3:$D$6,3,0)*(ROWS($1:1886)-1))))</f>
        <v/>
      </c>
      <c r="D1898" s="68" t="str">
        <f t="shared" si="2"/>
        <v/>
      </c>
      <c r="E1898" s="65" t="str">
        <f>IF($B1898="","",VLOOKUP(MONTH(C1898),Parameters!$F$2:$G$13,2,0))</f>
        <v/>
      </c>
      <c r="F1898" s="69" t="str">
        <f>IF($B1898="","",PV-N(J1897))</f>
        <v/>
      </c>
      <c r="G1898" s="69" t="str">
        <f>IF($B1898="","",PMT(Rate,Nper,-PV,,Type))</f>
        <v/>
      </c>
      <c r="H1898" s="69" t="str">
        <f>IF($B1898="","",PPMT(Rate,ROWS($1:1886),Nper,-PV,,Type))</f>
        <v/>
      </c>
      <c r="I1898" s="69" t="str">
        <f>IF($B1898="","",IPMT(Rate,ROWS($1:1886),Nper,-PV,,Type))</f>
        <v/>
      </c>
      <c r="J1898" s="73" t="str">
        <f t="shared" ref="J1898:K1898" si="1888">IF($B1898="","",N(J1897)+N(H1898))</f>
        <v/>
      </c>
      <c r="K1898" s="74" t="str">
        <f t="shared" si="1888"/>
        <v/>
      </c>
      <c r="L1898" s="69" t="str">
        <f>IF($B1898="","",PV-J1898)</f>
        <v/>
      </c>
      <c r="M1898" s="71" t="str">
        <f>IF($B1898="","",J1898/PV)</f>
        <v/>
      </c>
      <c r="N1898" s="72" t="str">
        <f t="shared" si="4"/>
        <v/>
      </c>
    </row>
    <row r="1899" ht="14.25" customHeight="1">
      <c r="B1899" s="66" t="str">
        <f>IF(ROWS($1:1887)&lt;=Nper,ROWS($1:1887),"")</f>
        <v/>
      </c>
      <c r="C1899" s="67" t="str">
        <f>IF($B1899="","",IF($E$7="Weekly",Start_Date+7*(ROWS($1:1887)-1),EDATE(Start_Date,VLOOKUP(IF(ASTemp!$E$7="","Monthly",ASTemp!$E$7),Parameters!$B$3:$D$6,3,0)*(ROWS($1:1887)-1))))</f>
        <v/>
      </c>
      <c r="D1899" s="68" t="str">
        <f t="shared" si="2"/>
        <v/>
      </c>
      <c r="E1899" s="65" t="str">
        <f>IF($B1899="","",VLOOKUP(MONTH(C1899),Parameters!$F$2:$G$13,2,0))</f>
        <v/>
      </c>
      <c r="F1899" s="69" t="str">
        <f>IF($B1899="","",PV-N(J1898))</f>
        <v/>
      </c>
      <c r="G1899" s="69" t="str">
        <f>IF($B1899="","",PMT(Rate,Nper,-PV,,Type))</f>
        <v/>
      </c>
      <c r="H1899" s="69" t="str">
        <f>IF($B1899="","",PPMT(Rate,ROWS($1:1887),Nper,-PV,,Type))</f>
        <v/>
      </c>
      <c r="I1899" s="69" t="str">
        <f>IF($B1899="","",IPMT(Rate,ROWS($1:1887),Nper,-PV,,Type))</f>
        <v/>
      </c>
      <c r="J1899" s="73" t="str">
        <f t="shared" ref="J1899:K1899" si="1889">IF($B1899="","",N(J1898)+N(H1899))</f>
        <v/>
      </c>
      <c r="K1899" s="74" t="str">
        <f t="shared" si="1889"/>
        <v/>
      </c>
      <c r="L1899" s="69" t="str">
        <f>IF($B1899="","",PV-J1899)</f>
        <v/>
      </c>
      <c r="M1899" s="71" t="str">
        <f>IF($B1899="","",J1899/PV)</f>
        <v/>
      </c>
      <c r="N1899" s="72" t="str">
        <f t="shared" si="4"/>
        <v/>
      </c>
    </row>
    <row r="1900" ht="14.25" customHeight="1">
      <c r="B1900" s="66" t="str">
        <f>IF(ROWS($1:1888)&lt;=Nper,ROWS($1:1888),"")</f>
        <v/>
      </c>
      <c r="C1900" s="67" t="str">
        <f>IF($B1900="","",IF($E$7="Weekly",Start_Date+7*(ROWS($1:1888)-1),EDATE(Start_Date,VLOOKUP(IF(ASTemp!$E$7="","Monthly",ASTemp!$E$7),Parameters!$B$3:$D$6,3,0)*(ROWS($1:1888)-1))))</f>
        <v/>
      </c>
      <c r="D1900" s="68" t="str">
        <f t="shared" si="2"/>
        <v/>
      </c>
      <c r="E1900" s="65" t="str">
        <f>IF($B1900="","",VLOOKUP(MONTH(C1900),Parameters!$F$2:$G$13,2,0))</f>
        <v/>
      </c>
      <c r="F1900" s="69" t="str">
        <f>IF($B1900="","",PV-N(J1899))</f>
        <v/>
      </c>
      <c r="G1900" s="69" t="str">
        <f>IF($B1900="","",PMT(Rate,Nper,-PV,,Type))</f>
        <v/>
      </c>
      <c r="H1900" s="69" t="str">
        <f>IF($B1900="","",PPMT(Rate,ROWS($1:1888),Nper,-PV,,Type))</f>
        <v/>
      </c>
      <c r="I1900" s="69" t="str">
        <f>IF($B1900="","",IPMT(Rate,ROWS($1:1888),Nper,-PV,,Type))</f>
        <v/>
      </c>
      <c r="J1900" s="73" t="str">
        <f t="shared" ref="J1900:K1900" si="1890">IF($B1900="","",N(J1899)+N(H1900))</f>
        <v/>
      </c>
      <c r="K1900" s="74" t="str">
        <f t="shared" si="1890"/>
        <v/>
      </c>
      <c r="L1900" s="69" t="str">
        <f>IF($B1900="","",PV-J1900)</f>
        <v/>
      </c>
      <c r="M1900" s="71" t="str">
        <f>IF($B1900="","",J1900/PV)</f>
        <v/>
      </c>
      <c r="N1900" s="72" t="str">
        <f t="shared" si="4"/>
        <v/>
      </c>
    </row>
    <row r="1901" ht="14.25" customHeight="1">
      <c r="B1901" s="66" t="str">
        <f>IF(ROWS($1:1889)&lt;=Nper,ROWS($1:1889),"")</f>
        <v/>
      </c>
      <c r="C1901" s="67" t="str">
        <f>IF($B1901="","",IF($E$7="Weekly",Start_Date+7*(ROWS($1:1889)-1),EDATE(Start_Date,VLOOKUP(IF(ASTemp!$E$7="","Monthly",ASTemp!$E$7),Parameters!$B$3:$D$6,3,0)*(ROWS($1:1889)-1))))</f>
        <v/>
      </c>
      <c r="D1901" s="68" t="str">
        <f t="shared" si="2"/>
        <v/>
      </c>
      <c r="E1901" s="65" t="str">
        <f>IF($B1901="","",VLOOKUP(MONTH(C1901),Parameters!$F$2:$G$13,2,0))</f>
        <v/>
      </c>
      <c r="F1901" s="69" t="str">
        <f>IF($B1901="","",PV-N(J1900))</f>
        <v/>
      </c>
      <c r="G1901" s="69" t="str">
        <f>IF($B1901="","",PMT(Rate,Nper,-PV,,Type))</f>
        <v/>
      </c>
      <c r="H1901" s="69" t="str">
        <f>IF($B1901="","",PPMT(Rate,ROWS($1:1889),Nper,-PV,,Type))</f>
        <v/>
      </c>
      <c r="I1901" s="69" t="str">
        <f>IF($B1901="","",IPMT(Rate,ROWS($1:1889),Nper,-PV,,Type))</f>
        <v/>
      </c>
      <c r="J1901" s="73" t="str">
        <f t="shared" ref="J1901:K1901" si="1891">IF($B1901="","",N(J1900)+N(H1901))</f>
        <v/>
      </c>
      <c r="K1901" s="74" t="str">
        <f t="shared" si="1891"/>
        <v/>
      </c>
      <c r="L1901" s="69" t="str">
        <f>IF($B1901="","",PV-J1901)</f>
        <v/>
      </c>
      <c r="M1901" s="71" t="str">
        <f>IF($B1901="","",J1901/PV)</f>
        <v/>
      </c>
      <c r="N1901" s="72" t="str">
        <f t="shared" si="4"/>
        <v/>
      </c>
    </row>
    <row r="1902" ht="14.25" customHeight="1">
      <c r="B1902" s="66" t="str">
        <f>IF(ROWS($1:1890)&lt;=Nper,ROWS($1:1890),"")</f>
        <v/>
      </c>
      <c r="C1902" s="67" t="str">
        <f>IF($B1902="","",IF($E$7="Weekly",Start_Date+7*(ROWS($1:1890)-1),EDATE(Start_Date,VLOOKUP(IF(ASTemp!$E$7="","Monthly",ASTemp!$E$7),Parameters!$B$3:$D$6,3,0)*(ROWS($1:1890)-1))))</f>
        <v/>
      </c>
      <c r="D1902" s="68" t="str">
        <f t="shared" si="2"/>
        <v/>
      </c>
      <c r="E1902" s="65" t="str">
        <f>IF($B1902="","",VLOOKUP(MONTH(C1902),Parameters!$F$2:$G$13,2,0))</f>
        <v/>
      </c>
      <c r="F1902" s="69" t="str">
        <f>IF($B1902="","",PV-N(J1901))</f>
        <v/>
      </c>
      <c r="G1902" s="69" t="str">
        <f>IF($B1902="","",PMT(Rate,Nper,-PV,,Type))</f>
        <v/>
      </c>
      <c r="H1902" s="69" t="str">
        <f>IF($B1902="","",PPMT(Rate,ROWS($1:1890),Nper,-PV,,Type))</f>
        <v/>
      </c>
      <c r="I1902" s="69" t="str">
        <f>IF($B1902="","",IPMT(Rate,ROWS($1:1890),Nper,-PV,,Type))</f>
        <v/>
      </c>
      <c r="J1902" s="73" t="str">
        <f t="shared" ref="J1902:K1902" si="1892">IF($B1902="","",N(J1901)+N(H1902))</f>
        <v/>
      </c>
      <c r="K1902" s="74" t="str">
        <f t="shared" si="1892"/>
        <v/>
      </c>
      <c r="L1902" s="69" t="str">
        <f>IF($B1902="","",PV-J1902)</f>
        <v/>
      </c>
      <c r="M1902" s="71" t="str">
        <f>IF($B1902="","",J1902/PV)</f>
        <v/>
      </c>
      <c r="N1902" s="72" t="str">
        <f t="shared" si="4"/>
        <v/>
      </c>
    </row>
    <row r="1903" ht="14.25" customHeight="1">
      <c r="B1903" s="66" t="str">
        <f>IF(ROWS($1:1891)&lt;=Nper,ROWS($1:1891),"")</f>
        <v/>
      </c>
      <c r="C1903" s="67" t="str">
        <f>IF($B1903="","",IF($E$7="Weekly",Start_Date+7*(ROWS($1:1891)-1),EDATE(Start_Date,VLOOKUP(IF(ASTemp!$E$7="","Monthly",ASTemp!$E$7),Parameters!$B$3:$D$6,3,0)*(ROWS($1:1891)-1))))</f>
        <v/>
      </c>
      <c r="D1903" s="68" t="str">
        <f t="shared" si="2"/>
        <v/>
      </c>
      <c r="E1903" s="65" t="str">
        <f>IF($B1903="","",VLOOKUP(MONTH(C1903),Parameters!$F$2:$G$13,2,0))</f>
        <v/>
      </c>
      <c r="F1903" s="69" t="str">
        <f>IF($B1903="","",PV-N(J1902))</f>
        <v/>
      </c>
      <c r="G1903" s="69" t="str">
        <f>IF($B1903="","",PMT(Rate,Nper,-PV,,Type))</f>
        <v/>
      </c>
      <c r="H1903" s="69" t="str">
        <f>IF($B1903="","",PPMT(Rate,ROWS($1:1891),Nper,-PV,,Type))</f>
        <v/>
      </c>
      <c r="I1903" s="69" t="str">
        <f>IF($B1903="","",IPMT(Rate,ROWS($1:1891),Nper,-PV,,Type))</f>
        <v/>
      </c>
      <c r="J1903" s="73" t="str">
        <f t="shared" ref="J1903:K1903" si="1893">IF($B1903="","",N(J1902)+N(H1903))</f>
        <v/>
      </c>
      <c r="K1903" s="74" t="str">
        <f t="shared" si="1893"/>
        <v/>
      </c>
      <c r="L1903" s="69" t="str">
        <f>IF($B1903="","",PV-J1903)</f>
        <v/>
      </c>
      <c r="M1903" s="71" t="str">
        <f>IF($B1903="","",J1903/PV)</f>
        <v/>
      </c>
      <c r="N1903" s="72" t="str">
        <f t="shared" si="4"/>
        <v/>
      </c>
    </row>
    <row r="1904" ht="14.25" customHeight="1">
      <c r="B1904" s="66" t="str">
        <f>IF(ROWS($1:1892)&lt;=Nper,ROWS($1:1892),"")</f>
        <v/>
      </c>
      <c r="C1904" s="67" t="str">
        <f>IF($B1904="","",IF($E$7="Weekly",Start_Date+7*(ROWS($1:1892)-1),EDATE(Start_Date,VLOOKUP(IF(ASTemp!$E$7="","Monthly",ASTemp!$E$7),Parameters!$B$3:$D$6,3,0)*(ROWS($1:1892)-1))))</f>
        <v/>
      </c>
      <c r="D1904" s="68" t="str">
        <f t="shared" si="2"/>
        <v/>
      </c>
      <c r="E1904" s="65" t="str">
        <f>IF($B1904="","",VLOOKUP(MONTH(C1904),Parameters!$F$2:$G$13,2,0))</f>
        <v/>
      </c>
      <c r="F1904" s="69" t="str">
        <f>IF($B1904="","",PV-N(J1903))</f>
        <v/>
      </c>
      <c r="G1904" s="69" t="str">
        <f>IF($B1904="","",PMT(Rate,Nper,-PV,,Type))</f>
        <v/>
      </c>
      <c r="H1904" s="69" t="str">
        <f>IF($B1904="","",PPMT(Rate,ROWS($1:1892),Nper,-PV,,Type))</f>
        <v/>
      </c>
      <c r="I1904" s="69" t="str">
        <f>IF($B1904="","",IPMT(Rate,ROWS($1:1892),Nper,-PV,,Type))</f>
        <v/>
      </c>
      <c r="J1904" s="73" t="str">
        <f t="shared" ref="J1904:K1904" si="1894">IF($B1904="","",N(J1903)+N(H1904))</f>
        <v/>
      </c>
      <c r="K1904" s="74" t="str">
        <f t="shared" si="1894"/>
        <v/>
      </c>
      <c r="L1904" s="69" t="str">
        <f>IF($B1904="","",PV-J1904)</f>
        <v/>
      </c>
      <c r="M1904" s="71" t="str">
        <f>IF($B1904="","",J1904/PV)</f>
        <v/>
      </c>
      <c r="N1904" s="72" t="str">
        <f t="shared" si="4"/>
        <v/>
      </c>
    </row>
    <row r="1905" ht="14.25" customHeight="1">
      <c r="B1905" s="66" t="str">
        <f>IF(ROWS($1:1893)&lt;=Nper,ROWS($1:1893),"")</f>
        <v/>
      </c>
      <c r="C1905" s="67" t="str">
        <f>IF($B1905="","",IF($E$7="Weekly",Start_Date+7*(ROWS($1:1893)-1),EDATE(Start_Date,VLOOKUP(IF(ASTemp!$E$7="","Monthly",ASTemp!$E$7),Parameters!$B$3:$D$6,3,0)*(ROWS($1:1893)-1))))</f>
        <v/>
      </c>
      <c r="D1905" s="68" t="str">
        <f t="shared" si="2"/>
        <v/>
      </c>
      <c r="E1905" s="65" t="str">
        <f>IF($B1905="","",VLOOKUP(MONTH(C1905),Parameters!$F$2:$G$13,2,0))</f>
        <v/>
      </c>
      <c r="F1905" s="69" t="str">
        <f>IF($B1905="","",PV-N(J1904))</f>
        <v/>
      </c>
      <c r="G1905" s="69" t="str">
        <f>IF($B1905="","",PMT(Rate,Nper,-PV,,Type))</f>
        <v/>
      </c>
      <c r="H1905" s="69" t="str">
        <f>IF($B1905="","",PPMT(Rate,ROWS($1:1893),Nper,-PV,,Type))</f>
        <v/>
      </c>
      <c r="I1905" s="69" t="str">
        <f>IF($B1905="","",IPMT(Rate,ROWS($1:1893),Nper,-PV,,Type))</f>
        <v/>
      </c>
      <c r="J1905" s="73" t="str">
        <f t="shared" ref="J1905:K1905" si="1895">IF($B1905="","",N(J1904)+N(H1905))</f>
        <v/>
      </c>
      <c r="K1905" s="74" t="str">
        <f t="shared" si="1895"/>
        <v/>
      </c>
      <c r="L1905" s="69" t="str">
        <f>IF($B1905="","",PV-J1905)</f>
        <v/>
      </c>
      <c r="M1905" s="71" t="str">
        <f>IF($B1905="","",J1905/PV)</f>
        <v/>
      </c>
      <c r="N1905" s="72" t="str">
        <f t="shared" si="4"/>
        <v/>
      </c>
    </row>
    <row r="1906" ht="14.25" customHeight="1">
      <c r="B1906" s="66" t="str">
        <f>IF(ROWS($1:1894)&lt;=Nper,ROWS($1:1894),"")</f>
        <v/>
      </c>
      <c r="C1906" s="67" t="str">
        <f>IF($B1906="","",IF($E$7="Weekly",Start_Date+7*(ROWS($1:1894)-1),EDATE(Start_Date,VLOOKUP(IF(ASTemp!$E$7="","Monthly",ASTemp!$E$7),Parameters!$B$3:$D$6,3,0)*(ROWS($1:1894)-1))))</f>
        <v/>
      </c>
      <c r="D1906" s="68" t="str">
        <f t="shared" si="2"/>
        <v/>
      </c>
      <c r="E1906" s="65" t="str">
        <f>IF($B1906="","",VLOOKUP(MONTH(C1906),Parameters!$F$2:$G$13,2,0))</f>
        <v/>
      </c>
      <c r="F1906" s="69" t="str">
        <f>IF($B1906="","",PV-N(J1905))</f>
        <v/>
      </c>
      <c r="G1906" s="69" t="str">
        <f>IF($B1906="","",PMT(Rate,Nper,-PV,,Type))</f>
        <v/>
      </c>
      <c r="H1906" s="69" t="str">
        <f>IF($B1906="","",PPMT(Rate,ROWS($1:1894),Nper,-PV,,Type))</f>
        <v/>
      </c>
      <c r="I1906" s="69" t="str">
        <f>IF($B1906="","",IPMT(Rate,ROWS($1:1894),Nper,-PV,,Type))</f>
        <v/>
      </c>
      <c r="J1906" s="73" t="str">
        <f t="shared" ref="J1906:K1906" si="1896">IF($B1906="","",N(J1905)+N(H1906))</f>
        <v/>
      </c>
      <c r="K1906" s="74" t="str">
        <f t="shared" si="1896"/>
        <v/>
      </c>
      <c r="L1906" s="69" t="str">
        <f>IF($B1906="","",PV-J1906)</f>
        <v/>
      </c>
      <c r="M1906" s="71" t="str">
        <f>IF($B1906="","",J1906/PV)</f>
        <v/>
      </c>
      <c r="N1906" s="72" t="str">
        <f t="shared" si="4"/>
        <v/>
      </c>
    </row>
    <row r="1907" ht="14.25" customHeight="1">
      <c r="B1907" s="66" t="str">
        <f>IF(ROWS($1:1895)&lt;=Nper,ROWS($1:1895),"")</f>
        <v/>
      </c>
      <c r="C1907" s="67" t="str">
        <f>IF($B1907="","",IF($E$7="Weekly",Start_Date+7*(ROWS($1:1895)-1),EDATE(Start_Date,VLOOKUP(IF(ASTemp!$E$7="","Monthly",ASTemp!$E$7),Parameters!$B$3:$D$6,3,0)*(ROWS($1:1895)-1))))</f>
        <v/>
      </c>
      <c r="D1907" s="68" t="str">
        <f t="shared" si="2"/>
        <v/>
      </c>
      <c r="E1907" s="65" t="str">
        <f>IF($B1907="","",VLOOKUP(MONTH(C1907),Parameters!$F$2:$G$13,2,0))</f>
        <v/>
      </c>
      <c r="F1907" s="69" t="str">
        <f>IF($B1907="","",PV-N(J1906))</f>
        <v/>
      </c>
      <c r="G1907" s="69" t="str">
        <f>IF($B1907="","",PMT(Rate,Nper,-PV,,Type))</f>
        <v/>
      </c>
      <c r="H1907" s="69" t="str">
        <f>IF($B1907="","",PPMT(Rate,ROWS($1:1895),Nper,-PV,,Type))</f>
        <v/>
      </c>
      <c r="I1907" s="69" t="str">
        <f>IF($B1907="","",IPMT(Rate,ROWS($1:1895),Nper,-PV,,Type))</f>
        <v/>
      </c>
      <c r="J1907" s="73" t="str">
        <f t="shared" ref="J1907:K1907" si="1897">IF($B1907="","",N(J1906)+N(H1907))</f>
        <v/>
      </c>
      <c r="K1907" s="74" t="str">
        <f t="shared" si="1897"/>
        <v/>
      </c>
      <c r="L1907" s="69" t="str">
        <f>IF($B1907="","",PV-J1907)</f>
        <v/>
      </c>
      <c r="M1907" s="71" t="str">
        <f>IF($B1907="","",J1907/PV)</f>
        <v/>
      </c>
      <c r="N1907" s="72" t="str">
        <f t="shared" si="4"/>
        <v/>
      </c>
    </row>
    <row r="1908" ht="14.25" customHeight="1">
      <c r="B1908" s="66" t="str">
        <f>IF(ROWS($1:1896)&lt;=Nper,ROWS($1:1896),"")</f>
        <v/>
      </c>
      <c r="C1908" s="67" t="str">
        <f>IF($B1908="","",IF($E$7="Weekly",Start_Date+7*(ROWS($1:1896)-1),EDATE(Start_Date,VLOOKUP(IF(ASTemp!$E$7="","Monthly",ASTemp!$E$7),Parameters!$B$3:$D$6,3,0)*(ROWS($1:1896)-1))))</f>
        <v/>
      </c>
      <c r="D1908" s="68" t="str">
        <f t="shared" si="2"/>
        <v/>
      </c>
      <c r="E1908" s="65" t="str">
        <f>IF($B1908="","",VLOOKUP(MONTH(C1908),Parameters!$F$2:$G$13,2,0))</f>
        <v/>
      </c>
      <c r="F1908" s="69" t="str">
        <f>IF($B1908="","",PV-N(J1907))</f>
        <v/>
      </c>
      <c r="G1908" s="69" t="str">
        <f>IF($B1908="","",PMT(Rate,Nper,-PV,,Type))</f>
        <v/>
      </c>
      <c r="H1908" s="69" t="str">
        <f>IF($B1908="","",PPMT(Rate,ROWS($1:1896),Nper,-PV,,Type))</f>
        <v/>
      </c>
      <c r="I1908" s="69" t="str">
        <f>IF($B1908="","",IPMT(Rate,ROWS($1:1896),Nper,-PV,,Type))</f>
        <v/>
      </c>
      <c r="J1908" s="73" t="str">
        <f t="shared" ref="J1908:K1908" si="1898">IF($B1908="","",N(J1907)+N(H1908))</f>
        <v/>
      </c>
      <c r="K1908" s="74" t="str">
        <f t="shared" si="1898"/>
        <v/>
      </c>
      <c r="L1908" s="69" t="str">
        <f>IF($B1908="","",PV-J1908)</f>
        <v/>
      </c>
      <c r="M1908" s="71" t="str">
        <f>IF($B1908="","",J1908/PV)</f>
        <v/>
      </c>
      <c r="N1908" s="72" t="str">
        <f t="shared" si="4"/>
        <v/>
      </c>
    </row>
    <row r="1909" ht="14.25" customHeight="1">
      <c r="B1909" s="66" t="str">
        <f>IF(ROWS($1:1897)&lt;=Nper,ROWS($1:1897),"")</f>
        <v/>
      </c>
      <c r="C1909" s="67" t="str">
        <f>IF($B1909="","",IF($E$7="Weekly",Start_Date+7*(ROWS($1:1897)-1),EDATE(Start_Date,VLOOKUP(IF(ASTemp!$E$7="","Monthly",ASTemp!$E$7),Parameters!$B$3:$D$6,3,0)*(ROWS($1:1897)-1))))</f>
        <v/>
      </c>
      <c r="D1909" s="68" t="str">
        <f t="shared" si="2"/>
        <v/>
      </c>
      <c r="E1909" s="65" t="str">
        <f>IF($B1909="","",VLOOKUP(MONTH(C1909),Parameters!$F$2:$G$13,2,0))</f>
        <v/>
      </c>
      <c r="F1909" s="69" t="str">
        <f>IF($B1909="","",PV-N(J1908))</f>
        <v/>
      </c>
      <c r="G1909" s="69" t="str">
        <f>IF($B1909="","",PMT(Rate,Nper,-PV,,Type))</f>
        <v/>
      </c>
      <c r="H1909" s="69" t="str">
        <f>IF($B1909="","",PPMT(Rate,ROWS($1:1897),Nper,-PV,,Type))</f>
        <v/>
      </c>
      <c r="I1909" s="69" t="str">
        <f>IF($B1909="","",IPMT(Rate,ROWS($1:1897),Nper,-PV,,Type))</f>
        <v/>
      </c>
      <c r="J1909" s="73" t="str">
        <f t="shared" ref="J1909:K1909" si="1899">IF($B1909="","",N(J1908)+N(H1909))</f>
        <v/>
      </c>
      <c r="K1909" s="74" t="str">
        <f t="shared" si="1899"/>
        <v/>
      </c>
      <c r="L1909" s="69" t="str">
        <f>IF($B1909="","",PV-J1909)</f>
        <v/>
      </c>
      <c r="M1909" s="71" t="str">
        <f>IF($B1909="","",J1909/PV)</f>
        <v/>
      </c>
      <c r="N1909" s="72" t="str">
        <f t="shared" si="4"/>
        <v/>
      </c>
    </row>
    <row r="1910" ht="14.25" customHeight="1">
      <c r="B1910" s="66" t="str">
        <f>IF(ROWS($1:1898)&lt;=Nper,ROWS($1:1898),"")</f>
        <v/>
      </c>
      <c r="C1910" s="67" t="str">
        <f>IF($B1910="","",IF($E$7="Weekly",Start_Date+7*(ROWS($1:1898)-1),EDATE(Start_Date,VLOOKUP(IF(ASTemp!$E$7="","Monthly",ASTemp!$E$7),Parameters!$B$3:$D$6,3,0)*(ROWS($1:1898)-1))))</f>
        <v/>
      </c>
      <c r="D1910" s="68" t="str">
        <f t="shared" si="2"/>
        <v/>
      </c>
      <c r="E1910" s="65" t="str">
        <f>IF($B1910="","",VLOOKUP(MONTH(C1910),Parameters!$F$2:$G$13,2,0))</f>
        <v/>
      </c>
      <c r="F1910" s="69" t="str">
        <f>IF($B1910="","",PV-N(J1909))</f>
        <v/>
      </c>
      <c r="G1910" s="69" t="str">
        <f>IF($B1910="","",PMT(Rate,Nper,-PV,,Type))</f>
        <v/>
      </c>
      <c r="H1910" s="69" t="str">
        <f>IF($B1910="","",PPMT(Rate,ROWS($1:1898),Nper,-PV,,Type))</f>
        <v/>
      </c>
      <c r="I1910" s="69" t="str">
        <f>IF($B1910="","",IPMT(Rate,ROWS($1:1898),Nper,-PV,,Type))</f>
        <v/>
      </c>
      <c r="J1910" s="73" t="str">
        <f t="shared" ref="J1910:K1910" si="1900">IF($B1910="","",N(J1909)+N(H1910))</f>
        <v/>
      </c>
      <c r="K1910" s="74" t="str">
        <f t="shared" si="1900"/>
        <v/>
      </c>
      <c r="L1910" s="69" t="str">
        <f>IF($B1910="","",PV-J1910)</f>
        <v/>
      </c>
      <c r="M1910" s="71" t="str">
        <f>IF($B1910="","",J1910/PV)</f>
        <v/>
      </c>
      <c r="N1910" s="72" t="str">
        <f t="shared" si="4"/>
        <v/>
      </c>
    </row>
    <row r="1911" ht="14.25" customHeight="1">
      <c r="B1911" s="66" t="str">
        <f>IF(ROWS($1:1899)&lt;=Nper,ROWS($1:1899),"")</f>
        <v/>
      </c>
      <c r="C1911" s="67" t="str">
        <f>IF($B1911="","",IF($E$7="Weekly",Start_Date+7*(ROWS($1:1899)-1),EDATE(Start_Date,VLOOKUP(IF(ASTemp!$E$7="","Monthly",ASTemp!$E$7),Parameters!$B$3:$D$6,3,0)*(ROWS($1:1899)-1))))</f>
        <v/>
      </c>
      <c r="D1911" s="68" t="str">
        <f t="shared" si="2"/>
        <v/>
      </c>
      <c r="E1911" s="65" t="str">
        <f>IF($B1911="","",VLOOKUP(MONTH(C1911),Parameters!$F$2:$G$13,2,0))</f>
        <v/>
      </c>
      <c r="F1911" s="69" t="str">
        <f>IF($B1911="","",PV-N(J1910))</f>
        <v/>
      </c>
      <c r="G1911" s="69" t="str">
        <f>IF($B1911="","",PMT(Rate,Nper,-PV,,Type))</f>
        <v/>
      </c>
      <c r="H1911" s="69" t="str">
        <f>IF($B1911="","",PPMT(Rate,ROWS($1:1899),Nper,-PV,,Type))</f>
        <v/>
      </c>
      <c r="I1911" s="69" t="str">
        <f>IF($B1911="","",IPMT(Rate,ROWS($1:1899),Nper,-PV,,Type))</f>
        <v/>
      </c>
      <c r="J1911" s="73" t="str">
        <f t="shared" ref="J1911:K1911" si="1901">IF($B1911="","",N(J1910)+N(H1911))</f>
        <v/>
      </c>
      <c r="K1911" s="74" t="str">
        <f t="shared" si="1901"/>
        <v/>
      </c>
      <c r="L1911" s="69" t="str">
        <f>IF($B1911="","",PV-J1911)</f>
        <v/>
      </c>
      <c r="M1911" s="71" t="str">
        <f>IF($B1911="","",J1911/PV)</f>
        <v/>
      </c>
      <c r="N1911" s="72" t="str">
        <f t="shared" si="4"/>
        <v/>
      </c>
    </row>
    <row r="1912" ht="14.25" customHeight="1">
      <c r="B1912" s="66" t="str">
        <f>IF(ROWS($1:1900)&lt;=Nper,ROWS($1:1900),"")</f>
        <v/>
      </c>
      <c r="C1912" s="67" t="str">
        <f>IF($B1912="","",IF($E$7="Weekly",Start_Date+7*(ROWS($1:1900)-1),EDATE(Start_Date,VLOOKUP(IF(ASTemp!$E$7="","Monthly",ASTemp!$E$7),Parameters!$B$3:$D$6,3,0)*(ROWS($1:1900)-1))))</f>
        <v/>
      </c>
      <c r="D1912" s="68" t="str">
        <f t="shared" si="2"/>
        <v/>
      </c>
      <c r="E1912" s="65" t="str">
        <f>IF($B1912="","",VLOOKUP(MONTH(C1912),Parameters!$F$2:$G$13,2,0))</f>
        <v/>
      </c>
      <c r="F1912" s="69" t="str">
        <f>IF($B1912="","",PV-N(J1911))</f>
        <v/>
      </c>
      <c r="G1912" s="69" t="str">
        <f>IF($B1912="","",PMT(Rate,Nper,-PV,,Type))</f>
        <v/>
      </c>
      <c r="H1912" s="69" t="str">
        <f>IF($B1912="","",PPMT(Rate,ROWS($1:1900),Nper,-PV,,Type))</f>
        <v/>
      </c>
      <c r="I1912" s="69" t="str">
        <f>IF($B1912="","",IPMT(Rate,ROWS($1:1900),Nper,-PV,,Type))</f>
        <v/>
      </c>
      <c r="J1912" s="73" t="str">
        <f t="shared" ref="J1912:K1912" si="1902">IF($B1912="","",N(J1911)+N(H1912))</f>
        <v/>
      </c>
      <c r="K1912" s="74" t="str">
        <f t="shared" si="1902"/>
        <v/>
      </c>
      <c r="L1912" s="69" t="str">
        <f>IF($B1912="","",PV-J1912)</f>
        <v/>
      </c>
      <c r="M1912" s="71" t="str">
        <f>IF($B1912="","",J1912/PV)</f>
        <v/>
      </c>
      <c r="N1912" s="72" t="str">
        <f t="shared" si="4"/>
        <v/>
      </c>
    </row>
    <row r="1913" ht="14.25" customHeight="1">
      <c r="B1913" s="66" t="str">
        <f>IF(ROWS($1:1901)&lt;=Nper,ROWS($1:1901),"")</f>
        <v/>
      </c>
      <c r="C1913" s="67" t="str">
        <f>IF($B1913="","",IF($E$7="Weekly",Start_Date+7*(ROWS($1:1901)-1),EDATE(Start_Date,VLOOKUP(IF(ASTemp!$E$7="","Monthly",ASTemp!$E$7),Parameters!$B$3:$D$6,3,0)*(ROWS($1:1901)-1))))</f>
        <v/>
      </c>
      <c r="D1913" s="68" t="str">
        <f t="shared" si="2"/>
        <v/>
      </c>
      <c r="E1913" s="65" t="str">
        <f>IF($B1913="","",VLOOKUP(MONTH(C1913),Parameters!$F$2:$G$13,2,0))</f>
        <v/>
      </c>
      <c r="F1913" s="69" t="str">
        <f>IF($B1913="","",PV-N(J1912))</f>
        <v/>
      </c>
      <c r="G1913" s="69" t="str">
        <f>IF($B1913="","",PMT(Rate,Nper,-PV,,Type))</f>
        <v/>
      </c>
      <c r="H1913" s="69" t="str">
        <f>IF($B1913="","",PPMT(Rate,ROWS($1:1901),Nper,-PV,,Type))</f>
        <v/>
      </c>
      <c r="I1913" s="69" t="str">
        <f>IF($B1913="","",IPMT(Rate,ROWS($1:1901),Nper,-PV,,Type))</f>
        <v/>
      </c>
      <c r="J1913" s="73" t="str">
        <f t="shared" ref="J1913:K1913" si="1903">IF($B1913="","",N(J1912)+N(H1913))</f>
        <v/>
      </c>
      <c r="K1913" s="74" t="str">
        <f t="shared" si="1903"/>
        <v/>
      </c>
      <c r="L1913" s="69" t="str">
        <f>IF($B1913="","",PV-J1913)</f>
        <v/>
      </c>
      <c r="M1913" s="71" t="str">
        <f>IF($B1913="","",J1913/PV)</f>
        <v/>
      </c>
      <c r="N1913" s="72" t="str">
        <f t="shared" si="4"/>
        <v/>
      </c>
    </row>
    <row r="1914" ht="14.25" customHeight="1">
      <c r="B1914" s="66" t="str">
        <f>IF(ROWS($1:1902)&lt;=Nper,ROWS($1:1902),"")</f>
        <v/>
      </c>
      <c r="C1914" s="67" t="str">
        <f>IF($B1914="","",IF($E$7="Weekly",Start_Date+7*(ROWS($1:1902)-1),EDATE(Start_Date,VLOOKUP(IF(ASTemp!$E$7="","Monthly",ASTemp!$E$7),Parameters!$B$3:$D$6,3,0)*(ROWS($1:1902)-1))))</f>
        <v/>
      </c>
      <c r="D1914" s="68" t="str">
        <f t="shared" si="2"/>
        <v/>
      </c>
      <c r="E1914" s="65" t="str">
        <f>IF($B1914="","",VLOOKUP(MONTH(C1914),Parameters!$F$2:$G$13,2,0))</f>
        <v/>
      </c>
      <c r="F1914" s="69" t="str">
        <f>IF($B1914="","",PV-N(J1913))</f>
        <v/>
      </c>
      <c r="G1914" s="69" t="str">
        <f>IF($B1914="","",PMT(Rate,Nper,-PV,,Type))</f>
        <v/>
      </c>
      <c r="H1914" s="69" t="str">
        <f>IF($B1914="","",PPMT(Rate,ROWS($1:1902),Nper,-PV,,Type))</f>
        <v/>
      </c>
      <c r="I1914" s="69" t="str">
        <f>IF($B1914="","",IPMT(Rate,ROWS($1:1902),Nper,-PV,,Type))</f>
        <v/>
      </c>
      <c r="J1914" s="73" t="str">
        <f t="shared" ref="J1914:K1914" si="1904">IF($B1914="","",N(J1913)+N(H1914))</f>
        <v/>
      </c>
      <c r="K1914" s="74" t="str">
        <f t="shared" si="1904"/>
        <v/>
      </c>
      <c r="L1914" s="69" t="str">
        <f>IF($B1914="","",PV-J1914)</f>
        <v/>
      </c>
      <c r="M1914" s="71" t="str">
        <f>IF($B1914="","",J1914/PV)</f>
        <v/>
      </c>
      <c r="N1914" s="72" t="str">
        <f t="shared" si="4"/>
        <v/>
      </c>
    </row>
    <row r="1915" ht="14.25" customHeight="1">
      <c r="B1915" s="66" t="str">
        <f>IF(ROWS($1:1903)&lt;=Nper,ROWS($1:1903),"")</f>
        <v/>
      </c>
      <c r="C1915" s="67" t="str">
        <f>IF($B1915="","",IF($E$7="Weekly",Start_Date+7*(ROWS($1:1903)-1),EDATE(Start_Date,VLOOKUP(IF(ASTemp!$E$7="","Monthly",ASTemp!$E$7),Parameters!$B$3:$D$6,3,0)*(ROWS($1:1903)-1))))</f>
        <v/>
      </c>
      <c r="D1915" s="68" t="str">
        <f t="shared" si="2"/>
        <v/>
      </c>
      <c r="E1915" s="65" t="str">
        <f>IF($B1915="","",VLOOKUP(MONTH(C1915),Parameters!$F$2:$G$13,2,0))</f>
        <v/>
      </c>
      <c r="F1915" s="69" t="str">
        <f>IF($B1915="","",PV-N(J1914))</f>
        <v/>
      </c>
      <c r="G1915" s="69" t="str">
        <f>IF($B1915="","",PMT(Rate,Nper,-PV,,Type))</f>
        <v/>
      </c>
      <c r="H1915" s="69" t="str">
        <f>IF($B1915="","",PPMT(Rate,ROWS($1:1903),Nper,-PV,,Type))</f>
        <v/>
      </c>
      <c r="I1915" s="69" t="str">
        <f>IF($B1915="","",IPMT(Rate,ROWS($1:1903),Nper,-PV,,Type))</f>
        <v/>
      </c>
      <c r="J1915" s="73" t="str">
        <f t="shared" ref="J1915:K1915" si="1905">IF($B1915="","",N(J1914)+N(H1915))</f>
        <v/>
      </c>
      <c r="K1915" s="74" t="str">
        <f t="shared" si="1905"/>
        <v/>
      </c>
      <c r="L1915" s="69" t="str">
        <f>IF($B1915="","",PV-J1915)</f>
        <v/>
      </c>
      <c r="M1915" s="71" t="str">
        <f>IF($B1915="","",J1915/PV)</f>
        <v/>
      </c>
      <c r="N1915" s="72" t="str">
        <f t="shared" si="4"/>
        <v/>
      </c>
    </row>
    <row r="1916" ht="14.25" customHeight="1">
      <c r="B1916" s="66" t="str">
        <f>IF(ROWS($1:1904)&lt;=Nper,ROWS($1:1904),"")</f>
        <v/>
      </c>
      <c r="C1916" s="67" t="str">
        <f>IF($B1916="","",IF($E$7="Weekly",Start_Date+7*(ROWS($1:1904)-1),EDATE(Start_Date,VLOOKUP(IF(ASTemp!$E$7="","Monthly",ASTemp!$E$7),Parameters!$B$3:$D$6,3,0)*(ROWS($1:1904)-1))))</f>
        <v/>
      </c>
      <c r="D1916" s="68" t="str">
        <f t="shared" si="2"/>
        <v/>
      </c>
      <c r="E1916" s="65" t="str">
        <f>IF($B1916="","",VLOOKUP(MONTH(C1916),Parameters!$F$2:$G$13,2,0))</f>
        <v/>
      </c>
      <c r="F1916" s="69" t="str">
        <f>IF($B1916="","",PV-N(J1915))</f>
        <v/>
      </c>
      <c r="G1916" s="69" t="str">
        <f>IF($B1916="","",PMT(Rate,Nper,-PV,,Type))</f>
        <v/>
      </c>
      <c r="H1916" s="69" t="str">
        <f>IF($B1916="","",PPMT(Rate,ROWS($1:1904),Nper,-PV,,Type))</f>
        <v/>
      </c>
      <c r="I1916" s="69" t="str">
        <f>IF($B1916="","",IPMT(Rate,ROWS($1:1904),Nper,-PV,,Type))</f>
        <v/>
      </c>
      <c r="J1916" s="73" t="str">
        <f t="shared" ref="J1916:K1916" si="1906">IF($B1916="","",N(J1915)+N(H1916))</f>
        <v/>
      </c>
      <c r="K1916" s="74" t="str">
        <f t="shared" si="1906"/>
        <v/>
      </c>
      <c r="L1916" s="69" t="str">
        <f>IF($B1916="","",PV-J1916)</f>
        <v/>
      </c>
      <c r="M1916" s="71" t="str">
        <f>IF($B1916="","",J1916/PV)</f>
        <v/>
      </c>
      <c r="N1916" s="72" t="str">
        <f t="shared" si="4"/>
        <v/>
      </c>
    </row>
    <row r="1917" ht="14.25" customHeight="1">
      <c r="B1917" s="66" t="str">
        <f>IF(ROWS($1:1905)&lt;=Nper,ROWS($1:1905),"")</f>
        <v/>
      </c>
      <c r="C1917" s="67" t="str">
        <f>IF($B1917="","",IF($E$7="Weekly",Start_Date+7*(ROWS($1:1905)-1),EDATE(Start_Date,VLOOKUP(IF(ASTemp!$E$7="","Monthly",ASTemp!$E$7),Parameters!$B$3:$D$6,3,0)*(ROWS($1:1905)-1))))</f>
        <v/>
      </c>
      <c r="D1917" s="68" t="str">
        <f t="shared" si="2"/>
        <v/>
      </c>
      <c r="E1917" s="65" t="str">
        <f>IF($B1917="","",VLOOKUP(MONTH(C1917),Parameters!$F$2:$G$13,2,0))</f>
        <v/>
      </c>
      <c r="F1917" s="69" t="str">
        <f>IF($B1917="","",PV-N(J1916))</f>
        <v/>
      </c>
      <c r="G1917" s="69" t="str">
        <f>IF($B1917="","",PMT(Rate,Nper,-PV,,Type))</f>
        <v/>
      </c>
      <c r="H1917" s="69" t="str">
        <f>IF($B1917="","",PPMT(Rate,ROWS($1:1905),Nper,-PV,,Type))</f>
        <v/>
      </c>
      <c r="I1917" s="69" t="str">
        <f>IF($B1917="","",IPMT(Rate,ROWS($1:1905),Nper,-PV,,Type))</f>
        <v/>
      </c>
      <c r="J1917" s="73" t="str">
        <f t="shared" ref="J1917:K1917" si="1907">IF($B1917="","",N(J1916)+N(H1917))</f>
        <v/>
      </c>
      <c r="K1917" s="74" t="str">
        <f t="shared" si="1907"/>
        <v/>
      </c>
      <c r="L1917" s="69" t="str">
        <f>IF($B1917="","",PV-J1917)</f>
        <v/>
      </c>
      <c r="M1917" s="71" t="str">
        <f>IF($B1917="","",J1917/PV)</f>
        <v/>
      </c>
      <c r="N1917" s="72" t="str">
        <f t="shared" si="4"/>
        <v/>
      </c>
    </row>
    <row r="1918" ht="14.25" customHeight="1">
      <c r="B1918" s="66" t="str">
        <f>IF(ROWS($1:1906)&lt;=Nper,ROWS($1:1906),"")</f>
        <v/>
      </c>
      <c r="C1918" s="67" t="str">
        <f>IF($B1918="","",IF($E$7="Weekly",Start_Date+7*(ROWS($1:1906)-1),EDATE(Start_Date,VLOOKUP(IF(ASTemp!$E$7="","Monthly",ASTemp!$E$7),Parameters!$B$3:$D$6,3,0)*(ROWS($1:1906)-1))))</f>
        <v/>
      </c>
      <c r="D1918" s="68" t="str">
        <f t="shared" si="2"/>
        <v/>
      </c>
      <c r="E1918" s="65" t="str">
        <f>IF($B1918="","",VLOOKUP(MONTH(C1918),Parameters!$F$2:$G$13,2,0))</f>
        <v/>
      </c>
      <c r="F1918" s="69" t="str">
        <f>IF($B1918="","",PV-N(J1917))</f>
        <v/>
      </c>
      <c r="G1918" s="69" t="str">
        <f>IF($B1918="","",PMT(Rate,Nper,-PV,,Type))</f>
        <v/>
      </c>
      <c r="H1918" s="69" t="str">
        <f>IF($B1918="","",PPMT(Rate,ROWS($1:1906),Nper,-PV,,Type))</f>
        <v/>
      </c>
      <c r="I1918" s="69" t="str">
        <f>IF($B1918="","",IPMT(Rate,ROWS($1:1906),Nper,-PV,,Type))</f>
        <v/>
      </c>
      <c r="J1918" s="73" t="str">
        <f t="shared" ref="J1918:K1918" si="1908">IF($B1918="","",N(J1917)+N(H1918))</f>
        <v/>
      </c>
      <c r="K1918" s="74" t="str">
        <f t="shared" si="1908"/>
        <v/>
      </c>
      <c r="L1918" s="69" t="str">
        <f>IF($B1918="","",PV-J1918)</f>
        <v/>
      </c>
      <c r="M1918" s="71" t="str">
        <f>IF($B1918="","",J1918/PV)</f>
        <v/>
      </c>
      <c r="N1918" s="72" t="str">
        <f t="shared" si="4"/>
        <v/>
      </c>
    </row>
    <row r="1919" ht="14.25" customHeight="1">
      <c r="B1919" s="66" t="str">
        <f>IF(ROWS($1:1907)&lt;=Nper,ROWS($1:1907),"")</f>
        <v/>
      </c>
      <c r="C1919" s="67" t="str">
        <f>IF($B1919="","",IF($E$7="Weekly",Start_Date+7*(ROWS($1:1907)-1),EDATE(Start_Date,VLOOKUP(IF(ASTemp!$E$7="","Monthly",ASTemp!$E$7),Parameters!$B$3:$D$6,3,0)*(ROWS($1:1907)-1))))</f>
        <v/>
      </c>
      <c r="D1919" s="68" t="str">
        <f t="shared" si="2"/>
        <v/>
      </c>
      <c r="E1919" s="65" t="str">
        <f>IF($B1919="","",VLOOKUP(MONTH(C1919),Parameters!$F$2:$G$13,2,0))</f>
        <v/>
      </c>
      <c r="F1919" s="69" t="str">
        <f>IF($B1919="","",PV-N(J1918))</f>
        <v/>
      </c>
      <c r="G1919" s="69" t="str">
        <f>IF($B1919="","",PMT(Rate,Nper,-PV,,Type))</f>
        <v/>
      </c>
      <c r="H1919" s="69" t="str">
        <f>IF($B1919="","",PPMT(Rate,ROWS($1:1907),Nper,-PV,,Type))</f>
        <v/>
      </c>
      <c r="I1919" s="69" t="str">
        <f>IF($B1919="","",IPMT(Rate,ROWS($1:1907),Nper,-PV,,Type))</f>
        <v/>
      </c>
      <c r="J1919" s="73" t="str">
        <f t="shared" ref="J1919:K1919" si="1909">IF($B1919="","",N(J1918)+N(H1919))</f>
        <v/>
      </c>
      <c r="K1919" s="74" t="str">
        <f t="shared" si="1909"/>
        <v/>
      </c>
      <c r="L1919" s="69" t="str">
        <f>IF($B1919="","",PV-J1919)</f>
        <v/>
      </c>
      <c r="M1919" s="71" t="str">
        <f>IF($B1919="","",J1919/PV)</f>
        <v/>
      </c>
      <c r="N1919" s="72" t="str">
        <f t="shared" si="4"/>
        <v/>
      </c>
    </row>
    <row r="1920" ht="14.25" customHeight="1">
      <c r="B1920" s="66" t="str">
        <f>IF(ROWS($1:1908)&lt;=Nper,ROWS($1:1908),"")</f>
        <v/>
      </c>
      <c r="C1920" s="67" t="str">
        <f>IF($B1920="","",IF($E$7="Weekly",Start_Date+7*(ROWS($1:1908)-1),EDATE(Start_Date,VLOOKUP(IF(ASTemp!$E$7="","Monthly",ASTemp!$E$7),Parameters!$B$3:$D$6,3,0)*(ROWS($1:1908)-1))))</f>
        <v/>
      </c>
      <c r="D1920" s="68" t="str">
        <f t="shared" si="2"/>
        <v/>
      </c>
      <c r="E1920" s="65" t="str">
        <f>IF($B1920="","",VLOOKUP(MONTH(C1920),Parameters!$F$2:$G$13,2,0))</f>
        <v/>
      </c>
      <c r="F1920" s="69" t="str">
        <f>IF($B1920="","",PV-N(J1919))</f>
        <v/>
      </c>
      <c r="G1920" s="69" t="str">
        <f>IF($B1920="","",PMT(Rate,Nper,-PV,,Type))</f>
        <v/>
      </c>
      <c r="H1920" s="69" t="str">
        <f>IF($B1920="","",PPMT(Rate,ROWS($1:1908),Nper,-PV,,Type))</f>
        <v/>
      </c>
      <c r="I1920" s="69" t="str">
        <f>IF($B1920="","",IPMT(Rate,ROWS($1:1908),Nper,-PV,,Type))</f>
        <v/>
      </c>
      <c r="J1920" s="73" t="str">
        <f t="shared" ref="J1920:K1920" si="1910">IF($B1920="","",N(J1919)+N(H1920))</f>
        <v/>
      </c>
      <c r="K1920" s="74" t="str">
        <f t="shared" si="1910"/>
        <v/>
      </c>
      <c r="L1920" s="69" t="str">
        <f>IF($B1920="","",PV-J1920)</f>
        <v/>
      </c>
      <c r="M1920" s="71" t="str">
        <f>IF($B1920="","",J1920/PV)</f>
        <v/>
      </c>
      <c r="N1920" s="72" t="str">
        <f t="shared" si="4"/>
        <v/>
      </c>
    </row>
    <row r="1921" ht="14.25" customHeight="1">
      <c r="B1921" s="66" t="str">
        <f>IF(ROWS($1:1909)&lt;=Nper,ROWS($1:1909),"")</f>
        <v/>
      </c>
      <c r="C1921" s="67" t="str">
        <f>IF($B1921="","",IF($E$7="Weekly",Start_Date+7*(ROWS($1:1909)-1),EDATE(Start_Date,VLOOKUP(IF(ASTemp!$E$7="","Monthly",ASTemp!$E$7),Parameters!$B$3:$D$6,3,0)*(ROWS($1:1909)-1))))</f>
        <v/>
      </c>
      <c r="D1921" s="68" t="str">
        <f t="shared" si="2"/>
        <v/>
      </c>
      <c r="E1921" s="65" t="str">
        <f>IF($B1921="","",VLOOKUP(MONTH(C1921),Parameters!$F$2:$G$13,2,0))</f>
        <v/>
      </c>
      <c r="F1921" s="69" t="str">
        <f>IF($B1921="","",PV-N(J1920))</f>
        <v/>
      </c>
      <c r="G1921" s="69" t="str">
        <f>IF($B1921="","",PMT(Rate,Nper,-PV,,Type))</f>
        <v/>
      </c>
      <c r="H1921" s="69" t="str">
        <f>IF($B1921="","",PPMT(Rate,ROWS($1:1909),Nper,-PV,,Type))</f>
        <v/>
      </c>
      <c r="I1921" s="69" t="str">
        <f>IF($B1921="","",IPMT(Rate,ROWS($1:1909),Nper,-PV,,Type))</f>
        <v/>
      </c>
      <c r="J1921" s="73" t="str">
        <f t="shared" ref="J1921:K1921" si="1911">IF($B1921="","",N(J1920)+N(H1921))</f>
        <v/>
      </c>
      <c r="K1921" s="74" t="str">
        <f t="shared" si="1911"/>
        <v/>
      </c>
      <c r="L1921" s="69" t="str">
        <f>IF($B1921="","",PV-J1921)</f>
        <v/>
      </c>
      <c r="M1921" s="71" t="str">
        <f>IF($B1921="","",J1921/PV)</f>
        <v/>
      </c>
      <c r="N1921" s="72" t="str">
        <f t="shared" si="4"/>
        <v/>
      </c>
    </row>
    <row r="1922" ht="14.25" customHeight="1">
      <c r="B1922" s="66" t="str">
        <f>IF(ROWS($1:1910)&lt;=Nper,ROWS($1:1910),"")</f>
        <v/>
      </c>
      <c r="C1922" s="67" t="str">
        <f>IF($B1922="","",IF($E$7="Weekly",Start_Date+7*(ROWS($1:1910)-1),EDATE(Start_Date,VLOOKUP(IF(ASTemp!$E$7="","Monthly",ASTemp!$E$7),Parameters!$B$3:$D$6,3,0)*(ROWS($1:1910)-1))))</f>
        <v/>
      </c>
      <c r="D1922" s="68" t="str">
        <f t="shared" si="2"/>
        <v/>
      </c>
      <c r="E1922" s="65" t="str">
        <f>IF($B1922="","",VLOOKUP(MONTH(C1922),Parameters!$F$2:$G$13,2,0))</f>
        <v/>
      </c>
      <c r="F1922" s="69" t="str">
        <f>IF($B1922="","",PV-N(J1921))</f>
        <v/>
      </c>
      <c r="G1922" s="69" t="str">
        <f>IF($B1922="","",PMT(Rate,Nper,-PV,,Type))</f>
        <v/>
      </c>
      <c r="H1922" s="69" t="str">
        <f>IF($B1922="","",PPMT(Rate,ROWS($1:1910),Nper,-PV,,Type))</f>
        <v/>
      </c>
      <c r="I1922" s="69" t="str">
        <f>IF($B1922="","",IPMT(Rate,ROWS($1:1910),Nper,-PV,,Type))</f>
        <v/>
      </c>
      <c r="J1922" s="73" t="str">
        <f t="shared" ref="J1922:K1922" si="1912">IF($B1922="","",N(J1921)+N(H1922))</f>
        <v/>
      </c>
      <c r="K1922" s="74" t="str">
        <f t="shared" si="1912"/>
        <v/>
      </c>
      <c r="L1922" s="69" t="str">
        <f>IF($B1922="","",PV-J1922)</f>
        <v/>
      </c>
      <c r="M1922" s="71" t="str">
        <f>IF($B1922="","",J1922/PV)</f>
        <v/>
      </c>
      <c r="N1922" s="72" t="str">
        <f t="shared" si="4"/>
        <v/>
      </c>
    </row>
    <row r="1923" ht="14.25" customHeight="1">
      <c r="B1923" s="66" t="str">
        <f>IF(ROWS($1:1911)&lt;=Nper,ROWS($1:1911),"")</f>
        <v/>
      </c>
      <c r="C1923" s="67" t="str">
        <f>IF($B1923="","",IF($E$7="Weekly",Start_Date+7*(ROWS($1:1911)-1),EDATE(Start_Date,VLOOKUP(IF(ASTemp!$E$7="","Monthly",ASTemp!$E$7),Parameters!$B$3:$D$6,3,0)*(ROWS($1:1911)-1))))</f>
        <v/>
      </c>
      <c r="D1923" s="68" t="str">
        <f t="shared" si="2"/>
        <v/>
      </c>
      <c r="E1923" s="65" t="str">
        <f>IF($B1923="","",VLOOKUP(MONTH(C1923),Parameters!$F$2:$G$13,2,0))</f>
        <v/>
      </c>
      <c r="F1923" s="69" t="str">
        <f>IF($B1923="","",PV-N(J1922))</f>
        <v/>
      </c>
      <c r="G1923" s="69" t="str">
        <f>IF($B1923="","",PMT(Rate,Nper,-PV,,Type))</f>
        <v/>
      </c>
      <c r="H1923" s="69" t="str">
        <f>IF($B1923="","",PPMT(Rate,ROWS($1:1911),Nper,-PV,,Type))</f>
        <v/>
      </c>
      <c r="I1923" s="69" t="str">
        <f>IF($B1923="","",IPMT(Rate,ROWS($1:1911),Nper,-PV,,Type))</f>
        <v/>
      </c>
      <c r="J1923" s="73" t="str">
        <f t="shared" ref="J1923:K1923" si="1913">IF($B1923="","",N(J1922)+N(H1923))</f>
        <v/>
      </c>
      <c r="K1923" s="74" t="str">
        <f t="shared" si="1913"/>
        <v/>
      </c>
      <c r="L1923" s="69" t="str">
        <f>IF($B1923="","",PV-J1923)</f>
        <v/>
      </c>
      <c r="M1923" s="71" t="str">
        <f>IF($B1923="","",J1923/PV)</f>
        <v/>
      </c>
      <c r="N1923" s="72" t="str">
        <f t="shared" si="4"/>
        <v/>
      </c>
    </row>
    <row r="1924" ht="14.25" customHeight="1">
      <c r="B1924" s="66" t="str">
        <f>IF(ROWS($1:1912)&lt;=Nper,ROWS($1:1912),"")</f>
        <v/>
      </c>
      <c r="C1924" s="67" t="str">
        <f>IF($B1924="","",IF($E$7="Weekly",Start_Date+7*(ROWS($1:1912)-1),EDATE(Start_Date,VLOOKUP(IF(ASTemp!$E$7="","Monthly",ASTemp!$E$7),Parameters!$B$3:$D$6,3,0)*(ROWS($1:1912)-1))))</f>
        <v/>
      </c>
      <c r="D1924" s="68" t="str">
        <f t="shared" si="2"/>
        <v/>
      </c>
      <c r="E1924" s="65" t="str">
        <f>IF($B1924="","",VLOOKUP(MONTH(C1924),Parameters!$F$2:$G$13,2,0))</f>
        <v/>
      </c>
      <c r="F1924" s="69" t="str">
        <f>IF($B1924="","",PV-N(J1923))</f>
        <v/>
      </c>
      <c r="G1924" s="69" t="str">
        <f>IF($B1924="","",PMT(Rate,Nper,-PV,,Type))</f>
        <v/>
      </c>
      <c r="H1924" s="69" t="str">
        <f>IF($B1924="","",PPMT(Rate,ROWS($1:1912),Nper,-PV,,Type))</f>
        <v/>
      </c>
      <c r="I1924" s="69" t="str">
        <f>IF($B1924="","",IPMT(Rate,ROWS($1:1912),Nper,-PV,,Type))</f>
        <v/>
      </c>
      <c r="J1924" s="73" t="str">
        <f t="shared" ref="J1924:K1924" si="1914">IF($B1924="","",N(J1923)+N(H1924))</f>
        <v/>
      </c>
      <c r="K1924" s="74" t="str">
        <f t="shared" si="1914"/>
        <v/>
      </c>
      <c r="L1924" s="69" t="str">
        <f>IF($B1924="","",PV-J1924)</f>
        <v/>
      </c>
      <c r="M1924" s="71" t="str">
        <f>IF($B1924="","",J1924/PV)</f>
        <v/>
      </c>
      <c r="N1924" s="72" t="str">
        <f t="shared" si="4"/>
        <v/>
      </c>
    </row>
    <row r="1925" ht="14.25" customHeight="1">
      <c r="B1925" s="66" t="str">
        <f>IF(ROWS($1:1913)&lt;=Nper,ROWS($1:1913),"")</f>
        <v/>
      </c>
      <c r="C1925" s="67" t="str">
        <f>IF($B1925="","",IF($E$7="Weekly",Start_Date+7*(ROWS($1:1913)-1),EDATE(Start_Date,VLOOKUP(IF(ASTemp!$E$7="","Monthly",ASTemp!$E$7),Parameters!$B$3:$D$6,3,0)*(ROWS($1:1913)-1))))</f>
        <v/>
      </c>
      <c r="D1925" s="68" t="str">
        <f t="shared" si="2"/>
        <v/>
      </c>
      <c r="E1925" s="65" t="str">
        <f>IF($B1925="","",VLOOKUP(MONTH(C1925),Parameters!$F$2:$G$13,2,0))</f>
        <v/>
      </c>
      <c r="F1925" s="69" t="str">
        <f>IF($B1925="","",PV-N(J1924))</f>
        <v/>
      </c>
      <c r="G1925" s="69" t="str">
        <f>IF($B1925="","",PMT(Rate,Nper,-PV,,Type))</f>
        <v/>
      </c>
      <c r="H1925" s="69" t="str">
        <f>IF($B1925="","",PPMT(Rate,ROWS($1:1913),Nper,-PV,,Type))</f>
        <v/>
      </c>
      <c r="I1925" s="69" t="str">
        <f>IF($B1925="","",IPMT(Rate,ROWS($1:1913),Nper,-PV,,Type))</f>
        <v/>
      </c>
      <c r="J1925" s="73" t="str">
        <f t="shared" ref="J1925:K1925" si="1915">IF($B1925="","",N(J1924)+N(H1925))</f>
        <v/>
      </c>
      <c r="K1925" s="74" t="str">
        <f t="shared" si="1915"/>
        <v/>
      </c>
      <c r="L1925" s="69" t="str">
        <f>IF($B1925="","",PV-J1925)</f>
        <v/>
      </c>
      <c r="M1925" s="71" t="str">
        <f>IF($B1925="","",J1925/PV)</f>
        <v/>
      </c>
      <c r="N1925" s="72" t="str">
        <f t="shared" si="4"/>
        <v/>
      </c>
    </row>
    <row r="1926" ht="14.25" customHeight="1">
      <c r="B1926" s="66" t="str">
        <f>IF(ROWS($1:1914)&lt;=Nper,ROWS($1:1914),"")</f>
        <v/>
      </c>
      <c r="C1926" s="67" t="str">
        <f>IF($B1926="","",IF($E$7="Weekly",Start_Date+7*(ROWS($1:1914)-1),EDATE(Start_Date,VLOOKUP(IF(ASTemp!$E$7="","Monthly",ASTemp!$E$7),Parameters!$B$3:$D$6,3,0)*(ROWS($1:1914)-1))))</f>
        <v/>
      </c>
      <c r="D1926" s="68" t="str">
        <f t="shared" si="2"/>
        <v/>
      </c>
      <c r="E1926" s="65" t="str">
        <f>IF($B1926="","",VLOOKUP(MONTH(C1926),Parameters!$F$2:$G$13,2,0))</f>
        <v/>
      </c>
      <c r="F1926" s="69" t="str">
        <f>IF($B1926="","",PV-N(J1925))</f>
        <v/>
      </c>
      <c r="G1926" s="69" t="str">
        <f>IF($B1926="","",PMT(Rate,Nper,-PV,,Type))</f>
        <v/>
      </c>
      <c r="H1926" s="69" t="str">
        <f>IF($B1926="","",PPMT(Rate,ROWS($1:1914),Nper,-PV,,Type))</f>
        <v/>
      </c>
      <c r="I1926" s="69" t="str">
        <f>IF($B1926="","",IPMT(Rate,ROWS($1:1914),Nper,-PV,,Type))</f>
        <v/>
      </c>
      <c r="J1926" s="73" t="str">
        <f t="shared" ref="J1926:K1926" si="1916">IF($B1926="","",N(J1925)+N(H1926))</f>
        <v/>
      </c>
      <c r="K1926" s="74" t="str">
        <f t="shared" si="1916"/>
        <v/>
      </c>
      <c r="L1926" s="69" t="str">
        <f>IF($B1926="","",PV-J1926)</f>
        <v/>
      </c>
      <c r="M1926" s="71" t="str">
        <f>IF($B1926="","",J1926/PV)</f>
        <v/>
      </c>
      <c r="N1926" s="72" t="str">
        <f t="shared" si="4"/>
        <v/>
      </c>
    </row>
    <row r="1927" ht="14.25" customHeight="1">
      <c r="B1927" s="66" t="str">
        <f>IF(ROWS($1:1915)&lt;=Nper,ROWS($1:1915),"")</f>
        <v/>
      </c>
      <c r="C1927" s="67" t="str">
        <f>IF($B1927="","",IF($E$7="Weekly",Start_Date+7*(ROWS($1:1915)-1),EDATE(Start_Date,VLOOKUP(IF(ASTemp!$E$7="","Monthly",ASTemp!$E$7),Parameters!$B$3:$D$6,3,0)*(ROWS($1:1915)-1))))</f>
        <v/>
      </c>
      <c r="D1927" s="68" t="str">
        <f t="shared" si="2"/>
        <v/>
      </c>
      <c r="E1927" s="65" t="str">
        <f>IF($B1927="","",VLOOKUP(MONTH(C1927),Parameters!$F$2:$G$13,2,0))</f>
        <v/>
      </c>
      <c r="F1927" s="69" t="str">
        <f>IF($B1927="","",PV-N(J1926))</f>
        <v/>
      </c>
      <c r="G1927" s="69" t="str">
        <f>IF($B1927="","",PMT(Rate,Nper,-PV,,Type))</f>
        <v/>
      </c>
      <c r="H1927" s="69" t="str">
        <f>IF($B1927="","",PPMT(Rate,ROWS($1:1915),Nper,-PV,,Type))</f>
        <v/>
      </c>
      <c r="I1927" s="69" t="str">
        <f>IF($B1927="","",IPMT(Rate,ROWS($1:1915),Nper,-PV,,Type))</f>
        <v/>
      </c>
      <c r="J1927" s="73" t="str">
        <f t="shared" ref="J1927:K1927" si="1917">IF($B1927="","",N(J1926)+N(H1927))</f>
        <v/>
      </c>
      <c r="K1927" s="74" t="str">
        <f t="shared" si="1917"/>
        <v/>
      </c>
      <c r="L1927" s="69" t="str">
        <f>IF($B1927="","",PV-J1927)</f>
        <v/>
      </c>
      <c r="M1927" s="71" t="str">
        <f>IF($B1927="","",J1927/PV)</f>
        <v/>
      </c>
      <c r="N1927" s="72" t="str">
        <f t="shared" si="4"/>
        <v/>
      </c>
    </row>
    <row r="1928" ht="14.25" customHeight="1">
      <c r="B1928" s="66" t="str">
        <f>IF(ROWS($1:1916)&lt;=Nper,ROWS($1:1916),"")</f>
        <v/>
      </c>
      <c r="C1928" s="67" t="str">
        <f>IF($B1928="","",IF($E$7="Weekly",Start_Date+7*(ROWS($1:1916)-1),EDATE(Start_Date,VLOOKUP(IF(ASTemp!$E$7="","Monthly",ASTemp!$E$7),Parameters!$B$3:$D$6,3,0)*(ROWS($1:1916)-1))))</f>
        <v/>
      </c>
      <c r="D1928" s="68" t="str">
        <f t="shared" si="2"/>
        <v/>
      </c>
      <c r="E1928" s="65" t="str">
        <f>IF($B1928="","",VLOOKUP(MONTH(C1928),Parameters!$F$2:$G$13,2,0))</f>
        <v/>
      </c>
      <c r="F1928" s="69" t="str">
        <f>IF($B1928="","",PV-N(J1927))</f>
        <v/>
      </c>
      <c r="G1928" s="69" t="str">
        <f>IF($B1928="","",PMT(Rate,Nper,-PV,,Type))</f>
        <v/>
      </c>
      <c r="H1928" s="69" t="str">
        <f>IF($B1928="","",PPMT(Rate,ROWS($1:1916),Nper,-PV,,Type))</f>
        <v/>
      </c>
      <c r="I1928" s="69" t="str">
        <f>IF($B1928="","",IPMT(Rate,ROWS($1:1916),Nper,-PV,,Type))</f>
        <v/>
      </c>
      <c r="J1928" s="73" t="str">
        <f t="shared" ref="J1928:K1928" si="1918">IF($B1928="","",N(J1927)+N(H1928))</f>
        <v/>
      </c>
      <c r="K1928" s="74" t="str">
        <f t="shared" si="1918"/>
        <v/>
      </c>
      <c r="L1928" s="69" t="str">
        <f>IF($B1928="","",PV-J1928)</f>
        <v/>
      </c>
      <c r="M1928" s="71" t="str">
        <f>IF($B1928="","",J1928/PV)</f>
        <v/>
      </c>
      <c r="N1928" s="72" t="str">
        <f t="shared" si="4"/>
        <v/>
      </c>
    </row>
    <row r="1929" ht="14.25" customHeight="1">
      <c r="B1929" s="66" t="str">
        <f>IF(ROWS($1:1917)&lt;=Nper,ROWS($1:1917),"")</f>
        <v/>
      </c>
      <c r="C1929" s="67" t="str">
        <f>IF($B1929="","",IF($E$7="Weekly",Start_Date+7*(ROWS($1:1917)-1),EDATE(Start_Date,VLOOKUP(IF(ASTemp!$E$7="","Monthly",ASTemp!$E$7),Parameters!$B$3:$D$6,3,0)*(ROWS($1:1917)-1))))</f>
        <v/>
      </c>
      <c r="D1929" s="68" t="str">
        <f t="shared" si="2"/>
        <v/>
      </c>
      <c r="E1929" s="65" t="str">
        <f>IF($B1929="","",VLOOKUP(MONTH(C1929),Parameters!$F$2:$G$13,2,0))</f>
        <v/>
      </c>
      <c r="F1929" s="69" t="str">
        <f>IF($B1929="","",PV-N(J1928))</f>
        <v/>
      </c>
      <c r="G1929" s="69" t="str">
        <f>IF($B1929="","",PMT(Rate,Nper,-PV,,Type))</f>
        <v/>
      </c>
      <c r="H1929" s="69" t="str">
        <f>IF($B1929="","",PPMT(Rate,ROWS($1:1917),Nper,-PV,,Type))</f>
        <v/>
      </c>
      <c r="I1929" s="69" t="str">
        <f>IF($B1929="","",IPMT(Rate,ROWS($1:1917),Nper,-PV,,Type))</f>
        <v/>
      </c>
      <c r="J1929" s="73" t="str">
        <f t="shared" ref="J1929:K1929" si="1919">IF($B1929="","",N(J1928)+N(H1929))</f>
        <v/>
      </c>
      <c r="K1929" s="74" t="str">
        <f t="shared" si="1919"/>
        <v/>
      </c>
      <c r="L1929" s="69" t="str">
        <f>IF($B1929="","",PV-J1929)</f>
        <v/>
      </c>
      <c r="M1929" s="71" t="str">
        <f>IF($B1929="","",J1929/PV)</f>
        <v/>
      </c>
      <c r="N1929" s="72" t="str">
        <f t="shared" si="4"/>
        <v/>
      </c>
    </row>
    <row r="1930" ht="14.25" customHeight="1">
      <c r="B1930" s="66" t="str">
        <f>IF(ROWS($1:1918)&lt;=Nper,ROWS($1:1918),"")</f>
        <v/>
      </c>
      <c r="C1930" s="67" t="str">
        <f>IF($B1930="","",IF($E$7="Weekly",Start_Date+7*(ROWS($1:1918)-1),EDATE(Start_Date,VLOOKUP(IF(ASTemp!$E$7="","Monthly",ASTemp!$E$7),Parameters!$B$3:$D$6,3,0)*(ROWS($1:1918)-1))))</f>
        <v/>
      </c>
      <c r="D1930" s="68" t="str">
        <f t="shared" si="2"/>
        <v/>
      </c>
      <c r="E1930" s="65" t="str">
        <f>IF($B1930="","",VLOOKUP(MONTH(C1930),Parameters!$F$2:$G$13,2,0))</f>
        <v/>
      </c>
      <c r="F1930" s="69" t="str">
        <f>IF($B1930="","",PV-N(J1929))</f>
        <v/>
      </c>
      <c r="G1930" s="69" t="str">
        <f>IF($B1930="","",PMT(Rate,Nper,-PV,,Type))</f>
        <v/>
      </c>
      <c r="H1930" s="69" t="str">
        <f>IF($B1930="","",PPMT(Rate,ROWS($1:1918),Nper,-PV,,Type))</f>
        <v/>
      </c>
      <c r="I1930" s="69" t="str">
        <f>IF($B1930="","",IPMT(Rate,ROWS($1:1918),Nper,-PV,,Type))</f>
        <v/>
      </c>
      <c r="J1930" s="73" t="str">
        <f t="shared" ref="J1930:K1930" si="1920">IF($B1930="","",N(J1929)+N(H1930))</f>
        <v/>
      </c>
      <c r="K1930" s="74" t="str">
        <f t="shared" si="1920"/>
        <v/>
      </c>
      <c r="L1930" s="69" t="str">
        <f>IF($B1930="","",PV-J1930)</f>
        <v/>
      </c>
      <c r="M1930" s="71" t="str">
        <f>IF($B1930="","",J1930/PV)</f>
        <v/>
      </c>
      <c r="N1930" s="72" t="str">
        <f t="shared" si="4"/>
        <v/>
      </c>
    </row>
    <row r="1931" ht="14.25" customHeight="1">
      <c r="B1931" s="66" t="str">
        <f>IF(ROWS($1:1919)&lt;=Nper,ROWS($1:1919),"")</f>
        <v/>
      </c>
      <c r="C1931" s="67" t="str">
        <f>IF($B1931="","",IF($E$7="Weekly",Start_Date+7*(ROWS($1:1919)-1),EDATE(Start_Date,VLOOKUP(IF(ASTemp!$E$7="","Monthly",ASTemp!$E$7),Parameters!$B$3:$D$6,3,0)*(ROWS($1:1919)-1))))</f>
        <v/>
      </c>
      <c r="D1931" s="68" t="str">
        <f t="shared" si="2"/>
        <v/>
      </c>
      <c r="E1931" s="65" t="str">
        <f>IF($B1931="","",VLOOKUP(MONTH(C1931),Parameters!$F$2:$G$13,2,0))</f>
        <v/>
      </c>
      <c r="F1931" s="69" t="str">
        <f>IF($B1931="","",PV-N(J1930))</f>
        <v/>
      </c>
      <c r="G1931" s="69" t="str">
        <f>IF($B1931="","",PMT(Rate,Nper,-PV,,Type))</f>
        <v/>
      </c>
      <c r="H1931" s="69" t="str">
        <f>IF($B1931="","",PPMT(Rate,ROWS($1:1919),Nper,-PV,,Type))</f>
        <v/>
      </c>
      <c r="I1931" s="69" t="str">
        <f>IF($B1931="","",IPMT(Rate,ROWS($1:1919),Nper,-PV,,Type))</f>
        <v/>
      </c>
      <c r="J1931" s="73" t="str">
        <f t="shared" ref="J1931:K1931" si="1921">IF($B1931="","",N(J1930)+N(H1931))</f>
        <v/>
      </c>
      <c r="K1931" s="74" t="str">
        <f t="shared" si="1921"/>
        <v/>
      </c>
      <c r="L1931" s="69" t="str">
        <f>IF($B1931="","",PV-J1931)</f>
        <v/>
      </c>
      <c r="M1931" s="71" t="str">
        <f>IF($B1931="","",J1931/PV)</f>
        <v/>
      </c>
      <c r="N1931" s="72" t="str">
        <f t="shared" si="4"/>
        <v/>
      </c>
    </row>
    <row r="1932" ht="14.25" customHeight="1">
      <c r="B1932" s="66" t="str">
        <f>IF(ROWS($1:1920)&lt;=Nper,ROWS($1:1920),"")</f>
        <v/>
      </c>
      <c r="C1932" s="67" t="str">
        <f>IF($B1932="","",IF($E$7="Weekly",Start_Date+7*(ROWS($1:1920)-1),EDATE(Start_Date,VLOOKUP(IF(ASTemp!$E$7="","Monthly",ASTemp!$E$7),Parameters!$B$3:$D$6,3,0)*(ROWS($1:1920)-1))))</f>
        <v/>
      </c>
      <c r="D1932" s="68" t="str">
        <f t="shared" si="2"/>
        <v/>
      </c>
      <c r="E1932" s="65" t="str">
        <f>IF($B1932="","",VLOOKUP(MONTH(C1932),Parameters!$F$2:$G$13,2,0))</f>
        <v/>
      </c>
      <c r="F1932" s="69" t="str">
        <f>IF($B1932="","",PV-N(J1931))</f>
        <v/>
      </c>
      <c r="G1932" s="69" t="str">
        <f>IF($B1932="","",PMT(Rate,Nper,-PV,,Type))</f>
        <v/>
      </c>
      <c r="H1932" s="69" t="str">
        <f>IF($B1932="","",PPMT(Rate,ROWS($1:1920),Nper,-PV,,Type))</f>
        <v/>
      </c>
      <c r="I1932" s="69" t="str">
        <f>IF($B1932="","",IPMT(Rate,ROWS($1:1920),Nper,-PV,,Type))</f>
        <v/>
      </c>
      <c r="J1932" s="73" t="str">
        <f t="shared" ref="J1932:K1932" si="1922">IF($B1932="","",N(J1931)+N(H1932))</f>
        <v/>
      </c>
      <c r="K1932" s="74" t="str">
        <f t="shared" si="1922"/>
        <v/>
      </c>
      <c r="L1932" s="69" t="str">
        <f>IF($B1932="","",PV-J1932)</f>
        <v/>
      </c>
      <c r="M1932" s="71" t="str">
        <f>IF($B1932="","",J1932/PV)</f>
        <v/>
      </c>
      <c r="N1932" s="72" t="str">
        <f t="shared" si="4"/>
        <v/>
      </c>
    </row>
    <row r="1933" ht="14.25" customHeight="1">
      <c r="B1933" s="66" t="str">
        <f>IF(ROWS($1:1921)&lt;=Nper,ROWS($1:1921),"")</f>
        <v/>
      </c>
      <c r="C1933" s="67" t="str">
        <f>IF($B1933="","",IF($E$7="Weekly",Start_Date+7*(ROWS($1:1921)-1),EDATE(Start_Date,VLOOKUP(IF(ASTemp!$E$7="","Monthly",ASTemp!$E$7),Parameters!$B$3:$D$6,3,0)*(ROWS($1:1921)-1))))</f>
        <v/>
      </c>
      <c r="D1933" s="68" t="str">
        <f t="shared" si="2"/>
        <v/>
      </c>
      <c r="E1933" s="65" t="str">
        <f>IF($B1933="","",VLOOKUP(MONTH(C1933),Parameters!$F$2:$G$13,2,0))</f>
        <v/>
      </c>
      <c r="F1933" s="69" t="str">
        <f>IF($B1933="","",PV-N(J1932))</f>
        <v/>
      </c>
      <c r="G1933" s="69" t="str">
        <f>IF($B1933="","",PMT(Rate,Nper,-PV,,Type))</f>
        <v/>
      </c>
      <c r="H1933" s="69" t="str">
        <f>IF($B1933="","",PPMT(Rate,ROWS($1:1921),Nper,-PV,,Type))</f>
        <v/>
      </c>
      <c r="I1933" s="69" t="str">
        <f>IF($B1933="","",IPMT(Rate,ROWS($1:1921),Nper,-PV,,Type))</f>
        <v/>
      </c>
      <c r="J1933" s="73" t="str">
        <f t="shared" ref="J1933:K1933" si="1923">IF($B1933="","",N(J1932)+N(H1933))</f>
        <v/>
      </c>
      <c r="K1933" s="74" t="str">
        <f t="shared" si="1923"/>
        <v/>
      </c>
      <c r="L1933" s="69" t="str">
        <f>IF($B1933="","",PV-J1933)</f>
        <v/>
      </c>
      <c r="M1933" s="71" t="str">
        <f>IF($B1933="","",J1933/PV)</f>
        <v/>
      </c>
      <c r="N1933" s="72" t="str">
        <f t="shared" si="4"/>
        <v/>
      </c>
    </row>
    <row r="1934" ht="14.25" customHeight="1">
      <c r="B1934" s="66" t="str">
        <f>IF(ROWS($1:1922)&lt;=Nper,ROWS($1:1922),"")</f>
        <v/>
      </c>
      <c r="C1934" s="67" t="str">
        <f>IF($B1934="","",IF($E$7="Weekly",Start_Date+7*(ROWS($1:1922)-1),EDATE(Start_Date,VLOOKUP(IF(ASTemp!$E$7="","Monthly",ASTemp!$E$7),Parameters!$B$3:$D$6,3,0)*(ROWS($1:1922)-1))))</f>
        <v/>
      </c>
      <c r="D1934" s="68" t="str">
        <f t="shared" si="2"/>
        <v/>
      </c>
      <c r="E1934" s="65" t="str">
        <f>IF($B1934="","",VLOOKUP(MONTH(C1934),Parameters!$F$2:$G$13,2,0))</f>
        <v/>
      </c>
      <c r="F1934" s="69" t="str">
        <f>IF($B1934="","",PV-N(J1933))</f>
        <v/>
      </c>
      <c r="G1934" s="69" t="str">
        <f>IF($B1934="","",PMT(Rate,Nper,-PV,,Type))</f>
        <v/>
      </c>
      <c r="H1934" s="69" t="str">
        <f>IF($B1934="","",PPMT(Rate,ROWS($1:1922),Nper,-PV,,Type))</f>
        <v/>
      </c>
      <c r="I1934" s="69" t="str">
        <f>IF($B1934="","",IPMT(Rate,ROWS($1:1922),Nper,-PV,,Type))</f>
        <v/>
      </c>
      <c r="J1934" s="73" t="str">
        <f t="shared" ref="J1934:K1934" si="1924">IF($B1934="","",N(J1933)+N(H1934))</f>
        <v/>
      </c>
      <c r="K1934" s="74" t="str">
        <f t="shared" si="1924"/>
        <v/>
      </c>
      <c r="L1934" s="69" t="str">
        <f>IF($B1934="","",PV-J1934)</f>
        <v/>
      </c>
      <c r="M1934" s="71" t="str">
        <f>IF($B1934="","",J1934/PV)</f>
        <v/>
      </c>
      <c r="N1934" s="72" t="str">
        <f t="shared" si="4"/>
        <v/>
      </c>
    </row>
    <row r="1935" ht="14.25" customHeight="1">
      <c r="B1935" s="66" t="str">
        <f>IF(ROWS($1:1923)&lt;=Nper,ROWS($1:1923),"")</f>
        <v/>
      </c>
      <c r="C1935" s="67" t="str">
        <f>IF($B1935="","",IF($E$7="Weekly",Start_Date+7*(ROWS($1:1923)-1),EDATE(Start_Date,VLOOKUP(IF(ASTemp!$E$7="","Monthly",ASTemp!$E$7),Parameters!$B$3:$D$6,3,0)*(ROWS($1:1923)-1))))</f>
        <v/>
      </c>
      <c r="D1935" s="68" t="str">
        <f t="shared" si="2"/>
        <v/>
      </c>
      <c r="E1935" s="65" t="str">
        <f>IF($B1935="","",VLOOKUP(MONTH(C1935),Parameters!$F$2:$G$13,2,0))</f>
        <v/>
      </c>
      <c r="F1935" s="69" t="str">
        <f>IF($B1935="","",PV-N(J1934))</f>
        <v/>
      </c>
      <c r="G1935" s="69" t="str">
        <f>IF($B1935="","",PMT(Rate,Nper,-PV,,Type))</f>
        <v/>
      </c>
      <c r="H1935" s="69" t="str">
        <f>IF($B1935="","",PPMT(Rate,ROWS($1:1923),Nper,-PV,,Type))</f>
        <v/>
      </c>
      <c r="I1935" s="69" t="str">
        <f>IF($B1935="","",IPMT(Rate,ROWS($1:1923),Nper,-PV,,Type))</f>
        <v/>
      </c>
      <c r="J1935" s="73" t="str">
        <f t="shared" ref="J1935:K1935" si="1925">IF($B1935="","",N(J1934)+N(H1935))</f>
        <v/>
      </c>
      <c r="K1935" s="74" t="str">
        <f t="shared" si="1925"/>
        <v/>
      </c>
      <c r="L1935" s="69" t="str">
        <f>IF($B1935="","",PV-J1935)</f>
        <v/>
      </c>
      <c r="M1935" s="71" t="str">
        <f>IF($B1935="","",J1935/PV)</f>
        <v/>
      </c>
      <c r="N1935" s="72" t="str">
        <f t="shared" si="4"/>
        <v/>
      </c>
    </row>
    <row r="1936" ht="14.25" customHeight="1">
      <c r="B1936" s="66" t="str">
        <f>IF(ROWS($1:1924)&lt;=Nper,ROWS($1:1924),"")</f>
        <v/>
      </c>
      <c r="C1936" s="67" t="str">
        <f>IF($B1936="","",IF($E$7="Weekly",Start_Date+7*(ROWS($1:1924)-1),EDATE(Start_Date,VLOOKUP(IF(ASTemp!$E$7="","Monthly",ASTemp!$E$7),Parameters!$B$3:$D$6,3,0)*(ROWS($1:1924)-1))))</f>
        <v/>
      </c>
      <c r="D1936" s="68" t="str">
        <f t="shared" si="2"/>
        <v/>
      </c>
      <c r="E1936" s="65" t="str">
        <f>IF($B1936="","",VLOOKUP(MONTH(C1936),Parameters!$F$2:$G$13,2,0))</f>
        <v/>
      </c>
      <c r="F1936" s="69" t="str">
        <f>IF($B1936="","",PV-N(J1935))</f>
        <v/>
      </c>
      <c r="G1936" s="69" t="str">
        <f>IF($B1936="","",PMT(Rate,Nper,-PV,,Type))</f>
        <v/>
      </c>
      <c r="H1936" s="69" t="str">
        <f>IF($B1936="","",PPMT(Rate,ROWS($1:1924),Nper,-PV,,Type))</f>
        <v/>
      </c>
      <c r="I1936" s="69" t="str">
        <f>IF($B1936="","",IPMT(Rate,ROWS($1:1924),Nper,-PV,,Type))</f>
        <v/>
      </c>
      <c r="J1936" s="73" t="str">
        <f t="shared" ref="J1936:K1936" si="1926">IF($B1936="","",N(J1935)+N(H1936))</f>
        <v/>
      </c>
      <c r="K1936" s="74" t="str">
        <f t="shared" si="1926"/>
        <v/>
      </c>
      <c r="L1936" s="69" t="str">
        <f>IF($B1936="","",PV-J1936)</f>
        <v/>
      </c>
      <c r="M1936" s="71" t="str">
        <f>IF($B1936="","",J1936/PV)</f>
        <v/>
      </c>
      <c r="N1936" s="72" t="str">
        <f t="shared" si="4"/>
        <v/>
      </c>
    </row>
    <row r="1937" ht="14.25" customHeight="1">
      <c r="B1937" s="66" t="str">
        <f>IF(ROWS($1:1925)&lt;=Nper,ROWS($1:1925),"")</f>
        <v/>
      </c>
      <c r="C1937" s="67" t="str">
        <f>IF($B1937="","",IF($E$7="Weekly",Start_Date+7*(ROWS($1:1925)-1),EDATE(Start_Date,VLOOKUP(IF(ASTemp!$E$7="","Monthly",ASTemp!$E$7),Parameters!$B$3:$D$6,3,0)*(ROWS($1:1925)-1))))</f>
        <v/>
      </c>
      <c r="D1937" s="68" t="str">
        <f t="shared" si="2"/>
        <v/>
      </c>
      <c r="E1937" s="65" t="str">
        <f>IF($B1937="","",VLOOKUP(MONTH(C1937),Parameters!$F$2:$G$13,2,0))</f>
        <v/>
      </c>
      <c r="F1937" s="69" t="str">
        <f>IF($B1937="","",PV-N(J1936))</f>
        <v/>
      </c>
      <c r="G1937" s="69" t="str">
        <f>IF($B1937="","",PMT(Rate,Nper,-PV,,Type))</f>
        <v/>
      </c>
      <c r="H1937" s="69" t="str">
        <f>IF($B1937="","",PPMT(Rate,ROWS($1:1925),Nper,-PV,,Type))</f>
        <v/>
      </c>
      <c r="I1937" s="69" t="str">
        <f>IF($B1937="","",IPMT(Rate,ROWS($1:1925),Nper,-PV,,Type))</f>
        <v/>
      </c>
      <c r="J1937" s="73" t="str">
        <f t="shared" ref="J1937:K1937" si="1927">IF($B1937="","",N(J1936)+N(H1937))</f>
        <v/>
      </c>
      <c r="K1937" s="74" t="str">
        <f t="shared" si="1927"/>
        <v/>
      </c>
      <c r="L1937" s="69" t="str">
        <f>IF($B1937="","",PV-J1937)</f>
        <v/>
      </c>
      <c r="M1937" s="71" t="str">
        <f>IF($B1937="","",J1937/PV)</f>
        <v/>
      </c>
      <c r="N1937" s="72" t="str">
        <f t="shared" si="4"/>
        <v/>
      </c>
    </row>
    <row r="1938" ht="14.25" customHeight="1">
      <c r="B1938" s="66" t="str">
        <f>IF(ROWS($1:1926)&lt;=Nper,ROWS($1:1926),"")</f>
        <v/>
      </c>
      <c r="C1938" s="67" t="str">
        <f>IF($B1938="","",IF($E$7="Weekly",Start_Date+7*(ROWS($1:1926)-1),EDATE(Start_Date,VLOOKUP(IF(ASTemp!$E$7="","Monthly",ASTemp!$E$7),Parameters!$B$3:$D$6,3,0)*(ROWS($1:1926)-1))))</f>
        <v/>
      </c>
      <c r="D1938" s="68" t="str">
        <f t="shared" si="2"/>
        <v/>
      </c>
      <c r="E1938" s="65" t="str">
        <f>IF($B1938="","",VLOOKUP(MONTH(C1938),Parameters!$F$2:$G$13,2,0))</f>
        <v/>
      </c>
      <c r="F1938" s="69" t="str">
        <f>IF($B1938="","",PV-N(J1937))</f>
        <v/>
      </c>
      <c r="G1938" s="69" t="str">
        <f>IF($B1938="","",PMT(Rate,Nper,-PV,,Type))</f>
        <v/>
      </c>
      <c r="H1938" s="69" t="str">
        <f>IF($B1938="","",PPMT(Rate,ROWS($1:1926),Nper,-PV,,Type))</f>
        <v/>
      </c>
      <c r="I1938" s="69" t="str">
        <f>IF($B1938="","",IPMT(Rate,ROWS($1:1926),Nper,-PV,,Type))</f>
        <v/>
      </c>
      <c r="J1938" s="73" t="str">
        <f t="shared" ref="J1938:K1938" si="1928">IF($B1938="","",N(J1937)+N(H1938))</f>
        <v/>
      </c>
      <c r="K1938" s="74" t="str">
        <f t="shared" si="1928"/>
        <v/>
      </c>
      <c r="L1938" s="69" t="str">
        <f>IF($B1938="","",PV-J1938)</f>
        <v/>
      </c>
      <c r="M1938" s="71" t="str">
        <f>IF($B1938="","",J1938/PV)</f>
        <v/>
      </c>
      <c r="N1938" s="72" t="str">
        <f t="shared" si="4"/>
        <v/>
      </c>
    </row>
    <row r="1939" ht="14.25" customHeight="1">
      <c r="B1939" s="66" t="str">
        <f>IF(ROWS($1:1927)&lt;=Nper,ROWS($1:1927),"")</f>
        <v/>
      </c>
      <c r="C1939" s="67" t="str">
        <f>IF($B1939="","",IF($E$7="Weekly",Start_Date+7*(ROWS($1:1927)-1),EDATE(Start_Date,VLOOKUP(IF(ASTemp!$E$7="","Monthly",ASTemp!$E$7),Parameters!$B$3:$D$6,3,0)*(ROWS($1:1927)-1))))</f>
        <v/>
      </c>
      <c r="D1939" s="68" t="str">
        <f t="shared" si="2"/>
        <v/>
      </c>
      <c r="E1939" s="65" t="str">
        <f>IF($B1939="","",VLOOKUP(MONTH(C1939),Parameters!$F$2:$G$13,2,0))</f>
        <v/>
      </c>
      <c r="F1939" s="69" t="str">
        <f>IF($B1939="","",PV-N(J1938))</f>
        <v/>
      </c>
      <c r="G1939" s="69" t="str">
        <f>IF($B1939="","",PMT(Rate,Nper,-PV,,Type))</f>
        <v/>
      </c>
      <c r="H1939" s="69" t="str">
        <f>IF($B1939="","",PPMT(Rate,ROWS($1:1927),Nper,-PV,,Type))</f>
        <v/>
      </c>
      <c r="I1939" s="69" t="str">
        <f>IF($B1939="","",IPMT(Rate,ROWS($1:1927),Nper,-PV,,Type))</f>
        <v/>
      </c>
      <c r="J1939" s="73" t="str">
        <f t="shared" ref="J1939:K1939" si="1929">IF($B1939="","",N(J1938)+N(H1939))</f>
        <v/>
      </c>
      <c r="K1939" s="74" t="str">
        <f t="shared" si="1929"/>
        <v/>
      </c>
      <c r="L1939" s="69" t="str">
        <f>IF($B1939="","",PV-J1939)</f>
        <v/>
      </c>
      <c r="M1939" s="71" t="str">
        <f>IF($B1939="","",J1939/PV)</f>
        <v/>
      </c>
      <c r="N1939" s="72" t="str">
        <f t="shared" si="4"/>
        <v/>
      </c>
    </row>
    <row r="1940" ht="14.25" customHeight="1">
      <c r="B1940" s="66" t="str">
        <f>IF(ROWS($1:1928)&lt;=Nper,ROWS($1:1928),"")</f>
        <v/>
      </c>
      <c r="C1940" s="67" t="str">
        <f>IF($B1940="","",IF($E$7="Weekly",Start_Date+7*(ROWS($1:1928)-1),EDATE(Start_Date,VLOOKUP(IF(ASTemp!$E$7="","Monthly",ASTemp!$E$7),Parameters!$B$3:$D$6,3,0)*(ROWS($1:1928)-1))))</f>
        <v/>
      </c>
      <c r="D1940" s="68" t="str">
        <f t="shared" si="2"/>
        <v/>
      </c>
      <c r="E1940" s="65" t="str">
        <f>IF($B1940="","",VLOOKUP(MONTH(C1940),Parameters!$F$2:$G$13,2,0))</f>
        <v/>
      </c>
      <c r="F1940" s="69" t="str">
        <f>IF($B1940="","",PV-N(J1939))</f>
        <v/>
      </c>
      <c r="G1940" s="69" t="str">
        <f>IF($B1940="","",PMT(Rate,Nper,-PV,,Type))</f>
        <v/>
      </c>
      <c r="H1940" s="69" t="str">
        <f>IF($B1940="","",PPMT(Rate,ROWS($1:1928),Nper,-PV,,Type))</f>
        <v/>
      </c>
      <c r="I1940" s="69" t="str">
        <f>IF($B1940="","",IPMT(Rate,ROWS($1:1928),Nper,-PV,,Type))</f>
        <v/>
      </c>
      <c r="J1940" s="73" t="str">
        <f t="shared" ref="J1940:K1940" si="1930">IF($B1940="","",N(J1939)+N(H1940))</f>
        <v/>
      </c>
      <c r="K1940" s="74" t="str">
        <f t="shared" si="1930"/>
        <v/>
      </c>
      <c r="L1940" s="69" t="str">
        <f>IF($B1940="","",PV-J1940)</f>
        <v/>
      </c>
      <c r="M1940" s="71" t="str">
        <f>IF($B1940="","",J1940/PV)</f>
        <v/>
      </c>
      <c r="N1940" s="72" t="str">
        <f t="shared" si="4"/>
        <v/>
      </c>
    </row>
    <row r="1941" ht="14.25" customHeight="1">
      <c r="B1941" s="66" t="str">
        <f>IF(ROWS($1:1929)&lt;=Nper,ROWS($1:1929),"")</f>
        <v/>
      </c>
      <c r="C1941" s="67" t="str">
        <f>IF($B1941="","",IF($E$7="Weekly",Start_Date+7*(ROWS($1:1929)-1),EDATE(Start_Date,VLOOKUP(IF(ASTemp!$E$7="","Monthly",ASTemp!$E$7),Parameters!$B$3:$D$6,3,0)*(ROWS($1:1929)-1))))</f>
        <v/>
      </c>
      <c r="D1941" s="68" t="str">
        <f t="shared" si="2"/>
        <v/>
      </c>
      <c r="E1941" s="65" t="str">
        <f>IF($B1941="","",VLOOKUP(MONTH(C1941),Parameters!$F$2:$G$13,2,0))</f>
        <v/>
      </c>
      <c r="F1941" s="69" t="str">
        <f>IF($B1941="","",PV-N(J1940))</f>
        <v/>
      </c>
      <c r="G1941" s="69" t="str">
        <f>IF($B1941="","",PMT(Rate,Nper,-PV,,Type))</f>
        <v/>
      </c>
      <c r="H1941" s="69" t="str">
        <f>IF($B1941="","",PPMT(Rate,ROWS($1:1929),Nper,-PV,,Type))</f>
        <v/>
      </c>
      <c r="I1941" s="69" t="str">
        <f>IF($B1941="","",IPMT(Rate,ROWS($1:1929),Nper,-PV,,Type))</f>
        <v/>
      </c>
      <c r="J1941" s="73" t="str">
        <f t="shared" ref="J1941:K1941" si="1931">IF($B1941="","",N(J1940)+N(H1941))</f>
        <v/>
      </c>
      <c r="K1941" s="74" t="str">
        <f t="shared" si="1931"/>
        <v/>
      </c>
      <c r="L1941" s="69" t="str">
        <f>IF($B1941="","",PV-J1941)</f>
        <v/>
      </c>
      <c r="M1941" s="71" t="str">
        <f>IF($B1941="","",J1941/PV)</f>
        <v/>
      </c>
      <c r="N1941" s="72" t="str">
        <f t="shared" si="4"/>
        <v/>
      </c>
    </row>
    <row r="1942" ht="14.25" customHeight="1">
      <c r="B1942" s="66" t="str">
        <f>IF(ROWS($1:1930)&lt;=Nper,ROWS($1:1930),"")</f>
        <v/>
      </c>
      <c r="C1942" s="67" t="str">
        <f>IF($B1942="","",IF($E$7="Weekly",Start_Date+7*(ROWS($1:1930)-1),EDATE(Start_Date,VLOOKUP(IF(ASTemp!$E$7="","Monthly",ASTemp!$E$7),Parameters!$B$3:$D$6,3,0)*(ROWS($1:1930)-1))))</f>
        <v/>
      </c>
      <c r="D1942" s="68" t="str">
        <f t="shared" si="2"/>
        <v/>
      </c>
      <c r="E1942" s="65" t="str">
        <f>IF($B1942="","",VLOOKUP(MONTH(C1942),Parameters!$F$2:$G$13,2,0))</f>
        <v/>
      </c>
      <c r="F1942" s="69" t="str">
        <f>IF($B1942="","",PV-N(J1941))</f>
        <v/>
      </c>
      <c r="G1942" s="69" t="str">
        <f>IF($B1942="","",PMT(Rate,Nper,-PV,,Type))</f>
        <v/>
      </c>
      <c r="H1942" s="69" t="str">
        <f>IF($B1942="","",PPMT(Rate,ROWS($1:1930),Nper,-PV,,Type))</f>
        <v/>
      </c>
      <c r="I1942" s="69" t="str">
        <f>IF($B1942="","",IPMT(Rate,ROWS($1:1930),Nper,-PV,,Type))</f>
        <v/>
      </c>
      <c r="J1942" s="73" t="str">
        <f t="shared" ref="J1942:K1942" si="1932">IF($B1942="","",N(J1941)+N(H1942))</f>
        <v/>
      </c>
      <c r="K1942" s="74" t="str">
        <f t="shared" si="1932"/>
        <v/>
      </c>
      <c r="L1942" s="69" t="str">
        <f>IF($B1942="","",PV-J1942)</f>
        <v/>
      </c>
      <c r="M1942" s="71" t="str">
        <f>IF($B1942="","",J1942/PV)</f>
        <v/>
      </c>
      <c r="N1942" s="72" t="str">
        <f t="shared" si="4"/>
        <v/>
      </c>
    </row>
    <row r="1943" ht="14.25" customHeight="1">
      <c r="B1943" s="66" t="str">
        <f>IF(ROWS($1:1931)&lt;=Nper,ROWS($1:1931),"")</f>
        <v/>
      </c>
      <c r="C1943" s="67" t="str">
        <f>IF($B1943="","",IF($E$7="Weekly",Start_Date+7*(ROWS($1:1931)-1),EDATE(Start_Date,VLOOKUP(IF(ASTemp!$E$7="","Monthly",ASTemp!$E$7),Parameters!$B$3:$D$6,3,0)*(ROWS($1:1931)-1))))</f>
        <v/>
      </c>
      <c r="D1943" s="68" t="str">
        <f t="shared" si="2"/>
        <v/>
      </c>
      <c r="E1943" s="65" t="str">
        <f>IF($B1943="","",VLOOKUP(MONTH(C1943),Parameters!$F$2:$G$13,2,0))</f>
        <v/>
      </c>
      <c r="F1943" s="69" t="str">
        <f>IF($B1943="","",PV-N(J1942))</f>
        <v/>
      </c>
      <c r="G1943" s="69" t="str">
        <f>IF($B1943="","",PMT(Rate,Nper,-PV,,Type))</f>
        <v/>
      </c>
      <c r="H1943" s="69" t="str">
        <f>IF($B1943="","",PPMT(Rate,ROWS($1:1931),Nper,-PV,,Type))</f>
        <v/>
      </c>
      <c r="I1943" s="69" t="str">
        <f>IF($B1943="","",IPMT(Rate,ROWS($1:1931),Nper,-PV,,Type))</f>
        <v/>
      </c>
      <c r="J1943" s="73" t="str">
        <f t="shared" ref="J1943:K1943" si="1933">IF($B1943="","",N(J1942)+N(H1943))</f>
        <v/>
      </c>
      <c r="K1943" s="74" t="str">
        <f t="shared" si="1933"/>
        <v/>
      </c>
      <c r="L1943" s="69" t="str">
        <f>IF($B1943="","",PV-J1943)</f>
        <v/>
      </c>
      <c r="M1943" s="71" t="str">
        <f>IF($B1943="","",J1943/PV)</f>
        <v/>
      </c>
      <c r="N1943" s="72" t="str">
        <f t="shared" si="4"/>
        <v/>
      </c>
    </row>
    <row r="1944" ht="14.25" customHeight="1">
      <c r="B1944" s="66" t="str">
        <f>IF(ROWS($1:1932)&lt;=Nper,ROWS($1:1932),"")</f>
        <v/>
      </c>
      <c r="C1944" s="67" t="str">
        <f>IF($B1944="","",IF($E$7="Weekly",Start_Date+7*(ROWS($1:1932)-1),EDATE(Start_Date,VLOOKUP(IF(ASTemp!$E$7="","Monthly",ASTemp!$E$7),Parameters!$B$3:$D$6,3,0)*(ROWS($1:1932)-1))))</f>
        <v/>
      </c>
      <c r="D1944" s="68" t="str">
        <f t="shared" si="2"/>
        <v/>
      </c>
      <c r="E1944" s="65" t="str">
        <f>IF($B1944="","",VLOOKUP(MONTH(C1944),Parameters!$F$2:$G$13,2,0))</f>
        <v/>
      </c>
      <c r="F1944" s="69" t="str">
        <f>IF($B1944="","",PV-N(J1943))</f>
        <v/>
      </c>
      <c r="G1944" s="69" t="str">
        <f>IF($B1944="","",PMT(Rate,Nper,-PV,,Type))</f>
        <v/>
      </c>
      <c r="H1944" s="69" t="str">
        <f>IF($B1944="","",PPMT(Rate,ROWS($1:1932),Nper,-PV,,Type))</f>
        <v/>
      </c>
      <c r="I1944" s="69" t="str">
        <f>IF($B1944="","",IPMT(Rate,ROWS($1:1932),Nper,-PV,,Type))</f>
        <v/>
      </c>
      <c r="J1944" s="73" t="str">
        <f t="shared" ref="J1944:K1944" si="1934">IF($B1944="","",N(J1943)+N(H1944))</f>
        <v/>
      </c>
      <c r="K1944" s="74" t="str">
        <f t="shared" si="1934"/>
        <v/>
      </c>
      <c r="L1944" s="69" t="str">
        <f>IF($B1944="","",PV-J1944)</f>
        <v/>
      </c>
      <c r="M1944" s="71" t="str">
        <f>IF($B1944="","",J1944/PV)</f>
        <v/>
      </c>
      <c r="N1944" s="72" t="str">
        <f t="shared" si="4"/>
        <v/>
      </c>
    </row>
    <row r="1945" ht="14.25" customHeight="1">
      <c r="B1945" s="66" t="str">
        <f>IF(ROWS($1:1933)&lt;=Nper,ROWS($1:1933),"")</f>
        <v/>
      </c>
      <c r="C1945" s="67" t="str">
        <f>IF($B1945="","",IF($E$7="Weekly",Start_Date+7*(ROWS($1:1933)-1),EDATE(Start_Date,VLOOKUP(IF(ASTemp!$E$7="","Monthly",ASTemp!$E$7),Parameters!$B$3:$D$6,3,0)*(ROWS($1:1933)-1))))</f>
        <v/>
      </c>
      <c r="D1945" s="68" t="str">
        <f t="shared" si="2"/>
        <v/>
      </c>
      <c r="E1945" s="65" t="str">
        <f>IF($B1945="","",VLOOKUP(MONTH(C1945),Parameters!$F$2:$G$13,2,0))</f>
        <v/>
      </c>
      <c r="F1945" s="69" t="str">
        <f>IF($B1945="","",PV-N(J1944))</f>
        <v/>
      </c>
      <c r="G1945" s="69" t="str">
        <f>IF($B1945="","",PMT(Rate,Nper,-PV,,Type))</f>
        <v/>
      </c>
      <c r="H1945" s="69" t="str">
        <f>IF($B1945="","",PPMT(Rate,ROWS($1:1933),Nper,-PV,,Type))</f>
        <v/>
      </c>
      <c r="I1945" s="69" t="str">
        <f>IF($B1945="","",IPMT(Rate,ROWS($1:1933),Nper,-PV,,Type))</f>
        <v/>
      </c>
      <c r="J1945" s="73" t="str">
        <f t="shared" ref="J1945:K1945" si="1935">IF($B1945="","",N(J1944)+N(H1945))</f>
        <v/>
      </c>
      <c r="K1945" s="74" t="str">
        <f t="shared" si="1935"/>
        <v/>
      </c>
      <c r="L1945" s="69" t="str">
        <f>IF($B1945="","",PV-J1945)</f>
        <v/>
      </c>
      <c r="M1945" s="71" t="str">
        <f>IF($B1945="","",J1945/PV)</f>
        <v/>
      </c>
      <c r="N1945" s="72" t="str">
        <f t="shared" si="4"/>
        <v/>
      </c>
    </row>
    <row r="1946" ht="14.25" customHeight="1">
      <c r="B1946" s="66" t="str">
        <f>IF(ROWS($1:1934)&lt;=Nper,ROWS($1:1934),"")</f>
        <v/>
      </c>
      <c r="C1946" s="67" t="str">
        <f>IF($B1946="","",IF($E$7="Weekly",Start_Date+7*(ROWS($1:1934)-1),EDATE(Start_Date,VLOOKUP(IF(ASTemp!$E$7="","Monthly",ASTemp!$E$7),Parameters!$B$3:$D$6,3,0)*(ROWS($1:1934)-1))))</f>
        <v/>
      </c>
      <c r="D1946" s="68" t="str">
        <f t="shared" si="2"/>
        <v/>
      </c>
      <c r="E1946" s="65" t="str">
        <f>IF($B1946="","",VLOOKUP(MONTH(C1946),Parameters!$F$2:$G$13,2,0))</f>
        <v/>
      </c>
      <c r="F1946" s="69" t="str">
        <f>IF($B1946="","",PV-N(J1945))</f>
        <v/>
      </c>
      <c r="G1946" s="69" t="str">
        <f>IF($B1946="","",PMT(Rate,Nper,-PV,,Type))</f>
        <v/>
      </c>
      <c r="H1946" s="69" t="str">
        <f>IF($B1946="","",PPMT(Rate,ROWS($1:1934),Nper,-PV,,Type))</f>
        <v/>
      </c>
      <c r="I1946" s="69" t="str">
        <f>IF($B1946="","",IPMT(Rate,ROWS($1:1934),Nper,-PV,,Type))</f>
        <v/>
      </c>
      <c r="J1946" s="73" t="str">
        <f t="shared" ref="J1946:K1946" si="1936">IF($B1946="","",N(J1945)+N(H1946))</f>
        <v/>
      </c>
      <c r="K1946" s="74" t="str">
        <f t="shared" si="1936"/>
        <v/>
      </c>
      <c r="L1946" s="69" t="str">
        <f>IF($B1946="","",PV-J1946)</f>
        <v/>
      </c>
      <c r="M1946" s="71" t="str">
        <f>IF($B1946="","",J1946/PV)</f>
        <v/>
      </c>
      <c r="N1946" s="72" t="str">
        <f t="shared" si="4"/>
        <v/>
      </c>
    </row>
    <row r="1947" ht="14.25" customHeight="1">
      <c r="B1947" s="66" t="str">
        <f>IF(ROWS($1:1935)&lt;=Nper,ROWS($1:1935),"")</f>
        <v/>
      </c>
      <c r="C1947" s="67" t="str">
        <f>IF($B1947="","",IF($E$7="Weekly",Start_Date+7*(ROWS($1:1935)-1),EDATE(Start_Date,VLOOKUP(IF(ASTemp!$E$7="","Monthly",ASTemp!$E$7),Parameters!$B$3:$D$6,3,0)*(ROWS($1:1935)-1))))</f>
        <v/>
      </c>
      <c r="D1947" s="68" t="str">
        <f t="shared" si="2"/>
        <v/>
      </c>
      <c r="E1947" s="65" t="str">
        <f>IF($B1947="","",VLOOKUP(MONTH(C1947),Parameters!$F$2:$G$13,2,0))</f>
        <v/>
      </c>
      <c r="F1947" s="69" t="str">
        <f>IF($B1947="","",PV-N(J1946))</f>
        <v/>
      </c>
      <c r="G1947" s="69" t="str">
        <f>IF($B1947="","",PMT(Rate,Nper,-PV,,Type))</f>
        <v/>
      </c>
      <c r="H1947" s="69" t="str">
        <f>IF($B1947="","",PPMT(Rate,ROWS($1:1935),Nper,-PV,,Type))</f>
        <v/>
      </c>
      <c r="I1947" s="69" t="str">
        <f>IF($B1947="","",IPMT(Rate,ROWS($1:1935),Nper,-PV,,Type))</f>
        <v/>
      </c>
      <c r="J1947" s="73" t="str">
        <f t="shared" ref="J1947:K1947" si="1937">IF($B1947="","",N(J1946)+N(H1947))</f>
        <v/>
      </c>
      <c r="K1947" s="74" t="str">
        <f t="shared" si="1937"/>
        <v/>
      </c>
      <c r="L1947" s="69" t="str">
        <f>IF($B1947="","",PV-J1947)</f>
        <v/>
      </c>
      <c r="M1947" s="71" t="str">
        <f>IF($B1947="","",J1947/PV)</f>
        <v/>
      </c>
      <c r="N1947" s="72" t="str">
        <f t="shared" si="4"/>
        <v/>
      </c>
    </row>
    <row r="1948" ht="14.25" customHeight="1">
      <c r="B1948" s="66" t="str">
        <f>IF(ROWS($1:1936)&lt;=Nper,ROWS($1:1936),"")</f>
        <v/>
      </c>
      <c r="C1948" s="67" t="str">
        <f>IF($B1948="","",IF($E$7="Weekly",Start_Date+7*(ROWS($1:1936)-1),EDATE(Start_Date,VLOOKUP(IF(ASTemp!$E$7="","Monthly",ASTemp!$E$7),Parameters!$B$3:$D$6,3,0)*(ROWS($1:1936)-1))))</f>
        <v/>
      </c>
      <c r="D1948" s="68" t="str">
        <f t="shared" si="2"/>
        <v/>
      </c>
      <c r="E1948" s="65" t="str">
        <f>IF($B1948="","",VLOOKUP(MONTH(C1948),Parameters!$F$2:$G$13,2,0))</f>
        <v/>
      </c>
      <c r="F1948" s="69" t="str">
        <f>IF($B1948="","",PV-N(J1947))</f>
        <v/>
      </c>
      <c r="G1948" s="69" t="str">
        <f>IF($B1948="","",PMT(Rate,Nper,-PV,,Type))</f>
        <v/>
      </c>
      <c r="H1948" s="69" t="str">
        <f>IF($B1948="","",PPMT(Rate,ROWS($1:1936),Nper,-PV,,Type))</f>
        <v/>
      </c>
      <c r="I1948" s="69" t="str">
        <f>IF($B1948="","",IPMT(Rate,ROWS($1:1936),Nper,-PV,,Type))</f>
        <v/>
      </c>
      <c r="J1948" s="73" t="str">
        <f t="shared" ref="J1948:K1948" si="1938">IF($B1948="","",N(J1947)+N(H1948))</f>
        <v/>
      </c>
      <c r="K1948" s="74" t="str">
        <f t="shared" si="1938"/>
        <v/>
      </c>
      <c r="L1948" s="69" t="str">
        <f>IF($B1948="","",PV-J1948)</f>
        <v/>
      </c>
      <c r="M1948" s="71" t="str">
        <f>IF($B1948="","",J1948/PV)</f>
        <v/>
      </c>
      <c r="N1948" s="72" t="str">
        <f t="shared" si="4"/>
        <v/>
      </c>
    </row>
    <row r="1949" ht="14.25" customHeight="1">
      <c r="B1949" s="66" t="str">
        <f>IF(ROWS($1:1937)&lt;=Nper,ROWS($1:1937),"")</f>
        <v/>
      </c>
      <c r="C1949" s="67" t="str">
        <f>IF($B1949="","",IF($E$7="Weekly",Start_Date+7*(ROWS($1:1937)-1),EDATE(Start_Date,VLOOKUP(IF(ASTemp!$E$7="","Monthly",ASTemp!$E$7),Parameters!$B$3:$D$6,3,0)*(ROWS($1:1937)-1))))</f>
        <v/>
      </c>
      <c r="D1949" s="68" t="str">
        <f t="shared" si="2"/>
        <v/>
      </c>
      <c r="E1949" s="65" t="str">
        <f>IF($B1949="","",VLOOKUP(MONTH(C1949),Parameters!$F$2:$G$13,2,0))</f>
        <v/>
      </c>
      <c r="F1949" s="69" t="str">
        <f>IF($B1949="","",PV-N(J1948))</f>
        <v/>
      </c>
      <c r="G1949" s="69" t="str">
        <f>IF($B1949="","",PMT(Rate,Nper,-PV,,Type))</f>
        <v/>
      </c>
      <c r="H1949" s="69" t="str">
        <f>IF($B1949="","",PPMT(Rate,ROWS($1:1937),Nper,-PV,,Type))</f>
        <v/>
      </c>
      <c r="I1949" s="69" t="str">
        <f>IF($B1949="","",IPMT(Rate,ROWS($1:1937),Nper,-PV,,Type))</f>
        <v/>
      </c>
      <c r="J1949" s="73" t="str">
        <f t="shared" ref="J1949:K1949" si="1939">IF($B1949="","",N(J1948)+N(H1949))</f>
        <v/>
      </c>
      <c r="K1949" s="74" t="str">
        <f t="shared" si="1939"/>
        <v/>
      </c>
      <c r="L1949" s="69" t="str">
        <f>IF($B1949="","",PV-J1949)</f>
        <v/>
      </c>
      <c r="M1949" s="71" t="str">
        <f>IF($B1949="","",J1949/PV)</f>
        <v/>
      </c>
      <c r="N1949" s="72" t="str">
        <f t="shared" si="4"/>
        <v/>
      </c>
    </row>
    <row r="1950" ht="14.25" customHeight="1">
      <c r="B1950" s="66" t="str">
        <f>IF(ROWS($1:1938)&lt;=Nper,ROWS($1:1938),"")</f>
        <v/>
      </c>
      <c r="C1950" s="67" t="str">
        <f>IF($B1950="","",IF($E$7="Weekly",Start_Date+7*(ROWS($1:1938)-1),EDATE(Start_Date,VLOOKUP(IF(ASTemp!$E$7="","Monthly",ASTemp!$E$7),Parameters!$B$3:$D$6,3,0)*(ROWS($1:1938)-1))))</f>
        <v/>
      </c>
      <c r="D1950" s="68" t="str">
        <f t="shared" si="2"/>
        <v/>
      </c>
      <c r="E1950" s="65" t="str">
        <f>IF($B1950="","",VLOOKUP(MONTH(C1950),Parameters!$F$2:$G$13,2,0))</f>
        <v/>
      </c>
      <c r="F1950" s="69" t="str">
        <f>IF($B1950="","",PV-N(J1949))</f>
        <v/>
      </c>
      <c r="G1950" s="69" t="str">
        <f>IF($B1950="","",PMT(Rate,Nper,-PV,,Type))</f>
        <v/>
      </c>
      <c r="H1950" s="69" t="str">
        <f>IF($B1950="","",PPMT(Rate,ROWS($1:1938),Nper,-PV,,Type))</f>
        <v/>
      </c>
      <c r="I1950" s="69" t="str">
        <f>IF($B1950="","",IPMT(Rate,ROWS($1:1938),Nper,-PV,,Type))</f>
        <v/>
      </c>
      <c r="J1950" s="73" t="str">
        <f t="shared" ref="J1950:K1950" si="1940">IF($B1950="","",N(J1949)+N(H1950))</f>
        <v/>
      </c>
      <c r="K1950" s="74" t="str">
        <f t="shared" si="1940"/>
        <v/>
      </c>
      <c r="L1950" s="69" t="str">
        <f>IF($B1950="","",PV-J1950)</f>
        <v/>
      </c>
      <c r="M1950" s="71" t="str">
        <f>IF($B1950="","",J1950/PV)</f>
        <v/>
      </c>
      <c r="N1950" s="72" t="str">
        <f t="shared" si="4"/>
        <v/>
      </c>
    </row>
    <row r="1951" ht="14.25" customHeight="1">
      <c r="B1951" s="66" t="str">
        <f>IF(ROWS($1:1939)&lt;=Nper,ROWS($1:1939),"")</f>
        <v/>
      </c>
      <c r="C1951" s="67" t="str">
        <f>IF($B1951="","",IF($E$7="Weekly",Start_Date+7*(ROWS($1:1939)-1),EDATE(Start_Date,VLOOKUP(IF(ASTemp!$E$7="","Monthly",ASTemp!$E$7),Parameters!$B$3:$D$6,3,0)*(ROWS($1:1939)-1))))</f>
        <v/>
      </c>
      <c r="D1951" s="68" t="str">
        <f t="shared" si="2"/>
        <v/>
      </c>
      <c r="E1951" s="65" t="str">
        <f>IF($B1951="","",VLOOKUP(MONTH(C1951),Parameters!$F$2:$G$13,2,0))</f>
        <v/>
      </c>
      <c r="F1951" s="69" t="str">
        <f>IF($B1951="","",PV-N(J1950))</f>
        <v/>
      </c>
      <c r="G1951" s="69" t="str">
        <f>IF($B1951="","",PMT(Rate,Nper,-PV,,Type))</f>
        <v/>
      </c>
      <c r="H1951" s="69" t="str">
        <f>IF($B1951="","",PPMT(Rate,ROWS($1:1939),Nper,-PV,,Type))</f>
        <v/>
      </c>
      <c r="I1951" s="69" t="str">
        <f>IF($B1951="","",IPMT(Rate,ROWS($1:1939),Nper,-PV,,Type))</f>
        <v/>
      </c>
      <c r="J1951" s="73" t="str">
        <f t="shared" ref="J1951:K1951" si="1941">IF($B1951="","",N(J1950)+N(H1951))</f>
        <v/>
      </c>
      <c r="K1951" s="74" t="str">
        <f t="shared" si="1941"/>
        <v/>
      </c>
      <c r="L1951" s="69" t="str">
        <f>IF($B1951="","",PV-J1951)</f>
        <v/>
      </c>
      <c r="M1951" s="71" t="str">
        <f>IF($B1951="","",J1951/PV)</f>
        <v/>
      </c>
      <c r="N1951" s="72" t="str">
        <f t="shared" si="4"/>
        <v/>
      </c>
    </row>
    <row r="1952" ht="14.25" customHeight="1">
      <c r="B1952" s="66" t="str">
        <f>IF(ROWS($1:1940)&lt;=Nper,ROWS($1:1940),"")</f>
        <v/>
      </c>
      <c r="C1952" s="67" t="str">
        <f>IF($B1952="","",IF($E$7="Weekly",Start_Date+7*(ROWS($1:1940)-1),EDATE(Start_Date,VLOOKUP(IF(ASTemp!$E$7="","Monthly",ASTemp!$E$7),Parameters!$B$3:$D$6,3,0)*(ROWS($1:1940)-1))))</f>
        <v/>
      </c>
      <c r="D1952" s="68" t="str">
        <f t="shared" si="2"/>
        <v/>
      </c>
      <c r="E1952" s="65" t="str">
        <f>IF($B1952="","",VLOOKUP(MONTH(C1952),Parameters!$F$2:$G$13,2,0))</f>
        <v/>
      </c>
      <c r="F1952" s="69" t="str">
        <f>IF($B1952="","",PV-N(J1951))</f>
        <v/>
      </c>
      <c r="G1952" s="69" t="str">
        <f>IF($B1952="","",PMT(Rate,Nper,-PV,,Type))</f>
        <v/>
      </c>
      <c r="H1952" s="69" t="str">
        <f>IF($B1952="","",PPMT(Rate,ROWS($1:1940),Nper,-PV,,Type))</f>
        <v/>
      </c>
      <c r="I1952" s="69" t="str">
        <f>IF($B1952="","",IPMT(Rate,ROWS($1:1940),Nper,-PV,,Type))</f>
        <v/>
      </c>
      <c r="J1952" s="73" t="str">
        <f t="shared" ref="J1952:K1952" si="1942">IF($B1952="","",N(J1951)+N(H1952))</f>
        <v/>
      </c>
      <c r="K1952" s="74" t="str">
        <f t="shared" si="1942"/>
        <v/>
      </c>
      <c r="L1952" s="69" t="str">
        <f>IF($B1952="","",PV-J1952)</f>
        <v/>
      </c>
      <c r="M1952" s="71" t="str">
        <f>IF($B1952="","",J1952/PV)</f>
        <v/>
      </c>
      <c r="N1952" s="72" t="str">
        <f t="shared" si="4"/>
        <v/>
      </c>
    </row>
    <row r="1953" ht="14.25" customHeight="1">
      <c r="B1953" s="66" t="str">
        <f>IF(ROWS($1:1941)&lt;=Nper,ROWS($1:1941),"")</f>
        <v/>
      </c>
      <c r="C1953" s="67" t="str">
        <f>IF($B1953="","",IF($E$7="Weekly",Start_Date+7*(ROWS($1:1941)-1),EDATE(Start_Date,VLOOKUP(IF(ASTemp!$E$7="","Monthly",ASTemp!$E$7),Parameters!$B$3:$D$6,3,0)*(ROWS($1:1941)-1))))</f>
        <v/>
      </c>
      <c r="D1953" s="68" t="str">
        <f t="shared" si="2"/>
        <v/>
      </c>
      <c r="E1953" s="65" t="str">
        <f>IF($B1953="","",VLOOKUP(MONTH(C1953),Parameters!$F$2:$G$13,2,0))</f>
        <v/>
      </c>
      <c r="F1953" s="69" t="str">
        <f>IF($B1953="","",PV-N(J1952))</f>
        <v/>
      </c>
      <c r="G1953" s="69" t="str">
        <f>IF($B1953="","",PMT(Rate,Nper,-PV,,Type))</f>
        <v/>
      </c>
      <c r="H1953" s="69" t="str">
        <f>IF($B1953="","",PPMT(Rate,ROWS($1:1941),Nper,-PV,,Type))</f>
        <v/>
      </c>
      <c r="I1953" s="69" t="str">
        <f>IF($B1953="","",IPMT(Rate,ROWS($1:1941),Nper,-PV,,Type))</f>
        <v/>
      </c>
      <c r="J1953" s="73" t="str">
        <f t="shared" ref="J1953:K1953" si="1943">IF($B1953="","",N(J1952)+N(H1953))</f>
        <v/>
      </c>
      <c r="K1953" s="74" t="str">
        <f t="shared" si="1943"/>
        <v/>
      </c>
      <c r="L1953" s="69" t="str">
        <f>IF($B1953="","",PV-J1953)</f>
        <v/>
      </c>
      <c r="M1953" s="71" t="str">
        <f>IF($B1953="","",J1953/PV)</f>
        <v/>
      </c>
      <c r="N1953" s="72" t="str">
        <f t="shared" si="4"/>
        <v/>
      </c>
    </row>
    <row r="1954" ht="14.25" customHeight="1">
      <c r="B1954" s="66" t="str">
        <f>IF(ROWS($1:1942)&lt;=Nper,ROWS($1:1942),"")</f>
        <v/>
      </c>
      <c r="C1954" s="67" t="str">
        <f>IF($B1954="","",IF($E$7="Weekly",Start_Date+7*(ROWS($1:1942)-1),EDATE(Start_Date,VLOOKUP(IF(ASTemp!$E$7="","Monthly",ASTemp!$E$7),Parameters!$B$3:$D$6,3,0)*(ROWS($1:1942)-1))))</f>
        <v/>
      </c>
      <c r="D1954" s="68" t="str">
        <f t="shared" si="2"/>
        <v/>
      </c>
      <c r="E1954" s="65" t="str">
        <f>IF($B1954="","",VLOOKUP(MONTH(C1954),Parameters!$F$2:$G$13,2,0))</f>
        <v/>
      </c>
      <c r="F1954" s="69" t="str">
        <f>IF($B1954="","",PV-N(J1953))</f>
        <v/>
      </c>
      <c r="G1954" s="69" t="str">
        <f>IF($B1954="","",PMT(Rate,Nper,-PV,,Type))</f>
        <v/>
      </c>
      <c r="H1954" s="69" t="str">
        <f>IF($B1954="","",PPMT(Rate,ROWS($1:1942),Nper,-PV,,Type))</f>
        <v/>
      </c>
      <c r="I1954" s="69" t="str">
        <f>IF($B1954="","",IPMT(Rate,ROWS($1:1942),Nper,-PV,,Type))</f>
        <v/>
      </c>
      <c r="J1954" s="73" t="str">
        <f t="shared" ref="J1954:K1954" si="1944">IF($B1954="","",N(J1953)+N(H1954))</f>
        <v/>
      </c>
      <c r="K1954" s="74" t="str">
        <f t="shared" si="1944"/>
        <v/>
      </c>
      <c r="L1954" s="69" t="str">
        <f>IF($B1954="","",PV-J1954)</f>
        <v/>
      </c>
      <c r="M1954" s="71" t="str">
        <f>IF($B1954="","",J1954/PV)</f>
        <v/>
      </c>
      <c r="N1954" s="72" t="str">
        <f t="shared" si="4"/>
        <v/>
      </c>
    </row>
    <row r="1955" ht="14.25" customHeight="1">
      <c r="B1955" s="66" t="str">
        <f>IF(ROWS($1:1943)&lt;=Nper,ROWS($1:1943),"")</f>
        <v/>
      </c>
      <c r="C1955" s="67" t="str">
        <f>IF($B1955="","",IF($E$7="Weekly",Start_Date+7*(ROWS($1:1943)-1),EDATE(Start_Date,VLOOKUP(IF(ASTemp!$E$7="","Monthly",ASTemp!$E$7),Parameters!$B$3:$D$6,3,0)*(ROWS($1:1943)-1))))</f>
        <v/>
      </c>
      <c r="D1955" s="68" t="str">
        <f t="shared" si="2"/>
        <v/>
      </c>
      <c r="E1955" s="65" t="str">
        <f>IF($B1955="","",VLOOKUP(MONTH(C1955),Parameters!$F$2:$G$13,2,0))</f>
        <v/>
      </c>
      <c r="F1955" s="69" t="str">
        <f>IF($B1955="","",PV-N(J1954))</f>
        <v/>
      </c>
      <c r="G1955" s="69" t="str">
        <f>IF($B1955="","",PMT(Rate,Nper,-PV,,Type))</f>
        <v/>
      </c>
      <c r="H1955" s="69" t="str">
        <f>IF($B1955="","",PPMT(Rate,ROWS($1:1943),Nper,-PV,,Type))</f>
        <v/>
      </c>
      <c r="I1955" s="69" t="str">
        <f>IF($B1955="","",IPMT(Rate,ROWS($1:1943),Nper,-PV,,Type))</f>
        <v/>
      </c>
      <c r="J1955" s="73" t="str">
        <f t="shared" ref="J1955:K1955" si="1945">IF($B1955="","",N(J1954)+N(H1955))</f>
        <v/>
      </c>
      <c r="K1955" s="74" t="str">
        <f t="shared" si="1945"/>
        <v/>
      </c>
      <c r="L1955" s="69" t="str">
        <f>IF($B1955="","",PV-J1955)</f>
        <v/>
      </c>
      <c r="M1955" s="71" t="str">
        <f>IF($B1955="","",J1955/PV)</f>
        <v/>
      </c>
      <c r="N1955" s="72" t="str">
        <f t="shared" si="4"/>
        <v/>
      </c>
    </row>
    <row r="1956" ht="14.25" customHeight="1">
      <c r="B1956" s="66" t="str">
        <f>IF(ROWS($1:1944)&lt;=Nper,ROWS($1:1944),"")</f>
        <v/>
      </c>
      <c r="C1956" s="67" t="str">
        <f>IF($B1956="","",IF($E$7="Weekly",Start_Date+7*(ROWS($1:1944)-1),EDATE(Start_Date,VLOOKUP(IF(ASTemp!$E$7="","Monthly",ASTemp!$E$7),Parameters!$B$3:$D$6,3,0)*(ROWS($1:1944)-1))))</f>
        <v/>
      </c>
      <c r="D1956" s="68" t="str">
        <f t="shared" si="2"/>
        <v/>
      </c>
      <c r="E1956" s="65" t="str">
        <f>IF($B1956="","",VLOOKUP(MONTH(C1956),Parameters!$F$2:$G$13,2,0))</f>
        <v/>
      </c>
      <c r="F1956" s="69" t="str">
        <f>IF($B1956="","",PV-N(J1955))</f>
        <v/>
      </c>
      <c r="G1956" s="69" t="str">
        <f>IF($B1956="","",PMT(Rate,Nper,-PV,,Type))</f>
        <v/>
      </c>
      <c r="H1956" s="69" t="str">
        <f>IF($B1956="","",PPMT(Rate,ROWS($1:1944),Nper,-PV,,Type))</f>
        <v/>
      </c>
      <c r="I1956" s="69" t="str">
        <f>IF($B1956="","",IPMT(Rate,ROWS($1:1944),Nper,-PV,,Type))</f>
        <v/>
      </c>
      <c r="J1956" s="73" t="str">
        <f t="shared" ref="J1956:K1956" si="1946">IF($B1956="","",N(J1955)+N(H1956))</f>
        <v/>
      </c>
      <c r="K1956" s="74" t="str">
        <f t="shared" si="1946"/>
        <v/>
      </c>
      <c r="L1956" s="69" t="str">
        <f>IF($B1956="","",PV-J1956)</f>
        <v/>
      </c>
      <c r="M1956" s="71" t="str">
        <f>IF($B1956="","",J1956/PV)</f>
        <v/>
      </c>
      <c r="N1956" s="72" t="str">
        <f t="shared" si="4"/>
        <v/>
      </c>
    </row>
    <row r="1957" ht="14.25" customHeight="1">
      <c r="B1957" s="66" t="str">
        <f>IF(ROWS($1:1945)&lt;=Nper,ROWS($1:1945),"")</f>
        <v/>
      </c>
      <c r="C1957" s="67" t="str">
        <f>IF($B1957="","",IF($E$7="Weekly",Start_Date+7*(ROWS($1:1945)-1),EDATE(Start_Date,VLOOKUP(IF(ASTemp!$E$7="","Monthly",ASTemp!$E$7),Parameters!$B$3:$D$6,3,0)*(ROWS($1:1945)-1))))</f>
        <v/>
      </c>
      <c r="D1957" s="68" t="str">
        <f t="shared" si="2"/>
        <v/>
      </c>
      <c r="E1957" s="65" t="str">
        <f>IF($B1957="","",VLOOKUP(MONTH(C1957),Parameters!$F$2:$G$13,2,0))</f>
        <v/>
      </c>
      <c r="F1957" s="69" t="str">
        <f>IF($B1957="","",PV-N(J1956))</f>
        <v/>
      </c>
      <c r="G1957" s="69" t="str">
        <f>IF($B1957="","",PMT(Rate,Nper,-PV,,Type))</f>
        <v/>
      </c>
      <c r="H1957" s="69" t="str">
        <f>IF($B1957="","",PPMT(Rate,ROWS($1:1945),Nper,-PV,,Type))</f>
        <v/>
      </c>
      <c r="I1957" s="69" t="str">
        <f>IF($B1957="","",IPMT(Rate,ROWS($1:1945),Nper,-PV,,Type))</f>
        <v/>
      </c>
      <c r="J1957" s="73" t="str">
        <f t="shared" ref="J1957:K1957" si="1947">IF($B1957="","",N(J1956)+N(H1957))</f>
        <v/>
      </c>
      <c r="K1957" s="74" t="str">
        <f t="shared" si="1947"/>
        <v/>
      </c>
      <c r="L1957" s="69" t="str">
        <f>IF($B1957="","",PV-J1957)</f>
        <v/>
      </c>
      <c r="M1957" s="71" t="str">
        <f>IF($B1957="","",J1957/PV)</f>
        <v/>
      </c>
      <c r="N1957" s="72" t="str">
        <f t="shared" si="4"/>
        <v/>
      </c>
    </row>
    <row r="1958" ht="14.25" customHeight="1">
      <c r="B1958" s="66" t="str">
        <f>IF(ROWS($1:1946)&lt;=Nper,ROWS($1:1946),"")</f>
        <v/>
      </c>
      <c r="C1958" s="67" t="str">
        <f>IF($B1958="","",IF($E$7="Weekly",Start_Date+7*(ROWS($1:1946)-1),EDATE(Start_Date,VLOOKUP(IF(ASTemp!$E$7="","Monthly",ASTemp!$E$7),Parameters!$B$3:$D$6,3,0)*(ROWS($1:1946)-1))))</f>
        <v/>
      </c>
      <c r="D1958" s="68" t="str">
        <f t="shared" si="2"/>
        <v/>
      </c>
      <c r="E1958" s="65" t="str">
        <f>IF($B1958="","",VLOOKUP(MONTH(C1958),Parameters!$F$2:$G$13,2,0))</f>
        <v/>
      </c>
      <c r="F1958" s="69" t="str">
        <f>IF($B1958="","",PV-N(J1957))</f>
        <v/>
      </c>
      <c r="G1958" s="69" t="str">
        <f>IF($B1958="","",PMT(Rate,Nper,-PV,,Type))</f>
        <v/>
      </c>
      <c r="H1958" s="69" t="str">
        <f>IF($B1958="","",PPMT(Rate,ROWS($1:1946),Nper,-PV,,Type))</f>
        <v/>
      </c>
      <c r="I1958" s="69" t="str">
        <f>IF($B1958="","",IPMT(Rate,ROWS($1:1946),Nper,-PV,,Type))</f>
        <v/>
      </c>
      <c r="J1958" s="73" t="str">
        <f t="shared" ref="J1958:K1958" si="1948">IF($B1958="","",N(J1957)+N(H1958))</f>
        <v/>
      </c>
      <c r="K1958" s="74" t="str">
        <f t="shared" si="1948"/>
        <v/>
      </c>
      <c r="L1958" s="69" t="str">
        <f>IF($B1958="","",PV-J1958)</f>
        <v/>
      </c>
      <c r="M1958" s="71" t="str">
        <f>IF($B1958="","",J1958/PV)</f>
        <v/>
      </c>
      <c r="N1958" s="72" t="str">
        <f t="shared" si="4"/>
        <v/>
      </c>
    </row>
    <row r="1959" ht="14.25" customHeight="1">
      <c r="B1959" s="66" t="str">
        <f>IF(ROWS($1:1947)&lt;=Nper,ROWS($1:1947),"")</f>
        <v/>
      </c>
      <c r="C1959" s="67" t="str">
        <f>IF($B1959="","",IF($E$7="Weekly",Start_Date+7*(ROWS($1:1947)-1),EDATE(Start_Date,VLOOKUP(IF(ASTemp!$E$7="","Monthly",ASTemp!$E$7),Parameters!$B$3:$D$6,3,0)*(ROWS($1:1947)-1))))</f>
        <v/>
      </c>
      <c r="D1959" s="68" t="str">
        <f t="shared" si="2"/>
        <v/>
      </c>
      <c r="E1959" s="65" t="str">
        <f>IF($B1959="","",VLOOKUP(MONTH(C1959),Parameters!$F$2:$G$13,2,0))</f>
        <v/>
      </c>
      <c r="F1959" s="69" t="str">
        <f>IF($B1959="","",PV-N(J1958))</f>
        <v/>
      </c>
      <c r="G1959" s="69" t="str">
        <f>IF($B1959="","",PMT(Rate,Nper,-PV,,Type))</f>
        <v/>
      </c>
      <c r="H1959" s="69" t="str">
        <f>IF($B1959="","",PPMT(Rate,ROWS($1:1947),Nper,-PV,,Type))</f>
        <v/>
      </c>
      <c r="I1959" s="69" t="str">
        <f>IF($B1959="","",IPMT(Rate,ROWS($1:1947),Nper,-PV,,Type))</f>
        <v/>
      </c>
      <c r="J1959" s="73" t="str">
        <f t="shared" ref="J1959:K1959" si="1949">IF($B1959="","",N(J1958)+N(H1959))</f>
        <v/>
      </c>
      <c r="K1959" s="74" t="str">
        <f t="shared" si="1949"/>
        <v/>
      </c>
      <c r="L1959" s="69" t="str">
        <f>IF($B1959="","",PV-J1959)</f>
        <v/>
      </c>
      <c r="M1959" s="71" t="str">
        <f>IF($B1959="","",J1959/PV)</f>
        <v/>
      </c>
      <c r="N1959" s="72" t="str">
        <f t="shared" si="4"/>
        <v/>
      </c>
    </row>
    <row r="1960" ht="14.25" customHeight="1">
      <c r="B1960" s="66" t="str">
        <f>IF(ROWS($1:1948)&lt;=Nper,ROWS($1:1948),"")</f>
        <v/>
      </c>
      <c r="C1960" s="67" t="str">
        <f>IF($B1960="","",IF($E$7="Weekly",Start_Date+7*(ROWS($1:1948)-1),EDATE(Start_Date,VLOOKUP(IF(ASTemp!$E$7="","Monthly",ASTemp!$E$7),Parameters!$B$3:$D$6,3,0)*(ROWS($1:1948)-1))))</f>
        <v/>
      </c>
      <c r="D1960" s="68" t="str">
        <f t="shared" si="2"/>
        <v/>
      </c>
      <c r="E1960" s="65" t="str">
        <f>IF($B1960="","",VLOOKUP(MONTH(C1960),Parameters!$F$2:$G$13,2,0))</f>
        <v/>
      </c>
      <c r="F1960" s="69" t="str">
        <f>IF($B1960="","",PV-N(J1959))</f>
        <v/>
      </c>
      <c r="G1960" s="69" t="str">
        <f>IF($B1960="","",PMT(Rate,Nper,-PV,,Type))</f>
        <v/>
      </c>
      <c r="H1960" s="69" t="str">
        <f>IF($B1960="","",PPMT(Rate,ROWS($1:1948),Nper,-PV,,Type))</f>
        <v/>
      </c>
      <c r="I1960" s="69" t="str">
        <f>IF($B1960="","",IPMT(Rate,ROWS($1:1948),Nper,-PV,,Type))</f>
        <v/>
      </c>
      <c r="J1960" s="73" t="str">
        <f t="shared" ref="J1960:K1960" si="1950">IF($B1960="","",N(J1959)+N(H1960))</f>
        <v/>
      </c>
      <c r="K1960" s="74" t="str">
        <f t="shared" si="1950"/>
        <v/>
      </c>
      <c r="L1960" s="69" t="str">
        <f>IF($B1960="","",PV-J1960)</f>
        <v/>
      </c>
      <c r="M1960" s="71" t="str">
        <f>IF($B1960="","",J1960/PV)</f>
        <v/>
      </c>
      <c r="N1960" s="72" t="str">
        <f t="shared" si="4"/>
        <v/>
      </c>
    </row>
    <row r="1961" ht="14.25" customHeight="1">
      <c r="B1961" s="66" t="str">
        <f>IF(ROWS($1:1949)&lt;=Nper,ROWS($1:1949),"")</f>
        <v/>
      </c>
      <c r="C1961" s="67" t="str">
        <f>IF($B1961="","",IF($E$7="Weekly",Start_Date+7*(ROWS($1:1949)-1),EDATE(Start_Date,VLOOKUP(IF(ASTemp!$E$7="","Monthly",ASTemp!$E$7),Parameters!$B$3:$D$6,3,0)*(ROWS($1:1949)-1))))</f>
        <v/>
      </c>
      <c r="D1961" s="68" t="str">
        <f t="shared" si="2"/>
        <v/>
      </c>
      <c r="E1961" s="65" t="str">
        <f>IF($B1961="","",VLOOKUP(MONTH(C1961),Parameters!$F$2:$G$13,2,0))</f>
        <v/>
      </c>
      <c r="F1961" s="69" t="str">
        <f>IF($B1961="","",PV-N(J1960))</f>
        <v/>
      </c>
      <c r="G1961" s="69" t="str">
        <f>IF($B1961="","",PMT(Rate,Nper,-PV,,Type))</f>
        <v/>
      </c>
      <c r="H1961" s="69" t="str">
        <f>IF($B1961="","",PPMT(Rate,ROWS($1:1949),Nper,-PV,,Type))</f>
        <v/>
      </c>
      <c r="I1961" s="69" t="str">
        <f>IF($B1961="","",IPMT(Rate,ROWS($1:1949),Nper,-PV,,Type))</f>
        <v/>
      </c>
      <c r="J1961" s="73" t="str">
        <f t="shared" ref="J1961:K1961" si="1951">IF($B1961="","",N(J1960)+N(H1961))</f>
        <v/>
      </c>
      <c r="K1961" s="74" t="str">
        <f t="shared" si="1951"/>
        <v/>
      </c>
      <c r="L1961" s="69" t="str">
        <f>IF($B1961="","",PV-J1961)</f>
        <v/>
      </c>
      <c r="M1961" s="71" t="str">
        <f>IF($B1961="","",J1961/PV)</f>
        <v/>
      </c>
      <c r="N1961" s="72" t="str">
        <f t="shared" si="4"/>
        <v/>
      </c>
    </row>
    <row r="1962" ht="14.25" customHeight="1">
      <c r="B1962" s="66" t="str">
        <f>IF(ROWS($1:1950)&lt;=Nper,ROWS($1:1950),"")</f>
        <v/>
      </c>
      <c r="C1962" s="67" t="str">
        <f>IF($B1962="","",IF($E$7="Weekly",Start_Date+7*(ROWS($1:1950)-1),EDATE(Start_Date,VLOOKUP(IF(ASTemp!$E$7="","Monthly",ASTemp!$E$7),Parameters!$B$3:$D$6,3,0)*(ROWS($1:1950)-1))))</f>
        <v/>
      </c>
      <c r="D1962" s="68" t="str">
        <f t="shared" si="2"/>
        <v/>
      </c>
      <c r="E1962" s="65" t="str">
        <f>IF($B1962="","",VLOOKUP(MONTH(C1962),Parameters!$F$2:$G$13,2,0))</f>
        <v/>
      </c>
      <c r="F1962" s="69" t="str">
        <f>IF($B1962="","",PV-N(J1961))</f>
        <v/>
      </c>
      <c r="G1962" s="69" t="str">
        <f>IF($B1962="","",PMT(Rate,Nper,-PV,,Type))</f>
        <v/>
      </c>
      <c r="H1962" s="69" t="str">
        <f>IF($B1962="","",PPMT(Rate,ROWS($1:1950),Nper,-PV,,Type))</f>
        <v/>
      </c>
      <c r="I1962" s="69" t="str">
        <f>IF($B1962="","",IPMT(Rate,ROWS($1:1950),Nper,-PV,,Type))</f>
        <v/>
      </c>
      <c r="J1962" s="73" t="str">
        <f t="shared" ref="J1962:K1962" si="1952">IF($B1962="","",N(J1961)+N(H1962))</f>
        <v/>
      </c>
      <c r="K1962" s="74" t="str">
        <f t="shared" si="1952"/>
        <v/>
      </c>
      <c r="L1962" s="69" t="str">
        <f>IF($B1962="","",PV-J1962)</f>
        <v/>
      </c>
      <c r="M1962" s="71" t="str">
        <f>IF($B1962="","",J1962/PV)</f>
        <v/>
      </c>
      <c r="N1962" s="72" t="str">
        <f t="shared" si="4"/>
        <v/>
      </c>
    </row>
    <row r="1963" ht="14.25" customHeight="1">
      <c r="B1963" s="66" t="str">
        <f>IF(ROWS($1:1951)&lt;=Nper,ROWS($1:1951),"")</f>
        <v/>
      </c>
      <c r="C1963" s="67" t="str">
        <f>IF($B1963="","",IF($E$7="Weekly",Start_Date+7*(ROWS($1:1951)-1),EDATE(Start_Date,VLOOKUP(IF(ASTemp!$E$7="","Monthly",ASTemp!$E$7),Parameters!$B$3:$D$6,3,0)*(ROWS($1:1951)-1))))</f>
        <v/>
      </c>
      <c r="D1963" s="68" t="str">
        <f t="shared" si="2"/>
        <v/>
      </c>
      <c r="E1963" s="65" t="str">
        <f>IF($B1963="","",VLOOKUP(MONTH(C1963),Parameters!$F$2:$G$13,2,0))</f>
        <v/>
      </c>
      <c r="F1963" s="69" t="str">
        <f>IF($B1963="","",PV-N(J1962))</f>
        <v/>
      </c>
      <c r="G1963" s="69" t="str">
        <f>IF($B1963="","",PMT(Rate,Nper,-PV,,Type))</f>
        <v/>
      </c>
      <c r="H1963" s="69" t="str">
        <f>IF($B1963="","",PPMT(Rate,ROWS($1:1951),Nper,-PV,,Type))</f>
        <v/>
      </c>
      <c r="I1963" s="69" t="str">
        <f>IF($B1963="","",IPMT(Rate,ROWS($1:1951),Nper,-PV,,Type))</f>
        <v/>
      </c>
      <c r="J1963" s="73" t="str">
        <f t="shared" ref="J1963:K1963" si="1953">IF($B1963="","",N(J1962)+N(H1963))</f>
        <v/>
      </c>
      <c r="K1963" s="74" t="str">
        <f t="shared" si="1953"/>
        <v/>
      </c>
      <c r="L1963" s="69" t="str">
        <f>IF($B1963="","",PV-J1963)</f>
        <v/>
      </c>
      <c r="M1963" s="71" t="str">
        <f>IF($B1963="","",J1963/PV)</f>
        <v/>
      </c>
      <c r="N1963" s="72" t="str">
        <f t="shared" si="4"/>
        <v/>
      </c>
    </row>
    <row r="1964" ht="14.25" customHeight="1">
      <c r="B1964" s="66" t="str">
        <f>IF(ROWS($1:1952)&lt;=Nper,ROWS($1:1952),"")</f>
        <v/>
      </c>
      <c r="C1964" s="67" t="str">
        <f>IF($B1964="","",IF($E$7="Weekly",Start_Date+7*(ROWS($1:1952)-1),EDATE(Start_Date,VLOOKUP(IF(ASTemp!$E$7="","Monthly",ASTemp!$E$7),Parameters!$B$3:$D$6,3,0)*(ROWS($1:1952)-1))))</f>
        <v/>
      </c>
      <c r="D1964" s="68" t="str">
        <f t="shared" si="2"/>
        <v/>
      </c>
      <c r="E1964" s="65" t="str">
        <f>IF($B1964="","",VLOOKUP(MONTH(C1964),Parameters!$F$2:$G$13,2,0))</f>
        <v/>
      </c>
      <c r="F1964" s="69" t="str">
        <f>IF($B1964="","",PV-N(J1963))</f>
        <v/>
      </c>
      <c r="G1964" s="69" t="str">
        <f>IF($B1964="","",PMT(Rate,Nper,-PV,,Type))</f>
        <v/>
      </c>
      <c r="H1964" s="69" t="str">
        <f>IF($B1964="","",PPMT(Rate,ROWS($1:1952),Nper,-PV,,Type))</f>
        <v/>
      </c>
      <c r="I1964" s="69" t="str">
        <f>IF($B1964="","",IPMT(Rate,ROWS($1:1952),Nper,-PV,,Type))</f>
        <v/>
      </c>
      <c r="J1964" s="73" t="str">
        <f t="shared" ref="J1964:K1964" si="1954">IF($B1964="","",N(J1963)+N(H1964))</f>
        <v/>
      </c>
      <c r="K1964" s="74" t="str">
        <f t="shared" si="1954"/>
        <v/>
      </c>
      <c r="L1964" s="69" t="str">
        <f>IF($B1964="","",PV-J1964)</f>
        <v/>
      </c>
      <c r="M1964" s="71" t="str">
        <f>IF($B1964="","",J1964/PV)</f>
        <v/>
      </c>
      <c r="N1964" s="72" t="str">
        <f t="shared" si="4"/>
        <v/>
      </c>
    </row>
    <row r="1965" ht="14.25" customHeight="1">
      <c r="B1965" s="66" t="str">
        <f>IF(ROWS($1:1953)&lt;=Nper,ROWS($1:1953),"")</f>
        <v/>
      </c>
      <c r="C1965" s="67" t="str">
        <f>IF($B1965="","",IF($E$7="Weekly",Start_Date+7*(ROWS($1:1953)-1),EDATE(Start_Date,VLOOKUP(IF(ASTemp!$E$7="","Monthly",ASTemp!$E$7),Parameters!$B$3:$D$6,3,0)*(ROWS($1:1953)-1))))</f>
        <v/>
      </c>
      <c r="D1965" s="68" t="str">
        <f t="shared" si="2"/>
        <v/>
      </c>
      <c r="E1965" s="65" t="str">
        <f>IF($B1965="","",VLOOKUP(MONTH(C1965),Parameters!$F$2:$G$13,2,0))</f>
        <v/>
      </c>
      <c r="F1965" s="69" t="str">
        <f>IF($B1965="","",PV-N(J1964))</f>
        <v/>
      </c>
      <c r="G1965" s="69" t="str">
        <f>IF($B1965="","",PMT(Rate,Nper,-PV,,Type))</f>
        <v/>
      </c>
      <c r="H1965" s="69" t="str">
        <f>IF($B1965="","",PPMT(Rate,ROWS($1:1953),Nper,-PV,,Type))</f>
        <v/>
      </c>
      <c r="I1965" s="69" t="str">
        <f>IF($B1965="","",IPMT(Rate,ROWS($1:1953),Nper,-PV,,Type))</f>
        <v/>
      </c>
      <c r="J1965" s="73" t="str">
        <f t="shared" ref="J1965:K1965" si="1955">IF($B1965="","",N(J1964)+N(H1965))</f>
        <v/>
      </c>
      <c r="K1965" s="74" t="str">
        <f t="shared" si="1955"/>
        <v/>
      </c>
      <c r="L1965" s="69" t="str">
        <f>IF($B1965="","",PV-J1965)</f>
        <v/>
      </c>
      <c r="M1965" s="71" t="str">
        <f>IF($B1965="","",J1965/PV)</f>
        <v/>
      </c>
      <c r="N1965" s="72" t="str">
        <f t="shared" si="4"/>
        <v/>
      </c>
    </row>
    <row r="1966" ht="14.25" customHeight="1">
      <c r="B1966" s="66" t="str">
        <f>IF(ROWS($1:1954)&lt;=Nper,ROWS($1:1954),"")</f>
        <v/>
      </c>
      <c r="C1966" s="67" t="str">
        <f>IF($B1966="","",IF($E$7="Weekly",Start_Date+7*(ROWS($1:1954)-1),EDATE(Start_Date,VLOOKUP(IF(ASTemp!$E$7="","Monthly",ASTemp!$E$7),Parameters!$B$3:$D$6,3,0)*(ROWS($1:1954)-1))))</f>
        <v/>
      </c>
      <c r="D1966" s="68" t="str">
        <f t="shared" si="2"/>
        <v/>
      </c>
      <c r="E1966" s="65" t="str">
        <f>IF($B1966="","",VLOOKUP(MONTH(C1966),Parameters!$F$2:$G$13,2,0))</f>
        <v/>
      </c>
      <c r="F1966" s="69" t="str">
        <f>IF($B1966="","",PV-N(J1965))</f>
        <v/>
      </c>
      <c r="G1966" s="69" t="str">
        <f>IF($B1966="","",PMT(Rate,Nper,-PV,,Type))</f>
        <v/>
      </c>
      <c r="H1966" s="69" t="str">
        <f>IF($B1966="","",PPMT(Rate,ROWS($1:1954),Nper,-PV,,Type))</f>
        <v/>
      </c>
      <c r="I1966" s="69" t="str">
        <f>IF($B1966="","",IPMT(Rate,ROWS($1:1954),Nper,-PV,,Type))</f>
        <v/>
      </c>
      <c r="J1966" s="73" t="str">
        <f t="shared" ref="J1966:K1966" si="1956">IF($B1966="","",N(J1965)+N(H1966))</f>
        <v/>
      </c>
      <c r="K1966" s="74" t="str">
        <f t="shared" si="1956"/>
        <v/>
      </c>
      <c r="L1966" s="69" t="str">
        <f>IF($B1966="","",PV-J1966)</f>
        <v/>
      </c>
      <c r="M1966" s="71" t="str">
        <f>IF($B1966="","",J1966/PV)</f>
        <v/>
      </c>
      <c r="N1966" s="72" t="str">
        <f t="shared" si="4"/>
        <v/>
      </c>
    </row>
    <row r="1967" ht="14.25" customHeight="1">
      <c r="B1967" s="66" t="str">
        <f>IF(ROWS($1:1955)&lt;=Nper,ROWS($1:1955),"")</f>
        <v/>
      </c>
      <c r="C1967" s="67" t="str">
        <f>IF($B1967="","",IF($E$7="Weekly",Start_Date+7*(ROWS($1:1955)-1),EDATE(Start_Date,VLOOKUP(IF(ASTemp!$E$7="","Monthly",ASTemp!$E$7),Parameters!$B$3:$D$6,3,0)*(ROWS($1:1955)-1))))</f>
        <v/>
      </c>
      <c r="D1967" s="68" t="str">
        <f t="shared" si="2"/>
        <v/>
      </c>
      <c r="E1967" s="65" t="str">
        <f>IF($B1967="","",VLOOKUP(MONTH(C1967),Parameters!$F$2:$G$13,2,0))</f>
        <v/>
      </c>
      <c r="F1967" s="69" t="str">
        <f>IF($B1967="","",PV-N(J1966))</f>
        <v/>
      </c>
      <c r="G1967" s="69" t="str">
        <f>IF($B1967="","",PMT(Rate,Nper,-PV,,Type))</f>
        <v/>
      </c>
      <c r="H1967" s="69" t="str">
        <f>IF($B1967="","",PPMT(Rate,ROWS($1:1955),Nper,-PV,,Type))</f>
        <v/>
      </c>
      <c r="I1967" s="69" t="str">
        <f>IF($B1967="","",IPMT(Rate,ROWS($1:1955),Nper,-PV,,Type))</f>
        <v/>
      </c>
      <c r="J1967" s="73" t="str">
        <f t="shared" ref="J1967:K1967" si="1957">IF($B1967="","",N(J1966)+N(H1967))</f>
        <v/>
      </c>
      <c r="K1967" s="74" t="str">
        <f t="shared" si="1957"/>
        <v/>
      </c>
      <c r="L1967" s="69" t="str">
        <f>IF($B1967="","",PV-J1967)</f>
        <v/>
      </c>
      <c r="M1967" s="71" t="str">
        <f>IF($B1967="","",J1967/PV)</f>
        <v/>
      </c>
      <c r="N1967" s="72" t="str">
        <f t="shared" si="4"/>
        <v/>
      </c>
    </row>
    <row r="1968" ht="14.25" customHeight="1">
      <c r="B1968" s="66" t="str">
        <f>IF(ROWS($1:1956)&lt;=Nper,ROWS($1:1956),"")</f>
        <v/>
      </c>
      <c r="C1968" s="67" t="str">
        <f>IF($B1968="","",IF($E$7="Weekly",Start_Date+7*(ROWS($1:1956)-1),EDATE(Start_Date,VLOOKUP(IF(ASTemp!$E$7="","Monthly",ASTemp!$E$7),Parameters!$B$3:$D$6,3,0)*(ROWS($1:1956)-1))))</f>
        <v/>
      </c>
      <c r="D1968" s="68" t="str">
        <f t="shared" si="2"/>
        <v/>
      </c>
      <c r="E1968" s="65" t="str">
        <f>IF($B1968="","",VLOOKUP(MONTH(C1968),Parameters!$F$2:$G$13,2,0))</f>
        <v/>
      </c>
      <c r="F1968" s="69" t="str">
        <f>IF($B1968="","",PV-N(J1967))</f>
        <v/>
      </c>
      <c r="G1968" s="69" t="str">
        <f>IF($B1968="","",PMT(Rate,Nper,-PV,,Type))</f>
        <v/>
      </c>
      <c r="H1968" s="69" t="str">
        <f>IF($B1968="","",PPMT(Rate,ROWS($1:1956),Nper,-PV,,Type))</f>
        <v/>
      </c>
      <c r="I1968" s="69" t="str">
        <f>IF($B1968="","",IPMT(Rate,ROWS($1:1956),Nper,-PV,,Type))</f>
        <v/>
      </c>
      <c r="J1968" s="73" t="str">
        <f t="shared" ref="J1968:K1968" si="1958">IF($B1968="","",N(J1967)+N(H1968))</f>
        <v/>
      </c>
      <c r="K1968" s="74" t="str">
        <f t="shared" si="1958"/>
        <v/>
      </c>
      <c r="L1968" s="69" t="str">
        <f>IF($B1968="","",PV-J1968)</f>
        <v/>
      </c>
      <c r="M1968" s="71" t="str">
        <f>IF($B1968="","",J1968/PV)</f>
        <v/>
      </c>
      <c r="N1968" s="72" t="str">
        <f t="shared" si="4"/>
        <v/>
      </c>
    </row>
    <row r="1969" ht="14.25" customHeight="1">
      <c r="B1969" s="66" t="str">
        <f>IF(ROWS($1:1957)&lt;=Nper,ROWS($1:1957),"")</f>
        <v/>
      </c>
      <c r="C1969" s="67" t="str">
        <f>IF($B1969="","",IF($E$7="Weekly",Start_Date+7*(ROWS($1:1957)-1),EDATE(Start_Date,VLOOKUP(IF(ASTemp!$E$7="","Monthly",ASTemp!$E$7),Parameters!$B$3:$D$6,3,0)*(ROWS($1:1957)-1))))</f>
        <v/>
      </c>
      <c r="D1969" s="68" t="str">
        <f t="shared" si="2"/>
        <v/>
      </c>
      <c r="E1969" s="65" t="str">
        <f>IF($B1969="","",VLOOKUP(MONTH(C1969),Parameters!$F$2:$G$13,2,0))</f>
        <v/>
      </c>
      <c r="F1969" s="69" t="str">
        <f>IF($B1969="","",PV-N(J1968))</f>
        <v/>
      </c>
      <c r="G1969" s="69" t="str">
        <f>IF($B1969="","",PMT(Rate,Nper,-PV,,Type))</f>
        <v/>
      </c>
      <c r="H1969" s="69" t="str">
        <f>IF($B1969="","",PPMT(Rate,ROWS($1:1957),Nper,-PV,,Type))</f>
        <v/>
      </c>
      <c r="I1969" s="69" t="str">
        <f>IF($B1969="","",IPMT(Rate,ROWS($1:1957),Nper,-PV,,Type))</f>
        <v/>
      </c>
      <c r="J1969" s="73" t="str">
        <f t="shared" ref="J1969:K1969" si="1959">IF($B1969="","",N(J1968)+N(H1969))</f>
        <v/>
      </c>
      <c r="K1969" s="74" t="str">
        <f t="shared" si="1959"/>
        <v/>
      </c>
      <c r="L1969" s="69" t="str">
        <f>IF($B1969="","",PV-J1969)</f>
        <v/>
      </c>
      <c r="M1969" s="71" t="str">
        <f>IF($B1969="","",J1969/PV)</f>
        <v/>
      </c>
      <c r="N1969" s="72" t="str">
        <f t="shared" si="4"/>
        <v/>
      </c>
    </row>
    <row r="1970" ht="14.25" customHeight="1">
      <c r="B1970" s="66" t="str">
        <f>IF(ROWS($1:1958)&lt;=Nper,ROWS($1:1958),"")</f>
        <v/>
      </c>
      <c r="C1970" s="67" t="str">
        <f>IF($B1970="","",IF($E$7="Weekly",Start_Date+7*(ROWS($1:1958)-1),EDATE(Start_Date,VLOOKUP(IF(ASTemp!$E$7="","Monthly",ASTemp!$E$7),Parameters!$B$3:$D$6,3,0)*(ROWS($1:1958)-1))))</f>
        <v/>
      </c>
      <c r="D1970" s="68" t="str">
        <f t="shared" si="2"/>
        <v/>
      </c>
      <c r="E1970" s="65" t="str">
        <f>IF($B1970="","",VLOOKUP(MONTH(C1970),Parameters!$F$2:$G$13,2,0))</f>
        <v/>
      </c>
      <c r="F1970" s="69" t="str">
        <f>IF($B1970="","",PV-N(J1969))</f>
        <v/>
      </c>
      <c r="G1970" s="69" t="str">
        <f>IF($B1970="","",PMT(Rate,Nper,-PV,,Type))</f>
        <v/>
      </c>
      <c r="H1970" s="69" t="str">
        <f>IF($B1970="","",PPMT(Rate,ROWS($1:1958),Nper,-PV,,Type))</f>
        <v/>
      </c>
      <c r="I1970" s="69" t="str">
        <f>IF($B1970="","",IPMT(Rate,ROWS($1:1958),Nper,-PV,,Type))</f>
        <v/>
      </c>
      <c r="J1970" s="73" t="str">
        <f t="shared" ref="J1970:K1970" si="1960">IF($B1970="","",N(J1969)+N(H1970))</f>
        <v/>
      </c>
      <c r="K1970" s="74" t="str">
        <f t="shared" si="1960"/>
        <v/>
      </c>
      <c r="L1970" s="69" t="str">
        <f>IF($B1970="","",PV-J1970)</f>
        <v/>
      </c>
      <c r="M1970" s="71" t="str">
        <f>IF($B1970="","",J1970/PV)</f>
        <v/>
      </c>
      <c r="N1970" s="72" t="str">
        <f t="shared" si="4"/>
        <v/>
      </c>
    </row>
    <row r="1971" ht="14.25" customHeight="1">
      <c r="B1971" s="66" t="str">
        <f>IF(ROWS($1:1959)&lt;=Nper,ROWS($1:1959),"")</f>
        <v/>
      </c>
      <c r="C1971" s="67" t="str">
        <f>IF($B1971="","",IF($E$7="Weekly",Start_Date+7*(ROWS($1:1959)-1),EDATE(Start_Date,VLOOKUP(IF(ASTemp!$E$7="","Monthly",ASTemp!$E$7),Parameters!$B$3:$D$6,3,0)*(ROWS($1:1959)-1))))</f>
        <v/>
      </c>
      <c r="D1971" s="68" t="str">
        <f t="shared" si="2"/>
        <v/>
      </c>
      <c r="E1971" s="65" t="str">
        <f>IF($B1971="","",VLOOKUP(MONTH(C1971),Parameters!$F$2:$G$13,2,0))</f>
        <v/>
      </c>
      <c r="F1971" s="69" t="str">
        <f>IF($B1971="","",PV-N(J1970))</f>
        <v/>
      </c>
      <c r="G1971" s="69" t="str">
        <f>IF($B1971="","",PMT(Rate,Nper,-PV,,Type))</f>
        <v/>
      </c>
      <c r="H1971" s="69" t="str">
        <f>IF($B1971="","",PPMT(Rate,ROWS($1:1959),Nper,-PV,,Type))</f>
        <v/>
      </c>
      <c r="I1971" s="69" t="str">
        <f>IF($B1971="","",IPMT(Rate,ROWS($1:1959),Nper,-PV,,Type))</f>
        <v/>
      </c>
      <c r="J1971" s="73" t="str">
        <f t="shared" ref="J1971:K1971" si="1961">IF($B1971="","",N(J1970)+N(H1971))</f>
        <v/>
      </c>
      <c r="K1971" s="74" t="str">
        <f t="shared" si="1961"/>
        <v/>
      </c>
      <c r="L1971" s="69" t="str">
        <f>IF($B1971="","",PV-J1971)</f>
        <v/>
      </c>
      <c r="M1971" s="71" t="str">
        <f>IF($B1971="","",J1971/PV)</f>
        <v/>
      </c>
      <c r="N1971" s="72" t="str">
        <f t="shared" si="4"/>
        <v/>
      </c>
    </row>
    <row r="1972" ht="14.25" customHeight="1">
      <c r="B1972" s="66" t="str">
        <f>IF(ROWS($1:1960)&lt;=Nper,ROWS($1:1960),"")</f>
        <v/>
      </c>
      <c r="C1972" s="67" t="str">
        <f>IF($B1972="","",IF($E$7="Weekly",Start_Date+7*(ROWS($1:1960)-1),EDATE(Start_Date,VLOOKUP(IF(ASTemp!$E$7="","Monthly",ASTemp!$E$7),Parameters!$B$3:$D$6,3,0)*(ROWS($1:1960)-1))))</f>
        <v/>
      </c>
      <c r="D1972" s="68" t="str">
        <f t="shared" si="2"/>
        <v/>
      </c>
      <c r="E1972" s="65" t="str">
        <f>IF($B1972="","",VLOOKUP(MONTH(C1972),Parameters!$F$2:$G$13,2,0))</f>
        <v/>
      </c>
      <c r="F1972" s="69" t="str">
        <f>IF($B1972="","",PV-N(J1971))</f>
        <v/>
      </c>
      <c r="G1972" s="69" t="str">
        <f>IF($B1972="","",PMT(Rate,Nper,-PV,,Type))</f>
        <v/>
      </c>
      <c r="H1972" s="69" t="str">
        <f>IF($B1972="","",PPMT(Rate,ROWS($1:1960),Nper,-PV,,Type))</f>
        <v/>
      </c>
      <c r="I1972" s="69" t="str">
        <f>IF($B1972="","",IPMT(Rate,ROWS($1:1960),Nper,-PV,,Type))</f>
        <v/>
      </c>
      <c r="J1972" s="73" t="str">
        <f t="shared" ref="J1972:K1972" si="1962">IF($B1972="","",N(J1971)+N(H1972))</f>
        <v/>
      </c>
      <c r="K1972" s="74" t="str">
        <f t="shared" si="1962"/>
        <v/>
      </c>
      <c r="L1972" s="69" t="str">
        <f>IF($B1972="","",PV-J1972)</f>
        <v/>
      </c>
      <c r="M1972" s="71" t="str">
        <f>IF($B1972="","",J1972/PV)</f>
        <v/>
      </c>
      <c r="N1972" s="72" t="str">
        <f t="shared" si="4"/>
        <v/>
      </c>
    </row>
    <row r="1973" ht="14.25" customHeight="1">
      <c r="B1973" s="66" t="str">
        <f>IF(ROWS($1:1961)&lt;=Nper,ROWS($1:1961),"")</f>
        <v/>
      </c>
      <c r="C1973" s="67" t="str">
        <f>IF($B1973="","",IF($E$7="Weekly",Start_Date+7*(ROWS($1:1961)-1),EDATE(Start_Date,VLOOKUP(IF(ASTemp!$E$7="","Monthly",ASTemp!$E$7),Parameters!$B$3:$D$6,3,0)*(ROWS($1:1961)-1))))</f>
        <v/>
      </c>
      <c r="D1973" s="68" t="str">
        <f t="shared" si="2"/>
        <v/>
      </c>
      <c r="E1973" s="65" t="str">
        <f>IF($B1973="","",VLOOKUP(MONTH(C1973),Parameters!$F$2:$G$13,2,0))</f>
        <v/>
      </c>
      <c r="F1973" s="69" t="str">
        <f>IF($B1973="","",PV-N(J1972))</f>
        <v/>
      </c>
      <c r="G1973" s="69" t="str">
        <f>IF($B1973="","",PMT(Rate,Nper,-PV,,Type))</f>
        <v/>
      </c>
      <c r="H1973" s="69" t="str">
        <f>IF($B1973="","",PPMT(Rate,ROWS($1:1961),Nper,-PV,,Type))</f>
        <v/>
      </c>
      <c r="I1973" s="69" t="str">
        <f>IF($B1973="","",IPMT(Rate,ROWS($1:1961),Nper,-PV,,Type))</f>
        <v/>
      </c>
      <c r="J1973" s="73" t="str">
        <f t="shared" ref="J1973:K1973" si="1963">IF($B1973="","",N(J1972)+N(H1973))</f>
        <v/>
      </c>
      <c r="K1973" s="74" t="str">
        <f t="shared" si="1963"/>
        <v/>
      </c>
      <c r="L1973" s="69" t="str">
        <f>IF($B1973="","",PV-J1973)</f>
        <v/>
      </c>
      <c r="M1973" s="71" t="str">
        <f>IF($B1973="","",J1973/PV)</f>
        <v/>
      </c>
      <c r="N1973" s="72" t="str">
        <f t="shared" si="4"/>
        <v/>
      </c>
    </row>
    <row r="1974" ht="14.25" customHeight="1">
      <c r="B1974" s="66" t="str">
        <f>IF(ROWS($1:1962)&lt;=Nper,ROWS($1:1962),"")</f>
        <v/>
      </c>
      <c r="C1974" s="67" t="str">
        <f>IF($B1974="","",IF($E$7="Weekly",Start_Date+7*(ROWS($1:1962)-1),EDATE(Start_Date,VLOOKUP(IF(ASTemp!$E$7="","Monthly",ASTemp!$E$7),Parameters!$B$3:$D$6,3,0)*(ROWS($1:1962)-1))))</f>
        <v/>
      </c>
      <c r="D1974" s="68" t="str">
        <f t="shared" si="2"/>
        <v/>
      </c>
      <c r="E1974" s="65" t="str">
        <f>IF($B1974="","",VLOOKUP(MONTH(C1974),Parameters!$F$2:$G$13,2,0))</f>
        <v/>
      </c>
      <c r="F1974" s="69" t="str">
        <f>IF($B1974="","",PV-N(J1973))</f>
        <v/>
      </c>
      <c r="G1974" s="69" t="str">
        <f>IF($B1974="","",PMT(Rate,Nper,-PV,,Type))</f>
        <v/>
      </c>
      <c r="H1974" s="69" t="str">
        <f>IF($B1974="","",PPMT(Rate,ROWS($1:1962),Nper,-PV,,Type))</f>
        <v/>
      </c>
      <c r="I1974" s="69" t="str">
        <f>IF($B1974="","",IPMT(Rate,ROWS($1:1962),Nper,-PV,,Type))</f>
        <v/>
      </c>
      <c r="J1974" s="73" t="str">
        <f t="shared" ref="J1974:K1974" si="1964">IF($B1974="","",N(J1973)+N(H1974))</f>
        <v/>
      </c>
      <c r="K1974" s="74" t="str">
        <f t="shared" si="1964"/>
        <v/>
      </c>
      <c r="L1974" s="69" t="str">
        <f>IF($B1974="","",PV-J1974)</f>
        <v/>
      </c>
      <c r="M1974" s="71" t="str">
        <f>IF($B1974="","",J1974/PV)</f>
        <v/>
      </c>
      <c r="N1974" s="72" t="str">
        <f t="shared" si="4"/>
        <v/>
      </c>
    </row>
    <row r="1975" ht="14.25" customHeight="1">
      <c r="B1975" s="66" t="str">
        <f>IF(ROWS($1:1963)&lt;=Nper,ROWS($1:1963),"")</f>
        <v/>
      </c>
      <c r="C1975" s="67" t="str">
        <f>IF($B1975="","",IF($E$7="Weekly",Start_Date+7*(ROWS($1:1963)-1),EDATE(Start_Date,VLOOKUP(IF(ASTemp!$E$7="","Monthly",ASTemp!$E$7),Parameters!$B$3:$D$6,3,0)*(ROWS($1:1963)-1))))</f>
        <v/>
      </c>
      <c r="D1975" s="68" t="str">
        <f t="shared" si="2"/>
        <v/>
      </c>
      <c r="E1975" s="65" t="str">
        <f>IF($B1975="","",VLOOKUP(MONTH(C1975),Parameters!$F$2:$G$13,2,0))</f>
        <v/>
      </c>
      <c r="F1975" s="69" t="str">
        <f>IF($B1975="","",PV-N(J1974))</f>
        <v/>
      </c>
      <c r="G1975" s="69" t="str">
        <f>IF($B1975="","",PMT(Rate,Nper,-PV,,Type))</f>
        <v/>
      </c>
      <c r="H1975" s="69" t="str">
        <f>IF($B1975="","",PPMT(Rate,ROWS($1:1963),Nper,-PV,,Type))</f>
        <v/>
      </c>
      <c r="I1975" s="69" t="str">
        <f>IF($B1975="","",IPMT(Rate,ROWS($1:1963),Nper,-PV,,Type))</f>
        <v/>
      </c>
      <c r="J1975" s="73" t="str">
        <f t="shared" ref="J1975:K1975" si="1965">IF($B1975="","",N(J1974)+N(H1975))</f>
        <v/>
      </c>
      <c r="K1975" s="74" t="str">
        <f t="shared" si="1965"/>
        <v/>
      </c>
      <c r="L1975" s="69" t="str">
        <f>IF($B1975="","",PV-J1975)</f>
        <v/>
      </c>
      <c r="M1975" s="71" t="str">
        <f>IF($B1975="","",J1975/PV)</f>
        <v/>
      </c>
      <c r="N1975" s="72" t="str">
        <f t="shared" si="4"/>
        <v/>
      </c>
    </row>
    <row r="1976" ht="14.25" customHeight="1">
      <c r="B1976" s="66" t="str">
        <f>IF(ROWS($1:1964)&lt;=Nper,ROWS($1:1964),"")</f>
        <v/>
      </c>
      <c r="C1976" s="67" t="str">
        <f>IF($B1976="","",IF($E$7="Weekly",Start_Date+7*(ROWS($1:1964)-1),EDATE(Start_Date,VLOOKUP(IF(ASTemp!$E$7="","Monthly",ASTemp!$E$7),Parameters!$B$3:$D$6,3,0)*(ROWS($1:1964)-1))))</f>
        <v/>
      </c>
      <c r="D1976" s="68" t="str">
        <f t="shared" si="2"/>
        <v/>
      </c>
      <c r="E1976" s="65" t="str">
        <f>IF($B1976="","",VLOOKUP(MONTH(C1976),Parameters!$F$2:$G$13,2,0))</f>
        <v/>
      </c>
      <c r="F1976" s="69" t="str">
        <f>IF($B1976="","",PV-N(J1975))</f>
        <v/>
      </c>
      <c r="G1976" s="69" t="str">
        <f>IF($B1976="","",PMT(Rate,Nper,-PV,,Type))</f>
        <v/>
      </c>
      <c r="H1976" s="69" t="str">
        <f>IF($B1976="","",PPMT(Rate,ROWS($1:1964),Nper,-PV,,Type))</f>
        <v/>
      </c>
      <c r="I1976" s="69" t="str">
        <f>IF($B1976="","",IPMT(Rate,ROWS($1:1964),Nper,-PV,,Type))</f>
        <v/>
      </c>
      <c r="J1976" s="73" t="str">
        <f t="shared" ref="J1976:K1976" si="1966">IF($B1976="","",N(J1975)+N(H1976))</f>
        <v/>
      </c>
      <c r="K1976" s="74" t="str">
        <f t="shared" si="1966"/>
        <v/>
      </c>
      <c r="L1976" s="69" t="str">
        <f>IF($B1976="","",PV-J1976)</f>
        <v/>
      </c>
      <c r="M1976" s="71" t="str">
        <f>IF($B1976="","",J1976/PV)</f>
        <v/>
      </c>
      <c r="N1976" s="72" t="str">
        <f t="shared" si="4"/>
        <v/>
      </c>
    </row>
    <row r="1977" ht="14.25" customHeight="1">
      <c r="B1977" s="66" t="str">
        <f>IF(ROWS($1:1965)&lt;=Nper,ROWS($1:1965),"")</f>
        <v/>
      </c>
      <c r="C1977" s="67" t="str">
        <f>IF($B1977="","",IF($E$7="Weekly",Start_Date+7*(ROWS($1:1965)-1),EDATE(Start_Date,VLOOKUP(IF(ASTemp!$E$7="","Monthly",ASTemp!$E$7),Parameters!$B$3:$D$6,3,0)*(ROWS($1:1965)-1))))</f>
        <v/>
      </c>
      <c r="D1977" s="68" t="str">
        <f t="shared" si="2"/>
        <v/>
      </c>
      <c r="E1977" s="65" t="str">
        <f>IF($B1977="","",VLOOKUP(MONTH(C1977),Parameters!$F$2:$G$13,2,0))</f>
        <v/>
      </c>
      <c r="F1977" s="69" t="str">
        <f>IF($B1977="","",PV-N(J1976))</f>
        <v/>
      </c>
      <c r="G1977" s="69" t="str">
        <f>IF($B1977="","",PMT(Rate,Nper,-PV,,Type))</f>
        <v/>
      </c>
      <c r="H1977" s="69" t="str">
        <f>IF($B1977="","",PPMT(Rate,ROWS($1:1965),Nper,-PV,,Type))</f>
        <v/>
      </c>
      <c r="I1977" s="69" t="str">
        <f>IF($B1977="","",IPMT(Rate,ROWS($1:1965),Nper,-PV,,Type))</f>
        <v/>
      </c>
      <c r="J1977" s="73" t="str">
        <f t="shared" ref="J1977:K1977" si="1967">IF($B1977="","",N(J1976)+N(H1977))</f>
        <v/>
      </c>
      <c r="K1977" s="74" t="str">
        <f t="shared" si="1967"/>
        <v/>
      </c>
      <c r="L1977" s="69" t="str">
        <f>IF($B1977="","",PV-J1977)</f>
        <v/>
      </c>
      <c r="M1977" s="71" t="str">
        <f>IF($B1977="","",J1977/PV)</f>
        <v/>
      </c>
      <c r="N1977" s="72" t="str">
        <f t="shared" si="4"/>
        <v/>
      </c>
    </row>
    <row r="1978" ht="14.25" customHeight="1">
      <c r="B1978" s="66" t="str">
        <f>IF(ROWS($1:1966)&lt;=Nper,ROWS($1:1966),"")</f>
        <v/>
      </c>
      <c r="C1978" s="67" t="str">
        <f>IF($B1978="","",IF($E$7="Weekly",Start_Date+7*(ROWS($1:1966)-1),EDATE(Start_Date,VLOOKUP(IF(ASTemp!$E$7="","Monthly",ASTemp!$E$7),Parameters!$B$3:$D$6,3,0)*(ROWS($1:1966)-1))))</f>
        <v/>
      </c>
      <c r="D1978" s="68" t="str">
        <f t="shared" si="2"/>
        <v/>
      </c>
      <c r="E1978" s="65" t="str">
        <f>IF($B1978="","",VLOOKUP(MONTH(C1978),Parameters!$F$2:$G$13,2,0))</f>
        <v/>
      </c>
      <c r="F1978" s="69" t="str">
        <f>IF($B1978="","",PV-N(J1977))</f>
        <v/>
      </c>
      <c r="G1978" s="69" t="str">
        <f>IF($B1978="","",PMT(Rate,Nper,-PV,,Type))</f>
        <v/>
      </c>
      <c r="H1978" s="69" t="str">
        <f>IF($B1978="","",PPMT(Rate,ROWS($1:1966),Nper,-PV,,Type))</f>
        <v/>
      </c>
      <c r="I1978" s="69" t="str">
        <f>IF($B1978="","",IPMT(Rate,ROWS($1:1966),Nper,-PV,,Type))</f>
        <v/>
      </c>
      <c r="J1978" s="73" t="str">
        <f t="shared" ref="J1978:K1978" si="1968">IF($B1978="","",N(J1977)+N(H1978))</f>
        <v/>
      </c>
      <c r="K1978" s="74" t="str">
        <f t="shared" si="1968"/>
        <v/>
      </c>
      <c r="L1978" s="69" t="str">
        <f>IF($B1978="","",PV-J1978)</f>
        <v/>
      </c>
      <c r="M1978" s="71" t="str">
        <f>IF($B1978="","",J1978/PV)</f>
        <v/>
      </c>
      <c r="N1978" s="72" t="str">
        <f t="shared" si="4"/>
        <v/>
      </c>
    </row>
    <row r="1979" ht="14.25" customHeight="1">
      <c r="B1979" s="66" t="str">
        <f>IF(ROWS($1:1967)&lt;=Nper,ROWS($1:1967),"")</f>
        <v/>
      </c>
      <c r="C1979" s="67" t="str">
        <f>IF($B1979="","",IF($E$7="Weekly",Start_Date+7*(ROWS($1:1967)-1),EDATE(Start_Date,VLOOKUP(IF(ASTemp!$E$7="","Monthly",ASTemp!$E$7),Parameters!$B$3:$D$6,3,0)*(ROWS($1:1967)-1))))</f>
        <v/>
      </c>
      <c r="D1979" s="68" t="str">
        <f t="shared" si="2"/>
        <v/>
      </c>
      <c r="E1979" s="65" t="str">
        <f>IF($B1979="","",VLOOKUP(MONTH(C1979),Parameters!$F$2:$G$13,2,0))</f>
        <v/>
      </c>
      <c r="F1979" s="69" t="str">
        <f>IF($B1979="","",PV-N(J1978))</f>
        <v/>
      </c>
      <c r="G1979" s="69" t="str">
        <f>IF($B1979="","",PMT(Rate,Nper,-PV,,Type))</f>
        <v/>
      </c>
      <c r="H1979" s="69" t="str">
        <f>IF($B1979="","",PPMT(Rate,ROWS($1:1967),Nper,-PV,,Type))</f>
        <v/>
      </c>
      <c r="I1979" s="69" t="str">
        <f>IF($B1979="","",IPMT(Rate,ROWS($1:1967),Nper,-PV,,Type))</f>
        <v/>
      </c>
      <c r="J1979" s="73" t="str">
        <f t="shared" ref="J1979:K1979" si="1969">IF($B1979="","",N(J1978)+N(H1979))</f>
        <v/>
      </c>
      <c r="K1979" s="74" t="str">
        <f t="shared" si="1969"/>
        <v/>
      </c>
      <c r="L1979" s="69" t="str">
        <f>IF($B1979="","",PV-J1979)</f>
        <v/>
      </c>
      <c r="M1979" s="71" t="str">
        <f>IF($B1979="","",J1979/PV)</f>
        <v/>
      </c>
      <c r="N1979" s="72" t="str">
        <f t="shared" si="4"/>
        <v/>
      </c>
    </row>
    <row r="1980" ht="14.25" customHeight="1">
      <c r="B1980" s="66" t="str">
        <f>IF(ROWS($1:1968)&lt;=Nper,ROWS($1:1968),"")</f>
        <v/>
      </c>
      <c r="C1980" s="67" t="str">
        <f>IF($B1980="","",IF($E$7="Weekly",Start_Date+7*(ROWS($1:1968)-1),EDATE(Start_Date,VLOOKUP(IF(ASTemp!$E$7="","Monthly",ASTemp!$E$7),Parameters!$B$3:$D$6,3,0)*(ROWS($1:1968)-1))))</f>
        <v/>
      </c>
      <c r="D1980" s="68" t="str">
        <f t="shared" si="2"/>
        <v/>
      </c>
      <c r="E1980" s="65" t="str">
        <f>IF($B1980="","",VLOOKUP(MONTH(C1980),Parameters!$F$2:$G$13,2,0))</f>
        <v/>
      </c>
      <c r="F1980" s="69" t="str">
        <f>IF($B1980="","",PV-N(J1979))</f>
        <v/>
      </c>
      <c r="G1980" s="69" t="str">
        <f>IF($B1980="","",PMT(Rate,Nper,-PV,,Type))</f>
        <v/>
      </c>
      <c r="H1980" s="69" t="str">
        <f>IF($B1980="","",PPMT(Rate,ROWS($1:1968),Nper,-PV,,Type))</f>
        <v/>
      </c>
      <c r="I1980" s="69" t="str">
        <f>IF($B1980="","",IPMT(Rate,ROWS($1:1968),Nper,-PV,,Type))</f>
        <v/>
      </c>
      <c r="J1980" s="73" t="str">
        <f t="shared" ref="J1980:K1980" si="1970">IF($B1980="","",N(J1979)+N(H1980))</f>
        <v/>
      </c>
      <c r="K1980" s="74" t="str">
        <f t="shared" si="1970"/>
        <v/>
      </c>
      <c r="L1980" s="69" t="str">
        <f>IF($B1980="","",PV-J1980)</f>
        <v/>
      </c>
      <c r="M1980" s="71" t="str">
        <f>IF($B1980="","",J1980/PV)</f>
        <v/>
      </c>
      <c r="N1980" s="72" t="str">
        <f t="shared" si="4"/>
        <v/>
      </c>
    </row>
    <row r="1981" ht="14.25" customHeight="1">
      <c r="B1981" s="66" t="str">
        <f>IF(ROWS($1:1969)&lt;=Nper,ROWS($1:1969),"")</f>
        <v/>
      </c>
      <c r="C1981" s="67" t="str">
        <f>IF($B1981="","",IF($E$7="Weekly",Start_Date+7*(ROWS($1:1969)-1),EDATE(Start_Date,VLOOKUP(IF(ASTemp!$E$7="","Monthly",ASTemp!$E$7),Parameters!$B$3:$D$6,3,0)*(ROWS($1:1969)-1))))</f>
        <v/>
      </c>
      <c r="D1981" s="68" t="str">
        <f t="shared" si="2"/>
        <v/>
      </c>
      <c r="E1981" s="65" t="str">
        <f>IF($B1981="","",VLOOKUP(MONTH(C1981),Parameters!$F$2:$G$13,2,0))</f>
        <v/>
      </c>
      <c r="F1981" s="69" t="str">
        <f>IF($B1981="","",PV-N(J1980))</f>
        <v/>
      </c>
      <c r="G1981" s="69" t="str">
        <f>IF($B1981="","",PMT(Rate,Nper,-PV,,Type))</f>
        <v/>
      </c>
      <c r="H1981" s="69" t="str">
        <f>IF($B1981="","",PPMT(Rate,ROWS($1:1969),Nper,-PV,,Type))</f>
        <v/>
      </c>
      <c r="I1981" s="69" t="str">
        <f>IF($B1981="","",IPMT(Rate,ROWS($1:1969),Nper,-PV,,Type))</f>
        <v/>
      </c>
      <c r="J1981" s="73" t="str">
        <f t="shared" ref="J1981:K1981" si="1971">IF($B1981="","",N(J1980)+N(H1981))</f>
        <v/>
      </c>
      <c r="K1981" s="74" t="str">
        <f t="shared" si="1971"/>
        <v/>
      </c>
      <c r="L1981" s="69" t="str">
        <f>IF($B1981="","",PV-J1981)</f>
        <v/>
      </c>
      <c r="M1981" s="71" t="str">
        <f>IF($B1981="","",J1981/PV)</f>
        <v/>
      </c>
      <c r="N1981" s="72" t="str">
        <f t="shared" si="4"/>
        <v/>
      </c>
    </row>
    <row r="1982" ht="14.25" customHeight="1">
      <c r="B1982" s="66" t="str">
        <f>IF(ROWS($1:1970)&lt;=Nper,ROWS($1:1970),"")</f>
        <v/>
      </c>
      <c r="C1982" s="67" t="str">
        <f>IF($B1982="","",IF($E$7="Weekly",Start_Date+7*(ROWS($1:1970)-1),EDATE(Start_Date,VLOOKUP(IF(ASTemp!$E$7="","Monthly",ASTemp!$E$7),Parameters!$B$3:$D$6,3,0)*(ROWS($1:1970)-1))))</f>
        <v/>
      </c>
      <c r="D1982" s="68" t="str">
        <f t="shared" si="2"/>
        <v/>
      </c>
      <c r="E1982" s="65" t="str">
        <f>IF($B1982="","",VLOOKUP(MONTH(C1982),Parameters!$F$2:$G$13,2,0))</f>
        <v/>
      </c>
      <c r="F1982" s="69" t="str">
        <f>IF($B1982="","",PV-N(J1981))</f>
        <v/>
      </c>
      <c r="G1982" s="69" t="str">
        <f>IF($B1982="","",PMT(Rate,Nper,-PV,,Type))</f>
        <v/>
      </c>
      <c r="H1982" s="69" t="str">
        <f>IF($B1982="","",PPMT(Rate,ROWS($1:1970),Nper,-PV,,Type))</f>
        <v/>
      </c>
      <c r="I1982" s="69" t="str">
        <f>IF($B1982="","",IPMT(Rate,ROWS($1:1970),Nper,-PV,,Type))</f>
        <v/>
      </c>
      <c r="J1982" s="73" t="str">
        <f t="shared" ref="J1982:K1982" si="1972">IF($B1982="","",N(J1981)+N(H1982))</f>
        <v/>
      </c>
      <c r="K1982" s="74" t="str">
        <f t="shared" si="1972"/>
        <v/>
      </c>
      <c r="L1982" s="69" t="str">
        <f>IF($B1982="","",PV-J1982)</f>
        <v/>
      </c>
      <c r="M1982" s="71" t="str">
        <f>IF($B1982="","",J1982/PV)</f>
        <v/>
      </c>
      <c r="N1982" s="72" t="str">
        <f t="shared" si="4"/>
        <v/>
      </c>
    </row>
    <row r="1983" ht="14.25" customHeight="1">
      <c r="B1983" s="66" t="str">
        <f>IF(ROWS($1:1971)&lt;=Nper,ROWS($1:1971),"")</f>
        <v/>
      </c>
      <c r="C1983" s="67" t="str">
        <f>IF($B1983="","",IF($E$7="Weekly",Start_Date+7*(ROWS($1:1971)-1),EDATE(Start_Date,VLOOKUP(IF(ASTemp!$E$7="","Monthly",ASTemp!$E$7),Parameters!$B$3:$D$6,3,0)*(ROWS($1:1971)-1))))</f>
        <v/>
      </c>
      <c r="D1983" s="68" t="str">
        <f t="shared" si="2"/>
        <v/>
      </c>
      <c r="E1983" s="65" t="str">
        <f>IF($B1983="","",VLOOKUP(MONTH(C1983),Parameters!$F$2:$G$13,2,0))</f>
        <v/>
      </c>
      <c r="F1983" s="69" t="str">
        <f>IF($B1983="","",PV-N(J1982))</f>
        <v/>
      </c>
      <c r="G1983" s="69" t="str">
        <f>IF($B1983="","",PMT(Rate,Nper,-PV,,Type))</f>
        <v/>
      </c>
      <c r="H1983" s="69" t="str">
        <f>IF($B1983="","",PPMT(Rate,ROWS($1:1971),Nper,-PV,,Type))</f>
        <v/>
      </c>
      <c r="I1983" s="69" t="str">
        <f>IF($B1983="","",IPMT(Rate,ROWS($1:1971),Nper,-PV,,Type))</f>
        <v/>
      </c>
      <c r="J1983" s="73" t="str">
        <f t="shared" ref="J1983:K1983" si="1973">IF($B1983="","",N(J1982)+N(H1983))</f>
        <v/>
      </c>
      <c r="K1983" s="74" t="str">
        <f t="shared" si="1973"/>
        <v/>
      </c>
      <c r="L1983" s="69" t="str">
        <f>IF($B1983="","",PV-J1983)</f>
        <v/>
      </c>
      <c r="M1983" s="71" t="str">
        <f>IF($B1983="","",J1983/PV)</f>
        <v/>
      </c>
      <c r="N1983" s="72" t="str">
        <f t="shared" si="4"/>
        <v/>
      </c>
    </row>
    <row r="1984" ht="14.25" customHeight="1">
      <c r="B1984" s="66" t="str">
        <f>IF(ROWS($1:1972)&lt;=Nper,ROWS($1:1972),"")</f>
        <v/>
      </c>
      <c r="C1984" s="67" t="str">
        <f>IF($B1984="","",IF($E$7="Weekly",Start_Date+7*(ROWS($1:1972)-1),EDATE(Start_Date,VLOOKUP(IF(ASTemp!$E$7="","Monthly",ASTemp!$E$7),Parameters!$B$3:$D$6,3,0)*(ROWS($1:1972)-1))))</f>
        <v/>
      </c>
      <c r="D1984" s="68" t="str">
        <f t="shared" si="2"/>
        <v/>
      </c>
      <c r="E1984" s="65" t="str">
        <f>IF($B1984="","",VLOOKUP(MONTH(C1984),Parameters!$F$2:$G$13,2,0))</f>
        <v/>
      </c>
      <c r="F1984" s="69" t="str">
        <f>IF($B1984="","",PV-N(J1983))</f>
        <v/>
      </c>
      <c r="G1984" s="69" t="str">
        <f>IF($B1984="","",PMT(Rate,Nper,-PV,,Type))</f>
        <v/>
      </c>
      <c r="H1984" s="69" t="str">
        <f>IF($B1984="","",PPMT(Rate,ROWS($1:1972),Nper,-PV,,Type))</f>
        <v/>
      </c>
      <c r="I1984" s="69" t="str">
        <f>IF($B1984="","",IPMT(Rate,ROWS($1:1972),Nper,-PV,,Type))</f>
        <v/>
      </c>
      <c r="J1984" s="73" t="str">
        <f t="shared" ref="J1984:K1984" si="1974">IF($B1984="","",N(J1983)+N(H1984))</f>
        <v/>
      </c>
      <c r="K1984" s="74" t="str">
        <f t="shared" si="1974"/>
        <v/>
      </c>
      <c r="L1984" s="69" t="str">
        <f>IF($B1984="","",PV-J1984)</f>
        <v/>
      </c>
      <c r="M1984" s="71" t="str">
        <f>IF($B1984="","",J1984/PV)</f>
        <v/>
      </c>
      <c r="N1984" s="72" t="str">
        <f t="shared" si="4"/>
        <v/>
      </c>
    </row>
    <row r="1985" ht="14.25" customHeight="1">
      <c r="B1985" s="66" t="str">
        <f>IF(ROWS($1:1973)&lt;=Nper,ROWS($1:1973),"")</f>
        <v/>
      </c>
      <c r="C1985" s="67" t="str">
        <f>IF($B1985="","",IF($E$7="Weekly",Start_Date+7*(ROWS($1:1973)-1),EDATE(Start_Date,VLOOKUP(IF(ASTemp!$E$7="","Monthly",ASTemp!$E$7),Parameters!$B$3:$D$6,3,0)*(ROWS($1:1973)-1))))</f>
        <v/>
      </c>
      <c r="D1985" s="68" t="str">
        <f t="shared" si="2"/>
        <v/>
      </c>
      <c r="E1985" s="65" t="str">
        <f>IF($B1985="","",VLOOKUP(MONTH(C1985),Parameters!$F$2:$G$13,2,0))</f>
        <v/>
      </c>
      <c r="F1985" s="69" t="str">
        <f>IF($B1985="","",PV-N(J1984))</f>
        <v/>
      </c>
      <c r="G1985" s="69" t="str">
        <f>IF($B1985="","",PMT(Rate,Nper,-PV,,Type))</f>
        <v/>
      </c>
      <c r="H1985" s="69" t="str">
        <f>IF($B1985="","",PPMT(Rate,ROWS($1:1973),Nper,-PV,,Type))</f>
        <v/>
      </c>
      <c r="I1985" s="69" t="str">
        <f>IF($B1985="","",IPMT(Rate,ROWS($1:1973),Nper,-PV,,Type))</f>
        <v/>
      </c>
      <c r="J1985" s="73" t="str">
        <f t="shared" ref="J1985:K1985" si="1975">IF($B1985="","",N(J1984)+N(H1985))</f>
        <v/>
      </c>
      <c r="K1985" s="74" t="str">
        <f t="shared" si="1975"/>
        <v/>
      </c>
      <c r="L1985" s="69" t="str">
        <f>IF($B1985="","",PV-J1985)</f>
        <v/>
      </c>
      <c r="M1985" s="71" t="str">
        <f>IF($B1985="","",J1985/PV)</f>
        <v/>
      </c>
      <c r="N1985" s="72" t="str">
        <f t="shared" si="4"/>
        <v/>
      </c>
    </row>
    <row r="1986" ht="14.25" customHeight="1">
      <c r="B1986" s="66" t="str">
        <f>IF(ROWS($1:1974)&lt;=Nper,ROWS($1:1974),"")</f>
        <v/>
      </c>
      <c r="C1986" s="67" t="str">
        <f>IF($B1986="","",IF($E$7="Weekly",Start_Date+7*(ROWS($1:1974)-1),EDATE(Start_Date,VLOOKUP(IF(ASTemp!$E$7="","Monthly",ASTemp!$E$7),Parameters!$B$3:$D$6,3,0)*(ROWS($1:1974)-1))))</f>
        <v/>
      </c>
      <c r="D1986" s="68" t="str">
        <f t="shared" si="2"/>
        <v/>
      </c>
      <c r="E1986" s="65" t="str">
        <f>IF($B1986="","",VLOOKUP(MONTH(C1986),Parameters!$F$2:$G$13,2,0))</f>
        <v/>
      </c>
      <c r="F1986" s="69" t="str">
        <f>IF($B1986="","",PV-N(J1985))</f>
        <v/>
      </c>
      <c r="G1986" s="69" t="str">
        <f>IF($B1986="","",PMT(Rate,Nper,-PV,,Type))</f>
        <v/>
      </c>
      <c r="H1986" s="69" t="str">
        <f>IF($B1986="","",PPMT(Rate,ROWS($1:1974),Nper,-PV,,Type))</f>
        <v/>
      </c>
      <c r="I1986" s="69" t="str">
        <f>IF($B1986="","",IPMT(Rate,ROWS($1:1974),Nper,-PV,,Type))</f>
        <v/>
      </c>
      <c r="J1986" s="73" t="str">
        <f t="shared" ref="J1986:K1986" si="1976">IF($B1986="","",N(J1985)+N(H1986))</f>
        <v/>
      </c>
      <c r="K1986" s="74" t="str">
        <f t="shared" si="1976"/>
        <v/>
      </c>
      <c r="L1986" s="69" t="str">
        <f>IF($B1986="","",PV-J1986)</f>
        <v/>
      </c>
      <c r="M1986" s="71" t="str">
        <f>IF($B1986="","",J1986/PV)</f>
        <v/>
      </c>
      <c r="N1986" s="72" t="str">
        <f t="shared" si="4"/>
        <v/>
      </c>
    </row>
    <row r="1987" ht="14.25" customHeight="1">
      <c r="B1987" s="66" t="str">
        <f>IF(ROWS($1:1975)&lt;=Nper,ROWS($1:1975),"")</f>
        <v/>
      </c>
      <c r="C1987" s="67" t="str">
        <f>IF($B1987="","",IF($E$7="Weekly",Start_Date+7*(ROWS($1:1975)-1),EDATE(Start_Date,VLOOKUP(IF(ASTemp!$E$7="","Monthly",ASTemp!$E$7),Parameters!$B$3:$D$6,3,0)*(ROWS($1:1975)-1))))</f>
        <v/>
      </c>
      <c r="D1987" s="68" t="str">
        <f t="shared" si="2"/>
        <v/>
      </c>
      <c r="E1987" s="65" t="str">
        <f>IF($B1987="","",VLOOKUP(MONTH(C1987),Parameters!$F$2:$G$13,2,0))</f>
        <v/>
      </c>
      <c r="F1987" s="69" t="str">
        <f>IF($B1987="","",PV-N(J1986))</f>
        <v/>
      </c>
      <c r="G1987" s="69" t="str">
        <f>IF($B1987="","",PMT(Rate,Nper,-PV,,Type))</f>
        <v/>
      </c>
      <c r="H1987" s="69" t="str">
        <f>IF($B1987="","",PPMT(Rate,ROWS($1:1975),Nper,-PV,,Type))</f>
        <v/>
      </c>
      <c r="I1987" s="69" t="str">
        <f>IF($B1987="","",IPMT(Rate,ROWS($1:1975),Nper,-PV,,Type))</f>
        <v/>
      </c>
      <c r="J1987" s="73" t="str">
        <f t="shared" ref="J1987:K1987" si="1977">IF($B1987="","",N(J1986)+N(H1987))</f>
        <v/>
      </c>
      <c r="K1987" s="74" t="str">
        <f t="shared" si="1977"/>
        <v/>
      </c>
      <c r="L1987" s="69" t="str">
        <f>IF($B1987="","",PV-J1987)</f>
        <v/>
      </c>
      <c r="M1987" s="71" t="str">
        <f>IF($B1987="","",J1987/PV)</f>
        <v/>
      </c>
      <c r="N1987" s="72" t="str">
        <f t="shared" si="4"/>
        <v/>
      </c>
    </row>
    <row r="1988" ht="14.25" customHeight="1">
      <c r="B1988" s="66" t="str">
        <f>IF(ROWS($1:1976)&lt;=Nper,ROWS($1:1976),"")</f>
        <v/>
      </c>
      <c r="C1988" s="67" t="str">
        <f>IF($B1988="","",IF($E$7="Weekly",Start_Date+7*(ROWS($1:1976)-1),EDATE(Start_Date,VLOOKUP(IF(ASTemp!$E$7="","Monthly",ASTemp!$E$7),Parameters!$B$3:$D$6,3,0)*(ROWS($1:1976)-1))))</f>
        <v/>
      </c>
      <c r="D1988" s="68" t="str">
        <f t="shared" si="2"/>
        <v/>
      </c>
      <c r="E1988" s="65" t="str">
        <f>IF($B1988="","",VLOOKUP(MONTH(C1988),Parameters!$F$2:$G$13,2,0))</f>
        <v/>
      </c>
      <c r="F1988" s="69" t="str">
        <f>IF($B1988="","",PV-N(J1987))</f>
        <v/>
      </c>
      <c r="G1988" s="69" t="str">
        <f>IF($B1988="","",PMT(Rate,Nper,-PV,,Type))</f>
        <v/>
      </c>
      <c r="H1988" s="69" t="str">
        <f>IF($B1988="","",PPMT(Rate,ROWS($1:1976),Nper,-PV,,Type))</f>
        <v/>
      </c>
      <c r="I1988" s="69" t="str">
        <f>IF($B1988="","",IPMT(Rate,ROWS($1:1976),Nper,-PV,,Type))</f>
        <v/>
      </c>
      <c r="J1988" s="73" t="str">
        <f t="shared" ref="J1988:K1988" si="1978">IF($B1988="","",N(J1987)+N(H1988))</f>
        <v/>
      </c>
      <c r="K1988" s="74" t="str">
        <f t="shared" si="1978"/>
        <v/>
      </c>
      <c r="L1988" s="69" t="str">
        <f>IF($B1988="","",PV-J1988)</f>
        <v/>
      </c>
      <c r="M1988" s="71" t="str">
        <f>IF($B1988="","",J1988/PV)</f>
        <v/>
      </c>
      <c r="N1988" s="72" t="str">
        <f t="shared" si="4"/>
        <v/>
      </c>
    </row>
    <row r="1989" ht="14.25" customHeight="1">
      <c r="B1989" s="66" t="str">
        <f>IF(ROWS($1:1977)&lt;=Nper,ROWS($1:1977),"")</f>
        <v/>
      </c>
      <c r="C1989" s="67" t="str">
        <f>IF($B1989="","",IF($E$7="Weekly",Start_Date+7*(ROWS($1:1977)-1),EDATE(Start_Date,VLOOKUP(IF(ASTemp!$E$7="","Monthly",ASTemp!$E$7),Parameters!$B$3:$D$6,3,0)*(ROWS($1:1977)-1))))</f>
        <v/>
      </c>
      <c r="D1989" s="68" t="str">
        <f t="shared" si="2"/>
        <v/>
      </c>
      <c r="E1989" s="65" t="str">
        <f>IF($B1989="","",VLOOKUP(MONTH(C1989),Parameters!$F$2:$G$13,2,0))</f>
        <v/>
      </c>
      <c r="F1989" s="69" t="str">
        <f>IF($B1989="","",PV-N(J1988))</f>
        <v/>
      </c>
      <c r="G1989" s="69" t="str">
        <f>IF($B1989="","",PMT(Rate,Nper,-PV,,Type))</f>
        <v/>
      </c>
      <c r="H1989" s="69" t="str">
        <f>IF($B1989="","",PPMT(Rate,ROWS($1:1977),Nper,-PV,,Type))</f>
        <v/>
      </c>
      <c r="I1989" s="69" t="str">
        <f>IF($B1989="","",IPMT(Rate,ROWS($1:1977),Nper,-PV,,Type))</f>
        <v/>
      </c>
      <c r="J1989" s="73" t="str">
        <f t="shared" ref="J1989:K1989" si="1979">IF($B1989="","",N(J1988)+N(H1989))</f>
        <v/>
      </c>
      <c r="K1989" s="74" t="str">
        <f t="shared" si="1979"/>
        <v/>
      </c>
      <c r="L1989" s="69" t="str">
        <f>IF($B1989="","",PV-J1989)</f>
        <v/>
      </c>
      <c r="M1989" s="71" t="str">
        <f>IF($B1989="","",J1989/PV)</f>
        <v/>
      </c>
      <c r="N1989" s="72" t="str">
        <f t="shared" si="4"/>
        <v/>
      </c>
    </row>
    <row r="1990" ht="14.25" customHeight="1">
      <c r="B1990" s="66" t="str">
        <f>IF(ROWS($1:1978)&lt;=Nper,ROWS($1:1978),"")</f>
        <v/>
      </c>
      <c r="C1990" s="67" t="str">
        <f>IF($B1990="","",IF($E$7="Weekly",Start_Date+7*(ROWS($1:1978)-1),EDATE(Start_Date,VLOOKUP(IF(ASTemp!$E$7="","Monthly",ASTemp!$E$7),Parameters!$B$3:$D$6,3,0)*(ROWS($1:1978)-1))))</f>
        <v/>
      </c>
      <c r="D1990" s="68" t="str">
        <f t="shared" si="2"/>
        <v/>
      </c>
      <c r="E1990" s="65" t="str">
        <f>IF($B1990="","",VLOOKUP(MONTH(C1990),Parameters!$F$2:$G$13,2,0))</f>
        <v/>
      </c>
      <c r="F1990" s="69" t="str">
        <f>IF($B1990="","",PV-N(J1989))</f>
        <v/>
      </c>
      <c r="G1990" s="69" t="str">
        <f>IF($B1990="","",PMT(Rate,Nper,-PV,,Type))</f>
        <v/>
      </c>
      <c r="H1990" s="69" t="str">
        <f>IF($B1990="","",PPMT(Rate,ROWS($1:1978),Nper,-PV,,Type))</f>
        <v/>
      </c>
      <c r="I1990" s="69" t="str">
        <f>IF($B1990="","",IPMT(Rate,ROWS($1:1978),Nper,-PV,,Type))</f>
        <v/>
      </c>
      <c r="J1990" s="73" t="str">
        <f t="shared" ref="J1990:K1990" si="1980">IF($B1990="","",N(J1989)+N(H1990))</f>
        <v/>
      </c>
      <c r="K1990" s="74" t="str">
        <f t="shared" si="1980"/>
        <v/>
      </c>
      <c r="L1990" s="69" t="str">
        <f>IF($B1990="","",PV-J1990)</f>
        <v/>
      </c>
      <c r="M1990" s="71" t="str">
        <f>IF($B1990="","",J1990/PV)</f>
        <v/>
      </c>
      <c r="N1990" s="72" t="str">
        <f t="shared" si="4"/>
        <v/>
      </c>
    </row>
    <row r="1991" ht="14.25" customHeight="1">
      <c r="B1991" s="66" t="str">
        <f>IF(ROWS($1:1979)&lt;=Nper,ROWS($1:1979),"")</f>
        <v/>
      </c>
      <c r="C1991" s="67" t="str">
        <f>IF($B1991="","",IF($E$7="Weekly",Start_Date+7*(ROWS($1:1979)-1),EDATE(Start_Date,VLOOKUP(IF(ASTemp!$E$7="","Monthly",ASTemp!$E$7),Parameters!$B$3:$D$6,3,0)*(ROWS($1:1979)-1))))</f>
        <v/>
      </c>
      <c r="D1991" s="68" t="str">
        <f t="shared" si="2"/>
        <v/>
      </c>
      <c r="E1991" s="65" t="str">
        <f>IF($B1991="","",VLOOKUP(MONTH(C1991),Parameters!$F$2:$G$13,2,0))</f>
        <v/>
      </c>
      <c r="F1991" s="69" t="str">
        <f>IF($B1991="","",PV-N(J1990))</f>
        <v/>
      </c>
      <c r="G1991" s="69" t="str">
        <f>IF($B1991="","",PMT(Rate,Nper,-PV,,Type))</f>
        <v/>
      </c>
      <c r="H1991" s="69" t="str">
        <f>IF($B1991="","",PPMT(Rate,ROWS($1:1979),Nper,-PV,,Type))</f>
        <v/>
      </c>
      <c r="I1991" s="69" t="str">
        <f>IF($B1991="","",IPMT(Rate,ROWS($1:1979),Nper,-PV,,Type))</f>
        <v/>
      </c>
      <c r="J1991" s="73" t="str">
        <f t="shared" ref="J1991:K1991" si="1981">IF($B1991="","",N(J1990)+N(H1991))</f>
        <v/>
      </c>
      <c r="K1991" s="74" t="str">
        <f t="shared" si="1981"/>
        <v/>
      </c>
      <c r="L1991" s="69" t="str">
        <f>IF($B1991="","",PV-J1991)</f>
        <v/>
      </c>
      <c r="M1991" s="71" t="str">
        <f>IF($B1991="","",J1991/PV)</f>
        <v/>
      </c>
      <c r="N1991" s="72" t="str">
        <f t="shared" si="4"/>
        <v/>
      </c>
    </row>
    <row r="1992" ht="14.25" customHeight="1">
      <c r="B1992" s="66" t="str">
        <f>IF(ROWS($1:1980)&lt;=Nper,ROWS($1:1980),"")</f>
        <v/>
      </c>
      <c r="C1992" s="67" t="str">
        <f>IF($B1992="","",IF($E$7="Weekly",Start_Date+7*(ROWS($1:1980)-1),EDATE(Start_Date,VLOOKUP(IF(ASTemp!$E$7="","Monthly",ASTemp!$E$7),Parameters!$B$3:$D$6,3,0)*(ROWS($1:1980)-1))))</f>
        <v/>
      </c>
      <c r="D1992" s="68" t="str">
        <f t="shared" si="2"/>
        <v/>
      </c>
      <c r="E1992" s="65" t="str">
        <f>IF($B1992="","",VLOOKUP(MONTH(C1992),Parameters!$F$2:$G$13,2,0))</f>
        <v/>
      </c>
      <c r="F1992" s="69" t="str">
        <f>IF($B1992="","",PV-N(J1991))</f>
        <v/>
      </c>
      <c r="G1992" s="69" t="str">
        <f>IF($B1992="","",PMT(Rate,Nper,-PV,,Type))</f>
        <v/>
      </c>
      <c r="H1992" s="69" t="str">
        <f>IF($B1992="","",PPMT(Rate,ROWS($1:1980),Nper,-PV,,Type))</f>
        <v/>
      </c>
      <c r="I1992" s="69" t="str">
        <f>IF($B1992="","",IPMT(Rate,ROWS($1:1980),Nper,-PV,,Type))</f>
        <v/>
      </c>
      <c r="J1992" s="73" t="str">
        <f t="shared" ref="J1992:K1992" si="1982">IF($B1992="","",N(J1991)+N(H1992))</f>
        <v/>
      </c>
      <c r="K1992" s="74" t="str">
        <f t="shared" si="1982"/>
        <v/>
      </c>
      <c r="L1992" s="69" t="str">
        <f>IF($B1992="","",PV-J1992)</f>
        <v/>
      </c>
      <c r="M1992" s="71" t="str">
        <f>IF($B1992="","",J1992/PV)</f>
        <v/>
      </c>
      <c r="N1992" s="72" t="str">
        <f t="shared" si="4"/>
        <v/>
      </c>
    </row>
    <row r="1993" ht="14.25" customHeight="1">
      <c r="B1993" s="66" t="str">
        <f>IF(ROWS($1:1981)&lt;=Nper,ROWS($1:1981),"")</f>
        <v/>
      </c>
      <c r="C1993" s="67" t="str">
        <f>IF($B1993="","",IF($E$7="Weekly",Start_Date+7*(ROWS($1:1981)-1),EDATE(Start_Date,VLOOKUP(IF(ASTemp!$E$7="","Monthly",ASTemp!$E$7),Parameters!$B$3:$D$6,3,0)*(ROWS($1:1981)-1))))</f>
        <v/>
      </c>
      <c r="D1993" s="68" t="str">
        <f t="shared" si="2"/>
        <v/>
      </c>
      <c r="E1993" s="65" t="str">
        <f>IF($B1993="","",VLOOKUP(MONTH(C1993),Parameters!$F$2:$G$13,2,0))</f>
        <v/>
      </c>
      <c r="F1993" s="69" t="str">
        <f>IF($B1993="","",PV-N(J1992))</f>
        <v/>
      </c>
      <c r="G1993" s="69" t="str">
        <f>IF($B1993="","",PMT(Rate,Nper,-PV,,Type))</f>
        <v/>
      </c>
      <c r="H1993" s="69" t="str">
        <f>IF($B1993="","",PPMT(Rate,ROWS($1:1981),Nper,-PV,,Type))</f>
        <v/>
      </c>
      <c r="I1993" s="69" t="str">
        <f>IF($B1993="","",IPMT(Rate,ROWS($1:1981),Nper,-PV,,Type))</f>
        <v/>
      </c>
      <c r="J1993" s="73" t="str">
        <f t="shared" ref="J1993:K1993" si="1983">IF($B1993="","",N(J1992)+N(H1993))</f>
        <v/>
      </c>
      <c r="K1993" s="74" t="str">
        <f t="shared" si="1983"/>
        <v/>
      </c>
      <c r="L1993" s="69" t="str">
        <f>IF($B1993="","",PV-J1993)</f>
        <v/>
      </c>
      <c r="M1993" s="71" t="str">
        <f>IF($B1993="","",J1993/PV)</f>
        <v/>
      </c>
      <c r="N1993" s="72" t="str">
        <f t="shared" si="4"/>
        <v/>
      </c>
    </row>
    <row r="1994" ht="14.25" customHeight="1">
      <c r="B1994" s="66" t="str">
        <f>IF(ROWS($1:1982)&lt;=Nper,ROWS($1:1982),"")</f>
        <v/>
      </c>
      <c r="C1994" s="67" t="str">
        <f>IF($B1994="","",IF($E$7="Weekly",Start_Date+7*(ROWS($1:1982)-1),EDATE(Start_Date,VLOOKUP(IF(ASTemp!$E$7="","Monthly",ASTemp!$E$7),Parameters!$B$3:$D$6,3,0)*(ROWS($1:1982)-1))))</f>
        <v/>
      </c>
      <c r="D1994" s="68" t="str">
        <f t="shared" si="2"/>
        <v/>
      </c>
      <c r="E1994" s="65" t="str">
        <f>IF($B1994="","",VLOOKUP(MONTH(C1994),Parameters!$F$2:$G$13,2,0))</f>
        <v/>
      </c>
      <c r="F1994" s="69" t="str">
        <f>IF($B1994="","",PV-N(J1993))</f>
        <v/>
      </c>
      <c r="G1994" s="69" t="str">
        <f>IF($B1994="","",PMT(Rate,Nper,-PV,,Type))</f>
        <v/>
      </c>
      <c r="H1994" s="69" t="str">
        <f>IF($B1994="","",PPMT(Rate,ROWS($1:1982),Nper,-PV,,Type))</f>
        <v/>
      </c>
      <c r="I1994" s="69" t="str">
        <f>IF($B1994="","",IPMT(Rate,ROWS($1:1982),Nper,-PV,,Type))</f>
        <v/>
      </c>
      <c r="J1994" s="73" t="str">
        <f t="shared" ref="J1994:K1994" si="1984">IF($B1994="","",N(J1993)+N(H1994))</f>
        <v/>
      </c>
      <c r="K1994" s="74" t="str">
        <f t="shared" si="1984"/>
        <v/>
      </c>
      <c r="L1994" s="69" t="str">
        <f>IF($B1994="","",PV-J1994)</f>
        <v/>
      </c>
      <c r="M1994" s="71" t="str">
        <f>IF($B1994="","",J1994/PV)</f>
        <v/>
      </c>
      <c r="N1994" s="72" t="str">
        <f t="shared" si="4"/>
        <v/>
      </c>
    </row>
    <row r="1995" ht="14.25" customHeight="1">
      <c r="B1995" s="66" t="str">
        <f>IF(ROWS($1:1983)&lt;=Nper,ROWS($1:1983),"")</f>
        <v/>
      </c>
      <c r="C1995" s="67" t="str">
        <f>IF($B1995="","",IF($E$7="Weekly",Start_Date+7*(ROWS($1:1983)-1),EDATE(Start_Date,VLOOKUP(IF(ASTemp!$E$7="","Monthly",ASTemp!$E$7),Parameters!$B$3:$D$6,3,0)*(ROWS($1:1983)-1))))</f>
        <v/>
      </c>
      <c r="D1995" s="68" t="str">
        <f t="shared" si="2"/>
        <v/>
      </c>
      <c r="E1995" s="65" t="str">
        <f>IF($B1995="","",VLOOKUP(MONTH(C1995),Parameters!$F$2:$G$13,2,0))</f>
        <v/>
      </c>
      <c r="F1995" s="69" t="str">
        <f>IF($B1995="","",PV-N(J1994))</f>
        <v/>
      </c>
      <c r="G1995" s="69" t="str">
        <f>IF($B1995="","",PMT(Rate,Nper,-PV,,Type))</f>
        <v/>
      </c>
      <c r="H1995" s="69" t="str">
        <f>IF($B1995="","",PPMT(Rate,ROWS($1:1983),Nper,-PV,,Type))</f>
        <v/>
      </c>
      <c r="I1995" s="69" t="str">
        <f>IF($B1995="","",IPMT(Rate,ROWS($1:1983),Nper,-PV,,Type))</f>
        <v/>
      </c>
      <c r="J1995" s="73" t="str">
        <f t="shared" ref="J1995:K1995" si="1985">IF($B1995="","",N(J1994)+N(H1995))</f>
        <v/>
      </c>
      <c r="K1995" s="74" t="str">
        <f t="shared" si="1985"/>
        <v/>
      </c>
      <c r="L1995" s="69" t="str">
        <f>IF($B1995="","",PV-J1995)</f>
        <v/>
      </c>
      <c r="M1995" s="71" t="str">
        <f>IF($B1995="","",J1995/PV)</f>
        <v/>
      </c>
      <c r="N1995" s="72" t="str">
        <f t="shared" si="4"/>
        <v/>
      </c>
    </row>
    <row r="1996" ht="14.25" customHeight="1">
      <c r="B1996" s="66" t="str">
        <f>IF(ROWS($1:1984)&lt;=Nper,ROWS($1:1984),"")</f>
        <v/>
      </c>
      <c r="C1996" s="67" t="str">
        <f>IF($B1996="","",IF($E$7="Weekly",Start_Date+7*(ROWS($1:1984)-1),EDATE(Start_Date,VLOOKUP(IF(ASTemp!$E$7="","Monthly",ASTemp!$E$7),Parameters!$B$3:$D$6,3,0)*(ROWS($1:1984)-1))))</f>
        <v/>
      </c>
      <c r="D1996" s="68" t="str">
        <f t="shared" si="2"/>
        <v/>
      </c>
      <c r="E1996" s="65" t="str">
        <f>IF($B1996="","",VLOOKUP(MONTH(C1996),Parameters!$F$2:$G$13,2,0))</f>
        <v/>
      </c>
      <c r="F1996" s="69" t="str">
        <f>IF($B1996="","",PV-N(J1995))</f>
        <v/>
      </c>
      <c r="G1996" s="69" t="str">
        <f>IF($B1996="","",PMT(Rate,Nper,-PV,,Type))</f>
        <v/>
      </c>
      <c r="H1996" s="69" t="str">
        <f>IF($B1996="","",PPMT(Rate,ROWS($1:1984),Nper,-PV,,Type))</f>
        <v/>
      </c>
      <c r="I1996" s="69" t="str">
        <f>IF($B1996="","",IPMT(Rate,ROWS($1:1984),Nper,-PV,,Type))</f>
        <v/>
      </c>
      <c r="J1996" s="73" t="str">
        <f t="shared" ref="J1996:K1996" si="1986">IF($B1996="","",N(J1995)+N(H1996))</f>
        <v/>
      </c>
      <c r="K1996" s="74" t="str">
        <f t="shared" si="1986"/>
        <v/>
      </c>
      <c r="L1996" s="69" t="str">
        <f>IF($B1996="","",PV-J1996)</f>
        <v/>
      </c>
      <c r="M1996" s="71" t="str">
        <f>IF($B1996="","",J1996/PV)</f>
        <v/>
      </c>
      <c r="N1996" s="72" t="str">
        <f t="shared" si="4"/>
        <v/>
      </c>
    </row>
    <row r="1997" ht="14.25" customHeight="1">
      <c r="B1997" s="66" t="str">
        <f>IF(ROWS($1:1985)&lt;=Nper,ROWS($1:1985),"")</f>
        <v/>
      </c>
      <c r="C1997" s="67" t="str">
        <f>IF($B1997="","",IF($E$7="Weekly",Start_Date+7*(ROWS($1:1985)-1),EDATE(Start_Date,VLOOKUP(IF(ASTemp!$E$7="","Monthly",ASTemp!$E$7),Parameters!$B$3:$D$6,3,0)*(ROWS($1:1985)-1))))</f>
        <v/>
      </c>
      <c r="D1997" s="68" t="str">
        <f t="shared" si="2"/>
        <v/>
      </c>
      <c r="E1997" s="65" t="str">
        <f>IF($B1997="","",VLOOKUP(MONTH(C1997),Parameters!$F$2:$G$13,2,0))</f>
        <v/>
      </c>
      <c r="F1997" s="69" t="str">
        <f>IF($B1997="","",PV-N(J1996))</f>
        <v/>
      </c>
      <c r="G1997" s="69" t="str">
        <f>IF($B1997="","",PMT(Rate,Nper,-PV,,Type))</f>
        <v/>
      </c>
      <c r="H1997" s="69" t="str">
        <f>IF($B1997="","",PPMT(Rate,ROWS($1:1985),Nper,-PV,,Type))</f>
        <v/>
      </c>
      <c r="I1997" s="69" t="str">
        <f>IF($B1997="","",IPMT(Rate,ROWS($1:1985),Nper,-PV,,Type))</f>
        <v/>
      </c>
      <c r="J1997" s="73" t="str">
        <f t="shared" ref="J1997:K1997" si="1987">IF($B1997="","",N(J1996)+N(H1997))</f>
        <v/>
      </c>
      <c r="K1997" s="74" t="str">
        <f t="shared" si="1987"/>
        <v/>
      </c>
      <c r="L1997" s="69" t="str">
        <f>IF($B1997="","",PV-J1997)</f>
        <v/>
      </c>
      <c r="M1997" s="71" t="str">
        <f>IF($B1997="","",J1997/PV)</f>
        <v/>
      </c>
      <c r="N1997" s="72" t="str">
        <f t="shared" si="4"/>
        <v/>
      </c>
    </row>
    <row r="1998" ht="14.25" customHeight="1">
      <c r="B1998" s="66" t="str">
        <f>IF(ROWS($1:1986)&lt;=Nper,ROWS($1:1986),"")</f>
        <v/>
      </c>
      <c r="C1998" s="67" t="str">
        <f>IF($B1998="","",IF($E$7="Weekly",Start_Date+7*(ROWS($1:1986)-1),EDATE(Start_Date,VLOOKUP(IF(ASTemp!$E$7="","Monthly",ASTemp!$E$7),Parameters!$B$3:$D$6,3,0)*(ROWS($1:1986)-1))))</f>
        <v/>
      </c>
      <c r="D1998" s="68" t="str">
        <f t="shared" si="2"/>
        <v/>
      </c>
      <c r="E1998" s="65" t="str">
        <f>IF($B1998="","",VLOOKUP(MONTH(C1998),Parameters!$F$2:$G$13,2,0))</f>
        <v/>
      </c>
      <c r="F1998" s="69" t="str">
        <f>IF($B1998="","",PV-N(J1997))</f>
        <v/>
      </c>
      <c r="G1998" s="69" t="str">
        <f>IF($B1998="","",PMT(Rate,Nper,-PV,,Type))</f>
        <v/>
      </c>
      <c r="H1998" s="69" t="str">
        <f>IF($B1998="","",PPMT(Rate,ROWS($1:1986),Nper,-PV,,Type))</f>
        <v/>
      </c>
      <c r="I1998" s="69" t="str">
        <f>IF($B1998="","",IPMT(Rate,ROWS($1:1986),Nper,-PV,,Type))</f>
        <v/>
      </c>
      <c r="J1998" s="73" t="str">
        <f t="shared" ref="J1998:K1998" si="1988">IF($B1998="","",N(J1997)+N(H1998))</f>
        <v/>
      </c>
      <c r="K1998" s="74" t="str">
        <f t="shared" si="1988"/>
        <v/>
      </c>
      <c r="L1998" s="69" t="str">
        <f>IF($B1998="","",PV-J1998)</f>
        <v/>
      </c>
      <c r="M1998" s="71" t="str">
        <f>IF($B1998="","",J1998/PV)</f>
        <v/>
      </c>
      <c r="N1998" s="72" t="str">
        <f t="shared" si="4"/>
        <v/>
      </c>
    </row>
    <row r="1999" ht="14.25" customHeight="1">
      <c r="B1999" s="66" t="str">
        <f>IF(ROWS($1:1987)&lt;=Nper,ROWS($1:1987),"")</f>
        <v/>
      </c>
      <c r="C1999" s="67" t="str">
        <f>IF($B1999="","",IF($E$7="Weekly",Start_Date+7*(ROWS($1:1987)-1),EDATE(Start_Date,VLOOKUP(IF(ASTemp!$E$7="","Monthly",ASTemp!$E$7),Parameters!$B$3:$D$6,3,0)*(ROWS($1:1987)-1))))</f>
        <v/>
      </c>
      <c r="D1999" s="68" t="str">
        <f t="shared" si="2"/>
        <v/>
      </c>
      <c r="E1999" s="65" t="str">
        <f>IF($B1999="","",VLOOKUP(MONTH(C1999),Parameters!$F$2:$G$13,2,0))</f>
        <v/>
      </c>
      <c r="F1999" s="69" t="str">
        <f>IF($B1999="","",PV-N(J1998))</f>
        <v/>
      </c>
      <c r="G1999" s="69" t="str">
        <f>IF($B1999="","",PMT(Rate,Nper,-PV,,Type))</f>
        <v/>
      </c>
      <c r="H1999" s="69" t="str">
        <f>IF($B1999="","",PPMT(Rate,ROWS($1:1987),Nper,-PV,,Type))</f>
        <v/>
      </c>
      <c r="I1999" s="69" t="str">
        <f>IF($B1999="","",IPMT(Rate,ROWS($1:1987),Nper,-PV,,Type))</f>
        <v/>
      </c>
      <c r="J1999" s="73" t="str">
        <f t="shared" ref="J1999:K1999" si="1989">IF($B1999="","",N(J1998)+N(H1999))</f>
        <v/>
      </c>
      <c r="K1999" s="74" t="str">
        <f t="shared" si="1989"/>
        <v/>
      </c>
      <c r="L1999" s="69" t="str">
        <f>IF($B1999="","",PV-J1999)</f>
        <v/>
      </c>
      <c r="M1999" s="71" t="str">
        <f>IF($B1999="","",J1999/PV)</f>
        <v/>
      </c>
      <c r="N1999" s="72" t="str">
        <f t="shared" si="4"/>
        <v/>
      </c>
    </row>
    <row r="2000" ht="14.25" customHeight="1">
      <c r="B2000" s="66" t="str">
        <f>IF(ROWS($1:1988)&lt;=Nper,ROWS($1:1988),"")</f>
        <v/>
      </c>
      <c r="C2000" s="67" t="str">
        <f>IF($B2000="","",IF($E$7="Weekly",Start_Date+7*(ROWS($1:1988)-1),EDATE(Start_Date,VLOOKUP(IF(ASTemp!$E$7="","Monthly",ASTemp!$E$7),Parameters!$B$3:$D$6,3,0)*(ROWS($1:1988)-1))))</f>
        <v/>
      </c>
      <c r="D2000" s="68" t="str">
        <f t="shared" si="2"/>
        <v/>
      </c>
      <c r="E2000" s="65" t="str">
        <f>IF($B2000="","",VLOOKUP(MONTH(C2000),Parameters!$F$2:$G$13,2,0))</f>
        <v/>
      </c>
      <c r="F2000" s="69" t="str">
        <f>IF($B2000="","",PV-N(J1999))</f>
        <v/>
      </c>
      <c r="G2000" s="69" t="str">
        <f>IF($B2000="","",PMT(Rate,Nper,-PV,,Type))</f>
        <v/>
      </c>
      <c r="H2000" s="69" t="str">
        <f>IF($B2000="","",PPMT(Rate,ROWS($1:1988),Nper,-PV,,Type))</f>
        <v/>
      </c>
      <c r="I2000" s="69" t="str">
        <f>IF($B2000="","",IPMT(Rate,ROWS($1:1988),Nper,-PV,,Type))</f>
        <v/>
      </c>
      <c r="J2000" s="73" t="str">
        <f t="shared" ref="J2000:K2000" si="1990">IF($B2000="","",N(J1999)+N(H2000))</f>
        <v/>
      </c>
      <c r="K2000" s="74" t="str">
        <f t="shared" si="1990"/>
        <v/>
      </c>
      <c r="L2000" s="69" t="str">
        <f>IF($B2000="","",PV-J2000)</f>
        <v/>
      </c>
      <c r="M2000" s="71" t="str">
        <f>IF($B2000="","",J2000/PV)</f>
        <v/>
      </c>
      <c r="N2000" s="72" t="str">
        <f t="shared" si="4"/>
        <v/>
      </c>
    </row>
    <row r="2001" ht="14.25" customHeight="1">
      <c r="B2001" s="66" t="str">
        <f>IF(ROWS($1:1989)&lt;=Nper,ROWS($1:1989),"")</f>
        <v/>
      </c>
      <c r="C2001" s="67" t="str">
        <f>IF($B2001="","",IF($E$7="Weekly",Start_Date+7*(ROWS($1:1989)-1),EDATE(Start_Date,VLOOKUP(IF(ASTemp!$E$7="","Monthly",ASTemp!$E$7),Parameters!$B$3:$D$6,3,0)*(ROWS($1:1989)-1))))</f>
        <v/>
      </c>
      <c r="D2001" s="68" t="str">
        <f t="shared" si="2"/>
        <v/>
      </c>
      <c r="E2001" s="65" t="str">
        <f>IF($B2001="","",VLOOKUP(MONTH(C2001),Parameters!$F$2:$G$13,2,0))</f>
        <v/>
      </c>
      <c r="F2001" s="69" t="str">
        <f>IF($B2001="","",PV-N(J2000))</f>
        <v/>
      </c>
      <c r="G2001" s="69" t="str">
        <f>IF($B2001="","",PMT(Rate,Nper,-PV,,Type))</f>
        <v/>
      </c>
      <c r="H2001" s="69" t="str">
        <f>IF($B2001="","",PPMT(Rate,ROWS($1:1989),Nper,-PV,,Type))</f>
        <v/>
      </c>
      <c r="I2001" s="69" t="str">
        <f>IF($B2001="","",IPMT(Rate,ROWS($1:1989),Nper,-PV,,Type))</f>
        <v/>
      </c>
      <c r="J2001" s="73" t="str">
        <f t="shared" ref="J2001:K2001" si="1991">IF($B2001="","",N(J2000)+N(H2001))</f>
        <v/>
      </c>
      <c r="K2001" s="74" t="str">
        <f t="shared" si="1991"/>
        <v/>
      </c>
      <c r="L2001" s="69" t="str">
        <f>IF($B2001="","",PV-J2001)</f>
        <v/>
      </c>
      <c r="M2001" s="71" t="str">
        <f>IF($B2001="","",J2001/PV)</f>
        <v/>
      </c>
      <c r="N2001" s="72" t="str">
        <f t="shared" si="4"/>
        <v/>
      </c>
    </row>
    <row r="2002" ht="14.25" customHeight="1">
      <c r="B2002" s="66" t="str">
        <f>IF(ROWS($1:1990)&lt;=Nper,ROWS($1:1990),"")</f>
        <v/>
      </c>
      <c r="C2002" s="67" t="str">
        <f>IF($B2002="","",IF($E$7="Weekly",Start_Date+7*(ROWS($1:1990)-1),EDATE(Start_Date,VLOOKUP(IF(ASTemp!$E$7="","Monthly",ASTemp!$E$7),Parameters!$B$3:$D$6,3,0)*(ROWS($1:1990)-1))))</f>
        <v/>
      </c>
      <c r="D2002" s="68" t="str">
        <f t="shared" si="2"/>
        <v/>
      </c>
      <c r="E2002" s="65" t="str">
        <f>IF($B2002="","",VLOOKUP(MONTH(C2002),Parameters!$F$2:$G$13,2,0))</f>
        <v/>
      </c>
      <c r="F2002" s="69" t="str">
        <f>IF($B2002="","",PV-N(J2001))</f>
        <v/>
      </c>
      <c r="G2002" s="69" t="str">
        <f>IF($B2002="","",PMT(Rate,Nper,-PV,,Type))</f>
        <v/>
      </c>
      <c r="H2002" s="69" t="str">
        <f>IF($B2002="","",PPMT(Rate,ROWS($1:1990),Nper,-PV,,Type))</f>
        <v/>
      </c>
      <c r="I2002" s="69" t="str">
        <f>IF($B2002="","",IPMT(Rate,ROWS($1:1990),Nper,-PV,,Type))</f>
        <v/>
      </c>
      <c r="J2002" s="73" t="str">
        <f t="shared" ref="J2002:K2002" si="1992">IF($B2002="","",N(J2001)+N(H2002))</f>
        <v/>
      </c>
      <c r="K2002" s="74" t="str">
        <f t="shared" si="1992"/>
        <v/>
      </c>
      <c r="L2002" s="69" t="str">
        <f>IF($B2002="","",PV-J2002)</f>
        <v/>
      </c>
      <c r="M2002" s="71" t="str">
        <f>IF($B2002="","",J2002/PV)</f>
        <v/>
      </c>
      <c r="N2002" s="72" t="str">
        <f t="shared" si="4"/>
        <v/>
      </c>
    </row>
    <row r="2003" ht="14.25" customHeight="1">
      <c r="B2003" s="66" t="str">
        <f>IF(ROWS($1:1991)&lt;=Nper,ROWS($1:1991),"")</f>
        <v/>
      </c>
      <c r="C2003" s="67" t="str">
        <f>IF($B2003="","",IF($E$7="Weekly",Start_Date+7*(ROWS($1:1991)-1),EDATE(Start_Date,VLOOKUP(IF(ASTemp!$E$7="","Monthly",ASTemp!$E$7),Parameters!$B$3:$D$6,3,0)*(ROWS($1:1991)-1))))</f>
        <v/>
      </c>
      <c r="D2003" s="68" t="str">
        <f t="shared" si="2"/>
        <v/>
      </c>
      <c r="E2003" s="65" t="str">
        <f>IF($B2003="","",VLOOKUP(MONTH(C2003),Parameters!$F$2:$G$13,2,0))</f>
        <v/>
      </c>
      <c r="F2003" s="69" t="str">
        <f>IF($B2003="","",PV-N(J2002))</f>
        <v/>
      </c>
      <c r="G2003" s="69" t="str">
        <f>IF($B2003="","",PMT(Rate,Nper,-PV,,Type))</f>
        <v/>
      </c>
      <c r="H2003" s="69" t="str">
        <f>IF($B2003="","",PPMT(Rate,ROWS($1:1991),Nper,-PV,,Type))</f>
        <v/>
      </c>
      <c r="I2003" s="69" t="str">
        <f>IF($B2003="","",IPMT(Rate,ROWS($1:1991),Nper,-PV,,Type))</f>
        <v/>
      </c>
      <c r="J2003" s="73" t="str">
        <f t="shared" ref="J2003:K2003" si="1993">IF($B2003="","",N(J2002)+N(H2003))</f>
        <v/>
      </c>
      <c r="K2003" s="74" t="str">
        <f t="shared" si="1993"/>
        <v/>
      </c>
      <c r="L2003" s="69" t="str">
        <f>IF($B2003="","",PV-J2003)</f>
        <v/>
      </c>
      <c r="M2003" s="71" t="str">
        <f>IF($B2003="","",J2003/PV)</f>
        <v/>
      </c>
      <c r="N2003" s="72" t="str">
        <f t="shared" si="4"/>
        <v/>
      </c>
    </row>
    <row r="2004" ht="14.25" customHeight="1">
      <c r="B2004" s="66" t="str">
        <f>IF(ROWS($1:1992)&lt;=Nper,ROWS($1:1992),"")</f>
        <v/>
      </c>
      <c r="C2004" s="67" t="str">
        <f>IF($B2004="","",IF($E$7="Weekly",Start_Date+7*(ROWS($1:1992)-1),EDATE(Start_Date,VLOOKUP(IF(ASTemp!$E$7="","Monthly",ASTemp!$E$7),Parameters!$B$3:$D$6,3,0)*(ROWS($1:1992)-1))))</f>
        <v/>
      </c>
      <c r="D2004" s="68" t="str">
        <f t="shared" si="2"/>
        <v/>
      </c>
      <c r="E2004" s="65" t="str">
        <f>IF($B2004="","",VLOOKUP(MONTH(C2004),Parameters!$F$2:$G$13,2,0))</f>
        <v/>
      </c>
      <c r="F2004" s="69" t="str">
        <f>IF($B2004="","",PV-N(J2003))</f>
        <v/>
      </c>
      <c r="G2004" s="69" t="str">
        <f>IF($B2004="","",PMT(Rate,Nper,-PV,,Type))</f>
        <v/>
      </c>
      <c r="H2004" s="69" t="str">
        <f>IF($B2004="","",PPMT(Rate,ROWS($1:1992),Nper,-PV,,Type))</f>
        <v/>
      </c>
      <c r="I2004" s="69" t="str">
        <f>IF($B2004="","",IPMT(Rate,ROWS($1:1992),Nper,-PV,,Type))</f>
        <v/>
      </c>
      <c r="J2004" s="73" t="str">
        <f t="shared" ref="J2004:K2004" si="1994">IF($B2004="","",N(J2003)+N(H2004))</f>
        <v/>
      </c>
      <c r="K2004" s="74" t="str">
        <f t="shared" si="1994"/>
        <v/>
      </c>
      <c r="L2004" s="69" t="str">
        <f>IF($B2004="","",PV-J2004)</f>
        <v/>
      </c>
      <c r="M2004" s="71" t="str">
        <f>IF($B2004="","",J2004/PV)</f>
        <v/>
      </c>
      <c r="N2004" s="72" t="str">
        <f t="shared" si="4"/>
        <v/>
      </c>
    </row>
    <row r="2005" ht="14.25" customHeight="1">
      <c r="B2005" s="66" t="str">
        <f>IF(ROWS($1:1993)&lt;=Nper,ROWS($1:1993),"")</f>
        <v/>
      </c>
      <c r="C2005" s="67" t="str">
        <f>IF($B2005="","",IF($E$7="Weekly",Start_Date+7*(ROWS($1:1993)-1),EDATE(Start_Date,VLOOKUP(IF(ASTemp!$E$7="","Monthly",ASTemp!$E$7),Parameters!$B$3:$D$6,3,0)*(ROWS($1:1993)-1))))</f>
        <v/>
      </c>
      <c r="D2005" s="68" t="str">
        <f t="shared" si="2"/>
        <v/>
      </c>
      <c r="E2005" s="65" t="str">
        <f>IF($B2005="","",VLOOKUP(MONTH(C2005),Parameters!$F$2:$G$13,2,0))</f>
        <v/>
      </c>
      <c r="F2005" s="69" t="str">
        <f>IF($B2005="","",PV-N(J2004))</f>
        <v/>
      </c>
      <c r="G2005" s="69" t="str">
        <f>IF($B2005="","",PMT(Rate,Nper,-PV,,Type))</f>
        <v/>
      </c>
      <c r="H2005" s="69" t="str">
        <f>IF($B2005="","",PPMT(Rate,ROWS($1:1993),Nper,-PV,,Type))</f>
        <v/>
      </c>
      <c r="I2005" s="69" t="str">
        <f>IF($B2005="","",IPMT(Rate,ROWS($1:1993),Nper,-PV,,Type))</f>
        <v/>
      </c>
      <c r="J2005" s="73" t="str">
        <f t="shared" ref="J2005:K2005" si="1995">IF($B2005="","",N(J2004)+N(H2005))</f>
        <v/>
      </c>
      <c r="K2005" s="74" t="str">
        <f t="shared" si="1995"/>
        <v/>
      </c>
      <c r="L2005" s="69" t="str">
        <f>IF($B2005="","",PV-J2005)</f>
        <v/>
      </c>
      <c r="M2005" s="71" t="str">
        <f>IF($B2005="","",J2005/PV)</f>
        <v/>
      </c>
      <c r="N2005" s="72" t="str">
        <f t="shared" si="4"/>
        <v/>
      </c>
    </row>
    <row r="2006" ht="14.25" customHeight="1">
      <c r="B2006" s="66" t="str">
        <f>IF(ROWS($1:1994)&lt;=Nper,ROWS($1:1994),"")</f>
        <v/>
      </c>
      <c r="C2006" s="67" t="str">
        <f>IF($B2006="","",IF($E$7="Weekly",Start_Date+7*(ROWS($1:1994)-1),EDATE(Start_Date,VLOOKUP(IF(ASTemp!$E$7="","Monthly",ASTemp!$E$7),Parameters!$B$3:$D$6,3,0)*(ROWS($1:1994)-1))))</f>
        <v/>
      </c>
      <c r="D2006" s="68" t="str">
        <f t="shared" si="2"/>
        <v/>
      </c>
      <c r="E2006" s="65" t="str">
        <f>IF($B2006="","",VLOOKUP(MONTH(C2006),Parameters!$F$2:$G$13,2,0))</f>
        <v/>
      </c>
      <c r="F2006" s="69" t="str">
        <f>IF($B2006="","",PV-N(J2005))</f>
        <v/>
      </c>
      <c r="G2006" s="69" t="str">
        <f>IF($B2006="","",PMT(Rate,Nper,-PV,,Type))</f>
        <v/>
      </c>
      <c r="H2006" s="69" t="str">
        <f>IF($B2006="","",PPMT(Rate,ROWS($1:1994),Nper,-PV,,Type))</f>
        <v/>
      </c>
      <c r="I2006" s="69" t="str">
        <f>IF($B2006="","",IPMT(Rate,ROWS($1:1994),Nper,-PV,,Type))</f>
        <v/>
      </c>
      <c r="J2006" s="73" t="str">
        <f t="shared" ref="J2006:K2006" si="1996">IF($B2006="","",N(J2005)+N(H2006))</f>
        <v/>
      </c>
      <c r="K2006" s="74" t="str">
        <f t="shared" si="1996"/>
        <v/>
      </c>
      <c r="L2006" s="69" t="str">
        <f>IF($B2006="","",PV-J2006)</f>
        <v/>
      </c>
      <c r="M2006" s="71" t="str">
        <f>IF($B2006="","",J2006/PV)</f>
        <v/>
      </c>
      <c r="N2006" s="72" t="str">
        <f t="shared" si="4"/>
        <v/>
      </c>
    </row>
    <row r="2007" ht="14.25" customHeight="1">
      <c r="B2007" s="66" t="str">
        <f>IF(ROWS($1:1995)&lt;=Nper,ROWS($1:1995),"")</f>
        <v/>
      </c>
      <c r="C2007" s="67" t="str">
        <f>IF($B2007="","",IF($E$7="Weekly",Start_Date+7*(ROWS($1:1995)-1),EDATE(Start_Date,VLOOKUP(IF(ASTemp!$E$7="","Monthly",ASTemp!$E$7),Parameters!$B$3:$D$6,3,0)*(ROWS($1:1995)-1))))</f>
        <v/>
      </c>
      <c r="D2007" s="68" t="str">
        <f t="shared" si="2"/>
        <v/>
      </c>
      <c r="E2007" s="65" t="str">
        <f>IF($B2007="","",VLOOKUP(MONTH(C2007),Parameters!$F$2:$G$13,2,0))</f>
        <v/>
      </c>
      <c r="F2007" s="69" t="str">
        <f>IF($B2007="","",PV-N(J2006))</f>
        <v/>
      </c>
      <c r="G2007" s="69" t="str">
        <f>IF($B2007="","",PMT(Rate,Nper,-PV,,Type))</f>
        <v/>
      </c>
      <c r="H2007" s="69" t="str">
        <f>IF($B2007="","",PPMT(Rate,ROWS($1:1995),Nper,-PV,,Type))</f>
        <v/>
      </c>
      <c r="I2007" s="69" t="str">
        <f>IF($B2007="","",IPMT(Rate,ROWS($1:1995),Nper,-PV,,Type))</f>
        <v/>
      </c>
      <c r="J2007" s="73" t="str">
        <f t="shared" ref="J2007:K2007" si="1997">IF($B2007="","",N(J2006)+N(H2007))</f>
        <v/>
      </c>
      <c r="K2007" s="74" t="str">
        <f t="shared" si="1997"/>
        <v/>
      </c>
      <c r="L2007" s="69" t="str">
        <f>IF($B2007="","",PV-J2007)</f>
        <v/>
      </c>
      <c r="M2007" s="71" t="str">
        <f>IF($B2007="","",J2007/PV)</f>
        <v/>
      </c>
      <c r="N2007" s="72" t="str">
        <f t="shared" si="4"/>
        <v/>
      </c>
    </row>
    <row r="2008" ht="14.25" customHeight="1">
      <c r="B2008" s="66" t="str">
        <f>IF(ROWS($1:1996)&lt;=Nper,ROWS($1:1996),"")</f>
        <v/>
      </c>
      <c r="C2008" s="67" t="str">
        <f>IF($B2008="","",IF($E$7="Weekly",Start_Date+7*(ROWS($1:1996)-1),EDATE(Start_Date,VLOOKUP(IF(ASTemp!$E$7="","Monthly",ASTemp!$E$7),Parameters!$B$3:$D$6,3,0)*(ROWS($1:1996)-1))))</f>
        <v/>
      </c>
      <c r="D2008" s="68" t="str">
        <f t="shared" si="2"/>
        <v/>
      </c>
      <c r="E2008" s="65" t="str">
        <f>IF($B2008="","",VLOOKUP(MONTH(C2008),Parameters!$F$2:$G$13,2,0))</f>
        <v/>
      </c>
      <c r="F2008" s="69" t="str">
        <f>IF($B2008="","",PV-N(J2007))</f>
        <v/>
      </c>
      <c r="G2008" s="69" t="str">
        <f>IF($B2008="","",PMT(Rate,Nper,-PV,,Type))</f>
        <v/>
      </c>
      <c r="H2008" s="69" t="str">
        <f>IF($B2008="","",PPMT(Rate,ROWS($1:1996),Nper,-PV,,Type))</f>
        <v/>
      </c>
      <c r="I2008" s="69" t="str">
        <f>IF($B2008="","",IPMT(Rate,ROWS($1:1996),Nper,-PV,,Type))</f>
        <v/>
      </c>
      <c r="J2008" s="73" t="str">
        <f t="shared" ref="J2008:K2008" si="1998">IF($B2008="","",N(J2007)+N(H2008))</f>
        <v/>
      </c>
      <c r="K2008" s="74" t="str">
        <f t="shared" si="1998"/>
        <v/>
      </c>
      <c r="L2008" s="69" t="str">
        <f>IF($B2008="","",PV-J2008)</f>
        <v/>
      </c>
      <c r="M2008" s="71" t="str">
        <f>IF($B2008="","",J2008/PV)</f>
        <v/>
      </c>
      <c r="N2008" s="72" t="str">
        <f t="shared" si="4"/>
        <v/>
      </c>
    </row>
    <row r="2009" ht="14.25" customHeight="1">
      <c r="B2009" s="66" t="str">
        <f>IF(ROWS($1:1997)&lt;=Nper,ROWS($1:1997),"")</f>
        <v/>
      </c>
      <c r="C2009" s="67" t="str">
        <f>IF($B2009="","",IF($E$7="Weekly",Start_Date+7*(ROWS($1:1997)-1),EDATE(Start_Date,VLOOKUP(IF(ASTemp!$E$7="","Monthly",ASTemp!$E$7),Parameters!$B$3:$D$6,3,0)*(ROWS($1:1997)-1))))</f>
        <v/>
      </c>
      <c r="D2009" s="68" t="str">
        <f t="shared" si="2"/>
        <v/>
      </c>
      <c r="E2009" s="65" t="str">
        <f>IF($B2009="","",VLOOKUP(MONTH(C2009),Parameters!$F$2:$G$13,2,0))</f>
        <v/>
      </c>
      <c r="F2009" s="69" t="str">
        <f>IF($B2009="","",PV-N(J2008))</f>
        <v/>
      </c>
      <c r="G2009" s="69" t="str">
        <f>IF($B2009="","",PMT(Rate,Nper,-PV,,Type))</f>
        <v/>
      </c>
      <c r="H2009" s="69" t="str">
        <f>IF($B2009="","",PPMT(Rate,ROWS($1:1997),Nper,-PV,,Type))</f>
        <v/>
      </c>
      <c r="I2009" s="69" t="str">
        <f>IF($B2009="","",IPMT(Rate,ROWS($1:1997),Nper,-PV,,Type))</f>
        <v/>
      </c>
      <c r="J2009" s="73" t="str">
        <f t="shared" ref="J2009:K2009" si="1999">IF($B2009="","",N(J2008)+N(H2009))</f>
        <v/>
      </c>
      <c r="K2009" s="74" t="str">
        <f t="shared" si="1999"/>
        <v/>
      </c>
      <c r="L2009" s="69" t="str">
        <f>IF($B2009="","",PV-J2009)</f>
        <v/>
      </c>
      <c r="M2009" s="71" t="str">
        <f>IF($B2009="","",J2009/PV)</f>
        <v/>
      </c>
      <c r="N2009" s="72" t="str">
        <f t="shared" si="4"/>
        <v/>
      </c>
    </row>
    <row r="2010" ht="14.25" customHeight="1">
      <c r="B2010" s="66" t="str">
        <f>IF(ROWS($1:1998)&lt;=Nper,ROWS($1:1998),"")</f>
        <v/>
      </c>
      <c r="C2010" s="67" t="str">
        <f>IF($B2010="","",IF($E$7="Weekly",Start_Date+7*(ROWS($1:1998)-1),EDATE(Start_Date,VLOOKUP(IF(ASTemp!$E$7="","Monthly",ASTemp!$E$7),Parameters!$B$3:$D$6,3,0)*(ROWS($1:1998)-1))))</f>
        <v/>
      </c>
      <c r="D2010" s="68" t="str">
        <f t="shared" si="2"/>
        <v/>
      </c>
      <c r="E2010" s="65" t="str">
        <f>IF($B2010="","",VLOOKUP(MONTH(C2010),Parameters!$F$2:$G$13,2,0))</f>
        <v/>
      </c>
      <c r="F2010" s="69" t="str">
        <f>IF($B2010="","",PV-N(J2009))</f>
        <v/>
      </c>
      <c r="G2010" s="69" t="str">
        <f>IF($B2010="","",PMT(Rate,Nper,-PV,,Type))</f>
        <v/>
      </c>
      <c r="H2010" s="69" t="str">
        <f>IF($B2010="","",PPMT(Rate,ROWS($1:1998),Nper,-PV,,Type))</f>
        <v/>
      </c>
      <c r="I2010" s="69" t="str">
        <f>IF($B2010="","",IPMT(Rate,ROWS($1:1998),Nper,-PV,,Type))</f>
        <v/>
      </c>
      <c r="J2010" s="73" t="str">
        <f t="shared" ref="J2010:K2010" si="2000">IF($B2010="","",N(J2009)+N(H2010))</f>
        <v/>
      </c>
      <c r="K2010" s="74" t="str">
        <f t="shared" si="2000"/>
        <v/>
      </c>
      <c r="L2010" s="69" t="str">
        <f>IF($B2010="","",PV-J2010)</f>
        <v/>
      </c>
      <c r="M2010" s="71" t="str">
        <f>IF($B2010="","",J2010/PV)</f>
        <v/>
      </c>
      <c r="N2010" s="72" t="str">
        <f t="shared" si="4"/>
        <v/>
      </c>
    </row>
    <row r="2011" ht="14.25" customHeight="1">
      <c r="B2011" s="66" t="str">
        <f>IF(ROWS($1:1999)&lt;=Nper,ROWS($1:1999),"")</f>
        <v/>
      </c>
      <c r="C2011" s="67" t="str">
        <f>IF($B2011="","",IF($E$7="Weekly",Start_Date+7*(ROWS($1:1999)-1),EDATE(Start_Date,VLOOKUP(IF(ASTemp!$E$7="","Monthly",ASTemp!$E$7),Parameters!$B$3:$D$6,3,0)*(ROWS($1:1999)-1))))</f>
        <v/>
      </c>
      <c r="D2011" s="68" t="str">
        <f t="shared" si="2"/>
        <v/>
      </c>
      <c r="E2011" s="65" t="str">
        <f>IF($B2011="","",VLOOKUP(MONTH(C2011),Parameters!$F$2:$G$13,2,0))</f>
        <v/>
      </c>
      <c r="F2011" s="69" t="str">
        <f>IF($B2011="","",PV-N(J2010))</f>
        <v/>
      </c>
      <c r="G2011" s="69" t="str">
        <f>IF($B2011="","",PMT(Rate,Nper,-PV,,Type))</f>
        <v/>
      </c>
      <c r="H2011" s="69" t="str">
        <f>IF($B2011="","",PPMT(Rate,ROWS($1:1999),Nper,-PV,,Type))</f>
        <v/>
      </c>
      <c r="I2011" s="69" t="str">
        <f>IF($B2011="","",IPMT(Rate,ROWS($1:1999),Nper,-PV,,Type))</f>
        <v/>
      </c>
      <c r="J2011" s="73" t="str">
        <f t="shared" ref="J2011:K2011" si="2001">IF($B2011="","",N(J2010)+N(H2011))</f>
        <v/>
      </c>
      <c r="K2011" s="74" t="str">
        <f t="shared" si="2001"/>
        <v/>
      </c>
      <c r="L2011" s="69" t="str">
        <f>IF($B2011="","",PV-J2011)</f>
        <v/>
      </c>
      <c r="M2011" s="71" t="str">
        <f>IF($B2011="","",J2011/PV)</f>
        <v/>
      </c>
      <c r="N2011" s="72" t="str">
        <f t="shared" si="4"/>
        <v/>
      </c>
    </row>
    <row r="2012" ht="14.25" customHeight="1">
      <c r="B2012" s="66" t="str">
        <f>IF(ROWS($1:2000)&lt;=Nper,ROWS($1:2000),"")</f>
        <v/>
      </c>
      <c r="C2012" s="67" t="str">
        <f>IF($B2012="","",IF($E$7="Weekly",Start_Date+7*(ROWS($1:2000)-1),EDATE(Start_Date,VLOOKUP(IF(ASTemp!$E$7="","Monthly",ASTemp!$E$7),Parameters!$B$3:$D$6,3,0)*(ROWS($1:2000)-1))))</f>
        <v/>
      </c>
      <c r="D2012" s="68" t="str">
        <f t="shared" si="2"/>
        <v/>
      </c>
      <c r="E2012" s="65" t="str">
        <f>IF($B2012="","",VLOOKUP(MONTH(C2012),Parameters!$F$2:$G$13,2,0))</f>
        <v/>
      </c>
      <c r="F2012" s="69" t="str">
        <f>IF($B2012="","",PV-N(J2011))</f>
        <v/>
      </c>
      <c r="G2012" s="69" t="str">
        <f>IF($B2012="","",PMT(Rate,Nper,-PV,,Type))</f>
        <v/>
      </c>
      <c r="H2012" s="69" t="str">
        <f>IF($B2012="","",PPMT(Rate,ROWS($1:2000),Nper,-PV,,Type))</f>
        <v/>
      </c>
      <c r="I2012" s="69" t="str">
        <f>IF($B2012="","",IPMT(Rate,ROWS($1:2000),Nper,-PV,,Type))</f>
        <v/>
      </c>
      <c r="J2012" s="73" t="str">
        <f t="shared" ref="J2012:K2012" si="2002">IF($B2012="","",N(J2011)+N(H2012))</f>
        <v/>
      </c>
      <c r="K2012" s="74" t="str">
        <f t="shared" si="2002"/>
        <v/>
      </c>
      <c r="L2012" s="69" t="str">
        <f>IF($B2012="","",PV-J2012)</f>
        <v/>
      </c>
      <c r="M2012" s="71" t="str">
        <f>IF($B2012="","",J2012/PV)</f>
        <v/>
      </c>
      <c r="N2012" s="72" t="str">
        <f t="shared" si="4"/>
        <v/>
      </c>
    </row>
    <row r="2013" ht="14.25" customHeight="1">
      <c r="B2013" s="66" t="str">
        <f>IF(ROWS($1:2001)&lt;=Nper,ROWS($1:2001),"")</f>
        <v/>
      </c>
      <c r="C2013" s="67" t="str">
        <f>IF($B2013="","",IF($E$7="Weekly",Start_Date+7*(ROWS($1:2001)-1),EDATE(Start_Date,VLOOKUP(IF(ASTemp!$E$7="","Monthly",ASTemp!$E$7),Parameters!$B$3:$D$6,3,0)*(ROWS($1:2001)-1))))</f>
        <v/>
      </c>
      <c r="D2013" s="68" t="str">
        <f t="shared" si="2"/>
        <v/>
      </c>
      <c r="E2013" s="65" t="str">
        <f>IF($B2013="","",VLOOKUP(MONTH(C2013),Parameters!$F$2:$G$13,2,0))</f>
        <v/>
      </c>
      <c r="F2013" s="69" t="str">
        <f>IF($B2013="","",PV-N(J2012))</f>
        <v/>
      </c>
      <c r="G2013" s="69" t="str">
        <f>IF($B2013="","",PMT(Rate,Nper,-PV,,Type))</f>
        <v/>
      </c>
      <c r="H2013" s="69" t="str">
        <f>IF($B2013="","",PPMT(Rate,ROWS($1:2001),Nper,-PV,,Type))</f>
        <v/>
      </c>
      <c r="I2013" s="69" t="str">
        <f>IF($B2013="","",IPMT(Rate,ROWS($1:2001),Nper,-PV,,Type))</f>
        <v/>
      </c>
      <c r="J2013" s="73" t="str">
        <f t="shared" ref="J2013:K2013" si="2003">IF($B2013="","",N(J2012)+N(H2013))</f>
        <v/>
      </c>
      <c r="K2013" s="74" t="str">
        <f t="shared" si="2003"/>
        <v/>
      </c>
      <c r="L2013" s="69" t="str">
        <f>IF($B2013="","",PV-J2013)</f>
        <v/>
      </c>
      <c r="M2013" s="71" t="str">
        <f>IF($B2013="","",J2013/PV)</f>
        <v/>
      </c>
      <c r="N2013" s="72" t="str">
        <f t="shared" si="4"/>
        <v/>
      </c>
    </row>
    <row r="2014" ht="14.25" customHeight="1">
      <c r="B2014" s="66" t="str">
        <f>IF(ROWS($1:2002)&lt;=Nper,ROWS($1:2002),"")</f>
        <v/>
      </c>
      <c r="C2014" s="67" t="str">
        <f>IF($B2014="","",IF($E$7="Weekly",Start_Date+7*(ROWS($1:2002)-1),EDATE(Start_Date,VLOOKUP(IF(ASTemp!$E$7="","Monthly",ASTemp!$E$7),Parameters!$B$3:$D$6,3,0)*(ROWS($1:2002)-1))))</f>
        <v/>
      </c>
      <c r="D2014" s="68" t="str">
        <f t="shared" si="2"/>
        <v/>
      </c>
      <c r="E2014" s="65" t="str">
        <f>IF($B2014="","",VLOOKUP(MONTH(C2014),Parameters!$F$2:$G$13,2,0))</f>
        <v/>
      </c>
      <c r="F2014" s="69" t="str">
        <f>IF($B2014="","",PV-N(J2013))</f>
        <v/>
      </c>
      <c r="G2014" s="69" t="str">
        <f>IF($B2014="","",PMT(Rate,Nper,-PV,,Type))</f>
        <v/>
      </c>
      <c r="H2014" s="69" t="str">
        <f>IF($B2014="","",PPMT(Rate,ROWS($1:2002),Nper,-PV,,Type))</f>
        <v/>
      </c>
      <c r="I2014" s="69" t="str">
        <f>IF($B2014="","",IPMT(Rate,ROWS($1:2002),Nper,-PV,,Type))</f>
        <v/>
      </c>
      <c r="J2014" s="73" t="str">
        <f t="shared" ref="J2014:K2014" si="2004">IF($B2014="","",N(J2013)+N(H2014))</f>
        <v/>
      </c>
      <c r="K2014" s="74" t="str">
        <f t="shared" si="2004"/>
        <v/>
      </c>
      <c r="L2014" s="69" t="str">
        <f>IF($B2014="","",PV-J2014)</f>
        <v/>
      </c>
      <c r="M2014" s="71" t="str">
        <f>IF($B2014="","",J2014/PV)</f>
        <v/>
      </c>
      <c r="N2014" s="72" t="str">
        <f t="shared" si="4"/>
        <v/>
      </c>
    </row>
    <row r="2015" ht="14.25" customHeight="1">
      <c r="B2015" s="66" t="str">
        <f>IF(ROWS($1:2003)&lt;=Nper,ROWS($1:2003),"")</f>
        <v/>
      </c>
      <c r="C2015" s="67" t="str">
        <f>IF($B2015="","",IF($E$7="Weekly",Start_Date+7*(ROWS($1:2003)-1),EDATE(Start_Date,VLOOKUP(IF(ASTemp!$E$7="","Monthly",ASTemp!$E$7),Parameters!$B$3:$D$6,3,0)*(ROWS($1:2003)-1))))</f>
        <v/>
      </c>
      <c r="D2015" s="68" t="str">
        <f t="shared" si="2"/>
        <v/>
      </c>
      <c r="E2015" s="65" t="str">
        <f>IF($B2015="","",VLOOKUP(MONTH(C2015),Parameters!$F$2:$G$13,2,0))</f>
        <v/>
      </c>
      <c r="F2015" s="69" t="str">
        <f>IF($B2015="","",PV-N(J2014))</f>
        <v/>
      </c>
      <c r="G2015" s="69" t="str">
        <f>IF($B2015="","",PMT(Rate,Nper,-PV,,Type))</f>
        <v/>
      </c>
      <c r="H2015" s="69" t="str">
        <f>IF($B2015="","",PPMT(Rate,ROWS($1:2003),Nper,-PV,,Type))</f>
        <v/>
      </c>
      <c r="I2015" s="69" t="str">
        <f>IF($B2015="","",IPMT(Rate,ROWS($1:2003),Nper,-PV,,Type))</f>
        <v/>
      </c>
      <c r="J2015" s="73" t="str">
        <f t="shared" ref="J2015:K2015" si="2005">IF($B2015="","",N(J2014)+N(H2015))</f>
        <v/>
      </c>
      <c r="K2015" s="74" t="str">
        <f t="shared" si="2005"/>
        <v/>
      </c>
      <c r="L2015" s="69" t="str">
        <f>IF($B2015="","",PV-J2015)</f>
        <v/>
      </c>
      <c r="M2015" s="71" t="str">
        <f>IF($B2015="","",J2015/PV)</f>
        <v/>
      </c>
      <c r="N2015" s="72" t="str">
        <f t="shared" si="4"/>
        <v/>
      </c>
    </row>
    <row r="2016" ht="14.25" customHeight="1">
      <c r="B2016" s="66" t="str">
        <f>IF(ROWS($1:2004)&lt;=Nper,ROWS($1:2004),"")</f>
        <v/>
      </c>
      <c r="C2016" s="67" t="str">
        <f>IF($B2016="","",IF($E$7="Weekly",Start_Date+7*(ROWS($1:2004)-1),EDATE(Start_Date,VLOOKUP(IF(ASTemp!$E$7="","Monthly",ASTemp!$E$7),Parameters!$B$3:$D$6,3,0)*(ROWS($1:2004)-1))))</f>
        <v/>
      </c>
      <c r="D2016" s="68" t="str">
        <f t="shared" si="2"/>
        <v/>
      </c>
      <c r="E2016" s="65" t="str">
        <f>IF($B2016="","",VLOOKUP(MONTH(C2016),Parameters!$F$2:$G$13,2,0))</f>
        <v/>
      </c>
      <c r="F2016" s="69" t="str">
        <f>IF($B2016="","",PV-N(J2015))</f>
        <v/>
      </c>
      <c r="G2016" s="69" t="str">
        <f>IF($B2016="","",PMT(Rate,Nper,-PV,,Type))</f>
        <v/>
      </c>
      <c r="H2016" s="69" t="str">
        <f>IF($B2016="","",PPMT(Rate,ROWS($1:2004),Nper,-PV,,Type))</f>
        <v/>
      </c>
      <c r="I2016" s="69" t="str">
        <f>IF($B2016="","",IPMT(Rate,ROWS($1:2004),Nper,-PV,,Type))</f>
        <v/>
      </c>
      <c r="J2016" s="73" t="str">
        <f t="shared" ref="J2016:K2016" si="2006">IF($B2016="","",N(J2015)+N(H2016))</f>
        <v/>
      </c>
      <c r="K2016" s="74" t="str">
        <f t="shared" si="2006"/>
        <v/>
      </c>
      <c r="L2016" s="69" t="str">
        <f>IF($B2016="","",PV-J2016)</f>
        <v/>
      </c>
      <c r="M2016" s="71" t="str">
        <f>IF($B2016="","",J2016/PV)</f>
        <v/>
      </c>
      <c r="N2016" s="72" t="str">
        <f t="shared" si="4"/>
        <v/>
      </c>
    </row>
    <row r="2017" ht="14.25" customHeight="1">
      <c r="B2017" s="66" t="str">
        <f>IF(ROWS($1:2005)&lt;=Nper,ROWS($1:2005),"")</f>
        <v/>
      </c>
      <c r="C2017" s="67" t="str">
        <f>IF($B2017="","",IF($E$7="Weekly",Start_Date+7*(ROWS($1:2005)-1),EDATE(Start_Date,VLOOKUP(IF(ASTemp!$E$7="","Monthly",ASTemp!$E$7),Parameters!$B$3:$D$6,3,0)*(ROWS($1:2005)-1))))</f>
        <v/>
      </c>
      <c r="D2017" s="68" t="str">
        <f t="shared" si="2"/>
        <v/>
      </c>
      <c r="E2017" s="65" t="str">
        <f>IF($B2017="","",VLOOKUP(MONTH(C2017),Parameters!$F$2:$G$13,2,0))</f>
        <v/>
      </c>
      <c r="F2017" s="69" t="str">
        <f>IF($B2017="","",PV-N(J2016))</f>
        <v/>
      </c>
      <c r="G2017" s="69" t="str">
        <f>IF($B2017="","",PMT(Rate,Nper,-PV,,Type))</f>
        <v/>
      </c>
      <c r="H2017" s="69" t="str">
        <f>IF($B2017="","",PPMT(Rate,ROWS($1:2005),Nper,-PV,,Type))</f>
        <v/>
      </c>
      <c r="I2017" s="69" t="str">
        <f>IF($B2017="","",IPMT(Rate,ROWS($1:2005),Nper,-PV,,Type))</f>
        <v/>
      </c>
      <c r="J2017" s="73" t="str">
        <f t="shared" ref="J2017:K2017" si="2007">IF($B2017="","",N(J2016)+N(H2017))</f>
        <v/>
      </c>
      <c r="K2017" s="74" t="str">
        <f t="shared" si="2007"/>
        <v/>
      </c>
      <c r="L2017" s="69" t="str">
        <f>IF($B2017="","",PV-J2017)</f>
        <v/>
      </c>
      <c r="M2017" s="71" t="str">
        <f>IF($B2017="","",J2017/PV)</f>
        <v/>
      </c>
      <c r="N2017" s="72" t="str">
        <f t="shared" si="4"/>
        <v/>
      </c>
    </row>
    <row r="2018" ht="14.25" customHeight="1">
      <c r="B2018" s="66" t="str">
        <f>IF(ROWS($1:2006)&lt;=Nper,ROWS($1:2006),"")</f>
        <v/>
      </c>
      <c r="C2018" s="67" t="str">
        <f>IF($B2018="","",IF($E$7="Weekly",Start_Date+7*(ROWS($1:2006)-1),EDATE(Start_Date,VLOOKUP(IF(ASTemp!$E$7="","Monthly",ASTemp!$E$7),Parameters!$B$3:$D$6,3,0)*(ROWS($1:2006)-1))))</f>
        <v/>
      </c>
      <c r="D2018" s="68" t="str">
        <f t="shared" si="2"/>
        <v/>
      </c>
      <c r="E2018" s="65" t="str">
        <f>IF($B2018="","",VLOOKUP(MONTH(C2018),Parameters!$F$2:$G$13,2,0))</f>
        <v/>
      </c>
      <c r="F2018" s="69" t="str">
        <f>IF($B2018="","",PV-N(J2017))</f>
        <v/>
      </c>
      <c r="G2018" s="69" t="str">
        <f>IF($B2018="","",PMT(Rate,Nper,-PV,,Type))</f>
        <v/>
      </c>
      <c r="H2018" s="69" t="str">
        <f>IF($B2018="","",PPMT(Rate,ROWS($1:2006),Nper,-PV,,Type))</f>
        <v/>
      </c>
      <c r="I2018" s="69" t="str">
        <f>IF($B2018="","",IPMT(Rate,ROWS($1:2006),Nper,-PV,,Type))</f>
        <v/>
      </c>
      <c r="J2018" s="73" t="str">
        <f t="shared" ref="J2018:K2018" si="2008">IF($B2018="","",N(J2017)+N(H2018))</f>
        <v/>
      </c>
      <c r="K2018" s="74" t="str">
        <f t="shared" si="2008"/>
        <v/>
      </c>
      <c r="L2018" s="69" t="str">
        <f>IF($B2018="","",PV-J2018)</f>
        <v/>
      </c>
      <c r="M2018" s="71" t="str">
        <f>IF($B2018="","",J2018/PV)</f>
        <v/>
      </c>
      <c r="N2018" s="72" t="str">
        <f t="shared" si="4"/>
        <v/>
      </c>
    </row>
    <row r="2019" ht="14.25" customHeight="1">
      <c r="B2019" s="66" t="str">
        <f>IF(ROWS($1:2007)&lt;=Nper,ROWS($1:2007),"")</f>
        <v/>
      </c>
      <c r="C2019" s="67" t="str">
        <f>IF($B2019="","",IF($E$7="Weekly",Start_Date+7*(ROWS($1:2007)-1),EDATE(Start_Date,VLOOKUP(IF(ASTemp!$E$7="","Monthly",ASTemp!$E$7),Parameters!$B$3:$D$6,3,0)*(ROWS($1:2007)-1))))</f>
        <v/>
      </c>
      <c r="D2019" s="68" t="str">
        <f t="shared" si="2"/>
        <v/>
      </c>
      <c r="E2019" s="65" t="str">
        <f>IF($B2019="","",VLOOKUP(MONTH(C2019),Parameters!$F$2:$G$13,2,0))</f>
        <v/>
      </c>
      <c r="F2019" s="69" t="str">
        <f>IF($B2019="","",PV-N(J2018))</f>
        <v/>
      </c>
      <c r="G2019" s="69" t="str">
        <f>IF($B2019="","",PMT(Rate,Nper,-PV,,Type))</f>
        <v/>
      </c>
      <c r="H2019" s="69" t="str">
        <f>IF($B2019="","",PPMT(Rate,ROWS($1:2007),Nper,-PV,,Type))</f>
        <v/>
      </c>
      <c r="I2019" s="69" t="str">
        <f>IF($B2019="","",IPMT(Rate,ROWS($1:2007),Nper,-PV,,Type))</f>
        <v/>
      </c>
      <c r="J2019" s="73" t="str">
        <f t="shared" ref="J2019:K2019" si="2009">IF($B2019="","",N(J2018)+N(H2019))</f>
        <v/>
      </c>
      <c r="K2019" s="74" t="str">
        <f t="shared" si="2009"/>
        <v/>
      </c>
      <c r="L2019" s="69" t="str">
        <f>IF($B2019="","",PV-J2019)</f>
        <v/>
      </c>
      <c r="M2019" s="71" t="str">
        <f>IF($B2019="","",J2019/PV)</f>
        <v/>
      </c>
      <c r="N2019" s="72" t="str">
        <f t="shared" si="4"/>
        <v/>
      </c>
    </row>
    <row r="2020" ht="14.25" customHeight="1">
      <c r="B2020" s="66" t="str">
        <f>IF(ROWS($1:2008)&lt;=Nper,ROWS($1:2008),"")</f>
        <v/>
      </c>
      <c r="C2020" s="67" t="str">
        <f>IF($B2020="","",IF($E$7="Weekly",Start_Date+7*(ROWS($1:2008)-1),EDATE(Start_Date,VLOOKUP(IF(ASTemp!$E$7="","Monthly",ASTemp!$E$7),Parameters!$B$3:$D$6,3,0)*(ROWS($1:2008)-1))))</f>
        <v/>
      </c>
      <c r="D2020" s="68" t="str">
        <f t="shared" si="2"/>
        <v/>
      </c>
      <c r="E2020" s="65" t="str">
        <f>IF($B2020="","",VLOOKUP(MONTH(C2020),Parameters!$F$2:$G$13,2,0))</f>
        <v/>
      </c>
      <c r="F2020" s="69" t="str">
        <f>IF($B2020="","",PV-N(J2019))</f>
        <v/>
      </c>
      <c r="G2020" s="69" t="str">
        <f>IF($B2020="","",PMT(Rate,Nper,-PV,,Type))</f>
        <v/>
      </c>
      <c r="H2020" s="69" t="str">
        <f>IF($B2020="","",PPMT(Rate,ROWS($1:2008),Nper,-PV,,Type))</f>
        <v/>
      </c>
      <c r="I2020" s="69" t="str">
        <f>IF($B2020="","",IPMT(Rate,ROWS($1:2008),Nper,-PV,,Type))</f>
        <v/>
      </c>
      <c r="J2020" s="73" t="str">
        <f t="shared" ref="J2020:K2020" si="2010">IF($B2020="","",N(J2019)+N(H2020))</f>
        <v/>
      </c>
      <c r="K2020" s="74" t="str">
        <f t="shared" si="2010"/>
        <v/>
      </c>
      <c r="L2020" s="69" t="str">
        <f>IF($B2020="","",PV-J2020)</f>
        <v/>
      </c>
      <c r="M2020" s="71" t="str">
        <f>IF($B2020="","",J2020/PV)</f>
        <v/>
      </c>
      <c r="N2020" s="72" t="str">
        <f t="shared" si="4"/>
        <v/>
      </c>
    </row>
    <row r="2021" ht="14.25" customHeight="1">
      <c r="B2021" s="66" t="str">
        <f>IF(ROWS($1:2009)&lt;=Nper,ROWS($1:2009),"")</f>
        <v/>
      </c>
      <c r="C2021" s="67" t="str">
        <f>IF($B2021="","",IF($E$7="Weekly",Start_Date+7*(ROWS($1:2009)-1),EDATE(Start_Date,VLOOKUP(IF(ASTemp!$E$7="","Monthly",ASTemp!$E$7),Parameters!$B$3:$D$6,3,0)*(ROWS($1:2009)-1))))</f>
        <v/>
      </c>
      <c r="D2021" s="68" t="str">
        <f t="shared" si="2"/>
        <v/>
      </c>
      <c r="E2021" s="65" t="str">
        <f>IF($B2021="","",VLOOKUP(MONTH(C2021),Parameters!$F$2:$G$13,2,0))</f>
        <v/>
      </c>
      <c r="F2021" s="69" t="str">
        <f>IF($B2021="","",PV-N(J2020))</f>
        <v/>
      </c>
      <c r="G2021" s="69" t="str">
        <f>IF($B2021="","",PMT(Rate,Nper,-PV,,Type))</f>
        <v/>
      </c>
      <c r="H2021" s="69" t="str">
        <f>IF($B2021="","",PPMT(Rate,ROWS($1:2009),Nper,-PV,,Type))</f>
        <v/>
      </c>
      <c r="I2021" s="69" t="str">
        <f>IF($B2021="","",IPMT(Rate,ROWS($1:2009),Nper,-PV,,Type))</f>
        <v/>
      </c>
      <c r="J2021" s="73" t="str">
        <f t="shared" ref="J2021:K2021" si="2011">IF($B2021="","",N(J2020)+N(H2021))</f>
        <v/>
      </c>
      <c r="K2021" s="74" t="str">
        <f t="shared" si="2011"/>
        <v/>
      </c>
      <c r="L2021" s="69" t="str">
        <f>IF($B2021="","",PV-J2021)</f>
        <v/>
      </c>
      <c r="M2021" s="71" t="str">
        <f>IF($B2021="","",J2021/PV)</f>
        <v/>
      </c>
      <c r="N2021" s="72" t="str">
        <f t="shared" si="4"/>
        <v/>
      </c>
    </row>
    <row r="2022" ht="14.25" customHeight="1">
      <c r="B2022" s="66" t="str">
        <f>IF(ROWS($1:2010)&lt;=Nper,ROWS($1:2010),"")</f>
        <v/>
      </c>
      <c r="C2022" s="67" t="str">
        <f>IF($B2022="","",IF($E$7="Weekly",Start_Date+7*(ROWS($1:2010)-1),EDATE(Start_Date,VLOOKUP(IF(ASTemp!$E$7="","Monthly",ASTemp!$E$7),Parameters!$B$3:$D$6,3,0)*(ROWS($1:2010)-1))))</f>
        <v/>
      </c>
      <c r="D2022" s="68" t="str">
        <f t="shared" si="2"/>
        <v/>
      </c>
      <c r="E2022" s="65" t="str">
        <f>IF($B2022="","",VLOOKUP(MONTH(C2022),Parameters!$F$2:$G$13,2,0))</f>
        <v/>
      </c>
      <c r="F2022" s="69" t="str">
        <f>IF($B2022="","",PV-N(J2021))</f>
        <v/>
      </c>
      <c r="G2022" s="69" t="str">
        <f>IF($B2022="","",PMT(Rate,Nper,-PV,,Type))</f>
        <v/>
      </c>
      <c r="H2022" s="69" t="str">
        <f>IF($B2022="","",PPMT(Rate,ROWS($1:2010),Nper,-PV,,Type))</f>
        <v/>
      </c>
      <c r="I2022" s="69" t="str">
        <f>IF($B2022="","",IPMT(Rate,ROWS($1:2010),Nper,-PV,,Type))</f>
        <v/>
      </c>
      <c r="J2022" s="73" t="str">
        <f t="shared" ref="J2022:K2022" si="2012">IF($B2022="","",N(J2021)+N(H2022))</f>
        <v/>
      </c>
      <c r="K2022" s="74" t="str">
        <f t="shared" si="2012"/>
        <v/>
      </c>
      <c r="L2022" s="69" t="str">
        <f>IF($B2022="","",PV-J2022)</f>
        <v/>
      </c>
      <c r="M2022" s="71" t="str">
        <f>IF($B2022="","",J2022/PV)</f>
        <v/>
      </c>
      <c r="N2022" s="72" t="str">
        <f t="shared" si="4"/>
        <v/>
      </c>
    </row>
    <row r="2023" ht="14.25" customHeight="1">
      <c r="B2023" s="66" t="str">
        <f>IF(ROWS($1:2011)&lt;=Nper,ROWS($1:2011),"")</f>
        <v/>
      </c>
      <c r="C2023" s="67" t="str">
        <f>IF($B2023="","",IF($E$7="Weekly",Start_Date+7*(ROWS($1:2011)-1),EDATE(Start_Date,VLOOKUP(IF(ASTemp!$E$7="","Monthly",ASTemp!$E$7),Parameters!$B$3:$D$6,3,0)*(ROWS($1:2011)-1))))</f>
        <v/>
      </c>
      <c r="D2023" s="68" t="str">
        <f t="shared" si="2"/>
        <v/>
      </c>
      <c r="E2023" s="65" t="str">
        <f>IF($B2023="","",VLOOKUP(MONTH(C2023),Parameters!$F$2:$G$13,2,0))</f>
        <v/>
      </c>
      <c r="F2023" s="69" t="str">
        <f>IF($B2023="","",PV-N(J2022))</f>
        <v/>
      </c>
      <c r="G2023" s="69" t="str">
        <f>IF($B2023="","",PMT(Rate,Nper,-PV,,Type))</f>
        <v/>
      </c>
      <c r="H2023" s="69" t="str">
        <f>IF($B2023="","",PPMT(Rate,ROWS($1:2011),Nper,-PV,,Type))</f>
        <v/>
      </c>
      <c r="I2023" s="69" t="str">
        <f>IF($B2023="","",IPMT(Rate,ROWS($1:2011),Nper,-PV,,Type))</f>
        <v/>
      </c>
      <c r="J2023" s="73" t="str">
        <f t="shared" ref="J2023:K2023" si="2013">IF($B2023="","",N(J2022)+N(H2023))</f>
        <v/>
      </c>
      <c r="K2023" s="74" t="str">
        <f t="shared" si="2013"/>
        <v/>
      </c>
      <c r="L2023" s="69" t="str">
        <f>IF($B2023="","",PV-J2023)</f>
        <v/>
      </c>
      <c r="M2023" s="71" t="str">
        <f>IF($B2023="","",J2023/PV)</f>
        <v/>
      </c>
      <c r="N2023" s="72" t="str">
        <f t="shared" si="4"/>
        <v/>
      </c>
    </row>
    <row r="2024" ht="14.25" customHeight="1">
      <c r="B2024" s="66" t="str">
        <f>IF(ROWS($1:2012)&lt;=Nper,ROWS($1:2012),"")</f>
        <v/>
      </c>
      <c r="C2024" s="67" t="str">
        <f>IF($B2024="","",IF($E$7="Weekly",Start_Date+7*(ROWS($1:2012)-1),EDATE(Start_Date,VLOOKUP(IF(ASTemp!$E$7="","Monthly",ASTemp!$E$7),Parameters!$B$3:$D$6,3,0)*(ROWS($1:2012)-1))))</f>
        <v/>
      </c>
      <c r="D2024" s="68" t="str">
        <f t="shared" si="2"/>
        <v/>
      </c>
      <c r="E2024" s="65" t="str">
        <f>IF($B2024="","",VLOOKUP(MONTH(C2024),Parameters!$F$2:$G$13,2,0))</f>
        <v/>
      </c>
      <c r="F2024" s="69" t="str">
        <f>IF($B2024="","",PV-N(J2023))</f>
        <v/>
      </c>
      <c r="G2024" s="69" t="str">
        <f>IF($B2024="","",PMT(Rate,Nper,-PV,,Type))</f>
        <v/>
      </c>
      <c r="H2024" s="69" t="str">
        <f>IF($B2024="","",PPMT(Rate,ROWS($1:2012),Nper,-PV,,Type))</f>
        <v/>
      </c>
      <c r="I2024" s="69" t="str">
        <f>IF($B2024="","",IPMT(Rate,ROWS($1:2012),Nper,-PV,,Type))</f>
        <v/>
      </c>
      <c r="J2024" s="73" t="str">
        <f t="shared" ref="J2024:K2024" si="2014">IF($B2024="","",N(J2023)+N(H2024))</f>
        <v/>
      </c>
      <c r="K2024" s="74" t="str">
        <f t="shared" si="2014"/>
        <v/>
      </c>
      <c r="L2024" s="69" t="str">
        <f>IF($B2024="","",PV-J2024)</f>
        <v/>
      </c>
      <c r="M2024" s="71" t="str">
        <f>IF($B2024="","",J2024/PV)</f>
        <v/>
      </c>
      <c r="N2024" s="72" t="str">
        <f t="shared" si="4"/>
        <v/>
      </c>
    </row>
    <row r="2025" ht="14.25" customHeight="1">
      <c r="B2025" s="66" t="str">
        <f>IF(ROWS($1:2013)&lt;=Nper,ROWS($1:2013),"")</f>
        <v/>
      </c>
      <c r="C2025" s="67" t="str">
        <f>IF($B2025="","",IF($E$7="Weekly",Start_Date+7*(ROWS($1:2013)-1),EDATE(Start_Date,VLOOKUP(IF(ASTemp!$E$7="","Monthly",ASTemp!$E$7),Parameters!$B$3:$D$6,3,0)*(ROWS($1:2013)-1))))</f>
        <v/>
      </c>
      <c r="D2025" s="68" t="str">
        <f t="shared" si="2"/>
        <v/>
      </c>
      <c r="E2025" s="65" t="str">
        <f>IF($B2025="","",VLOOKUP(MONTH(C2025),Parameters!$F$2:$G$13,2,0))</f>
        <v/>
      </c>
      <c r="F2025" s="69" t="str">
        <f>IF($B2025="","",PV-N(J2024))</f>
        <v/>
      </c>
      <c r="G2025" s="69" t="str">
        <f>IF($B2025="","",PMT(Rate,Nper,-PV,,Type))</f>
        <v/>
      </c>
      <c r="H2025" s="69" t="str">
        <f>IF($B2025="","",PPMT(Rate,ROWS($1:2013),Nper,-PV,,Type))</f>
        <v/>
      </c>
      <c r="I2025" s="69" t="str">
        <f>IF($B2025="","",IPMT(Rate,ROWS($1:2013),Nper,-PV,,Type))</f>
        <v/>
      </c>
      <c r="J2025" s="73" t="str">
        <f t="shared" ref="J2025:K2025" si="2015">IF($B2025="","",N(J2024)+N(H2025))</f>
        <v/>
      </c>
      <c r="K2025" s="74" t="str">
        <f t="shared" si="2015"/>
        <v/>
      </c>
      <c r="L2025" s="69" t="str">
        <f>IF($B2025="","",PV-J2025)</f>
        <v/>
      </c>
      <c r="M2025" s="71" t="str">
        <f>IF($B2025="","",J2025/PV)</f>
        <v/>
      </c>
      <c r="N2025" s="72" t="str">
        <f t="shared" si="4"/>
        <v/>
      </c>
    </row>
    <row r="2026" ht="14.25" customHeight="1">
      <c r="B2026" s="66" t="str">
        <f>IF(ROWS($1:2014)&lt;=Nper,ROWS($1:2014),"")</f>
        <v/>
      </c>
      <c r="C2026" s="67" t="str">
        <f>IF($B2026="","",IF($E$7="Weekly",Start_Date+7*(ROWS($1:2014)-1),EDATE(Start_Date,VLOOKUP(IF(ASTemp!$E$7="","Monthly",ASTemp!$E$7),Parameters!$B$3:$D$6,3,0)*(ROWS($1:2014)-1))))</f>
        <v/>
      </c>
      <c r="D2026" s="68" t="str">
        <f t="shared" si="2"/>
        <v/>
      </c>
      <c r="E2026" s="65" t="str">
        <f>IF($B2026="","",VLOOKUP(MONTH(C2026),Parameters!$F$2:$G$13,2,0))</f>
        <v/>
      </c>
      <c r="F2026" s="69" t="str">
        <f>IF($B2026="","",PV-N(J2025))</f>
        <v/>
      </c>
      <c r="G2026" s="69" t="str">
        <f>IF($B2026="","",PMT(Rate,Nper,-PV,,Type))</f>
        <v/>
      </c>
      <c r="H2026" s="69" t="str">
        <f>IF($B2026="","",PPMT(Rate,ROWS($1:2014),Nper,-PV,,Type))</f>
        <v/>
      </c>
      <c r="I2026" s="69" t="str">
        <f>IF($B2026="","",IPMT(Rate,ROWS($1:2014),Nper,-PV,,Type))</f>
        <v/>
      </c>
      <c r="J2026" s="73" t="str">
        <f t="shared" ref="J2026:K2026" si="2016">IF($B2026="","",N(J2025)+N(H2026))</f>
        <v/>
      </c>
      <c r="K2026" s="74" t="str">
        <f t="shared" si="2016"/>
        <v/>
      </c>
      <c r="L2026" s="69" t="str">
        <f>IF($B2026="","",PV-J2026)</f>
        <v/>
      </c>
      <c r="M2026" s="71" t="str">
        <f>IF($B2026="","",J2026/PV)</f>
        <v/>
      </c>
      <c r="N2026" s="72" t="str">
        <f t="shared" si="4"/>
        <v/>
      </c>
    </row>
    <row r="2027" ht="14.25" customHeight="1">
      <c r="B2027" s="66" t="str">
        <f>IF(ROWS($1:2015)&lt;=Nper,ROWS($1:2015),"")</f>
        <v/>
      </c>
      <c r="C2027" s="67" t="str">
        <f>IF($B2027="","",IF($E$7="Weekly",Start_Date+7*(ROWS($1:2015)-1),EDATE(Start_Date,VLOOKUP(IF(ASTemp!$E$7="","Monthly",ASTemp!$E$7),Parameters!$B$3:$D$6,3,0)*(ROWS($1:2015)-1))))</f>
        <v/>
      </c>
      <c r="D2027" s="68" t="str">
        <f t="shared" si="2"/>
        <v/>
      </c>
      <c r="E2027" s="65" t="str">
        <f>IF($B2027="","",VLOOKUP(MONTH(C2027),Parameters!$F$2:$G$13,2,0))</f>
        <v/>
      </c>
      <c r="F2027" s="69" t="str">
        <f>IF($B2027="","",PV-N(J2026))</f>
        <v/>
      </c>
      <c r="G2027" s="69" t="str">
        <f>IF($B2027="","",PMT(Rate,Nper,-PV,,Type))</f>
        <v/>
      </c>
      <c r="H2027" s="69" t="str">
        <f>IF($B2027="","",PPMT(Rate,ROWS($1:2015),Nper,-PV,,Type))</f>
        <v/>
      </c>
      <c r="I2027" s="69" t="str">
        <f>IF($B2027="","",IPMT(Rate,ROWS($1:2015),Nper,-PV,,Type))</f>
        <v/>
      </c>
      <c r="J2027" s="73" t="str">
        <f t="shared" ref="J2027:K2027" si="2017">IF($B2027="","",N(J2026)+N(H2027))</f>
        <v/>
      </c>
      <c r="K2027" s="74" t="str">
        <f t="shared" si="2017"/>
        <v/>
      </c>
      <c r="L2027" s="69" t="str">
        <f>IF($B2027="","",PV-J2027)</f>
        <v/>
      </c>
      <c r="M2027" s="71" t="str">
        <f>IF($B2027="","",J2027/PV)</f>
        <v/>
      </c>
      <c r="N2027" s="72" t="str">
        <f t="shared" si="4"/>
        <v/>
      </c>
    </row>
    <row r="2028" ht="14.25" customHeight="1">
      <c r="B2028" s="66" t="str">
        <f>IF(ROWS($1:2016)&lt;=Nper,ROWS($1:2016),"")</f>
        <v/>
      </c>
      <c r="C2028" s="67" t="str">
        <f>IF($B2028="","",IF($E$7="Weekly",Start_Date+7*(ROWS($1:2016)-1),EDATE(Start_Date,VLOOKUP(IF(ASTemp!$E$7="","Monthly",ASTemp!$E$7),Parameters!$B$3:$D$6,3,0)*(ROWS($1:2016)-1))))</f>
        <v/>
      </c>
      <c r="D2028" s="68" t="str">
        <f t="shared" si="2"/>
        <v/>
      </c>
      <c r="E2028" s="65" t="str">
        <f>IF($B2028="","",VLOOKUP(MONTH(C2028),Parameters!$F$2:$G$13,2,0))</f>
        <v/>
      </c>
      <c r="F2028" s="69" t="str">
        <f>IF($B2028="","",PV-N(J2027))</f>
        <v/>
      </c>
      <c r="G2028" s="69" t="str">
        <f>IF($B2028="","",PMT(Rate,Nper,-PV,,Type))</f>
        <v/>
      </c>
      <c r="H2028" s="69" t="str">
        <f>IF($B2028="","",PPMT(Rate,ROWS($1:2016),Nper,-PV,,Type))</f>
        <v/>
      </c>
      <c r="I2028" s="69" t="str">
        <f>IF($B2028="","",IPMT(Rate,ROWS($1:2016),Nper,-PV,,Type))</f>
        <v/>
      </c>
      <c r="J2028" s="73" t="str">
        <f t="shared" ref="J2028:K2028" si="2018">IF($B2028="","",N(J2027)+N(H2028))</f>
        <v/>
      </c>
      <c r="K2028" s="74" t="str">
        <f t="shared" si="2018"/>
        <v/>
      </c>
      <c r="L2028" s="69" t="str">
        <f>IF($B2028="","",PV-J2028)</f>
        <v/>
      </c>
      <c r="M2028" s="71" t="str">
        <f>IF($B2028="","",J2028/PV)</f>
        <v/>
      </c>
      <c r="N2028" s="72" t="str">
        <f t="shared" si="4"/>
        <v/>
      </c>
    </row>
    <row r="2029" ht="14.25" customHeight="1">
      <c r="B2029" s="66" t="str">
        <f>IF(ROWS($1:2017)&lt;=Nper,ROWS($1:2017),"")</f>
        <v/>
      </c>
      <c r="C2029" s="67" t="str">
        <f>IF($B2029="","",IF($E$7="Weekly",Start_Date+7*(ROWS($1:2017)-1),EDATE(Start_Date,VLOOKUP(IF(ASTemp!$E$7="","Monthly",ASTemp!$E$7),Parameters!$B$3:$D$6,3,0)*(ROWS($1:2017)-1))))</f>
        <v/>
      </c>
      <c r="D2029" s="68" t="str">
        <f t="shared" si="2"/>
        <v/>
      </c>
      <c r="E2029" s="65" t="str">
        <f>IF($B2029="","",VLOOKUP(MONTH(C2029),Parameters!$F$2:$G$13,2,0))</f>
        <v/>
      </c>
      <c r="F2029" s="69" t="str">
        <f>IF($B2029="","",PV-N(J2028))</f>
        <v/>
      </c>
      <c r="G2029" s="69" t="str">
        <f>IF($B2029="","",PMT(Rate,Nper,-PV,,Type))</f>
        <v/>
      </c>
      <c r="H2029" s="69" t="str">
        <f>IF($B2029="","",PPMT(Rate,ROWS($1:2017),Nper,-PV,,Type))</f>
        <v/>
      </c>
      <c r="I2029" s="69" t="str">
        <f>IF($B2029="","",IPMT(Rate,ROWS($1:2017),Nper,-PV,,Type))</f>
        <v/>
      </c>
      <c r="J2029" s="73" t="str">
        <f t="shared" ref="J2029:K2029" si="2019">IF($B2029="","",N(J2028)+N(H2029))</f>
        <v/>
      </c>
      <c r="K2029" s="74" t="str">
        <f t="shared" si="2019"/>
        <v/>
      </c>
      <c r="L2029" s="69" t="str">
        <f>IF($B2029="","",PV-J2029)</f>
        <v/>
      </c>
      <c r="M2029" s="71" t="str">
        <f>IF($B2029="","",J2029/PV)</f>
        <v/>
      </c>
      <c r="N2029" s="72" t="str">
        <f t="shared" si="4"/>
        <v/>
      </c>
    </row>
    <row r="2030" ht="14.25" customHeight="1">
      <c r="B2030" s="66" t="str">
        <f>IF(ROWS($1:2018)&lt;=Nper,ROWS($1:2018),"")</f>
        <v/>
      </c>
      <c r="C2030" s="67" t="str">
        <f>IF($B2030="","",IF($E$7="Weekly",Start_Date+7*(ROWS($1:2018)-1),EDATE(Start_Date,VLOOKUP(IF(ASTemp!$E$7="","Monthly",ASTemp!$E$7),Parameters!$B$3:$D$6,3,0)*(ROWS($1:2018)-1))))</f>
        <v/>
      </c>
      <c r="D2030" s="68" t="str">
        <f t="shared" si="2"/>
        <v/>
      </c>
      <c r="E2030" s="65" t="str">
        <f>IF($B2030="","",VLOOKUP(MONTH(C2030),Parameters!$F$2:$G$13,2,0))</f>
        <v/>
      </c>
      <c r="F2030" s="69" t="str">
        <f>IF($B2030="","",PV-N(J2029))</f>
        <v/>
      </c>
      <c r="G2030" s="69" t="str">
        <f>IF($B2030="","",PMT(Rate,Nper,-PV,,Type))</f>
        <v/>
      </c>
      <c r="H2030" s="69" t="str">
        <f>IF($B2030="","",PPMT(Rate,ROWS($1:2018),Nper,-PV,,Type))</f>
        <v/>
      </c>
      <c r="I2030" s="69" t="str">
        <f>IF($B2030="","",IPMT(Rate,ROWS($1:2018),Nper,-PV,,Type))</f>
        <v/>
      </c>
      <c r="J2030" s="73" t="str">
        <f t="shared" ref="J2030:K2030" si="2020">IF($B2030="","",N(J2029)+N(H2030))</f>
        <v/>
      </c>
      <c r="K2030" s="74" t="str">
        <f t="shared" si="2020"/>
        <v/>
      </c>
      <c r="L2030" s="69" t="str">
        <f>IF($B2030="","",PV-J2030)</f>
        <v/>
      </c>
      <c r="M2030" s="71" t="str">
        <f>IF($B2030="","",J2030/PV)</f>
        <v/>
      </c>
      <c r="N2030" s="72" t="str">
        <f t="shared" si="4"/>
        <v/>
      </c>
    </row>
    <row r="2031" ht="14.25" customHeight="1">
      <c r="B2031" s="66" t="str">
        <f>IF(ROWS($1:2019)&lt;=Nper,ROWS($1:2019),"")</f>
        <v/>
      </c>
      <c r="C2031" s="67" t="str">
        <f>IF($B2031="","",IF($E$7="Weekly",Start_Date+7*(ROWS($1:2019)-1),EDATE(Start_Date,VLOOKUP(IF(ASTemp!$E$7="","Monthly",ASTemp!$E$7),Parameters!$B$3:$D$6,3,0)*(ROWS($1:2019)-1))))</f>
        <v/>
      </c>
      <c r="D2031" s="68" t="str">
        <f t="shared" si="2"/>
        <v/>
      </c>
      <c r="E2031" s="65" t="str">
        <f>IF($B2031="","",VLOOKUP(MONTH(C2031),Parameters!$F$2:$G$13,2,0))</f>
        <v/>
      </c>
      <c r="F2031" s="69" t="str">
        <f>IF($B2031="","",PV-N(J2030))</f>
        <v/>
      </c>
      <c r="G2031" s="69" t="str">
        <f>IF($B2031="","",PMT(Rate,Nper,-PV,,Type))</f>
        <v/>
      </c>
      <c r="H2031" s="69" t="str">
        <f>IF($B2031="","",PPMT(Rate,ROWS($1:2019),Nper,-PV,,Type))</f>
        <v/>
      </c>
      <c r="I2031" s="69" t="str">
        <f>IF($B2031="","",IPMT(Rate,ROWS($1:2019),Nper,-PV,,Type))</f>
        <v/>
      </c>
      <c r="J2031" s="73" t="str">
        <f t="shared" ref="J2031:K2031" si="2021">IF($B2031="","",N(J2030)+N(H2031))</f>
        <v/>
      </c>
      <c r="K2031" s="74" t="str">
        <f t="shared" si="2021"/>
        <v/>
      </c>
      <c r="L2031" s="69" t="str">
        <f>IF($B2031="","",PV-J2031)</f>
        <v/>
      </c>
      <c r="M2031" s="71" t="str">
        <f>IF($B2031="","",J2031/PV)</f>
        <v/>
      </c>
      <c r="N2031" s="72" t="str">
        <f t="shared" si="4"/>
        <v/>
      </c>
    </row>
    <row r="2032" ht="14.25" customHeight="1">
      <c r="B2032" s="66" t="str">
        <f>IF(ROWS($1:2020)&lt;=Nper,ROWS($1:2020),"")</f>
        <v/>
      </c>
      <c r="C2032" s="67" t="str">
        <f>IF($B2032="","",IF($E$7="Weekly",Start_Date+7*(ROWS($1:2020)-1),EDATE(Start_Date,VLOOKUP(IF(ASTemp!$E$7="","Monthly",ASTemp!$E$7),Parameters!$B$3:$D$6,3,0)*(ROWS($1:2020)-1))))</f>
        <v/>
      </c>
      <c r="D2032" s="68" t="str">
        <f t="shared" si="2"/>
        <v/>
      </c>
      <c r="E2032" s="65" t="str">
        <f>IF($B2032="","",VLOOKUP(MONTH(C2032),Parameters!$F$2:$G$13,2,0))</f>
        <v/>
      </c>
      <c r="F2032" s="69" t="str">
        <f>IF($B2032="","",PV-N(J2031))</f>
        <v/>
      </c>
      <c r="G2032" s="69" t="str">
        <f>IF($B2032="","",PMT(Rate,Nper,-PV,,Type))</f>
        <v/>
      </c>
      <c r="H2032" s="69" t="str">
        <f>IF($B2032="","",PPMT(Rate,ROWS($1:2020),Nper,-PV,,Type))</f>
        <v/>
      </c>
      <c r="I2032" s="69" t="str">
        <f>IF($B2032="","",IPMT(Rate,ROWS($1:2020),Nper,-PV,,Type))</f>
        <v/>
      </c>
      <c r="J2032" s="73" t="str">
        <f t="shared" ref="J2032:K2032" si="2022">IF($B2032="","",N(J2031)+N(H2032))</f>
        <v/>
      </c>
      <c r="K2032" s="74" t="str">
        <f t="shared" si="2022"/>
        <v/>
      </c>
      <c r="L2032" s="69" t="str">
        <f>IF($B2032="","",PV-J2032)</f>
        <v/>
      </c>
      <c r="M2032" s="71" t="str">
        <f>IF($B2032="","",J2032/PV)</f>
        <v/>
      </c>
      <c r="N2032" s="72" t="str">
        <f t="shared" si="4"/>
        <v/>
      </c>
    </row>
    <row r="2033" ht="14.25" customHeight="1">
      <c r="B2033" s="66" t="str">
        <f>IF(ROWS($1:2021)&lt;=Nper,ROWS($1:2021),"")</f>
        <v/>
      </c>
      <c r="C2033" s="67" t="str">
        <f>IF($B2033="","",IF($E$7="Weekly",Start_Date+7*(ROWS($1:2021)-1),EDATE(Start_Date,VLOOKUP(IF(ASTemp!$E$7="","Monthly",ASTemp!$E$7),Parameters!$B$3:$D$6,3,0)*(ROWS($1:2021)-1))))</f>
        <v/>
      </c>
      <c r="D2033" s="68" t="str">
        <f t="shared" si="2"/>
        <v/>
      </c>
      <c r="E2033" s="65" t="str">
        <f>IF($B2033="","",VLOOKUP(MONTH(C2033),Parameters!$F$2:$G$13,2,0))</f>
        <v/>
      </c>
      <c r="F2033" s="69" t="str">
        <f>IF($B2033="","",PV-N(J2032))</f>
        <v/>
      </c>
      <c r="G2033" s="69" t="str">
        <f>IF($B2033="","",PMT(Rate,Nper,-PV,,Type))</f>
        <v/>
      </c>
      <c r="H2033" s="69" t="str">
        <f>IF($B2033="","",PPMT(Rate,ROWS($1:2021),Nper,-PV,,Type))</f>
        <v/>
      </c>
      <c r="I2033" s="69" t="str">
        <f>IF($B2033="","",IPMT(Rate,ROWS($1:2021),Nper,-PV,,Type))</f>
        <v/>
      </c>
      <c r="J2033" s="73" t="str">
        <f t="shared" ref="J2033:K2033" si="2023">IF($B2033="","",N(J2032)+N(H2033))</f>
        <v/>
      </c>
      <c r="K2033" s="74" t="str">
        <f t="shared" si="2023"/>
        <v/>
      </c>
      <c r="L2033" s="69" t="str">
        <f>IF($B2033="","",PV-J2033)</f>
        <v/>
      </c>
      <c r="M2033" s="71" t="str">
        <f>IF($B2033="","",J2033/PV)</f>
        <v/>
      </c>
      <c r="N2033" s="72" t="str">
        <f t="shared" si="4"/>
        <v/>
      </c>
    </row>
    <row r="2034" ht="14.25" customHeight="1">
      <c r="B2034" s="66" t="str">
        <f>IF(ROWS($1:2022)&lt;=Nper,ROWS($1:2022),"")</f>
        <v/>
      </c>
      <c r="C2034" s="67" t="str">
        <f>IF($B2034="","",IF($E$7="Weekly",Start_Date+7*(ROWS($1:2022)-1),EDATE(Start_Date,VLOOKUP(IF(ASTemp!$E$7="","Monthly",ASTemp!$E$7),Parameters!$B$3:$D$6,3,0)*(ROWS($1:2022)-1))))</f>
        <v/>
      </c>
      <c r="D2034" s="68" t="str">
        <f t="shared" si="2"/>
        <v/>
      </c>
      <c r="E2034" s="65" t="str">
        <f>IF($B2034="","",VLOOKUP(MONTH(C2034),Parameters!$F$2:$G$13,2,0))</f>
        <v/>
      </c>
      <c r="F2034" s="69" t="str">
        <f>IF($B2034="","",PV-N(J2033))</f>
        <v/>
      </c>
      <c r="G2034" s="69" t="str">
        <f>IF($B2034="","",PMT(Rate,Nper,-PV,,Type))</f>
        <v/>
      </c>
      <c r="H2034" s="69" t="str">
        <f>IF($B2034="","",PPMT(Rate,ROWS($1:2022),Nper,-PV,,Type))</f>
        <v/>
      </c>
      <c r="I2034" s="69" t="str">
        <f>IF($B2034="","",IPMT(Rate,ROWS($1:2022),Nper,-PV,,Type))</f>
        <v/>
      </c>
      <c r="J2034" s="73" t="str">
        <f t="shared" ref="J2034:K2034" si="2024">IF($B2034="","",N(J2033)+N(H2034))</f>
        <v/>
      </c>
      <c r="K2034" s="74" t="str">
        <f t="shared" si="2024"/>
        <v/>
      </c>
      <c r="L2034" s="69" t="str">
        <f>IF($B2034="","",PV-J2034)</f>
        <v/>
      </c>
      <c r="M2034" s="71" t="str">
        <f>IF($B2034="","",J2034/PV)</f>
        <v/>
      </c>
      <c r="N2034" s="72" t="str">
        <f t="shared" si="4"/>
        <v/>
      </c>
    </row>
    <row r="2035" ht="14.25" customHeight="1">
      <c r="B2035" s="66" t="str">
        <f>IF(ROWS($1:2023)&lt;=Nper,ROWS($1:2023),"")</f>
        <v/>
      </c>
      <c r="C2035" s="67" t="str">
        <f>IF($B2035="","",IF($E$7="Weekly",Start_Date+7*(ROWS($1:2023)-1),EDATE(Start_Date,VLOOKUP(IF(ASTemp!$E$7="","Monthly",ASTemp!$E$7),Parameters!$B$3:$D$6,3,0)*(ROWS($1:2023)-1))))</f>
        <v/>
      </c>
      <c r="D2035" s="68" t="str">
        <f t="shared" si="2"/>
        <v/>
      </c>
      <c r="E2035" s="65" t="str">
        <f>IF($B2035="","",VLOOKUP(MONTH(C2035),Parameters!$F$2:$G$13,2,0))</f>
        <v/>
      </c>
      <c r="F2035" s="69" t="str">
        <f>IF($B2035="","",PV-N(J2034))</f>
        <v/>
      </c>
      <c r="G2035" s="69" t="str">
        <f>IF($B2035="","",PMT(Rate,Nper,-PV,,Type))</f>
        <v/>
      </c>
      <c r="H2035" s="69" t="str">
        <f>IF($B2035="","",PPMT(Rate,ROWS($1:2023),Nper,-PV,,Type))</f>
        <v/>
      </c>
      <c r="I2035" s="69" t="str">
        <f>IF($B2035="","",IPMT(Rate,ROWS($1:2023),Nper,-PV,,Type))</f>
        <v/>
      </c>
      <c r="J2035" s="73" t="str">
        <f t="shared" ref="J2035:K2035" si="2025">IF($B2035="","",N(J2034)+N(H2035))</f>
        <v/>
      </c>
      <c r="K2035" s="74" t="str">
        <f t="shared" si="2025"/>
        <v/>
      </c>
      <c r="L2035" s="69" t="str">
        <f>IF($B2035="","",PV-J2035)</f>
        <v/>
      </c>
      <c r="M2035" s="71" t="str">
        <f>IF($B2035="","",J2035/PV)</f>
        <v/>
      </c>
      <c r="N2035" s="72" t="str">
        <f t="shared" si="4"/>
        <v/>
      </c>
    </row>
    <row r="2036" ht="14.25" customHeight="1">
      <c r="B2036" s="66" t="str">
        <f>IF(ROWS($1:2024)&lt;=Nper,ROWS($1:2024),"")</f>
        <v/>
      </c>
      <c r="C2036" s="67" t="str">
        <f>IF($B2036="","",IF($E$7="Weekly",Start_Date+7*(ROWS($1:2024)-1),EDATE(Start_Date,VLOOKUP(IF(ASTemp!$E$7="","Monthly",ASTemp!$E$7),Parameters!$B$3:$D$6,3,0)*(ROWS($1:2024)-1))))</f>
        <v/>
      </c>
      <c r="D2036" s="68" t="str">
        <f t="shared" si="2"/>
        <v/>
      </c>
      <c r="E2036" s="65" t="str">
        <f>IF($B2036="","",VLOOKUP(MONTH(C2036),Parameters!$F$2:$G$13,2,0))</f>
        <v/>
      </c>
      <c r="F2036" s="69" t="str">
        <f>IF($B2036="","",PV-N(J2035))</f>
        <v/>
      </c>
      <c r="G2036" s="69" t="str">
        <f>IF($B2036="","",PMT(Rate,Nper,-PV,,Type))</f>
        <v/>
      </c>
      <c r="H2036" s="69" t="str">
        <f>IF($B2036="","",PPMT(Rate,ROWS($1:2024),Nper,-PV,,Type))</f>
        <v/>
      </c>
      <c r="I2036" s="69" t="str">
        <f>IF($B2036="","",IPMT(Rate,ROWS($1:2024),Nper,-PV,,Type))</f>
        <v/>
      </c>
      <c r="J2036" s="73" t="str">
        <f t="shared" ref="J2036:K2036" si="2026">IF($B2036="","",N(J2035)+N(H2036))</f>
        <v/>
      </c>
      <c r="K2036" s="74" t="str">
        <f t="shared" si="2026"/>
        <v/>
      </c>
      <c r="L2036" s="69" t="str">
        <f>IF($B2036="","",PV-J2036)</f>
        <v/>
      </c>
      <c r="M2036" s="71" t="str">
        <f>IF($B2036="","",J2036/PV)</f>
        <v/>
      </c>
      <c r="N2036" s="72" t="str">
        <f t="shared" si="4"/>
        <v/>
      </c>
    </row>
    <row r="2037" ht="14.25" customHeight="1">
      <c r="B2037" s="66" t="str">
        <f>IF(ROWS($1:2025)&lt;=Nper,ROWS($1:2025),"")</f>
        <v/>
      </c>
      <c r="C2037" s="67" t="str">
        <f>IF($B2037="","",IF($E$7="Weekly",Start_Date+7*(ROWS($1:2025)-1),EDATE(Start_Date,VLOOKUP(IF(ASTemp!$E$7="","Monthly",ASTemp!$E$7),Parameters!$B$3:$D$6,3,0)*(ROWS($1:2025)-1))))</f>
        <v/>
      </c>
      <c r="D2037" s="68" t="str">
        <f t="shared" si="2"/>
        <v/>
      </c>
      <c r="E2037" s="65" t="str">
        <f>IF($B2037="","",VLOOKUP(MONTH(C2037),Parameters!$F$2:$G$13,2,0))</f>
        <v/>
      </c>
      <c r="F2037" s="69" t="str">
        <f>IF($B2037="","",PV-N(J2036))</f>
        <v/>
      </c>
      <c r="G2037" s="69" t="str">
        <f>IF($B2037="","",PMT(Rate,Nper,-PV,,Type))</f>
        <v/>
      </c>
      <c r="H2037" s="69" t="str">
        <f>IF($B2037="","",PPMT(Rate,ROWS($1:2025),Nper,-PV,,Type))</f>
        <v/>
      </c>
      <c r="I2037" s="69" t="str">
        <f>IF($B2037="","",IPMT(Rate,ROWS($1:2025),Nper,-PV,,Type))</f>
        <v/>
      </c>
      <c r="J2037" s="73" t="str">
        <f t="shared" ref="J2037:K2037" si="2027">IF($B2037="","",N(J2036)+N(H2037))</f>
        <v/>
      </c>
      <c r="K2037" s="74" t="str">
        <f t="shared" si="2027"/>
        <v/>
      </c>
      <c r="L2037" s="69" t="str">
        <f>IF($B2037="","",PV-J2037)</f>
        <v/>
      </c>
      <c r="M2037" s="71" t="str">
        <f>IF($B2037="","",J2037/PV)</f>
        <v/>
      </c>
      <c r="N2037" s="72" t="str">
        <f t="shared" si="4"/>
        <v/>
      </c>
    </row>
    <row r="2038" ht="14.25" customHeight="1">
      <c r="B2038" s="66" t="str">
        <f>IF(ROWS($1:2026)&lt;=Nper,ROWS($1:2026),"")</f>
        <v/>
      </c>
      <c r="C2038" s="67" t="str">
        <f>IF($B2038="","",IF($E$7="Weekly",Start_Date+7*(ROWS($1:2026)-1),EDATE(Start_Date,VLOOKUP(IF(ASTemp!$E$7="","Monthly",ASTemp!$E$7),Parameters!$B$3:$D$6,3,0)*(ROWS($1:2026)-1))))</f>
        <v/>
      </c>
      <c r="D2038" s="68" t="str">
        <f t="shared" si="2"/>
        <v/>
      </c>
      <c r="E2038" s="65" t="str">
        <f>IF($B2038="","",VLOOKUP(MONTH(C2038),Parameters!$F$2:$G$13,2,0))</f>
        <v/>
      </c>
      <c r="F2038" s="69" t="str">
        <f>IF($B2038="","",PV-N(J2037))</f>
        <v/>
      </c>
      <c r="G2038" s="69" t="str">
        <f>IF($B2038="","",PMT(Rate,Nper,-PV,,Type))</f>
        <v/>
      </c>
      <c r="H2038" s="69" t="str">
        <f>IF($B2038="","",PPMT(Rate,ROWS($1:2026),Nper,-PV,,Type))</f>
        <v/>
      </c>
      <c r="I2038" s="69" t="str">
        <f>IF($B2038="","",IPMT(Rate,ROWS($1:2026),Nper,-PV,,Type))</f>
        <v/>
      </c>
      <c r="J2038" s="73" t="str">
        <f t="shared" ref="J2038:K2038" si="2028">IF($B2038="","",N(J2037)+N(H2038))</f>
        <v/>
      </c>
      <c r="K2038" s="74" t="str">
        <f t="shared" si="2028"/>
        <v/>
      </c>
      <c r="L2038" s="69" t="str">
        <f>IF($B2038="","",PV-J2038)</f>
        <v/>
      </c>
      <c r="M2038" s="71" t="str">
        <f>IF($B2038="","",J2038/PV)</f>
        <v/>
      </c>
      <c r="N2038" s="72" t="str">
        <f t="shared" si="4"/>
        <v/>
      </c>
    </row>
    <row r="2039" ht="14.25" customHeight="1">
      <c r="B2039" s="66" t="str">
        <f>IF(ROWS($1:2027)&lt;=Nper,ROWS($1:2027),"")</f>
        <v/>
      </c>
      <c r="C2039" s="67" t="str">
        <f>IF($B2039="","",IF($E$7="Weekly",Start_Date+7*(ROWS($1:2027)-1),EDATE(Start_Date,VLOOKUP(IF(ASTemp!$E$7="","Monthly",ASTemp!$E$7),Parameters!$B$3:$D$6,3,0)*(ROWS($1:2027)-1))))</f>
        <v/>
      </c>
      <c r="D2039" s="68" t="str">
        <f t="shared" si="2"/>
        <v/>
      </c>
      <c r="E2039" s="65" t="str">
        <f>IF($B2039="","",VLOOKUP(MONTH(C2039),Parameters!$F$2:$G$13,2,0))</f>
        <v/>
      </c>
      <c r="F2039" s="69" t="str">
        <f>IF($B2039="","",PV-N(J2038))</f>
        <v/>
      </c>
      <c r="G2039" s="69" t="str">
        <f>IF($B2039="","",PMT(Rate,Nper,-PV,,Type))</f>
        <v/>
      </c>
      <c r="H2039" s="69" t="str">
        <f>IF($B2039="","",PPMT(Rate,ROWS($1:2027),Nper,-PV,,Type))</f>
        <v/>
      </c>
      <c r="I2039" s="69" t="str">
        <f>IF($B2039="","",IPMT(Rate,ROWS($1:2027),Nper,-PV,,Type))</f>
        <v/>
      </c>
      <c r="J2039" s="73" t="str">
        <f t="shared" ref="J2039:K2039" si="2029">IF($B2039="","",N(J2038)+N(H2039))</f>
        <v/>
      </c>
      <c r="K2039" s="74" t="str">
        <f t="shared" si="2029"/>
        <v/>
      </c>
      <c r="L2039" s="69" t="str">
        <f>IF($B2039="","",PV-J2039)</f>
        <v/>
      </c>
      <c r="M2039" s="71" t="str">
        <f>IF($B2039="","",J2039/PV)</f>
        <v/>
      </c>
      <c r="N2039" s="72" t="str">
        <f t="shared" si="4"/>
        <v/>
      </c>
    </row>
    <row r="2040" ht="14.25" customHeight="1">
      <c r="B2040" s="66" t="str">
        <f>IF(ROWS($1:2028)&lt;=Nper,ROWS($1:2028),"")</f>
        <v/>
      </c>
      <c r="C2040" s="67" t="str">
        <f>IF($B2040="","",IF($E$7="Weekly",Start_Date+7*(ROWS($1:2028)-1),EDATE(Start_Date,VLOOKUP(IF(ASTemp!$E$7="","Monthly",ASTemp!$E$7),Parameters!$B$3:$D$6,3,0)*(ROWS($1:2028)-1))))</f>
        <v/>
      </c>
      <c r="D2040" s="68" t="str">
        <f t="shared" si="2"/>
        <v/>
      </c>
      <c r="E2040" s="65" t="str">
        <f>IF($B2040="","",VLOOKUP(MONTH(C2040),Parameters!$F$2:$G$13,2,0))</f>
        <v/>
      </c>
      <c r="F2040" s="69" t="str">
        <f>IF($B2040="","",PV-N(J2039))</f>
        <v/>
      </c>
      <c r="G2040" s="69" t="str">
        <f>IF($B2040="","",PMT(Rate,Nper,-PV,,Type))</f>
        <v/>
      </c>
      <c r="H2040" s="69" t="str">
        <f>IF($B2040="","",PPMT(Rate,ROWS($1:2028),Nper,-PV,,Type))</f>
        <v/>
      </c>
      <c r="I2040" s="69" t="str">
        <f>IF($B2040="","",IPMT(Rate,ROWS($1:2028),Nper,-PV,,Type))</f>
        <v/>
      </c>
      <c r="J2040" s="73" t="str">
        <f t="shared" ref="J2040:K2040" si="2030">IF($B2040="","",N(J2039)+N(H2040))</f>
        <v/>
      </c>
      <c r="K2040" s="74" t="str">
        <f t="shared" si="2030"/>
        <v/>
      </c>
      <c r="L2040" s="69" t="str">
        <f>IF($B2040="","",PV-J2040)</f>
        <v/>
      </c>
      <c r="M2040" s="71" t="str">
        <f>IF($B2040="","",J2040/PV)</f>
        <v/>
      </c>
      <c r="N2040" s="72" t="str">
        <f t="shared" si="4"/>
        <v/>
      </c>
    </row>
    <row r="2041" ht="14.25" customHeight="1">
      <c r="B2041" s="66" t="str">
        <f>IF(ROWS($1:2029)&lt;=Nper,ROWS($1:2029),"")</f>
        <v/>
      </c>
      <c r="C2041" s="67" t="str">
        <f>IF($B2041="","",IF($E$7="Weekly",Start_Date+7*(ROWS($1:2029)-1),EDATE(Start_Date,VLOOKUP(IF(ASTemp!$E$7="","Monthly",ASTemp!$E$7),Parameters!$B$3:$D$6,3,0)*(ROWS($1:2029)-1))))</f>
        <v/>
      </c>
      <c r="D2041" s="68" t="str">
        <f t="shared" si="2"/>
        <v/>
      </c>
      <c r="E2041" s="65" t="str">
        <f>IF($B2041="","",VLOOKUP(MONTH(C2041),Parameters!$F$2:$G$13,2,0))</f>
        <v/>
      </c>
      <c r="F2041" s="69" t="str">
        <f>IF($B2041="","",PV-N(J2040))</f>
        <v/>
      </c>
      <c r="G2041" s="69" t="str">
        <f>IF($B2041="","",PMT(Rate,Nper,-PV,,Type))</f>
        <v/>
      </c>
      <c r="H2041" s="69" t="str">
        <f>IF($B2041="","",PPMT(Rate,ROWS($1:2029),Nper,-PV,,Type))</f>
        <v/>
      </c>
      <c r="I2041" s="69" t="str">
        <f>IF($B2041="","",IPMT(Rate,ROWS($1:2029),Nper,-PV,,Type))</f>
        <v/>
      </c>
      <c r="J2041" s="73" t="str">
        <f t="shared" ref="J2041:K2041" si="2031">IF($B2041="","",N(J2040)+N(H2041))</f>
        <v/>
      </c>
      <c r="K2041" s="74" t="str">
        <f t="shared" si="2031"/>
        <v/>
      </c>
      <c r="L2041" s="69" t="str">
        <f>IF($B2041="","",PV-J2041)</f>
        <v/>
      </c>
      <c r="M2041" s="71" t="str">
        <f>IF($B2041="","",J2041/PV)</f>
        <v/>
      </c>
      <c r="N2041" s="72" t="str">
        <f t="shared" si="4"/>
        <v/>
      </c>
    </row>
    <row r="2042" ht="14.25" customHeight="1">
      <c r="B2042" s="66" t="str">
        <f>IF(ROWS($1:2030)&lt;=Nper,ROWS($1:2030),"")</f>
        <v/>
      </c>
      <c r="C2042" s="67" t="str">
        <f>IF($B2042="","",IF($E$7="Weekly",Start_Date+7*(ROWS($1:2030)-1),EDATE(Start_Date,VLOOKUP(IF(ASTemp!$E$7="","Monthly",ASTemp!$E$7),Parameters!$B$3:$D$6,3,0)*(ROWS($1:2030)-1))))</f>
        <v/>
      </c>
      <c r="D2042" s="68" t="str">
        <f t="shared" si="2"/>
        <v/>
      </c>
      <c r="E2042" s="65" t="str">
        <f>IF($B2042="","",VLOOKUP(MONTH(C2042),Parameters!$F$2:$G$13,2,0))</f>
        <v/>
      </c>
      <c r="F2042" s="69" t="str">
        <f>IF($B2042="","",PV-N(J2041))</f>
        <v/>
      </c>
      <c r="G2042" s="69" t="str">
        <f>IF($B2042="","",PMT(Rate,Nper,-PV,,Type))</f>
        <v/>
      </c>
      <c r="H2042" s="69" t="str">
        <f>IF($B2042="","",PPMT(Rate,ROWS($1:2030),Nper,-PV,,Type))</f>
        <v/>
      </c>
      <c r="I2042" s="69" t="str">
        <f>IF($B2042="","",IPMT(Rate,ROWS($1:2030),Nper,-PV,,Type))</f>
        <v/>
      </c>
      <c r="J2042" s="73" t="str">
        <f t="shared" ref="J2042:K2042" si="2032">IF($B2042="","",N(J2041)+N(H2042))</f>
        <v/>
      </c>
      <c r="K2042" s="74" t="str">
        <f t="shared" si="2032"/>
        <v/>
      </c>
      <c r="L2042" s="69" t="str">
        <f>IF($B2042="","",PV-J2042)</f>
        <v/>
      </c>
      <c r="M2042" s="71" t="str">
        <f>IF($B2042="","",J2042/PV)</f>
        <v/>
      </c>
      <c r="N2042" s="72" t="str">
        <f t="shared" si="4"/>
        <v/>
      </c>
    </row>
    <row r="2043" ht="14.25" customHeight="1">
      <c r="B2043" s="66" t="str">
        <f>IF(ROWS($1:2031)&lt;=Nper,ROWS($1:2031),"")</f>
        <v/>
      </c>
      <c r="C2043" s="67" t="str">
        <f>IF($B2043="","",IF($E$7="Weekly",Start_Date+7*(ROWS($1:2031)-1),EDATE(Start_Date,VLOOKUP(IF(ASTemp!$E$7="","Monthly",ASTemp!$E$7),Parameters!$B$3:$D$6,3,0)*(ROWS($1:2031)-1))))</f>
        <v/>
      </c>
      <c r="D2043" s="68" t="str">
        <f t="shared" si="2"/>
        <v/>
      </c>
      <c r="E2043" s="65" t="str">
        <f>IF($B2043="","",VLOOKUP(MONTH(C2043),Parameters!$F$2:$G$13,2,0))</f>
        <v/>
      </c>
      <c r="F2043" s="69" t="str">
        <f>IF($B2043="","",PV-N(J2042))</f>
        <v/>
      </c>
      <c r="G2043" s="69" t="str">
        <f>IF($B2043="","",PMT(Rate,Nper,-PV,,Type))</f>
        <v/>
      </c>
      <c r="H2043" s="69" t="str">
        <f>IF($B2043="","",PPMT(Rate,ROWS($1:2031),Nper,-PV,,Type))</f>
        <v/>
      </c>
      <c r="I2043" s="69" t="str">
        <f>IF($B2043="","",IPMT(Rate,ROWS($1:2031),Nper,-PV,,Type))</f>
        <v/>
      </c>
      <c r="J2043" s="73" t="str">
        <f t="shared" ref="J2043:K2043" si="2033">IF($B2043="","",N(J2042)+N(H2043))</f>
        <v/>
      </c>
      <c r="K2043" s="74" t="str">
        <f t="shared" si="2033"/>
        <v/>
      </c>
      <c r="L2043" s="69" t="str">
        <f>IF($B2043="","",PV-J2043)</f>
        <v/>
      </c>
      <c r="M2043" s="71" t="str">
        <f>IF($B2043="","",J2043/PV)</f>
        <v/>
      </c>
      <c r="N2043" s="72" t="str">
        <f t="shared" si="4"/>
        <v/>
      </c>
    </row>
    <row r="2044" ht="14.25" customHeight="1">
      <c r="B2044" s="66" t="str">
        <f>IF(ROWS($1:2032)&lt;=Nper,ROWS($1:2032),"")</f>
        <v/>
      </c>
      <c r="C2044" s="67" t="str">
        <f>IF($B2044="","",IF($E$7="Weekly",Start_Date+7*(ROWS($1:2032)-1),EDATE(Start_Date,VLOOKUP(IF(ASTemp!$E$7="","Monthly",ASTemp!$E$7),Parameters!$B$3:$D$6,3,0)*(ROWS($1:2032)-1))))</f>
        <v/>
      </c>
      <c r="D2044" s="68" t="str">
        <f t="shared" si="2"/>
        <v/>
      </c>
      <c r="E2044" s="65" t="str">
        <f>IF($B2044="","",VLOOKUP(MONTH(C2044),Parameters!$F$2:$G$13,2,0))</f>
        <v/>
      </c>
      <c r="F2044" s="69" t="str">
        <f>IF($B2044="","",PV-N(J2043))</f>
        <v/>
      </c>
      <c r="G2044" s="69" t="str">
        <f>IF($B2044="","",PMT(Rate,Nper,-PV,,Type))</f>
        <v/>
      </c>
      <c r="H2044" s="69" t="str">
        <f>IF($B2044="","",PPMT(Rate,ROWS($1:2032),Nper,-PV,,Type))</f>
        <v/>
      </c>
      <c r="I2044" s="69" t="str">
        <f>IF($B2044="","",IPMT(Rate,ROWS($1:2032),Nper,-PV,,Type))</f>
        <v/>
      </c>
      <c r="J2044" s="73" t="str">
        <f t="shared" ref="J2044:K2044" si="2034">IF($B2044="","",N(J2043)+N(H2044))</f>
        <v/>
      </c>
      <c r="K2044" s="74" t="str">
        <f t="shared" si="2034"/>
        <v/>
      </c>
      <c r="L2044" s="69" t="str">
        <f>IF($B2044="","",PV-J2044)</f>
        <v/>
      </c>
      <c r="M2044" s="71" t="str">
        <f>IF($B2044="","",J2044/PV)</f>
        <v/>
      </c>
      <c r="N2044" s="72" t="str">
        <f t="shared" si="4"/>
        <v/>
      </c>
    </row>
    <row r="2045" ht="14.25" customHeight="1">
      <c r="B2045" s="66" t="str">
        <f>IF(ROWS($1:2033)&lt;=Nper,ROWS($1:2033),"")</f>
        <v/>
      </c>
      <c r="C2045" s="67" t="str">
        <f>IF($B2045="","",IF($E$7="Weekly",Start_Date+7*(ROWS($1:2033)-1),EDATE(Start_Date,VLOOKUP(IF(ASTemp!$E$7="","Monthly",ASTemp!$E$7),Parameters!$B$3:$D$6,3,0)*(ROWS($1:2033)-1))))</f>
        <v/>
      </c>
      <c r="D2045" s="68" t="str">
        <f t="shared" si="2"/>
        <v/>
      </c>
      <c r="E2045" s="65" t="str">
        <f>IF($B2045="","",VLOOKUP(MONTH(C2045),Parameters!$F$2:$G$13,2,0))</f>
        <v/>
      </c>
      <c r="F2045" s="69" t="str">
        <f>IF($B2045="","",PV-N(J2044))</f>
        <v/>
      </c>
      <c r="G2045" s="69" t="str">
        <f>IF($B2045="","",PMT(Rate,Nper,-PV,,Type))</f>
        <v/>
      </c>
      <c r="H2045" s="69" t="str">
        <f>IF($B2045="","",PPMT(Rate,ROWS($1:2033),Nper,-PV,,Type))</f>
        <v/>
      </c>
      <c r="I2045" s="69" t="str">
        <f>IF($B2045="","",IPMT(Rate,ROWS($1:2033),Nper,-PV,,Type))</f>
        <v/>
      </c>
      <c r="J2045" s="73" t="str">
        <f t="shared" ref="J2045:K2045" si="2035">IF($B2045="","",N(J2044)+N(H2045))</f>
        <v/>
      </c>
      <c r="K2045" s="74" t="str">
        <f t="shared" si="2035"/>
        <v/>
      </c>
      <c r="L2045" s="69" t="str">
        <f>IF($B2045="","",PV-J2045)</f>
        <v/>
      </c>
      <c r="M2045" s="71" t="str">
        <f>IF($B2045="","",J2045/PV)</f>
        <v/>
      </c>
      <c r="N2045" s="72" t="str">
        <f t="shared" si="4"/>
        <v/>
      </c>
    </row>
    <row r="2046" ht="14.25" customHeight="1">
      <c r="B2046" s="66" t="str">
        <f>IF(ROWS($1:2034)&lt;=Nper,ROWS($1:2034),"")</f>
        <v/>
      </c>
      <c r="C2046" s="67" t="str">
        <f>IF($B2046="","",IF($E$7="Weekly",Start_Date+7*(ROWS($1:2034)-1),EDATE(Start_Date,VLOOKUP(IF(ASTemp!$E$7="","Monthly",ASTemp!$E$7),Parameters!$B$3:$D$6,3,0)*(ROWS($1:2034)-1))))</f>
        <v/>
      </c>
      <c r="D2046" s="68" t="str">
        <f t="shared" si="2"/>
        <v/>
      </c>
      <c r="E2046" s="65" t="str">
        <f>IF($B2046="","",VLOOKUP(MONTH(C2046),Parameters!$F$2:$G$13,2,0))</f>
        <v/>
      </c>
      <c r="F2046" s="69" t="str">
        <f>IF($B2046="","",PV-N(J2045))</f>
        <v/>
      </c>
      <c r="G2046" s="69" t="str">
        <f>IF($B2046="","",PMT(Rate,Nper,-PV,,Type))</f>
        <v/>
      </c>
      <c r="H2046" s="69" t="str">
        <f>IF($B2046="","",PPMT(Rate,ROWS($1:2034),Nper,-PV,,Type))</f>
        <v/>
      </c>
      <c r="I2046" s="69" t="str">
        <f>IF($B2046="","",IPMT(Rate,ROWS($1:2034),Nper,-PV,,Type))</f>
        <v/>
      </c>
      <c r="J2046" s="73" t="str">
        <f t="shared" ref="J2046:K2046" si="2036">IF($B2046="","",N(J2045)+N(H2046))</f>
        <v/>
      </c>
      <c r="K2046" s="74" t="str">
        <f t="shared" si="2036"/>
        <v/>
      </c>
      <c r="L2046" s="69" t="str">
        <f>IF($B2046="","",PV-J2046)</f>
        <v/>
      </c>
      <c r="M2046" s="71" t="str">
        <f>IF($B2046="","",J2046/PV)</f>
        <v/>
      </c>
      <c r="N2046" s="72" t="str">
        <f t="shared" si="4"/>
        <v/>
      </c>
    </row>
    <row r="2047" ht="14.25" customHeight="1">
      <c r="B2047" s="66" t="str">
        <f>IF(ROWS($1:2035)&lt;=Nper,ROWS($1:2035),"")</f>
        <v/>
      </c>
      <c r="C2047" s="67" t="str">
        <f>IF($B2047="","",IF($E$7="Weekly",Start_Date+7*(ROWS($1:2035)-1),EDATE(Start_Date,VLOOKUP(IF(ASTemp!$E$7="","Monthly",ASTemp!$E$7),Parameters!$B$3:$D$6,3,0)*(ROWS($1:2035)-1))))</f>
        <v/>
      </c>
      <c r="D2047" s="68" t="str">
        <f t="shared" si="2"/>
        <v/>
      </c>
      <c r="E2047" s="65" t="str">
        <f>IF($B2047="","",VLOOKUP(MONTH(C2047),Parameters!$F$2:$G$13,2,0))</f>
        <v/>
      </c>
      <c r="F2047" s="69" t="str">
        <f>IF($B2047="","",PV-N(J2046))</f>
        <v/>
      </c>
      <c r="G2047" s="69" t="str">
        <f>IF($B2047="","",PMT(Rate,Nper,-PV,,Type))</f>
        <v/>
      </c>
      <c r="H2047" s="69" t="str">
        <f>IF($B2047="","",PPMT(Rate,ROWS($1:2035),Nper,-PV,,Type))</f>
        <v/>
      </c>
      <c r="I2047" s="69" t="str">
        <f>IF($B2047="","",IPMT(Rate,ROWS($1:2035),Nper,-PV,,Type))</f>
        <v/>
      </c>
      <c r="J2047" s="73" t="str">
        <f t="shared" ref="J2047:K2047" si="2037">IF($B2047="","",N(J2046)+N(H2047))</f>
        <v/>
      </c>
      <c r="K2047" s="74" t="str">
        <f t="shared" si="2037"/>
        <v/>
      </c>
      <c r="L2047" s="69" t="str">
        <f>IF($B2047="","",PV-J2047)</f>
        <v/>
      </c>
      <c r="M2047" s="71" t="str">
        <f>IF($B2047="","",J2047/PV)</f>
        <v/>
      </c>
      <c r="N2047" s="72" t="str">
        <f t="shared" si="4"/>
        <v/>
      </c>
    </row>
    <row r="2048" ht="14.25" customHeight="1">
      <c r="B2048" s="66" t="str">
        <f>IF(ROWS($1:2036)&lt;=Nper,ROWS($1:2036),"")</f>
        <v/>
      </c>
      <c r="C2048" s="67" t="str">
        <f>IF($B2048="","",IF($E$7="Weekly",Start_Date+7*(ROWS($1:2036)-1),EDATE(Start_Date,VLOOKUP(IF(ASTemp!$E$7="","Monthly",ASTemp!$E$7),Parameters!$B$3:$D$6,3,0)*(ROWS($1:2036)-1))))</f>
        <v/>
      </c>
      <c r="D2048" s="68" t="str">
        <f t="shared" si="2"/>
        <v/>
      </c>
      <c r="E2048" s="65" t="str">
        <f>IF($B2048="","",VLOOKUP(MONTH(C2048),Parameters!$F$2:$G$13,2,0))</f>
        <v/>
      </c>
      <c r="F2048" s="69" t="str">
        <f>IF($B2048="","",PV-N(J2047))</f>
        <v/>
      </c>
      <c r="G2048" s="69" t="str">
        <f>IF($B2048="","",PMT(Rate,Nper,-PV,,Type))</f>
        <v/>
      </c>
      <c r="H2048" s="69" t="str">
        <f>IF($B2048="","",PPMT(Rate,ROWS($1:2036),Nper,-PV,,Type))</f>
        <v/>
      </c>
      <c r="I2048" s="69" t="str">
        <f>IF($B2048="","",IPMT(Rate,ROWS($1:2036),Nper,-PV,,Type))</f>
        <v/>
      </c>
      <c r="J2048" s="73" t="str">
        <f t="shared" ref="J2048:K2048" si="2038">IF($B2048="","",N(J2047)+N(H2048))</f>
        <v/>
      </c>
      <c r="K2048" s="74" t="str">
        <f t="shared" si="2038"/>
        <v/>
      </c>
      <c r="L2048" s="69" t="str">
        <f>IF($B2048="","",PV-J2048)</f>
        <v/>
      </c>
      <c r="M2048" s="71" t="str">
        <f>IF($B2048="","",J2048/PV)</f>
        <v/>
      </c>
      <c r="N2048" s="72" t="str">
        <f t="shared" si="4"/>
        <v/>
      </c>
    </row>
    <row r="2049" ht="14.25" customHeight="1">
      <c r="B2049" s="66" t="str">
        <f>IF(ROWS($1:2037)&lt;=Nper,ROWS($1:2037),"")</f>
        <v/>
      </c>
      <c r="C2049" s="67" t="str">
        <f>IF($B2049="","",IF($E$7="Weekly",Start_Date+7*(ROWS($1:2037)-1),EDATE(Start_Date,VLOOKUP(IF(ASTemp!$E$7="","Monthly",ASTemp!$E$7),Parameters!$B$3:$D$6,3,0)*(ROWS($1:2037)-1))))</f>
        <v/>
      </c>
      <c r="D2049" s="68" t="str">
        <f t="shared" si="2"/>
        <v/>
      </c>
      <c r="E2049" s="65" t="str">
        <f>IF($B2049="","",VLOOKUP(MONTH(C2049),Parameters!$F$2:$G$13,2,0))</f>
        <v/>
      </c>
      <c r="F2049" s="69" t="str">
        <f>IF($B2049="","",PV-N(J2048))</f>
        <v/>
      </c>
      <c r="G2049" s="69" t="str">
        <f>IF($B2049="","",PMT(Rate,Nper,-PV,,Type))</f>
        <v/>
      </c>
      <c r="H2049" s="69" t="str">
        <f>IF($B2049="","",PPMT(Rate,ROWS($1:2037),Nper,-PV,,Type))</f>
        <v/>
      </c>
      <c r="I2049" s="69" t="str">
        <f>IF($B2049="","",IPMT(Rate,ROWS($1:2037),Nper,-PV,,Type))</f>
        <v/>
      </c>
      <c r="J2049" s="73" t="str">
        <f t="shared" ref="J2049:K2049" si="2039">IF($B2049="","",N(J2048)+N(H2049))</f>
        <v/>
      </c>
      <c r="K2049" s="74" t="str">
        <f t="shared" si="2039"/>
        <v/>
      </c>
      <c r="L2049" s="69" t="str">
        <f>IF($B2049="","",PV-J2049)</f>
        <v/>
      </c>
      <c r="M2049" s="71" t="str">
        <f>IF($B2049="","",J2049/PV)</f>
        <v/>
      </c>
      <c r="N2049" s="72" t="str">
        <f t="shared" si="4"/>
        <v/>
      </c>
    </row>
    <row r="2050" ht="14.25" customHeight="1">
      <c r="B2050" s="66" t="str">
        <f>IF(ROWS($1:2038)&lt;=Nper,ROWS($1:2038),"")</f>
        <v/>
      </c>
      <c r="C2050" s="67" t="str">
        <f>IF($B2050="","",IF($E$7="Weekly",Start_Date+7*(ROWS($1:2038)-1),EDATE(Start_Date,VLOOKUP(IF(ASTemp!$E$7="","Monthly",ASTemp!$E$7),Parameters!$B$3:$D$6,3,0)*(ROWS($1:2038)-1))))</f>
        <v/>
      </c>
      <c r="D2050" s="68" t="str">
        <f t="shared" si="2"/>
        <v/>
      </c>
      <c r="E2050" s="65" t="str">
        <f>IF($B2050="","",VLOOKUP(MONTH(C2050),Parameters!$F$2:$G$13,2,0))</f>
        <v/>
      </c>
      <c r="F2050" s="69" t="str">
        <f>IF($B2050="","",PV-N(J2049))</f>
        <v/>
      </c>
      <c r="G2050" s="69" t="str">
        <f>IF($B2050="","",PMT(Rate,Nper,-PV,,Type))</f>
        <v/>
      </c>
      <c r="H2050" s="69" t="str">
        <f>IF($B2050="","",PPMT(Rate,ROWS($1:2038),Nper,-PV,,Type))</f>
        <v/>
      </c>
      <c r="I2050" s="69" t="str">
        <f>IF($B2050="","",IPMT(Rate,ROWS($1:2038),Nper,-PV,,Type))</f>
        <v/>
      </c>
      <c r="J2050" s="73" t="str">
        <f t="shared" ref="J2050:K2050" si="2040">IF($B2050="","",N(J2049)+N(H2050))</f>
        <v/>
      </c>
      <c r="K2050" s="74" t="str">
        <f t="shared" si="2040"/>
        <v/>
      </c>
      <c r="L2050" s="69" t="str">
        <f>IF($B2050="","",PV-J2050)</f>
        <v/>
      </c>
      <c r="M2050" s="71" t="str">
        <f>IF($B2050="","",J2050/PV)</f>
        <v/>
      </c>
      <c r="N2050" s="72" t="str">
        <f t="shared" si="4"/>
        <v/>
      </c>
    </row>
    <row r="2051" ht="14.25" customHeight="1">
      <c r="B2051" s="66" t="str">
        <f>IF(ROWS($1:2039)&lt;=Nper,ROWS($1:2039),"")</f>
        <v/>
      </c>
      <c r="C2051" s="67" t="str">
        <f>IF($B2051="","",IF($E$7="Weekly",Start_Date+7*(ROWS($1:2039)-1),EDATE(Start_Date,VLOOKUP(IF(ASTemp!$E$7="","Monthly",ASTemp!$E$7),Parameters!$B$3:$D$6,3,0)*(ROWS($1:2039)-1))))</f>
        <v/>
      </c>
      <c r="D2051" s="68" t="str">
        <f t="shared" si="2"/>
        <v/>
      </c>
      <c r="E2051" s="65" t="str">
        <f>IF($B2051="","",VLOOKUP(MONTH(C2051),Parameters!$F$2:$G$13,2,0))</f>
        <v/>
      </c>
      <c r="F2051" s="69" t="str">
        <f>IF($B2051="","",PV-N(J2050))</f>
        <v/>
      </c>
      <c r="G2051" s="69" t="str">
        <f>IF($B2051="","",PMT(Rate,Nper,-PV,,Type))</f>
        <v/>
      </c>
      <c r="H2051" s="69" t="str">
        <f>IF($B2051="","",PPMT(Rate,ROWS($1:2039),Nper,-PV,,Type))</f>
        <v/>
      </c>
      <c r="I2051" s="69" t="str">
        <f>IF($B2051="","",IPMT(Rate,ROWS($1:2039),Nper,-PV,,Type))</f>
        <v/>
      </c>
      <c r="J2051" s="73" t="str">
        <f t="shared" ref="J2051:K2051" si="2041">IF($B2051="","",N(J2050)+N(H2051))</f>
        <v/>
      </c>
      <c r="K2051" s="74" t="str">
        <f t="shared" si="2041"/>
        <v/>
      </c>
      <c r="L2051" s="69" t="str">
        <f>IF($B2051="","",PV-J2051)</f>
        <v/>
      </c>
      <c r="M2051" s="71" t="str">
        <f>IF($B2051="","",J2051/PV)</f>
        <v/>
      </c>
      <c r="N2051" s="72" t="str">
        <f t="shared" si="4"/>
        <v/>
      </c>
    </row>
    <row r="2052" ht="14.25" customHeight="1">
      <c r="B2052" s="66" t="str">
        <f>IF(ROWS($1:2040)&lt;=Nper,ROWS($1:2040),"")</f>
        <v/>
      </c>
      <c r="C2052" s="67" t="str">
        <f>IF($B2052="","",IF($E$7="Weekly",Start_Date+7*(ROWS($1:2040)-1),EDATE(Start_Date,VLOOKUP(IF(ASTemp!$E$7="","Monthly",ASTemp!$E$7),Parameters!$B$3:$D$6,3,0)*(ROWS($1:2040)-1))))</f>
        <v/>
      </c>
      <c r="D2052" s="68" t="str">
        <f t="shared" si="2"/>
        <v/>
      </c>
      <c r="E2052" s="65" t="str">
        <f>IF($B2052="","",VLOOKUP(MONTH(C2052),Parameters!$F$2:$G$13,2,0))</f>
        <v/>
      </c>
      <c r="F2052" s="69" t="str">
        <f>IF($B2052="","",PV-N(J2051))</f>
        <v/>
      </c>
      <c r="G2052" s="69" t="str">
        <f>IF($B2052="","",PMT(Rate,Nper,-PV,,Type))</f>
        <v/>
      </c>
      <c r="H2052" s="69" t="str">
        <f>IF($B2052="","",PPMT(Rate,ROWS($1:2040),Nper,-PV,,Type))</f>
        <v/>
      </c>
      <c r="I2052" s="69" t="str">
        <f>IF($B2052="","",IPMT(Rate,ROWS($1:2040),Nper,-PV,,Type))</f>
        <v/>
      </c>
      <c r="J2052" s="73" t="str">
        <f t="shared" ref="J2052:K2052" si="2042">IF($B2052="","",N(J2051)+N(H2052))</f>
        <v/>
      </c>
      <c r="K2052" s="74" t="str">
        <f t="shared" si="2042"/>
        <v/>
      </c>
      <c r="L2052" s="69" t="str">
        <f>IF($B2052="","",PV-J2052)</f>
        <v/>
      </c>
      <c r="M2052" s="71" t="str">
        <f>IF($B2052="","",J2052/PV)</f>
        <v/>
      </c>
      <c r="N2052" s="72" t="str">
        <f t="shared" si="4"/>
        <v/>
      </c>
    </row>
    <row r="2053" ht="14.25" customHeight="1">
      <c r="B2053" s="66" t="str">
        <f>IF(ROWS($1:2041)&lt;=Nper,ROWS($1:2041),"")</f>
        <v/>
      </c>
      <c r="C2053" s="67" t="str">
        <f>IF($B2053="","",IF($E$7="Weekly",Start_Date+7*(ROWS($1:2041)-1),EDATE(Start_Date,VLOOKUP(IF(ASTemp!$E$7="","Monthly",ASTemp!$E$7),Parameters!$B$3:$D$6,3,0)*(ROWS($1:2041)-1))))</f>
        <v/>
      </c>
      <c r="D2053" s="68" t="str">
        <f t="shared" si="2"/>
        <v/>
      </c>
      <c r="E2053" s="65" t="str">
        <f>IF($B2053="","",VLOOKUP(MONTH(C2053),Parameters!$F$2:$G$13,2,0))</f>
        <v/>
      </c>
      <c r="F2053" s="69" t="str">
        <f>IF($B2053="","",PV-N(J2052))</f>
        <v/>
      </c>
      <c r="G2053" s="69" t="str">
        <f>IF($B2053="","",PMT(Rate,Nper,-PV,,Type))</f>
        <v/>
      </c>
      <c r="H2053" s="69" t="str">
        <f>IF($B2053="","",PPMT(Rate,ROWS($1:2041),Nper,-PV,,Type))</f>
        <v/>
      </c>
      <c r="I2053" s="69" t="str">
        <f>IF($B2053="","",IPMT(Rate,ROWS($1:2041),Nper,-PV,,Type))</f>
        <v/>
      </c>
      <c r="J2053" s="73" t="str">
        <f t="shared" ref="J2053:K2053" si="2043">IF($B2053="","",N(J2052)+N(H2053))</f>
        <v/>
      </c>
      <c r="K2053" s="74" t="str">
        <f t="shared" si="2043"/>
        <v/>
      </c>
      <c r="L2053" s="69" t="str">
        <f>IF($B2053="","",PV-J2053)</f>
        <v/>
      </c>
      <c r="M2053" s="71" t="str">
        <f>IF($B2053="","",J2053/PV)</f>
        <v/>
      </c>
      <c r="N2053" s="72" t="str">
        <f t="shared" si="4"/>
        <v/>
      </c>
    </row>
    <row r="2054" ht="14.25" customHeight="1">
      <c r="B2054" s="66" t="str">
        <f>IF(ROWS($1:2042)&lt;=Nper,ROWS($1:2042),"")</f>
        <v/>
      </c>
      <c r="C2054" s="67" t="str">
        <f>IF($B2054="","",IF($E$7="Weekly",Start_Date+7*(ROWS($1:2042)-1),EDATE(Start_Date,VLOOKUP(IF(ASTemp!$E$7="","Monthly",ASTemp!$E$7),Parameters!$B$3:$D$6,3,0)*(ROWS($1:2042)-1))))</f>
        <v/>
      </c>
      <c r="D2054" s="68" t="str">
        <f t="shared" si="2"/>
        <v/>
      </c>
      <c r="E2054" s="65" t="str">
        <f>IF($B2054="","",VLOOKUP(MONTH(C2054),Parameters!$F$2:$G$13,2,0))</f>
        <v/>
      </c>
      <c r="F2054" s="69" t="str">
        <f>IF($B2054="","",PV-N(J2053))</f>
        <v/>
      </c>
      <c r="G2054" s="69" t="str">
        <f>IF($B2054="","",PMT(Rate,Nper,-PV,,Type))</f>
        <v/>
      </c>
      <c r="H2054" s="69" t="str">
        <f>IF($B2054="","",PPMT(Rate,ROWS($1:2042),Nper,-PV,,Type))</f>
        <v/>
      </c>
      <c r="I2054" s="69" t="str">
        <f>IF($B2054="","",IPMT(Rate,ROWS($1:2042),Nper,-PV,,Type))</f>
        <v/>
      </c>
      <c r="J2054" s="73" t="str">
        <f t="shared" ref="J2054:K2054" si="2044">IF($B2054="","",N(J2053)+N(H2054))</f>
        <v/>
      </c>
      <c r="K2054" s="74" t="str">
        <f t="shared" si="2044"/>
        <v/>
      </c>
      <c r="L2054" s="69" t="str">
        <f>IF($B2054="","",PV-J2054)</f>
        <v/>
      </c>
      <c r="M2054" s="71" t="str">
        <f>IF($B2054="","",J2054/PV)</f>
        <v/>
      </c>
      <c r="N2054" s="72" t="str">
        <f t="shared" si="4"/>
        <v/>
      </c>
    </row>
    <row r="2055" ht="14.25" customHeight="1">
      <c r="B2055" s="66" t="str">
        <f>IF(ROWS($1:2043)&lt;=Nper,ROWS($1:2043),"")</f>
        <v/>
      </c>
      <c r="C2055" s="67" t="str">
        <f>IF($B2055="","",IF($E$7="Weekly",Start_Date+7*(ROWS($1:2043)-1),EDATE(Start_Date,VLOOKUP(IF(ASTemp!$E$7="","Monthly",ASTemp!$E$7),Parameters!$B$3:$D$6,3,0)*(ROWS($1:2043)-1))))</f>
        <v/>
      </c>
      <c r="D2055" s="68" t="str">
        <f t="shared" si="2"/>
        <v/>
      </c>
      <c r="E2055" s="65" t="str">
        <f>IF($B2055="","",VLOOKUP(MONTH(C2055),Parameters!$F$2:$G$13,2,0))</f>
        <v/>
      </c>
      <c r="F2055" s="69" t="str">
        <f>IF($B2055="","",PV-N(J2054))</f>
        <v/>
      </c>
      <c r="G2055" s="69" t="str">
        <f>IF($B2055="","",PMT(Rate,Nper,-PV,,Type))</f>
        <v/>
      </c>
      <c r="H2055" s="69" t="str">
        <f>IF($B2055="","",PPMT(Rate,ROWS($1:2043),Nper,-PV,,Type))</f>
        <v/>
      </c>
      <c r="I2055" s="69" t="str">
        <f>IF($B2055="","",IPMT(Rate,ROWS($1:2043),Nper,-PV,,Type))</f>
        <v/>
      </c>
      <c r="J2055" s="73" t="str">
        <f t="shared" ref="J2055:K2055" si="2045">IF($B2055="","",N(J2054)+N(H2055))</f>
        <v/>
      </c>
      <c r="K2055" s="74" t="str">
        <f t="shared" si="2045"/>
        <v/>
      </c>
      <c r="L2055" s="69" t="str">
        <f>IF($B2055="","",PV-J2055)</f>
        <v/>
      </c>
      <c r="M2055" s="71" t="str">
        <f>IF($B2055="","",J2055/PV)</f>
        <v/>
      </c>
      <c r="N2055" s="72" t="str">
        <f t="shared" si="4"/>
        <v/>
      </c>
    </row>
    <row r="2056" ht="14.25" customHeight="1">
      <c r="B2056" s="66" t="str">
        <f>IF(ROWS($1:2044)&lt;=Nper,ROWS($1:2044),"")</f>
        <v/>
      </c>
      <c r="C2056" s="67" t="str">
        <f>IF($B2056="","",IF($E$7="Weekly",Start_Date+7*(ROWS($1:2044)-1),EDATE(Start_Date,VLOOKUP(IF(ASTemp!$E$7="","Monthly",ASTemp!$E$7),Parameters!$B$3:$D$6,3,0)*(ROWS($1:2044)-1))))</f>
        <v/>
      </c>
      <c r="D2056" s="68" t="str">
        <f t="shared" si="2"/>
        <v/>
      </c>
      <c r="E2056" s="65" t="str">
        <f>IF($B2056="","",VLOOKUP(MONTH(C2056),Parameters!$F$2:$G$13,2,0))</f>
        <v/>
      </c>
      <c r="F2056" s="69" t="str">
        <f>IF($B2056="","",PV-N(J2055))</f>
        <v/>
      </c>
      <c r="G2056" s="69" t="str">
        <f>IF($B2056="","",PMT(Rate,Nper,-PV,,Type))</f>
        <v/>
      </c>
      <c r="H2056" s="69" t="str">
        <f>IF($B2056="","",PPMT(Rate,ROWS($1:2044),Nper,-PV,,Type))</f>
        <v/>
      </c>
      <c r="I2056" s="69" t="str">
        <f>IF($B2056="","",IPMT(Rate,ROWS($1:2044),Nper,-PV,,Type))</f>
        <v/>
      </c>
      <c r="J2056" s="73" t="str">
        <f t="shared" ref="J2056:K2056" si="2046">IF($B2056="","",N(J2055)+N(H2056))</f>
        <v/>
      </c>
      <c r="K2056" s="74" t="str">
        <f t="shared" si="2046"/>
        <v/>
      </c>
      <c r="L2056" s="69" t="str">
        <f>IF($B2056="","",PV-J2056)</f>
        <v/>
      </c>
      <c r="M2056" s="71" t="str">
        <f>IF($B2056="","",J2056/PV)</f>
        <v/>
      </c>
      <c r="N2056" s="72" t="str">
        <f t="shared" si="4"/>
        <v/>
      </c>
    </row>
    <row r="2057" ht="14.25" customHeight="1">
      <c r="B2057" s="66" t="str">
        <f>IF(ROWS($1:2045)&lt;=Nper,ROWS($1:2045),"")</f>
        <v/>
      </c>
      <c r="C2057" s="67" t="str">
        <f>IF($B2057="","",IF($E$7="Weekly",Start_Date+7*(ROWS($1:2045)-1),EDATE(Start_Date,VLOOKUP(IF(ASTemp!$E$7="","Monthly",ASTemp!$E$7),Parameters!$B$3:$D$6,3,0)*(ROWS($1:2045)-1))))</f>
        <v/>
      </c>
      <c r="D2057" s="68" t="str">
        <f t="shared" si="2"/>
        <v/>
      </c>
      <c r="E2057" s="65" t="str">
        <f>IF($B2057="","",VLOOKUP(MONTH(C2057),Parameters!$F$2:$G$13,2,0))</f>
        <v/>
      </c>
      <c r="F2057" s="69" t="str">
        <f>IF($B2057="","",PV-N(J2056))</f>
        <v/>
      </c>
      <c r="G2057" s="69" t="str">
        <f>IF($B2057="","",PMT(Rate,Nper,-PV,,Type))</f>
        <v/>
      </c>
      <c r="H2057" s="69" t="str">
        <f>IF($B2057="","",PPMT(Rate,ROWS($1:2045),Nper,-PV,,Type))</f>
        <v/>
      </c>
      <c r="I2057" s="69" t="str">
        <f>IF($B2057="","",IPMT(Rate,ROWS($1:2045),Nper,-PV,,Type))</f>
        <v/>
      </c>
      <c r="J2057" s="73" t="str">
        <f t="shared" ref="J2057:K2057" si="2047">IF($B2057="","",N(J2056)+N(H2057))</f>
        <v/>
      </c>
      <c r="K2057" s="74" t="str">
        <f t="shared" si="2047"/>
        <v/>
      </c>
      <c r="L2057" s="69" t="str">
        <f>IF($B2057="","",PV-J2057)</f>
        <v/>
      </c>
      <c r="M2057" s="71" t="str">
        <f>IF($B2057="","",J2057/PV)</f>
        <v/>
      </c>
      <c r="N2057" s="72" t="str">
        <f t="shared" si="4"/>
        <v/>
      </c>
    </row>
    <row r="2058" ht="14.25" customHeight="1">
      <c r="B2058" s="66" t="str">
        <f>IF(ROWS($1:2046)&lt;=Nper,ROWS($1:2046),"")</f>
        <v/>
      </c>
      <c r="C2058" s="67" t="str">
        <f>IF($B2058="","",IF($E$7="Weekly",Start_Date+7*(ROWS($1:2046)-1),EDATE(Start_Date,VLOOKUP(IF(ASTemp!$E$7="","Monthly",ASTemp!$E$7),Parameters!$B$3:$D$6,3,0)*(ROWS($1:2046)-1))))</f>
        <v/>
      </c>
      <c r="D2058" s="68" t="str">
        <f t="shared" si="2"/>
        <v/>
      </c>
      <c r="E2058" s="65" t="str">
        <f>IF($B2058="","",VLOOKUP(MONTH(C2058),Parameters!$F$2:$G$13,2,0))</f>
        <v/>
      </c>
      <c r="F2058" s="69" t="str">
        <f>IF($B2058="","",PV-N(J2057))</f>
        <v/>
      </c>
      <c r="G2058" s="69" t="str">
        <f>IF($B2058="","",PMT(Rate,Nper,-PV,,Type))</f>
        <v/>
      </c>
      <c r="H2058" s="69" t="str">
        <f>IF($B2058="","",PPMT(Rate,ROWS($1:2046),Nper,-PV,,Type))</f>
        <v/>
      </c>
      <c r="I2058" s="69" t="str">
        <f>IF($B2058="","",IPMT(Rate,ROWS($1:2046),Nper,-PV,,Type))</f>
        <v/>
      </c>
      <c r="J2058" s="73" t="str">
        <f t="shared" ref="J2058:K2058" si="2048">IF($B2058="","",N(J2057)+N(H2058))</f>
        <v/>
      </c>
      <c r="K2058" s="74" t="str">
        <f t="shared" si="2048"/>
        <v/>
      </c>
      <c r="L2058" s="69" t="str">
        <f>IF($B2058="","",PV-J2058)</f>
        <v/>
      </c>
      <c r="M2058" s="71" t="str">
        <f>IF($B2058="","",J2058/PV)</f>
        <v/>
      </c>
      <c r="N2058" s="72" t="str">
        <f t="shared" si="4"/>
        <v/>
      </c>
    </row>
    <row r="2059" ht="14.25" customHeight="1">
      <c r="B2059" s="66" t="str">
        <f>IF(ROWS($1:2047)&lt;=Nper,ROWS($1:2047),"")</f>
        <v/>
      </c>
      <c r="C2059" s="67" t="str">
        <f>IF($B2059="","",IF($E$7="Weekly",Start_Date+7*(ROWS($1:2047)-1),EDATE(Start_Date,VLOOKUP(IF(ASTemp!$E$7="","Monthly",ASTemp!$E$7),Parameters!$B$3:$D$6,3,0)*(ROWS($1:2047)-1))))</f>
        <v/>
      </c>
      <c r="D2059" s="68" t="str">
        <f t="shared" si="2"/>
        <v/>
      </c>
      <c r="E2059" s="65" t="str">
        <f>IF($B2059="","",VLOOKUP(MONTH(C2059),Parameters!$F$2:$G$13,2,0))</f>
        <v/>
      </c>
      <c r="F2059" s="69" t="str">
        <f>IF($B2059="","",PV-N(J2058))</f>
        <v/>
      </c>
      <c r="G2059" s="69" t="str">
        <f>IF($B2059="","",PMT(Rate,Nper,-PV,,Type))</f>
        <v/>
      </c>
      <c r="H2059" s="69" t="str">
        <f>IF($B2059="","",PPMT(Rate,ROWS($1:2047),Nper,-PV,,Type))</f>
        <v/>
      </c>
      <c r="I2059" s="69" t="str">
        <f>IF($B2059="","",IPMT(Rate,ROWS($1:2047),Nper,-PV,,Type))</f>
        <v/>
      </c>
      <c r="J2059" s="73" t="str">
        <f t="shared" ref="J2059:K2059" si="2049">IF($B2059="","",N(J2058)+N(H2059))</f>
        <v/>
      </c>
      <c r="K2059" s="74" t="str">
        <f t="shared" si="2049"/>
        <v/>
      </c>
      <c r="L2059" s="69" t="str">
        <f>IF($B2059="","",PV-J2059)</f>
        <v/>
      </c>
      <c r="M2059" s="71" t="str">
        <f>IF($B2059="","",J2059/PV)</f>
        <v/>
      </c>
      <c r="N2059" s="72" t="str">
        <f t="shared" si="4"/>
        <v/>
      </c>
    </row>
    <row r="2060" ht="14.25" customHeight="1">
      <c r="B2060" s="66" t="str">
        <f>IF(ROWS($1:2048)&lt;=Nper,ROWS($1:2048),"")</f>
        <v/>
      </c>
      <c r="C2060" s="67" t="str">
        <f>IF($B2060="","",IF($E$7="Weekly",Start_Date+7*(ROWS($1:2048)-1),EDATE(Start_Date,VLOOKUP(IF(ASTemp!$E$7="","Monthly",ASTemp!$E$7),Parameters!$B$3:$D$6,3,0)*(ROWS($1:2048)-1))))</f>
        <v/>
      </c>
      <c r="D2060" s="68" t="str">
        <f t="shared" si="2"/>
        <v/>
      </c>
      <c r="E2060" s="65" t="str">
        <f>IF($B2060="","",VLOOKUP(MONTH(C2060),Parameters!$F$2:$G$13,2,0))</f>
        <v/>
      </c>
      <c r="F2060" s="69" t="str">
        <f>IF($B2060="","",PV-N(J2059))</f>
        <v/>
      </c>
      <c r="G2060" s="69" t="str">
        <f>IF($B2060="","",PMT(Rate,Nper,-PV,,Type))</f>
        <v/>
      </c>
      <c r="H2060" s="69" t="str">
        <f>IF($B2060="","",PPMT(Rate,ROWS($1:2048),Nper,-PV,,Type))</f>
        <v/>
      </c>
      <c r="I2060" s="69" t="str">
        <f>IF($B2060="","",IPMT(Rate,ROWS($1:2048),Nper,-PV,,Type))</f>
        <v/>
      </c>
      <c r="J2060" s="73" t="str">
        <f t="shared" ref="J2060:K2060" si="2050">IF($B2060="","",N(J2059)+N(H2060))</f>
        <v/>
      </c>
      <c r="K2060" s="74" t="str">
        <f t="shared" si="2050"/>
        <v/>
      </c>
      <c r="L2060" s="69" t="str">
        <f>IF($B2060="","",PV-J2060)</f>
        <v/>
      </c>
      <c r="M2060" s="71" t="str">
        <f>IF($B2060="","",J2060/PV)</f>
        <v/>
      </c>
      <c r="N2060" s="72" t="str">
        <f t="shared" si="4"/>
        <v/>
      </c>
    </row>
    <row r="2061" ht="14.25" customHeight="1">
      <c r="B2061" s="66" t="str">
        <f>IF(ROWS($1:2049)&lt;=Nper,ROWS($1:2049),"")</f>
        <v/>
      </c>
      <c r="C2061" s="67" t="str">
        <f>IF($B2061="","",IF($E$7="Weekly",Start_Date+7*(ROWS($1:2049)-1),EDATE(Start_Date,VLOOKUP(IF(ASTemp!$E$7="","Monthly",ASTemp!$E$7),Parameters!$B$3:$D$6,3,0)*(ROWS($1:2049)-1))))</f>
        <v/>
      </c>
      <c r="D2061" s="68" t="str">
        <f t="shared" si="2"/>
        <v/>
      </c>
      <c r="E2061" s="65" t="str">
        <f>IF($B2061="","",VLOOKUP(MONTH(C2061),Parameters!$F$2:$G$13,2,0))</f>
        <v/>
      </c>
      <c r="F2061" s="69" t="str">
        <f>IF($B2061="","",PV-N(J2060))</f>
        <v/>
      </c>
      <c r="G2061" s="69" t="str">
        <f>IF($B2061="","",PMT(Rate,Nper,-PV,,Type))</f>
        <v/>
      </c>
      <c r="H2061" s="69" t="str">
        <f>IF($B2061="","",PPMT(Rate,ROWS($1:2049),Nper,-PV,,Type))</f>
        <v/>
      </c>
      <c r="I2061" s="69" t="str">
        <f>IF($B2061="","",IPMT(Rate,ROWS($1:2049),Nper,-PV,,Type))</f>
        <v/>
      </c>
      <c r="J2061" s="73" t="str">
        <f t="shared" ref="J2061:K2061" si="2051">IF($B2061="","",N(J2060)+N(H2061))</f>
        <v/>
      </c>
      <c r="K2061" s="74" t="str">
        <f t="shared" si="2051"/>
        <v/>
      </c>
      <c r="L2061" s="69" t="str">
        <f>IF($B2061="","",PV-J2061)</f>
        <v/>
      </c>
      <c r="M2061" s="71" t="str">
        <f>IF($B2061="","",J2061/PV)</f>
        <v/>
      </c>
      <c r="N2061" s="72" t="str">
        <f t="shared" si="4"/>
        <v/>
      </c>
    </row>
    <row r="2062" ht="14.25" customHeight="1">
      <c r="B2062" s="66" t="str">
        <f>IF(ROWS($1:2050)&lt;=Nper,ROWS($1:2050),"")</f>
        <v/>
      </c>
      <c r="C2062" s="67" t="str">
        <f>IF($B2062="","",IF($E$7="Weekly",Start_Date+7*(ROWS($1:2050)-1),EDATE(Start_Date,VLOOKUP(IF(ASTemp!$E$7="","Monthly",ASTemp!$E$7),Parameters!$B$3:$D$6,3,0)*(ROWS($1:2050)-1))))</f>
        <v/>
      </c>
      <c r="D2062" s="68" t="str">
        <f t="shared" si="2"/>
        <v/>
      </c>
      <c r="E2062" s="65" t="str">
        <f>IF($B2062="","",VLOOKUP(MONTH(C2062),Parameters!$F$2:$G$13,2,0))</f>
        <v/>
      </c>
      <c r="F2062" s="69" t="str">
        <f>IF($B2062="","",PV-N(J2061))</f>
        <v/>
      </c>
      <c r="G2062" s="69" t="str">
        <f>IF($B2062="","",PMT(Rate,Nper,-PV,,Type))</f>
        <v/>
      </c>
      <c r="H2062" s="69" t="str">
        <f>IF($B2062="","",PPMT(Rate,ROWS($1:2050),Nper,-PV,,Type))</f>
        <v/>
      </c>
      <c r="I2062" s="69" t="str">
        <f>IF($B2062="","",IPMT(Rate,ROWS($1:2050),Nper,-PV,,Type))</f>
        <v/>
      </c>
      <c r="J2062" s="73" t="str">
        <f t="shared" ref="J2062:K2062" si="2052">IF($B2062="","",N(J2061)+N(H2062))</f>
        <v/>
      </c>
      <c r="K2062" s="74" t="str">
        <f t="shared" si="2052"/>
        <v/>
      </c>
      <c r="L2062" s="69" t="str">
        <f>IF($B2062="","",PV-J2062)</f>
        <v/>
      </c>
      <c r="M2062" s="71" t="str">
        <f>IF($B2062="","",J2062/PV)</f>
        <v/>
      </c>
      <c r="N2062" s="72" t="str">
        <f t="shared" si="4"/>
        <v/>
      </c>
    </row>
    <row r="2063" ht="14.25" customHeight="1">
      <c r="B2063" s="66" t="str">
        <f>IF(ROWS($1:2051)&lt;=Nper,ROWS($1:2051),"")</f>
        <v/>
      </c>
      <c r="C2063" s="67" t="str">
        <f>IF($B2063="","",IF($E$7="Weekly",Start_Date+7*(ROWS($1:2051)-1),EDATE(Start_Date,VLOOKUP(IF(ASTemp!$E$7="","Monthly",ASTemp!$E$7),Parameters!$B$3:$D$6,3,0)*(ROWS($1:2051)-1))))</f>
        <v/>
      </c>
      <c r="D2063" s="68" t="str">
        <f t="shared" si="2"/>
        <v/>
      </c>
      <c r="E2063" s="65" t="str">
        <f>IF($B2063="","",VLOOKUP(MONTH(C2063),Parameters!$F$2:$G$13,2,0))</f>
        <v/>
      </c>
      <c r="F2063" s="69" t="str">
        <f>IF($B2063="","",PV-N(J2062))</f>
        <v/>
      </c>
      <c r="G2063" s="69" t="str">
        <f>IF($B2063="","",PMT(Rate,Nper,-PV,,Type))</f>
        <v/>
      </c>
      <c r="H2063" s="69" t="str">
        <f>IF($B2063="","",PPMT(Rate,ROWS($1:2051),Nper,-PV,,Type))</f>
        <v/>
      </c>
      <c r="I2063" s="69" t="str">
        <f>IF($B2063="","",IPMT(Rate,ROWS($1:2051),Nper,-PV,,Type))</f>
        <v/>
      </c>
      <c r="J2063" s="73" t="str">
        <f t="shared" ref="J2063:K2063" si="2053">IF($B2063="","",N(J2062)+N(H2063))</f>
        <v/>
      </c>
      <c r="K2063" s="74" t="str">
        <f t="shared" si="2053"/>
        <v/>
      </c>
      <c r="L2063" s="69" t="str">
        <f>IF($B2063="","",PV-J2063)</f>
        <v/>
      </c>
      <c r="M2063" s="71" t="str">
        <f>IF($B2063="","",J2063/PV)</f>
        <v/>
      </c>
      <c r="N2063" s="72" t="str">
        <f t="shared" si="4"/>
        <v/>
      </c>
    </row>
    <row r="2064" ht="14.25" customHeight="1">
      <c r="B2064" s="66" t="str">
        <f>IF(ROWS($1:2052)&lt;=Nper,ROWS($1:2052),"")</f>
        <v/>
      </c>
      <c r="C2064" s="67" t="str">
        <f>IF($B2064="","",IF($E$7="Weekly",Start_Date+7*(ROWS($1:2052)-1),EDATE(Start_Date,VLOOKUP(IF(ASTemp!$E$7="","Monthly",ASTemp!$E$7),Parameters!$B$3:$D$6,3,0)*(ROWS($1:2052)-1))))</f>
        <v/>
      </c>
      <c r="D2064" s="68" t="str">
        <f t="shared" si="2"/>
        <v/>
      </c>
      <c r="E2064" s="65" t="str">
        <f>IF($B2064="","",VLOOKUP(MONTH(C2064),Parameters!$F$2:$G$13,2,0))</f>
        <v/>
      </c>
      <c r="F2064" s="69" t="str">
        <f>IF($B2064="","",PV-N(J2063))</f>
        <v/>
      </c>
      <c r="G2064" s="69" t="str">
        <f>IF($B2064="","",PMT(Rate,Nper,-PV,,Type))</f>
        <v/>
      </c>
      <c r="H2064" s="69" t="str">
        <f>IF($B2064="","",PPMT(Rate,ROWS($1:2052),Nper,-PV,,Type))</f>
        <v/>
      </c>
      <c r="I2064" s="69" t="str">
        <f>IF($B2064="","",IPMT(Rate,ROWS($1:2052),Nper,-PV,,Type))</f>
        <v/>
      </c>
      <c r="J2064" s="73" t="str">
        <f t="shared" ref="J2064:K2064" si="2054">IF($B2064="","",N(J2063)+N(H2064))</f>
        <v/>
      </c>
      <c r="K2064" s="74" t="str">
        <f t="shared" si="2054"/>
        <v/>
      </c>
      <c r="L2064" s="69" t="str">
        <f>IF($B2064="","",PV-J2064)</f>
        <v/>
      </c>
      <c r="M2064" s="71" t="str">
        <f>IF($B2064="","",J2064/PV)</f>
        <v/>
      </c>
      <c r="N2064" s="72" t="str">
        <f t="shared" si="4"/>
        <v/>
      </c>
    </row>
    <row r="2065" ht="14.25" customHeight="1">
      <c r="B2065" s="66" t="str">
        <f>IF(ROWS($1:2053)&lt;=Nper,ROWS($1:2053),"")</f>
        <v/>
      </c>
      <c r="C2065" s="67" t="str">
        <f>IF($B2065="","",IF($E$7="Weekly",Start_Date+7*(ROWS($1:2053)-1),EDATE(Start_Date,VLOOKUP(IF(ASTemp!$E$7="","Monthly",ASTemp!$E$7),Parameters!$B$3:$D$6,3,0)*(ROWS($1:2053)-1))))</f>
        <v/>
      </c>
      <c r="D2065" s="68" t="str">
        <f t="shared" si="2"/>
        <v/>
      </c>
      <c r="E2065" s="65" t="str">
        <f>IF($B2065="","",VLOOKUP(MONTH(C2065),Parameters!$F$2:$G$13,2,0))</f>
        <v/>
      </c>
      <c r="F2065" s="69" t="str">
        <f>IF($B2065="","",PV-N(J2064))</f>
        <v/>
      </c>
      <c r="G2065" s="69" t="str">
        <f>IF($B2065="","",PMT(Rate,Nper,-PV,,Type))</f>
        <v/>
      </c>
      <c r="H2065" s="69" t="str">
        <f>IF($B2065="","",PPMT(Rate,ROWS($1:2053),Nper,-PV,,Type))</f>
        <v/>
      </c>
      <c r="I2065" s="69" t="str">
        <f>IF($B2065="","",IPMT(Rate,ROWS($1:2053),Nper,-PV,,Type))</f>
        <v/>
      </c>
      <c r="J2065" s="73" t="str">
        <f t="shared" ref="J2065:K2065" si="2055">IF($B2065="","",N(J2064)+N(H2065))</f>
        <v/>
      </c>
      <c r="K2065" s="74" t="str">
        <f t="shared" si="2055"/>
        <v/>
      </c>
      <c r="L2065" s="69" t="str">
        <f>IF($B2065="","",PV-J2065)</f>
        <v/>
      </c>
      <c r="M2065" s="71" t="str">
        <f>IF($B2065="","",J2065/PV)</f>
        <v/>
      </c>
      <c r="N2065" s="72" t="str">
        <f t="shared" si="4"/>
        <v/>
      </c>
    </row>
    <row r="2066" ht="14.25" customHeight="1">
      <c r="B2066" s="66" t="str">
        <f>IF(ROWS($1:2054)&lt;=Nper,ROWS($1:2054),"")</f>
        <v/>
      </c>
      <c r="C2066" s="67" t="str">
        <f>IF($B2066="","",IF($E$7="Weekly",Start_Date+7*(ROWS($1:2054)-1),EDATE(Start_Date,VLOOKUP(IF(ASTemp!$E$7="","Monthly",ASTemp!$E$7),Parameters!$B$3:$D$6,3,0)*(ROWS($1:2054)-1))))</f>
        <v/>
      </c>
      <c r="D2066" s="68" t="str">
        <f t="shared" si="2"/>
        <v/>
      </c>
      <c r="E2066" s="65" t="str">
        <f>IF($B2066="","",VLOOKUP(MONTH(C2066),Parameters!$F$2:$G$13,2,0))</f>
        <v/>
      </c>
      <c r="F2066" s="69" t="str">
        <f>IF($B2066="","",PV-N(J2065))</f>
        <v/>
      </c>
      <c r="G2066" s="69" t="str">
        <f>IF($B2066="","",PMT(Rate,Nper,-PV,,Type))</f>
        <v/>
      </c>
      <c r="H2066" s="69" t="str">
        <f>IF($B2066="","",PPMT(Rate,ROWS($1:2054),Nper,-PV,,Type))</f>
        <v/>
      </c>
      <c r="I2066" s="69" t="str">
        <f>IF($B2066="","",IPMT(Rate,ROWS($1:2054),Nper,-PV,,Type))</f>
        <v/>
      </c>
      <c r="J2066" s="73" t="str">
        <f t="shared" ref="J2066:K2066" si="2056">IF($B2066="","",N(J2065)+N(H2066))</f>
        <v/>
      </c>
      <c r="K2066" s="74" t="str">
        <f t="shared" si="2056"/>
        <v/>
      </c>
      <c r="L2066" s="69" t="str">
        <f>IF($B2066="","",PV-J2066)</f>
        <v/>
      </c>
      <c r="M2066" s="71" t="str">
        <f>IF($B2066="","",J2066/PV)</f>
        <v/>
      </c>
      <c r="N2066" s="72" t="str">
        <f t="shared" si="4"/>
        <v/>
      </c>
    </row>
    <row r="2067" ht="14.25" customHeight="1">
      <c r="B2067" s="66" t="str">
        <f>IF(ROWS($1:2055)&lt;=Nper,ROWS($1:2055),"")</f>
        <v/>
      </c>
      <c r="C2067" s="67" t="str">
        <f>IF($B2067="","",IF($E$7="Weekly",Start_Date+7*(ROWS($1:2055)-1),EDATE(Start_Date,VLOOKUP(IF(ASTemp!$E$7="","Monthly",ASTemp!$E$7),Parameters!$B$3:$D$6,3,0)*(ROWS($1:2055)-1))))</f>
        <v/>
      </c>
      <c r="D2067" s="68" t="str">
        <f t="shared" si="2"/>
        <v/>
      </c>
      <c r="E2067" s="65" t="str">
        <f>IF($B2067="","",VLOOKUP(MONTH(C2067),Parameters!$F$2:$G$13,2,0))</f>
        <v/>
      </c>
      <c r="F2067" s="69" t="str">
        <f>IF($B2067="","",PV-N(J2066))</f>
        <v/>
      </c>
      <c r="G2067" s="69" t="str">
        <f>IF($B2067="","",PMT(Rate,Nper,-PV,,Type))</f>
        <v/>
      </c>
      <c r="H2067" s="69" t="str">
        <f>IF($B2067="","",PPMT(Rate,ROWS($1:2055),Nper,-PV,,Type))</f>
        <v/>
      </c>
      <c r="I2067" s="69" t="str">
        <f>IF($B2067="","",IPMT(Rate,ROWS($1:2055),Nper,-PV,,Type))</f>
        <v/>
      </c>
      <c r="J2067" s="73" t="str">
        <f t="shared" ref="J2067:K2067" si="2057">IF($B2067="","",N(J2066)+N(H2067))</f>
        <v/>
      </c>
      <c r="K2067" s="74" t="str">
        <f t="shared" si="2057"/>
        <v/>
      </c>
      <c r="L2067" s="69" t="str">
        <f>IF($B2067="","",PV-J2067)</f>
        <v/>
      </c>
      <c r="M2067" s="71" t="str">
        <f>IF($B2067="","",J2067/PV)</f>
        <v/>
      </c>
      <c r="N2067" s="72" t="str">
        <f t="shared" si="4"/>
        <v/>
      </c>
    </row>
    <row r="2068" ht="14.25" customHeight="1">
      <c r="B2068" s="66" t="str">
        <f>IF(ROWS($1:2056)&lt;=Nper,ROWS($1:2056),"")</f>
        <v/>
      </c>
      <c r="C2068" s="67" t="str">
        <f>IF($B2068="","",IF($E$7="Weekly",Start_Date+7*(ROWS($1:2056)-1),EDATE(Start_Date,VLOOKUP(IF(ASTemp!$E$7="","Monthly",ASTemp!$E$7),Parameters!$B$3:$D$6,3,0)*(ROWS($1:2056)-1))))</f>
        <v/>
      </c>
      <c r="D2068" s="68" t="str">
        <f t="shared" si="2"/>
        <v/>
      </c>
      <c r="E2068" s="65" t="str">
        <f>IF($B2068="","",VLOOKUP(MONTH(C2068),Parameters!$F$2:$G$13,2,0))</f>
        <v/>
      </c>
      <c r="F2068" s="69" t="str">
        <f>IF($B2068="","",PV-N(J2067))</f>
        <v/>
      </c>
      <c r="G2068" s="69" t="str">
        <f>IF($B2068="","",PMT(Rate,Nper,-PV,,Type))</f>
        <v/>
      </c>
      <c r="H2068" s="69" t="str">
        <f>IF($B2068="","",PPMT(Rate,ROWS($1:2056),Nper,-PV,,Type))</f>
        <v/>
      </c>
      <c r="I2068" s="69" t="str">
        <f>IF($B2068="","",IPMT(Rate,ROWS($1:2056),Nper,-PV,,Type))</f>
        <v/>
      </c>
      <c r="J2068" s="73" t="str">
        <f t="shared" ref="J2068:K2068" si="2058">IF($B2068="","",N(J2067)+N(H2068))</f>
        <v/>
      </c>
      <c r="K2068" s="74" t="str">
        <f t="shared" si="2058"/>
        <v/>
      </c>
      <c r="L2068" s="69" t="str">
        <f>IF($B2068="","",PV-J2068)</f>
        <v/>
      </c>
      <c r="M2068" s="71" t="str">
        <f>IF($B2068="","",J2068/PV)</f>
        <v/>
      </c>
      <c r="N2068" s="72" t="str">
        <f t="shared" si="4"/>
        <v/>
      </c>
    </row>
    <row r="2069" ht="14.25" customHeight="1">
      <c r="B2069" s="66" t="str">
        <f>IF(ROWS($1:2057)&lt;=Nper,ROWS($1:2057),"")</f>
        <v/>
      </c>
      <c r="C2069" s="67" t="str">
        <f>IF($B2069="","",IF($E$7="Weekly",Start_Date+7*(ROWS($1:2057)-1),EDATE(Start_Date,VLOOKUP(IF(ASTemp!$E$7="","Monthly",ASTemp!$E$7),Parameters!$B$3:$D$6,3,0)*(ROWS($1:2057)-1))))</f>
        <v/>
      </c>
      <c r="D2069" s="68" t="str">
        <f t="shared" si="2"/>
        <v/>
      </c>
      <c r="E2069" s="65" t="str">
        <f>IF($B2069="","",VLOOKUP(MONTH(C2069),Parameters!$F$2:$G$13,2,0))</f>
        <v/>
      </c>
      <c r="F2069" s="69" t="str">
        <f>IF($B2069="","",PV-N(J2068))</f>
        <v/>
      </c>
      <c r="G2069" s="69" t="str">
        <f>IF($B2069="","",PMT(Rate,Nper,-PV,,Type))</f>
        <v/>
      </c>
      <c r="H2069" s="69" t="str">
        <f>IF($B2069="","",PPMT(Rate,ROWS($1:2057),Nper,-PV,,Type))</f>
        <v/>
      </c>
      <c r="I2069" s="69" t="str">
        <f>IF($B2069="","",IPMT(Rate,ROWS($1:2057),Nper,-PV,,Type))</f>
        <v/>
      </c>
      <c r="J2069" s="73" t="str">
        <f t="shared" ref="J2069:K2069" si="2059">IF($B2069="","",N(J2068)+N(H2069))</f>
        <v/>
      </c>
      <c r="K2069" s="74" t="str">
        <f t="shared" si="2059"/>
        <v/>
      </c>
      <c r="L2069" s="69" t="str">
        <f>IF($B2069="","",PV-J2069)</f>
        <v/>
      </c>
      <c r="M2069" s="71" t="str">
        <f>IF($B2069="","",J2069/PV)</f>
        <v/>
      </c>
      <c r="N2069" s="72" t="str">
        <f t="shared" si="4"/>
        <v/>
      </c>
    </row>
    <row r="2070" ht="14.25" customHeight="1">
      <c r="B2070" s="66" t="str">
        <f>IF(ROWS($1:2058)&lt;=Nper,ROWS($1:2058),"")</f>
        <v/>
      </c>
      <c r="C2070" s="67" t="str">
        <f>IF($B2070="","",IF($E$7="Weekly",Start_Date+7*(ROWS($1:2058)-1),EDATE(Start_Date,VLOOKUP(IF(ASTemp!$E$7="","Monthly",ASTemp!$E$7),Parameters!$B$3:$D$6,3,0)*(ROWS($1:2058)-1))))</f>
        <v/>
      </c>
      <c r="D2070" s="68" t="str">
        <f t="shared" si="2"/>
        <v/>
      </c>
      <c r="E2070" s="65" t="str">
        <f>IF($B2070="","",VLOOKUP(MONTH(C2070),Parameters!$F$2:$G$13,2,0))</f>
        <v/>
      </c>
      <c r="F2070" s="69" t="str">
        <f>IF($B2070="","",PV-N(J2069))</f>
        <v/>
      </c>
      <c r="G2070" s="69" t="str">
        <f>IF($B2070="","",PMT(Rate,Nper,-PV,,Type))</f>
        <v/>
      </c>
      <c r="H2070" s="69" t="str">
        <f>IF($B2070="","",PPMT(Rate,ROWS($1:2058),Nper,-PV,,Type))</f>
        <v/>
      </c>
      <c r="I2070" s="69" t="str">
        <f>IF($B2070="","",IPMT(Rate,ROWS($1:2058),Nper,-PV,,Type))</f>
        <v/>
      </c>
      <c r="J2070" s="73" t="str">
        <f t="shared" ref="J2070:K2070" si="2060">IF($B2070="","",N(J2069)+N(H2070))</f>
        <v/>
      </c>
      <c r="K2070" s="74" t="str">
        <f t="shared" si="2060"/>
        <v/>
      </c>
      <c r="L2070" s="69" t="str">
        <f>IF($B2070="","",PV-J2070)</f>
        <v/>
      </c>
      <c r="M2070" s="71" t="str">
        <f>IF($B2070="","",J2070/PV)</f>
        <v/>
      </c>
      <c r="N2070" s="72" t="str">
        <f t="shared" si="4"/>
        <v/>
      </c>
    </row>
    <row r="2071" ht="14.25" customHeight="1">
      <c r="B2071" s="66" t="str">
        <f>IF(ROWS($1:2059)&lt;=Nper,ROWS($1:2059),"")</f>
        <v/>
      </c>
      <c r="C2071" s="67" t="str">
        <f>IF($B2071="","",IF($E$7="Weekly",Start_Date+7*(ROWS($1:2059)-1),EDATE(Start_Date,VLOOKUP(IF(ASTemp!$E$7="","Monthly",ASTemp!$E$7),Parameters!$B$3:$D$6,3,0)*(ROWS($1:2059)-1))))</f>
        <v/>
      </c>
      <c r="D2071" s="68" t="str">
        <f t="shared" si="2"/>
        <v/>
      </c>
      <c r="E2071" s="65" t="str">
        <f>IF($B2071="","",VLOOKUP(MONTH(C2071),Parameters!$F$2:$G$13,2,0))</f>
        <v/>
      </c>
      <c r="F2071" s="69" t="str">
        <f>IF($B2071="","",PV-N(J2070))</f>
        <v/>
      </c>
      <c r="G2071" s="69" t="str">
        <f>IF($B2071="","",PMT(Rate,Nper,-PV,,Type))</f>
        <v/>
      </c>
      <c r="H2071" s="69" t="str">
        <f>IF($B2071="","",PPMT(Rate,ROWS($1:2059),Nper,-PV,,Type))</f>
        <v/>
      </c>
      <c r="I2071" s="69" t="str">
        <f>IF($B2071="","",IPMT(Rate,ROWS($1:2059),Nper,-PV,,Type))</f>
        <v/>
      </c>
      <c r="J2071" s="73" t="str">
        <f t="shared" ref="J2071:K2071" si="2061">IF($B2071="","",N(J2070)+N(H2071))</f>
        <v/>
      </c>
      <c r="K2071" s="74" t="str">
        <f t="shared" si="2061"/>
        <v/>
      </c>
      <c r="L2071" s="69" t="str">
        <f>IF($B2071="","",PV-J2071)</f>
        <v/>
      </c>
      <c r="M2071" s="71" t="str">
        <f>IF($B2071="","",J2071/PV)</f>
        <v/>
      </c>
      <c r="N2071" s="72" t="str">
        <f t="shared" si="4"/>
        <v/>
      </c>
    </row>
    <row r="2072" ht="14.25" customHeight="1">
      <c r="B2072" s="66" t="str">
        <f>IF(ROWS($1:2060)&lt;=Nper,ROWS($1:2060),"")</f>
        <v/>
      </c>
      <c r="C2072" s="67" t="str">
        <f>IF($B2072="","",IF($E$7="Weekly",Start_Date+7*(ROWS($1:2060)-1),EDATE(Start_Date,VLOOKUP(IF(ASTemp!$E$7="","Monthly",ASTemp!$E$7),Parameters!$B$3:$D$6,3,0)*(ROWS($1:2060)-1))))</f>
        <v/>
      </c>
      <c r="D2072" s="68" t="str">
        <f t="shared" si="2"/>
        <v/>
      </c>
      <c r="E2072" s="65" t="str">
        <f>IF($B2072="","",VLOOKUP(MONTH(C2072),Parameters!$F$2:$G$13,2,0))</f>
        <v/>
      </c>
      <c r="F2072" s="69" t="str">
        <f>IF($B2072="","",PV-N(J2071))</f>
        <v/>
      </c>
      <c r="G2072" s="69" t="str">
        <f>IF($B2072="","",PMT(Rate,Nper,-PV,,Type))</f>
        <v/>
      </c>
      <c r="H2072" s="69" t="str">
        <f>IF($B2072="","",PPMT(Rate,ROWS($1:2060),Nper,-PV,,Type))</f>
        <v/>
      </c>
      <c r="I2072" s="69" t="str">
        <f>IF($B2072="","",IPMT(Rate,ROWS($1:2060),Nper,-PV,,Type))</f>
        <v/>
      </c>
      <c r="J2072" s="73" t="str">
        <f t="shared" ref="J2072:K2072" si="2062">IF($B2072="","",N(J2071)+N(H2072))</f>
        <v/>
      </c>
      <c r="K2072" s="74" t="str">
        <f t="shared" si="2062"/>
        <v/>
      </c>
      <c r="L2072" s="69" t="str">
        <f>IF($B2072="","",PV-J2072)</f>
        <v/>
      </c>
      <c r="M2072" s="71" t="str">
        <f>IF($B2072="","",J2072/PV)</f>
        <v/>
      </c>
      <c r="N2072" s="72" t="str">
        <f t="shared" si="4"/>
        <v/>
      </c>
    </row>
    <row r="2073" ht="14.25" customHeight="1">
      <c r="B2073" s="66" t="str">
        <f>IF(ROWS($1:2061)&lt;=Nper,ROWS($1:2061),"")</f>
        <v/>
      </c>
      <c r="C2073" s="67" t="str">
        <f>IF($B2073="","",IF($E$7="Weekly",Start_Date+7*(ROWS($1:2061)-1),EDATE(Start_Date,VLOOKUP(IF(ASTemp!$E$7="","Monthly",ASTemp!$E$7),Parameters!$B$3:$D$6,3,0)*(ROWS($1:2061)-1))))</f>
        <v/>
      </c>
      <c r="D2073" s="68" t="str">
        <f t="shared" si="2"/>
        <v/>
      </c>
      <c r="E2073" s="65" t="str">
        <f>IF($B2073="","",VLOOKUP(MONTH(C2073),Parameters!$F$2:$G$13,2,0))</f>
        <v/>
      </c>
      <c r="F2073" s="69" t="str">
        <f>IF($B2073="","",PV-N(J2072))</f>
        <v/>
      </c>
      <c r="G2073" s="69" t="str">
        <f>IF($B2073="","",PMT(Rate,Nper,-PV,,Type))</f>
        <v/>
      </c>
      <c r="H2073" s="69" t="str">
        <f>IF($B2073="","",PPMT(Rate,ROWS($1:2061),Nper,-PV,,Type))</f>
        <v/>
      </c>
      <c r="I2073" s="69" t="str">
        <f>IF($B2073="","",IPMT(Rate,ROWS($1:2061),Nper,-PV,,Type))</f>
        <v/>
      </c>
      <c r="J2073" s="73" t="str">
        <f t="shared" ref="J2073:K2073" si="2063">IF($B2073="","",N(J2072)+N(H2073))</f>
        <v/>
      </c>
      <c r="K2073" s="74" t="str">
        <f t="shared" si="2063"/>
        <v/>
      </c>
      <c r="L2073" s="69" t="str">
        <f>IF($B2073="","",PV-J2073)</f>
        <v/>
      </c>
      <c r="M2073" s="71" t="str">
        <f>IF($B2073="","",J2073/PV)</f>
        <v/>
      </c>
      <c r="N2073" s="72" t="str">
        <f t="shared" si="4"/>
        <v/>
      </c>
    </row>
    <row r="2074" ht="14.25" customHeight="1">
      <c r="B2074" s="66" t="str">
        <f>IF(ROWS($1:2062)&lt;=Nper,ROWS($1:2062),"")</f>
        <v/>
      </c>
      <c r="C2074" s="67" t="str">
        <f>IF($B2074="","",IF($E$7="Weekly",Start_Date+7*(ROWS($1:2062)-1),EDATE(Start_Date,VLOOKUP(IF(ASTemp!$E$7="","Monthly",ASTemp!$E$7),Parameters!$B$3:$D$6,3,0)*(ROWS($1:2062)-1))))</f>
        <v/>
      </c>
      <c r="D2074" s="68" t="str">
        <f t="shared" si="2"/>
        <v/>
      </c>
      <c r="E2074" s="65" t="str">
        <f>IF($B2074="","",VLOOKUP(MONTH(C2074),Parameters!$F$2:$G$13,2,0))</f>
        <v/>
      </c>
      <c r="F2074" s="69" t="str">
        <f>IF($B2074="","",PV-N(J2073))</f>
        <v/>
      </c>
      <c r="G2074" s="69" t="str">
        <f>IF($B2074="","",PMT(Rate,Nper,-PV,,Type))</f>
        <v/>
      </c>
      <c r="H2074" s="69" t="str">
        <f>IF($B2074="","",PPMT(Rate,ROWS($1:2062),Nper,-PV,,Type))</f>
        <v/>
      </c>
      <c r="I2074" s="69" t="str">
        <f>IF($B2074="","",IPMT(Rate,ROWS($1:2062),Nper,-PV,,Type))</f>
        <v/>
      </c>
      <c r="J2074" s="73" t="str">
        <f t="shared" ref="J2074:K2074" si="2064">IF($B2074="","",N(J2073)+N(H2074))</f>
        <v/>
      </c>
      <c r="K2074" s="74" t="str">
        <f t="shared" si="2064"/>
        <v/>
      </c>
      <c r="L2074" s="69" t="str">
        <f>IF($B2074="","",PV-J2074)</f>
        <v/>
      </c>
      <c r="M2074" s="71" t="str">
        <f>IF($B2074="","",J2074/PV)</f>
        <v/>
      </c>
      <c r="N2074" s="72" t="str">
        <f t="shared" si="4"/>
        <v/>
      </c>
    </row>
    <row r="2075" ht="14.25" customHeight="1">
      <c r="B2075" s="66" t="str">
        <f>IF(ROWS($1:2063)&lt;=Nper,ROWS($1:2063),"")</f>
        <v/>
      </c>
      <c r="C2075" s="67" t="str">
        <f>IF($B2075="","",IF($E$7="Weekly",Start_Date+7*(ROWS($1:2063)-1),EDATE(Start_Date,VLOOKUP(IF(ASTemp!$E$7="","Monthly",ASTemp!$E$7),Parameters!$B$3:$D$6,3,0)*(ROWS($1:2063)-1))))</f>
        <v/>
      </c>
      <c r="D2075" s="68" t="str">
        <f t="shared" si="2"/>
        <v/>
      </c>
      <c r="E2075" s="65" t="str">
        <f>IF($B2075="","",VLOOKUP(MONTH(C2075),Parameters!$F$2:$G$13,2,0))</f>
        <v/>
      </c>
      <c r="F2075" s="69" t="str">
        <f>IF($B2075="","",PV-N(J2074))</f>
        <v/>
      </c>
      <c r="G2075" s="69" t="str">
        <f>IF($B2075="","",PMT(Rate,Nper,-PV,,Type))</f>
        <v/>
      </c>
      <c r="H2075" s="69" t="str">
        <f>IF($B2075="","",PPMT(Rate,ROWS($1:2063),Nper,-PV,,Type))</f>
        <v/>
      </c>
      <c r="I2075" s="69" t="str">
        <f>IF($B2075="","",IPMT(Rate,ROWS($1:2063),Nper,-PV,,Type))</f>
        <v/>
      </c>
      <c r="J2075" s="73" t="str">
        <f t="shared" ref="J2075:K2075" si="2065">IF($B2075="","",N(J2074)+N(H2075))</f>
        <v/>
      </c>
      <c r="K2075" s="74" t="str">
        <f t="shared" si="2065"/>
        <v/>
      </c>
      <c r="L2075" s="69" t="str">
        <f>IF($B2075="","",PV-J2075)</f>
        <v/>
      </c>
      <c r="M2075" s="71" t="str">
        <f>IF($B2075="","",J2075/PV)</f>
        <v/>
      </c>
      <c r="N2075" s="72" t="str">
        <f t="shared" si="4"/>
        <v/>
      </c>
    </row>
    <row r="2076" ht="14.25" customHeight="1">
      <c r="B2076" s="66" t="str">
        <f>IF(ROWS($1:2064)&lt;=Nper,ROWS($1:2064),"")</f>
        <v/>
      </c>
      <c r="C2076" s="67" t="str">
        <f>IF($B2076="","",IF($E$7="Weekly",Start_Date+7*(ROWS($1:2064)-1),EDATE(Start_Date,VLOOKUP(IF(ASTemp!$E$7="","Monthly",ASTemp!$E$7),Parameters!$B$3:$D$6,3,0)*(ROWS($1:2064)-1))))</f>
        <v/>
      </c>
      <c r="D2076" s="68" t="str">
        <f t="shared" si="2"/>
        <v/>
      </c>
      <c r="E2076" s="65" t="str">
        <f>IF($B2076="","",VLOOKUP(MONTH(C2076),Parameters!$F$2:$G$13,2,0))</f>
        <v/>
      </c>
      <c r="F2076" s="69" t="str">
        <f>IF($B2076="","",PV-N(J2075))</f>
        <v/>
      </c>
      <c r="G2076" s="69" t="str">
        <f>IF($B2076="","",PMT(Rate,Nper,-PV,,Type))</f>
        <v/>
      </c>
      <c r="H2076" s="69" t="str">
        <f>IF($B2076="","",PPMT(Rate,ROWS($1:2064),Nper,-PV,,Type))</f>
        <v/>
      </c>
      <c r="I2076" s="69" t="str">
        <f>IF($B2076="","",IPMT(Rate,ROWS($1:2064),Nper,-PV,,Type))</f>
        <v/>
      </c>
      <c r="J2076" s="73" t="str">
        <f t="shared" ref="J2076:K2076" si="2066">IF($B2076="","",N(J2075)+N(H2076))</f>
        <v/>
      </c>
      <c r="K2076" s="74" t="str">
        <f t="shared" si="2066"/>
        <v/>
      </c>
      <c r="L2076" s="69" t="str">
        <f>IF($B2076="","",PV-J2076)</f>
        <v/>
      </c>
      <c r="M2076" s="71" t="str">
        <f>IF($B2076="","",J2076/PV)</f>
        <v/>
      </c>
      <c r="N2076" s="72" t="str">
        <f t="shared" si="4"/>
        <v/>
      </c>
    </row>
    <row r="2077" ht="14.25" customHeight="1">
      <c r="B2077" s="66" t="str">
        <f>IF(ROWS($1:2065)&lt;=Nper,ROWS($1:2065),"")</f>
        <v/>
      </c>
      <c r="C2077" s="67" t="str">
        <f>IF($B2077="","",IF($E$7="Weekly",Start_Date+7*(ROWS($1:2065)-1),EDATE(Start_Date,VLOOKUP(IF(ASTemp!$E$7="","Monthly",ASTemp!$E$7),Parameters!$B$3:$D$6,3,0)*(ROWS($1:2065)-1))))</f>
        <v/>
      </c>
      <c r="D2077" s="68" t="str">
        <f t="shared" si="2"/>
        <v/>
      </c>
      <c r="E2077" s="65" t="str">
        <f>IF($B2077="","",VLOOKUP(MONTH(C2077),Parameters!$F$2:$G$13,2,0))</f>
        <v/>
      </c>
      <c r="F2077" s="69" t="str">
        <f>IF($B2077="","",PV-N(J2076))</f>
        <v/>
      </c>
      <c r="G2077" s="69" t="str">
        <f>IF($B2077="","",PMT(Rate,Nper,-PV,,Type))</f>
        <v/>
      </c>
      <c r="H2077" s="69" t="str">
        <f>IF($B2077="","",PPMT(Rate,ROWS($1:2065),Nper,-PV,,Type))</f>
        <v/>
      </c>
      <c r="I2077" s="69" t="str">
        <f>IF($B2077="","",IPMT(Rate,ROWS($1:2065),Nper,-PV,,Type))</f>
        <v/>
      </c>
      <c r="J2077" s="73" t="str">
        <f t="shared" ref="J2077:K2077" si="2067">IF($B2077="","",N(J2076)+N(H2077))</f>
        <v/>
      </c>
      <c r="K2077" s="74" t="str">
        <f t="shared" si="2067"/>
        <v/>
      </c>
      <c r="L2077" s="69" t="str">
        <f>IF($B2077="","",PV-J2077)</f>
        <v/>
      </c>
      <c r="M2077" s="71" t="str">
        <f>IF($B2077="","",J2077/PV)</f>
        <v/>
      </c>
      <c r="N2077" s="72" t="str">
        <f t="shared" si="4"/>
        <v/>
      </c>
    </row>
    <row r="2078" ht="14.25" customHeight="1">
      <c r="B2078" s="66" t="str">
        <f>IF(ROWS($1:2066)&lt;=Nper,ROWS($1:2066),"")</f>
        <v/>
      </c>
      <c r="C2078" s="67" t="str">
        <f>IF($B2078="","",IF($E$7="Weekly",Start_Date+7*(ROWS($1:2066)-1),EDATE(Start_Date,VLOOKUP(IF(ASTemp!$E$7="","Monthly",ASTemp!$E$7),Parameters!$B$3:$D$6,3,0)*(ROWS($1:2066)-1))))</f>
        <v/>
      </c>
      <c r="D2078" s="68" t="str">
        <f t="shared" si="2"/>
        <v/>
      </c>
      <c r="E2078" s="65" t="str">
        <f>IF($B2078="","",VLOOKUP(MONTH(C2078),Parameters!$F$2:$G$13,2,0))</f>
        <v/>
      </c>
      <c r="F2078" s="69" t="str">
        <f>IF($B2078="","",PV-N(J2077))</f>
        <v/>
      </c>
      <c r="G2078" s="69" t="str">
        <f>IF($B2078="","",PMT(Rate,Nper,-PV,,Type))</f>
        <v/>
      </c>
      <c r="H2078" s="69" t="str">
        <f>IF($B2078="","",PPMT(Rate,ROWS($1:2066),Nper,-PV,,Type))</f>
        <v/>
      </c>
      <c r="I2078" s="69" t="str">
        <f>IF($B2078="","",IPMT(Rate,ROWS($1:2066),Nper,-PV,,Type))</f>
        <v/>
      </c>
      <c r="J2078" s="73" t="str">
        <f t="shared" ref="J2078:K2078" si="2068">IF($B2078="","",N(J2077)+N(H2078))</f>
        <v/>
      </c>
      <c r="K2078" s="74" t="str">
        <f t="shared" si="2068"/>
        <v/>
      </c>
      <c r="L2078" s="69" t="str">
        <f>IF($B2078="","",PV-J2078)</f>
        <v/>
      </c>
      <c r="M2078" s="71" t="str">
        <f>IF($B2078="","",J2078/PV)</f>
        <v/>
      </c>
      <c r="N2078" s="72" t="str">
        <f t="shared" si="4"/>
        <v/>
      </c>
    </row>
    <row r="2079" ht="14.25" customHeight="1">
      <c r="B2079" s="66" t="str">
        <f>IF(ROWS($1:2067)&lt;=Nper,ROWS($1:2067),"")</f>
        <v/>
      </c>
      <c r="C2079" s="67" t="str">
        <f>IF($B2079="","",IF($E$7="Weekly",Start_Date+7*(ROWS($1:2067)-1),EDATE(Start_Date,VLOOKUP(IF(ASTemp!$E$7="","Monthly",ASTemp!$E$7),Parameters!$B$3:$D$6,3,0)*(ROWS($1:2067)-1))))</f>
        <v/>
      </c>
      <c r="D2079" s="68" t="str">
        <f t="shared" si="2"/>
        <v/>
      </c>
      <c r="E2079" s="65" t="str">
        <f>IF($B2079="","",VLOOKUP(MONTH(C2079),Parameters!$F$2:$G$13,2,0))</f>
        <v/>
      </c>
      <c r="F2079" s="69" t="str">
        <f>IF($B2079="","",PV-N(J2078))</f>
        <v/>
      </c>
      <c r="G2079" s="69" t="str">
        <f>IF($B2079="","",PMT(Rate,Nper,-PV,,Type))</f>
        <v/>
      </c>
      <c r="H2079" s="69" t="str">
        <f>IF($B2079="","",PPMT(Rate,ROWS($1:2067),Nper,-PV,,Type))</f>
        <v/>
      </c>
      <c r="I2079" s="69" t="str">
        <f>IF($B2079="","",IPMT(Rate,ROWS($1:2067),Nper,-PV,,Type))</f>
        <v/>
      </c>
      <c r="J2079" s="73" t="str">
        <f t="shared" ref="J2079:K2079" si="2069">IF($B2079="","",N(J2078)+N(H2079))</f>
        <v/>
      </c>
      <c r="K2079" s="74" t="str">
        <f t="shared" si="2069"/>
        <v/>
      </c>
      <c r="L2079" s="69" t="str">
        <f>IF($B2079="","",PV-J2079)</f>
        <v/>
      </c>
      <c r="M2079" s="71" t="str">
        <f>IF($B2079="","",J2079/PV)</f>
        <v/>
      </c>
      <c r="N2079" s="72" t="str">
        <f t="shared" si="4"/>
        <v/>
      </c>
    </row>
    <row r="2080" ht="14.25" customHeight="1">
      <c r="B2080" s="66" t="str">
        <f>IF(ROWS($1:2068)&lt;=Nper,ROWS($1:2068),"")</f>
        <v/>
      </c>
      <c r="C2080" s="67" t="str">
        <f>IF($B2080="","",IF($E$7="Weekly",Start_Date+7*(ROWS($1:2068)-1),EDATE(Start_Date,VLOOKUP(IF(ASTemp!$E$7="","Monthly",ASTemp!$E$7),Parameters!$B$3:$D$6,3,0)*(ROWS($1:2068)-1))))</f>
        <v/>
      </c>
      <c r="D2080" s="68" t="str">
        <f t="shared" si="2"/>
        <v/>
      </c>
      <c r="E2080" s="65" t="str">
        <f>IF($B2080="","",VLOOKUP(MONTH(C2080),Parameters!$F$2:$G$13,2,0))</f>
        <v/>
      </c>
      <c r="F2080" s="69" t="str">
        <f>IF($B2080="","",PV-N(J2079))</f>
        <v/>
      </c>
      <c r="G2080" s="69" t="str">
        <f>IF($B2080="","",PMT(Rate,Nper,-PV,,Type))</f>
        <v/>
      </c>
      <c r="H2080" s="69" t="str">
        <f>IF($B2080="","",PPMT(Rate,ROWS($1:2068),Nper,-PV,,Type))</f>
        <v/>
      </c>
      <c r="I2080" s="69" t="str">
        <f>IF($B2080="","",IPMT(Rate,ROWS($1:2068),Nper,-PV,,Type))</f>
        <v/>
      </c>
      <c r="J2080" s="73" t="str">
        <f t="shared" ref="J2080:K2080" si="2070">IF($B2080="","",N(J2079)+N(H2080))</f>
        <v/>
      </c>
      <c r="K2080" s="74" t="str">
        <f t="shared" si="2070"/>
        <v/>
      </c>
      <c r="L2080" s="69" t="str">
        <f>IF($B2080="","",PV-J2080)</f>
        <v/>
      </c>
      <c r="M2080" s="71" t="str">
        <f>IF($B2080="","",J2080/PV)</f>
        <v/>
      </c>
      <c r="N2080" s="72" t="str">
        <f t="shared" si="4"/>
        <v/>
      </c>
    </row>
    <row r="2081" ht="14.25" customHeight="1">
      <c r="B2081" s="66" t="str">
        <f>IF(ROWS($1:2069)&lt;=Nper,ROWS($1:2069),"")</f>
        <v/>
      </c>
      <c r="C2081" s="67" t="str">
        <f>IF($B2081="","",IF($E$7="Weekly",Start_Date+7*(ROWS($1:2069)-1),EDATE(Start_Date,VLOOKUP(IF(ASTemp!$E$7="","Monthly",ASTemp!$E$7),Parameters!$B$3:$D$6,3,0)*(ROWS($1:2069)-1))))</f>
        <v/>
      </c>
      <c r="D2081" s="68" t="str">
        <f t="shared" si="2"/>
        <v/>
      </c>
      <c r="E2081" s="65" t="str">
        <f>IF($B2081="","",VLOOKUP(MONTH(C2081),Parameters!$F$2:$G$13,2,0))</f>
        <v/>
      </c>
      <c r="F2081" s="69" t="str">
        <f>IF($B2081="","",PV-N(J2080))</f>
        <v/>
      </c>
      <c r="G2081" s="69" t="str">
        <f>IF($B2081="","",PMT(Rate,Nper,-PV,,Type))</f>
        <v/>
      </c>
      <c r="H2081" s="69" t="str">
        <f>IF($B2081="","",PPMT(Rate,ROWS($1:2069),Nper,-PV,,Type))</f>
        <v/>
      </c>
      <c r="I2081" s="69" t="str">
        <f>IF($B2081="","",IPMT(Rate,ROWS($1:2069),Nper,-PV,,Type))</f>
        <v/>
      </c>
      <c r="J2081" s="73" t="str">
        <f t="shared" ref="J2081:K2081" si="2071">IF($B2081="","",N(J2080)+N(H2081))</f>
        <v/>
      </c>
      <c r="K2081" s="74" t="str">
        <f t="shared" si="2071"/>
        <v/>
      </c>
      <c r="L2081" s="69" t="str">
        <f>IF($B2081="","",PV-J2081)</f>
        <v/>
      </c>
      <c r="M2081" s="71" t="str">
        <f>IF($B2081="","",J2081/PV)</f>
        <v/>
      </c>
      <c r="N2081" s="72" t="str">
        <f t="shared" si="4"/>
        <v/>
      </c>
    </row>
    <row r="2082" ht="14.25" customHeight="1">
      <c r="B2082" s="66" t="str">
        <f>IF(ROWS($1:2070)&lt;=Nper,ROWS($1:2070),"")</f>
        <v/>
      </c>
      <c r="C2082" s="67" t="str">
        <f>IF($B2082="","",IF($E$7="Weekly",Start_Date+7*(ROWS($1:2070)-1),EDATE(Start_Date,VLOOKUP(IF(ASTemp!$E$7="","Monthly",ASTemp!$E$7),Parameters!$B$3:$D$6,3,0)*(ROWS($1:2070)-1))))</f>
        <v/>
      </c>
      <c r="D2082" s="68" t="str">
        <f t="shared" si="2"/>
        <v/>
      </c>
      <c r="E2082" s="65" t="str">
        <f>IF($B2082="","",VLOOKUP(MONTH(C2082),Parameters!$F$2:$G$13,2,0))</f>
        <v/>
      </c>
      <c r="F2082" s="69" t="str">
        <f>IF($B2082="","",PV-N(J2081))</f>
        <v/>
      </c>
      <c r="G2082" s="69" t="str">
        <f>IF($B2082="","",PMT(Rate,Nper,-PV,,Type))</f>
        <v/>
      </c>
      <c r="H2082" s="69" t="str">
        <f>IF($B2082="","",PPMT(Rate,ROWS($1:2070),Nper,-PV,,Type))</f>
        <v/>
      </c>
      <c r="I2082" s="69" t="str">
        <f>IF($B2082="","",IPMT(Rate,ROWS($1:2070),Nper,-PV,,Type))</f>
        <v/>
      </c>
      <c r="J2082" s="73" t="str">
        <f t="shared" ref="J2082:K2082" si="2072">IF($B2082="","",N(J2081)+N(H2082))</f>
        <v/>
      </c>
      <c r="K2082" s="74" t="str">
        <f t="shared" si="2072"/>
        <v/>
      </c>
      <c r="L2082" s="69" t="str">
        <f>IF($B2082="","",PV-J2082)</f>
        <v/>
      </c>
      <c r="M2082" s="71" t="str">
        <f>IF($B2082="","",J2082/PV)</f>
        <v/>
      </c>
      <c r="N2082" s="72" t="str">
        <f t="shared" si="4"/>
        <v/>
      </c>
    </row>
    <row r="2083" ht="14.25" customHeight="1">
      <c r="B2083" s="66" t="str">
        <f>IF(ROWS($1:2071)&lt;=Nper,ROWS($1:2071),"")</f>
        <v/>
      </c>
      <c r="C2083" s="67" t="str">
        <f>IF($B2083="","",IF($E$7="Weekly",Start_Date+7*(ROWS($1:2071)-1),EDATE(Start_Date,VLOOKUP(IF(ASTemp!$E$7="","Monthly",ASTemp!$E$7),Parameters!$B$3:$D$6,3,0)*(ROWS($1:2071)-1))))</f>
        <v/>
      </c>
      <c r="D2083" s="68" t="str">
        <f t="shared" si="2"/>
        <v/>
      </c>
      <c r="E2083" s="65" t="str">
        <f>IF($B2083="","",VLOOKUP(MONTH(C2083),Parameters!$F$2:$G$13,2,0))</f>
        <v/>
      </c>
      <c r="F2083" s="69" t="str">
        <f>IF($B2083="","",PV-N(J2082))</f>
        <v/>
      </c>
      <c r="G2083" s="69" t="str">
        <f>IF($B2083="","",PMT(Rate,Nper,-PV,,Type))</f>
        <v/>
      </c>
      <c r="H2083" s="69" t="str">
        <f>IF($B2083="","",PPMT(Rate,ROWS($1:2071),Nper,-PV,,Type))</f>
        <v/>
      </c>
      <c r="I2083" s="69" t="str">
        <f>IF($B2083="","",IPMT(Rate,ROWS($1:2071),Nper,-PV,,Type))</f>
        <v/>
      </c>
      <c r="J2083" s="73" t="str">
        <f t="shared" ref="J2083:K2083" si="2073">IF($B2083="","",N(J2082)+N(H2083))</f>
        <v/>
      </c>
      <c r="K2083" s="74" t="str">
        <f t="shared" si="2073"/>
        <v/>
      </c>
      <c r="L2083" s="69" t="str">
        <f>IF($B2083="","",PV-J2083)</f>
        <v/>
      </c>
      <c r="M2083" s="71" t="str">
        <f>IF($B2083="","",J2083/PV)</f>
        <v/>
      </c>
      <c r="N2083" s="72" t="str">
        <f t="shared" si="4"/>
        <v/>
      </c>
    </row>
    <row r="2084" ht="14.25" customHeight="1">
      <c r="B2084" s="66" t="str">
        <f>IF(ROWS($1:2072)&lt;=Nper,ROWS($1:2072),"")</f>
        <v/>
      </c>
      <c r="C2084" s="67" t="str">
        <f>IF($B2084="","",IF($E$7="Weekly",Start_Date+7*(ROWS($1:2072)-1),EDATE(Start_Date,VLOOKUP(IF(ASTemp!$E$7="","Monthly",ASTemp!$E$7),Parameters!$B$3:$D$6,3,0)*(ROWS($1:2072)-1))))</f>
        <v/>
      </c>
      <c r="D2084" s="68" t="str">
        <f t="shared" si="2"/>
        <v/>
      </c>
      <c r="E2084" s="65" t="str">
        <f>IF($B2084="","",VLOOKUP(MONTH(C2084),Parameters!$F$2:$G$13,2,0))</f>
        <v/>
      </c>
      <c r="F2084" s="69" t="str">
        <f>IF($B2084="","",PV-N(J2083))</f>
        <v/>
      </c>
      <c r="G2084" s="69" t="str">
        <f>IF($B2084="","",PMT(Rate,Nper,-PV,,Type))</f>
        <v/>
      </c>
      <c r="H2084" s="69" t="str">
        <f>IF($B2084="","",PPMT(Rate,ROWS($1:2072),Nper,-PV,,Type))</f>
        <v/>
      </c>
      <c r="I2084" s="69" t="str">
        <f>IF($B2084="","",IPMT(Rate,ROWS($1:2072),Nper,-PV,,Type))</f>
        <v/>
      </c>
      <c r="J2084" s="73" t="str">
        <f t="shared" ref="J2084:K2084" si="2074">IF($B2084="","",N(J2083)+N(H2084))</f>
        <v/>
      </c>
      <c r="K2084" s="74" t="str">
        <f t="shared" si="2074"/>
        <v/>
      </c>
      <c r="L2084" s="69" t="str">
        <f>IF($B2084="","",PV-J2084)</f>
        <v/>
      </c>
      <c r="M2084" s="71" t="str">
        <f>IF($B2084="","",J2084/PV)</f>
        <v/>
      </c>
      <c r="N2084" s="72" t="str">
        <f t="shared" si="4"/>
        <v/>
      </c>
    </row>
    <row r="2085" ht="14.25" customHeight="1">
      <c r="B2085" s="66" t="str">
        <f>IF(ROWS($1:2073)&lt;=Nper,ROWS($1:2073),"")</f>
        <v/>
      </c>
      <c r="C2085" s="67" t="str">
        <f>IF($B2085="","",IF($E$7="Weekly",Start_Date+7*(ROWS($1:2073)-1),EDATE(Start_Date,VLOOKUP(IF(ASTemp!$E$7="","Monthly",ASTemp!$E$7),Parameters!$B$3:$D$6,3,0)*(ROWS($1:2073)-1))))</f>
        <v/>
      </c>
      <c r="D2085" s="68" t="str">
        <f t="shared" si="2"/>
        <v/>
      </c>
      <c r="E2085" s="65" t="str">
        <f>IF($B2085="","",VLOOKUP(MONTH(C2085),Parameters!$F$2:$G$13,2,0))</f>
        <v/>
      </c>
      <c r="F2085" s="69" t="str">
        <f>IF($B2085="","",PV-N(J2084))</f>
        <v/>
      </c>
      <c r="G2085" s="69" t="str">
        <f>IF($B2085="","",PMT(Rate,Nper,-PV,,Type))</f>
        <v/>
      </c>
      <c r="H2085" s="69" t="str">
        <f>IF($B2085="","",PPMT(Rate,ROWS($1:2073),Nper,-PV,,Type))</f>
        <v/>
      </c>
      <c r="I2085" s="69" t="str">
        <f>IF($B2085="","",IPMT(Rate,ROWS($1:2073),Nper,-PV,,Type))</f>
        <v/>
      </c>
      <c r="J2085" s="73" t="str">
        <f t="shared" ref="J2085:K2085" si="2075">IF($B2085="","",N(J2084)+N(H2085))</f>
        <v/>
      </c>
      <c r="K2085" s="74" t="str">
        <f t="shared" si="2075"/>
        <v/>
      </c>
      <c r="L2085" s="69" t="str">
        <f>IF($B2085="","",PV-J2085)</f>
        <v/>
      </c>
      <c r="M2085" s="71" t="str">
        <f>IF($B2085="","",J2085/PV)</f>
        <v/>
      </c>
      <c r="N2085" s="72" t="str">
        <f t="shared" si="4"/>
        <v/>
      </c>
    </row>
    <row r="2086" ht="14.25" customHeight="1">
      <c r="B2086" s="66" t="str">
        <f>IF(ROWS($1:2074)&lt;=Nper,ROWS($1:2074),"")</f>
        <v/>
      </c>
      <c r="C2086" s="67" t="str">
        <f>IF($B2086="","",IF($E$7="Weekly",Start_Date+7*(ROWS($1:2074)-1),EDATE(Start_Date,VLOOKUP(IF(ASTemp!$E$7="","Monthly",ASTemp!$E$7),Parameters!$B$3:$D$6,3,0)*(ROWS($1:2074)-1))))</f>
        <v/>
      </c>
      <c r="D2086" s="68" t="str">
        <f t="shared" si="2"/>
        <v/>
      </c>
      <c r="E2086" s="65" t="str">
        <f>IF($B2086="","",VLOOKUP(MONTH(C2086),Parameters!$F$2:$G$13,2,0))</f>
        <v/>
      </c>
      <c r="F2086" s="69" t="str">
        <f>IF($B2086="","",PV-N(J2085))</f>
        <v/>
      </c>
      <c r="G2086" s="69" t="str">
        <f>IF($B2086="","",PMT(Rate,Nper,-PV,,Type))</f>
        <v/>
      </c>
      <c r="H2086" s="69" t="str">
        <f>IF($B2086="","",PPMT(Rate,ROWS($1:2074),Nper,-PV,,Type))</f>
        <v/>
      </c>
      <c r="I2086" s="69" t="str">
        <f>IF($B2086="","",IPMT(Rate,ROWS($1:2074),Nper,-PV,,Type))</f>
        <v/>
      </c>
      <c r="J2086" s="73" t="str">
        <f t="shared" ref="J2086:K2086" si="2076">IF($B2086="","",N(J2085)+N(H2086))</f>
        <v/>
      </c>
      <c r="K2086" s="74" t="str">
        <f t="shared" si="2076"/>
        <v/>
      </c>
      <c r="L2086" s="69" t="str">
        <f>IF($B2086="","",PV-J2086)</f>
        <v/>
      </c>
      <c r="M2086" s="71" t="str">
        <f>IF($B2086="","",J2086/PV)</f>
        <v/>
      </c>
      <c r="N2086" s="72" t="str">
        <f t="shared" si="4"/>
        <v/>
      </c>
    </row>
    <row r="2087" ht="14.25" customHeight="1">
      <c r="B2087" s="66" t="str">
        <f>IF(ROWS($1:2075)&lt;=Nper,ROWS($1:2075),"")</f>
        <v/>
      </c>
      <c r="C2087" s="67" t="str">
        <f>IF($B2087="","",IF($E$7="Weekly",Start_Date+7*(ROWS($1:2075)-1),EDATE(Start_Date,VLOOKUP(IF(ASTemp!$E$7="","Monthly",ASTemp!$E$7),Parameters!$B$3:$D$6,3,0)*(ROWS($1:2075)-1))))</f>
        <v/>
      </c>
      <c r="D2087" s="68" t="str">
        <f t="shared" si="2"/>
        <v/>
      </c>
      <c r="E2087" s="65" t="str">
        <f>IF($B2087="","",VLOOKUP(MONTH(C2087),Parameters!$F$2:$G$13,2,0))</f>
        <v/>
      </c>
      <c r="F2087" s="69" t="str">
        <f>IF($B2087="","",PV-N(J2086))</f>
        <v/>
      </c>
      <c r="G2087" s="69" t="str">
        <f>IF($B2087="","",PMT(Rate,Nper,-PV,,Type))</f>
        <v/>
      </c>
      <c r="H2087" s="69" t="str">
        <f>IF($B2087="","",PPMT(Rate,ROWS($1:2075),Nper,-PV,,Type))</f>
        <v/>
      </c>
      <c r="I2087" s="69" t="str">
        <f>IF($B2087="","",IPMT(Rate,ROWS($1:2075),Nper,-PV,,Type))</f>
        <v/>
      </c>
      <c r="J2087" s="73" t="str">
        <f t="shared" ref="J2087:K2087" si="2077">IF($B2087="","",N(J2086)+N(H2087))</f>
        <v/>
      </c>
      <c r="K2087" s="74" t="str">
        <f t="shared" si="2077"/>
        <v/>
      </c>
      <c r="L2087" s="69" t="str">
        <f>IF($B2087="","",PV-J2087)</f>
        <v/>
      </c>
      <c r="M2087" s="71" t="str">
        <f>IF($B2087="","",J2087/PV)</f>
        <v/>
      </c>
      <c r="N2087" s="72" t="str">
        <f t="shared" si="4"/>
        <v/>
      </c>
    </row>
    <row r="2088" ht="14.25" customHeight="1">
      <c r="B2088" s="66" t="str">
        <f>IF(ROWS($1:2076)&lt;=Nper,ROWS($1:2076),"")</f>
        <v/>
      </c>
      <c r="C2088" s="67" t="str">
        <f>IF($B2088="","",IF($E$7="Weekly",Start_Date+7*(ROWS($1:2076)-1),EDATE(Start_Date,VLOOKUP(IF(ASTemp!$E$7="","Monthly",ASTemp!$E$7),Parameters!$B$3:$D$6,3,0)*(ROWS($1:2076)-1))))</f>
        <v/>
      </c>
      <c r="D2088" s="68" t="str">
        <f t="shared" si="2"/>
        <v/>
      </c>
      <c r="E2088" s="65" t="str">
        <f>IF($B2088="","",VLOOKUP(MONTH(C2088),Parameters!$F$2:$G$13,2,0))</f>
        <v/>
      </c>
      <c r="F2088" s="69" t="str">
        <f>IF($B2088="","",PV-N(J2087))</f>
        <v/>
      </c>
      <c r="G2088" s="69" t="str">
        <f>IF($B2088="","",PMT(Rate,Nper,-PV,,Type))</f>
        <v/>
      </c>
      <c r="H2088" s="69" t="str">
        <f>IF($B2088="","",PPMT(Rate,ROWS($1:2076),Nper,-PV,,Type))</f>
        <v/>
      </c>
      <c r="I2088" s="69" t="str">
        <f>IF($B2088="","",IPMT(Rate,ROWS($1:2076),Nper,-PV,,Type))</f>
        <v/>
      </c>
      <c r="J2088" s="73" t="str">
        <f t="shared" ref="J2088:K2088" si="2078">IF($B2088="","",N(J2087)+N(H2088))</f>
        <v/>
      </c>
      <c r="K2088" s="74" t="str">
        <f t="shared" si="2078"/>
        <v/>
      </c>
      <c r="L2088" s="69" t="str">
        <f>IF($B2088="","",PV-J2088)</f>
        <v/>
      </c>
      <c r="M2088" s="71" t="str">
        <f>IF($B2088="","",J2088/PV)</f>
        <v/>
      </c>
      <c r="N2088" s="72" t="str">
        <f t="shared" si="4"/>
        <v/>
      </c>
    </row>
    <row r="2089" ht="14.25" customHeight="1">
      <c r="B2089" s="66" t="str">
        <f>IF(ROWS($1:2077)&lt;=Nper,ROWS($1:2077),"")</f>
        <v/>
      </c>
      <c r="C2089" s="67" t="str">
        <f>IF($B2089="","",IF($E$7="Weekly",Start_Date+7*(ROWS($1:2077)-1),EDATE(Start_Date,VLOOKUP(IF(ASTemp!$E$7="","Monthly",ASTemp!$E$7),Parameters!$B$3:$D$6,3,0)*(ROWS($1:2077)-1))))</f>
        <v/>
      </c>
      <c r="D2089" s="68" t="str">
        <f t="shared" si="2"/>
        <v/>
      </c>
      <c r="E2089" s="65" t="str">
        <f>IF($B2089="","",VLOOKUP(MONTH(C2089),Parameters!$F$2:$G$13,2,0))</f>
        <v/>
      </c>
      <c r="F2089" s="69" t="str">
        <f>IF($B2089="","",PV-N(J2088))</f>
        <v/>
      </c>
      <c r="G2089" s="69" t="str">
        <f>IF($B2089="","",PMT(Rate,Nper,-PV,,Type))</f>
        <v/>
      </c>
      <c r="H2089" s="69" t="str">
        <f>IF($B2089="","",PPMT(Rate,ROWS($1:2077),Nper,-PV,,Type))</f>
        <v/>
      </c>
      <c r="I2089" s="69" t="str">
        <f>IF($B2089="","",IPMT(Rate,ROWS($1:2077),Nper,-PV,,Type))</f>
        <v/>
      </c>
      <c r="J2089" s="73" t="str">
        <f t="shared" ref="J2089:K2089" si="2079">IF($B2089="","",N(J2088)+N(H2089))</f>
        <v/>
      </c>
      <c r="K2089" s="74" t="str">
        <f t="shared" si="2079"/>
        <v/>
      </c>
      <c r="L2089" s="69" t="str">
        <f>IF($B2089="","",PV-J2089)</f>
        <v/>
      </c>
      <c r="M2089" s="71" t="str">
        <f>IF($B2089="","",J2089/PV)</f>
        <v/>
      </c>
      <c r="N2089" s="72" t="str">
        <f t="shared" si="4"/>
        <v/>
      </c>
    </row>
    <row r="2090" ht="14.25" customHeight="1">
      <c r="B2090" s="66" t="str">
        <f>IF(ROWS($1:2078)&lt;=Nper,ROWS($1:2078),"")</f>
        <v/>
      </c>
      <c r="C2090" s="67" t="str">
        <f>IF($B2090="","",IF($E$7="Weekly",Start_Date+7*(ROWS($1:2078)-1),EDATE(Start_Date,VLOOKUP(IF(ASTemp!$E$7="","Monthly",ASTemp!$E$7),Parameters!$B$3:$D$6,3,0)*(ROWS($1:2078)-1))))</f>
        <v/>
      </c>
      <c r="D2090" s="68" t="str">
        <f t="shared" si="2"/>
        <v/>
      </c>
      <c r="E2090" s="65" t="str">
        <f>IF($B2090="","",VLOOKUP(MONTH(C2090),Parameters!$F$2:$G$13,2,0))</f>
        <v/>
      </c>
      <c r="F2090" s="69" t="str">
        <f>IF($B2090="","",PV-N(J2089))</f>
        <v/>
      </c>
      <c r="G2090" s="69" t="str">
        <f>IF($B2090="","",PMT(Rate,Nper,-PV,,Type))</f>
        <v/>
      </c>
      <c r="H2090" s="69" t="str">
        <f>IF($B2090="","",PPMT(Rate,ROWS($1:2078),Nper,-PV,,Type))</f>
        <v/>
      </c>
      <c r="I2090" s="69" t="str">
        <f>IF($B2090="","",IPMT(Rate,ROWS($1:2078),Nper,-PV,,Type))</f>
        <v/>
      </c>
      <c r="J2090" s="73" t="str">
        <f t="shared" ref="J2090:K2090" si="2080">IF($B2090="","",N(J2089)+N(H2090))</f>
        <v/>
      </c>
      <c r="K2090" s="74" t="str">
        <f t="shared" si="2080"/>
        <v/>
      </c>
      <c r="L2090" s="69" t="str">
        <f>IF($B2090="","",PV-J2090)</f>
        <v/>
      </c>
      <c r="M2090" s="71" t="str">
        <f>IF($B2090="","",J2090/PV)</f>
        <v/>
      </c>
      <c r="N2090" s="72" t="str">
        <f t="shared" si="4"/>
        <v/>
      </c>
    </row>
    <row r="2091" ht="14.25" customHeight="1">
      <c r="B2091" s="66" t="str">
        <f>IF(ROWS($1:2079)&lt;=Nper,ROWS($1:2079),"")</f>
        <v/>
      </c>
      <c r="C2091" s="67" t="str">
        <f>IF($B2091="","",IF($E$7="Weekly",Start_Date+7*(ROWS($1:2079)-1),EDATE(Start_Date,VLOOKUP(IF(ASTemp!$E$7="","Monthly",ASTemp!$E$7),Parameters!$B$3:$D$6,3,0)*(ROWS($1:2079)-1))))</f>
        <v/>
      </c>
      <c r="D2091" s="68" t="str">
        <f t="shared" si="2"/>
        <v/>
      </c>
      <c r="E2091" s="65" t="str">
        <f>IF($B2091="","",VLOOKUP(MONTH(C2091),Parameters!$F$2:$G$13,2,0))</f>
        <v/>
      </c>
      <c r="F2091" s="69" t="str">
        <f>IF($B2091="","",PV-N(J2090))</f>
        <v/>
      </c>
      <c r="G2091" s="69" t="str">
        <f>IF($B2091="","",PMT(Rate,Nper,-PV,,Type))</f>
        <v/>
      </c>
      <c r="H2091" s="69" t="str">
        <f>IF($B2091="","",PPMT(Rate,ROWS($1:2079),Nper,-PV,,Type))</f>
        <v/>
      </c>
      <c r="I2091" s="69" t="str">
        <f>IF($B2091="","",IPMT(Rate,ROWS($1:2079),Nper,-PV,,Type))</f>
        <v/>
      </c>
      <c r="J2091" s="73" t="str">
        <f t="shared" ref="J2091:K2091" si="2081">IF($B2091="","",N(J2090)+N(H2091))</f>
        <v/>
      </c>
      <c r="K2091" s="74" t="str">
        <f t="shared" si="2081"/>
        <v/>
      </c>
      <c r="L2091" s="69" t="str">
        <f>IF($B2091="","",PV-J2091)</f>
        <v/>
      </c>
      <c r="M2091" s="71" t="str">
        <f>IF($B2091="","",J2091/PV)</f>
        <v/>
      </c>
      <c r="N2091" s="72" t="str">
        <f t="shared" si="4"/>
        <v/>
      </c>
    </row>
    <row r="2092" ht="14.25" customHeight="1">
      <c r="B2092" s="66" t="str">
        <f>IF(ROWS($1:2080)&lt;=Nper,ROWS($1:2080),"")</f>
        <v/>
      </c>
      <c r="C2092" s="67" t="str">
        <f>IF($B2092="","",IF($E$7="Weekly",Start_Date+7*(ROWS($1:2080)-1),EDATE(Start_Date,VLOOKUP(IF(ASTemp!$E$7="","Monthly",ASTemp!$E$7),Parameters!$B$3:$D$6,3,0)*(ROWS($1:2080)-1))))</f>
        <v/>
      </c>
      <c r="D2092" s="68" t="str">
        <f t="shared" si="2"/>
        <v/>
      </c>
      <c r="E2092" s="65" t="str">
        <f>IF($B2092="","",VLOOKUP(MONTH(C2092),Parameters!$F$2:$G$13,2,0))</f>
        <v/>
      </c>
      <c r="F2092" s="69" t="str">
        <f>IF($B2092="","",PV-N(J2091))</f>
        <v/>
      </c>
      <c r="G2092" s="69" t="str">
        <f>IF($B2092="","",PMT(Rate,Nper,-PV,,Type))</f>
        <v/>
      </c>
      <c r="H2092" s="69" t="str">
        <f>IF($B2092="","",PPMT(Rate,ROWS($1:2080),Nper,-PV,,Type))</f>
        <v/>
      </c>
      <c r="I2092" s="69" t="str">
        <f>IF($B2092="","",IPMT(Rate,ROWS($1:2080),Nper,-PV,,Type))</f>
        <v/>
      </c>
      <c r="J2092" s="73" t="str">
        <f t="shared" ref="J2092:K2092" si="2082">IF($B2092="","",N(J2091)+N(H2092))</f>
        <v/>
      </c>
      <c r="K2092" s="74" t="str">
        <f t="shared" si="2082"/>
        <v/>
      </c>
      <c r="L2092" s="69" t="str">
        <f>IF($B2092="","",PV-J2092)</f>
        <v/>
      </c>
      <c r="M2092" s="71" t="str">
        <f>IF($B2092="","",J2092/PV)</f>
        <v/>
      </c>
      <c r="N2092" s="72" t="str">
        <f t="shared" si="4"/>
        <v/>
      </c>
    </row>
    <row r="2093" ht="14.25" customHeight="1">
      <c r="B2093" s="66" t="str">
        <f>IF(ROWS($1:2081)&lt;=Nper,ROWS($1:2081),"")</f>
        <v/>
      </c>
      <c r="C2093" s="67" t="str">
        <f>IF($B2093="","",IF($E$7="Weekly",Start_Date+7*(ROWS($1:2081)-1),EDATE(Start_Date,VLOOKUP(IF(ASTemp!$E$7="","Monthly",ASTemp!$E$7),Parameters!$B$3:$D$6,3,0)*(ROWS($1:2081)-1))))</f>
        <v/>
      </c>
      <c r="D2093" s="68" t="str">
        <f t="shared" si="2"/>
        <v/>
      </c>
      <c r="E2093" s="65" t="str">
        <f>IF($B2093="","",VLOOKUP(MONTH(C2093),Parameters!$F$2:$G$13,2,0))</f>
        <v/>
      </c>
      <c r="F2093" s="69" t="str">
        <f>IF($B2093="","",PV-N(J2092))</f>
        <v/>
      </c>
      <c r="G2093" s="69" t="str">
        <f>IF($B2093="","",PMT(Rate,Nper,-PV,,Type))</f>
        <v/>
      </c>
      <c r="H2093" s="69" t="str">
        <f>IF($B2093="","",PPMT(Rate,ROWS($1:2081),Nper,-PV,,Type))</f>
        <v/>
      </c>
      <c r="I2093" s="69" t="str">
        <f>IF($B2093="","",IPMT(Rate,ROWS($1:2081),Nper,-PV,,Type))</f>
        <v/>
      </c>
      <c r="J2093" s="73" t="str">
        <f t="shared" ref="J2093:K2093" si="2083">IF($B2093="","",N(J2092)+N(H2093))</f>
        <v/>
      </c>
      <c r="K2093" s="74" t="str">
        <f t="shared" si="2083"/>
        <v/>
      </c>
      <c r="L2093" s="69" t="str">
        <f>IF($B2093="","",PV-J2093)</f>
        <v/>
      </c>
      <c r="M2093" s="71" t="str">
        <f>IF($B2093="","",J2093/PV)</f>
        <v/>
      </c>
      <c r="N2093" s="72" t="str">
        <f t="shared" si="4"/>
        <v/>
      </c>
    </row>
    <row r="2094" ht="14.25" customHeight="1">
      <c r="B2094" s="66" t="str">
        <f>IF(ROWS($1:2082)&lt;=Nper,ROWS($1:2082),"")</f>
        <v/>
      </c>
      <c r="C2094" s="67" t="str">
        <f>IF($B2094="","",IF($E$7="Weekly",Start_Date+7*(ROWS($1:2082)-1),EDATE(Start_Date,VLOOKUP(IF(ASTemp!$E$7="","Monthly",ASTemp!$E$7),Parameters!$B$3:$D$6,3,0)*(ROWS($1:2082)-1))))</f>
        <v/>
      </c>
      <c r="D2094" s="68" t="str">
        <f t="shared" si="2"/>
        <v/>
      </c>
      <c r="E2094" s="65" t="str">
        <f>IF($B2094="","",VLOOKUP(MONTH(C2094),Parameters!$F$2:$G$13,2,0))</f>
        <v/>
      </c>
      <c r="F2094" s="69" t="str">
        <f>IF($B2094="","",PV-N(J2093))</f>
        <v/>
      </c>
      <c r="G2094" s="69" t="str">
        <f>IF($B2094="","",PMT(Rate,Nper,-PV,,Type))</f>
        <v/>
      </c>
      <c r="H2094" s="69" t="str">
        <f>IF($B2094="","",PPMT(Rate,ROWS($1:2082),Nper,-PV,,Type))</f>
        <v/>
      </c>
      <c r="I2094" s="69" t="str">
        <f>IF($B2094="","",IPMT(Rate,ROWS($1:2082),Nper,-PV,,Type))</f>
        <v/>
      </c>
      <c r="J2094" s="73" t="str">
        <f t="shared" ref="J2094:K2094" si="2084">IF($B2094="","",N(J2093)+N(H2094))</f>
        <v/>
      </c>
      <c r="K2094" s="74" t="str">
        <f t="shared" si="2084"/>
        <v/>
      </c>
      <c r="L2094" s="69" t="str">
        <f>IF($B2094="","",PV-J2094)</f>
        <v/>
      </c>
      <c r="M2094" s="71" t="str">
        <f>IF($B2094="","",J2094/PV)</f>
        <v/>
      </c>
      <c r="N2094" s="72" t="str">
        <f t="shared" si="4"/>
        <v/>
      </c>
    </row>
    <row r="2095" ht="14.25" customHeight="1">
      <c r="B2095" s="66" t="str">
        <f>IF(ROWS($1:2083)&lt;=Nper,ROWS($1:2083),"")</f>
        <v/>
      </c>
      <c r="C2095" s="67" t="str">
        <f>IF($B2095="","",IF($E$7="Weekly",Start_Date+7*(ROWS($1:2083)-1),EDATE(Start_Date,VLOOKUP(IF(ASTemp!$E$7="","Monthly",ASTemp!$E$7),Parameters!$B$3:$D$6,3,0)*(ROWS($1:2083)-1))))</f>
        <v/>
      </c>
      <c r="D2095" s="68" t="str">
        <f t="shared" si="2"/>
        <v/>
      </c>
      <c r="E2095" s="65" t="str">
        <f>IF($B2095="","",VLOOKUP(MONTH(C2095),Parameters!$F$2:$G$13,2,0))</f>
        <v/>
      </c>
      <c r="F2095" s="69" t="str">
        <f>IF($B2095="","",PV-N(J2094))</f>
        <v/>
      </c>
      <c r="G2095" s="69" t="str">
        <f>IF($B2095="","",PMT(Rate,Nper,-PV,,Type))</f>
        <v/>
      </c>
      <c r="H2095" s="69" t="str">
        <f>IF($B2095="","",PPMT(Rate,ROWS($1:2083),Nper,-PV,,Type))</f>
        <v/>
      </c>
      <c r="I2095" s="69" t="str">
        <f>IF($B2095="","",IPMT(Rate,ROWS($1:2083),Nper,-PV,,Type))</f>
        <v/>
      </c>
      <c r="J2095" s="73" t="str">
        <f t="shared" ref="J2095:K2095" si="2085">IF($B2095="","",N(J2094)+N(H2095))</f>
        <v/>
      </c>
      <c r="K2095" s="74" t="str">
        <f t="shared" si="2085"/>
        <v/>
      </c>
      <c r="L2095" s="69" t="str">
        <f>IF($B2095="","",PV-J2095)</f>
        <v/>
      </c>
      <c r="M2095" s="71" t="str">
        <f>IF($B2095="","",J2095/PV)</f>
        <v/>
      </c>
      <c r="N2095" s="72" t="str">
        <f t="shared" si="4"/>
        <v/>
      </c>
    </row>
    <row r="2096" ht="14.25" customHeight="1">
      <c r="B2096" s="66" t="str">
        <f>IF(ROWS($1:2084)&lt;=Nper,ROWS($1:2084),"")</f>
        <v/>
      </c>
      <c r="C2096" s="67" t="str">
        <f>IF($B2096="","",IF($E$7="Weekly",Start_Date+7*(ROWS($1:2084)-1),EDATE(Start_Date,VLOOKUP(IF(ASTemp!$E$7="","Monthly",ASTemp!$E$7),Parameters!$B$3:$D$6,3,0)*(ROWS($1:2084)-1))))</f>
        <v/>
      </c>
      <c r="D2096" s="68" t="str">
        <f t="shared" si="2"/>
        <v/>
      </c>
      <c r="E2096" s="65" t="str">
        <f>IF($B2096="","",VLOOKUP(MONTH(C2096),Parameters!$F$2:$G$13,2,0))</f>
        <v/>
      </c>
      <c r="F2096" s="69" t="str">
        <f>IF($B2096="","",PV-N(J2095))</f>
        <v/>
      </c>
      <c r="G2096" s="69" t="str">
        <f>IF($B2096="","",PMT(Rate,Nper,-PV,,Type))</f>
        <v/>
      </c>
      <c r="H2096" s="69" t="str">
        <f>IF($B2096="","",PPMT(Rate,ROWS($1:2084),Nper,-PV,,Type))</f>
        <v/>
      </c>
      <c r="I2096" s="69" t="str">
        <f>IF($B2096="","",IPMT(Rate,ROWS($1:2084),Nper,-PV,,Type))</f>
        <v/>
      </c>
      <c r="J2096" s="73" t="str">
        <f t="shared" ref="J2096:K2096" si="2086">IF($B2096="","",N(J2095)+N(H2096))</f>
        <v/>
      </c>
      <c r="K2096" s="74" t="str">
        <f t="shared" si="2086"/>
        <v/>
      </c>
      <c r="L2096" s="69" t="str">
        <f>IF($B2096="","",PV-J2096)</f>
        <v/>
      </c>
      <c r="M2096" s="71" t="str">
        <f>IF($B2096="","",J2096/PV)</f>
        <v/>
      </c>
      <c r="N2096" s="72" t="str">
        <f t="shared" si="4"/>
        <v/>
      </c>
    </row>
    <row r="2097" ht="14.25" customHeight="1">
      <c r="B2097" s="66" t="str">
        <f>IF(ROWS($1:2085)&lt;=Nper,ROWS($1:2085),"")</f>
        <v/>
      </c>
      <c r="C2097" s="67" t="str">
        <f>IF($B2097="","",IF($E$7="Weekly",Start_Date+7*(ROWS($1:2085)-1),EDATE(Start_Date,VLOOKUP(IF(ASTemp!$E$7="","Monthly",ASTemp!$E$7),Parameters!$B$3:$D$6,3,0)*(ROWS($1:2085)-1))))</f>
        <v/>
      </c>
      <c r="D2097" s="68" t="str">
        <f t="shared" si="2"/>
        <v/>
      </c>
      <c r="E2097" s="65" t="str">
        <f>IF($B2097="","",VLOOKUP(MONTH(C2097),Parameters!$F$2:$G$13,2,0))</f>
        <v/>
      </c>
      <c r="F2097" s="69" t="str">
        <f>IF($B2097="","",PV-N(J2096))</f>
        <v/>
      </c>
      <c r="G2097" s="69" t="str">
        <f>IF($B2097="","",PMT(Rate,Nper,-PV,,Type))</f>
        <v/>
      </c>
      <c r="H2097" s="69" t="str">
        <f>IF($B2097="","",PPMT(Rate,ROWS($1:2085),Nper,-PV,,Type))</f>
        <v/>
      </c>
      <c r="I2097" s="69" t="str">
        <f>IF($B2097="","",IPMT(Rate,ROWS($1:2085),Nper,-PV,,Type))</f>
        <v/>
      </c>
      <c r="J2097" s="73" t="str">
        <f t="shared" ref="J2097:K2097" si="2087">IF($B2097="","",N(J2096)+N(H2097))</f>
        <v/>
      </c>
      <c r="K2097" s="74" t="str">
        <f t="shared" si="2087"/>
        <v/>
      </c>
      <c r="L2097" s="69" t="str">
        <f>IF($B2097="","",PV-J2097)</f>
        <v/>
      </c>
      <c r="M2097" s="71" t="str">
        <f>IF($B2097="","",J2097/PV)</f>
        <v/>
      </c>
      <c r="N2097" s="72" t="str">
        <f t="shared" si="4"/>
        <v/>
      </c>
    </row>
    <row r="2098" ht="14.25" customHeight="1">
      <c r="B2098" s="66" t="str">
        <f>IF(ROWS($1:2086)&lt;=Nper,ROWS($1:2086),"")</f>
        <v/>
      </c>
      <c r="C2098" s="67" t="str">
        <f>IF($B2098="","",IF($E$7="Weekly",Start_Date+7*(ROWS($1:2086)-1),EDATE(Start_Date,VLOOKUP(IF(ASTemp!$E$7="","Monthly",ASTemp!$E$7),Parameters!$B$3:$D$6,3,0)*(ROWS($1:2086)-1))))</f>
        <v/>
      </c>
      <c r="D2098" s="68" t="str">
        <f t="shared" si="2"/>
        <v/>
      </c>
      <c r="E2098" s="65" t="str">
        <f>IF($B2098="","",VLOOKUP(MONTH(C2098),Parameters!$F$2:$G$13,2,0))</f>
        <v/>
      </c>
      <c r="F2098" s="69" t="str">
        <f>IF($B2098="","",PV-N(J2097))</f>
        <v/>
      </c>
      <c r="G2098" s="69" t="str">
        <f>IF($B2098="","",PMT(Rate,Nper,-PV,,Type))</f>
        <v/>
      </c>
      <c r="H2098" s="69" t="str">
        <f>IF($B2098="","",PPMT(Rate,ROWS($1:2086),Nper,-PV,,Type))</f>
        <v/>
      </c>
      <c r="I2098" s="69" t="str">
        <f>IF($B2098="","",IPMT(Rate,ROWS($1:2086),Nper,-PV,,Type))</f>
        <v/>
      </c>
      <c r="J2098" s="73" t="str">
        <f t="shared" ref="J2098:K2098" si="2088">IF($B2098="","",N(J2097)+N(H2098))</f>
        <v/>
      </c>
      <c r="K2098" s="74" t="str">
        <f t="shared" si="2088"/>
        <v/>
      </c>
      <c r="L2098" s="69" t="str">
        <f>IF($B2098="","",PV-J2098)</f>
        <v/>
      </c>
      <c r="M2098" s="71" t="str">
        <f>IF($B2098="","",J2098/PV)</f>
        <v/>
      </c>
      <c r="N2098" s="72" t="str">
        <f t="shared" si="4"/>
        <v/>
      </c>
    </row>
    <row r="2099" ht="14.25" customHeight="1">
      <c r="B2099" s="66" t="str">
        <f>IF(ROWS($1:2087)&lt;=Nper,ROWS($1:2087),"")</f>
        <v/>
      </c>
      <c r="C2099" s="67" t="str">
        <f>IF($B2099="","",IF($E$7="Weekly",Start_Date+7*(ROWS($1:2087)-1),EDATE(Start_Date,VLOOKUP(IF(ASTemp!$E$7="","Monthly",ASTemp!$E$7),Parameters!$B$3:$D$6,3,0)*(ROWS($1:2087)-1))))</f>
        <v/>
      </c>
      <c r="D2099" s="68" t="str">
        <f t="shared" si="2"/>
        <v/>
      </c>
      <c r="E2099" s="65" t="str">
        <f>IF($B2099="","",VLOOKUP(MONTH(C2099),Parameters!$F$2:$G$13,2,0))</f>
        <v/>
      </c>
      <c r="F2099" s="69" t="str">
        <f>IF($B2099="","",PV-N(J2098))</f>
        <v/>
      </c>
      <c r="G2099" s="69" t="str">
        <f>IF($B2099="","",PMT(Rate,Nper,-PV,,Type))</f>
        <v/>
      </c>
      <c r="H2099" s="69" t="str">
        <f>IF($B2099="","",PPMT(Rate,ROWS($1:2087),Nper,-PV,,Type))</f>
        <v/>
      </c>
      <c r="I2099" s="69" t="str">
        <f>IF($B2099="","",IPMT(Rate,ROWS($1:2087),Nper,-PV,,Type))</f>
        <v/>
      </c>
      <c r="J2099" s="73" t="str">
        <f t="shared" ref="J2099:K2099" si="2089">IF($B2099="","",N(J2098)+N(H2099))</f>
        <v/>
      </c>
      <c r="K2099" s="74" t="str">
        <f t="shared" si="2089"/>
        <v/>
      </c>
      <c r="L2099" s="69" t="str">
        <f>IF($B2099="","",PV-J2099)</f>
        <v/>
      </c>
      <c r="M2099" s="71" t="str">
        <f>IF($B2099="","",J2099/PV)</f>
        <v/>
      </c>
      <c r="N2099" s="72" t="str">
        <f t="shared" si="4"/>
        <v/>
      </c>
    </row>
    <row r="2100" ht="14.25" customHeight="1">
      <c r="B2100" s="66" t="str">
        <f>IF(ROWS($1:2088)&lt;=Nper,ROWS($1:2088),"")</f>
        <v/>
      </c>
      <c r="C2100" s="67" t="str">
        <f>IF($B2100="","",IF($E$7="Weekly",Start_Date+7*(ROWS($1:2088)-1),EDATE(Start_Date,VLOOKUP(IF(ASTemp!$E$7="","Monthly",ASTemp!$E$7),Parameters!$B$3:$D$6,3,0)*(ROWS($1:2088)-1))))</f>
        <v/>
      </c>
      <c r="D2100" s="68" t="str">
        <f t="shared" si="2"/>
        <v/>
      </c>
      <c r="E2100" s="65" t="str">
        <f>IF($B2100="","",VLOOKUP(MONTH(C2100),Parameters!$F$2:$G$13,2,0))</f>
        <v/>
      </c>
      <c r="F2100" s="69" t="str">
        <f>IF($B2100="","",PV-N(J2099))</f>
        <v/>
      </c>
      <c r="G2100" s="69" t="str">
        <f>IF($B2100="","",PMT(Rate,Nper,-PV,,Type))</f>
        <v/>
      </c>
      <c r="H2100" s="69" t="str">
        <f>IF($B2100="","",PPMT(Rate,ROWS($1:2088),Nper,-PV,,Type))</f>
        <v/>
      </c>
      <c r="I2100" s="69" t="str">
        <f>IF($B2100="","",IPMT(Rate,ROWS($1:2088),Nper,-PV,,Type))</f>
        <v/>
      </c>
      <c r="J2100" s="73" t="str">
        <f t="shared" ref="J2100:K2100" si="2090">IF($B2100="","",N(J2099)+N(H2100))</f>
        <v/>
      </c>
      <c r="K2100" s="74" t="str">
        <f t="shared" si="2090"/>
        <v/>
      </c>
      <c r="L2100" s="69" t="str">
        <f>IF($B2100="","",PV-J2100)</f>
        <v/>
      </c>
      <c r="M2100" s="71" t="str">
        <f>IF($B2100="","",J2100/PV)</f>
        <v/>
      </c>
      <c r="N2100" s="72" t="str">
        <f t="shared" si="4"/>
        <v/>
      </c>
    </row>
    <row r="2101" ht="14.25" customHeight="1">
      <c r="B2101" s="66" t="str">
        <f>IF(ROWS($1:2089)&lt;=Nper,ROWS($1:2089),"")</f>
        <v/>
      </c>
      <c r="C2101" s="67" t="str">
        <f>IF($B2101="","",IF($E$7="Weekly",Start_Date+7*(ROWS($1:2089)-1),EDATE(Start_Date,VLOOKUP(IF(ASTemp!$E$7="","Monthly",ASTemp!$E$7),Parameters!$B$3:$D$6,3,0)*(ROWS($1:2089)-1))))</f>
        <v/>
      </c>
      <c r="D2101" s="68" t="str">
        <f t="shared" si="2"/>
        <v/>
      </c>
      <c r="E2101" s="65" t="str">
        <f>IF($B2101="","",VLOOKUP(MONTH(C2101),Parameters!$F$2:$G$13,2,0))</f>
        <v/>
      </c>
      <c r="F2101" s="69" t="str">
        <f>IF($B2101="","",PV-N(J2100))</f>
        <v/>
      </c>
      <c r="G2101" s="69" t="str">
        <f>IF($B2101="","",PMT(Rate,Nper,-PV,,Type))</f>
        <v/>
      </c>
      <c r="H2101" s="69" t="str">
        <f>IF($B2101="","",PPMT(Rate,ROWS($1:2089),Nper,-PV,,Type))</f>
        <v/>
      </c>
      <c r="I2101" s="69" t="str">
        <f>IF($B2101="","",IPMT(Rate,ROWS($1:2089),Nper,-PV,,Type))</f>
        <v/>
      </c>
      <c r="J2101" s="73" t="str">
        <f t="shared" ref="J2101:K2101" si="2091">IF($B2101="","",N(J2100)+N(H2101))</f>
        <v/>
      </c>
      <c r="K2101" s="74" t="str">
        <f t="shared" si="2091"/>
        <v/>
      </c>
      <c r="L2101" s="69" t="str">
        <f>IF($B2101="","",PV-J2101)</f>
        <v/>
      </c>
      <c r="M2101" s="71" t="str">
        <f>IF($B2101="","",J2101/PV)</f>
        <v/>
      </c>
      <c r="N2101" s="72" t="str">
        <f t="shared" si="4"/>
        <v/>
      </c>
    </row>
    <row r="2102" ht="14.25" customHeight="1">
      <c r="B2102" s="66" t="str">
        <f>IF(ROWS($1:2090)&lt;=Nper,ROWS($1:2090),"")</f>
        <v/>
      </c>
      <c r="C2102" s="67" t="str">
        <f>IF($B2102="","",IF($E$7="Weekly",Start_Date+7*(ROWS($1:2090)-1),EDATE(Start_Date,VLOOKUP(IF(ASTemp!$E$7="","Monthly",ASTemp!$E$7),Parameters!$B$3:$D$6,3,0)*(ROWS($1:2090)-1))))</f>
        <v/>
      </c>
      <c r="D2102" s="68" t="str">
        <f t="shared" si="2"/>
        <v/>
      </c>
      <c r="E2102" s="65" t="str">
        <f>IF($B2102="","",VLOOKUP(MONTH(C2102),Parameters!$F$2:$G$13,2,0))</f>
        <v/>
      </c>
      <c r="F2102" s="69" t="str">
        <f>IF($B2102="","",PV-N(J2101))</f>
        <v/>
      </c>
      <c r="G2102" s="69" t="str">
        <f>IF($B2102="","",PMT(Rate,Nper,-PV,,Type))</f>
        <v/>
      </c>
      <c r="H2102" s="69" t="str">
        <f>IF($B2102="","",PPMT(Rate,ROWS($1:2090),Nper,-PV,,Type))</f>
        <v/>
      </c>
      <c r="I2102" s="69" t="str">
        <f>IF($B2102="","",IPMT(Rate,ROWS($1:2090),Nper,-PV,,Type))</f>
        <v/>
      </c>
      <c r="J2102" s="73" t="str">
        <f t="shared" ref="J2102:K2102" si="2092">IF($B2102="","",N(J2101)+N(H2102))</f>
        <v/>
      </c>
      <c r="K2102" s="74" t="str">
        <f t="shared" si="2092"/>
        <v/>
      </c>
      <c r="L2102" s="69" t="str">
        <f>IF($B2102="","",PV-J2102)</f>
        <v/>
      </c>
      <c r="M2102" s="71" t="str">
        <f>IF($B2102="","",J2102/PV)</f>
        <v/>
      </c>
      <c r="N2102" s="72" t="str">
        <f t="shared" si="4"/>
        <v/>
      </c>
    </row>
    <row r="2103" ht="14.25" customHeight="1">
      <c r="B2103" s="66" t="str">
        <f>IF(ROWS($1:2091)&lt;=Nper,ROWS($1:2091),"")</f>
        <v/>
      </c>
      <c r="C2103" s="67" t="str">
        <f>IF($B2103="","",IF($E$7="Weekly",Start_Date+7*(ROWS($1:2091)-1),EDATE(Start_Date,VLOOKUP(IF(ASTemp!$E$7="","Monthly",ASTemp!$E$7),Parameters!$B$3:$D$6,3,0)*(ROWS($1:2091)-1))))</f>
        <v/>
      </c>
      <c r="D2103" s="68" t="str">
        <f t="shared" si="2"/>
        <v/>
      </c>
      <c r="E2103" s="65" t="str">
        <f>IF($B2103="","",VLOOKUP(MONTH(C2103),Parameters!$F$2:$G$13,2,0))</f>
        <v/>
      </c>
      <c r="F2103" s="69" t="str">
        <f>IF($B2103="","",PV-N(J2102))</f>
        <v/>
      </c>
      <c r="G2103" s="69" t="str">
        <f>IF($B2103="","",PMT(Rate,Nper,-PV,,Type))</f>
        <v/>
      </c>
      <c r="H2103" s="69" t="str">
        <f>IF($B2103="","",PPMT(Rate,ROWS($1:2091),Nper,-PV,,Type))</f>
        <v/>
      </c>
      <c r="I2103" s="69" t="str">
        <f>IF($B2103="","",IPMT(Rate,ROWS($1:2091),Nper,-PV,,Type))</f>
        <v/>
      </c>
      <c r="J2103" s="73" t="str">
        <f t="shared" ref="J2103:K2103" si="2093">IF($B2103="","",N(J2102)+N(H2103))</f>
        <v/>
      </c>
      <c r="K2103" s="74" t="str">
        <f t="shared" si="2093"/>
        <v/>
      </c>
      <c r="L2103" s="69" t="str">
        <f>IF($B2103="","",PV-J2103)</f>
        <v/>
      </c>
      <c r="M2103" s="71" t="str">
        <f>IF($B2103="","",J2103/PV)</f>
        <v/>
      </c>
      <c r="N2103" s="72" t="str">
        <f t="shared" si="4"/>
        <v/>
      </c>
    </row>
    <row r="2104" ht="14.25" customHeight="1">
      <c r="B2104" s="66" t="str">
        <f>IF(ROWS($1:2092)&lt;=Nper,ROWS($1:2092),"")</f>
        <v/>
      </c>
      <c r="C2104" s="67" t="str">
        <f>IF($B2104="","",IF($E$7="Weekly",Start_Date+7*(ROWS($1:2092)-1),EDATE(Start_Date,VLOOKUP(IF(ASTemp!$E$7="","Monthly",ASTemp!$E$7),Parameters!$B$3:$D$6,3,0)*(ROWS($1:2092)-1))))</f>
        <v/>
      </c>
      <c r="D2104" s="68" t="str">
        <f t="shared" si="2"/>
        <v/>
      </c>
      <c r="E2104" s="65" t="str">
        <f>IF($B2104="","",VLOOKUP(MONTH(C2104),Parameters!$F$2:$G$13,2,0))</f>
        <v/>
      </c>
      <c r="F2104" s="69" t="str">
        <f>IF($B2104="","",PV-N(J2103))</f>
        <v/>
      </c>
      <c r="G2104" s="69" t="str">
        <f>IF($B2104="","",PMT(Rate,Nper,-PV,,Type))</f>
        <v/>
      </c>
      <c r="H2104" s="69" t="str">
        <f>IF($B2104="","",PPMT(Rate,ROWS($1:2092),Nper,-PV,,Type))</f>
        <v/>
      </c>
      <c r="I2104" s="69" t="str">
        <f>IF($B2104="","",IPMT(Rate,ROWS($1:2092),Nper,-PV,,Type))</f>
        <v/>
      </c>
      <c r="J2104" s="73" t="str">
        <f t="shared" ref="J2104:K2104" si="2094">IF($B2104="","",N(J2103)+N(H2104))</f>
        <v/>
      </c>
      <c r="K2104" s="74" t="str">
        <f t="shared" si="2094"/>
        <v/>
      </c>
      <c r="L2104" s="69" t="str">
        <f>IF($B2104="","",PV-J2104)</f>
        <v/>
      </c>
      <c r="M2104" s="71" t="str">
        <f>IF($B2104="","",J2104/PV)</f>
        <v/>
      </c>
      <c r="N2104" s="72" t="str">
        <f t="shared" si="4"/>
        <v/>
      </c>
    </row>
    <row r="2105" ht="14.25" customHeight="1">
      <c r="B2105" s="66" t="str">
        <f>IF(ROWS($1:2093)&lt;=Nper,ROWS($1:2093),"")</f>
        <v/>
      </c>
      <c r="C2105" s="67" t="str">
        <f>IF($B2105="","",IF($E$7="Weekly",Start_Date+7*(ROWS($1:2093)-1),EDATE(Start_Date,VLOOKUP(IF(ASTemp!$E$7="","Monthly",ASTemp!$E$7),Parameters!$B$3:$D$6,3,0)*(ROWS($1:2093)-1))))</f>
        <v/>
      </c>
      <c r="D2105" s="68" t="str">
        <f t="shared" si="2"/>
        <v/>
      </c>
      <c r="E2105" s="65" t="str">
        <f>IF($B2105="","",VLOOKUP(MONTH(C2105),Parameters!$F$2:$G$13,2,0))</f>
        <v/>
      </c>
      <c r="F2105" s="69" t="str">
        <f>IF($B2105="","",PV-N(J2104))</f>
        <v/>
      </c>
      <c r="G2105" s="69" t="str">
        <f>IF($B2105="","",PMT(Rate,Nper,-PV,,Type))</f>
        <v/>
      </c>
      <c r="H2105" s="69" t="str">
        <f>IF($B2105="","",PPMT(Rate,ROWS($1:2093),Nper,-PV,,Type))</f>
        <v/>
      </c>
      <c r="I2105" s="69" t="str">
        <f>IF($B2105="","",IPMT(Rate,ROWS($1:2093),Nper,-PV,,Type))</f>
        <v/>
      </c>
      <c r="J2105" s="73" t="str">
        <f t="shared" ref="J2105:K2105" si="2095">IF($B2105="","",N(J2104)+N(H2105))</f>
        <v/>
      </c>
      <c r="K2105" s="74" t="str">
        <f t="shared" si="2095"/>
        <v/>
      </c>
      <c r="L2105" s="69" t="str">
        <f>IF($B2105="","",PV-J2105)</f>
        <v/>
      </c>
      <c r="M2105" s="71" t="str">
        <f>IF($B2105="","",J2105/PV)</f>
        <v/>
      </c>
      <c r="N2105" s="72" t="str">
        <f t="shared" si="4"/>
        <v/>
      </c>
    </row>
    <row r="2106" ht="14.25" customHeight="1">
      <c r="B2106" s="66" t="str">
        <f>IF(ROWS($1:2094)&lt;=Nper,ROWS($1:2094),"")</f>
        <v/>
      </c>
      <c r="C2106" s="67" t="str">
        <f>IF($B2106="","",IF($E$7="Weekly",Start_Date+7*(ROWS($1:2094)-1),EDATE(Start_Date,VLOOKUP(IF(ASTemp!$E$7="","Monthly",ASTemp!$E$7),Parameters!$B$3:$D$6,3,0)*(ROWS($1:2094)-1))))</f>
        <v/>
      </c>
      <c r="D2106" s="68" t="str">
        <f t="shared" si="2"/>
        <v/>
      </c>
      <c r="E2106" s="65" t="str">
        <f>IF($B2106="","",VLOOKUP(MONTH(C2106),Parameters!$F$2:$G$13,2,0))</f>
        <v/>
      </c>
      <c r="F2106" s="69" t="str">
        <f>IF($B2106="","",PV-N(J2105))</f>
        <v/>
      </c>
      <c r="G2106" s="69" t="str">
        <f>IF($B2106="","",PMT(Rate,Nper,-PV,,Type))</f>
        <v/>
      </c>
      <c r="H2106" s="69" t="str">
        <f>IF($B2106="","",PPMT(Rate,ROWS($1:2094),Nper,-PV,,Type))</f>
        <v/>
      </c>
      <c r="I2106" s="69" t="str">
        <f>IF($B2106="","",IPMT(Rate,ROWS($1:2094),Nper,-PV,,Type))</f>
        <v/>
      </c>
      <c r="J2106" s="73" t="str">
        <f t="shared" ref="J2106:K2106" si="2096">IF($B2106="","",N(J2105)+N(H2106))</f>
        <v/>
      </c>
      <c r="K2106" s="74" t="str">
        <f t="shared" si="2096"/>
        <v/>
      </c>
      <c r="L2106" s="69" t="str">
        <f>IF($B2106="","",PV-J2106)</f>
        <v/>
      </c>
      <c r="M2106" s="71" t="str">
        <f>IF($B2106="","",J2106/PV)</f>
        <v/>
      </c>
      <c r="N2106" s="72" t="str">
        <f t="shared" si="4"/>
        <v/>
      </c>
    </row>
    <row r="2107" ht="14.25" customHeight="1">
      <c r="B2107" s="66" t="str">
        <f>IF(ROWS($1:2095)&lt;=Nper,ROWS($1:2095),"")</f>
        <v/>
      </c>
      <c r="C2107" s="67" t="str">
        <f>IF($B2107="","",IF($E$7="Weekly",Start_Date+7*(ROWS($1:2095)-1),EDATE(Start_Date,VLOOKUP(IF(ASTemp!$E$7="","Monthly",ASTemp!$E$7),Parameters!$B$3:$D$6,3,0)*(ROWS($1:2095)-1))))</f>
        <v/>
      </c>
      <c r="D2107" s="68" t="str">
        <f t="shared" si="2"/>
        <v/>
      </c>
      <c r="E2107" s="65" t="str">
        <f>IF($B2107="","",VLOOKUP(MONTH(C2107),Parameters!$F$2:$G$13,2,0))</f>
        <v/>
      </c>
      <c r="F2107" s="69" t="str">
        <f>IF($B2107="","",PV-N(J2106))</f>
        <v/>
      </c>
      <c r="G2107" s="69" t="str">
        <f>IF($B2107="","",PMT(Rate,Nper,-PV,,Type))</f>
        <v/>
      </c>
      <c r="H2107" s="69" t="str">
        <f>IF($B2107="","",PPMT(Rate,ROWS($1:2095),Nper,-PV,,Type))</f>
        <v/>
      </c>
      <c r="I2107" s="69" t="str">
        <f>IF($B2107="","",IPMT(Rate,ROWS($1:2095),Nper,-PV,,Type))</f>
        <v/>
      </c>
      <c r="J2107" s="73" t="str">
        <f t="shared" ref="J2107:K2107" si="2097">IF($B2107="","",N(J2106)+N(H2107))</f>
        <v/>
      </c>
      <c r="K2107" s="74" t="str">
        <f t="shared" si="2097"/>
        <v/>
      </c>
      <c r="L2107" s="69" t="str">
        <f>IF($B2107="","",PV-J2107)</f>
        <v/>
      </c>
      <c r="M2107" s="71" t="str">
        <f>IF($B2107="","",J2107/PV)</f>
        <v/>
      </c>
      <c r="N2107" s="72" t="str">
        <f t="shared" si="4"/>
        <v/>
      </c>
    </row>
    <row r="2108" ht="14.25" customHeight="1">
      <c r="B2108" s="66" t="str">
        <f>IF(ROWS($1:2096)&lt;=Nper,ROWS($1:2096),"")</f>
        <v/>
      </c>
      <c r="C2108" s="67" t="str">
        <f>IF($B2108="","",IF($E$7="Weekly",Start_Date+7*(ROWS($1:2096)-1),EDATE(Start_Date,VLOOKUP(IF(ASTemp!$E$7="","Monthly",ASTemp!$E$7),Parameters!$B$3:$D$6,3,0)*(ROWS($1:2096)-1))))</f>
        <v/>
      </c>
      <c r="D2108" s="68" t="str">
        <f t="shared" si="2"/>
        <v/>
      </c>
      <c r="E2108" s="65" t="str">
        <f>IF($B2108="","",VLOOKUP(MONTH(C2108),Parameters!$F$2:$G$13,2,0))</f>
        <v/>
      </c>
      <c r="F2108" s="69" t="str">
        <f>IF($B2108="","",PV-N(J2107))</f>
        <v/>
      </c>
      <c r="G2108" s="69" t="str">
        <f>IF($B2108="","",PMT(Rate,Nper,-PV,,Type))</f>
        <v/>
      </c>
      <c r="H2108" s="69" t="str">
        <f>IF($B2108="","",PPMT(Rate,ROWS($1:2096),Nper,-PV,,Type))</f>
        <v/>
      </c>
      <c r="I2108" s="69" t="str">
        <f>IF($B2108="","",IPMT(Rate,ROWS($1:2096),Nper,-PV,,Type))</f>
        <v/>
      </c>
      <c r="J2108" s="73" t="str">
        <f t="shared" ref="J2108:K2108" si="2098">IF($B2108="","",N(J2107)+N(H2108))</f>
        <v/>
      </c>
      <c r="K2108" s="74" t="str">
        <f t="shared" si="2098"/>
        <v/>
      </c>
      <c r="L2108" s="69" t="str">
        <f>IF($B2108="","",PV-J2108)</f>
        <v/>
      </c>
      <c r="M2108" s="71" t="str">
        <f>IF($B2108="","",J2108/PV)</f>
        <v/>
      </c>
      <c r="N2108" s="72" t="str">
        <f t="shared" si="4"/>
        <v/>
      </c>
    </row>
    <row r="2109" ht="14.25" customHeight="1">
      <c r="B2109" s="66" t="str">
        <f>IF(ROWS($1:2097)&lt;=Nper,ROWS($1:2097),"")</f>
        <v/>
      </c>
      <c r="C2109" s="67" t="str">
        <f>IF($B2109="","",IF($E$7="Weekly",Start_Date+7*(ROWS($1:2097)-1),EDATE(Start_Date,VLOOKUP(IF(ASTemp!$E$7="","Monthly",ASTemp!$E$7),Parameters!$B$3:$D$6,3,0)*(ROWS($1:2097)-1))))</f>
        <v/>
      </c>
      <c r="D2109" s="68" t="str">
        <f t="shared" si="2"/>
        <v/>
      </c>
      <c r="E2109" s="65" t="str">
        <f>IF($B2109="","",VLOOKUP(MONTH(C2109),Parameters!$F$2:$G$13,2,0))</f>
        <v/>
      </c>
      <c r="F2109" s="69" t="str">
        <f>IF($B2109="","",PV-N(J2108))</f>
        <v/>
      </c>
      <c r="G2109" s="69" t="str">
        <f>IF($B2109="","",PMT(Rate,Nper,-PV,,Type))</f>
        <v/>
      </c>
      <c r="H2109" s="69" t="str">
        <f>IF($B2109="","",PPMT(Rate,ROWS($1:2097),Nper,-PV,,Type))</f>
        <v/>
      </c>
      <c r="I2109" s="69" t="str">
        <f>IF($B2109="","",IPMT(Rate,ROWS($1:2097),Nper,-PV,,Type))</f>
        <v/>
      </c>
      <c r="J2109" s="73" t="str">
        <f t="shared" ref="J2109:K2109" si="2099">IF($B2109="","",N(J2108)+N(H2109))</f>
        <v/>
      </c>
      <c r="K2109" s="74" t="str">
        <f t="shared" si="2099"/>
        <v/>
      </c>
      <c r="L2109" s="69" t="str">
        <f>IF($B2109="","",PV-J2109)</f>
        <v/>
      </c>
      <c r="M2109" s="71" t="str">
        <f>IF($B2109="","",J2109/PV)</f>
        <v/>
      </c>
      <c r="N2109" s="72" t="str">
        <f t="shared" si="4"/>
        <v/>
      </c>
    </row>
    <row r="2110" ht="14.25" customHeight="1">
      <c r="B2110" s="66" t="str">
        <f>IF(ROWS($1:2098)&lt;=Nper,ROWS($1:2098),"")</f>
        <v/>
      </c>
      <c r="C2110" s="67" t="str">
        <f>IF($B2110="","",IF($E$7="Weekly",Start_Date+7*(ROWS($1:2098)-1),EDATE(Start_Date,VLOOKUP(IF(ASTemp!$E$7="","Monthly",ASTemp!$E$7),Parameters!$B$3:$D$6,3,0)*(ROWS($1:2098)-1))))</f>
        <v/>
      </c>
      <c r="D2110" s="68" t="str">
        <f t="shared" si="2"/>
        <v/>
      </c>
      <c r="E2110" s="65" t="str">
        <f>IF($B2110="","",VLOOKUP(MONTH(C2110),Parameters!$F$2:$G$13,2,0))</f>
        <v/>
      </c>
      <c r="F2110" s="69" t="str">
        <f>IF($B2110="","",PV-N(J2109))</f>
        <v/>
      </c>
      <c r="G2110" s="69" t="str">
        <f>IF($B2110="","",PMT(Rate,Nper,-PV,,Type))</f>
        <v/>
      </c>
      <c r="H2110" s="69" t="str">
        <f>IF($B2110="","",PPMT(Rate,ROWS($1:2098),Nper,-PV,,Type))</f>
        <v/>
      </c>
      <c r="I2110" s="69" t="str">
        <f>IF($B2110="","",IPMT(Rate,ROWS($1:2098),Nper,-PV,,Type))</f>
        <v/>
      </c>
      <c r="J2110" s="73" t="str">
        <f t="shared" ref="J2110:K2110" si="2100">IF($B2110="","",N(J2109)+N(H2110))</f>
        <v/>
      </c>
      <c r="K2110" s="74" t="str">
        <f t="shared" si="2100"/>
        <v/>
      </c>
      <c r="L2110" s="69" t="str">
        <f>IF($B2110="","",PV-J2110)</f>
        <v/>
      </c>
      <c r="M2110" s="71" t="str">
        <f>IF($B2110="","",J2110/PV)</f>
        <v/>
      </c>
      <c r="N2110" s="72" t="str">
        <f t="shared" si="4"/>
        <v/>
      </c>
    </row>
    <row r="2111" ht="14.25" customHeight="1">
      <c r="B2111" s="66" t="str">
        <f>IF(ROWS($1:2099)&lt;=Nper,ROWS($1:2099),"")</f>
        <v/>
      </c>
      <c r="C2111" s="67" t="str">
        <f>IF($B2111="","",IF($E$7="Weekly",Start_Date+7*(ROWS($1:2099)-1),EDATE(Start_Date,VLOOKUP(IF(ASTemp!$E$7="","Monthly",ASTemp!$E$7),Parameters!$B$3:$D$6,3,0)*(ROWS($1:2099)-1))))</f>
        <v/>
      </c>
      <c r="D2111" s="68" t="str">
        <f t="shared" si="2"/>
        <v/>
      </c>
      <c r="E2111" s="65" t="str">
        <f>IF($B2111="","",VLOOKUP(MONTH(C2111),Parameters!$F$2:$G$13,2,0))</f>
        <v/>
      </c>
      <c r="F2111" s="69" t="str">
        <f>IF($B2111="","",PV-N(J2110))</f>
        <v/>
      </c>
      <c r="G2111" s="69" t="str">
        <f>IF($B2111="","",PMT(Rate,Nper,-PV,,Type))</f>
        <v/>
      </c>
      <c r="H2111" s="69" t="str">
        <f>IF($B2111="","",PPMT(Rate,ROWS($1:2099),Nper,-PV,,Type))</f>
        <v/>
      </c>
      <c r="I2111" s="69" t="str">
        <f>IF($B2111="","",IPMT(Rate,ROWS($1:2099),Nper,-PV,,Type))</f>
        <v/>
      </c>
      <c r="J2111" s="73" t="str">
        <f t="shared" ref="J2111:K2111" si="2101">IF($B2111="","",N(J2110)+N(H2111))</f>
        <v/>
      </c>
      <c r="K2111" s="74" t="str">
        <f t="shared" si="2101"/>
        <v/>
      </c>
      <c r="L2111" s="69" t="str">
        <f>IF($B2111="","",PV-J2111)</f>
        <v/>
      </c>
      <c r="M2111" s="71" t="str">
        <f>IF($B2111="","",J2111/PV)</f>
        <v/>
      </c>
      <c r="N2111" s="72" t="str">
        <f t="shared" si="4"/>
        <v/>
      </c>
    </row>
    <row r="2112" ht="14.25" customHeight="1">
      <c r="B2112" s="66" t="str">
        <f>IF(ROWS($1:2100)&lt;=Nper,ROWS($1:2100),"")</f>
        <v/>
      </c>
      <c r="C2112" s="67" t="str">
        <f>IF($B2112="","",IF($E$7="Weekly",Start_Date+7*(ROWS($1:2100)-1),EDATE(Start_Date,VLOOKUP(IF(ASTemp!$E$7="","Monthly",ASTemp!$E$7),Parameters!$B$3:$D$6,3,0)*(ROWS($1:2100)-1))))</f>
        <v/>
      </c>
      <c r="D2112" s="68" t="str">
        <f t="shared" si="2"/>
        <v/>
      </c>
      <c r="E2112" s="65" t="str">
        <f>IF($B2112="","",VLOOKUP(MONTH(C2112),Parameters!$F$2:$G$13,2,0))</f>
        <v/>
      </c>
      <c r="F2112" s="69" t="str">
        <f>IF($B2112="","",PV-N(J2111))</f>
        <v/>
      </c>
      <c r="G2112" s="69" t="str">
        <f>IF($B2112="","",PMT(Rate,Nper,-PV,,Type))</f>
        <v/>
      </c>
      <c r="H2112" s="69" t="str">
        <f>IF($B2112="","",PPMT(Rate,ROWS($1:2100),Nper,-PV,,Type))</f>
        <v/>
      </c>
      <c r="I2112" s="69" t="str">
        <f>IF($B2112="","",IPMT(Rate,ROWS($1:2100),Nper,-PV,,Type))</f>
        <v/>
      </c>
      <c r="J2112" s="73" t="str">
        <f t="shared" ref="J2112:K2112" si="2102">IF($B2112="","",N(J2111)+N(H2112))</f>
        <v/>
      </c>
      <c r="K2112" s="74" t="str">
        <f t="shared" si="2102"/>
        <v/>
      </c>
      <c r="L2112" s="69" t="str">
        <f>IF($B2112="","",PV-J2112)</f>
        <v/>
      </c>
      <c r="M2112" s="71" t="str">
        <f>IF($B2112="","",J2112/PV)</f>
        <v/>
      </c>
      <c r="N2112" s="72" t="str">
        <f t="shared" si="4"/>
        <v/>
      </c>
    </row>
    <row r="2113" ht="14.25" customHeight="1">
      <c r="B2113" s="66" t="str">
        <f>IF(ROWS($1:2101)&lt;=Nper,ROWS($1:2101),"")</f>
        <v/>
      </c>
      <c r="C2113" s="67" t="str">
        <f>IF($B2113="","",IF($E$7="Weekly",Start_Date+7*(ROWS($1:2101)-1),EDATE(Start_Date,VLOOKUP(IF(ASTemp!$E$7="","Monthly",ASTemp!$E$7),Parameters!$B$3:$D$6,3,0)*(ROWS($1:2101)-1))))</f>
        <v/>
      </c>
      <c r="D2113" s="68" t="str">
        <f t="shared" si="2"/>
        <v/>
      </c>
      <c r="E2113" s="65" t="str">
        <f>IF($B2113="","",VLOOKUP(MONTH(C2113),Parameters!$F$2:$G$13,2,0))</f>
        <v/>
      </c>
      <c r="F2113" s="69" t="str">
        <f>IF($B2113="","",PV-N(J2112))</f>
        <v/>
      </c>
      <c r="G2113" s="69" t="str">
        <f>IF($B2113="","",PMT(Rate,Nper,-PV,,Type))</f>
        <v/>
      </c>
      <c r="H2113" s="69" t="str">
        <f>IF($B2113="","",PPMT(Rate,ROWS($1:2101),Nper,-PV,,Type))</f>
        <v/>
      </c>
      <c r="I2113" s="69" t="str">
        <f>IF($B2113="","",IPMT(Rate,ROWS($1:2101),Nper,-PV,,Type))</f>
        <v/>
      </c>
      <c r="J2113" s="73" t="str">
        <f t="shared" ref="J2113:K2113" si="2103">IF($B2113="","",N(J2112)+N(H2113))</f>
        <v/>
      </c>
      <c r="K2113" s="74" t="str">
        <f t="shared" si="2103"/>
        <v/>
      </c>
      <c r="L2113" s="69" t="str">
        <f>IF($B2113="","",PV-J2113)</f>
        <v/>
      </c>
      <c r="M2113" s="71" t="str">
        <f>IF($B2113="","",J2113/PV)</f>
        <v/>
      </c>
      <c r="N2113" s="72" t="str">
        <f t="shared" si="4"/>
        <v/>
      </c>
    </row>
    <row r="2114" ht="14.25" customHeight="1">
      <c r="B2114" s="66" t="str">
        <f>IF(ROWS($1:2102)&lt;=Nper,ROWS($1:2102),"")</f>
        <v/>
      </c>
      <c r="C2114" s="67" t="str">
        <f>IF($B2114="","",IF($E$7="Weekly",Start_Date+7*(ROWS($1:2102)-1),EDATE(Start_Date,VLOOKUP(IF(ASTemp!$E$7="","Monthly",ASTemp!$E$7),Parameters!$B$3:$D$6,3,0)*(ROWS($1:2102)-1))))</f>
        <v/>
      </c>
      <c r="D2114" s="68" t="str">
        <f t="shared" si="2"/>
        <v/>
      </c>
      <c r="E2114" s="65" t="str">
        <f>IF($B2114="","",VLOOKUP(MONTH(C2114),Parameters!$F$2:$G$13,2,0))</f>
        <v/>
      </c>
      <c r="F2114" s="69" t="str">
        <f>IF($B2114="","",PV-N(J2113))</f>
        <v/>
      </c>
      <c r="G2114" s="69" t="str">
        <f>IF($B2114="","",PMT(Rate,Nper,-PV,,Type))</f>
        <v/>
      </c>
      <c r="H2114" s="69" t="str">
        <f>IF($B2114="","",PPMT(Rate,ROWS($1:2102),Nper,-PV,,Type))</f>
        <v/>
      </c>
      <c r="I2114" s="69" t="str">
        <f>IF($B2114="","",IPMT(Rate,ROWS($1:2102),Nper,-PV,,Type))</f>
        <v/>
      </c>
      <c r="J2114" s="73" t="str">
        <f t="shared" ref="J2114:K2114" si="2104">IF($B2114="","",N(J2113)+N(H2114))</f>
        <v/>
      </c>
      <c r="K2114" s="74" t="str">
        <f t="shared" si="2104"/>
        <v/>
      </c>
      <c r="L2114" s="69" t="str">
        <f>IF($B2114="","",PV-J2114)</f>
        <v/>
      </c>
      <c r="M2114" s="71" t="str">
        <f>IF($B2114="","",J2114/PV)</f>
        <v/>
      </c>
      <c r="N2114" s="72" t="str">
        <f t="shared" si="4"/>
        <v/>
      </c>
    </row>
    <row r="2115" ht="14.25" customHeight="1">
      <c r="B2115" s="66" t="str">
        <f>IF(ROWS($1:2103)&lt;=Nper,ROWS($1:2103),"")</f>
        <v/>
      </c>
      <c r="C2115" s="67" t="str">
        <f>IF($B2115="","",IF($E$7="Weekly",Start_Date+7*(ROWS($1:2103)-1),EDATE(Start_Date,VLOOKUP(IF(ASTemp!$E$7="","Monthly",ASTemp!$E$7),Parameters!$B$3:$D$6,3,0)*(ROWS($1:2103)-1))))</f>
        <v/>
      </c>
      <c r="D2115" s="68" t="str">
        <f t="shared" si="2"/>
        <v/>
      </c>
      <c r="E2115" s="65" t="str">
        <f>IF($B2115="","",VLOOKUP(MONTH(C2115),Parameters!$F$2:$G$13,2,0))</f>
        <v/>
      </c>
      <c r="F2115" s="69" t="str">
        <f>IF($B2115="","",PV-N(J2114))</f>
        <v/>
      </c>
      <c r="G2115" s="69" t="str">
        <f>IF($B2115="","",PMT(Rate,Nper,-PV,,Type))</f>
        <v/>
      </c>
      <c r="H2115" s="69" t="str">
        <f>IF($B2115="","",PPMT(Rate,ROWS($1:2103),Nper,-PV,,Type))</f>
        <v/>
      </c>
      <c r="I2115" s="69" t="str">
        <f>IF($B2115="","",IPMT(Rate,ROWS($1:2103),Nper,-PV,,Type))</f>
        <v/>
      </c>
      <c r="J2115" s="73" t="str">
        <f t="shared" ref="J2115:K2115" si="2105">IF($B2115="","",N(J2114)+N(H2115))</f>
        <v/>
      </c>
      <c r="K2115" s="74" t="str">
        <f t="shared" si="2105"/>
        <v/>
      </c>
      <c r="L2115" s="69" t="str">
        <f>IF($B2115="","",PV-J2115)</f>
        <v/>
      </c>
      <c r="M2115" s="71" t="str">
        <f>IF($B2115="","",J2115/PV)</f>
        <v/>
      </c>
      <c r="N2115" s="72" t="str">
        <f t="shared" si="4"/>
        <v/>
      </c>
    </row>
    <row r="2116" ht="14.25" customHeight="1">
      <c r="B2116" s="66" t="str">
        <f>IF(ROWS($1:2104)&lt;=Nper,ROWS($1:2104),"")</f>
        <v/>
      </c>
      <c r="C2116" s="67" t="str">
        <f>IF($B2116="","",IF($E$7="Weekly",Start_Date+7*(ROWS($1:2104)-1),EDATE(Start_Date,VLOOKUP(IF(ASTemp!$E$7="","Monthly",ASTemp!$E$7),Parameters!$B$3:$D$6,3,0)*(ROWS($1:2104)-1))))</f>
        <v/>
      </c>
      <c r="D2116" s="68" t="str">
        <f t="shared" si="2"/>
        <v/>
      </c>
      <c r="E2116" s="65" t="str">
        <f>IF($B2116="","",VLOOKUP(MONTH(C2116),Parameters!$F$2:$G$13,2,0))</f>
        <v/>
      </c>
      <c r="F2116" s="69" t="str">
        <f>IF($B2116="","",PV-N(J2115))</f>
        <v/>
      </c>
      <c r="G2116" s="69" t="str">
        <f>IF($B2116="","",PMT(Rate,Nper,-PV,,Type))</f>
        <v/>
      </c>
      <c r="H2116" s="69" t="str">
        <f>IF($B2116="","",PPMT(Rate,ROWS($1:2104),Nper,-PV,,Type))</f>
        <v/>
      </c>
      <c r="I2116" s="69" t="str">
        <f>IF($B2116="","",IPMT(Rate,ROWS($1:2104),Nper,-PV,,Type))</f>
        <v/>
      </c>
      <c r="J2116" s="73" t="str">
        <f t="shared" ref="J2116:K2116" si="2106">IF($B2116="","",N(J2115)+N(H2116))</f>
        <v/>
      </c>
      <c r="K2116" s="74" t="str">
        <f t="shared" si="2106"/>
        <v/>
      </c>
      <c r="L2116" s="69" t="str">
        <f>IF($B2116="","",PV-J2116)</f>
        <v/>
      </c>
      <c r="M2116" s="71" t="str">
        <f>IF($B2116="","",J2116/PV)</f>
        <v/>
      </c>
      <c r="N2116" s="72" t="str">
        <f t="shared" si="4"/>
        <v/>
      </c>
    </row>
    <row r="2117" ht="14.25" customHeight="1">
      <c r="B2117" s="66" t="str">
        <f>IF(ROWS($1:2105)&lt;=Nper,ROWS($1:2105),"")</f>
        <v/>
      </c>
      <c r="C2117" s="67" t="str">
        <f>IF($B2117="","",IF($E$7="Weekly",Start_Date+7*(ROWS($1:2105)-1),EDATE(Start_Date,VLOOKUP(IF(ASTemp!$E$7="","Monthly",ASTemp!$E$7),Parameters!$B$3:$D$6,3,0)*(ROWS($1:2105)-1))))</f>
        <v/>
      </c>
      <c r="D2117" s="68" t="str">
        <f t="shared" si="2"/>
        <v/>
      </c>
      <c r="E2117" s="65" t="str">
        <f>IF($B2117="","",VLOOKUP(MONTH(C2117),Parameters!$F$2:$G$13,2,0))</f>
        <v/>
      </c>
      <c r="F2117" s="69" t="str">
        <f>IF($B2117="","",PV-N(J2116))</f>
        <v/>
      </c>
      <c r="G2117" s="69" t="str">
        <f>IF($B2117="","",PMT(Rate,Nper,-PV,,Type))</f>
        <v/>
      </c>
      <c r="H2117" s="69" t="str">
        <f>IF($B2117="","",PPMT(Rate,ROWS($1:2105),Nper,-PV,,Type))</f>
        <v/>
      </c>
      <c r="I2117" s="69" t="str">
        <f>IF($B2117="","",IPMT(Rate,ROWS($1:2105),Nper,-PV,,Type))</f>
        <v/>
      </c>
      <c r="J2117" s="73" t="str">
        <f t="shared" ref="J2117:K2117" si="2107">IF($B2117="","",N(J2116)+N(H2117))</f>
        <v/>
      </c>
      <c r="K2117" s="74" t="str">
        <f t="shared" si="2107"/>
        <v/>
      </c>
      <c r="L2117" s="69" t="str">
        <f>IF($B2117="","",PV-J2117)</f>
        <v/>
      </c>
      <c r="M2117" s="71" t="str">
        <f>IF($B2117="","",J2117/PV)</f>
        <v/>
      </c>
      <c r="N2117" s="72" t="str">
        <f t="shared" si="4"/>
        <v/>
      </c>
    </row>
    <row r="2118" ht="14.25" customHeight="1">
      <c r="B2118" s="66" t="str">
        <f>IF(ROWS($1:2106)&lt;=Nper,ROWS($1:2106),"")</f>
        <v/>
      </c>
      <c r="C2118" s="67" t="str">
        <f>IF($B2118="","",IF($E$7="Weekly",Start_Date+7*(ROWS($1:2106)-1),EDATE(Start_Date,VLOOKUP(IF(ASTemp!$E$7="","Monthly",ASTemp!$E$7),Parameters!$B$3:$D$6,3,0)*(ROWS($1:2106)-1))))</f>
        <v/>
      </c>
      <c r="D2118" s="68" t="str">
        <f t="shared" si="2"/>
        <v/>
      </c>
      <c r="E2118" s="65" t="str">
        <f>IF($B2118="","",VLOOKUP(MONTH(C2118),Parameters!$F$2:$G$13,2,0))</f>
        <v/>
      </c>
      <c r="F2118" s="69" t="str">
        <f>IF($B2118="","",PV-N(J2117))</f>
        <v/>
      </c>
      <c r="G2118" s="69" t="str">
        <f>IF($B2118="","",PMT(Rate,Nper,-PV,,Type))</f>
        <v/>
      </c>
      <c r="H2118" s="69" t="str">
        <f>IF($B2118="","",PPMT(Rate,ROWS($1:2106),Nper,-PV,,Type))</f>
        <v/>
      </c>
      <c r="I2118" s="69" t="str">
        <f>IF($B2118="","",IPMT(Rate,ROWS($1:2106),Nper,-PV,,Type))</f>
        <v/>
      </c>
      <c r="J2118" s="73" t="str">
        <f t="shared" ref="J2118:K2118" si="2108">IF($B2118="","",N(J2117)+N(H2118))</f>
        <v/>
      </c>
      <c r="K2118" s="74" t="str">
        <f t="shared" si="2108"/>
        <v/>
      </c>
      <c r="L2118" s="69" t="str">
        <f>IF($B2118="","",PV-J2118)</f>
        <v/>
      </c>
      <c r="M2118" s="71" t="str">
        <f>IF($B2118="","",J2118/PV)</f>
        <v/>
      </c>
      <c r="N2118" s="72" t="str">
        <f t="shared" si="4"/>
        <v/>
      </c>
    </row>
    <row r="2119" ht="14.25" customHeight="1">
      <c r="B2119" s="66" t="str">
        <f>IF(ROWS($1:2107)&lt;=Nper,ROWS($1:2107),"")</f>
        <v/>
      </c>
      <c r="C2119" s="67" t="str">
        <f>IF($B2119="","",IF($E$7="Weekly",Start_Date+7*(ROWS($1:2107)-1),EDATE(Start_Date,VLOOKUP(IF(ASTemp!$E$7="","Monthly",ASTemp!$E$7),Parameters!$B$3:$D$6,3,0)*(ROWS($1:2107)-1))))</f>
        <v/>
      </c>
      <c r="D2119" s="68" t="str">
        <f t="shared" si="2"/>
        <v/>
      </c>
      <c r="E2119" s="65" t="str">
        <f>IF($B2119="","",VLOOKUP(MONTH(C2119),Parameters!$F$2:$G$13,2,0))</f>
        <v/>
      </c>
      <c r="F2119" s="69" t="str">
        <f>IF($B2119="","",PV-N(J2118))</f>
        <v/>
      </c>
      <c r="G2119" s="69" t="str">
        <f>IF($B2119="","",PMT(Rate,Nper,-PV,,Type))</f>
        <v/>
      </c>
      <c r="H2119" s="69" t="str">
        <f>IF($B2119="","",PPMT(Rate,ROWS($1:2107),Nper,-PV,,Type))</f>
        <v/>
      </c>
      <c r="I2119" s="69" t="str">
        <f>IF($B2119="","",IPMT(Rate,ROWS($1:2107),Nper,-PV,,Type))</f>
        <v/>
      </c>
      <c r="J2119" s="73" t="str">
        <f t="shared" ref="J2119:K2119" si="2109">IF($B2119="","",N(J2118)+N(H2119))</f>
        <v/>
      </c>
      <c r="K2119" s="74" t="str">
        <f t="shared" si="2109"/>
        <v/>
      </c>
      <c r="L2119" s="69" t="str">
        <f>IF($B2119="","",PV-J2119)</f>
        <v/>
      </c>
      <c r="M2119" s="71" t="str">
        <f>IF($B2119="","",J2119/PV)</f>
        <v/>
      </c>
      <c r="N2119" s="72" t="str">
        <f t="shared" si="4"/>
        <v/>
      </c>
    </row>
    <row r="2120" ht="14.25" customHeight="1">
      <c r="B2120" s="66" t="str">
        <f>IF(ROWS($1:2108)&lt;=Nper,ROWS($1:2108),"")</f>
        <v/>
      </c>
      <c r="C2120" s="67" t="str">
        <f>IF($B2120="","",IF($E$7="Weekly",Start_Date+7*(ROWS($1:2108)-1),EDATE(Start_Date,VLOOKUP(IF(ASTemp!$E$7="","Monthly",ASTemp!$E$7),Parameters!$B$3:$D$6,3,0)*(ROWS($1:2108)-1))))</f>
        <v/>
      </c>
      <c r="D2120" s="68" t="str">
        <f t="shared" si="2"/>
        <v/>
      </c>
      <c r="E2120" s="65" t="str">
        <f>IF($B2120="","",VLOOKUP(MONTH(C2120),Parameters!$F$2:$G$13,2,0))</f>
        <v/>
      </c>
      <c r="F2120" s="69" t="str">
        <f>IF($B2120="","",PV-N(J2119))</f>
        <v/>
      </c>
      <c r="G2120" s="69" t="str">
        <f>IF($B2120="","",PMT(Rate,Nper,-PV,,Type))</f>
        <v/>
      </c>
      <c r="H2120" s="69" t="str">
        <f>IF($B2120="","",PPMT(Rate,ROWS($1:2108),Nper,-PV,,Type))</f>
        <v/>
      </c>
      <c r="I2120" s="69" t="str">
        <f>IF($B2120="","",IPMT(Rate,ROWS($1:2108),Nper,-PV,,Type))</f>
        <v/>
      </c>
      <c r="J2120" s="73" t="str">
        <f t="shared" ref="J2120:K2120" si="2110">IF($B2120="","",N(J2119)+N(H2120))</f>
        <v/>
      </c>
      <c r="K2120" s="74" t="str">
        <f t="shared" si="2110"/>
        <v/>
      </c>
      <c r="L2120" s="69" t="str">
        <f>IF($B2120="","",PV-J2120)</f>
        <v/>
      </c>
      <c r="M2120" s="71" t="str">
        <f>IF($B2120="","",J2120/PV)</f>
        <v/>
      </c>
      <c r="N2120" s="72" t="str">
        <f t="shared" si="4"/>
        <v/>
      </c>
    </row>
    <row r="2121" ht="14.25" customHeight="1">
      <c r="B2121" s="66" t="str">
        <f>IF(ROWS($1:2109)&lt;=Nper,ROWS($1:2109),"")</f>
        <v/>
      </c>
      <c r="C2121" s="67" t="str">
        <f>IF($B2121="","",IF($E$7="Weekly",Start_Date+7*(ROWS($1:2109)-1),EDATE(Start_Date,VLOOKUP(IF(ASTemp!$E$7="","Monthly",ASTemp!$E$7),Parameters!$B$3:$D$6,3,0)*(ROWS($1:2109)-1))))</f>
        <v/>
      </c>
      <c r="D2121" s="68" t="str">
        <f t="shared" si="2"/>
        <v/>
      </c>
      <c r="E2121" s="65" t="str">
        <f>IF($B2121="","",VLOOKUP(MONTH(C2121),Parameters!$F$2:$G$13,2,0))</f>
        <v/>
      </c>
      <c r="F2121" s="69" t="str">
        <f>IF($B2121="","",PV-N(J2120))</f>
        <v/>
      </c>
      <c r="G2121" s="69" t="str">
        <f>IF($B2121="","",PMT(Rate,Nper,-PV,,Type))</f>
        <v/>
      </c>
      <c r="H2121" s="69" t="str">
        <f>IF($B2121="","",PPMT(Rate,ROWS($1:2109),Nper,-PV,,Type))</f>
        <v/>
      </c>
      <c r="I2121" s="69" t="str">
        <f>IF($B2121="","",IPMT(Rate,ROWS($1:2109),Nper,-PV,,Type))</f>
        <v/>
      </c>
      <c r="J2121" s="73" t="str">
        <f t="shared" ref="J2121:K2121" si="2111">IF($B2121="","",N(J2120)+N(H2121))</f>
        <v/>
      </c>
      <c r="K2121" s="74" t="str">
        <f t="shared" si="2111"/>
        <v/>
      </c>
      <c r="L2121" s="69" t="str">
        <f>IF($B2121="","",PV-J2121)</f>
        <v/>
      </c>
      <c r="M2121" s="71" t="str">
        <f>IF($B2121="","",J2121/PV)</f>
        <v/>
      </c>
      <c r="N2121" s="72" t="str">
        <f t="shared" si="4"/>
        <v/>
      </c>
    </row>
    <row r="2122" ht="14.25" customHeight="1">
      <c r="B2122" s="66" t="str">
        <f>IF(ROWS($1:2110)&lt;=Nper,ROWS($1:2110),"")</f>
        <v/>
      </c>
      <c r="C2122" s="67" t="str">
        <f>IF($B2122="","",IF($E$7="Weekly",Start_Date+7*(ROWS($1:2110)-1),EDATE(Start_Date,VLOOKUP(IF(ASTemp!$E$7="","Monthly",ASTemp!$E$7),Parameters!$B$3:$D$6,3,0)*(ROWS($1:2110)-1))))</f>
        <v/>
      </c>
      <c r="D2122" s="68" t="str">
        <f t="shared" si="2"/>
        <v/>
      </c>
      <c r="E2122" s="65" t="str">
        <f>IF($B2122="","",VLOOKUP(MONTH(C2122),Parameters!$F$2:$G$13,2,0))</f>
        <v/>
      </c>
      <c r="F2122" s="69" t="str">
        <f>IF($B2122="","",PV-N(J2121))</f>
        <v/>
      </c>
      <c r="G2122" s="69" t="str">
        <f>IF($B2122="","",PMT(Rate,Nper,-PV,,Type))</f>
        <v/>
      </c>
      <c r="H2122" s="69" t="str">
        <f>IF($B2122="","",PPMT(Rate,ROWS($1:2110),Nper,-PV,,Type))</f>
        <v/>
      </c>
      <c r="I2122" s="69" t="str">
        <f>IF($B2122="","",IPMT(Rate,ROWS($1:2110),Nper,-PV,,Type))</f>
        <v/>
      </c>
      <c r="J2122" s="73" t="str">
        <f t="shared" ref="J2122:K2122" si="2112">IF($B2122="","",N(J2121)+N(H2122))</f>
        <v/>
      </c>
      <c r="K2122" s="74" t="str">
        <f t="shared" si="2112"/>
        <v/>
      </c>
      <c r="L2122" s="69" t="str">
        <f>IF($B2122="","",PV-J2122)</f>
        <v/>
      </c>
      <c r="M2122" s="71" t="str">
        <f>IF($B2122="","",J2122/PV)</f>
        <v/>
      </c>
      <c r="N2122" s="72" t="str">
        <f t="shared" si="4"/>
        <v/>
      </c>
    </row>
    <row r="2123" ht="14.25" customHeight="1">
      <c r="B2123" s="66" t="str">
        <f>IF(ROWS($1:2111)&lt;=Nper,ROWS($1:2111),"")</f>
        <v/>
      </c>
      <c r="C2123" s="67" t="str">
        <f>IF($B2123="","",IF($E$7="Weekly",Start_Date+7*(ROWS($1:2111)-1),EDATE(Start_Date,VLOOKUP(IF(ASTemp!$E$7="","Monthly",ASTemp!$E$7),Parameters!$B$3:$D$6,3,0)*(ROWS($1:2111)-1))))</f>
        <v/>
      </c>
      <c r="D2123" s="68" t="str">
        <f t="shared" si="2"/>
        <v/>
      </c>
      <c r="E2123" s="65" t="str">
        <f>IF($B2123="","",VLOOKUP(MONTH(C2123),Parameters!$F$2:$G$13,2,0))</f>
        <v/>
      </c>
      <c r="F2123" s="69" t="str">
        <f>IF($B2123="","",PV-N(J2122))</f>
        <v/>
      </c>
      <c r="G2123" s="69" t="str">
        <f>IF($B2123="","",PMT(Rate,Nper,-PV,,Type))</f>
        <v/>
      </c>
      <c r="H2123" s="69" t="str">
        <f>IF($B2123="","",PPMT(Rate,ROWS($1:2111),Nper,-PV,,Type))</f>
        <v/>
      </c>
      <c r="I2123" s="69" t="str">
        <f>IF($B2123="","",IPMT(Rate,ROWS($1:2111),Nper,-PV,,Type))</f>
        <v/>
      </c>
      <c r="J2123" s="73" t="str">
        <f t="shared" ref="J2123:K2123" si="2113">IF($B2123="","",N(J2122)+N(H2123))</f>
        <v/>
      </c>
      <c r="K2123" s="74" t="str">
        <f t="shared" si="2113"/>
        <v/>
      </c>
      <c r="L2123" s="69" t="str">
        <f>IF($B2123="","",PV-J2123)</f>
        <v/>
      </c>
      <c r="M2123" s="71" t="str">
        <f>IF($B2123="","",J2123/PV)</f>
        <v/>
      </c>
      <c r="N2123" s="72" t="str">
        <f t="shared" si="4"/>
        <v/>
      </c>
    </row>
    <row r="2124" ht="14.25" customHeight="1">
      <c r="B2124" s="66" t="str">
        <f>IF(ROWS($1:2112)&lt;=Nper,ROWS($1:2112),"")</f>
        <v/>
      </c>
      <c r="C2124" s="67" t="str">
        <f>IF($B2124="","",IF($E$7="Weekly",Start_Date+7*(ROWS($1:2112)-1),EDATE(Start_Date,VLOOKUP(IF(ASTemp!$E$7="","Monthly",ASTemp!$E$7),Parameters!$B$3:$D$6,3,0)*(ROWS($1:2112)-1))))</f>
        <v/>
      </c>
      <c r="D2124" s="68" t="str">
        <f t="shared" si="2"/>
        <v/>
      </c>
      <c r="E2124" s="65" t="str">
        <f>IF($B2124="","",VLOOKUP(MONTH(C2124),Parameters!$F$2:$G$13,2,0))</f>
        <v/>
      </c>
      <c r="F2124" s="69" t="str">
        <f>IF($B2124="","",PV-N(J2123))</f>
        <v/>
      </c>
      <c r="G2124" s="69" t="str">
        <f>IF($B2124="","",PMT(Rate,Nper,-PV,,Type))</f>
        <v/>
      </c>
      <c r="H2124" s="69" t="str">
        <f>IF($B2124="","",PPMT(Rate,ROWS($1:2112),Nper,-PV,,Type))</f>
        <v/>
      </c>
      <c r="I2124" s="69" t="str">
        <f>IF($B2124="","",IPMT(Rate,ROWS($1:2112),Nper,-PV,,Type))</f>
        <v/>
      </c>
      <c r="J2124" s="73" t="str">
        <f t="shared" ref="J2124:K2124" si="2114">IF($B2124="","",N(J2123)+N(H2124))</f>
        <v/>
      </c>
      <c r="K2124" s="74" t="str">
        <f t="shared" si="2114"/>
        <v/>
      </c>
      <c r="L2124" s="69" t="str">
        <f>IF($B2124="","",PV-J2124)</f>
        <v/>
      </c>
      <c r="M2124" s="71" t="str">
        <f>IF($B2124="","",J2124/PV)</f>
        <v/>
      </c>
      <c r="N2124" s="72" t="str">
        <f t="shared" si="4"/>
        <v/>
      </c>
    </row>
    <row r="2125" ht="14.25" customHeight="1">
      <c r="B2125" s="66" t="str">
        <f>IF(ROWS($1:2113)&lt;=Nper,ROWS($1:2113),"")</f>
        <v/>
      </c>
      <c r="C2125" s="67" t="str">
        <f>IF($B2125="","",IF($E$7="Weekly",Start_Date+7*(ROWS($1:2113)-1),EDATE(Start_Date,VLOOKUP(IF(ASTemp!$E$7="","Monthly",ASTemp!$E$7),Parameters!$B$3:$D$6,3,0)*(ROWS($1:2113)-1))))</f>
        <v/>
      </c>
      <c r="D2125" s="68" t="str">
        <f t="shared" si="2"/>
        <v/>
      </c>
      <c r="E2125" s="65" t="str">
        <f>IF($B2125="","",VLOOKUP(MONTH(C2125),Parameters!$F$2:$G$13,2,0))</f>
        <v/>
      </c>
      <c r="F2125" s="69" t="str">
        <f>IF($B2125="","",PV-N(J2124))</f>
        <v/>
      </c>
      <c r="G2125" s="69" t="str">
        <f>IF($B2125="","",PMT(Rate,Nper,-PV,,Type))</f>
        <v/>
      </c>
      <c r="H2125" s="69" t="str">
        <f>IF($B2125="","",PPMT(Rate,ROWS($1:2113),Nper,-PV,,Type))</f>
        <v/>
      </c>
      <c r="I2125" s="69" t="str">
        <f>IF($B2125="","",IPMT(Rate,ROWS($1:2113),Nper,-PV,,Type))</f>
        <v/>
      </c>
      <c r="J2125" s="73" t="str">
        <f t="shared" ref="J2125:K2125" si="2115">IF($B2125="","",N(J2124)+N(H2125))</f>
        <v/>
      </c>
      <c r="K2125" s="74" t="str">
        <f t="shared" si="2115"/>
        <v/>
      </c>
      <c r="L2125" s="69" t="str">
        <f>IF($B2125="","",PV-J2125)</f>
        <v/>
      </c>
      <c r="M2125" s="71" t="str">
        <f>IF($B2125="","",J2125/PV)</f>
        <v/>
      </c>
      <c r="N2125" s="72" t="str">
        <f t="shared" si="4"/>
        <v/>
      </c>
    </row>
    <row r="2126" ht="14.25" customHeight="1">
      <c r="B2126" s="66" t="str">
        <f>IF(ROWS($1:2114)&lt;=Nper,ROWS($1:2114),"")</f>
        <v/>
      </c>
      <c r="C2126" s="67" t="str">
        <f>IF($B2126="","",IF($E$7="Weekly",Start_Date+7*(ROWS($1:2114)-1),EDATE(Start_Date,VLOOKUP(IF(ASTemp!$E$7="","Monthly",ASTemp!$E$7),Parameters!$B$3:$D$6,3,0)*(ROWS($1:2114)-1))))</f>
        <v/>
      </c>
      <c r="D2126" s="68" t="str">
        <f t="shared" si="2"/>
        <v/>
      </c>
      <c r="E2126" s="65" t="str">
        <f>IF($B2126="","",VLOOKUP(MONTH(C2126),Parameters!$F$2:$G$13,2,0))</f>
        <v/>
      </c>
      <c r="F2126" s="69" t="str">
        <f>IF($B2126="","",PV-N(J2125))</f>
        <v/>
      </c>
      <c r="G2126" s="69" t="str">
        <f>IF($B2126="","",PMT(Rate,Nper,-PV,,Type))</f>
        <v/>
      </c>
      <c r="H2126" s="69" t="str">
        <f>IF($B2126="","",PPMT(Rate,ROWS($1:2114),Nper,-PV,,Type))</f>
        <v/>
      </c>
      <c r="I2126" s="69" t="str">
        <f>IF($B2126="","",IPMT(Rate,ROWS($1:2114),Nper,-PV,,Type))</f>
        <v/>
      </c>
      <c r="J2126" s="73" t="str">
        <f t="shared" ref="J2126:K2126" si="2116">IF($B2126="","",N(J2125)+N(H2126))</f>
        <v/>
      </c>
      <c r="K2126" s="74" t="str">
        <f t="shared" si="2116"/>
        <v/>
      </c>
      <c r="L2126" s="69" t="str">
        <f>IF($B2126="","",PV-J2126)</f>
        <v/>
      </c>
      <c r="M2126" s="71" t="str">
        <f>IF($B2126="","",J2126/PV)</f>
        <v/>
      </c>
      <c r="N2126" s="72" t="str">
        <f t="shared" si="4"/>
        <v/>
      </c>
    </row>
    <row r="2127" ht="14.25" customHeight="1">
      <c r="B2127" s="66" t="str">
        <f>IF(ROWS($1:2115)&lt;=Nper,ROWS($1:2115),"")</f>
        <v/>
      </c>
      <c r="C2127" s="67" t="str">
        <f>IF($B2127="","",IF($E$7="Weekly",Start_Date+7*(ROWS($1:2115)-1),EDATE(Start_Date,VLOOKUP(IF(ASTemp!$E$7="","Monthly",ASTemp!$E$7),Parameters!$B$3:$D$6,3,0)*(ROWS($1:2115)-1))))</f>
        <v/>
      </c>
      <c r="D2127" s="68" t="str">
        <f t="shared" si="2"/>
        <v/>
      </c>
      <c r="E2127" s="65" t="str">
        <f>IF($B2127="","",VLOOKUP(MONTH(C2127),Parameters!$F$2:$G$13,2,0))</f>
        <v/>
      </c>
      <c r="F2127" s="69" t="str">
        <f>IF($B2127="","",PV-N(J2126))</f>
        <v/>
      </c>
      <c r="G2127" s="69" t="str">
        <f>IF($B2127="","",PMT(Rate,Nper,-PV,,Type))</f>
        <v/>
      </c>
      <c r="H2127" s="69" t="str">
        <f>IF($B2127="","",PPMT(Rate,ROWS($1:2115),Nper,-PV,,Type))</f>
        <v/>
      </c>
      <c r="I2127" s="69" t="str">
        <f>IF($B2127="","",IPMT(Rate,ROWS($1:2115),Nper,-PV,,Type))</f>
        <v/>
      </c>
      <c r="J2127" s="73" t="str">
        <f t="shared" ref="J2127:K2127" si="2117">IF($B2127="","",N(J2126)+N(H2127))</f>
        <v/>
      </c>
      <c r="K2127" s="74" t="str">
        <f t="shared" si="2117"/>
        <v/>
      </c>
      <c r="L2127" s="69" t="str">
        <f>IF($B2127="","",PV-J2127)</f>
        <v/>
      </c>
      <c r="M2127" s="71" t="str">
        <f>IF($B2127="","",J2127/PV)</f>
        <v/>
      </c>
      <c r="N2127" s="72" t="str">
        <f t="shared" si="4"/>
        <v/>
      </c>
    </row>
    <row r="2128" ht="14.25" customHeight="1">
      <c r="B2128" s="66" t="str">
        <f>IF(ROWS($1:2116)&lt;=Nper,ROWS($1:2116),"")</f>
        <v/>
      </c>
      <c r="C2128" s="67" t="str">
        <f>IF($B2128="","",IF($E$7="Weekly",Start_Date+7*(ROWS($1:2116)-1),EDATE(Start_Date,VLOOKUP(IF(ASTemp!$E$7="","Monthly",ASTemp!$E$7),Parameters!$B$3:$D$6,3,0)*(ROWS($1:2116)-1))))</f>
        <v/>
      </c>
      <c r="D2128" s="68" t="str">
        <f t="shared" si="2"/>
        <v/>
      </c>
      <c r="E2128" s="65" t="str">
        <f>IF($B2128="","",VLOOKUP(MONTH(C2128),Parameters!$F$2:$G$13,2,0))</f>
        <v/>
      </c>
      <c r="F2128" s="69" t="str">
        <f>IF($B2128="","",PV-N(J2127))</f>
        <v/>
      </c>
      <c r="G2128" s="69" t="str">
        <f>IF($B2128="","",PMT(Rate,Nper,-PV,,Type))</f>
        <v/>
      </c>
      <c r="H2128" s="69" t="str">
        <f>IF($B2128="","",PPMT(Rate,ROWS($1:2116),Nper,-PV,,Type))</f>
        <v/>
      </c>
      <c r="I2128" s="69" t="str">
        <f>IF($B2128="","",IPMT(Rate,ROWS($1:2116),Nper,-PV,,Type))</f>
        <v/>
      </c>
      <c r="J2128" s="73" t="str">
        <f t="shared" ref="J2128:K2128" si="2118">IF($B2128="","",N(J2127)+N(H2128))</f>
        <v/>
      </c>
      <c r="K2128" s="74" t="str">
        <f t="shared" si="2118"/>
        <v/>
      </c>
      <c r="L2128" s="69" t="str">
        <f>IF($B2128="","",PV-J2128)</f>
        <v/>
      </c>
      <c r="M2128" s="71" t="str">
        <f>IF($B2128="","",J2128/PV)</f>
        <v/>
      </c>
      <c r="N2128" s="72" t="str">
        <f t="shared" si="4"/>
        <v/>
      </c>
    </row>
    <row r="2129" ht="14.25" customHeight="1">
      <c r="B2129" s="66" t="str">
        <f>IF(ROWS($1:2117)&lt;=Nper,ROWS($1:2117),"")</f>
        <v/>
      </c>
      <c r="C2129" s="67" t="str">
        <f>IF($B2129="","",IF($E$7="Weekly",Start_Date+7*(ROWS($1:2117)-1),EDATE(Start_Date,VLOOKUP(IF(ASTemp!$E$7="","Monthly",ASTemp!$E$7),Parameters!$B$3:$D$6,3,0)*(ROWS($1:2117)-1))))</f>
        <v/>
      </c>
      <c r="D2129" s="68" t="str">
        <f t="shared" si="2"/>
        <v/>
      </c>
      <c r="E2129" s="65" t="str">
        <f>IF($B2129="","",VLOOKUP(MONTH(C2129),Parameters!$F$2:$G$13,2,0))</f>
        <v/>
      </c>
      <c r="F2129" s="69" t="str">
        <f>IF($B2129="","",PV-N(J2128))</f>
        <v/>
      </c>
      <c r="G2129" s="69" t="str">
        <f>IF($B2129="","",PMT(Rate,Nper,-PV,,Type))</f>
        <v/>
      </c>
      <c r="H2129" s="69" t="str">
        <f>IF($B2129="","",PPMT(Rate,ROWS($1:2117),Nper,-PV,,Type))</f>
        <v/>
      </c>
      <c r="I2129" s="69" t="str">
        <f>IF($B2129="","",IPMT(Rate,ROWS($1:2117),Nper,-PV,,Type))</f>
        <v/>
      </c>
      <c r="J2129" s="73" t="str">
        <f t="shared" ref="J2129:K2129" si="2119">IF($B2129="","",N(J2128)+N(H2129))</f>
        <v/>
      </c>
      <c r="K2129" s="74" t="str">
        <f t="shared" si="2119"/>
        <v/>
      </c>
      <c r="L2129" s="69" t="str">
        <f>IF($B2129="","",PV-J2129)</f>
        <v/>
      </c>
      <c r="M2129" s="71" t="str">
        <f>IF($B2129="","",J2129/PV)</f>
        <v/>
      </c>
      <c r="N2129" s="72" t="str">
        <f t="shared" si="4"/>
        <v/>
      </c>
    </row>
    <row r="2130" ht="14.25" customHeight="1">
      <c r="B2130" s="66" t="str">
        <f>IF(ROWS($1:2118)&lt;=Nper,ROWS($1:2118),"")</f>
        <v/>
      </c>
      <c r="C2130" s="67" t="str">
        <f>IF($B2130="","",IF($E$7="Weekly",Start_Date+7*(ROWS($1:2118)-1),EDATE(Start_Date,VLOOKUP(IF(ASTemp!$E$7="","Monthly",ASTemp!$E$7),Parameters!$B$3:$D$6,3,0)*(ROWS($1:2118)-1))))</f>
        <v/>
      </c>
      <c r="D2130" s="68" t="str">
        <f t="shared" si="2"/>
        <v/>
      </c>
      <c r="E2130" s="65" t="str">
        <f>IF($B2130="","",VLOOKUP(MONTH(C2130),Parameters!$F$2:$G$13,2,0))</f>
        <v/>
      </c>
      <c r="F2130" s="69" t="str">
        <f>IF($B2130="","",PV-N(J2129))</f>
        <v/>
      </c>
      <c r="G2130" s="69" t="str">
        <f>IF($B2130="","",PMT(Rate,Nper,-PV,,Type))</f>
        <v/>
      </c>
      <c r="H2130" s="69" t="str">
        <f>IF($B2130="","",PPMT(Rate,ROWS($1:2118),Nper,-PV,,Type))</f>
        <v/>
      </c>
      <c r="I2130" s="69" t="str">
        <f>IF($B2130="","",IPMT(Rate,ROWS($1:2118),Nper,-PV,,Type))</f>
        <v/>
      </c>
      <c r="J2130" s="73" t="str">
        <f t="shared" ref="J2130:K2130" si="2120">IF($B2130="","",N(J2129)+N(H2130))</f>
        <v/>
      </c>
      <c r="K2130" s="74" t="str">
        <f t="shared" si="2120"/>
        <v/>
      </c>
      <c r="L2130" s="69" t="str">
        <f>IF($B2130="","",PV-J2130)</f>
        <v/>
      </c>
      <c r="M2130" s="71" t="str">
        <f>IF($B2130="","",J2130/PV)</f>
        <v/>
      </c>
      <c r="N2130" s="72" t="str">
        <f t="shared" si="4"/>
        <v/>
      </c>
    </row>
    <row r="2131" ht="14.25" customHeight="1">
      <c r="B2131" s="66" t="str">
        <f>IF(ROWS($1:2119)&lt;=Nper,ROWS($1:2119),"")</f>
        <v/>
      </c>
      <c r="C2131" s="67" t="str">
        <f>IF($B2131="","",IF($E$7="Weekly",Start_Date+7*(ROWS($1:2119)-1),EDATE(Start_Date,VLOOKUP(IF(ASTemp!$E$7="","Monthly",ASTemp!$E$7),Parameters!$B$3:$D$6,3,0)*(ROWS($1:2119)-1))))</f>
        <v/>
      </c>
      <c r="D2131" s="68" t="str">
        <f t="shared" si="2"/>
        <v/>
      </c>
      <c r="E2131" s="65" t="str">
        <f>IF($B2131="","",VLOOKUP(MONTH(C2131),Parameters!$F$2:$G$13,2,0))</f>
        <v/>
      </c>
      <c r="F2131" s="69" t="str">
        <f>IF($B2131="","",PV-N(J2130))</f>
        <v/>
      </c>
      <c r="G2131" s="69" t="str">
        <f>IF($B2131="","",PMT(Rate,Nper,-PV,,Type))</f>
        <v/>
      </c>
      <c r="H2131" s="69" t="str">
        <f>IF($B2131="","",PPMT(Rate,ROWS($1:2119),Nper,-PV,,Type))</f>
        <v/>
      </c>
      <c r="I2131" s="69" t="str">
        <f>IF($B2131="","",IPMT(Rate,ROWS($1:2119),Nper,-PV,,Type))</f>
        <v/>
      </c>
      <c r="J2131" s="73" t="str">
        <f t="shared" ref="J2131:K2131" si="2121">IF($B2131="","",N(J2130)+N(H2131))</f>
        <v/>
      </c>
      <c r="K2131" s="74" t="str">
        <f t="shared" si="2121"/>
        <v/>
      </c>
      <c r="L2131" s="69" t="str">
        <f>IF($B2131="","",PV-J2131)</f>
        <v/>
      </c>
      <c r="M2131" s="71" t="str">
        <f>IF($B2131="","",J2131/PV)</f>
        <v/>
      </c>
      <c r="N2131" s="72" t="str">
        <f t="shared" si="4"/>
        <v/>
      </c>
    </row>
    <row r="2132" ht="14.25" customHeight="1">
      <c r="B2132" s="66" t="str">
        <f>IF(ROWS($1:2120)&lt;=Nper,ROWS($1:2120),"")</f>
        <v/>
      </c>
      <c r="C2132" s="67" t="str">
        <f>IF($B2132="","",IF($E$7="Weekly",Start_Date+7*(ROWS($1:2120)-1),EDATE(Start_Date,VLOOKUP(IF(ASTemp!$E$7="","Monthly",ASTemp!$E$7),Parameters!$B$3:$D$6,3,0)*(ROWS($1:2120)-1))))</f>
        <v/>
      </c>
      <c r="D2132" s="68" t="str">
        <f t="shared" si="2"/>
        <v/>
      </c>
      <c r="E2132" s="65" t="str">
        <f>IF($B2132="","",VLOOKUP(MONTH(C2132),Parameters!$F$2:$G$13,2,0))</f>
        <v/>
      </c>
      <c r="F2132" s="69" t="str">
        <f>IF($B2132="","",PV-N(J2131))</f>
        <v/>
      </c>
      <c r="G2132" s="69" t="str">
        <f>IF($B2132="","",PMT(Rate,Nper,-PV,,Type))</f>
        <v/>
      </c>
      <c r="H2132" s="69" t="str">
        <f>IF($B2132="","",PPMT(Rate,ROWS($1:2120),Nper,-PV,,Type))</f>
        <v/>
      </c>
      <c r="I2132" s="69" t="str">
        <f>IF($B2132="","",IPMT(Rate,ROWS($1:2120),Nper,-PV,,Type))</f>
        <v/>
      </c>
      <c r="J2132" s="73" t="str">
        <f t="shared" ref="J2132:K2132" si="2122">IF($B2132="","",N(J2131)+N(H2132))</f>
        <v/>
      </c>
      <c r="K2132" s="74" t="str">
        <f t="shared" si="2122"/>
        <v/>
      </c>
      <c r="L2132" s="69" t="str">
        <f>IF($B2132="","",PV-J2132)</f>
        <v/>
      </c>
      <c r="M2132" s="71" t="str">
        <f>IF($B2132="","",J2132/PV)</f>
        <v/>
      </c>
      <c r="N2132" s="72" t="str">
        <f t="shared" si="4"/>
        <v/>
      </c>
    </row>
    <row r="2133" ht="14.25" customHeight="1">
      <c r="B2133" s="66" t="str">
        <f>IF(ROWS($1:2121)&lt;=Nper,ROWS($1:2121),"")</f>
        <v/>
      </c>
      <c r="C2133" s="67" t="str">
        <f>IF($B2133="","",IF($E$7="Weekly",Start_Date+7*(ROWS($1:2121)-1),EDATE(Start_Date,VLOOKUP(IF(ASTemp!$E$7="","Monthly",ASTemp!$E$7),Parameters!$B$3:$D$6,3,0)*(ROWS($1:2121)-1))))</f>
        <v/>
      </c>
      <c r="D2133" s="68" t="str">
        <f t="shared" si="2"/>
        <v/>
      </c>
      <c r="E2133" s="65" t="str">
        <f>IF($B2133="","",VLOOKUP(MONTH(C2133),Parameters!$F$2:$G$13,2,0))</f>
        <v/>
      </c>
      <c r="F2133" s="69" t="str">
        <f>IF($B2133="","",PV-N(J2132))</f>
        <v/>
      </c>
      <c r="G2133" s="69" t="str">
        <f>IF($B2133="","",PMT(Rate,Nper,-PV,,Type))</f>
        <v/>
      </c>
      <c r="H2133" s="69" t="str">
        <f>IF($B2133="","",PPMT(Rate,ROWS($1:2121),Nper,-PV,,Type))</f>
        <v/>
      </c>
      <c r="I2133" s="69" t="str">
        <f>IF($B2133="","",IPMT(Rate,ROWS($1:2121),Nper,-PV,,Type))</f>
        <v/>
      </c>
      <c r="J2133" s="73" t="str">
        <f t="shared" ref="J2133:K2133" si="2123">IF($B2133="","",N(J2132)+N(H2133))</f>
        <v/>
      </c>
      <c r="K2133" s="74" t="str">
        <f t="shared" si="2123"/>
        <v/>
      </c>
      <c r="L2133" s="69" t="str">
        <f>IF($B2133="","",PV-J2133)</f>
        <v/>
      </c>
      <c r="M2133" s="71" t="str">
        <f>IF($B2133="","",J2133/PV)</f>
        <v/>
      </c>
      <c r="N2133" s="72" t="str">
        <f t="shared" si="4"/>
        <v/>
      </c>
    </row>
    <row r="2134" ht="14.25" customHeight="1">
      <c r="B2134" s="66" t="str">
        <f>IF(ROWS($1:2122)&lt;=Nper,ROWS($1:2122),"")</f>
        <v/>
      </c>
      <c r="C2134" s="67" t="str">
        <f>IF($B2134="","",IF($E$7="Weekly",Start_Date+7*(ROWS($1:2122)-1),EDATE(Start_Date,VLOOKUP(IF(ASTemp!$E$7="","Monthly",ASTemp!$E$7),Parameters!$B$3:$D$6,3,0)*(ROWS($1:2122)-1))))</f>
        <v/>
      </c>
      <c r="D2134" s="68" t="str">
        <f t="shared" si="2"/>
        <v/>
      </c>
      <c r="E2134" s="65" t="str">
        <f>IF($B2134="","",VLOOKUP(MONTH(C2134),Parameters!$F$2:$G$13,2,0))</f>
        <v/>
      </c>
      <c r="F2134" s="69" t="str">
        <f>IF($B2134="","",PV-N(J2133))</f>
        <v/>
      </c>
      <c r="G2134" s="69" t="str">
        <f>IF($B2134="","",PMT(Rate,Nper,-PV,,Type))</f>
        <v/>
      </c>
      <c r="H2134" s="69" t="str">
        <f>IF($B2134="","",PPMT(Rate,ROWS($1:2122),Nper,-PV,,Type))</f>
        <v/>
      </c>
      <c r="I2134" s="69" t="str">
        <f>IF($B2134="","",IPMT(Rate,ROWS($1:2122),Nper,-PV,,Type))</f>
        <v/>
      </c>
      <c r="J2134" s="73" t="str">
        <f t="shared" ref="J2134:K2134" si="2124">IF($B2134="","",N(J2133)+N(H2134))</f>
        <v/>
      </c>
      <c r="K2134" s="74" t="str">
        <f t="shared" si="2124"/>
        <v/>
      </c>
      <c r="L2134" s="69" t="str">
        <f>IF($B2134="","",PV-J2134)</f>
        <v/>
      </c>
      <c r="M2134" s="71" t="str">
        <f>IF($B2134="","",J2134/PV)</f>
        <v/>
      </c>
      <c r="N2134" s="72" t="str">
        <f t="shared" si="4"/>
        <v/>
      </c>
    </row>
    <row r="2135" ht="14.25" customHeight="1">
      <c r="B2135" s="66" t="str">
        <f>IF(ROWS($1:2123)&lt;=Nper,ROWS($1:2123),"")</f>
        <v/>
      </c>
      <c r="C2135" s="67" t="str">
        <f>IF($B2135="","",IF($E$7="Weekly",Start_Date+7*(ROWS($1:2123)-1),EDATE(Start_Date,VLOOKUP(IF(ASTemp!$E$7="","Monthly",ASTemp!$E$7),Parameters!$B$3:$D$6,3,0)*(ROWS($1:2123)-1))))</f>
        <v/>
      </c>
      <c r="D2135" s="68" t="str">
        <f t="shared" si="2"/>
        <v/>
      </c>
      <c r="E2135" s="65" t="str">
        <f>IF($B2135="","",VLOOKUP(MONTH(C2135),Parameters!$F$2:$G$13,2,0))</f>
        <v/>
      </c>
      <c r="F2135" s="69" t="str">
        <f>IF($B2135="","",PV-N(J2134))</f>
        <v/>
      </c>
      <c r="G2135" s="69" t="str">
        <f>IF($B2135="","",PMT(Rate,Nper,-PV,,Type))</f>
        <v/>
      </c>
      <c r="H2135" s="69" t="str">
        <f>IF($B2135="","",PPMT(Rate,ROWS($1:2123),Nper,-PV,,Type))</f>
        <v/>
      </c>
      <c r="I2135" s="69" t="str">
        <f>IF($B2135="","",IPMT(Rate,ROWS($1:2123),Nper,-PV,,Type))</f>
        <v/>
      </c>
      <c r="J2135" s="73" t="str">
        <f t="shared" ref="J2135:K2135" si="2125">IF($B2135="","",N(J2134)+N(H2135))</f>
        <v/>
      </c>
      <c r="K2135" s="74" t="str">
        <f t="shared" si="2125"/>
        <v/>
      </c>
      <c r="L2135" s="69" t="str">
        <f>IF($B2135="","",PV-J2135)</f>
        <v/>
      </c>
      <c r="M2135" s="71" t="str">
        <f>IF($B2135="","",J2135/PV)</f>
        <v/>
      </c>
      <c r="N2135" s="72" t="str">
        <f t="shared" si="4"/>
        <v/>
      </c>
    </row>
    <row r="2136" ht="14.25" customHeight="1">
      <c r="B2136" s="66" t="str">
        <f>IF(ROWS($1:2124)&lt;=Nper,ROWS($1:2124),"")</f>
        <v/>
      </c>
      <c r="C2136" s="67" t="str">
        <f>IF($B2136="","",IF($E$7="Weekly",Start_Date+7*(ROWS($1:2124)-1),EDATE(Start_Date,VLOOKUP(IF(ASTemp!$E$7="","Monthly",ASTemp!$E$7),Parameters!$B$3:$D$6,3,0)*(ROWS($1:2124)-1))))</f>
        <v/>
      </c>
      <c r="D2136" s="68" t="str">
        <f t="shared" si="2"/>
        <v/>
      </c>
      <c r="E2136" s="65" t="str">
        <f>IF($B2136="","",VLOOKUP(MONTH(C2136),Parameters!$F$2:$G$13,2,0))</f>
        <v/>
      </c>
      <c r="F2136" s="69" t="str">
        <f>IF($B2136="","",PV-N(J2135))</f>
        <v/>
      </c>
      <c r="G2136" s="69" t="str">
        <f>IF($B2136="","",PMT(Rate,Nper,-PV,,Type))</f>
        <v/>
      </c>
      <c r="H2136" s="69" t="str">
        <f>IF($B2136="","",PPMT(Rate,ROWS($1:2124),Nper,-PV,,Type))</f>
        <v/>
      </c>
      <c r="I2136" s="69" t="str">
        <f>IF($B2136="","",IPMT(Rate,ROWS($1:2124),Nper,-PV,,Type))</f>
        <v/>
      </c>
      <c r="J2136" s="73" t="str">
        <f t="shared" ref="J2136:K2136" si="2126">IF($B2136="","",N(J2135)+N(H2136))</f>
        <v/>
      </c>
      <c r="K2136" s="74" t="str">
        <f t="shared" si="2126"/>
        <v/>
      </c>
      <c r="L2136" s="69" t="str">
        <f>IF($B2136="","",PV-J2136)</f>
        <v/>
      </c>
      <c r="M2136" s="71" t="str">
        <f>IF($B2136="","",J2136/PV)</f>
        <v/>
      </c>
      <c r="N2136" s="72" t="str">
        <f t="shared" si="4"/>
        <v/>
      </c>
    </row>
    <row r="2137" ht="14.25" customHeight="1">
      <c r="B2137" s="66" t="str">
        <f>IF(ROWS($1:2125)&lt;=Nper,ROWS($1:2125),"")</f>
        <v/>
      </c>
      <c r="C2137" s="67" t="str">
        <f>IF($B2137="","",IF($E$7="Weekly",Start_Date+7*(ROWS($1:2125)-1),EDATE(Start_Date,VLOOKUP(IF(ASTemp!$E$7="","Monthly",ASTemp!$E$7),Parameters!$B$3:$D$6,3,0)*(ROWS($1:2125)-1))))</f>
        <v/>
      </c>
      <c r="D2137" s="68" t="str">
        <f t="shared" si="2"/>
        <v/>
      </c>
      <c r="E2137" s="65" t="str">
        <f>IF($B2137="","",VLOOKUP(MONTH(C2137),Parameters!$F$2:$G$13,2,0))</f>
        <v/>
      </c>
      <c r="F2137" s="69" t="str">
        <f>IF($B2137="","",PV-N(J2136))</f>
        <v/>
      </c>
      <c r="G2137" s="69" t="str">
        <f>IF($B2137="","",PMT(Rate,Nper,-PV,,Type))</f>
        <v/>
      </c>
      <c r="H2137" s="69" t="str">
        <f>IF($B2137="","",PPMT(Rate,ROWS($1:2125),Nper,-PV,,Type))</f>
        <v/>
      </c>
      <c r="I2137" s="69" t="str">
        <f>IF($B2137="","",IPMT(Rate,ROWS($1:2125),Nper,-PV,,Type))</f>
        <v/>
      </c>
      <c r="J2137" s="73" t="str">
        <f t="shared" ref="J2137:K2137" si="2127">IF($B2137="","",N(J2136)+N(H2137))</f>
        <v/>
      </c>
      <c r="K2137" s="74" t="str">
        <f t="shared" si="2127"/>
        <v/>
      </c>
      <c r="L2137" s="69" t="str">
        <f>IF($B2137="","",PV-J2137)</f>
        <v/>
      </c>
      <c r="M2137" s="71" t="str">
        <f>IF($B2137="","",J2137/PV)</f>
        <v/>
      </c>
      <c r="N2137" s="72" t="str">
        <f t="shared" si="4"/>
        <v/>
      </c>
    </row>
    <row r="2138" ht="14.25" customHeight="1">
      <c r="B2138" s="66" t="str">
        <f>IF(ROWS($1:2126)&lt;=Nper,ROWS($1:2126),"")</f>
        <v/>
      </c>
      <c r="C2138" s="67" t="str">
        <f>IF($B2138="","",IF($E$7="Weekly",Start_Date+7*(ROWS($1:2126)-1),EDATE(Start_Date,VLOOKUP(IF(ASTemp!$E$7="","Monthly",ASTemp!$E$7),Parameters!$B$3:$D$6,3,0)*(ROWS($1:2126)-1))))</f>
        <v/>
      </c>
      <c r="D2138" s="68" t="str">
        <f t="shared" si="2"/>
        <v/>
      </c>
      <c r="E2138" s="65" t="str">
        <f>IF($B2138="","",VLOOKUP(MONTH(C2138),Parameters!$F$2:$G$13,2,0))</f>
        <v/>
      </c>
      <c r="F2138" s="69" t="str">
        <f>IF($B2138="","",PV-N(J2137))</f>
        <v/>
      </c>
      <c r="G2138" s="69" t="str">
        <f>IF($B2138="","",PMT(Rate,Nper,-PV,,Type))</f>
        <v/>
      </c>
      <c r="H2138" s="69" t="str">
        <f>IF($B2138="","",PPMT(Rate,ROWS($1:2126),Nper,-PV,,Type))</f>
        <v/>
      </c>
      <c r="I2138" s="69" t="str">
        <f>IF($B2138="","",IPMT(Rate,ROWS($1:2126),Nper,-PV,,Type))</f>
        <v/>
      </c>
      <c r="J2138" s="73" t="str">
        <f t="shared" ref="J2138:K2138" si="2128">IF($B2138="","",N(J2137)+N(H2138))</f>
        <v/>
      </c>
      <c r="K2138" s="74" t="str">
        <f t="shared" si="2128"/>
        <v/>
      </c>
      <c r="L2138" s="69" t="str">
        <f>IF($B2138="","",PV-J2138)</f>
        <v/>
      </c>
      <c r="M2138" s="71" t="str">
        <f>IF($B2138="","",J2138/PV)</f>
        <v/>
      </c>
      <c r="N2138" s="72" t="str">
        <f t="shared" si="4"/>
        <v/>
      </c>
    </row>
    <row r="2139" ht="14.25" customHeight="1">
      <c r="B2139" s="66" t="str">
        <f>IF(ROWS($1:2127)&lt;=Nper,ROWS($1:2127),"")</f>
        <v/>
      </c>
      <c r="C2139" s="67" t="str">
        <f>IF($B2139="","",IF($E$7="Weekly",Start_Date+7*(ROWS($1:2127)-1),EDATE(Start_Date,VLOOKUP(IF(ASTemp!$E$7="","Monthly",ASTemp!$E$7),Parameters!$B$3:$D$6,3,0)*(ROWS($1:2127)-1))))</f>
        <v/>
      </c>
      <c r="D2139" s="68" t="str">
        <f t="shared" si="2"/>
        <v/>
      </c>
      <c r="E2139" s="65" t="str">
        <f>IF($B2139="","",VLOOKUP(MONTH(C2139),Parameters!$F$2:$G$13,2,0))</f>
        <v/>
      </c>
      <c r="F2139" s="69" t="str">
        <f>IF($B2139="","",PV-N(J2138))</f>
        <v/>
      </c>
      <c r="G2139" s="69" t="str">
        <f>IF($B2139="","",PMT(Rate,Nper,-PV,,Type))</f>
        <v/>
      </c>
      <c r="H2139" s="69" t="str">
        <f>IF($B2139="","",PPMT(Rate,ROWS($1:2127),Nper,-PV,,Type))</f>
        <v/>
      </c>
      <c r="I2139" s="69" t="str">
        <f>IF($B2139="","",IPMT(Rate,ROWS($1:2127),Nper,-PV,,Type))</f>
        <v/>
      </c>
      <c r="J2139" s="73" t="str">
        <f t="shared" ref="J2139:K2139" si="2129">IF($B2139="","",N(J2138)+N(H2139))</f>
        <v/>
      </c>
      <c r="K2139" s="74" t="str">
        <f t="shared" si="2129"/>
        <v/>
      </c>
      <c r="L2139" s="69" t="str">
        <f>IF($B2139="","",PV-J2139)</f>
        <v/>
      </c>
      <c r="M2139" s="71" t="str">
        <f>IF($B2139="","",J2139/PV)</f>
        <v/>
      </c>
      <c r="N2139" s="72" t="str">
        <f t="shared" si="4"/>
        <v/>
      </c>
    </row>
    <row r="2140" ht="14.25" customHeight="1">
      <c r="B2140" s="66" t="str">
        <f>IF(ROWS($1:2128)&lt;=Nper,ROWS($1:2128),"")</f>
        <v/>
      </c>
      <c r="C2140" s="67" t="str">
        <f>IF($B2140="","",IF($E$7="Weekly",Start_Date+7*(ROWS($1:2128)-1),EDATE(Start_Date,VLOOKUP(IF(ASTemp!$E$7="","Monthly",ASTemp!$E$7),Parameters!$B$3:$D$6,3,0)*(ROWS($1:2128)-1))))</f>
        <v/>
      </c>
      <c r="D2140" s="68" t="str">
        <f t="shared" si="2"/>
        <v/>
      </c>
      <c r="E2140" s="65" t="str">
        <f>IF($B2140="","",VLOOKUP(MONTH(C2140),Parameters!$F$2:$G$13,2,0))</f>
        <v/>
      </c>
      <c r="F2140" s="69" t="str">
        <f>IF($B2140="","",PV-N(J2139))</f>
        <v/>
      </c>
      <c r="G2140" s="69" t="str">
        <f>IF($B2140="","",PMT(Rate,Nper,-PV,,Type))</f>
        <v/>
      </c>
      <c r="H2140" s="69" t="str">
        <f>IF($B2140="","",PPMT(Rate,ROWS($1:2128),Nper,-PV,,Type))</f>
        <v/>
      </c>
      <c r="I2140" s="69" t="str">
        <f>IF($B2140="","",IPMT(Rate,ROWS($1:2128),Nper,-PV,,Type))</f>
        <v/>
      </c>
      <c r="J2140" s="73" t="str">
        <f t="shared" ref="J2140:K2140" si="2130">IF($B2140="","",N(J2139)+N(H2140))</f>
        <v/>
      </c>
      <c r="K2140" s="74" t="str">
        <f t="shared" si="2130"/>
        <v/>
      </c>
      <c r="L2140" s="69" t="str">
        <f>IF($B2140="","",PV-J2140)</f>
        <v/>
      </c>
      <c r="M2140" s="71" t="str">
        <f>IF($B2140="","",J2140/PV)</f>
        <v/>
      </c>
      <c r="N2140" s="72" t="str">
        <f t="shared" si="4"/>
        <v/>
      </c>
    </row>
    <row r="2141" ht="14.25" customHeight="1">
      <c r="B2141" s="66" t="str">
        <f>IF(ROWS($1:2129)&lt;=Nper,ROWS($1:2129),"")</f>
        <v/>
      </c>
      <c r="C2141" s="67" t="str">
        <f>IF($B2141="","",IF($E$7="Weekly",Start_Date+7*(ROWS($1:2129)-1),EDATE(Start_Date,VLOOKUP(IF(ASTemp!$E$7="","Monthly",ASTemp!$E$7),Parameters!$B$3:$D$6,3,0)*(ROWS($1:2129)-1))))</f>
        <v/>
      </c>
      <c r="D2141" s="68" t="str">
        <f t="shared" si="2"/>
        <v/>
      </c>
      <c r="E2141" s="65" t="str">
        <f>IF($B2141="","",VLOOKUP(MONTH(C2141),Parameters!$F$2:$G$13,2,0))</f>
        <v/>
      </c>
      <c r="F2141" s="69" t="str">
        <f>IF($B2141="","",PV-N(J2140))</f>
        <v/>
      </c>
      <c r="G2141" s="69" t="str">
        <f>IF($B2141="","",PMT(Rate,Nper,-PV,,Type))</f>
        <v/>
      </c>
      <c r="H2141" s="69" t="str">
        <f>IF($B2141="","",PPMT(Rate,ROWS($1:2129),Nper,-PV,,Type))</f>
        <v/>
      </c>
      <c r="I2141" s="69" t="str">
        <f>IF($B2141="","",IPMT(Rate,ROWS($1:2129),Nper,-PV,,Type))</f>
        <v/>
      </c>
      <c r="J2141" s="73" t="str">
        <f t="shared" ref="J2141:K2141" si="2131">IF($B2141="","",N(J2140)+N(H2141))</f>
        <v/>
      </c>
      <c r="K2141" s="74" t="str">
        <f t="shared" si="2131"/>
        <v/>
      </c>
      <c r="L2141" s="69" t="str">
        <f>IF($B2141="","",PV-J2141)</f>
        <v/>
      </c>
      <c r="M2141" s="71" t="str">
        <f>IF($B2141="","",J2141/PV)</f>
        <v/>
      </c>
      <c r="N2141" s="72" t="str">
        <f t="shared" si="4"/>
        <v/>
      </c>
    </row>
    <row r="2142" ht="14.25" customHeight="1">
      <c r="B2142" s="66" t="str">
        <f>IF(ROWS($1:2130)&lt;=Nper,ROWS($1:2130),"")</f>
        <v/>
      </c>
      <c r="C2142" s="67" t="str">
        <f>IF($B2142="","",IF($E$7="Weekly",Start_Date+7*(ROWS($1:2130)-1),EDATE(Start_Date,VLOOKUP(IF(ASTemp!$E$7="","Monthly",ASTemp!$E$7),Parameters!$B$3:$D$6,3,0)*(ROWS($1:2130)-1))))</f>
        <v/>
      </c>
      <c r="D2142" s="68" t="str">
        <f t="shared" si="2"/>
        <v/>
      </c>
      <c r="E2142" s="65" t="str">
        <f>IF($B2142="","",VLOOKUP(MONTH(C2142),Parameters!$F$2:$G$13,2,0))</f>
        <v/>
      </c>
      <c r="F2142" s="69" t="str">
        <f>IF($B2142="","",PV-N(J2141))</f>
        <v/>
      </c>
      <c r="G2142" s="69" t="str">
        <f>IF($B2142="","",PMT(Rate,Nper,-PV,,Type))</f>
        <v/>
      </c>
      <c r="H2142" s="69" t="str">
        <f>IF($B2142="","",PPMT(Rate,ROWS($1:2130),Nper,-PV,,Type))</f>
        <v/>
      </c>
      <c r="I2142" s="69" t="str">
        <f>IF($B2142="","",IPMT(Rate,ROWS($1:2130),Nper,-PV,,Type))</f>
        <v/>
      </c>
      <c r="J2142" s="73" t="str">
        <f t="shared" ref="J2142:K2142" si="2132">IF($B2142="","",N(J2141)+N(H2142))</f>
        <v/>
      </c>
      <c r="K2142" s="74" t="str">
        <f t="shared" si="2132"/>
        <v/>
      </c>
      <c r="L2142" s="69" t="str">
        <f>IF($B2142="","",PV-J2142)</f>
        <v/>
      </c>
      <c r="M2142" s="71" t="str">
        <f>IF($B2142="","",J2142/PV)</f>
        <v/>
      </c>
      <c r="N2142" s="72" t="str">
        <f t="shared" si="4"/>
        <v/>
      </c>
    </row>
    <row r="2143" ht="14.25" customHeight="1">
      <c r="B2143" s="66" t="str">
        <f>IF(ROWS($1:2131)&lt;=Nper,ROWS($1:2131),"")</f>
        <v/>
      </c>
      <c r="C2143" s="67" t="str">
        <f>IF($B2143="","",IF($E$7="Weekly",Start_Date+7*(ROWS($1:2131)-1),EDATE(Start_Date,VLOOKUP(IF(ASTemp!$E$7="","Monthly",ASTemp!$E$7),Parameters!$B$3:$D$6,3,0)*(ROWS($1:2131)-1))))</f>
        <v/>
      </c>
      <c r="D2143" s="68" t="str">
        <f t="shared" si="2"/>
        <v/>
      </c>
      <c r="E2143" s="65" t="str">
        <f>IF($B2143="","",VLOOKUP(MONTH(C2143),Parameters!$F$2:$G$13,2,0))</f>
        <v/>
      </c>
      <c r="F2143" s="69" t="str">
        <f>IF($B2143="","",PV-N(J2142))</f>
        <v/>
      </c>
      <c r="G2143" s="69" t="str">
        <f>IF($B2143="","",PMT(Rate,Nper,-PV,,Type))</f>
        <v/>
      </c>
      <c r="H2143" s="69" t="str">
        <f>IF($B2143="","",PPMT(Rate,ROWS($1:2131),Nper,-PV,,Type))</f>
        <v/>
      </c>
      <c r="I2143" s="69" t="str">
        <f>IF($B2143="","",IPMT(Rate,ROWS($1:2131),Nper,-PV,,Type))</f>
        <v/>
      </c>
      <c r="J2143" s="73" t="str">
        <f t="shared" ref="J2143:K2143" si="2133">IF($B2143="","",N(J2142)+N(H2143))</f>
        <v/>
      </c>
      <c r="K2143" s="74" t="str">
        <f t="shared" si="2133"/>
        <v/>
      </c>
      <c r="L2143" s="69" t="str">
        <f>IF($B2143="","",PV-J2143)</f>
        <v/>
      </c>
      <c r="M2143" s="71" t="str">
        <f>IF($B2143="","",J2143/PV)</f>
        <v/>
      </c>
      <c r="N2143" s="72" t="str">
        <f t="shared" si="4"/>
        <v/>
      </c>
    </row>
    <row r="2144" ht="14.25" customHeight="1">
      <c r="B2144" s="66" t="str">
        <f>IF(ROWS($1:2132)&lt;=Nper,ROWS($1:2132),"")</f>
        <v/>
      </c>
      <c r="C2144" s="67" t="str">
        <f>IF($B2144="","",IF($E$7="Weekly",Start_Date+7*(ROWS($1:2132)-1),EDATE(Start_Date,VLOOKUP(IF(ASTemp!$E$7="","Monthly",ASTemp!$E$7),Parameters!$B$3:$D$6,3,0)*(ROWS($1:2132)-1))))</f>
        <v/>
      </c>
      <c r="D2144" s="68" t="str">
        <f t="shared" si="2"/>
        <v/>
      </c>
      <c r="E2144" s="65" t="str">
        <f>IF($B2144="","",VLOOKUP(MONTH(C2144),Parameters!$F$2:$G$13,2,0))</f>
        <v/>
      </c>
      <c r="F2144" s="69" t="str">
        <f>IF($B2144="","",PV-N(J2143))</f>
        <v/>
      </c>
      <c r="G2144" s="69" t="str">
        <f>IF($B2144="","",PMT(Rate,Nper,-PV,,Type))</f>
        <v/>
      </c>
      <c r="H2144" s="69" t="str">
        <f>IF($B2144="","",PPMT(Rate,ROWS($1:2132),Nper,-PV,,Type))</f>
        <v/>
      </c>
      <c r="I2144" s="69" t="str">
        <f>IF($B2144="","",IPMT(Rate,ROWS($1:2132),Nper,-PV,,Type))</f>
        <v/>
      </c>
      <c r="J2144" s="73" t="str">
        <f t="shared" ref="J2144:K2144" si="2134">IF($B2144="","",N(J2143)+N(H2144))</f>
        <v/>
      </c>
      <c r="K2144" s="74" t="str">
        <f t="shared" si="2134"/>
        <v/>
      </c>
      <c r="L2144" s="69" t="str">
        <f>IF($B2144="","",PV-J2144)</f>
        <v/>
      </c>
      <c r="M2144" s="71" t="str">
        <f>IF($B2144="","",J2144/PV)</f>
        <v/>
      </c>
      <c r="N2144" s="72" t="str">
        <f t="shared" si="4"/>
        <v/>
      </c>
    </row>
    <row r="2145" ht="14.25" customHeight="1">
      <c r="B2145" s="66" t="str">
        <f>IF(ROWS($1:2133)&lt;=Nper,ROWS($1:2133),"")</f>
        <v/>
      </c>
      <c r="C2145" s="67" t="str">
        <f>IF($B2145="","",IF($E$7="Weekly",Start_Date+7*(ROWS($1:2133)-1),EDATE(Start_Date,VLOOKUP(IF(ASTemp!$E$7="","Monthly",ASTemp!$E$7),Parameters!$B$3:$D$6,3,0)*(ROWS($1:2133)-1))))</f>
        <v/>
      </c>
      <c r="D2145" s="68" t="str">
        <f t="shared" si="2"/>
        <v/>
      </c>
      <c r="E2145" s="65" t="str">
        <f>IF($B2145="","",VLOOKUP(MONTH(C2145),Parameters!$F$2:$G$13,2,0))</f>
        <v/>
      </c>
      <c r="F2145" s="69" t="str">
        <f>IF($B2145="","",PV-N(J2144))</f>
        <v/>
      </c>
      <c r="G2145" s="69" t="str">
        <f>IF($B2145="","",PMT(Rate,Nper,-PV,,Type))</f>
        <v/>
      </c>
      <c r="H2145" s="69" t="str">
        <f>IF($B2145="","",PPMT(Rate,ROWS($1:2133),Nper,-PV,,Type))</f>
        <v/>
      </c>
      <c r="I2145" s="69" t="str">
        <f>IF($B2145="","",IPMT(Rate,ROWS($1:2133),Nper,-PV,,Type))</f>
        <v/>
      </c>
      <c r="J2145" s="73" t="str">
        <f t="shared" ref="J2145:K2145" si="2135">IF($B2145="","",N(J2144)+N(H2145))</f>
        <v/>
      </c>
      <c r="K2145" s="74" t="str">
        <f t="shared" si="2135"/>
        <v/>
      </c>
      <c r="L2145" s="69" t="str">
        <f>IF($B2145="","",PV-J2145)</f>
        <v/>
      </c>
      <c r="M2145" s="71" t="str">
        <f>IF($B2145="","",J2145/PV)</f>
        <v/>
      </c>
      <c r="N2145" s="72" t="str">
        <f t="shared" si="4"/>
        <v/>
      </c>
    </row>
    <row r="2146" ht="14.25" customHeight="1">
      <c r="B2146" s="66" t="str">
        <f>IF(ROWS($1:2134)&lt;=Nper,ROWS($1:2134),"")</f>
        <v/>
      </c>
      <c r="C2146" s="67" t="str">
        <f>IF($B2146="","",IF($E$7="Weekly",Start_Date+7*(ROWS($1:2134)-1),EDATE(Start_Date,VLOOKUP(IF(ASTemp!$E$7="","Monthly",ASTemp!$E$7),Parameters!$B$3:$D$6,3,0)*(ROWS($1:2134)-1))))</f>
        <v/>
      </c>
      <c r="D2146" s="68" t="str">
        <f t="shared" si="2"/>
        <v/>
      </c>
      <c r="E2146" s="65" t="str">
        <f>IF($B2146="","",VLOOKUP(MONTH(C2146),Parameters!$F$2:$G$13,2,0))</f>
        <v/>
      </c>
      <c r="F2146" s="69" t="str">
        <f>IF($B2146="","",PV-N(J2145))</f>
        <v/>
      </c>
      <c r="G2146" s="69" t="str">
        <f>IF($B2146="","",PMT(Rate,Nper,-PV,,Type))</f>
        <v/>
      </c>
      <c r="H2146" s="69" t="str">
        <f>IF($B2146="","",PPMT(Rate,ROWS($1:2134),Nper,-PV,,Type))</f>
        <v/>
      </c>
      <c r="I2146" s="69" t="str">
        <f>IF($B2146="","",IPMT(Rate,ROWS($1:2134),Nper,-PV,,Type))</f>
        <v/>
      </c>
      <c r="J2146" s="73" t="str">
        <f t="shared" ref="J2146:K2146" si="2136">IF($B2146="","",N(J2145)+N(H2146))</f>
        <v/>
      </c>
      <c r="K2146" s="74" t="str">
        <f t="shared" si="2136"/>
        <v/>
      </c>
      <c r="L2146" s="69" t="str">
        <f>IF($B2146="","",PV-J2146)</f>
        <v/>
      </c>
      <c r="M2146" s="71" t="str">
        <f>IF($B2146="","",J2146/PV)</f>
        <v/>
      </c>
      <c r="N2146" s="72" t="str">
        <f t="shared" si="4"/>
        <v/>
      </c>
    </row>
    <row r="2147" ht="14.25" customHeight="1">
      <c r="B2147" s="66" t="str">
        <f>IF(ROWS($1:2135)&lt;=Nper,ROWS($1:2135),"")</f>
        <v/>
      </c>
      <c r="C2147" s="67" t="str">
        <f>IF($B2147="","",IF($E$7="Weekly",Start_Date+7*(ROWS($1:2135)-1),EDATE(Start_Date,VLOOKUP(IF(ASTemp!$E$7="","Monthly",ASTemp!$E$7),Parameters!$B$3:$D$6,3,0)*(ROWS($1:2135)-1))))</f>
        <v/>
      </c>
      <c r="D2147" s="68" t="str">
        <f t="shared" si="2"/>
        <v/>
      </c>
      <c r="E2147" s="65" t="str">
        <f>IF($B2147="","",VLOOKUP(MONTH(C2147),Parameters!$F$2:$G$13,2,0))</f>
        <v/>
      </c>
      <c r="F2147" s="69" t="str">
        <f>IF($B2147="","",PV-N(J2146))</f>
        <v/>
      </c>
      <c r="G2147" s="69" t="str">
        <f>IF($B2147="","",PMT(Rate,Nper,-PV,,Type))</f>
        <v/>
      </c>
      <c r="H2147" s="69" t="str">
        <f>IF($B2147="","",PPMT(Rate,ROWS($1:2135),Nper,-PV,,Type))</f>
        <v/>
      </c>
      <c r="I2147" s="69" t="str">
        <f>IF($B2147="","",IPMT(Rate,ROWS($1:2135),Nper,-PV,,Type))</f>
        <v/>
      </c>
      <c r="J2147" s="73" t="str">
        <f t="shared" ref="J2147:K2147" si="2137">IF($B2147="","",N(J2146)+N(H2147))</f>
        <v/>
      </c>
      <c r="K2147" s="74" t="str">
        <f t="shared" si="2137"/>
        <v/>
      </c>
      <c r="L2147" s="69" t="str">
        <f>IF($B2147="","",PV-J2147)</f>
        <v/>
      </c>
      <c r="M2147" s="71" t="str">
        <f>IF($B2147="","",J2147/PV)</f>
        <v/>
      </c>
      <c r="N2147" s="72" t="str">
        <f t="shared" si="4"/>
        <v/>
      </c>
    </row>
    <row r="2148" ht="14.25" customHeight="1">
      <c r="B2148" s="66" t="str">
        <f>IF(ROWS($1:2136)&lt;=Nper,ROWS($1:2136),"")</f>
        <v/>
      </c>
      <c r="C2148" s="67" t="str">
        <f>IF($B2148="","",IF($E$7="Weekly",Start_Date+7*(ROWS($1:2136)-1),EDATE(Start_Date,VLOOKUP(IF(ASTemp!$E$7="","Monthly",ASTemp!$E$7),Parameters!$B$3:$D$6,3,0)*(ROWS($1:2136)-1))))</f>
        <v/>
      </c>
      <c r="D2148" s="68" t="str">
        <f t="shared" si="2"/>
        <v/>
      </c>
      <c r="E2148" s="65" t="str">
        <f>IF($B2148="","",VLOOKUP(MONTH(C2148),Parameters!$F$2:$G$13,2,0))</f>
        <v/>
      </c>
      <c r="F2148" s="69" t="str">
        <f>IF($B2148="","",PV-N(J2147))</f>
        <v/>
      </c>
      <c r="G2148" s="69" t="str">
        <f>IF($B2148="","",PMT(Rate,Nper,-PV,,Type))</f>
        <v/>
      </c>
      <c r="H2148" s="69" t="str">
        <f>IF($B2148="","",PPMT(Rate,ROWS($1:2136),Nper,-PV,,Type))</f>
        <v/>
      </c>
      <c r="I2148" s="69" t="str">
        <f>IF($B2148="","",IPMT(Rate,ROWS($1:2136),Nper,-PV,,Type))</f>
        <v/>
      </c>
      <c r="J2148" s="73" t="str">
        <f t="shared" ref="J2148:K2148" si="2138">IF($B2148="","",N(J2147)+N(H2148))</f>
        <v/>
      </c>
      <c r="K2148" s="74" t="str">
        <f t="shared" si="2138"/>
        <v/>
      </c>
      <c r="L2148" s="69" t="str">
        <f>IF($B2148="","",PV-J2148)</f>
        <v/>
      </c>
      <c r="M2148" s="71" t="str">
        <f>IF($B2148="","",J2148/PV)</f>
        <v/>
      </c>
      <c r="N2148" s="72" t="str">
        <f t="shared" si="4"/>
        <v/>
      </c>
    </row>
    <row r="2149" ht="14.25" customHeight="1">
      <c r="B2149" s="66" t="str">
        <f>IF(ROWS($1:2137)&lt;=Nper,ROWS($1:2137),"")</f>
        <v/>
      </c>
      <c r="C2149" s="67" t="str">
        <f>IF($B2149="","",IF($E$7="Weekly",Start_Date+7*(ROWS($1:2137)-1),EDATE(Start_Date,VLOOKUP(IF(ASTemp!$E$7="","Monthly",ASTemp!$E$7),Parameters!$B$3:$D$6,3,0)*(ROWS($1:2137)-1))))</f>
        <v/>
      </c>
      <c r="D2149" s="68" t="str">
        <f t="shared" si="2"/>
        <v/>
      </c>
      <c r="E2149" s="65" t="str">
        <f>IF($B2149="","",VLOOKUP(MONTH(C2149),Parameters!$F$2:$G$13,2,0))</f>
        <v/>
      </c>
      <c r="F2149" s="69" t="str">
        <f>IF($B2149="","",PV-N(J2148))</f>
        <v/>
      </c>
      <c r="G2149" s="69" t="str">
        <f>IF($B2149="","",PMT(Rate,Nper,-PV,,Type))</f>
        <v/>
      </c>
      <c r="H2149" s="69" t="str">
        <f>IF($B2149="","",PPMT(Rate,ROWS($1:2137),Nper,-PV,,Type))</f>
        <v/>
      </c>
      <c r="I2149" s="69" t="str">
        <f>IF($B2149="","",IPMT(Rate,ROWS($1:2137),Nper,-PV,,Type))</f>
        <v/>
      </c>
      <c r="J2149" s="73" t="str">
        <f t="shared" ref="J2149:K2149" si="2139">IF($B2149="","",N(J2148)+N(H2149))</f>
        <v/>
      </c>
      <c r="K2149" s="74" t="str">
        <f t="shared" si="2139"/>
        <v/>
      </c>
      <c r="L2149" s="69" t="str">
        <f>IF($B2149="","",PV-J2149)</f>
        <v/>
      </c>
      <c r="M2149" s="71" t="str">
        <f>IF($B2149="","",J2149/PV)</f>
        <v/>
      </c>
      <c r="N2149" s="72" t="str">
        <f t="shared" si="4"/>
        <v/>
      </c>
    </row>
    <row r="2150" ht="14.25" customHeight="1">
      <c r="B2150" s="66" t="str">
        <f>IF(ROWS($1:2138)&lt;=Nper,ROWS($1:2138),"")</f>
        <v/>
      </c>
      <c r="C2150" s="67" t="str">
        <f>IF($B2150="","",IF($E$7="Weekly",Start_Date+7*(ROWS($1:2138)-1),EDATE(Start_Date,VLOOKUP(IF(ASTemp!$E$7="","Monthly",ASTemp!$E$7),Parameters!$B$3:$D$6,3,0)*(ROWS($1:2138)-1))))</f>
        <v/>
      </c>
      <c r="D2150" s="68" t="str">
        <f t="shared" si="2"/>
        <v/>
      </c>
      <c r="E2150" s="65" t="str">
        <f>IF($B2150="","",VLOOKUP(MONTH(C2150),Parameters!$F$2:$G$13,2,0))</f>
        <v/>
      </c>
      <c r="F2150" s="69" t="str">
        <f>IF($B2150="","",PV-N(J2149))</f>
        <v/>
      </c>
      <c r="G2150" s="69" t="str">
        <f>IF($B2150="","",PMT(Rate,Nper,-PV,,Type))</f>
        <v/>
      </c>
      <c r="H2150" s="69" t="str">
        <f>IF($B2150="","",PPMT(Rate,ROWS($1:2138),Nper,-PV,,Type))</f>
        <v/>
      </c>
      <c r="I2150" s="69" t="str">
        <f>IF($B2150="","",IPMT(Rate,ROWS($1:2138),Nper,-PV,,Type))</f>
        <v/>
      </c>
      <c r="J2150" s="73" t="str">
        <f t="shared" ref="J2150:K2150" si="2140">IF($B2150="","",N(J2149)+N(H2150))</f>
        <v/>
      </c>
      <c r="K2150" s="74" t="str">
        <f t="shared" si="2140"/>
        <v/>
      </c>
      <c r="L2150" s="69" t="str">
        <f>IF($B2150="","",PV-J2150)</f>
        <v/>
      </c>
      <c r="M2150" s="71" t="str">
        <f>IF($B2150="","",J2150/PV)</f>
        <v/>
      </c>
      <c r="N2150" s="72" t="str">
        <f t="shared" si="4"/>
        <v/>
      </c>
    </row>
    <row r="2151" ht="14.25" customHeight="1">
      <c r="B2151" s="66" t="str">
        <f>IF(ROWS($1:2139)&lt;=Nper,ROWS($1:2139),"")</f>
        <v/>
      </c>
      <c r="C2151" s="67" t="str">
        <f>IF($B2151="","",IF($E$7="Weekly",Start_Date+7*(ROWS($1:2139)-1),EDATE(Start_Date,VLOOKUP(IF(ASTemp!$E$7="","Monthly",ASTemp!$E$7),Parameters!$B$3:$D$6,3,0)*(ROWS($1:2139)-1))))</f>
        <v/>
      </c>
      <c r="D2151" s="68" t="str">
        <f t="shared" si="2"/>
        <v/>
      </c>
      <c r="E2151" s="65" t="str">
        <f>IF($B2151="","",VLOOKUP(MONTH(C2151),Parameters!$F$2:$G$13,2,0))</f>
        <v/>
      </c>
      <c r="F2151" s="69" t="str">
        <f>IF($B2151="","",PV-N(J2150))</f>
        <v/>
      </c>
      <c r="G2151" s="69" t="str">
        <f>IF($B2151="","",PMT(Rate,Nper,-PV,,Type))</f>
        <v/>
      </c>
      <c r="H2151" s="69" t="str">
        <f>IF($B2151="","",PPMT(Rate,ROWS($1:2139),Nper,-PV,,Type))</f>
        <v/>
      </c>
      <c r="I2151" s="69" t="str">
        <f>IF($B2151="","",IPMT(Rate,ROWS($1:2139),Nper,-PV,,Type))</f>
        <v/>
      </c>
      <c r="J2151" s="73" t="str">
        <f t="shared" ref="J2151:K2151" si="2141">IF($B2151="","",N(J2150)+N(H2151))</f>
        <v/>
      </c>
      <c r="K2151" s="74" t="str">
        <f t="shared" si="2141"/>
        <v/>
      </c>
      <c r="L2151" s="69" t="str">
        <f>IF($B2151="","",PV-J2151)</f>
        <v/>
      </c>
      <c r="M2151" s="71" t="str">
        <f>IF($B2151="","",J2151/PV)</f>
        <v/>
      </c>
      <c r="N2151" s="72" t="str">
        <f t="shared" si="4"/>
        <v/>
      </c>
    </row>
    <row r="2152" ht="14.25" customHeight="1">
      <c r="B2152" s="66" t="str">
        <f>IF(ROWS($1:2140)&lt;=Nper,ROWS($1:2140),"")</f>
        <v/>
      </c>
      <c r="C2152" s="67" t="str">
        <f>IF($B2152="","",IF($E$7="Weekly",Start_Date+7*(ROWS($1:2140)-1),EDATE(Start_Date,VLOOKUP(IF(ASTemp!$E$7="","Monthly",ASTemp!$E$7),Parameters!$B$3:$D$6,3,0)*(ROWS($1:2140)-1))))</f>
        <v/>
      </c>
      <c r="D2152" s="68" t="str">
        <f t="shared" si="2"/>
        <v/>
      </c>
      <c r="E2152" s="65" t="str">
        <f>IF($B2152="","",VLOOKUP(MONTH(C2152),Parameters!$F$2:$G$13,2,0))</f>
        <v/>
      </c>
      <c r="F2152" s="69" t="str">
        <f>IF($B2152="","",PV-N(J2151))</f>
        <v/>
      </c>
      <c r="G2152" s="69" t="str">
        <f>IF($B2152="","",PMT(Rate,Nper,-PV,,Type))</f>
        <v/>
      </c>
      <c r="H2152" s="69" t="str">
        <f>IF($B2152="","",PPMT(Rate,ROWS($1:2140),Nper,-PV,,Type))</f>
        <v/>
      </c>
      <c r="I2152" s="69" t="str">
        <f>IF($B2152="","",IPMT(Rate,ROWS($1:2140),Nper,-PV,,Type))</f>
        <v/>
      </c>
      <c r="J2152" s="73" t="str">
        <f t="shared" ref="J2152:K2152" si="2142">IF($B2152="","",N(J2151)+N(H2152))</f>
        <v/>
      </c>
      <c r="K2152" s="74" t="str">
        <f t="shared" si="2142"/>
        <v/>
      </c>
      <c r="L2152" s="69" t="str">
        <f>IF($B2152="","",PV-J2152)</f>
        <v/>
      </c>
      <c r="M2152" s="71" t="str">
        <f>IF($B2152="","",J2152/PV)</f>
        <v/>
      </c>
      <c r="N2152" s="72" t="str">
        <f t="shared" si="4"/>
        <v/>
      </c>
    </row>
    <row r="2153" ht="14.25" customHeight="1">
      <c r="B2153" s="66" t="str">
        <f>IF(ROWS($1:2141)&lt;=Nper,ROWS($1:2141),"")</f>
        <v/>
      </c>
      <c r="C2153" s="67" t="str">
        <f>IF($B2153="","",IF($E$7="Weekly",Start_Date+7*(ROWS($1:2141)-1),EDATE(Start_Date,VLOOKUP(IF(ASTemp!$E$7="","Monthly",ASTemp!$E$7),Parameters!$B$3:$D$6,3,0)*(ROWS($1:2141)-1))))</f>
        <v/>
      </c>
      <c r="D2153" s="68" t="str">
        <f t="shared" si="2"/>
        <v/>
      </c>
      <c r="E2153" s="65" t="str">
        <f>IF($B2153="","",VLOOKUP(MONTH(C2153),Parameters!$F$2:$G$13,2,0))</f>
        <v/>
      </c>
      <c r="F2153" s="69" t="str">
        <f>IF($B2153="","",PV-N(J2152))</f>
        <v/>
      </c>
      <c r="G2153" s="69" t="str">
        <f>IF($B2153="","",PMT(Rate,Nper,-PV,,Type))</f>
        <v/>
      </c>
      <c r="H2153" s="69" t="str">
        <f>IF($B2153="","",PPMT(Rate,ROWS($1:2141),Nper,-PV,,Type))</f>
        <v/>
      </c>
      <c r="I2153" s="69" t="str">
        <f>IF($B2153="","",IPMT(Rate,ROWS($1:2141),Nper,-PV,,Type))</f>
        <v/>
      </c>
      <c r="J2153" s="73" t="str">
        <f t="shared" ref="J2153:K2153" si="2143">IF($B2153="","",N(J2152)+N(H2153))</f>
        <v/>
      </c>
      <c r="K2153" s="74" t="str">
        <f t="shared" si="2143"/>
        <v/>
      </c>
      <c r="L2153" s="69" t="str">
        <f>IF($B2153="","",PV-J2153)</f>
        <v/>
      </c>
      <c r="M2153" s="71" t="str">
        <f>IF($B2153="","",J2153/PV)</f>
        <v/>
      </c>
      <c r="N2153" s="72" t="str">
        <f t="shared" si="4"/>
        <v/>
      </c>
    </row>
    <row r="2154" ht="14.25" customHeight="1">
      <c r="B2154" s="66" t="str">
        <f>IF(ROWS($1:2142)&lt;=Nper,ROWS($1:2142),"")</f>
        <v/>
      </c>
      <c r="C2154" s="67" t="str">
        <f>IF($B2154="","",IF($E$7="Weekly",Start_Date+7*(ROWS($1:2142)-1),EDATE(Start_Date,VLOOKUP(IF(ASTemp!$E$7="","Monthly",ASTemp!$E$7),Parameters!$B$3:$D$6,3,0)*(ROWS($1:2142)-1))))</f>
        <v/>
      </c>
      <c r="D2154" s="68" t="str">
        <f t="shared" si="2"/>
        <v/>
      </c>
      <c r="E2154" s="65" t="str">
        <f>IF($B2154="","",VLOOKUP(MONTH(C2154),Parameters!$F$2:$G$13,2,0))</f>
        <v/>
      </c>
      <c r="F2154" s="69" t="str">
        <f>IF($B2154="","",PV-N(J2153))</f>
        <v/>
      </c>
      <c r="G2154" s="69" t="str">
        <f>IF($B2154="","",PMT(Rate,Nper,-PV,,Type))</f>
        <v/>
      </c>
      <c r="H2154" s="69" t="str">
        <f>IF($B2154="","",PPMT(Rate,ROWS($1:2142),Nper,-PV,,Type))</f>
        <v/>
      </c>
      <c r="I2154" s="69" t="str">
        <f>IF($B2154="","",IPMT(Rate,ROWS($1:2142),Nper,-PV,,Type))</f>
        <v/>
      </c>
      <c r="J2154" s="73" t="str">
        <f t="shared" ref="J2154:K2154" si="2144">IF($B2154="","",N(J2153)+N(H2154))</f>
        <v/>
      </c>
      <c r="K2154" s="74" t="str">
        <f t="shared" si="2144"/>
        <v/>
      </c>
      <c r="L2154" s="69" t="str">
        <f>IF($B2154="","",PV-J2154)</f>
        <v/>
      </c>
      <c r="M2154" s="71" t="str">
        <f>IF($B2154="","",J2154/PV)</f>
        <v/>
      </c>
      <c r="N2154" s="72" t="str">
        <f t="shared" si="4"/>
        <v/>
      </c>
    </row>
    <row r="2155" ht="14.25" customHeight="1">
      <c r="B2155" s="66" t="str">
        <f>IF(ROWS($1:2143)&lt;=Nper,ROWS($1:2143),"")</f>
        <v/>
      </c>
      <c r="C2155" s="67" t="str">
        <f>IF($B2155="","",IF($E$7="Weekly",Start_Date+7*(ROWS($1:2143)-1),EDATE(Start_Date,VLOOKUP(IF(ASTemp!$E$7="","Monthly",ASTemp!$E$7),Parameters!$B$3:$D$6,3,0)*(ROWS($1:2143)-1))))</f>
        <v/>
      </c>
      <c r="D2155" s="68" t="str">
        <f t="shared" si="2"/>
        <v/>
      </c>
      <c r="E2155" s="65" t="str">
        <f>IF($B2155="","",VLOOKUP(MONTH(C2155),Parameters!$F$2:$G$13,2,0))</f>
        <v/>
      </c>
      <c r="F2155" s="69" t="str">
        <f>IF($B2155="","",PV-N(J2154))</f>
        <v/>
      </c>
      <c r="G2155" s="69" t="str">
        <f>IF($B2155="","",PMT(Rate,Nper,-PV,,Type))</f>
        <v/>
      </c>
      <c r="H2155" s="69" t="str">
        <f>IF($B2155="","",PPMT(Rate,ROWS($1:2143),Nper,-PV,,Type))</f>
        <v/>
      </c>
      <c r="I2155" s="69" t="str">
        <f>IF($B2155="","",IPMT(Rate,ROWS($1:2143),Nper,-PV,,Type))</f>
        <v/>
      </c>
      <c r="J2155" s="73" t="str">
        <f t="shared" ref="J2155:K2155" si="2145">IF($B2155="","",N(J2154)+N(H2155))</f>
        <v/>
      </c>
      <c r="K2155" s="74" t="str">
        <f t="shared" si="2145"/>
        <v/>
      </c>
      <c r="L2155" s="69" t="str">
        <f>IF($B2155="","",PV-J2155)</f>
        <v/>
      </c>
      <c r="M2155" s="71" t="str">
        <f>IF($B2155="","",J2155/PV)</f>
        <v/>
      </c>
      <c r="N2155" s="72" t="str">
        <f t="shared" si="4"/>
        <v/>
      </c>
    </row>
    <row r="2156" ht="14.25" customHeight="1">
      <c r="B2156" s="66" t="str">
        <f>IF(ROWS($1:2144)&lt;=Nper,ROWS($1:2144),"")</f>
        <v/>
      </c>
      <c r="C2156" s="67" t="str">
        <f>IF($B2156="","",IF($E$7="Weekly",Start_Date+7*(ROWS($1:2144)-1),EDATE(Start_Date,VLOOKUP(IF(ASTemp!$E$7="","Monthly",ASTemp!$E$7),Parameters!$B$3:$D$6,3,0)*(ROWS($1:2144)-1))))</f>
        <v/>
      </c>
      <c r="D2156" s="68" t="str">
        <f t="shared" si="2"/>
        <v/>
      </c>
      <c r="E2156" s="65" t="str">
        <f>IF($B2156="","",VLOOKUP(MONTH(C2156),Parameters!$F$2:$G$13,2,0))</f>
        <v/>
      </c>
      <c r="F2156" s="69" t="str">
        <f>IF($B2156="","",PV-N(J2155))</f>
        <v/>
      </c>
      <c r="G2156" s="69" t="str">
        <f>IF($B2156="","",PMT(Rate,Nper,-PV,,Type))</f>
        <v/>
      </c>
      <c r="H2156" s="69" t="str">
        <f>IF($B2156="","",PPMT(Rate,ROWS($1:2144),Nper,-PV,,Type))</f>
        <v/>
      </c>
      <c r="I2156" s="69" t="str">
        <f>IF($B2156="","",IPMT(Rate,ROWS($1:2144),Nper,-PV,,Type))</f>
        <v/>
      </c>
      <c r="J2156" s="73" t="str">
        <f t="shared" ref="J2156:K2156" si="2146">IF($B2156="","",N(J2155)+N(H2156))</f>
        <v/>
      </c>
      <c r="K2156" s="74" t="str">
        <f t="shared" si="2146"/>
        <v/>
      </c>
      <c r="L2156" s="69" t="str">
        <f>IF($B2156="","",PV-J2156)</f>
        <v/>
      </c>
      <c r="M2156" s="71" t="str">
        <f>IF($B2156="","",J2156/PV)</f>
        <v/>
      </c>
      <c r="N2156" s="72" t="str">
        <f t="shared" si="4"/>
        <v/>
      </c>
    </row>
    <row r="2157" ht="14.25" customHeight="1">
      <c r="B2157" s="66" t="str">
        <f>IF(ROWS($1:2145)&lt;=Nper,ROWS($1:2145),"")</f>
        <v/>
      </c>
      <c r="C2157" s="67" t="str">
        <f>IF($B2157="","",IF($E$7="Weekly",Start_Date+7*(ROWS($1:2145)-1),EDATE(Start_Date,VLOOKUP(IF(ASTemp!$E$7="","Monthly",ASTemp!$E$7),Parameters!$B$3:$D$6,3,0)*(ROWS($1:2145)-1))))</f>
        <v/>
      </c>
      <c r="D2157" s="68" t="str">
        <f t="shared" si="2"/>
        <v/>
      </c>
      <c r="E2157" s="65" t="str">
        <f>IF($B2157="","",VLOOKUP(MONTH(C2157),Parameters!$F$2:$G$13,2,0))</f>
        <v/>
      </c>
      <c r="F2157" s="69" t="str">
        <f>IF($B2157="","",PV-N(J2156))</f>
        <v/>
      </c>
      <c r="G2157" s="69" t="str">
        <f>IF($B2157="","",PMT(Rate,Nper,-PV,,Type))</f>
        <v/>
      </c>
      <c r="H2157" s="69" t="str">
        <f>IF($B2157="","",PPMT(Rate,ROWS($1:2145),Nper,-PV,,Type))</f>
        <v/>
      </c>
      <c r="I2157" s="69" t="str">
        <f>IF($B2157="","",IPMT(Rate,ROWS($1:2145),Nper,-PV,,Type))</f>
        <v/>
      </c>
      <c r="J2157" s="73" t="str">
        <f t="shared" ref="J2157:K2157" si="2147">IF($B2157="","",N(J2156)+N(H2157))</f>
        <v/>
      </c>
      <c r="K2157" s="74" t="str">
        <f t="shared" si="2147"/>
        <v/>
      </c>
      <c r="L2157" s="69" t="str">
        <f>IF($B2157="","",PV-J2157)</f>
        <v/>
      </c>
      <c r="M2157" s="71" t="str">
        <f>IF($B2157="","",J2157/PV)</f>
        <v/>
      </c>
      <c r="N2157" s="72" t="str">
        <f t="shared" si="4"/>
        <v/>
      </c>
    </row>
    <row r="2158" ht="14.25" customHeight="1">
      <c r="B2158" s="66" t="str">
        <f>IF(ROWS($1:2146)&lt;=Nper,ROWS($1:2146),"")</f>
        <v/>
      </c>
      <c r="C2158" s="67" t="str">
        <f>IF($B2158="","",IF($E$7="Weekly",Start_Date+7*(ROWS($1:2146)-1),EDATE(Start_Date,VLOOKUP(IF(ASTemp!$E$7="","Monthly",ASTemp!$E$7),Parameters!$B$3:$D$6,3,0)*(ROWS($1:2146)-1))))</f>
        <v/>
      </c>
      <c r="D2158" s="68" t="str">
        <f t="shared" si="2"/>
        <v/>
      </c>
      <c r="E2158" s="65" t="str">
        <f>IF($B2158="","",VLOOKUP(MONTH(C2158),Parameters!$F$2:$G$13,2,0))</f>
        <v/>
      </c>
      <c r="F2158" s="69" t="str">
        <f>IF($B2158="","",PV-N(J2157))</f>
        <v/>
      </c>
      <c r="G2158" s="69" t="str">
        <f>IF($B2158="","",PMT(Rate,Nper,-PV,,Type))</f>
        <v/>
      </c>
      <c r="H2158" s="69" t="str">
        <f>IF($B2158="","",PPMT(Rate,ROWS($1:2146),Nper,-PV,,Type))</f>
        <v/>
      </c>
      <c r="I2158" s="69" t="str">
        <f>IF($B2158="","",IPMT(Rate,ROWS($1:2146),Nper,-PV,,Type))</f>
        <v/>
      </c>
      <c r="J2158" s="73" t="str">
        <f t="shared" ref="J2158:K2158" si="2148">IF($B2158="","",N(J2157)+N(H2158))</f>
        <v/>
      </c>
      <c r="K2158" s="74" t="str">
        <f t="shared" si="2148"/>
        <v/>
      </c>
      <c r="L2158" s="69" t="str">
        <f>IF($B2158="","",PV-J2158)</f>
        <v/>
      </c>
      <c r="M2158" s="71" t="str">
        <f>IF($B2158="","",J2158/PV)</f>
        <v/>
      </c>
      <c r="N2158" s="72" t="str">
        <f t="shared" si="4"/>
        <v/>
      </c>
    </row>
    <row r="2159" ht="14.25" customHeight="1">
      <c r="B2159" s="66" t="str">
        <f>IF(ROWS($1:2147)&lt;=Nper,ROWS($1:2147),"")</f>
        <v/>
      </c>
      <c r="C2159" s="67" t="str">
        <f>IF($B2159="","",IF($E$7="Weekly",Start_Date+7*(ROWS($1:2147)-1),EDATE(Start_Date,VLOOKUP(IF(ASTemp!$E$7="","Monthly",ASTemp!$E$7),Parameters!$B$3:$D$6,3,0)*(ROWS($1:2147)-1))))</f>
        <v/>
      </c>
      <c r="D2159" s="68" t="str">
        <f t="shared" si="2"/>
        <v/>
      </c>
      <c r="E2159" s="65" t="str">
        <f>IF($B2159="","",VLOOKUP(MONTH(C2159),Parameters!$F$2:$G$13,2,0))</f>
        <v/>
      </c>
      <c r="F2159" s="69" t="str">
        <f>IF($B2159="","",PV-N(J2158))</f>
        <v/>
      </c>
      <c r="G2159" s="69" t="str">
        <f>IF($B2159="","",PMT(Rate,Nper,-PV,,Type))</f>
        <v/>
      </c>
      <c r="H2159" s="69" t="str">
        <f>IF($B2159="","",PPMT(Rate,ROWS($1:2147),Nper,-PV,,Type))</f>
        <v/>
      </c>
      <c r="I2159" s="69" t="str">
        <f>IF($B2159="","",IPMT(Rate,ROWS($1:2147),Nper,-PV,,Type))</f>
        <v/>
      </c>
      <c r="J2159" s="73" t="str">
        <f t="shared" ref="J2159:K2159" si="2149">IF($B2159="","",N(J2158)+N(H2159))</f>
        <v/>
      </c>
      <c r="K2159" s="74" t="str">
        <f t="shared" si="2149"/>
        <v/>
      </c>
      <c r="L2159" s="69" t="str">
        <f>IF($B2159="","",PV-J2159)</f>
        <v/>
      </c>
      <c r="M2159" s="71" t="str">
        <f>IF($B2159="","",J2159/PV)</f>
        <v/>
      </c>
      <c r="N2159" s="72" t="str">
        <f t="shared" si="4"/>
        <v/>
      </c>
    </row>
    <row r="2160" ht="14.25" customHeight="1">
      <c r="B2160" s="66" t="str">
        <f>IF(ROWS($1:2148)&lt;=Nper,ROWS($1:2148),"")</f>
        <v/>
      </c>
      <c r="C2160" s="67" t="str">
        <f>IF($B2160="","",IF($E$7="Weekly",Start_Date+7*(ROWS($1:2148)-1),EDATE(Start_Date,VLOOKUP(IF(ASTemp!$E$7="","Monthly",ASTemp!$E$7),Parameters!$B$3:$D$6,3,0)*(ROWS($1:2148)-1))))</f>
        <v/>
      </c>
      <c r="D2160" s="68" t="str">
        <f t="shared" si="2"/>
        <v/>
      </c>
      <c r="E2160" s="65" t="str">
        <f>IF($B2160="","",VLOOKUP(MONTH(C2160),Parameters!$F$2:$G$13,2,0))</f>
        <v/>
      </c>
      <c r="F2160" s="69" t="str">
        <f>IF($B2160="","",PV-N(J2159))</f>
        <v/>
      </c>
      <c r="G2160" s="69" t="str">
        <f>IF($B2160="","",PMT(Rate,Nper,-PV,,Type))</f>
        <v/>
      </c>
      <c r="H2160" s="69" t="str">
        <f>IF($B2160="","",PPMT(Rate,ROWS($1:2148),Nper,-PV,,Type))</f>
        <v/>
      </c>
      <c r="I2160" s="69" t="str">
        <f>IF($B2160="","",IPMT(Rate,ROWS($1:2148),Nper,-PV,,Type))</f>
        <v/>
      </c>
      <c r="J2160" s="73" t="str">
        <f t="shared" ref="J2160:K2160" si="2150">IF($B2160="","",N(J2159)+N(H2160))</f>
        <v/>
      </c>
      <c r="K2160" s="74" t="str">
        <f t="shared" si="2150"/>
        <v/>
      </c>
      <c r="L2160" s="69" t="str">
        <f>IF($B2160="","",PV-J2160)</f>
        <v/>
      </c>
      <c r="M2160" s="71" t="str">
        <f>IF($B2160="","",J2160/PV)</f>
        <v/>
      </c>
      <c r="N2160" s="72" t="str">
        <f t="shared" si="4"/>
        <v/>
      </c>
    </row>
    <row r="2161" ht="14.25" customHeight="1">
      <c r="B2161" s="66" t="str">
        <f>IF(ROWS($1:2149)&lt;=Nper,ROWS($1:2149),"")</f>
        <v/>
      </c>
      <c r="C2161" s="67" t="str">
        <f>IF($B2161="","",IF($E$7="Weekly",Start_Date+7*(ROWS($1:2149)-1),EDATE(Start_Date,VLOOKUP(IF(ASTemp!$E$7="","Monthly",ASTemp!$E$7),Parameters!$B$3:$D$6,3,0)*(ROWS($1:2149)-1))))</f>
        <v/>
      </c>
      <c r="D2161" s="68" t="str">
        <f t="shared" si="2"/>
        <v/>
      </c>
      <c r="E2161" s="65" t="str">
        <f>IF($B2161="","",VLOOKUP(MONTH(C2161),Parameters!$F$2:$G$13,2,0))</f>
        <v/>
      </c>
      <c r="F2161" s="69" t="str">
        <f>IF($B2161="","",PV-N(J2160))</f>
        <v/>
      </c>
      <c r="G2161" s="69" t="str">
        <f>IF($B2161="","",PMT(Rate,Nper,-PV,,Type))</f>
        <v/>
      </c>
      <c r="H2161" s="69" t="str">
        <f>IF($B2161="","",PPMT(Rate,ROWS($1:2149),Nper,-PV,,Type))</f>
        <v/>
      </c>
      <c r="I2161" s="69" t="str">
        <f>IF($B2161="","",IPMT(Rate,ROWS($1:2149),Nper,-PV,,Type))</f>
        <v/>
      </c>
      <c r="J2161" s="73" t="str">
        <f t="shared" ref="J2161:K2161" si="2151">IF($B2161="","",N(J2160)+N(H2161))</f>
        <v/>
      </c>
      <c r="K2161" s="74" t="str">
        <f t="shared" si="2151"/>
        <v/>
      </c>
      <c r="L2161" s="69" t="str">
        <f>IF($B2161="","",PV-J2161)</f>
        <v/>
      </c>
      <c r="M2161" s="71" t="str">
        <f>IF($B2161="","",J2161/PV)</f>
        <v/>
      </c>
      <c r="N2161" s="72" t="str">
        <f t="shared" si="4"/>
        <v/>
      </c>
    </row>
    <row r="2162" ht="14.25" customHeight="1">
      <c r="B2162" s="66" t="str">
        <f>IF(ROWS($1:2150)&lt;=Nper,ROWS($1:2150),"")</f>
        <v/>
      </c>
      <c r="C2162" s="67" t="str">
        <f>IF($B2162="","",IF($E$7="Weekly",Start_Date+7*(ROWS($1:2150)-1),EDATE(Start_Date,VLOOKUP(IF(ASTemp!$E$7="","Monthly",ASTemp!$E$7),Parameters!$B$3:$D$6,3,0)*(ROWS($1:2150)-1))))</f>
        <v/>
      </c>
      <c r="D2162" s="68" t="str">
        <f t="shared" si="2"/>
        <v/>
      </c>
      <c r="E2162" s="65" t="str">
        <f>IF($B2162="","",VLOOKUP(MONTH(C2162),Parameters!$F$2:$G$13,2,0))</f>
        <v/>
      </c>
      <c r="F2162" s="69" t="str">
        <f>IF($B2162="","",PV-N(J2161))</f>
        <v/>
      </c>
      <c r="G2162" s="69" t="str">
        <f>IF($B2162="","",PMT(Rate,Nper,-PV,,Type))</f>
        <v/>
      </c>
      <c r="H2162" s="69" t="str">
        <f>IF($B2162="","",PPMT(Rate,ROWS($1:2150),Nper,-PV,,Type))</f>
        <v/>
      </c>
      <c r="I2162" s="69" t="str">
        <f>IF($B2162="","",IPMT(Rate,ROWS($1:2150),Nper,-PV,,Type))</f>
        <v/>
      </c>
      <c r="J2162" s="73" t="str">
        <f t="shared" ref="J2162:K2162" si="2152">IF($B2162="","",N(J2161)+N(H2162))</f>
        <v/>
      </c>
      <c r="K2162" s="74" t="str">
        <f t="shared" si="2152"/>
        <v/>
      </c>
      <c r="L2162" s="69" t="str">
        <f>IF($B2162="","",PV-J2162)</f>
        <v/>
      </c>
      <c r="M2162" s="71" t="str">
        <f>IF($B2162="","",J2162/PV)</f>
        <v/>
      </c>
      <c r="N2162" s="72" t="str">
        <f t="shared" si="4"/>
        <v/>
      </c>
    </row>
    <row r="2163" ht="14.25" customHeight="1">
      <c r="B2163" s="66" t="str">
        <f>IF(ROWS($1:2151)&lt;=Nper,ROWS($1:2151),"")</f>
        <v/>
      </c>
      <c r="C2163" s="67" t="str">
        <f>IF($B2163="","",IF($E$7="Weekly",Start_Date+7*(ROWS($1:2151)-1),EDATE(Start_Date,VLOOKUP(IF(ASTemp!$E$7="","Monthly",ASTemp!$E$7),Parameters!$B$3:$D$6,3,0)*(ROWS($1:2151)-1))))</f>
        <v/>
      </c>
      <c r="D2163" s="68" t="str">
        <f t="shared" si="2"/>
        <v/>
      </c>
      <c r="E2163" s="65" t="str">
        <f>IF($B2163="","",VLOOKUP(MONTH(C2163),Parameters!$F$2:$G$13,2,0))</f>
        <v/>
      </c>
      <c r="F2163" s="69" t="str">
        <f>IF($B2163="","",PV-N(J2162))</f>
        <v/>
      </c>
      <c r="G2163" s="69" t="str">
        <f>IF($B2163="","",PMT(Rate,Nper,-PV,,Type))</f>
        <v/>
      </c>
      <c r="H2163" s="69" t="str">
        <f>IF($B2163="","",PPMT(Rate,ROWS($1:2151),Nper,-PV,,Type))</f>
        <v/>
      </c>
      <c r="I2163" s="69" t="str">
        <f>IF($B2163="","",IPMT(Rate,ROWS($1:2151),Nper,-PV,,Type))</f>
        <v/>
      </c>
      <c r="J2163" s="73" t="str">
        <f t="shared" ref="J2163:K2163" si="2153">IF($B2163="","",N(J2162)+N(H2163))</f>
        <v/>
      </c>
      <c r="K2163" s="74" t="str">
        <f t="shared" si="2153"/>
        <v/>
      </c>
      <c r="L2163" s="69" t="str">
        <f>IF($B2163="","",PV-J2163)</f>
        <v/>
      </c>
      <c r="M2163" s="71" t="str">
        <f>IF($B2163="","",J2163/PV)</f>
        <v/>
      </c>
      <c r="N2163" s="72" t="str">
        <f t="shared" si="4"/>
        <v/>
      </c>
    </row>
    <row r="2164" ht="14.25" customHeight="1">
      <c r="B2164" s="66" t="str">
        <f>IF(ROWS($1:2152)&lt;=Nper,ROWS($1:2152),"")</f>
        <v/>
      </c>
      <c r="C2164" s="67" t="str">
        <f>IF($B2164="","",IF($E$7="Weekly",Start_Date+7*(ROWS($1:2152)-1),EDATE(Start_Date,VLOOKUP(IF(ASTemp!$E$7="","Monthly",ASTemp!$E$7),Parameters!$B$3:$D$6,3,0)*(ROWS($1:2152)-1))))</f>
        <v/>
      </c>
      <c r="D2164" s="68" t="str">
        <f t="shared" si="2"/>
        <v/>
      </c>
      <c r="E2164" s="65" t="str">
        <f>IF($B2164="","",VLOOKUP(MONTH(C2164),Parameters!$F$2:$G$13,2,0))</f>
        <v/>
      </c>
      <c r="F2164" s="69" t="str">
        <f>IF($B2164="","",PV-N(J2163))</f>
        <v/>
      </c>
      <c r="G2164" s="69" t="str">
        <f>IF($B2164="","",PMT(Rate,Nper,-PV,,Type))</f>
        <v/>
      </c>
      <c r="H2164" s="69" t="str">
        <f>IF($B2164="","",PPMT(Rate,ROWS($1:2152),Nper,-PV,,Type))</f>
        <v/>
      </c>
      <c r="I2164" s="69" t="str">
        <f>IF($B2164="","",IPMT(Rate,ROWS($1:2152),Nper,-PV,,Type))</f>
        <v/>
      </c>
      <c r="J2164" s="73" t="str">
        <f t="shared" ref="J2164:K2164" si="2154">IF($B2164="","",N(J2163)+N(H2164))</f>
        <v/>
      </c>
      <c r="K2164" s="74" t="str">
        <f t="shared" si="2154"/>
        <v/>
      </c>
      <c r="L2164" s="69" t="str">
        <f>IF($B2164="","",PV-J2164)</f>
        <v/>
      </c>
      <c r="M2164" s="71" t="str">
        <f>IF($B2164="","",J2164/PV)</f>
        <v/>
      </c>
      <c r="N2164" s="72" t="str">
        <f t="shared" si="4"/>
        <v/>
      </c>
    </row>
    <row r="2165" ht="14.25" customHeight="1">
      <c r="B2165" s="66" t="str">
        <f>IF(ROWS($1:2153)&lt;=Nper,ROWS($1:2153),"")</f>
        <v/>
      </c>
      <c r="C2165" s="67" t="str">
        <f>IF($B2165="","",IF($E$7="Weekly",Start_Date+7*(ROWS($1:2153)-1),EDATE(Start_Date,VLOOKUP(IF(ASTemp!$E$7="","Monthly",ASTemp!$E$7),Parameters!$B$3:$D$6,3,0)*(ROWS($1:2153)-1))))</f>
        <v/>
      </c>
      <c r="D2165" s="68" t="str">
        <f t="shared" si="2"/>
        <v/>
      </c>
      <c r="E2165" s="65" t="str">
        <f>IF($B2165="","",VLOOKUP(MONTH(C2165),Parameters!$F$2:$G$13,2,0))</f>
        <v/>
      </c>
      <c r="F2165" s="69" t="str">
        <f>IF($B2165="","",PV-N(J2164))</f>
        <v/>
      </c>
      <c r="G2165" s="69" t="str">
        <f>IF($B2165="","",PMT(Rate,Nper,-PV,,Type))</f>
        <v/>
      </c>
      <c r="H2165" s="69" t="str">
        <f>IF($B2165="","",PPMT(Rate,ROWS($1:2153),Nper,-PV,,Type))</f>
        <v/>
      </c>
      <c r="I2165" s="69" t="str">
        <f>IF($B2165="","",IPMT(Rate,ROWS($1:2153),Nper,-PV,,Type))</f>
        <v/>
      </c>
      <c r="J2165" s="73" t="str">
        <f t="shared" ref="J2165:K2165" si="2155">IF($B2165="","",N(J2164)+N(H2165))</f>
        <v/>
      </c>
      <c r="K2165" s="74" t="str">
        <f t="shared" si="2155"/>
        <v/>
      </c>
      <c r="L2165" s="69" t="str">
        <f>IF($B2165="","",PV-J2165)</f>
        <v/>
      </c>
      <c r="M2165" s="71" t="str">
        <f>IF($B2165="","",J2165/PV)</f>
        <v/>
      </c>
      <c r="N2165" s="72" t="str">
        <f t="shared" si="4"/>
        <v/>
      </c>
    </row>
    <row r="2166" ht="14.25" customHeight="1">
      <c r="B2166" s="66" t="str">
        <f>IF(ROWS($1:2154)&lt;=Nper,ROWS($1:2154),"")</f>
        <v/>
      </c>
      <c r="C2166" s="67" t="str">
        <f>IF($B2166="","",IF($E$7="Weekly",Start_Date+7*(ROWS($1:2154)-1),EDATE(Start_Date,VLOOKUP(IF(ASTemp!$E$7="","Monthly",ASTemp!$E$7),Parameters!$B$3:$D$6,3,0)*(ROWS($1:2154)-1))))</f>
        <v/>
      </c>
      <c r="D2166" s="68" t="str">
        <f t="shared" si="2"/>
        <v/>
      </c>
      <c r="E2166" s="65" t="str">
        <f>IF($B2166="","",VLOOKUP(MONTH(C2166),Parameters!$F$2:$G$13,2,0))</f>
        <v/>
      </c>
      <c r="F2166" s="69" t="str">
        <f>IF($B2166="","",PV-N(J2165))</f>
        <v/>
      </c>
      <c r="G2166" s="69" t="str">
        <f>IF($B2166="","",PMT(Rate,Nper,-PV,,Type))</f>
        <v/>
      </c>
      <c r="H2166" s="69" t="str">
        <f>IF($B2166="","",PPMT(Rate,ROWS($1:2154),Nper,-PV,,Type))</f>
        <v/>
      </c>
      <c r="I2166" s="69" t="str">
        <f>IF($B2166="","",IPMT(Rate,ROWS($1:2154),Nper,-PV,,Type))</f>
        <v/>
      </c>
      <c r="J2166" s="73" t="str">
        <f t="shared" ref="J2166:K2166" si="2156">IF($B2166="","",N(J2165)+N(H2166))</f>
        <v/>
      </c>
      <c r="K2166" s="74" t="str">
        <f t="shared" si="2156"/>
        <v/>
      </c>
      <c r="L2166" s="69" t="str">
        <f>IF($B2166="","",PV-J2166)</f>
        <v/>
      </c>
      <c r="M2166" s="71" t="str">
        <f>IF($B2166="","",J2166/PV)</f>
        <v/>
      </c>
      <c r="N2166" s="72" t="str">
        <f t="shared" si="4"/>
        <v/>
      </c>
    </row>
    <row r="2167" ht="14.25" customHeight="1">
      <c r="B2167" s="66" t="str">
        <f>IF(ROWS($1:2155)&lt;=Nper,ROWS($1:2155),"")</f>
        <v/>
      </c>
      <c r="C2167" s="67" t="str">
        <f>IF($B2167="","",IF($E$7="Weekly",Start_Date+7*(ROWS($1:2155)-1),EDATE(Start_Date,VLOOKUP(IF(ASTemp!$E$7="","Monthly",ASTemp!$E$7),Parameters!$B$3:$D$6,3,0)*(ROWS($1:2155)-1))))</f>
        <v/>
      </c>
      <c r="D2167" s="68" t="str">
        <f t="shared" si="2"/>
        <v/>
      </c>
      <c r="E2167" s="65" t="str">
        <f>IF($B2167="","",VLOOKUP(MONTH(C2167),Parameters!$F$2:$G$13,2,0))</f>
        <v/>
      </c>
      <c r="F2167" s="69" t="str">
        <f>IF($B2167="","",PV-N(J2166))</f>
        <v/>
      </c>
      <c r="G2167" s="69" t="str">
        <f>IF($B2167="","",PMT(Rate,Nper,-PV,,Type))</f>
        <v/>
      </c>
      <c r="H2167" s="69" t="str">
        <f>IF($B2167="","",PPMT(Rate,ROWS($1:2155),Nper,-PV,,Type))</f>
        <v/>
      </c>
      <c r="I2167" s="69" t="str">
        <f>IF($B2167="","",IPMT(Rate,ROWS($1:2155),Nper,-PV,,Type))</f>
        <v/>
      </c>
      <c r="J2167" s="73" t="str">
        <f t="shared" ref="J2167:K2167" si="2157">IF($B2167="","",N(J2166)+N(H2167))</f>
        <v/>
      </c>
      <c r="K2167" s="74" t="str">
        <f t="shared" si="2157"/>
        <v/>
      </c>
      <c r="L2167" s="69" t="str">
        <f>IF($B2167="","",PV-J2167)</f>
        <v/>
      </c>
      <c r="M2167" s="71" t="str">
        <f>IF($B2167="","",J2167/PV)</f>
        <v/>
      </c>
      <c r="N2167" s="72" t="str">
        <f t="shared" si="4"/>
        <v/>
      </c>
    </row>
    <row r="2168" ht="14.25" customHeight="1">
      <c r="B2168" s="66" t="str">
        <f>IF(ROWS($1:2156)&lt;=Nper,ROWS($1:2156),"")</f>
        <v/>
      </c>
      <c r="C2168" s="67" t="str">
        <f>IF($B2168="","",IF($E$7="Weekly",Start_Date+7*(ROWS($1:2156)-1),EDATE(Start_Date,VLOOKUP(IF(ASTemp!$E$7="","Monthly",ASTemp!$E$7),Parameters!$B$3:$D$6,3,0)*(ROWS($1:2156)-1))))</f>
        <v/>
      </c>
      <c r="D2168" s="68" t="str">
        <f t="shared" si="2"/>
        <v/>
      </c>
      <c r="E2168" s="65" t="str">
        <f>IF($B2168="","",VLOOKUP(MONTH(C2168),Parameters!$F$2:$G$13,2,0))</f>
        <v/>
      </c>
      <c r="F2168" s="69" t="str">
        <f>IF($B2168="","",PV-N(J2167))</f>
        <v/>
      </c>
      <c r="G2168" s="69" t="str">
        <f>IF($B2168="","",PMT(Rate,Nper,-PV,,Type))</f>
        <v/>
      </c>
      <c r="H2168" s="69" t="str">
        <f>IF($B2168="","",PPMT(Rate,ROWS($1:2156),Nper,-PV,,Type))</f>
        <v/>
      </c>
      <c r="I2168" s="69" t="str">
        <f>IF($B2168="","",IPMT(Rate,ROWS($1:2156),Nper,-PV,,Type))</f>
        <v/>
      </c>
      <c r="J2168" s="73" t="str">
        <f t="shared" ref="J2168:K2168" si="2158">IF($B2168="","",N(J2167)+N(H2168))</f>
        <v/>
      </c>
      <c r="K2168" s="74" t="str">
        <f t="shared" si="2158"/>
        <v/>
      </c>
      <c r="L2168" s="69" t="str">
        <f>IF($B2168="","",PV-J2168)</f>
        <v/>
      </c>
      <c r="M2168" s="71" t="str">
        <f>IF($B2168="","",J2168/PV)</f>
        <v/>
      </c>
      <c r="N2168" s="72" t="str">
        <f t="shared" si="4"/>
        <v/>
      </c>
    </row>
    <row r="2169" ht="14.25" customHeight="1">
      <c r="B2169" s="66" t="str">
        <f>IF(ROWS($1:2157)&lt;=Nper,ROWS($1:2157),"")</f>
        <v/>
      </c>
      <c r="C2169" s="67" t="str">
        <f>IF($B2169="","",IF($E$7="Weekly",Start_Date+7*(ROWS($1:2157)-1),EDATE(Start_Date,VLOOKUP(IF(ASTemp!$E$7="","Monthly",ASTemp!$E$7),Parameters!$B$3:$D$6,3,0)*(ROWS($1:2157)-1))))</f>
        <v/>
      </c>
      <c r="D2169" s="68" t="str">
        <f t="shared" si="2"/>
        <v/>
      </c>
      <c r="E2169" s="65" t="str">
        <f>IF($B2169="","",VLOOKUP(MONTH(C2169),Parameters!$F$2:$G$13,2,0))</f>
        <v/>
      </c>
      <c r="F2169" s="69" t="str">
        <f>IF($B2169="","",PV-N(J2168))</f>
        <v/>
      </c>
      <c r="G2169" s="69" t="str">
        <f>IF($B2169="","",PMT(Rate,Nper,-PV,,Type))</f>
        <v/>
      </c>
      <c r="H2169" s="69" t="str">
        <f>IF($B2169="","",PPMT(Rate,ROWS($1:2157),Nper,-PV,,Type))</f>
        <v/>
      </c>
      <c r="I2169" s="69" t="str">
        <f>IF($B2169="","",IPMT(Rate,ROWS($1:2157),Nper,-PV,,Type))</f>
        <v/>
      </c>
      <c r="J2169" s="73" t="str">
        <f t="shared" ref="J2169:K2169" si="2159">IF($B2169="","",N(J2168)+N(H2169))</f>
        <v/>
      </c>
      <c r="K2169" s="74" t="str">
        <f t="shared" si="2159"/>
        <v/>
      </c>
      <c r="L2169" s="69" t="str">
        <f>IF($B2169="","",PV-J2169)</f>
        <v/>
      </c>
      <c r="M2169" s="71" t="str">
        <f>IF($B2169="","",J2169/PV)</f>
        <v/>
      </c>
      <c r="N2169" s="72" t="str">
        <f t="shared" si="4"/>
        <v/>
      </c>
    </row>
    <row r="2170" ht="14.25" customHeight="1">
      <c r="B2170" s="66" t="str">
        <f>IF(ROWS($1:2158)&lt;=Nper,ROWS($1:2158),"")</f>
        <v/>
      </c>
      <c r="C2170" s="67" t="str">
        <f>IF($B2170="","",IF($E$7="Weekly",Start_Date+7*(ROWS($1:2158)-1),EDATE(Start_Date,VLOOKUP(IF(ASTemp!$E$7="","Monthly",ASTemp!$E$7),Parameters!$B$3:$D$6,3,0)*(ROWS($1:2158)-1))))</f>
        <v/>
      </c>
      <c r="D2170" s="68" t="str">
        <f t="shared" si="2"/>
        <v/>
      </c>
      <c r="E2170" s="65" t="str">
        <f>IF($B2170="","",VLOOKUP(MONTH(C2170),Parameters!$F$2:$G$13,2,0))</f>
        <v/>
      </c>
      <c r="F2170" s="69" t="str">
        <f>IF($B2170="","",PV-N(J2169))</f>
        <v/>
      </c>
      <c r="G2170" s="69" t="str">
        <f>IF($B2170="","",PMT(Rate,Nper,-PV,,Type))</f>
        <v/>
      </c>
      <c r="H2170" s="69" t="str">
        <f>IF($B2170="","",PPMT(Rate,ROWS($1:2158),Nper,-PV,,Type))</f>
        <v/>
      </c>
      <c r="I2170" s="69" t="str">
        <f>IF($B2170="","",IPMT(Rate,ROWS($1:2158),Nper,-PV,,Type))</f>
        <v/>
      </c>
      <c r="J2170" s="73" t="str">
        <f t="shared" ref="J2170:K2170" si="2160">IF($B2170="","",N(J2169)+N(H2170))</f>
        <v/>
      </c>
      <c r="K2170" s="74" t="str">
        <f t="shared" si="2160"/>
        <v/>
      </c>
      <c r="L2170" s="69" t="str">
        <f>IF($B2170="","",PV-J2170)</f>
        <v/>
      </c>
      <c r="M2170" s="71" t="str">
        <f>IF($B2170="","",J2170/PV)</f>
        <v/>
      </c>
      <c r="N2170" s="72" t="str">
        <f t="shared" si="4"/>
        <v/>
      </c>
    </row>
    <row r="2171" ht="14.25" customHeight="1">
      <c r="B2171" s="66" t="str">
        <f>IF(ROWS($1:2159)&lt;=Nper,ROWS($1:2159),"")</f>
        <v/>
      </c>
      <c r="C2171" s="67" t="str">
        <f>IF($B2171="","",IF($E$7="Weekly",Start_Date+7*(ROWS($1:2159)-1),EDATE(Start_Date,VLOOKUP(IF(ASTemp!$E$7="","Monthly",ASTemp!$E$7),Parameters!$B$3:$D$6,3,0)*(ROWS($1:2159)-1))))</f>
        <v/>
      </c>
      <c r="D2171" s="68" t="str">
        <f t="shared" si="2"/>
        <v/>
      </c>
      <c r="E2171" s="65" t="str">
        <f>IF($B2171="","",VLOOKUP(MONTH(C2171),Parameters!$F$2:$G$13,2,0))</f>
        <v/>
      </c>
      <c r="F2171" s="69" t="str">
        <f>IF($B2171="","",PV-N(J2170))</f>
        <v/>
      </c>
      <c r="G2171" s="69" t="str">
        <f>IF($B2171="","",PMT(Rate,Nper,-PV,,Type))</f>
        <v/>
      </c>
      <c r="H2171" s="69" t="str">
        <f>IF($B2171="","",PPMT(Rate,ROWS($1:2159),Nper,-PV,,Type))</f>
        <v/>
      </c>
      <c r="I2171" s="69" t="str">
        <f>IF($B2171="","",IPMT(Rate,ROWS($1:2159),Nper,-PV,,Type))</f>
        <v/>
      </c>
      <c r="J2171" s="73" t="str">
        <f t="shared" ref="J2171:K2171" si="2161">IF($B2171="","",N(J2170)+N(H2171))</f>
        <v/>
      </c>
      <c r="K2171" s="74" t="str">
        <f t="shared" si="2161"/>
        <v/>
      </c>
      <c r="L2171" s="69" t="str">
        <f>IF($B2171="","",PV-J2171)</f>
        <v/>
      </c>
      <c r="M2171" s="71" t="str">
        <f>IF($B2171="","",J2171/PV)</f>
        <v/>
      </c>
      <c r="N2171" s="72" t="str">
        <f t="shared" si="4"/>
        <v/>
      </c>
    </row>
    <row r="2172" ht="14.25" customHeight="1">
      <c r="B2172" s="66" t="str">
        <f>IF(ROWS($1:2160)&lt;=Nper,ROWS($1:2160),"")</f>
        <v/>
      </c>
      <c r="C2172" s="67" t="str">
        <f>IF($B2172="","",IF($E$7="Weekly",Start_Date+7*(ROWS($1:2160)-1),EDATE(Start_Date,VLOOKUP(IF(ASTemp!$E$7="","Monthly",ASTemp!$E$7),Parameters!$B$3:$D$6,3,0)*(ROWS($1:2160)-1))))</f>
        <v/>
      </c>
      <c r="D2172" s="68" t="str">
        <f t="shared" si="2"/>
        <v/>
      </c>
      <c r="E2172" s="65" t="str">
        <f>IF($B2172="","",VLOOKUP(MONTH(C2172),Parameters!$F$2:$G$13,2,0))</f>
        <v/>
      </c>
      <c r="F2172" s="69" t="str">
        <f>IF($B2172="","",PV-N(J2171))</f>
        <v/>
      </c>
      <c r="G2172" s="69" t="str">
        <f>IF($B2172="","",PMT(Rate,Nper,-PV,,Type))</f>
        <v/>
      </c>
      <c r="H2172" s="69" t="str">
        <f>IF($B2172="","",PPMT(Rate,ROWS($1:2160),Nper,-PV,,Type))</f>
        <v/>
      </c>
      <c r="I2172" s="69" t="str">
        <f>IF($B2172="","",IPMT(Rate,ROWS($1:2160),Nper,-PV,,Type))</f>
        <v/>
      </c>
      <c r="J2172" s="73" t="str">
        <f t="shared" ref="J2172:K2172" si="2162">IF($B2172="","",N(J2171)+N(H2172))</f>
        <v/>
      </c>
      <c r="K2172" s="74" t="str">
        <f t="shared" si="2162"/>
        <v/>
      </c>
      <c r="L2172" s="69" t="str">
        <f>IF($B2172="","",PV-J2172)</f>
        <v/>
      </c>
      <c r="M2172" s="71" t="str">
        <f>IF($B2172="","",J2172/PV)</f>
        <v/>
      </c>
      <c r="N2172" s="72" t="str">
        <f t="shared" si="4"/>
        <v/>
      </c>
    </row>
    <row r="2173" ht="14.25" customHeight="1">
      <c r="B2173" s="66" t="str">
        <f>IF(ROWS($1:2161)&lt;=Nper,ROWS($1:2161),"")</f>
        <v/>
      </c>
      <c r="C2173" s="67" t="str">
        <f>IF($B2173="","",IF($E$7="Weekly",Start_Date+7*(ROWS($1:2161)-1),EDATE(Start_Date,VLOOKUP(IF(ASTemp!$E$7="","Monthly",ASTemp!$E$7),Parameters!$B$3:$D$6,3,0)*(ROWS($1:2161)-1))))</f>
        <v/>
      </c>
      <c r="D2173" s="68" t="str">
        <f t="shared" si="2"/>
        <v/>
      </c>
      <c r="E2173" s="65" t="str">
        <f>IF($B2173="","",VLOOKUP(MONTH(C2173),Parameters!$F$2:$G$13,2,0))</f>
        <v/>
      </c>
      <c r="F2173" s="69" t="str">
        <f>IF($B2173="","",PV-N(J2172))</f>
        <v/>
      </c>
      <c r="G2173" s="69" t="str">
        <f>IF($B2173="","",PMT(Rate,Nper,-PV,,Type))</f>
        <v/>
      </c>
      <c r="H2173" s="69" t="str">
        <f>IF($B2173="","",PPMT(Rate,ROWS($1:2161),Nper,-PV,,Type))</f>
        <v/>
      </c>
      <c r="I2173" s="69" t="str">
        <f>IF($B2173="","",IPMT(Rate,ROWS($1:2161),Nper,-PV,,Type))</f>
        <v/>
      </c>
      <c r="J2173" s="73" t="str">
        <f t="shared" ref="J2173:K2173" si="2163">IF($B2173="","",N(J2172)+N(H2173))</f>
        <v/>
      </c>
      <c r="K2173" s="74" t="str">
        <f t="shared" si="2163"/>
        <v/>
      </c>
      <c r="L2173" s="69" t="str">
        <f>IF($B2173="","",PV-J2173)</f>
        <v/>
      </c>
      <c r="M2173" s="71" t="str">
        <f>IF($B2173="","",J2173/PV)</f>
        <v/>
      </c>
      <c r="N2173" s="72" t="str">
        <f t="shared" si="4"/>
        <v/>
      </c>
    </row>
    <row r="2174" ht="14.25" customHeight="1">
      <c r="B2174" s="66" t="str">
        <f>IF(ROWS($1:2162)&lt;=Nper,ROWS($1:2162),"")</f>
        <v/>
      </c>
      <c r="C2174" s="67" t="str">
        <f>IF($B2174="","",IF($E$7="Weekly",Start_Date+7*(ROWS($1:2162)-1),EDATE(Start_Date,VLOOKUP(IF(ASTemp!$E$7="","Monthly",ASTemp!$E$7),Parameters!$B$3:$D$6,3,0)*(ROWS($1:2162)-1))))</f>
        <v/>
      </c>
      <c r="D2174" s="68" t="str">
        <f t="shared" si="2"/>
        <v/>
      </c>
      <c r="E2174" s="65" t="str">
        <f>IF($B2174="","",VLOOKUP(MONTH(C2174),Parameters!$F$2:$G$13,2,0))</f>
        <v/>
      </c>
      <c r="F2174" s="69" t="str">
        <f>IF($B2174="","",PV-N(J2173))</f>
        <v/>
      </c>
      <c r="G2174" s="69" t="str">
        <f>IF($B2174="","",PMT(Rate,Nper,-PV,,Type))</f>
        <v/>
      </c>
      <c r="H2174" s="69" t="str">
        <f>IF($B2174="","",PPMT(Rate,ROWS($1:2162),Nper,-PV,,Type))</f>
        <v/>
      </c>
      <c r="I2174" s="69" t="str">
        <f>IF($B2174="","",IPMT(Rate,ROWS($1:2162),Nper,-PV,,Type))</f>
        <v/>
      </c>
      <c r="J2174" s="73" t="str">
        <f t="shared" ref="J2174:K2174" si="2164">IF($B2174="","",N(J2173)+N(H2174))</f>
        <v/>
      </c>
      <c r="K2174" s="74" t="str">
        <f t="shared" si="2164"/>
        <v/>
      </c>
      <c r="L2174" s="69" t="str">
        <f>IF($B2174="","",PV-J2174)</f>
        <v/>
      </c>
      <c r="M2174" s="71" t="str">
        <f>IF($B2174="","",J2174/PV)</f>
        <v/>
      </c>
      <c r="N2174" s="72" t="str">
        <f t="shared" si="4"/>
        <v/>
      </c>
    </row>
    <row r="2175" ht="14.25" customHeight="1">
      <c r="B2175" s="66" t="str">
        <f>IF(ROWS($1:2163)&lt;=Nper,ROWS($1:2163),"")</f>
        <v/>
      </c>
      <c r="C2175" s="67" t="str">
        <f>IF($B2175="","",IF($E$7="Weekly",Start_Date+7*(ROWS($1:2163)-1),EDATE(Start_Date,VLOOKUP(IF(ASTemp!$E$7="","Monthly",ASTemp!$E$7),Parameters!$B$3:$D$6,3,0)*(ROWS($1:2163)-1))))</f>
        <v/>
      </c>
      <c r="D2175" s="68" t="str">
        <f t="shared" si="2"/>
        <v/>
      </c>
      <c r="E2175" s="65" t="str">
        <f>IF($B2175="","",VLOOKUP(MONTH(C2175),Parameters!$F$2:$G$13,2,0))</f>
        <v/>
      </c>
      <c r="F2175" s="69" t="str">
        <f>IF($B2175="","",PV-N(J2174))</f>
        <v/>
      </c>
      <c r="G2175" s="69" t="str">
        <f>IF($B2175="","",PMT(Rate,Nper,-PV,,Type))</f>
        <v/>
      </c>
      <c r="H2175" s="69" t="str">
        <f>IF($B2175="","",PPMT(Rate,ROWS($1:2163),Nper,-PV,,Type))</f>
        <v/>
      </c>
      <c r="I2175" s="69" t="str">
        <f>IF($B2175="","",IPMT(Rate,ROWS($1:2163),Nper,-PV,,Type))</f>
        <v/>
      </c>
      <c r="J2175" s="73" t="str">
        <f t="shared" ref="J2175:K2175" si="2165">IF($B2175="","",N(J2174)+N(H2175))</f>
        <v/>
      </c>
      <c r="K2175" s="74" t="str">
        <f t="shared" si="2165"/>
        <v/>
      </c>
      <c r="L2175" s="69" t="str">
        <f>IF($B2175="","",PV-J2175)</f>
        <v/>
      </c>
      <c r="M2175" s="71" t="str">
        <f>IF($B2175="","",J2175/PV)</f>
        <v/>
      </c>
      <c r="N2175" s="72" t="str">
        <f t="shared" si="4"/>
        <v/>
      </c>
    </row>
    <row r="2176" ht="14.25" customHeight="1">
      <c r="B2176" s="66" t="str">
        <f>IF(ROWS($1:2164)&lt;=Nper,ROWS($1:2164),"")</f>
        <v/>
      </c>
      <c r="C2176" s="67" t="str">
        <f>IF($B2176="","",IF($E$7="Weekly",Start_Date+7*(ROWS($1:2164)-1),EDATE(Start_Date,VLOOKUP(IF(ASTemp!$E$7="","Monthly",ASTemp!$E$7),Parameters!$B$3:$D$6,3,0)*(ROWS($1:2164)-1))))</f>
        <v/>
      </c>
      <c r="D2176" s="68" t="str">
        <f t="shared" si="2"/>
        <v/>
      </c>
      <c r="E2176" s="65" t="str">
        <f>IF($B2176="","",VLOOKUP(MONTH(C2176),Parameters!$F$2:$G$13,2,0))</f>
        <v/>
      </c>
      <c r="F2176" s="69" t="str">
        <f>IF($B2176="","",PV-N(J2175))</f>
        <v/>
      </c>
      <c r="G2176" s="69" t="str">
        <f>IF($B2176="","",PMT(Rate,Nper,-PV,,Type))</f>
        <v/>
      </c>
      <c r="H2176" s="69" t="str">
        <f>IF($B2176="","",PPMT(Rate,ROWS($1:2164),Nper,-PV,,Type))</f>
        <v/>
      </c>
      <c r="I2176" s="69" t="str">
        <f>IF($B2176="","",IPMT(Rate,ROWS($1:2164),Nper,-PV,,Type))</f>
        <v/>
      </c>
      <c r="J2176" s="73" t="str">
        <f t="shared" ref="J2176:K2176" si="2166">IF($B2176="","",N(J2175)+N(H2176))</f>
        <v/>
      </c>
      <c r="K2176" s="74" t="str">
        <f t="shared" si="2166"/>
        <v/>
      </c>
      <c r="L2176" s="69" t="str">
        <f>IF($B2176="","",PV-J2176)</f>
        <v/>
      </c>
      <c r="M2176" s="71" t="str">
        <f>IF($B2176="","",J2176/PV)</f>
        <v/>
      </c>
      <c r="N2176" s="72" t="str">
        <f t="shared" si="4"/>
        <v/>
      </c>
    </row>
    <row r="2177" ht="14.25" customHeight="1">
      <c r="B2177" s="66" t="str">
        <f>IF(ROWS($1:2165)&lt;=Nper,ROWS($1:2165),"")</f>
        <v/>
      </c>
      <c r="C2177" s="67" t="str">
        <f>IF($B2177="","",IF($E$7="Weekly",Start_Date+7*(ROWS($1:2165)-1),EDATE(Start_Date,VLOOKUP(IF(ASTemp!$E$7="","Monthly",ASTemp!$E$7),Parameters!$B$3:$D$6,3,0)*(ROWS($1:2165)-1))))</f>
        <v/>
      </c>
      <c r="D2177" s="68" t="str">
        <f t="shared" si="2"/>
        <v/>
      </c>
      <c r="E2177" s="65" t="str">
        <f>IF($B2177="","",VLOOKUP(MONTH(C2177),Parameters!$F$2:$G$13,2,0))</f>
        <v/>
      </c>
      <c r="F2177" s="69" t="str">
        <f>IF($B2177="","",PV-N(J2176))</f>
        <v/>
      </c>
      <c r="G2177" s="69" t="str">
        <f>IF($B2177="","",PMT(Rate,Nper,-PV,,Type))</f>
        <v/>
      </c>
      <c r="H2177" s="69" t="str">
        <f>IF($B2177="","",PPMT(Rate,ROWS($1:2165),Nper,-PV,,Type))</f>
        <v/>
      </c>
      <c r="I2177" s="69" t="str">
        <f>IF($B2177="","",IPMT(Rate,ROWS($1:2165),Nper,-PV,,Type))</f>
        <v/>
      </c>
      <c r="J2177" s="73" t="str">
        <f t="shared" ref="J2177:K2177" si="2167">IF($B2177="","",N(J2176)+N(H2177))</f>
        <v/>
      </c>
      <c r="K2177" s="74" t="str">
        <f t="shared" si="2167"/>
        <v/>
      </c>
      <c r="L2177" s="69" t="str">
        <f>IF($B2177="","",PV-J2177)</f>
        <v/>
      </c>
      <c r="M2177" s="71" t="str">
        <f>IF($B2177="","",J2177/PV)</f>
        <v/>
      </c>
      <c r="N2177" s="72" t="str">
        <f t="shared" si="4"/>
        <v/>
      </c>
    </row>
    <row r="2178" ht="14.25" customHeight="1">
      <c r="B2178" s="66" t="str">
        <f>IF(ROWS($1:2166)&lt;=Nper,ROWS($1:2166),"")</f>
        <v/>
      </c>
      <c r="C2178" s="67" t="str">
        <f>IF($B2178="","",IF($E$7="Weekly",Start_Date+7*(ROWS($1:2166)-1),EDATE(Start_Date,VLOOKUP(IF(ASTemp!$E$7="","Monthly",ASTemp!$E$7),Parameters!$B$3:$D$6,3,0)*(ROWS($1:2166)-1))))</f>
        <v/>
      </c>
      <c r="D2178" s="68" t="str">
        <f t="shared" si="2"/>
        <v/>
      </c>
      <c r="E2178" s="65" t="str">
        <f>IF($B2178="","",VLOOKUP(MONTH(C2178),Parameters!$F$2:$G$13,2,0))</f>
        <v/>
      </c>
      <c r="F2178" s="69" t="str">
        <f>IF($B2178="","",PV-N(J2177))</f>
        <v/>
      </c>
      <c r="G2178" s="69" t="str">
        <f>IF($B2178="","",PMT(Rate,Nper,-PV,,Type))</f>
        <v/>
      </c>
      <c r="H2178" s="69" t="str">
        <f>IF($B2178="","",PPMT(Rate,ROWS($1:2166),Nper,-PV,,Type))</f>
        <v/>
      </c>
      <c r="I2178" s="69" t="str">
        <f>IF($B2178="","",IPMT(Rate,ROWS($1:2166),Nper,-PV,,Type))</f>
        <v/>
      </c>
      <c r="J2178" s="73" t="str">
        <f t="shared" ref="J2178:K2178" si="2168">IF($B2178="","",N(J2177)+N(H2178))</f>
        <v/>
      </c>
      <c r="K2178" s="74" t="str">
        <f t="shared" si="2168"/>
        <v/>
      </c>
      <c r="L2178" s="69" t="str">
        <f>IF($B2178="","",PV-J2178)</f>
        <v/>
      </c>
      <c r="M2178" s="71" t="str">
        <f>IF($B2178="","",J2178/PV)</f>
        <v/>
      </c>
      <c r="N2178" s="72" t="str">
        <f t="shared" si="4"/>
        <v/>
      </c>
    </row>
    <row r="2179" ht="14.25" customHeight="1">
      <c r="B2179" s="66" t="str">
        <f>IF(ROWS($1:2167)&lt;=Nper,ROWS($1:2167),"")</f>
        <v/>
      </c>
      <c r="C2179" s="67" t="str">
        <f>IF($B2179="","",IF($E$7="Weekly",Start_Date+7*(ROWS($1:2167)-1),EDATE(Start_Date,VLOOKUP(IF(ASTemp!$E$7="","Monthly",ASTemp!$E$7),Parameters!$B$3:$D$6,3,0)*(ROWS($1:2167)-1))))</f>
        <v/>
      </c>
      <c r="D2179" s="68" t="str">
        <f t="shared" si="2"/>
        <v/>
      </c>
      <c r="E2179" s="65" t="str">
        <f>IF($B2179="","",VLOOKUP(MONTH(C2179),Parameters!$F$2:$G$13,2,0))</f>
        <v/>
      </c>
      <c r="F2179" s="69" t="str">
        <f>IF($B2179="","",PV-N(J2178))</f>
        <v/>
      </c>
      <c r="G2179" s="69" t="str">
        <f>IF($B2179="","",PMT(Rate,Nper,-PV,,Type))</f>
        <v/>
      </c>
      <c r="H2179" s="69" t="str">
        <f>IF($B2179="","",PPMT(Rate,ROWS($1:2167),Nper,-PV,,Type))</f>
        <v/>
      </c>
      <c r="I2179" s="69" t="str">
        <f>IF($B2179="","",IPMT(Rate,ROWS($1:2167),Nper,-PV,,Type))</f>
        <v/>
      </c>
      <c r="J2179" s="73" t="str">
        <f t="shared" ref="J2179:K2179" si="2169">IF($B2179="","",N(J2178)+N(H2179))</f>
        <v/>
      </c>
      <c r="K2179" s="74" t="str">
        <f t="shared" si="2169"/>
        <v/>
      </c>
      <c r="L2179" s="69" t="str">
        <f>IF($B2179="","",PV-J2179)</f>
        <v/>
      </c>
      <c r="M2179" s="71" t="str">
        <f>IF($B2179="","",J2179/PV)</f>
        <v/>
      </c>
      <c r="N2179" s="72" t="str">
        <f t="shared" si="4"/>
        <v/>
      </c>
    </row>
    <row r="2180" ht="14.25" customHeight="1">
      <c r="B2180" s="66" t="str">
        <f>IF(ROWS($1:2168)&lt;=Nper,ROWS($1:2168),"")</f>
        <v/>
      </c>
      <c r="C2180" s="67" t="str">
        <f>IF($B2180="","",IF($E$7="Weekly",Start_Date+7*(ROWS($1:2168)-1),EDATE(Start_Date,VLOOKUP(IF(ASTemp!$E$7="","Monthly",ASTemp!$E$7),Parameters!$B$3:$D$6,3,0)*(ROWS($1:2168)-1))))</f>
        <v/>
      </c>
      <c r="D2180" s="68" t="str">
        <f t="shared" si="2"/>
        <v/>
      </c>
      <c r="E2180" s="65" t="str">
        <f>IF($B2180="","",VLOOKUP(MONTH(C2180),Parameters!$F$2:$G$13,2,0))</f>
        <v/>
      </c>
      <c r="F2180" s="69" t="str">
        <f>IF($B2180="","",PV-N(J2179))</f>
        <v/>
      </c>
      <c r="G2180" s="69" t="str">
        <f>IF($B2180="","",PMT(Rate,Nper,-PV,,Type))</f>
        <v/>
      </c>
      <c r="H2180" s="69" t="str">
        <f>IF($B2180="","",PPMT(Rate,ROWS($1:2168),Nper,-PV,,Type))</f>
        <v/>
      </c>
      <c r="I2180" s="69" t="str">
        <f>IF($B2180="","",IPMT(Rate,ROWS($1:2168),Nper,-PV,,Type))</f>
        <v/>
      </c>
      <c r="J2180" s="73" t="str">
        <f t="shared" ref="J2180:K2180" si="2170">IF($B2180="","",N(J2179)+N(H2180))</f>
        <v/>
      </c>
      <c r="K2180" s="74" t="str">
        <f t="shared" si="2170"/>
        <v/>
      </c>
      <c r="L2180" s="69" t="str">
        <f>IF($B2180="","",PV-J2180)</f>
        <v/>
      </c>
      <c r="M2180" s="71" t="str">
        <f>IF($B2180="","",J2180/PV)</f>
        <v/>
      </c>
      <c r="N2180" s="72" t="str">
        <f t="shared" si="4"/>
        <v/>
      </c>
    </row>
    <row r="2181" ht="14.25" customHeight="1">
      <c r="B2181" s="66" t="str">
        <f>IF(ROWS($1:2169)&lt;=Nper,ROWS($1:2169),"")</f>
        <v/>
      </c>
      <c r="C2181" s="67" t="str">
        <f>IF($B2181="","",IF($E$7="Weekly",Start_Date+7*(ROWS($1:2169)-1),EDATE(Start_Date,VLOOKUP(IF(ASTemp!$E$7="","Monthly",ASTemp!$E$7),Parameters!$B$3:$D$6,3,0)*(ROWS($1:2169)-1))))</f>
        <v/>
      </c>
      <c r="D2181" s="68" t="str">
        <f t="shared" si="2"/>
        <v/>
      </c>
      <c r="E2181" s="65" t="str">
        <f>IF($B2181="","",VLOOKUP(MONTH(C2181),Parameters!$F$2:$G$13,2,0))</f>
        <v/>
      </c>
      <c r="F2181" s="69" t="str">
        <f>IF($B2181="","",PV-N(J2180))</f>
        <v/>
      </c>
      <c r="G2181" s="69" t="str">
        <f>IF($B2181="","",PMT(Rate,Nper,-PV,,Type))</f>
        <v/>
      </c>
      <c r="H2181" s="69" t="str">
        <f>IF($B2181="","",PPMT(Rate,ROWS($1:2169),Nper,-PV,,Type))</f>
        <v/>
      </c>
      <c r="I2181" s="69" t="str">
        <f>IF($B2181="","",IPMT(Rate,ROWS($1:2169),Nper,-PV,,Type))</f>
        <v/>
      </c>
      <c r="J2181" s="73" t="str">
        <f t="shared" ref="J2181:K2181" si="2171">IF($B2181="","",N(J2180)+N(H2181))</f>
        <v/>
      </c>
      <c r="K2181" s="74" t="str">
        <f t="shared" si="2171"/>
        <v/>
      </c>
      <c r="L2181" s="69" t="str">
        <f>IF($B2181="","",PV-J2181)</f>
        <v/>
      </c>
      <c r="M2181" s="71" t="str">
        <f>IF($B2181="","",J2181/PV)</f>
        <v/>
      </c>
      <c r="N2181" s="72" t="str">
        <f t="shared" si="4"/>
        <v/>
      </c>
    </row>
    <row r="2182" ht="14.25" customHeight="1">
      <c r="B2182" s="66" t="str">
        <f>IF(ROWS($1:2170)&lt;=Nper,ROWS($1:2170),"")</f>
        <v/>
      </c>
      <c r="C2182" s="67" t="str">
        <f>IF($B2182="","",IF($E$7="Weekly",Start_Date+7*(ROWS($1:2170)-1),EDATE(Start_Date,VLOOKUP(IF(ASTemp!$E$7="","Monthly",ASTemp!$E$7),Parameters!$B$3:$D$6,3,0)*(ROWS($1:2170)-1))))</f>
        <v/>
      </c>
      <c r="D2182" s="68" t="str">
        <f t="shared" si="2"/>
        <v/>
      </c>
      <c r="E2182" s="65" t="str">
        <f>IF($B2182="","",VLOOKUP(MONTH(C2182),Parameters!$F$2:$G$13,2,0))</f>
        <v/>
      </c>
      <c r="F2182" s="69" t="str">
        <f>IF($B2182="","",PV-N(J2181))</f>
        <v/>
      </c>
      <c r="G2182" s="69" t="str">
        <f>IF($B2182="","",PMT(Rate,Nper,-PV,,Type))</f>
        <v/>
      </c>
      <c r="H2182" s="69" t="str">
        <f>IF($B2182="","",PPMT(Rate,ROWS($1:2170),Nper,-PV,,Type))</f>
        <v/>
      </c>
      <c r="I2182" s="69" t="str">
        <f>IF($B2182="","",IPMT(Rate,ROWS($1:2170),Nper,-PV,,Type))</f>
        <v/>
      </c>
      <c r="J2182" s="73" t="str">
        <f t="shared" ref="J2182:K2182" si="2172">IF($B2182="","",N(J2181)+N(H2182))</f>
        <v/>
      </c>
      <c r="K2182" s="74" t="str">
        <f t="shared" si="2172"/>
        <v/>
      </c>
      <c r="L2182" s="69" t="str">
        <f>IF($B2182="","",PV-J2182)</f>
        <v/>
      </c>
      <c r="M2182" s="71" t="str">
        <f>IF($B2182="","",J2182/PV)</f>
        <v/>
      </c>
      <c r="N2182" s="72" t="str">
        <f t="shared" si="4"/>
        <v/>
      </c>
    </row>
    <row r="2183" ht="14.25" customHeight="1">
      <c r="B2183" s="66" t="str">
        <f>IF(ROWS($1:2171)&lt;=Nper,ROWS($1:2171),"")</f>
        <v/>
      </c>
      <c r="C2183" s="67" t="str">
        <f>IF($B2183="","",IF($E$7="Weekly",Start_Date+7*(ROWS($1:2171)-1),EDATE(Start_Date,VLOOKUP(IF(ASTemp!$E$7="","Monthly",ASTemp!$E$7),Parameters!$B$3:$D$6,3,0)*(ROWS($1:2171)-1))))</f>
        <v/>
      </c>
      <c r="D2183" s="68" t="str">
        <f t="shared" si="2"/>
        <v/>
      </c>
      <c r="E2183" s="65" t="str">
        <f>IF($B2183="","",VLOOKUP(MONTH(C2183),Parameters!$F$2:$G$13,2,0))</f>
        <v/>
      </c>
      <c r="F2183" s="69" t="str">
        <f>IF($B2183="","",PV-N(J2182))</f>
        <v/>
      </c>
      <c r="G2183" s="69" t="str">
        <f>IF($B2183="","",PMT(Rate,Nper,-PV,,Type))</f>
        <v/>
      </c>
      <c r="H2183" s="69" t="str">
        <f>IF($B2183="","",PPMT(Rate,ROWS($1:2171),Nper,-PV,,Type))</f>
        <v/>
      </c>
      <c r="I2183" s="69" t="str">
        <f>IF($B2183="","",IPMT(Rate,ROWS($1:2171),Nper,-PV,,Type))</f>
        <v/>
      </c>
      <c r="J2183" s="73" t="str">
        <f t="shared" ref="J2183:K2183" si="2173">IF($B2183="","",N(J2182)+N(H2183))</f>
        <v/>
      </c>
      <c r="K2183" s="74" t="str">
        <f t="shared" si="2173"/>
        <v/>
      </c>
      <c r="L2183" s="69" t="str">
        <f>IF($B2183="","",PV-J2183)</f>
        <v/>
      </c>
      <c r="M2183" s="71" t="str">
        <f>IF($B2183="","",J2183/PV)</f>
        <v/>
      </c>
      <c r="N2183" s="72" t="str">
        <f t="shared" si="4"/>
        <v/>
      </c>
    </row>
    <row r="2184" ht="14.25" customHeight="1">
      <c r="B2184" s="66" t="str">
        <f>IF(ROWS($1:2172)&lt;=Nper,ROWS($1:2172),"")</f>
        <v/>
      </c>
      <c r="C2184" s="67" t="str">
        <f>IF($B2184="","",IF($E$7="Weekly",Start_Date+7*(ROWS($1:2172)-1),EDATE(Start_Date,VLOOKUP(IF(ASTemp!$E$7="","Monthly",ASTemp!$E$7),Parameters!$B$3:$D$6,3,0)*(ROWS($1:2172)-1))))</f>
        <v/>
      </c>
      <c r="D2184" s="68" t="str">
        <f t="shared" si="2"/>
        <v/>
      </c>
      <c r="E2184" s="65" t="str">
        <f>IF($B2184="","",VLOOKUP(MONTH(C2184),Parameters!$F$2:$G$13,2,0))</f>
        <v/>
      </c>
      <c r="F2184" s="69" t="str">
        <f>IF($B2184="","",PV-N(J2183))</f>
        <v/>
      </c>
      <c r="G2184" s="69" t="str">
        <f>IF($B2184="","",PMT(Rate,Nper,-PV,,Type))</f>
        <v/>
      </c>
      <c r="H2184" s="69" t="str">
        <f>IF($B2184="","",PPMT(Rate,ROWS($1:2172),Nper,-PV,,Type))</f>
        <v/>
      </c>
      <c r="I2184" s="69" t="str">
        <f>IF($B2184="","",IPMT(Rate,ROWS($1:2172),Nper,-PV,,Type))</f>
        <v/>
      </c>
      <c r="J2184" s="73" t="str">
        <f t="shared" ref="J2184:K2184" si="2174">IF($B2184="","",N(J2183)+N(H2184))</f>
        <v/>
      </c>
      <c r="K2184" s="74" t="str">
        <f t="shared" si="2174"/>
        <v/>
      </c>
      <c r="L2184" s="69" t="str">
        <f>IF($B2184="","",PV-J2184)</f>
        <v/>
      </c>
      <c r="M2184" s="71" t="str">
        <f>IF($B2184="","",J2184/PV)</f>
        <v/>
      </c>
      <c r="N2184" s="72" t="str">
        <f t="shared" si="4"/>
        <v/>
      </c>
    </row>
    <row r="2185" ht="14.25" customHeight="1">
      <c r="B2185" s="66" t="str">
        <f>IF(ROWS($1:2173)&lt;=Nper,ROWS($1:2173),"")</f>
        <v/>
      </c>
      <c r="C2185" s="67" t="str">
        <f>IF($B2185="","",IF($E$7="Weekly",Start_Date+7*(ROWS($1:2173)-1),EDATE(Start_Date,VLOOKUP(IF(ASTemp!$E$7="","Monthly",ASTemp!$E$7),Parameters!$B$3:$D$6,3,0)*(ROWS($1:2173)-1))))</f>
        <v/>
      </c>
      <c r="D2185" s="68" t="str">
        <f t="shared" si="2"/>
        <v/>
      </c>
      <c r="E2185" s="65" t="str">
        <f>IF($B2185="","",VLOOKUP(MONTH(C2185),Parameters!$F$2:$G$13,2,0))</f>
        <v/>
      </c>
      <c r="F2185" s="69" t="str">
        <f>IF($B2185="","",PV-N(J2184))</f>
        <v/>
      </c>
      <c r="G2185" s="69" t="str">
        <f>IF($B2185="","",PMT(Rate,Nper,-PV,,Type))</f>
        <v/>
      </c>
      <c r="H2185" s="69" t="str">
        <f>IF($B2185="","",PPMT(Rate,ROWS($1:2173),Nper,-PV,,Type))</f>
        <v/>
      </c>
      <c r="I2185" s="69" t="str">
        <f>IF($B2185="","",IPMT(Rate,ROWS($1:2173),Nper,-PV,,Type))</f>
        <v/>
      </c>
      <c r="J2185" s="73" t="str">
        <f t="shared" ref="J2185:K2185" si="2175">IF($B2185="","",N(J2184)+N(H2185))</f>
        <v/>
      </c>
      <c r="K2185" s="74" t="str">
        <f t="shared" si="2175"/>
        <v/>
      </c>
      <c r="L2185" s="69" t="str">
        <f>IF($B2185="","",PV-J2185)</f>
        <v/>
      </c>
      <c r="M2185" s="71" t="str">
        <f>IF($B2185="","",J2185/PV)</f>
        <v/>
      </c>
      <c r="N2185" s="72" t="str">
        <f t="shared" si="4"/>
        <v/>
      </c>
    </row>
    <row r="2186" ht="14.25" customHeight="1">
      <c r="B2186" s="66" t="str">
        <f>IF(ROWS($1:2174)&lt;=Nper,ROWS($1:2174),"")</f>
        <v/>
      </c>
      <c r="C2186" s="67" t="str">
        <f>IF($B2186="","",IF($E$7="Weekly",Start_Date+7*(ROWS($1:2174)-1),EDATE(Start_Date,VLOOKUP(IF(ASTemp!$E$7="","Monthly",ASTemp!$E$7),Parameters!$B$3:$D$6,3,0)*(ROWS($1:2174)-1))))</f>
        <v/>
      </c>
      <c r="D2186" s="68" t="str">
        <f t="shared" si="2"/>
        <v/>
      </c>
      <c r="E2186" s="65" t="str">
        <f>IF($B2186="","",VLOOKUP(MONTH(C2186),Parameters!$F$2:$G$13,2,0))</f>
        <v/>
      </c>
      <c r="F2186" s="69" t="str">
        <f>IF($B2186="","",PV-N(J2185))</f>
        <v/>
      </c>
      <c r="G2186" s="69" t="str">
        <f>IF($B2186="","",PMT(Rate,Nper,-PV,,Type))</f>
        <v/>
      </c>
      <c r="H2186" s="69" t="str">
        <f>IF($B2186="","",PPMT(Rate,ROWS($1:2174),Nper,-PV,,Type))</f>
        <v/>
      </c>
      <c r="I2186" s="69" t="str">
        <f>IF($B2186="","",IPMT(Rate,ROWS($1:2174),Nper,-PV,,Type))</f>
        <v/>
      </c>
      <c r="J2186" s="73" t="str">
        <f t="shared" ref="J2186:K2186" si="2176">IF($B2186="","",N(J2185)+N(H2186))</f>
        <v/>
      </c>
      <c r="K2186" s="74" t="str">
        <f t="shared" si="2176"/>
        <v/>
      </c>
      <c r="L2186" s="69" t="str">
        <f>IF($B2186="","",PV-J2186)</f>
        <v/>
      </c>
      <c r="M2186" s="71" t="str">
        <f>IF($B2186="","",J2186/PV)</f>
        <v/>
      </c>
      <c r="N2186" s="72" t="str">
        <f t="shared" si="4"/>
        <v/>
      </c>
    </row>
    <row r="2187" ht="14.25" customHeight="1">
      <c r="B2187" s="66" t="str">
        <f>IF(ROWS($1:2175)&lt;=Nper,ROWS($1:2175),"")</f>
        <v/>
      </c>
      <c r="C2187" s="67" t="str">
        <f>IF($B2187="","",IF($E$7="Weekly",Start_Date+7*(ROWS($1:2175)-1),EDATE(Start_Date,VLOOKUP(IF(ASTemp!$E$7="","Monthly",ASTemp!$E$7),Parameters!$B$3:$D$6,3,0)*(ROWS($1:2175)-1))))</f>
        <v/>
      </c>
      <c r="D2187" s="68" t="str">
        <f t="shared" si="2"/>
        <v/>
      </c>
      <c r="E2187" s="65" t="str">
        <f>IF($B2187="","",VLOOKUP(MONTH(C2187),Parameters!$F$2:$G$13,2,0))</f>
        <v/>
      </c>
      <c r="F2187" s="69" t="str">
        <f>IF($B2187="","",PV-N(J2186))</f>
        <v/>
      </c>
      <c r="G2187" s="69" t="str">
        <f>IF($B2187="","",PMT(Rate,Nper,-PV,,Type))</f>
        <v/>
      </c>
      <c r="H2187" s="69" t="str">
        <f>IF($B2187="","",PPMT(Rate,ROWS($1:2175),Nper,-PV,,Type))</f>
        <v/>
      </c>
      <c r="I2187" s="69" t="str">
        <f>IF($B2187="","",IPMT(Rate,ROWS($1:2175),Nper,-PV,,Type))</f>
        <v/>
      </c>
      <c r="J2187" s="73" t="str">
        <f t="shared" ref="J2187:K2187" si="2177">IF($B2187="","",N(J2186)+N(H2187))</f>
        <v/>
      </c>
      <c r="K2187" s="74" t="str">
        <f t="shared" si="2177"/>
        <v/>
      </c>
      <c r="L2187" s="69" t="str">
        <f>IF($B2187="","",PV-J2187)</f>
        <v/>
      </c>
      <c r="M2187" s="71" t="str">
        <f>IF($B2187="","",J2187/PV)</f>
        <v/>
      </c>
      <c r="N2187" s="72" t="str">
        <f t="shared" si="4"/>
        <v/>
      </c>
    </row>
    <row r="2188" ht="14.25" customHeight="1">
      <c r="B2188" s="66" t="str">
        <f>IF(ROWS($1:2176)&lt;=Nper,ROWS($1:2176),"")</f>
        <v/>
      </c>
      <c r="C2188" s="67" t="str">
        <f>IF($B2188="","",IF($E$7="Weekly",Start_Date+7*(ROWS($1:2176)-1),EDATE(Start_Date,VLOOKUP(IF(ASTemp!$E$7="","Monthly",ASTemp!$E$7),Parameters!$B$3:$D$6,3,0)*(ROWS($1:2176)-1))))</f>
        <v/>
      </c>
      <c r="D2188" s="68" t="str">
        <f t="shared" si="2"/>
        <v/>
      </c>
      <c r="E2188" s="65" t="str">
        <f>IF($B2188="","",VLOOKUP(MONTH(C2188),Parameters!$F$2:$G$13,2,0))</f>
        <v/>
      </c>
      <c r="F2188" s="69" t="str">
        <f>IF($B2188="","",PV-N(J2187))</f>
        <v/>
      </c>
      <c r="G2188" s="69" t="str">
        <f>IF($B2188="","",PMT(Rate,Nper,-PV,,Type))</f>
        <v/>
      </c>
      <c r="H2188" s="69" t="str">
        <f>IF($B2188="","",PPMT(Rate,ROWS($1:2176),Nper,-PV,,Type))</f>
        <v/>
      </c>
      <c r="I2188" s="69" t="str">
        <f>IF($B2188="","",IPMT(Rate,ROWS($1:2176),Nper,-PV,,Type))</f>
        <v/>
      </c>
      <c r="J2188" s="73" t="str">
        <f t="shared" ref="J2188:K2188" si="2178">IF($B2188="","",N(J2187)+N(H2188))</f>
        <v/>
      </c>
      <c r="K2188" s="74" t="str">
        <f t="shared" si="2178"/>
        <v/>
      </c>
      <c r="L2188" s="69" t="str">
        <f>IF($B2188="","",PV-J2188)</f>
        <v/>
      </c>
      <c r="M2188" s="71" t="str">
        <f>IF($B2188="","",J2188/PV)</f>
        <v/>
      </c>
      <c r="N2188" s="72" t="str">
        <f t="shared" si="4"/>
        <v/>
      </c>
    </row>
    <row r="2189" ht="14.25" customHeight="1">
      <c r="B2189" s="66" t="str">
        <f>IF(ROWS($1:2177)&lt;=Nper,ROWS($1:2177),"")</f>
        <v/>
      </c>
      <c r="C2189" s="67" t="str">
        <f>IF($B2189="","",IF($E$7="Weekly",Start_Date+7*(ROWS($1:2177)-1),EDATE(Start_Date,VLOOKUP(IF(ASTemp!$E$7="","Monthly",ASTemp!$E$7),Parameters!$B$3:$D$6,3,0)*(ROWS($1:2177)-1))))</f>
        <v/>
      </c>
      <c r="D2189" s="68" t="str">
        <f t="shared" si="2"/>
        <v/>
      </c>
      <c r="E2189" s="65" t="str">
        <f>IF($B2189="","",VLOOKUP(MONTH(C2189),Parameters!$F$2:$G$13,2,0))</f>
        <v/>
      </c>
      <c r="F2189" s="69" t="str">
        <f>IF($B2189="","",PV-N(J2188))</f>
        <v/>
      </c>
      <c r="G2189" s="69" t="str">
        <f>IF($B2189="","",PMT(Rate,Nper,-PV,,Type))</f>
        <v/>
      </c>
      <c r="H2189" s="69" t="str">
        <f>IF($B2189="","",PPMT(Rate,ROWS($1:2177),Nper,-PV,,Type))</f>
        <v/>
      </c>
      <c r="I2189" s="69" t="str">
        <f>IF($B2189="","",IPMT(Rate,ROWS($1:2177),Nper,-PV,,Type))</f>
        <v/>
      </c>
      <c r="J2189" s="73" t="str">
        <f t="shared" ref="J2189:K2189" si="2179">IF($B2189="","",N(J2188)+N(H2189))</f>
        <v/>
      </c>
      <c r="K2189" s="74" t="str">
        <f t="shared" si="2179"/>
        <v/>
      </c>
      <c r="L2189" s="69" t="str">
        <f>IF($B2189="","",PV-J2189)</f>
        <v/>
      </c>
      <c r="M2189" s="71" t="str">
        <f>IF($B2189="","",J2189/PV)</f>
        <v/>
      </c>
      <c r="N2189" s="72" t="str">
        <f t="shared" si="4"/>
        <v/>
      </c>
    </row>
    <row r="2190" ht="14.25" customHeight="1">
      <c r="B2190" s="66" t="str">
        <f>IF(ROWS($1:2178)&lt;=Nper,ROWS($1:2178),"")</f>
        <v/>
      </c>
      <c r="C2190" s="67" t="str">
        <f>IF($B2190="","",IF($E$7="Weekly",Start_Date+7*(ROWS($1:2178)-1),EDATE(Start_Date,VLOOKUP(IF(ASTemp!$E$7="","Monthly",ASTemp!$E$7),Parameters!$B$3:$D$6,3,0)*(ROWS($1:2178)-1))))</f>
        <v/>
      </c>
      <c r="D2190" s="68" t="str">
        <f t="shared" si="2"/>
        <v/>
      </c>
      <c r="E2190" s="65" t="str">
        <f>IF($B2190="","",VLOOKUP(MONTH(C2190),Parameters!$F$2:$G$13,2,0))</f>
        <v/>
      </c>
      <c r="F2190" s="69" t="str">
        <f>IF($B2190="","",PV-N(J2189))</f>
        <v/>
      </c>
      <c r="G2190" s="69" t="str">
        <f>IF($B2190="","",PMT(Rate,Nper,-PV,,Type))</f>
        <v/>
      </c>
      <c r="H2190" s="69" t="str">
        <f>IF($B2190="","",PPMT(Rate,ROWS($1:2178),Nper,-PV,,Type))</f>
        <v/>
      </c>
      <c r="I2190" s="69" t="str">
        <f>IF($B2190="","",IPMT(Rate,ROWS($1:2178),Nper,-PV,,Type))</f>
        <v/>
      </c>
      <c r="J2190" s="73" t="str">
        <f t="shared" ref="J2190:K2190" si="2180">IF($B2190="","",N(J2189)+N(H2190))</f>
        <v/>
      </c>
      <c r="K2190" s="74" t="str">
        <f t="shared" si="2180"/>
        <v/>
      </c>
      <c r="L2190" s="69" t="str">
        <f>IF($B2190="","",PV-J2190)</f>
        <v/>
      </c>
      <c r="M2190" s="71" t="str">
        <f>IF($B2190="","",J2190/PV)</f>
        <v/>
      </c>
      <c r="N2190" s="72" t="str">
        <f t="shared" si="4"/>
        <v/>
      </c>
    </row>
    <row r="2191" ht="14.25" customHeight="1">
      <c r="B2191" s="66" t="str">
        <f>IF(ROWS($1:2179)&lt;=Nper,ROWS($1:2179),"")</f>
        <v/>
      </c>
      <c r="C2191" s="67" t="str">
        <f>IF($B2191="","",IF($E$7="Weekly",Start_Date+7*(ROWS($1:2179)-1),EDATE(Start_Date,VLOOKUP(IF(ASTemp!$E$7="","Monthly",ASTemp!$E$7),Parameters!$B$3:$D$6,3,0)*(ROWS($1:2179)-1))))</f>
        <v/>
      </c>
      <c r="D2191" s="68" t="str">
        <f t="shared" si="2"/>
        <v/>
      </c>
      <c r="E2191" s="65" t="str">
        <f>IF($B2191="","",VLOOKUP(MONTH(C2191),Parameters!$F$2:$G$13,2,0))</f>
        <v/>
      </c>
      <c r="F2191" s="69" t="str">
        <f>IF($B2191="","",PV-N(J2190))</f>
        <v/>
      </c>
      <c r="G2191" s="69" t="str">
        <f>IF($B2191="","",PMT(Rate,Nper,-PV,,Type))</f>
        <v/>
      </c>
      <c r="H2191" s="69" t="str">
        <f>IF($B2191="","",PPMT(Rate,ROWS($1:2179),Nper,-PV,,Type))</f>
        <v/>
      </c>
      <c r="I2191" s="69" t="str">
        <f>IF($B2191="","",IPMT(Rate,ROWS($1:2179),Nper,-PV,,Type))</f>
        <v/>
      </c>
      <c r="J2191" s="73" t="str">
        <f t="shared" ref="J2191:K2191" si="2181">IF($B2191="","",N(J2190)+N(H2191))</f>
        <v/>
      </c>
      <c r="K2191" s="74" t="str">
        <f t="shared" si="2181"/>
        <v/>
      </c>
      <c r="L2191" s="69" t="str">
        <f>IF($B2191="","",PV-J2191)</f>
        <v/>
      </c>
      <c r="M2191" s="71" t="str">
        <f>IF($B2191="","",J2191/PV)</f>
        <v/>
      </c>
      <c r="N2191" s="72" t="str">
        <f t="shared" si="4"/>
        <v/>
      </c>
    </row>
    <row r="2192" ht="14.25" customHeight="1">
      <c r="B2192" s="66" t="str">
        <f>IF(ROWS($1:2180)&lt;=Nper,ROWS($1:2180),"")</f>
        <v/>
      </c>
      <c r="C2192" s="67" t="str">
        <f>IF($B2192="","",IF($E$7="Weekly",Start_Date+7*(ROWS($1:2180)-1),EDATE(Start_Date,VLOOKUP(IF(ASTemp!$E$7="","Monthly",ASTemp!$E$7),Parameters!$B$3:$D$6,3,0)*(ROWS($1:2180)-1))))</f>
        <v/>
      </c>
      <c r="D2192" s="68" t="str">
        <f t="shared" si="2"/>
        <v/>
      </c>
      <c r="E2192" s="65" t="str">
        <f>IF($B2192="","",VLOOKUP(MONTH(C2192),Parameters!$F$2:$G$13,2,0))</f>
        <v/>
      </c>
      <c r="F2192" s="69" t="str">
        <f>IF($B2192="","",PV-N(J2191))</f>
        <v/>
      </c>
      <c r="G2192" s="69" t="str">
        <f>IF($B2192="","",PMT(Rate,Nper,-PV,,Type))</f>
        <v/>
      </c>
      <c r="H2192" s="69" t="str">
        <f>IF($B2192="","",PPMT(Rate,ROWS($1:2180),Nper,-PV,,Type))</f>
        <v/>
      </c>
      <c r="I2192" s="69" t="str">
        <f>IF($B2192="","",IPMT(Rate,ROWS($1:2180),Nper,-PV,,Type))</f>
        <v/>
      </c>
      <c r="J2192" s="73" t="str">
        <f t="shared" ref="J2192:K2192" si="2182">IF($B2192="","",N(J2191)+N(H2192))</f>
        <v/>
      </c>
      <c r="K2192" s="74" t="str">
        <f t="shared" si="2182"/>
        <v/>
      </c>
      <c r="L2192" s="69" t="str">
        <f>IF($B2192="","",PV-J2192)</f>
        <v/>
      </c>
      <c r="M2192" s="71" t="str">
        <f>IF($B2192="","",J2192/PV)</f>
        <v/>
      </c>
      <c r="N2192" s="72" t="str">
        <f t="shared" si="4"/>
        <v/>
      </c>
    </row>
    <row r="2193" ht="14.25" customHeight="1">
      <c r="B2193" s="66" t="str">
        <f>IF(ROWS($1:2181)&lt;=Nper,ROWS($1:2181),"")</f>
        <v/>
      </c>
      <c r="C2193" s="67" t="str">
        <f>IF($B2193="","",IF($E$7="Weekly",Start_Date+7*(ROWS($1:2181)-1),EDATE(Start_Date,VLOOKUP(IF(ASTemp!$E$7="","Monthly",ASTemp!$E$7),Parameters!$B$3:$D$6,3,0)*(ROWS($1:2181)-1))))</f>
        <v/>
      </c>
      <c r="D2193" s="68" t="str">
        <f t="shared" si="2"/>
        <v/>
      </c>
      <c r="E2193" s="65" t="str">
        <f>IF($B2193="","",VLOOKUP(MONTH(C2193),Parameters!$F$2:$G$13,2,0))</f>
        <v/>
      </c>
      <c r="F2193" s="69" t="str">
        <f>IF($B2193="","",PV-N(J2192))</f>
        <v/>
      </c>
      <c r="G2193" s="69" t="str">
        <f>IF($B2193="","",PMT(Rate,Nper,-PV,,Type))</f>
        <v/>
      </c>
      <c r="H2193" s="69" t="str">
        <f>IF($B2193="","",PPMT(Rate,ROWS($1:2181),Nper,-PV,,Type))</f>
        <v/>
      </c>
      <c r="I2193" s="69" t="str">
        <f>IF($B2193="","",IPMT(Rate,ROWS($1:2181),Nper,-PV,,Type))</f>
        <v/>
      </c>
      <c r="J2193" s="73" t="str">
        <f t="shared" ref="J2193:K2193" si="2183">IF($B2193="","",N(J2192)+N(H2193))</f>
        <v/>
      </c>
      <c r="K2193" s="74" t="str">
        <f t="shared" si="2183"/>
        <v/>
      </c>
      <c r="L2193" s="69" t="str">
        <f>IF($B2193="","",PV-J2193)</f>
        <v/>
      </c>
      <c r="M2193" s="71" t="str">
        <f>IF($B2193="","",J2193/PV)</f>
        <v/>
      </c>
      <c r="N2193" s="72" t="str">
        <f t="shared" si="4"/>
        <v/>
      </c>
    </row>
    <row r="2194" ht="14.25" customHeight="1">
      <c r="B2194" s="66" t="str">
        <f>IF(ROWS($1:2182)&lt;=Nper,ROWS($1:2182),"")</f>
        <v/>
      </c>
      <c r="C2194" s="67" t="str">
        <f>IF($B2194="","",IF($E$7="Weekly",Start_Date+7*(ROWS($1:2182)-1),EDATE(Start_Date,VLOOKUP(IF(ASTemp!$E$7="","Monthly",ASTemp!$E$7),Parameters!$B$3:$D$6,3,0)*(ROWS($1:2182)-1))))</f>
        <v/>
      </c>
      <c r="D2194" s="68" t="str">
        <f t="shared" si="2"/>
        <v/>
      </c>
      <c r="E2194" s="65" t="str">
        <f>IF($B2194="","",VLOOKUP(MONTH(C2194),Parameters!$F$2:$G$13,2,0))</f>
        <v/>
      </c>
      <c r="F2194" s="69" t="str">
        <f>IF($B2194="","",PV-N(J2193))</f>
        <v/>
      </c>
      <c r="G2194" s="69" t="str">
        <f>IF($B2194="","",PMT(Rate,Nper,-PV,,Type))</f>
        <v/>
      </c>
      <c r="H2194" s="69" t="str">
        <f>IF($B2194="","",PPMT(Rate,ROWS($1:2182),Nper,-PV,,Type))</f>
        <v/>
      </c>
      <c r="I2194" s="69" t="str">
        <f>IF($B2194="","",IPMT(Rate,ROWS($1:2182),Nper,-PV,,Type))</f>
        <v/>
      </c>
      <c r="J2194" s="73" t="str">
        <f t="shared" ref="J2194:K2194" si="2184">IF($B2194="","",N(J2193)+N(H2194))</f>
        <v/>
      </c>
      <c r="K2194" s="74" t="str">
        <f t="shared" si="2184"/>
        <v/>
      </c>
      <c r="L2194" s="69" t="str">
        <f>IF($B2194="","",PV-J2194)</f>
        <v/>
      </c>
      <c r="M2194" s="71" t="str">
        <f>IF($B2194="","",J2194/PV)</f>
        <v/>
      </c>
      <c r="N2194" s="72" t="str">
        <f t="shared" si="4"/>
        <v/>
      </c>
    </row>
    <row r="2195" ht="14.25" customHeight="1">
      <c r="B2195" s="66" t="str">
        <f>IF(ROWS($1:2183)&lt;=Nper,ROWS($1:2183),"")</f>
        <v/>
      </c>
      <c r="C2195" s="67" t="str">
        <f>IF($B2195="","",IF($E$7="Weekly",Start_Date+7*(ROWS($1:2183)-1),EDATE(Start_Date,VLOOKUP(IF(ASTemp!$E$7="","Monthly",ASTemp!$E$7),Parameters!$B$3:$D$6,3,0)*(ROWS($1:2183)-1))))</f>
        <v/>
      </c>
      <c r="D2195" s="68" t="str">
        <f t="shared" si="2"/>
        <v/>
      </c>
      <c r="E2195" s="65" t="str">
        <f>IF($B2195="","",VLOOKUP(MONTH(C2195),Parameters!$F$2:$G$13,2,0))</f>
        <v/>
      </c>
      <c r="F2195" s="69" t="str">
        <f>IF($B2195="","",PV-N(J2194))</f>
        <v/>
      </c>
      <c r="G2195" s="69" t="str">
        <f>IF($B2195="","",PMT(Rate,Nper,-PV,,Type))</f>
        <v/>
      </c>
      <c r="H2195" s="69" t="str">
        <f>IF($B2195="","",PPMT(Rate,ROWS($1:2183),Nper,-PV,,Type))</f>
        <v/>
      </c>
      <c r="I2195" s="69" t="str">
        <f>IF($B2195="","",IPMT(Rate,ROWS($1:2183),Nper,-PV,,Type))</f>
        <v/>
      </c>
      <c r="J2195" s="73" t="str">
        <f t="shared" ref="J2195:K2195" si="2185">IF($B2195="","",N(J2194)+N(H2195))</f>
        <v/>
      </c>
      <c r="K2195" s="74" t="str">
        <f t="shared" si="2185"/>
        <v/>
      </c>
      <c r="L2195" s="69" t="str">
        <f>IF($B2195="","",PV-J2195)</f>
        <v/>
      </c>
      <c r="M2195" s="71" t="str">
        <f>IF($B2195="","",J2195/PV)</f>
        <v/>
      </c>
      <c r="N2195" s="72" t="str">
        <f t="shared" si="4"/>
        <v/>
      </c>
    </row>
    <row r="2196" ht="14.25" customHeight="1">
      <c r="B2196" s="66" t="str">
        <f>IF(ROWS($1:2184)&lt;=Nper,ROWS($1:2184),"")</f>
        <v/>
      </c>
      <c r="C2196" s="67" t="str">
        <f>IF($B2196="","",IF($E$7="Weekly",Start_Date+7*(ROWS($1:2184)-1),EDATE(Start_Date,VLOOKUP(IF(ASTemp!$E$7="","Monthly",ASTemp!$E$7),Parameters!$B$3:$D$6,3,0)*(ROWS($1:2184)-1))))</f>
        <v/>
      </c>
      <c r="D2196" s="68" t="str">
        <f t="shared" si="2"/>
        <v/>
      </c>
      <c r="E2196" s="65" t="str">
        <f>IF($B2196="","",VLOOKUP(MONTH(C2196),Parameters!$F$2:$G$13,2,0))</f>
        <v/>
      </c>
      <c r="F2196" s="69" t="str">
        <f>IF($B2196="","",PV-N(J2195))</f>
        <v/>
      </c>
      <c r="G2196" s="69" t="str">
        <f>IF($B2196="","",PMT(Rate,Nper,-PV,,Type))</f>
        <v/>
      </c>
      <c r="H2196" s="69" t="str">
        <f>IF($B2196="","",PPMT(Rate,ROWS($1:2184),Nper,-PV,,Type))</f>
        <v/>
      </c>
      <c r="I2196" s="69" t="str">
        <f>IF($B2196="","",IPMT(Rate,ROWS($1:2184),Nper,-PV,,Type))</f>
        <v/>
      </c>
      <c r="J2196" s="73" t="str">
        <f t="shared" ref="J2196:K2196" si="2186">IF($B2196="","",N(J2195)+N(H2196))</f>
        <v/>
      </c>
      <c r="K2196" s="74" t="str">
        <f t="shared" si="2186"/>
        <v/>
      </c>
      <c r="L2196" s="69" t="str">
        <f>IF($B2196="","",PV-J2196)</f>
        <v/>
      </c>
      <c r="M2196" s="71" t="str">
        <f>IF($B2196="","",J2196/PV)</f>
        <v/>
      </c>
      <c r="N2196" s="72" t="str">
        <f t="shared" si="4"/>
        <v/>
      </c>
    </row>
    <row r="2197" ht="14.25" customHeight="1">
      <c r="B2197" s="66" t="str">
        <f>IF(ROWS($1:2185)&lt;=Nper,ROWS($1:2185),"")</f>
        <v/>
      </c>
      <c r="C2197" s="67" t="str">
        <f>IF($B2197="","",IF($E$7="Weekly",Start_Date+7*(ROWS($1:2185)-1),EDATE(Start_Date,VLOOKUP(IF(ASTemp!$E$7="","Monthly",ASTemp!$E$7),Parameters!$B$3:$D$6,3,0)*(ROWS($1:2185)-1))))</f>
        <v/>
      </c>
      <c r="D2197" s="68" t="str">
        <f t="shared" si="2"/>
        <v/>
      </c>
      <c r="E2197" s="65" t="str">
        <f>IF($B2197="","",VLOOKUP(MONTH(C2197),Parameters!$F$2:$G$13,2,0))</f>
        <v/>
      </c>
      <c r="F2197" s="69" t="str">
        <f>IF($B2197="","",PV-N(J2196))</f>
        <v/>
      </c>
      <c r="G2197" s="69" t="str">
        <f>IF($B2197="","",PMT(Rate,Nper,-PV,,Type))</f>
        <v/>
      </c>
      <c r="H2197" s="69" t="str">
        <f>IF($B2197="","",PPMT(Rate,ROWS($1:2185),Nper,-PV,,Type))</f>
        <v/>
      </c>
      <c r="I2197" s="69" t="str">
        <f>IF($B2197="","",IPMT(Rate,ROWS($1:2185),Nper,-PV,,Type))</f>
        <v/>
      </c>
      <c r="J2197" s="73" t="str">
        <f t="shared" ref="J2197:K2197" si="2187">IF($B2197="","",N(J2196)+N(H2197))</f>
        <v/>
      </c>
      <c r="K2197" s="74" t="str">
        <f t="shared" si="2187"/>
        <v/>
      </c>
      <c r="L2197" s="69" t="str">
        <f>IF($B2197="","",PV-J2197)</f>
        <v/>
      </c>
      <c r="M2197" s="71" t="str">
        <f>IF($B2197="","",J2197/PV)</f>
        <v/>
      </c>
      <c r="N2197" s="72" t="str">
        <f t="shared" si="4"/>
        <v/>
      </c>
    </row>
    <row r="2198" ht="14.25" customHeight="1">
      <c r="B2198" s="66" t="str">
        <f>IF(ROWS($1:2186)&lt;=Nper,ROWS($1:2186),"")</f>
        <v/>
      </c>
      <c r="C2198" s="67" t="str">
        <f>IF($B2198="","",IF($E$7="Weekly",Start_Date+7*(ROWS($1:2186)-1),EDATE(Start_Date,VLOOKUP(IF(ASTemp!$E$7="","Monthly",ASTemp!$E$7),Parameters!$B$3:$D$6,3,0)*(ROWS($1:2186)-1))))</f>
        <v/>
      </c>
      <c r="D2198" s="68" t="str">
        <f t="shared" si="2"/>
        <v/>
      </c>
      <c r="E2198" s="65" t="str">
        <f>IF($B2198="","",VLOOKUP(MONTH(C2198),Parameters!$F$2:$G$13,2,0))</f>
        <v/>
      </c>
      <c r="F2198" s="69" t="str">
        <f>IF($B2198="","",PV-N(J2197))</f>
        <v/>
      </c>
      <c r="G2198" s="69" t="str">
        <f>IF($B2198="","",PMT(Rate,Nper,-PV,,Type))</f>
        <v/>
      </c>
      <c r="H2198" s="69" t="str">
        <f>IF($B2198="","",PPMT(Rate,ROWS($1:2186),Nper,-PV,,Type))</f>
        <v/>
      </c>
      <c r="I2198" s="69" t="str">
        <f>IF($B2198="","",IPMT(Rate,ROWS($1:2186),Nper,-PV,,Type))</f>
        <v/>
      </c>
      <c r="J2198" s="73" t="str">
        <f t="shared" ref="J2198:K2198" si="2188">IF($B2198="","",N(J2197)+N(H2198))</f>
        <v/>
      </c>
      <c r="K2198" s="74" t="str">
        <f t="shared" si="2188"/>
        <v/>
      </c>
      <c r="L2198" s="69" t="str">
        <f>IF($B2198="","",PV-J2198)</f>
        <v/>
      </c>
      <c r="M2198" s="71" t="str">
        <f>IF($B2198="","",J2198/PV)</f>
        <v/>
      </c>
      <c r="N2198" s="72" t="str">
        <f t="shared" si="4"/>
        <v/>
      </c>
    </row>
    <row r="2199" ht="14.25" customHeight="1">
      <c r="B2199" s="66" t="str">
        <f>IF(ROWS($1:2187)&lt;=Nper,ROWS($1:2187),"")</f>
        <v/>
      </c>
      <c r="C2199" s="67" t="str">
        <f>IF($B2199="","",IF($E$7="Weekly",Start_Date+7*(ROWS($1:2187)-1),EDATE(Start_Date,VLOOKUP(IF(ASTemp!$E$7="","Monthly",ASTemp!$E$7),Parameters!$B$3:$D$6,3,0)*(ROWS($1:2187)-1))))</f>
        <v/>
      </c>
      <c r="D2199" s="68" t="str">
        <f t="shared" si="2"/>
        <v/>
      </c>
      <c r="E2199" s="65" t="str">
        <f>IF($B2199="","",VLOOKUP(MONTH(C2199),Parameters!$F$2:$G$13,2,0))</f>
        <v/>
      </c>
      <c r="F2199" s="69" t="str">
        <f>IF($B2199="","",PV-N(J2198))</f>
        <v/>
      </c>
      <c r="G2199" s="69" t="str">
        <f>IF($B2199="","",PMT(Rate,Nper,-PV,,Type))</f>
        <v/>
      </c>
      <c r="H2199" s="69" t="str">
        <f>IF($B2199="","",PPMT(Rate,ROWS($1:2187),Nper,-PV,,Type))</f>
        <v/>
      </c>
      <c r="I2199" s="69" t="str">
        <f>IF($B2199="","",IPMT(Rate,ROWS($1:2187),Nper,-PV,,Type))</f>
        <v/>
      </c>
      <c r="J2199" s="73" t="str">
        <f t="shared" ref="J2199:K2199" si="2189">IF($B2199="","",N(J2198)+N(H2199))</f>
        <v/>
      </c>
      <c r="K2199" s="74" t="str">
        <f t="shared" si="2189"/>
        <v/>
      </c>
      <c r="L2199" s="69" t="str">
        <f>IF($B2199="","",PV-J2199)</f>
        <v/>
      </c>
      <c r="M2199" s="71" t="str">
        <f>IF($B2199="","",J2199/PV)</f>
        <v/>
      </c>
      <c r="N2199" s="72" t="str">
        <f t="shared" si="4"/>
        <v/>
      </c>
    </row>
    <row r="2200" ht="14.25" customHeight="1">
      <c r="B2200" s="66" t="str">
        <f>IF(ROWS($1:2188)&lt;=Nper,ROWS($1:2188),"")</f>
        <v/>
      </c>
      <c r="C2200" s="67" t="str">
        <f>IF($B2200="","",IF($E$7="Weekly",Start_Date+7*(ROWS($1:2188)-1),EDATE(Start_Date,VLOOKUP(IF(ASTemp!$E$7="","Monthly",ASTemp!$E$7),Parameters!$B$3:$D$6,3,0)*(ROWS($1:2188)-1))))</f>
        <v/>
      </c>
      <c r="D2200" s="68" t="str">
        <f t="shared" si="2"/>
        <v/>
      </c>
      <c r="E2200" s="65" t="str">
        <f>IF($B2200="","",VLOOKUP(MONTH(C2200),Parameters!$F$2:$G$13,2,0))</f>
        <v/>
      </c>
      <c r="F2200" s="69" t="str">
        <f>IF($B2200="","",PV-N(J2199))</f>
        <v/>
      </c>
      <c r="G2200" s="69" t="str">
        <f>IF($B2200="","",PMT(Rate,Nper,-PV,,Type))</f>
        <v/>
      </c>
      <c r="H2200" s="69" t="str">
        <f>IF($B2200="","",PPMT(Rate,ROWS($1:2188),Nper,-PV,,Type))</f>
        <v/>
      </c>
      <c r="I2200" s="69" t="str">
        <f>IF($B2200="","",IPMT(Rate,ROWS($1:2188),Nper,-PV,,Type))</f>
        <v/>
      </c>
      <c r="J2200" s="73" t="str">
        <f t="shared" ref="J2200:K2200" si="2190">IF($B2200="","",N(J2199)+N(H2200))</f>
        <v/>
      </c>
      <c r="K2200" s="74" t="str">
        <f t="shared" si="2190"/>
        <v/>
      </c>
      <c r="L2200" s="69" t="str">
        <f>IF($B2200="","",PV-J2200)</f>
        <v/>
      </c>
      <c r="M2200" s="71" t="str">
        <f>IF($B2200="","",J2200/PV)</f>
        <v/>
      </c>
      <c r="N2200" s="72" t="str">
        <f t="shared" si="4"/>
        <v/>
      </c>
    </row>
    <row r="2201" ht="14.25" customHeight="1">
      <c r="B2201" s="66" t="str">
        <f>IF(ROWS($1:2189)&lt;=Nper,ROWS($1:2189),"")</f>
        <v/>
      </c>
      <c r="C2201" s="67" t="str">
        <f>IF($B2201="","",IF($E$7="Weekly",Start_Date+7*(ROWS($1:2189)-1),EDATE(Start_Date,VLOOKUP(IF(ASTemp!$E$7="","Monthly",ASTemp!$E$7),Parameters!$B$3:$D$6,3,0)*(ROWS($1:2189)-1))))</f>
        <v/>
      </c>
      <c r="D2201" s="68" t="str">
        <f t="shared" si="2"/>
        <v/>
      </c>
      <c r="E2201" s="65" t="str">
        <f>IF($B2201="","",VLOOKUP(MONTH(C2201),Parameters!$F$2:$G$13,2,0))</f>
        <v/>
      </c>
      <c r="F2201" s="69" t="str">
        <f>IF($B2201="","",PV-N(J2200))</f>
        <v/>
      </c>
      <c r="G2201" s="69" t="str">
        <f>IF($B2201="","",PMT(Rate,Nper,-PV,,Type))</f>
        <v/>
      </c>
      <c r="H2201" s="69" t="str">
        <f>IF($B2201="","",PPMT(Rate,ROWS($1:2189),Nper,-PV,,Type))</f>
        <v/>
      </c>
      <c r="I2201" s="69" t="str">
        <f>IF($B2201="","",IPMT(Rate,ROWS($1:2189),Nper,-PV,,Type))</f>
        <v/>
      </c>
      <c r="J2201" s="73" t="str">
        <f t="shared" ref="J2201:K2201" si="2191">IF($B2201="","",N(J2200)+N(H2201))</f>
        <v/>
      </c>
      <c r="K2201" s="74" t="str">
        <f t="shared" si="2191"/>
        <v/>
      </c>
      <c r="L2201" s="69" t="str">
        <f>IF($B2201="","",PV-J2201)</f>
        <v/>
      </c>
      <c r="M2201" s="71" t="str">
        <f>IF($B2201="","",J2201/PV)</f>
        <v/>
      </c>
      <c r="N2201" s="72" t="str">
        <f t="shared" si="4"/>
        <v/>
      </c>
    </row>
    <row r="2202" ht="14.25" customHeight="1">
      <c r="B2202" s="66" t="str">
        <f>IF(ROWS($1:2190)&lt;=Nper,ROWS($1:2190),"")</f>
        <v/>
      </c>
      <c r="C2202" s="67" t="str">
        <f>IF($B2202="","",IF($E$7="Weekly",Start_Date+7*(ROWS($1:2190)-1),EDATE(Start_Date,VLOOKUP(IF(ASTemp!$E$7="","Monthly",ASTemp!$E$7),Parameters!$B$3:$D$6,3,0)*(ROWS($1:2190)-1))))</f>
        <v/>
      </c>
      <c r="D2202" s="68" t="str">
        <f t="shared" si="2"/>
        <v/>
      </c>
      <c r="E2202" s="65" t="str">
        <f>IF($B2202="","",VLOOKUP(MONTH(C2202),Parameters!$F$2:$G$13,2,0))</f>
        <v/>
      </c>
      <c r="F2202" s="69" t="str">
        <f>IF($B2202="","",PV-N(J2201))</f>
        <v/>
      </c>
      <c r="G2202" s="69" t="str">
        <f>IF($B2202="","",PMT(Rate,Nper,-PV,,Type))</f>
        <v/>
      </c>
      <c r="H2202" s="69" t="str">
        <f>IF($B2202="","",PPMT(Rate,ROWS($1:2190),Nper,-PV,,Type))</f>
        <v/>
      </c>
      <c r="I2202" s="69" t="str">
        <f>IF($B2202="","",IPMT(Rate,ROWS($1:2190),Nper,-PV,,Type))</f>
        <v/>
      </c>
      <c r="J2202" s="73" t="str">
        <f t="shared" ref="J2202:K2202" si="2192">IF($B2202="","",N(J2201)+N(H2202))</f>
        <v/>
      </c>
      <c r="K2202" s="74" t="str">
        <f t="shared" si="2192"/>
        <v/>
      </c>
      <c r="L2202" s="69" t="str">
        <f>IF($B2202="","",PV-J2202)</f>
        <v/>
      </c>
      <c r="M2202" s="71" t="str">
        <f>IF($B2202="","",J2202/PV)</f>
        <v/>
      </c>
      <c r="N2202" s="72" t="str">
        <f t="shared" si="4"/>
        <v/>
      </c>
    </row>
    <row r="2203" ht="14.25" customHeight="1">
      <c r="B2203" s="66" t="str">
        <f>IF(ROWS($1:2191)&lt;=Nper,ROWS($1:2191),"")</f>
        <v/>
      </c>
      <c r="C2203" s="67" t="str">
        <f>IF($B2203="","",IF($E$7="Weekly",Start_Date+7*(ROWS($1:2191)-1),EDATE(Start_Date,VLOOKUP(IF(ASTemp!$E$7="","Monthly",ASTemp!$E$7),Parameters!$B$3:$D$6,3,0)*(ROWS($1:2191)-1))))</f>
        <v/>
      </c>
      <c r="D2203" s="68" t="str">
        <f t="shared" si="2"/>
        <v/>
      </c>
      <c r="E2203" s="65" t="str">
        <f>IF($B2203="","",VLOOKUP(MONTH(C2203),Parameters!$F$2:$G$13,2,0))</f>
        <v/>
      </c>
      <c r="F2203" s="69" t="str">
        <f>IF($B2203="","",PV-N(J2202))</f>
        <v/>
      </c>
      <c r="G2203" s="69" t="str">
        <f>IF($B2203="","",PMT(Rate,Nper,-PV,,Type))</f>
        <v/>
      </c>
      <c r="H2203" s="69" t="str">
        <f>IF($B2203="","",PPMT(Rate,ROWS($1:2191),Nper,-PV,,Type))</f>
        <v/>
      </c>
      <c r="I2203" s="69" t="str">
        <f>IF($B2203="","",IPMT(Rate,ROWS($1:2191),Nper,-PV,,Type))</f>
        <v/>
      </c>
      <c r="J2203" s="73" t="str">
        <f t="shared" ref="J2203:K2203" si="2193">IF($B2203="","",N(J2202)+N(H2203))</f>
        <v/>
      </c>
      <c r="K2203" s="74" t="str">
        <f t="shared" si="2193"/>
        <v/>
      </c>
      <c r="L2203" s="69" t="str">
        <f>IF($B2203="","",PV-J2203)</f>
        <v/>
      </c>
      <c r="M2203" s="71" t="str">
        <f>IF($B2203="","",J2203/PV)</f>
        <v/>
      </c>
      <c r="N2203" s="72" t="str">
        <f t="shared" si="4"/>
        <v/>
      </c>
    </row>
    <row r="2204" ht="14.25" customHeight="1">
      <c r="B2204" s="66" t="str">
        <f>IF(ROWS($1:2192)&lt;=Nper,ROWS($1:2192),"")</f>
        <v/>
      </c>
      <c r="C2204" s="67" t="str">
        <f>IF($B2204="","",IF($E$7="Weekly",Start_Date+7*(ROWS($1:2192)-1),EDATE(Start_Date,VLOOKUP(IF(ASTemp!$E$7="","Monthly",ASTemp!$E$7),Parameters!$B$3:$D$6,3,0)*(ROWS($1:2192)-1))))</f>
        <v/>
      </c>
      <c r="D2204" s="68" t="str">
        <f t="shared" si="2"/>
        <v/>
      </c>
      <c r="E2204" s="65" t="str">
        <f>IF($B2204="","",VLOOKUP(MONTH(C2204),Parameters!$F$2:$G$13,2,0))</f>
        <v/>
      </c>
      <c r="F2204" s="69" t="str">
        <f>IF($B2204="","",PV-N(J2203))</f>
        <v/>
      </c>
      <c r="G2204" s="69" t="str">
        <f>IF($B2204="","",PMT(Rate,Nper,-PV,,Type))</f>
        <v/>
      </c>
      <c r="H2204" s="69" t="str">
        <f>IF($B2204="","",PPMT(Rate,ROWS($1:2192),Nper,-PV,,Type))</f>
        <v/>
      </c>
      <c r="I2204" s="69" t="str">
        <f>IF($B2204="","",IPMT(Rate,ROWS($1:2192),Nper,-PV,,Type))</f>
        <v/>
      </c>
      <c r="J2204" s="73" t="str">
        <f t="shared" ref="J2204:K2204" si="2194">IF($B2204="","",N(J2203)+N(H2204))</f>
        <v/>
      </c>
      <c r="K2204" s="74" t="str">
        <f t="shared" si="2194"/>
        <v/>
      </c>
      <c r="L2204" s="69" t="str">
        <f>IF($B2204="","",PV-J2204)</f>
        <v/>
      </c>
      <c r="M2204" s="71" t="str">
        <f>IF($B2204="","",J2204/PV)</f>
        <v/>
      </c>
      <c r="N2204" s="72" t="str">
        <f t="shared" si="4"/>
        <v/>
      </c>
    </row>
    <row r="2205" ht="14.25" customHeight="1">
      <c r="B2205" s="66" t="str">
        <f>IF(ROWS($1:2193)&lt;=Nper,ROWS($1:2193),"")</f>
        <v/>
      </c>
      <c r="C2205" s="67" t="str">
        <f>IF($B2205="","",IF($E$7="Weekly",Start_Date+7*(ROWS($1:2193)-1),EDATE(Start_Date,VLOOKUP(IF(ASTemp!$E$7="","Monthly",ASTemp!$E$7),Parameters!$B$3:$D$6,3,0)*(ROWS($1:2193)-1))))</f>
        <v/>
      </c>
      <c r="D2205" s="68" t="str">
        <f t="shared" si="2"/>
        <v/>
      </c>
      <c r="E2205" s="65" t="str">
        <f>IF($B2205="","",VLOOKUP(MONTH(C2205),Parameters!$F$2:$G$13,2,0))</f>
        <v/>
      </c>
      <c r="F2205" s="69" t="str">
        <f>IF($B2205="","",PV-N(J2204))</f>
        <v/>
      </c>
      <c r="G2205" s="69" t="str">
        <f>IF($B2205="","",PMT(Rate,Nper,-PV,,Type))</f>
        <v/>
      </c>
      <c r="H2205" s="69" t="str">
        <f>IF($B2205="","",PPMT(Rate,ROWS($1:2193),Nper,-PV,,Type))</f>
        <v/>
      </c>
      <c r="I2205" s="69" t="str">
        <f>IF($B2205="","",IPMT(Rate,ROWS($1:2193),Nper,-PV,,Type))</f>
        <v/>
      </c>
      <c r="J2205" s="73" t="str">
        <f t="shared" ref="J2205:K2205" si="2195">IF($B2205="","",N(J2204)+N(H2205))</f>
        <v/>
      </c>
      <c r="K2205" s="74" t="str">
        <f t="shared" si="2195"/>
        <v/>
      </c>
      <c r="L2205" s="69" t="str">
        <f>IF($B2205="","",PV-J2205)</f>
        <v/>
      </c>
      <c r="M2205" s="71" t="str">
        <f>IF($B2205="","",J2205/PV)</f>
        <v/>
      </c>
      <c r="N2205" s="72" t="str">
        <f t="shared" si="4"/>
        <v/>
      </c>
    </row>
    <row r="2206" ht="14.25" customHeight="1">
      <c r="B2206" s="66" t="str">
        <f>IF(ROWS($1:2194)&lt;=Nper,ROWS($1:2194),"")</f>
        <v/>
      </c>
      <c r="C2206" s="67" t="str">
        <f>IF($B2206="","",IF($E$7="Weekly",Start_Date+7*(ROWS($1:2194)-1),EDATE(Start_Date,VLOOKUP(IF(ASTemp!$E$7="","Monthly",ASTemp!$E$7),Parameters!$B$3:$D$6,3,0)*(ROWS($1:2194)-1))))</f>
        <v/>
      </c>
      <c r="D2206" s="68" t="str">
        <f t="shared" si="2"/>
        <v/>
      </c>
      <c r="E2206" s="65" t="str">
        <f>IF($B2206="","",VLOOKUP(MONTH(C2206),Parameters!$F$2:$G$13,2,0))</f>
        <v/>
      </c>
      <c r="F2206" s="69" t="str">
        <f>IF($B2206="","",PV-N(J2205))</f>
        <v/>
      </c>
      <c r="G2206" s="69" t="str">
        <f>IF($B2206="","",PMT(Rate,Nper,-PV,,Type))</f>
        <v/>
      </c>
      <c r="H2206" s="69" t="str">
        <f>IF($B2206="","",PPMT(Rate,ROWS($1:2194),Nper,-PV,,Type))</f>
        <v/>
      </c>
      <c r="I2206" s="69" t="str">
        <f>IF($B2206="","",IPMT(Rate,ROWS($1:2194),Nper,-PV,,Type))</f>
        <v/>
      </c>
      <c r="J2206" s="73" t="str">
        <f t="shared" ref="J2206:K2206" si="2196">IF($B2206="","",N(J2205)+N(H2206))</f>
        <v/>
      </c>
      <c r="K2206" s="74" t="str">
        <f t="shared" si="2196"/>
        <v/>
      </c>
      <c r="L2206" s="69" t="str">
        <f>IF($B2206="","",PV-J2206)</f>
        <v/>
      </c>
      <c r="M2206" s="71" t="str">
        <f>IF($B2206="","",J2206/PV)</f>
        <v/>
      </c>
      <c r="N2206" s="72" t="str">
        <f t="shared" si="4"/>
        <v/>
      </c>
    </row>
    <row r="2207" ht="14.25" customHeight="1">
      <c r="B2207" s="66" t="str">
        <f>IF(ROWS($1:2195)&lt;=Nper,ROWS($1:2195),"")</f>
        <v/>
      </c>
      <c r="C2207" s="67" t="str">
        <f>IF($B2207="","",IF($E$7="Weekly",Start_Date+7*(ROWS($1:2195)-1),EDATE(Start_Date,VLOOKUP(IF(ASTemp!$E$7="","Monthly",ASTemp!$E$7),Parameters!$B$3:$D$6,3,0)*(ROWS($1:2195)-1))))</f>
        <v/>
      </c>
      <c r="D2207" s="68" t="str">
        <f t="shared" si="2"/>
        <v/>
      </c>
      <c r="E2207" s="65" t="str">
        <f>IF($B2207="","",VLOOKUP(MONTH(C2207),Parameters!$F$2:$G$13,2,0))</f>
        <v/>
      </c>
      <c r="F2207" s="69" t="str">
        <f>IF($B2207="","",PV-N(J2206))</f>
        <v/>
      </c>
      <c r="G2207" s="69" t="str">
        <f>IF($B2207="","",PMT(Rate,Nper,-PV,,Type))</f>
        <v/>
      </c>
      <c r="H2207" s="69" t="str">
        <f>IF($B2207="","",PPMT(Rate,ROWS($1:2195),Nper,-PV,,Type))</f>
        <v/>
      </c>
      <c r="I2207" s="69" t="str">
        <f>IF($B2207="","",IPMT(Rate,ROWS($1:2195),Nper,-PV,,Type))</f>
        <v/>
      </c>
      <c r="J2207" s="73" t="str">
        <f t="shared" ref="J2207:K2207" si="2197">IF($B2207="","",N(J2206)+N(H2207))</f>
        <v/>
      </c>
      <c r="K2207" s="74" t="str">
        <f t="shared" si="2197"/>
        <v/>
      </c>
      <c r="L2207" s="69" t="str">
        <f>IF($B2207="","",PV-J2207)</f>
        <v/>
      </c>
      <c r="M2207" s="71" t="str">
        <f>IF($B2207="","",J2207/PV)</f>
        <v/>
      </c>
      <c r="N2207" s="72" t="str">
        <f t="shared" si="4"/>
        <v/>
      </c>
    </row>
    <row r="2208" ht="14.25" customHeight="1">
      <c r="B2208" s="66" t="str">
        <f>IF(ROWS($1:2196)&lt;=Nper,ROWS($1:2196),"")</f>
        <v/>
      </c>
      <c r="C2208" s="67" t="str">
        <f>IF($B2208="","",IF($E$7="Weekly",Start_Date+7*(ROWS($1:2196)-1),EDATE(Start_Date,VLOOKUP(IF(ASTemp!$E$7="","Monthly",ASTemp!$E$7),Parameters!$B$3:$D$6,3,0)*(ROWS($1:2196)-1))))</f>
        <v/>
      </c>
      <c r="D2208" s="68" t="str">
        <f t="shared" si="2"/>
        <v/>
      </c>
      <c r="E2208" s="65" t="str">
        <f>IF($B2208="","",VLOOKUP(MONTH(C2208),Parameters!$F$2:$G$13,2,0))</f>
        <v/>
      </c>
      <c r="F2208" s="69" t="str">
        <f>IF($B2208="","",PV-N(J2207))</f>
        <v/>
      </c>
      <c r="G2208" s="69" t="str">
        <f>IF($B2208="","",PMT(Rate,Nper,-PV,,Type))</f>
        <v/>
      </c>
      <c r="H2208" s="69" t="str">
        <f>IF($B2208="","",PPMT(Rate,ROWS($1:2196),Nper,-PV,,Type))</f>
        <v/>
      </c>
      <c r="I2208" s="69" t="str">
        <f>IF($B2208="","",IPMT(Rate,ROWS($1:2196),Nper,-PV,,Type))</f>
        <v/>
      </c>
      <c r="J2208" s="73" t="str">
        <f t="shared" ref="J2208:K2208" si="2198">IF($B2208="","",N(J2207)+N(H2208))</f>
        <v/>
      </c>
      <c r="K2208" s="74" t="str">
        <f t="shared" si="2198"/>
        <v/>
      </c>
      <c r="L2208" s="69" t="str">
        <f>IF($B2208="","",PV-J2208)</f>
        <v/>
      </c>
      <c r="M2208" s="71" t="str">
        <f>IF($B2208="","",J2208/PV)</f>
        <v/>
      </c>
      <c r="N2208" s="72" t="str">
        <f t="shared" si="4"/>
        <v/>
      </c>
    </row>
    <row r="2209" ht="14.25" customHeight="1">
      <c r="B2209" s="66" t="str">
        <f>IF(ROWS($1:2197)&lt;=Nper,ROWS($1:2197),"")</f>
        <v/>
      </c>
      <c r="C2209" s="67" t="str">
        <f>IF($B2209="","",IF($E$7="Weekly",Start_Date+7*(ROWS($1:2197)-1),EDATE(Start_Date,VLOOKUP(IF(ASTemp!$E$7="","Monthly",ASTemp!$E$7),Parameters!$B$3:$D$6,3,0)*(ROWS($1:2197)-1))))</f>
        <v/>
      </c>
      <c r="D2209" s="68" t="str">
        <f t="shared" si="2"/>
        <v/>
      </c>
      <c r="E2209" s="65" t="str">
        <f>IF($B2209="","",VLOOKUP(MONTH(C2209),Parameters!$F$2:$G$13,2,0))</f>
        <v/>
      </c>
      <c r="F2209" s="69" t="str">
        <f>IF($B2209="","",PV-N(J2208))</f>
        <v/>
      </c>
      <c r="G2209" s="69" t="str">
        <f>IF($B2209="","",PMT(Rate,Nper,-PV,,Type))</f>
        <v/>
      </c>
      <c r="H2209" s="69" t="str">
        <f>IF($B2209="","",PPMT(Rate,ROWS($1:2197),Nper,-PV,,Type))</f>
        <v/>
      </c>
      <c r="I2209" s="69" t="str">
        <f>IF($B2209="","",IPMT(Rate,ROWS($1:2197),Nper,-PV,,Type))</f>
        <v/>
      </c>
      <c r="J2209" s="73" t="str">
        <f t="shared" ref="J2209:K2209" si="2199">IF($B2209="","",N(J2208)+N(H2209))</f>
        <v/>
      </c>
      <c r="K2209" s="74" t="str">
        <f t="shared" si="2199"/>
        <v/>
      </c>
      <c r="L2209" s="69" t="str">
        <f>IF($B2209="","",PV-J2209)</f>
        <v/>
      </c>
      <c r="M2209" s="71" t="str">
        <f>IF($B2209="","",J2209/PV)</f>
        <v/>
      </c>
      <c r="N2209" s="72" t="str">
        <f t="shared" si="4"/>
        <v/>
      </c>
    </row>
    <row r="2210" ht="14.25" customHeight="1">
      <c r="B2210" s="66" t="str">
        <f>IF(ROWS($1:2198)&lt;=Nper,ROWS($1:2198),"")</f>
        <v/>
      </c>
      <c r="C2210" s="67" t="str">
        <f>IF($B2210="","",IF($E$7="Weekly",Start_Date+7*(ROWS($1:2198)-1),EDATE(Start_Date,VLOOKUP(IF(ASTemp!$E$7="","Monthly",ASTemp!$E$7),Parameters!$B$3:$D$6,3,0)*(ROWS($1:2198)-1))))</f>
        <v/>
      </c>
      <c r="D2210" s="68" t="str">
        <f t="shared" si="2"/>
        <v/>
      </c>
      <c r="E2210" s="65" t="str">
        <f>IF($B2210="","",VLOOKUP(MONTH(C2210),Parameters!$F$2:$G$13,2,0))</f>
        <v/>
      </c>
      <c r="F2210" s="69" t="str">
        <f>IF($B2210="","",PV-N(J2209))</f>
        <v/>
      </c>
      <c r="G2210" s="69" t="str">
        <f>IF($B2210="","",PMT(Rate,Nper,-PV,,Type))</f>
        <v/>
      </c>
      <c r="H2210" s="69" t="str">
        <f>IF($B2210="","",PPMT(Rate,ROWS($1:2198),Nper,-PV,,Type))</f>
        <v/>
      </c>
      <c r="I2210" s="69" t="str">
        <f>IF($B2210="","",IPMT(Rate,ROWS($1:2198),Nper,-PV,,Type))</f>
        <v/>
      </c>
      <c r="J2210" s="73" t="str">
        <f t="shared" ref="J2210:K2210" si="2200">IF($B2210="","",N(J2209)+N(H2210))</f>
        <v/>
      </c>
      <c r="K2210" s="74" t="str">
        <f t="shared" si="2200"/>
        <v/>
      </c>
      <c r="L2210" s="69" t="str">
        <f>IF($B2210="","",PV-J2210)</f>
        <v/>
      </c>
      <c r="M2210" s="71" t="str">
        <f>IF($B2210="","",J2210/PV)</f>
        <v/>
      </c>
      <c r="N2210" s="72" t="str">
        <f t="shared" si="4"/>
        <v/>
      </c>
    </row>
    <row r="2211" ht="14.25" customHeight="1">
      <c r="B2211" s="66" t="str">
        <f>IF(ROWS($1:2199)&lt;=Nper,ROWS($1:2199),"")</f>
        <v/>
      </c>
      <c r="C2211" s="67" t="str">
        <f>IF($B2211="","",IF($E$7="Weekly",Start_Date+7*(ROWS($1:2199)-1),EDATE(Start_Date,VLOOKUP(IF(ASTemp!$E$7="","Monthly",ASTemp!$E$7),Parameters!$B$3:$D$6,3,0)*(ROWS($1:2199)-1))))</f>
        <v/>
      </c>
      <c r="D2211" s="68" t="str">
        <f t="shared" si="2"/>
        <v/>
      </c>
      <c r="E2211" s="65" t="str">
        <f>IF($B2211="","",VLOOKUP(MONTH(C2211),Parameters!$F$2:$G$13,2,0))</f>
        <v/>
      </c>
      <c r="F2211" s="69" t="str">
        <f>IF($B2211="","",PV-N(J2210))</f>
        <v/>
      </c>
      <c r="G2211" s="69" t="str">
        <f>IF($B2211="","",PMT(Rate,Nper,-PV,,Type))</f>
        <v/>
      </c>
      <c r="H2211" s="69" t="str">
        <f>IF($B2211="","",PPMT(Rate,ROWS($1:2199),Nper,-PV,,Type))</f>
        <v/>
      </c>
      <c r="I2211" s="69" t="str">
        <f>IF($B2211="","",IPMT(Rate,ROWS($1:2199),Nper,-PV,,Type))</f>
        <v/>
      </c>
      <c r="J2211" s="73" t="str">
        <f t="shared" ref="J2211:K2211" si="2201">IF($B2211="","",N(J2210)+N(H2211))</f>
        <v/>
      </c>
      <c r="K2211" s="74" t="str">
        <f t="shared" si="2201"/>
        <v/>
      </c>
      <c r="L2211" s="69" t="str">
        <f>IF($B2211="","",PV-J2211)</f>
        <v/>
      </c>
      <c r="M2211" s="71" t="str">
        <f>IF($B2211="","",J2211/PV)</f>
        <v/>
      </c>
      <c r="N2211" s="72" t="str">
        <f t="shared" si="4"/>
        <v/>
      </c>
    </row>
    <row r="2212" ht="14.25" customHeight="1">
      <c r="B2212" s="66" t="str">
        <f>IF(ROWS($1:2200)&lt;=Nper,ROWS($1:2200),"")</f>
        <v/>
      </c>
      <c r="C2212" s="67" t="str">
        <f>IF($B2212="","",IF($E$7="Weekly",Start_Date+7*(ROWS($1:2200)-1),EDATE(Start_Date,VLOOKUP(IF(ASTemp!$E$7="","Monthly",ASTemp!$E$7),Parameters!$B$3:$D$6,3,0)*(ROWS($1:2200)-1))))</f>
        <v/>
      </c>
      <c r="D2212" s="68" t="str">
        <f t="shared" si="2"/>
        <v/>
      </c>
      <c r="E2212" s="65" t="str">
        <f>IF($B2212="","",VLOOKUP(MONTH(C2212),Parameters!$F$2:$G$13,2,0))</f>
        <v/>
      </c>
      <c r="F2212" s="69" t="str">
        <f>IF($B2212="","",PV-N(J2211))</f>
        <v/>
      </c>
      <c r="G2212" s="69" t="str">
        <f>IF($B2212="","",PMT(Rate,Nper,-PV,,Type))</f>
        <v/>
      </c>
      <c r="H2212" s="69" t="str">
        <f>IF($B2212="","",PPMT(Rate,ROWS($1:2200),Nper,-PV,,Type))</f>
        <v/>
      </c>
      <c r="I2212" s="69" t="str">
        <f>IF($B2212="","",IPMT(Rate,ROWS($1:2200),Nper,-PV,,Type))</f>
        <v/>
      </c>
      <c r="J2212" s="73" t="str">
        <f t="shared" ref="J2212:K2212" si="2202">IF($B2212="","",N(J2211)+N(H2212))</f>
        <v/>
      </c>
      <c r="K2212" s="74" t="str">
        <f t="shared" si="2202"/>
        <v/>
      </c>
      <c r="L2212" s="69" t="str">
        <f>IF($B2212="","",PV-J2212)</f>
        <v/>
      </c>
      <c r="M2212" s="71" t="str">
        <f>IF($B2212="","",J2212/PV)</f>
        <v/>
      </c>
      <c r="N2212" s="72" t="str">
        <f t="shared" si="4"/>
        <v/>
      </c>
    </row>
    <row r="2213" ht="14.25" customHeight="1">
      <c r="B2213" s="66" t="str">
        <f>IF(ROWS($1:2201)&lt;=Nper,ROWS($1:2201),"")</f>
        <v/>
      </c>
      <c r="C2213" s="67" t="str">
        <f>IF($B2213="","",IF($E$7="Weekly",Start_Date+7*(ROWS($1:2201)-1),EDATE(Start_Date,VLOOKUP(IF(ASTemp!$E$7="","Monthly",ASTemp!$E$7),Parameters!$B$3:$D$6,3,0)*(ROWS($1:2201)-1))))</f>
        <v/>
      </c>
      <c r="D2213" s="68" t="str">
        <f t="shared" si="2"/>
        <v/>
      </c>
      <c r="E2213" s="65" t="str">
        <f>IF($B2213="","",VLOOKUP(MONTH(C2213),Parameters!$F$2:$G$13,2,0))</f>
        <v/>
      </c>
      <c r="F2213" s="69" t="str">
        <f>IF($B2213="","",PV-N(J2212))</f>
        <v/>
      </c>
      <c r="G2213" s="69" t="str">
        <f>IF($B2213="","",PMT(Rate,Nper,-PV,,Type))</f>
        <v/>
      </c>
      <c r="H2213" s="69" t="str">
        <f>IF($B2213="","",PPMT(Rate,ROWS($1:2201),Nper,-PV,,Type))</f>
        <v/>
      </c>
      <c r="I2213" s="69" t="str">
        <f>IF($B2213="","",IPMT(Rate,ROWS($1:2201),Nper,-PV,,Type))</f>
        <v/>
      </c>
      <c r="J2213" s="73" t="str">
        <f t="shared" ref="J2213:K2213" si="2203">IF($B2213="","",N(J2212)+N(H2213))</f>
        <v/>
      </c>
      <c r="K2213" s="74" t="str">
        <f t="shared" si="2203"/>
        <v/>
      </c>
      <c r="L2213" s="69" t="str">
        <f>IF($B2213="","",PV-J2213)</f>
        <v/>
      </c>
      <c r="M2213" s="71" t="str">
        <f>IF($B2213="","",J2213/PV)</f>
        <v/>
      </c>
      <c r="N2213" s="72" t="str">
        <f t="shared" si="4"/>
        <v/>
      </c>
    </row>
    <row r="2214" ht="14.25" customHeight="1">
      <c r="B2214" s="66" t="str">
        <f>IF(ROWS($1:2202)&lt;=Nper,ROWS($1:2202),"")</f>
        <v/>
      </c>
      <c r="C2214" s="67" t="str">
        <f>IF($B2214="","",IF($E$7="Weekly",Start_Date+7*(ROWS($1:2202)-1),EDATE(Start_Date,VLOOKUP(IF(ASTemp!$E$7="","Monthly",ASTemp!$E$7),Parameters!$B$3:$D$6,3,0)*(ROWS($1:2202)-1))))</f>
        <v/>
      </c>
      <c r="D2214" s="68" t="str">
        <f t="shared" si="2"/>
        <v/>
      </c>
      <c r="E2214" s="65" t="str">
        <f>IF($B2214="","",VLOOKUP(MONTH(C2214),Parameters!$F$2:$G$13,2,0))</f>
        <v/>
      </c>
      <c r="F2214" s="69" t="str">
        <f>IF($B2214="","",PV-N(J2213))</f>
        <v/>
      </c>
      <c r="G2214" s="69" t="str">
        <f>IF($B2214="","",PMT(Rate,Nper,-PV,,Type))</f>
        <v/>
      </c>
      <c r="H2214" s="69" t="str">
        <f>IF($B2214="","",PPMT(Rate,ROWS($1:2202),Nper,-PV,,Type))</f>
        <v/>
      </c>
      <c r="I2214" s="69" t="str">
        <f>IF($B2214="","",IPMT(Rate,ROWS($1:2202),Nper,-PV,,Type))</f>
        <v/>
      </c>
      <c r="J2214" s="73" t="str">
        <f t="shared" ref="J2214:K2214" si="2204">IF($B2214="","",N(J2213)+N(H2214))</f>
        <v/>
      </c>
      <c r="K2214" s="74" t="str">
        <f t="shared" si="2204"/>
        <v/>
      </c>
      <c r="L2214" s="69" t="str">
        <f>IF($B2214="","",PV-J2214)</f>
        <v/>
      </c>
      <c r="M2214" s="71" t="str">
        <f>IF($B2214="","",J2214/PV)</f>
        <v/>
      </c>
      <c r="N2214" s="72" t="str">
        <f t="shared" si="4"/>
        <v/>
      </c>
    </row>
    <row r="2215" ht="14.25" customHeight="1">
      <c r="B2215" s="66" t="str">
        <f>IF(ROWS($1:2203)&lt;=Nper,ROWS($1:2203),"")</f>
        <v/>
      </c>
      <c r="C2215" s="67" t="str">
        <f>IF($B2215="","",IF($E$7="Weekly",Start_Date+7*(ROWS($1:2203)-1),EDATE(Start_Date,VLOOKUP(IF(ASTemp!$E$7="","Monthly",ASTemp!$E$7),Parameters!$B$3:$D$6,3,0)*(ROWS($1:2203)-1))))</f>
        <v/>
      </c>
      <c r="D2215" s="68" t="str">
        <f t="shared" si="2"/>
        <v/>
      </c>
      <c r="E2215" s="65" t="str">
        <f>IF($B2215="","",VLOOKUP(MONTH(C2215),Parameters!$F$2:$G$13,2,0))</f>
        <v/>
      </c>
      <c r="F2215" s="69" t="str">
        <f>IF($B2215="","",PV-N(J2214))</f>
        <v/>
      </c>
      <c r="G2215" s="69" t="str">
        <f>IF($B2215="","",PMT(Rate,Nper,-PV,,Type))</f>
        <v/>
      </c>
      <c r="H2215" s="69" t="str">
        <f>IF($B2215="","",PPMT(Rate,ROWS($1:2203),Nper,-PV,,Type))</f>
        <v/>
      </c>
      <c r="I2215" s="69" t="str">
        <f>IF($B2215="","",IPMT(Rate,ROWS($1:2203),Nper,-PV,,Type))</f>
        <v/>
      </c>
      <c r="J2215" s="73" t="str">
        <f t="shared" ref="J2215:K2215" si="2205">IF($B2215="","",N(J2214)+N(H2215))</f>
        <v/>
      </c>
      <c r="K2215" s="74" t="str">
        <f t="shared" si="2205"/>
        <v/>
      </c>
      <c r="L2215" s="69" t="str">
        <f>IF($B2215="","",PV-J2215)</f>
        <v/>
      </c>
      <c r="M2215" s="71" t="str">
        <f>IF($B2215="","",J2215/PV)</f>
        <v/>
      </c>
      <c r="N2215" s="72" t="str">
        <f t="shared" si="4"/>
        <v/>
      </c>
    </row>
    <row r="2216" ht="14.25" customHeight="1">
      <c r="B2216" s="66" t="str">
        <f>IF(ROWS($1:2204)&lt;=Nper,ROWS($1:2204),"")</f>
        <v/>
      </c>
      <c r="C2216" s="67" t="str">
        <f>IF($B2216="","",IF($E$7="Weekly",Start_Date+7*(ROWS($1:2204)-1),EDATE(Start_Date,VLOOKUP(IF(ASTemp!$E$7="","Monthly",ASTemp!$E$7),Parameters!$B$3:$D$6,3,0)*(ROWS($1:2204)-1))))</f>
        <v/>
      </c>
      <c r="D2216" s="68" t="str">
        <f t="shared" si="2"/>
        <v/>
      </c>
      <c r="E2216" s="65" t="str">
        <f>IF($B2216="","",VLOOKUP(MONTH(C2216),Parameters!$F$2:$G$13,2,0))</f>
        <v/>
      </c>
      <c r="F2216" s="69" t="str">
        <f>IF($B2216="","",PV-N(J2215))</f>
        <v/>
      </c>
      <c r="G2216" s="69" t="str">
        <f>IF($B2216="","",PMT(Rate,Nper,-PV,,Type))</f>
        <v/>
      </c>
      <c r="H2216" s="69" t="str">
        <f>IF($B2216="","",PPMT(Rate,ROWS($1:2204),Nper,-PV,,Type))</f>
        <v/>
      </c>
      <c r="I2216" s="69" t="str">
        <f>IF($B2216="","",IPMT(Rate,ROWS($1:2204),Nper,-PV,,Type))</f>
        <v/>
      </c>
      <c r="J2216" s="73" t="str">
        <f t="shared" ref="J2216:K2216" si="2206">IF($B2216="","",N(J2215)+N(H2216))</f>
        <v/>
      </c>
      <c r="K2216" s="74" t="str">
        <f t="shared" si="2206"/>
        <v/>
      </c>
      <c r="L2216" s="69" t="str">
        <f>IF($B2216="","",PV-J2216)</f>
        <v/>
      </c>
      <c r="M2216" s="71" t="str">
        <f>IF($B2216="","",J2216/PV)</f>
        <v/>
      </c>
      <c r="N2216" s="72" t="str">
        <f t="shared" si="4"/>
        <v/>
      </c>
    </row>
    <row r="2217" ht="14.25" customHeight="1">
      <c r="B2217" s="66" t="str">
        <f>IF(ROWS($1:2205)&lt;=Nper,ROWS($1:2205),"")</f>
        <v/>
      </c>
      <c r="C2217" s="67" t="str">
        <f>IF($B2217="","",IF($E$7="Weekly",Start_Date+7*(ROWS($1:2205)-1),EDATE(Start_Date,VLOOKUP(IF(ASTemp!$E$7="","Monthly",ASTemp!$E$7),Parameters!$B$3:$D$6,3,0)*(ROWS($1:2205)-1))))</f>
        <v/>
      </c>
      <c r="D2217" s="68" t="str">
        <f t="shared" si="2"/>
        <v/>
      </c>
      <c r="E2217" s="65" t="str">
        <f>IF($B2217="","",VLOOKUP(MONTH(C2217),Parameters!$F$2:$G$13,2,0))</f>
        <v/>
      </c>
      <c r="F2217" s="69" t="str">
        <f>IF($B2217="","",PV-N(J2216))</f>
        <v/>
      </c>
      <c r="G2217" s="69" t="str">
        <f>IF($B2217="","",PMT(Rate,Nper,-PV,,Type))</f>
        <v/>
      </c>
      <c r="H2217" s="69" t="str">
        <f>IF($B2217="","",PPMT(Rate,ROWS($1:2205),Nper,-PV,,Type))</f>
        <v/>
      </c>
      <c r="I2217" s="69" t="str">
        <f>IF($B2217="","",IPMT(Rate,ROWS($1:2205),Nper,-PV,,Type))</f>
        <v/>
      </c>
      <c r="J2217" s="73" t="str">
        <f t="shared" ref="J2217:K2217" si="2207">IF($B2217="","",N(J2216)+N(H2217))</f>
        <v/>
      </c>
      <c r="K2217" s="74" t="str">
        <f t="shared" si="2207"/>
        <v/>
      </c>
      <c r="L2217" s="69" t="str">
        <f>IF($B2217="","",PV-J2217)</f>
        <v/>
      </c>
      <c r="M2217" s="71" t="str">
        <f>IF($B2217="","",J2217/PV)</f>
        <v/>
      </c>
      <c r="N2217" s="72" t="str">
        <f t="shared" si="4"/>
        <v/>
      </c>
    </row>
    <row r="2218" ht="14.25" customHeight="1">
      <c r="B2218" s="66" t="str">
        <f>IF(ROWS($1:2206)&lt;=Nper,ROWS($1:2206),"")</f>
        <v/>
      </c>
      <c r="C2218" s="67" t="str">
        <f>IF($B2218="","",IF($E$7="Weekly",Start_Date+7*(ROWS($1:2206)-1),EDATE(Start_Date,VLOOKUP(IF(ASTemp!$E$7="","Monthly",ASTemp!$E$7),Parameters!$B$3:$D$6,3,0)*(ROWS($1:2206)-1))))</f>
        <v/>
      </c>
      <c r="D2218" s="68" t="str">
        <f t="shared" si="2"/>
        <v/>
      </c>
      <c r="E2218" s="65" t="str">
        <f>IF($B2218="","",VLOOKUP(MONTH(C2218),Parameters!$F$2:$G$13,2,0))</f>
        <v/>
      </c>
      <c r="F2218" s="69" t="str">
        <f>IF($B2218="","",PV-N(J2217))</f>
        <v/>
      </c>
      <c r="G2218" s="69" t="str">
        <f>IF($B2218="","",PMT(Rate,Nper,-PV,,Type))</f>
        <v/>
      </c>
      <c r="H2218" s="69" t="str">
        <f>IF($B2218="","",PPMT(Rate,ROWS($1:2206),Nper,-PV,,Type))</f>
        <v/>
      </c>
      <c r="I2218" s="69" t="str">
        <f>IF($B2218="","",IPMT(Rate,ROWS($1:2206),Nper,-PV,,Type))</f>
        <v/>
      </c>
      <c r="J2218" s="73" t="str">
        <f t="shared" ref="J2218:K2218" si="2208">IF($B2218="","",N(J2217)+N(H2218))</f>
        <v/>
      </c>
      <c r="K2218" s="74" t="str">
        <f t="shared" si="2208"/>
        <v/>
      </c>
      <c r="L2218" s="69" t="str">
        <f>IF($B2218="","",PV-J2218)</f>
        <v/>
      </c>
      <c r="M2218" s="71" t="str">
        <f>IF($B2218="","",J2218/PV)</f>
        <v/>
      </c>
      <c r="N2218" s="72" t="str">
        <f t="shared" si="4"/>
        <v/>
      </c>
    </row>
    <row r="2219" ht="14.25" customHeight="1">
      <c r="B2219" s="66" t="str">
        <f>IF(ROWS($1:2207)&lt;=Nper,ROWS($1:2207),"")</f>
        <v/>
      </c>
      <c r="C2219" s="67" t="str">
        <f>IF($B2219="","",IF($E$7="Weekly",Start_Date+7*(ROWS($1:2207)-1),EDATE(Start_Date,VLOOKUP(IF(ASTemp!$E$7="","Monthly",ASTemp!$E$7),Parameters!$B$3:$D$6,3,0)*(ROWS($1:2207)-1))))</f>
        <v/>
      </c>
      <c r="D2219" s="68" t="str">
        <f t="shared" si="2"/>
        <v/>
      </c>
      <c r="E2219" s="65" t="str">
        <f>IF($B2219="","",VLOOKUP(MONTH(C2219),Parameters!$F$2:$G$13,2,0))</f>
        <v/>
      </c>
      <c r="F2219" s="69" t="str">
        <f>IF($B2219="","",PV-N(J2218))</f>
        <v/>
      </c>
      <c r="G2219" s="69" t="str">
        <f>IF($B2219="","",PMT(Rate,Nper,-PV,,Type))</f>
        <v/>
      </c>
      <c r="H2219" s="69" t="str">
        <f>IF($B2219="","",PPMT(Rate,ROWS($1:2207),Nper,-PV,,Type))</f>
        <v/>
      </c>
      <c r="I2219" s="69" t="str">
        <f>IF($B2219="","",IPMT(Rate,ROWS($1:2207),Nper,-PV,,Type))</f>
        <v/>
      </c>
      <c r="J2219" s="73" t="str">
        <f t="shared" ref="J2219:K2219" si="2209">IF($B2219="","",N(J2218)+N(H2219))</f>
        <v/>
      </c>
      <c r="K2219" s="74" t="str">
        <f t="shared" si="2209"/>
        <v/>
      </c>
      <c r="L2219" s="69" t="str">
        <f>IF($B2219="","",PV-J2219)</f>
        <v/>
      </c>
      <c r="M2219" s="71" t="str">
        <f>IF($B2219="","",J2219/PV)</f>
        <v/>
      </c>
      <c r="N2219" s="72" t="str">
        <f t="shared" si="4"/>
        <v/>
      </c>
    </row>
    <row r="2220" ht="14.25" customHeight="1">
      <c r="B2220" s="66" t="str">
        <f>IF(ROWS($1:2208)&lt;=Nper,ROWS($1:2208),"")</f>
        <v/>
      </c>
      <c r="C2220" s="67" t="str">
        <f>IF($B2220="","",IF($E$7="Weekly",Start_Date+7*(ROWS($1:2208)-1),EDATE(Start_Date,VLOOKUP(IF(ASTemp!$E$7="","Monthly",ASTemp!$E$7),Parameters!$B$3:$D$6,3,0)*(ROWS($1:2208)-1))))</f>
        <v/>
      </c>
      <c r="D2220" s="68" t="str">
        <f t="shared" si="2"/>
        <v/>
      </c>
      <c r="E2220" s="65" t="str">
        <f>IF($B2220="","",VLOOKUP(MONTH(C2220),Parameters!$F$2:$G$13,2,0))</f>
        <v/>
      </c>
      <c r="F2220" s="69" t="str">
        <f>IF($B2220="","",PV-N(J2219))</f>
        <v/>
      </c>
      <c r="G2220" s="69" t="str">
        <f>IF($B2220="","",PMT(Rate,Nper,-PV,,Type))</f>
        <v/>
      </c>
      <c r="H2220" s="69" t="str">
        <f>IF($B2220="","",PPMT(Rate,ROWS($1:2208),Nper,-PV,,Type))</f>
        <v/>
      </c>
      <c r="I2220" s="69" t="str">
        <f>IF($B2220="","",IPMT(Rate,ROWS($1:2208),Nper,-PV,,Type))</f>
        <v/>
      </c>
      <c r="J2220" s="73" t="str">
        <f t="shared" ref="J2220:K2220" si="2210">IF($B2220="","",N(J2219)+N(H2220))</f>
        <v/>
      </c>
      <c r="K2220" s="74" t="str">
        <f t="shared" si="2210"/>
        <v/>
      </c>
      <c r="L2220" s="69" t="str">
        <f>IF($B2220="","",PV-J2220)</f>
        <v/>
      </c>
      <c r="M2220" s="71" t="str">
        <f>IF($B2220="","",J2220/PV)</f>
        <v/>
      </c>
      <c r="N2220" s="72" t="str">
        <f t="shared" si="4"/>
        <v/>
      </c>
    </row>
    <row r="2221" ht="14.25" customHeight="1">
      <c r="B2221" s="66" t="str">
        <f>IF(ROWS($1:2209)&lt;=Nper,ROWS($1:2209),"")</f>
        <v/>
      </c>
      <c r="C2221" s="67" t="str">
        <f>IF($B2221="","",IF($E$7="Weekly",Start_Date+7*(ROWS($1:2209)-1),EDATE(Start_Date,VLOOKUP(IF(ASTemp!$E$7="","Monthly",ASTemp!$E$7),Parameters!$B$3:$D$6,3,0)*(ROWS($1:2209)-1))))</f>
        <v/>
      </c>
      <c r="D2221" s="68" t="str">
        <f t="shared" si="2"/>
        <v/>
      </c>
      <c r="E2221" s="65" t="str">
        <f>IF($B2221="","",VLOOKUP(MONTH(C2221),Parameters!$F$2:$G$13,2,0))</f>
        <v/>
      </c>
      <c r="F2221" s="69" t="str">
        <f>IF($B2221="","",PV-N(J2220))</f>
        <v/>
      </c>
      <c r="G2221" s="69" t="str">
        <f>IF($B2221="","",PMT(Rate,Nper,-PV,,Type))</f>
        <v/>
      </c>
      <c r="H2221" s="69" t="str">
        <f>IF($B2221="","",PPMT(Rate,ROWS($1:2209),Nper,-PV,,Type))</f>
        <v/>
      </c>
      <c r="I2221" s="69" t="str">
        <f>IF($B2221="","",IPMT(Rate,ROWS($1:2209),Nper,-PV,,Type))</f>
        <v/>
      </c>
      <c r="J2221" s="73" t="str">
        <f t="shared" ref="J2221:K2221" si="2211">IF($B2221="","",N(J2220)+N(H2221))</f>
        <v/>
      </c>
      <c r="K2221" s="74" t="str">
        <f t="shared" si="2211"/>
        <v/>
      </c>
      <c r="L2221" s="69" t="str">
        <f>IF($B2221="","",PV-J2221)</f>
        <v/>
      </c>
      <c r="M2221" s="71" t="str">
        <f>IF($B2221="","",J2221/PV)</f>
        <v/>
      </c>
      <c r="N2221" s="72" t="str">
        <f t="shared" si="4"/>
        <v/>
      </c>
    </row>
    <row r="2222" ht="14.25" customHeight="1">
      <c r="B2222" s="66" t="str">
        <f>IF(ROWS($1:2210)&lt;=Nper,ROWS($1:2210),"")</f>
        <v/>
      </c>
      <c r="C2222" s="67" t="str">
        <f>IF($B2222="","",IF($E$7="Weekly",Start_Date+7*(ROWS($1:2210)-1),EDATE(Start_Date,VLOOKUP(IF(ASTemp!$E$7="","Monthly",ASTemp!$E$7),Parameters!$B$3:$D$6,3,0)*(ROWS($1:2210)-1))))</f>
        <v/>
      </c>
      <c r="D2222" s="68" t="str">
        <f t="shared" si="2"/>
        <v/>
      </c>
      <c r="E2222" s="65" t="str">
        <f>IF($B2222="","",VLOOKUP(MONTH(C2222),Parameters!$F$2:$G$13,2,0))</f>
        <v/>
      </c>
      <c r="F2222" s="69" t="str">
        <f>IF($B2222="","",PV-N(J2221))</f>
        <v/>
      </c>
      <c r="G2222" s="69" t="str">
        <f>IF($B2222="","",PMT(Rate,Nper,-PV,,Type))</f>
        <v/>
      </c>
      <c r="H2222" s="69" t="str">
        <f>IF($B2222="","",PPMT(Rate,ROWS($1:2210),Nper,-PV,,Type))</f>
        <v/>
      </c>
      <c r="I2222" s="69" t="str">
        <f>IF($B2222="","",IPMT(Rate,ROWS($1:2210),Nper,-PV,,Type))</f>
        <v/>
      </c>
      <c r="J2222" s="73" t="str">
        <f t="shared" ref="J2222:K2222" si="2212">IF($B2222="","",N(J2221)+N(H2222))</f>
        <v/>
      </c>
      <c r="K2222" s="74" t="str">
        <f t="shared" si="2212"/>
        <v/>
      </c>
      <c r="L2222" s="69" t="str">
        <f>IF($B2222="","",PV-J2222)</f>
        <v/>
      </c>
      <c r="M2222" s="71" t="str">
        <f>IF($B2222="","",J2222/PV)</f>
        <v/>
      </c>
      <c r="N2222" s="72" t="str">
        <f t="shared" si="4"/>
        <v/>
      </c>
    </row>
    <row r="2223" ht="14.25" customHeight="1">
      <c r="B2223" s="66" t="str">
        <f>IF(ROWS($1:2211)&lt;=Nper,ROWS($1:2211),"")</f>
        <v/>
      </c>
      <c r="C2223" s="67" t="str">
        <f>IF($B2223="","",IF($E$7="Weekly",Start_Date+7*(ROWS($1:2211)-1),EDATE(Start_Date,VLOOKUP(IF(ASTemp!$E$7="","Monthly",ASTemp!$E$7),Parameters!$B$3:$D$6,3,0)*(ROWS($1:2211)-1))))</f>
        <v/>
      </c>
      <c r="D2223" s="68" t="str">
        <f t="shared" si="2"/>
        <v/>
      </c>
      <c r="E2223" s="65" t="str">
        <f>IF($B2223="","",VLOOKUP(MONTH(C2223),Parameters!$F$2:$G$13,2,0))</f>
        <v/>
      </c>
      <c r="F2223" s="69" t="str">
        <f>IF($B2223="","",PV-N(J2222))</f>
        <v/>
      </c>
      <c r="G2223" s="69" t="str">
        <f>IF($B2223="","",PMT(Rate,Nper,-PV,,Type))</f>
        <v/>
      </c>
      <c r="H2223" s="69" t="str">
        <f>IF($B2223="","",PPMT(Rate,ROWS($1:2211),Nper,-PV,,Type))</f>
        <v/>
      </c>
      <c r="I2223" s="69" t="str">
        <f>IF($B2223="","",IPMT(Rate,ROWS($1:2211),Nper,-PV,,Type))</f>
        <v/>
      </c>
      <c r="J2223" s="73" t="str">
        <f t="shared" ref="J2223:K2223" si="2213">IF($B2223="","",N(J2222)+N(H2223))</f>
        <v/>
      </c>
      <c r="K2223" s="74" t="str">
        <f t="shared" si="2213"/>
        <v/>
      </c>
      <c r="L2223" s="69" t="str">
        <f>IF($B2223="","",PV-J2223)</f>
        <v/>
      </c>
      <c r="M2223" s="71" t="str">
        <f>IF($B2223="","",J2223/PV)</f>
        <v/>
      </c>
      <c r="N2223" s="72" t="str">
        <f t="shared" si="4"/>
        <v/>
      </c>
    </row>
    <row r="2224" ht="14.25" customHeight="1">
      <c r="B2224" s="66" t="str">
        <f>IF(ROWS($1:2212)&lt;=Nper,ROWS($1:2212),"")</f>
        <v/>
      </c>
      <c r="C2224" s="67" t="str">
        <f>IF($B2224="","",IF($E$7="Weekly",Start_Date+7*(ROWS($1:2212)-1),EDATE(Start_Date,VLOOKUP(IF(ASTemp!$E$7="","Monthly",ASTemp!$E$7),Parameters!$B$3:$D$6,3,0)*(ROWS($1:2212)-1))))</f>
        <v/>
      </c>
      <c r="D2224" s="68" t="str">
        <f t="shared" si="2"/>
        <v/>
      </c>
      <c r="E2224" s="65" t="str">
        <f>IF($B2224="","",VLOOKUP(MONTH(C2224),Parameters!$F$2:$G$13,2,0))</f>
        <v/>
      </c>
      <c r="F2224" s="69" t="str">
        <f>IF($B2224="","",PV-N(J2223))</f>
        <v/>
      </c>
      <c r="G2224" s="69" t="str">
        <f>IF($B2224="","",PMT(Rate,Nper,-PV,,Type))</f>
        <v/>
      </c>
      <c r="H2224" s="69" t="str">
        <f>IF($B2224="","",PPMT(Rate,ROWS($1:2212),Nper,-PV,,Type))</f>
        <v/>
      </c>
      <c r="I2224" s="69" t="str">
        <f>IF($B2224="","",IPMT(Rate,ROWS($1:2212),Nper,-PV,,Type))</f>
        <v/>
      </c>
      <c r="J2224" s="73" t="str">
        <f t="shared" ref="J2224:K2224" si="2214">IF($B2224="","",N(J2223)+N(H2224))</f>
        <v/>
      </c>
      <c r="K2224" s="74" t="str">
        <f t="shared" si="2214"/>
        <v/>
      </c>
      <c r="L2224" s="69" t="str">
        <f>IF($B2224="","",PV-J2224)</f>
        <v/>
      </c>
      <c r="M2224" s="71" t="str">
        <f>IF($B2224="","",J2224/PV)</f>
        <v/>
      </c>
      <c r="N2224" s="72" t="str">
        <f t="shared" si="4"/>
        <v/>
      </c>
    </row>
    <row r="2225" ht="14.25" customHeight="1">
      <c r="B2225" s="66" t="str">
        <f>IF(ROWS($1:2213)&lt;=Nper,ROWS($1:2213),"")</f>
        <v/>
      </c>
      <c r="C2225" s="67" t="str">
        <f>IF($B2225="","",IF($E$7="Weekly",Start_Date+7*(ROWS($1:2213)-1),EDATE(Start_Date,VLOOKUP(IF(ASTemp!$E$7="","Monthly",ASTemp!$E$7),Parameters!$B$3:$D$6,3,0)*(ROWS($1:2213)-1))))</f>
        <v/>
      </c>
      <c r="D2225" s="68" t="str">
        <f t="shared" si="2"/>
        <v/>
      </c>
      <c r="E2225" s="65" t="str">
        <f>IF($B2225="","",VLOOKUP(MONTH(C2225),Parameters!$F$2:$G$13,2,0))</f>
        <v/>
      </c>
      <c r="F2225" s="69" t="str">
        <f>IF($B2225="","",PV-N(J2224))</f>
        <v/>
      </c>
      <c r="G2225" s="69" t="str">
        <f>IF($B2225="","",PMT(Rate,Nper,-PV,,Type))</f>
        <v/>
      </c>
      <c r="H2225" s="69" t="str">
        <f>IF($B2225="","",PPMT(Rate,ROWS($1:2213),Nper,-PV,,Type))</f>
        <v/>
      </c>
      <c r="I2225" s="69" t="str">
        <f>IF($B2225="","",IPMT(Rate,ROWS($1:2213),Nper,-PV,,Type))</f>
        <v/>
      </c>
      <c r="J2225" s="73" t="str">
        <f t="shared" ref="J2225:K2225" si="2215">IF($B2225="","",N(J2224)+N(H2225))</f>
        <v/>
      </c>
      <c r="K2225" s="74" t="str">
        <f t="shared" si="2215"/>
        <v/>
      </c>
      <c r="L2225" s="69" t="str">
        <f>IF($B2225="","",PV-J2225)</f>
        <v/>
      </c>
      <c r="M2225" s="71" t="str">
        <f>IF($B2225="","",J2225/PV)</f>
        <v/>
      </c>
      <c r="N2225" s="72" t="str">
        <f t="shared" si="4"/>
        <v/>
      </c>
    </row>
    <row r="2226" ht="14.25" customHeight="1">
      <c r="B2226" s="66" t="str">
        <f>IF(ROWS($1:2214)&lt;=Nper,ROWS($1:2214),"")</f>
        <v/>
      </c>
      <c r="C2226" s="67" t="str">
        <f>IF($B2226="","",IF($E$7="Weekly",Start_Date+7*(ROWS($1:2214)-1),EDATE(Start_Date,VLOOKUP(IF(ASTemp!$E$7="","Monthly",ASTemp!$E$7),Parameters!$B$3:$D$6,3,0)*(ROWS($1:2214)-1))))</f>
        <v/>
      </c>
      <c r="D2226" s="68" t="str">
        <f t="shared" si="2"/>
        <v/>
      </c>
      <c r="E2226" s="65" t="str">
        <f>IF($B2226="","",VLOOKUP(MONTH(C2226),Parameters!$F$2:$G$13,2,0))</f>
        <v/>
      </c>
      <c r="F2226" s="69" t="str">
        <f>IF($B2226="","",PV-N(J2225))</f>
        <v/>
      </c>
      <c r="G2226" s="69" t="str">
        <f>IF($B2226="","",PMT(Rate,Nper,-PV,,Type))</f>
        <v/>
      </c>
      <c r="H2226" s="69" t="str">
        <f>IF($B2226="","",PPMT(Rate,ROWS($1:2214),Nper,-PV,,Type))</f>
        <v/>
      </c>
      <c r="I2226" s="69" t="str">
        <f>IF($B2226="","",IPMT(Rate,ROWS($1:2214),Nper,-PV,,Type))</f>
        <v/>
      </c>
      <c r="J2226" s="73" t="str">
        <f t="shared" ref="J2226:K2226" si="2216">IF($B2226="","",N(J2225)+N(H2226))</f>
        <v/>
      </c>
      <c r="K2226" s="74" t="str">
        <f t="shared" si="2216"/>
        <v/>
      </c>
      <c r="L2226" s="69" t="str">
        <f>IF($B2226="","",PV-J2226)</f>
        <v/>
      </c>
      <c r="M2226" s="71" t="str">
        <f>IF($B2226="","",J2226/PV)</f>
        <v/>
      </c>
      <c r="N2226" s="72" t="str">
        <f t="shared" si="4"/>
        <v/>
      </c>
    </row>
    <row r="2227" ht="14.25" customHeight="1">
      <c r="B2227" s="66" t="str">
        <f>IF(ROWS($1:2215)&lt;=Nper,ROWS($1:2215),"")</f>
        <v/>
      </c>
      <c r="C2227" s="67" t="str">
        <f>IF($B2227="","",IF($E$7="Weekly",Start_Date+7*(ROWS($1:2215)-1),EDATE(Start_Date,VLOOKUP(IF(ASTemp!$E$7="","Monthly",ASTemp!$E$7),Parameters!$B$3:$D$6,3,0)*(ROWS($1:2215)-1))))</f>
        <v/>
      </c>
      <c r="D2227" s="68" t="str">
        <f t="shared" si="2"/>
        <v/>
      </c>
      <c r="E2227" s="65" t="str">
        <f>IF($B2227="","",VLOOKUP(MONTH(C2227),Parameters!$F$2:$G$13,2,0))</f>
        <v/>
      </c>
      <c r="F2227" s="69" t="str">
        <f>IF($B2227="","",PV-N(J2226))</f>
        <v/>
      </c>
      <c r="G2227" s="69" t="str">
        <f>IF($B2227="","",PMT(Rate,Nper,-PV,,Type))</f>
        <v/>
      </c>
      <c r="H2227" s="69" t="str">
        <f>IF($B2227="","",PPMT(Rate,ROWS($1:2215),Nper,-PV,,Type))</f>
        <v/>
      </c>
      <c r="I2227" s="69" t="str">
        <f>IF($B2227="","",IPMT(Rate,ROWS($1:2215),Nper,-PV,,Type))</f>
        <v/>
      </c>
      <c r="J2227" s="73" t="str">
        <f t="shared" ref="J2227:K2227" si="2217">IF($B2227="","",N(J2226)+N(H2227))</f>
        <v/>
      </c>
      <c r="K2227" s="74" t="str">
        <f t="shared" si="2217"/>
        <v/>
      </c>
      <c r="L2227" s="69" t="str">
        <f>IF($B2227="","",PV-J2227)</f>
        <v/>
      </c>
      <c r="M2227" s="71" t="str">
        <f>IF($B2227="","",J2227/PV)</f>
        <v/>
      </c>
      <c r="N2227" s="72" t="str">
        <f t="shared" si="4"/>
        <v/>
      </c>
    </row>
    <row r="2228" ht="14.25" customHeight="1">
      <c r="B2228" s="66" t="str">
        <f>IF(ROWS($1:2216)&lt;=Nper,ROWS($1:2216),"")</f>
        <v/>
      </c>
      <c r="C2228" s="67" t="str">
        <f>IF($B2228="","",IF($E$7="Weekly",Start_Date+7*(ROWS($1:2216)-1),EDATE(Start_Date,VLOOKUP(IF(ASTemp!$E$7="","Monthly",ASTemp!$E$7),Parameters!$B$3:$D$6,3,0)*(ROWS($1:2216)-1))))</f>
        <v/>
      </c>
      <c r="D2228" s="68" t="str">
        <f t="shared" si="2"/>
        <v/>
      </c>
      <c r="E2228" s="65" t="str">
        <f>IF($B2228="","",VLOOKUP(MONTH(C2228),Parameters!$F$2:$G$13,2,0))</f>
        <v/>
      </c>
      <c r="F2228" s="69" t="str">
        <f>IF($B2228="","",PV-N(J2227))</f>
        <v/>
      </c>
      <c r="G2228" s="69" t="str">
        <f>IF($B2228="","",PMT(Rate,Nper,-PV,,Type))</f>
        <v/>
      </c>
      <c r="H2228" s="69" t="str">
        <f>IF($B2228="","",PPMT(Rate,ROWS($1:2216),Nper,-PV,,Type))</f>
        <v/>
      </c>
      <c r="I2228" s="69" t="str">
        <f>IF($B2228="","",IPMT(Rate,ROWS($1:2216),Nper,-PV,,Type))</f>
        <v/>
      </c>
      <c r="J2228" s="73" t="str">
        <f t="shared" ref="J2228:K2228" si="2218">IF($B2228="","",N(J2227)+N(H2228))</f>
        <v/>
      </c>
      <c r="K2228" s="74" t="str">
        <f t="shared" si="2218"/>
        <v/>
      </c>
      <c r="L2228" s="69" t="str">
        <f>IF($B2228="","",PV-J2228)</f>
        <v/>
      </c>
      <c r="M2228" s="71" t="str">
        <f>IF($B2228="","",J2228/PV)</f>
        <v/>
      </c>
      <c r="N2228" s="72" t="str">
        <f t="shared" si="4"/>
        <v/>
      </c>
    </row>
    <row r="2229" ht="14.25" customHeight="1">
      <c r="B2229" s="66" t="str">
        <f>IF(ROWS($1:2217)&lt;=Nper,ROWS($1:2217),"")</f>
        <v/>
      </c>
      <c r="C2229" s="67" t="str">
        <f>IF($B2229="","",IF($E$7="Weekly",Start_Date+7*(ROWS($1:2217)-1),EDATE(Start_Date,VLOOKUP(IF(ASTemp!$E$7="","Monthly",ASTemp!$E$7),Parameters!$B$3:$D$6,3,0)*(ROWS($1:2217)-1))))</f>
        <v/>
      </c>
      <c r="D2229" s="68" t="str">
        <f t="shared" si="2"/>
        <v/>
      </c>
      <c r="E2229" s="65" t="str">
        <f>IF($B2229="","",VLOOKUP(MONTH(C2229),Parameters!$F$2:$G$13,2,0))</f>
        <v/>
      </c>
      <c r="F2229" s="69" t="str">
        <f>IF($B2229="","",PV-N(J2228))</f>
        <v/>
      </c>
      <c r="G2229" s="69" t="str">
        <f>IF($B2229="","",PMT(Rate,Nper,-PV,,Type))</f>
        <v/>
      </c>
      <c r="H2229" s="69" t="str">
        <f>IF($B2229="","",PPMT(Rate,ROWS($1:2217),Nper,-PV,,Type))</f>
        <v/>
      </c>
      <c r="I2229" s="69" t="str">
        <f>IF($B2229="","",IPMT(Rate,ROWS($1:2217),Nper,-PV,,Type))</f>
        <v/>
      </c>
      <c r="J2229" s="73" t="str">
        <f t="shared" ref="J2229:K2229" si="2219">IF($B2229="","",N(J2228)+N(H2229))</f>
        <v/>
      </c>
      <c r="K2229" s="74" t="str">
        <f t="shared" si="2219"/>
        <v/>
      </c>
      <c r="L2229" s="69" t="str">
        <f>IF($B2229="","",PV-J2229)</f>
        <v/>
      </c>
      <c r="M2229" s="71" t="str">
        <f>IF($B2229="","",J2229/PV)</f>
        <v/>
      </c>
      <c r="N2229" s="72" t="str">
        <f t="shared" si="4"/>
        <v/>
      </c>
    </row>
    <row r="2230" ht="14.25" customHeight="1">
      <c r="B2230" s="66" t="str">
        <f>IF(ROWS($1:2218)&lt;=Nper,ROWS($1:2218),"")</f>
        <v/>
      </c>
      <c r="C2230" s="67" t="str">
        <f>IF($B2230="","",IF($E$7="Weekly",Start_Date+7*(ROWS($1:2218)-1),EDATE(Start_Date,VLOOKUP(IF(ASTemp!$E$7="","Monthly",ASTemp!$E$7),Parameters!$B$3:$D$6,3,0)*(ROWS($1:2218)-1))))</f>
        <v/>
      </c>
      <c r="D2230" s="68" t="str">
        <f t="shared" si="2"/>
        <v/>
      </c>
      <c r="E2230" s="65" t="str">
        <f>IF($B2230="","",VLOOKUP(MONTH(C2230),Parameters!$F$2:$G$13,2,0))</f>
        <v/>
      </c>
      <c r="F2230" s="69" t="str">
        <f>IF($B2230="","",PV-N(J2229))</f>
        <v/>
      </c>
      <c r="G2230" s="69" t="str">
        <f>IF($B2230="","",PMT(Rate,Nper,-PV,,Type))</f>
        <v/>
      </c>
      <c r="H2230" s="69" t="str">
        <f>IF($B2230="","",PPMT(Rate,ROWS($1:2218),Nper,-PV,,Type))</f>
        <v/>
      </c>
      <c r="I2230" s="69" t="str">
        <f>IF($B2230="","",IPMT(Rate,ROWS($1:2218),Nper,-PV,,Type))</f>
        <v/>
      </c>
      <c r="J2230" s="73" t="str">
        <f t="shared" ref="J2230:K2230" si="2220">IF($B2230="","",N(J2229)+N(H2230))</f>
        <v/>
      </c>
      <c r="K2230" s="74" t="str">
        <f t="shared" si="2220"/>
        <v/>
      </c>
      <c r="L2230" s="69" t="str">
        <f>IF($B2230="","",PV-J2230)</f>
        <v/>
      </c>
      <c r="M2230" s="71" t="str">
        <f>IF($B2230="","",J2230/PV)</f>
        <v/>
      </c>
      <c r="N2230" s="72" t="str">
        <f t="shared" si="4"/>
        <v/>
      </c>
    </row>
    <row r="2231" ht="14.25" customHeight="1">
      <c r="B2231" s="66" t="str">
        <f>IF(ROWS($1:2219)&lt;=Nper,ROWS($1:2219),"")</f>
        <v/>
      </c>
      <c r="C2231" s="67" t="str">
        <f>IF($B2231="","",IF($E$7="Weekly",Start_Date+7*(ROWS($1:2219)-1),EDATE(Start_Date,VLOOKUP(IF(ASTemp!$E$7="","Monthly",ASTemp!$E$7),Parameters!$B$3:$D$6,3,0)*(ROWS($1:2219)-1))))</f>
        <v/>
      </c>
      <c r="D2231" s="68" t="str">
        <f t="shared" si="2"/>
        <v/>
      </c>
      <c r="E2231" s="65" t="str">
        <f>IF($B2231="","",VLOOKUP(MONTH(C2231),Parameters!$F$2:$G$13,2,0))</f>
        <v/>
      </c>
      <c r="F2231" s="69" t="str">
        <f>IF($B2231="","",PV-N(J2230))</f>
        <v/>
      </c>
      <c r="G2231" s="69" t="str">
        <f>IF($B2231="","",PMT(Rate,Nper,-PV,,Type))</f>
        <v/>
      </c>
      <c r="H2231" s="69" t="str">
        <f>IF($B2231="","",PPMT(Rate,ROWS($1:2219),Nper,-PV,,Type))</f>
        <v/>
      </c>
      <c r="I2231" s="69" t="str">
        <f>IF($B2231="","",IPMT(Rate,ROWS($1:2219),Nper,-PV,,Type))</f>
        <v/>
      </c>
      <c r="J2231" s="73" t="str">
        <f t="shared" ref="J2231:K2231" si="2221">IF($B2231="","",N(J2230)+N(H2231))</f>
        <v/>
      </c>
      <c r="K2231" s="74" t="str">
        <f t="shared" si="2221"/>
        <v/>
      </c>
      <c r="L2231" s="69" t="str">
        <f>IF($B2231="","",PV-J2231)</f>
        <v/>
      </c>
      <c r="M2231" s="71" t="str">
        <f>IF($B2231="","",J2231/PV)</f>
        <v/>
      </c>
      <c r="N2231" s="72" t="str">
        <f t="shared" si="4"/>
        <v/>
      </c>
    </row>
    <row r="2232" ht="14.25" customHeight="1">
      <c r="B2232" s="66" t="str">
        <f>IF(ROWS($1:2220)&lt;=Nper,ROWS($1:2220),"")</f>
        <v/>
      </c>
      <c r="C2232" s="67" t="str">
        <f>IF($B2232="","",IF($E$7="Weekly",Start_Date+7*(ROWS($1:2220)-1),EDATE(Start_Date,VLOOKUP(IF(ASTemp!$E$7="","Monthly",ASTemp!$E$7),Parameters!$B$3:$D$6,3,0)*(ROWS($1:2220)-1))))</f>
        <v/>
      </c>
      <c r="D2232" s="68" t="str">
        <f t="shared" si="2"/>
        <v/>
      </c>
      <c r="E2232" s="65" t="str">
        <f>IF($B2232="","",VLOOKUP(MONTH(C2232),Parameters!$F$2:$G$13,2,0))</f>
        <v/>
      </c>
      <c r="F2232" s="69" t="str">
        <f>IF($B2232="","",PV-N(J2231))</f>
        <v/>
      </c>
      <c r="G2232" s="69" t="str">
        <f>IF($B2232="","",PMT(Rate,Nper,-PV,,Type))</f>
        <v/>
      </c>
      <c r="H2232" s="69" t="str">
        <f>IF($B2232="","",PPMT(Rate,ROWS($1:2220),Nper,-PV,,Type))</f>
        <v/>
      </c>
      <c r="I2232" s="69" t="str">
        <f>IF($B2232="","",IPMT(Rate,ROWS($1:2220),Nper,-PV,,Type))</f>
        <v/>
      </c>
      <c r="J2232" s="73" t="str">
        <f t="shared" ref="J2232:K2232" si="2222">IF($B2232="","",N(J2231)+N(H2232))</f>
        <v/>
      </c>
      <c r="K2232" s="74" t="str">
        <f t="shared" si="2222"/>
        <v/>
      </c>
      <c r="L2232" s="69" t="str">
        <f>IF($B2232="","",PV-J2232)</f>
        <v/>
      </c>
      <c r="M2232" s="71" t="str">
        <f>IF($B2232="","",J2232/PV)</f>
        <v/>
      </c>
      <c r="N2232" s="72" t="str">
        <f t="shared" si="4"/>
        <v/>
      </c>
    </row>
    <row r="2233" ht="14.25" customHeight="1">
      <c r="B2233" s="66" t="str">
        <f>IF(ROWS($1:2221)&lt;=Nper,ROWS($1:2221),"")</f>
        <v/>
      </c>
      <c r="C2233" s="67" t="str">
        <f>IF($B2233="","",IF($E$7="Weekly",Start_Date+7*(ROWS($1:2221)-1),EDATE(Start_Date,VLOOKUP(IF(ASTemp!$E$7="","Monthly",ASTemp!$E$7),Parameters!$B$3:$D$6,3,0)*(ROWS($1:2221)-1))))</f>
        <v/>
      </c>
      <c r="D2233" s="68" t="str">
        <f t="shared" si="2"/>
        <v/>
      </c>
      <c r="E2233" s="65" t="str">
        <f>IF($B2233="","",VLOOKUP(MONTH(C2233),Parameters!$F$2:$G$13,2,0))</f>
        <v/>
      </c>
      <c r="F2233" s="69" t="str">
        <f>IF($B2233="","",PV-N(J2232))</f>
        <v/>
      </c>
      <c r="G2233" s="69" t="str">
        <f>IF($B2233="","",PMT(Rate,Nper,-PV,,Type))</f>
        <v/>
      </c>
      <c r="H2233" s="69" t="str">
        <f>IF($B2233="","",PPMT(Rate,ROWS($1:2221),Nper,-PV,,Type))</f>
        <v/>
      </c>
      <c r="I2233" s="69" t="str">
        <f>IF($B2233="","",IPMT(Rate,ROWS($1:2221),Nper,-PV,,Type))</f>
        <v/>
      </c>
      <c r="J2233" s="73" t="str">
        <f t="shared" ref="J2233:K2233" si="2223">IF($B2233="","",N(J2232)+N(H2233))</f>
        <v/>
      </c>
      <c r="K2233" s="74" t="str">
        <f t="shared" si="2223"/>
        <v/>
      </c>
      <c r="L2233" s="69" t="str">
        <f>IF($B2233="","",PV-J2233)</f>
        <v/>
      </c>
      <c r="M2233" s="71" t="str">
        <f>IF($B2233="","",J2233/PV)</f>
        <v/>
      </c>
      <c r="N2233" s="72" t="str">
        <f t="shared" si="4"/>
        <v/>
      </c>
    </row>
    <row r="2234" ht="14.25" customHeight="1">
      <c r="B2234" s="66" t="str">
        <f>IF(ROWS($1:2222)&lt;=Nper,ROWS($1:2222),"")</f>
        <v/>
      </c>
      <c r="C2234" s="67" t="str">
        <f>IF($B2234="","",IF($E$7="Weekly",Start_Date+7*(ROWS($1:2222)-1),EDATE(Start_Date,VLOOKUP(IF(ASTemp!$E$7="","Monthly",ASTemp!$E$7),Parameters!$B$3:$D$6,3,0)*(ROWS($1:2222)-1))))</f>
        <v/>
      </c>
      <c r="D2234" s="68" t="str">
        <f t="shared" si="2"/>
        <v/>
      </c>
      <c r="E2234" s="65" t="str">
        <f>IF($B2234="","",VLOOKUP(MONTH(C2234),Parameters!$F$2:$G$13,2,0))</f>
        <v/>
      </c>
      <c r="F2234" s="69" t="str">
        <f>IF($B2234="","",PV-N(J2233))</f>
        <v/>
      </c>
      <c r="G2234" s="69" t="str">
        <f>IF($B2234="","",PMT(Rate,Nper,-PV,,Type))</f>
        <v/>
      </c>
      <c r="H2234" s="69" t="str">
        <f>IF($B2234="","",PPMT(Rate,ROWS($1:2222),Nper,-PV,,Type))</f>
        <v/>
      </c>
      <c r="I2234" s="69" t="str">
        <f>IF($B2234="","",IPMT(Rate,ROWS($1:2222),Nper,-PV,,Type))</f>
        <v/>
      </c>
      <c r="J2234" s="73" t="str">
        <f t="shared" ref="J2234:K2234" si="2224">IF($B2234="","",N(J2233)+N(H2234))</f>
        <v/>
      </c>
      <c r="K2234" s="74" t="str">
        <f t="shared" si="2224"/>
        <v/>
      </c>
      <c r="L2234" s="69" t="str">
        <f>IF($B2234="","",PV-J2234)</f>
        <v/>
      </c>
      <c r="M2234" s="71" t="str">
        <f>IF($B2234="","",J2234/PV)</f>
        <v/>
      </c>
      <c r="N2234" s="72" t="str">
        <f t="shared" si="4"/>
        <v/>
      </c>
    </row>
    <row r="2235" ht="14.25" customHeight="1">
      <c r="B2235" s="66" t="str">
        <f>IF(ROWS($1:2223)&lt;=Nper,ROWS($1:2223),"")</f>
        <v/>
      </c>
      <c r="C2235" s="67" t="str">
        <f>IF($B2235="","",IF($E$7="Weekly",Start_Date+7*(ROWS($1:2223)-1),EDATE(Start_Date,VLOOKUP(IF(ASTemp!$E$7="","Monthly",ASTemp!$E$7),Parameters!$B$3:$D$6,3,0)*(ROWS($1:2223)-1))))</f>
        <v/>
      </c>
      <c r="D2235" s="68" t="str">
        <f t="shared" si="2"/>
        <v/>
      </c>
      <c r="E2235" s="65" t="str">
        <f>IF($B2235="","",VLOOKUP(MONTH(C2235),Parameters!$F$2:$G$13,2,0))</f>
        <v/>
      </c>
      <c r="F2235" s="69" t="str">
        <f>IF($B2235="","",PV-N(J2234))</f>
        <v/>
      </c>
      <c r="G2235" s="69" t="str">
        <f>IF($B2235="","",PMT(Rate,Nper,-PV,,Type))</f>
        <v/>
      </c>
      <c r="H2235" s="69" t="str">
        <f>IF($B2235="","",PPMT(Rate,ROWS($1:2223),Nper,-PV,,Type))</f>
        <v/>
      </c>
      <c r="I2235" s="69" t="str">
        <f>IF($B2235="","",IPMT(Rate,ROWS($1:2223),Nper,-PV,,Type))</f>
        <v/>
      </c>
      <c r="J2235" s="73" t="str">
        <f t="shared" ref="J2235:K2235" si="2225">IF($B2235="","",N(J2234)+N(H2235))</f>
        <v/>
      </c>
      <c r="K2235" s="74" t="str">
        <f t="shared" si="2225"/>
        <v/>
      </c>
      <c r="L2235" s="69" t="str">
        <f>IF($B2235="","",PV-J2235)</f>
        <v/>
      </c>
      <c r="M2235" s="71" t="str">
        <f>IF($B2235="","",J2235/PV)</f>
        <v/>
      </c>
      <c r="N2235" s="72" t="str">
        <f t="shared" si="4"/>
        <v/>
      </c>
    </row>
    <row r="2236" ht="14.25" customHeight="1">
      <c r="B2236" s="66" t="str">
        <f>IF(ROWS($1:2224)&lt;=Nper,ROWS($1:2224),"")</f>
        <v/>
      </c>
      <c r="C2236" s="67" t="str">
        <f>IF($B2236="","",IF($E$7="Weekly",Start_Date+7*(ROWS($1:2224)-1),EDATE(Start_Date,VLOOKUP(IF(ASTemp!$E$7="","Monthly",ASTemp!$E$7),Parameters!$B$3:$D$6,3,0)*(ROWS($1:2224)-1))))</f>
        <v/>
      </c>
      <c r="D2236" s="68" t="str">
        <f t="shared" si="2"/>
        <v/>
      </c>
      <c r="E2236" s="65" t="str">
        <f>IF($B2236="","",VLOOKUP(MONTH(C2236),Parameters!$F$2:$G$13,2,0))</f>
        <v/>
      </c>
      <c r="F2236" s="69" t="str">
        <f>IF($B2236="","",PV-N(J2235))</f>
        <v/>
      </c>
      <c r="G2236" s="69" t="str">
        <f>IF($B2236="","",PMT(Rate,Nper,-PV,,Type))</f>
        <v/>
      </c>
      <c r="H2236" s="69" t="str">
        <f>IF($B2236="","",PPMT(Rate,ROWS($1:2224),Nper,-PV,,Type))</f>
        <v/>
      </c>
      <c r="I2236" s="69" t="str">
        <f>IF($B2236="","",IPMT(Rate,ROWS($1:2224),Nper,-PV,,Type))</f>
        <v/>
      </c>
      <c r="J2236" s="73" t="str">
        <f t="shared" ref="J2236:K2236" si="2226">IF($B2236="","",N(J2235)+N(H2236))</f>
        <v/>
      </c>
      <c r="K2236" s="74" t="str">
        <f t="shared" si="2226"/>
        <v/>
      </c>
      <c r="L2236" s="69" t="str">
        <f>IF($B2236="","",PV-J2236)</f>
        <v/>
      </c>
      <c r="M2236" s="71" t="str">
        <f>IF($B2236="","",J2236/PV)</f>
        <v/>
      </c>
      <c r="N2236" s="72" t="str">
        <f t="shared" si="4"/>
        <v/>
      </c>
    </row>
    <row r="2237" ht="14.25" customHeight="1">
      <c r="B2237" s="66" t="str">
        <f>IF(ROWS($1:2225)&lt;=Nper,ROWS($1:2225),"")</f>
        <v/>
      </c>
      <c r="C2237" s="67" t="str">
        <f>IF($B2237="","",IF($E$7="Weekly",Start_Date+7*(ROWS($1:2225)-1),EDATE(Start_Date,VLOOKUP(IF(ASTemp!$E$7="","Monthly",ASTemp!$E$7),Parameters!$B$3:$D$6,3,0)*(ROWS($1:2225)-1))))</f>
        <v/>
      </c>
      <c r="D2237" s="68" t="str">
        <f t="shared" si="2"/>
        <v/>
      </c>
      <c r="E2237" s="65" t="str">
        <f>IF($B2237="","",VLOOKUP(MONTH(C2237),Parameters!$F$2:$G$13,2,0))</f>
        <v/>
      </c>
      <c r="F2237" s="69" t="str">
        <f>IF($B2237="","",PV-N(J2236))</f>
        <v/>
      </c>
      <c r="G2237" s="69" t="str">
        <f>IF($B2237="","",PMT(Rate,Nper,-PV,,Type))</f>
        <v/>
      </c>
      <c r="H2237" s="69" t="str">
        <f>IF($B2237="","",PPMT(Rate,ROWS($1:2225),Nper,-PV,,Type))</f>
        <v/>
      </c>
      <c r="I2237" s="69" t="str">
        <f>IF($B2237="","",IPMT(Rate,ROWS($1:2225),Nper,-PV,,Type))</f>
        <v/>
      </c>
      <c r="J2237" s="73" t="str">
        <f t="shared" ref="J2237:K2237" si="2227">IF($B2237="","",N(J2236)+N(H2237))</f>
        <v/>
      </c>
      <c r="K2237" s="74" t="str">
        <f t="shared" si="2227"/>
        <v/>
      </c>
      <c r="L2237" s="69" t="str">
        <f>IF($B2237="","",PV-J2237)</f>
        <v/>
      </c>
      <c r="M2237" s="71" t="str">
        <f>IF($B2237="","",J2237/PV)</f>
        <v/>
      </c>
      <c r="N2237" s="72" t="str">
        <f t="shared" si="4"/>
        <v/>
      </c>
    </row>
    <row r="2238" ht="14.25" customHeight="1">
      <c r="B2238" s="66" t="str">
        <f>IF(ROWS($1:2226)&lt;=Nper,ROWS($1:2226),"")</f>
        <v/>
      </c>
      <c r="C2238" s="67" t="str">
        <f>IF($B2238="","",IF($E$7="Weekly",Start_Date+7*(ROWS($1:2226)-1),EDATE(Start_Date,VLOOKUP(IF(ASTemp!$E$7="","Monthly",ASTemp!$E$7),Parameters!$B$3:$D$6,3,0)*(ROWS($1:2226)-1))))</f>
        <v/>
      </c>
      <c r="D2238" s="68" t="str">
        <f t="shared" si="2"/>
        <v/>
      </c>
      <c r="E2238" s="65" t="str">
        <f>IF($B2238="","",VLOOKUP(MONTH(C2238),Parameters!$F$2:$G$13,2,0))</f>
        <v/>
      </c>
      <c r="F2238" s="69" t="str">
        <f>IF($B2238="","",PV-N(J2237))</f>
        <v/>
      </c>
      <c r="G2238" s="69" t="str">
        <f>IF($B2238="","",PMT(Rate,Nper,-PV,,Type))</f>
        <v/>
      </c>
      <c r="H2238" s="69" t="str">
        <f>IF($B2238="","",PPMT(Rate,ROWS($1:2226),Nper,-PV,,Type))</f>
        <v/>
      </c>
      <c r="I2238" s="69" t="str">
        <f>IF($B2238="","",IPMT(Rate,ROWS($1:2226),Nper,-PV,,Type))</f>
        <v/>
      </c>
      <c r="J2238" s="73" t="str">
        <f t="shared" ref="J2238:K2238" si="2228">IF($B2238="","",N(J2237)+N(H2238))</f>
        <v/>
      </c>
      <c r="K2238" s="74" t="str">
        <f t="shared" si="2228"/>
        <v/>
      </c>
      <c r="L2238" s="69" t="str">
        <f>IF($B2238="","",PV-J2238)</f>
        <v/>
      </c>
      <c r="M2238" s="71" t="str">
        <f>IF($B2238="","",J2238/PV)</f>
        <v/>
      </c>
      <c r="N2238" s="72" t="str">
        <f t="shared" si="4"/>
        <v/>
      </c>
    </row>
    <row r="2239" ht="14.25" customHeight="1">
      <c r="B2239" s="66" t="str">
        <f>IF(ROWS($1:2227)&lt;=Nper,ROWS($1:2227),"")</f>
        <v/>
      </c>
      <c r="C2239" s="67" t="str">
        <f>IF($B2239="","",IF($E$7="Weekly",Start_Date+7*(ROWS($1:2227)-1),EDATE(Start_Date,VLOOKUP(IF(ASTemp!$E$7="","Monthly",ASTemp!$E$7),Parameters!$B$3:$D$6,3,0)*(ROWS($1:2227)-1))))</f>
        <v/>
      </c>
      <c r="D2239" s="68" t="str">
        <f t="shared" si="2"/>
        <v/>
      </c>
      <c r="E2239" s="65" t="str">
        <f>IF($B2239="","",VLOOKUP(MONTH(C2239),Parameters!$F$2:$G$13,2,0))</f>
        <v/>
      </c>
      <c r="F2239" s="69" t="str">
        <f>IF($B2239="","",PV-N(J2238))</f>
        <v/>
      </c>
      <c r="G2239" s="69" t="str">
        <f>IF($B2239="","",PMT(Rate,Nper,-PV,,Type))</f>
        <v/>
      </c>
      <c r="H2239" s="69" t="str">
        <f>IF($B2239="","",PPMT(Rate,ROWS($1:2227),Nper,-PV,,Type))</f>
        <v/>
      </c>
      <c r="I2239" s="69" t="str">
        <f>IF($B2239="","",IPMT(Rate,ROWS($1:2227),Nper,-PV,,Type))</f>
        <v/>
      </c>
      <c r="J2239" s="73" t="str">
        <f t="shared" ref="J2239:K2239" si="2229">IF($B2239="","",N(J2238)+N(H2239))</f>
        <v/>
      </c>
      <c r="K2239" s="74" t="str">
        <f t="shared" si="2229"/>
        <v/>
      </c>
      <c r="L2239" s="69" t="str">
        <f>IF($B2239="","",PV-J2239)</f>
        <v/>
      </c>
      <c r="M2239" s="71" t="str">
        <f>IF($B2239="","",J2239/PV)</f>
        <v/>
      </c>
      <c r="N2239" s="72" t="str">
        <f t="shared" si="4"/>
        <v/>
      </c>
    </row>
    <row r="2240" ht="14.25" customHeight="1">
      <c r="B2240" s="66" t="str">
        <f>IF(ROWS($1:2228)&lt;=Nper,ROWS($1:2228),"")</f>
        <v/>
      </c>
      <c r="C2240" s="67" t="str">
        <f>IF($B2240="","",IF($E$7="Weekly",Start_Date+7*(ROWS($1:2228)-1),EDATE(Start_Date,VLOOKUP(IF(ASTemp!$E$7="","Monthly",ASTemp!$E$7),Parameters!$B$3:$D$6,3,0)*(ROWS($1:2228)-1))))</f>
        <v/>
      </c>
      <c r="D2240" s="68" t="str">
        <f t="shared" si="2"/>
        <v/>
      </c>
      <c r="E2240" s="65" t="str">
        <f>IF($B2240="","",VLOOKUP(MONTH(C2240),Parameters!$F$2:$G$13,2,0))</f>
        <v/>
      </c>
      <c r="F2240" s="69" t="str">
        <f>IF($B2240="","",PV-N(J2239))</f>
        <v/>
      </c>
      <c r="G2240" s="69" t="str">
        <f>IF($B2240="","",PMT(Rate,Nper,-PV,,Type))</f>
        <v/>
      </c>
      <c r="H2240" s="69" t="str">
        <f>IF($B2240="","",PPMT(Rate,ROWS($1:2228),Nper,-PV,,Type))</f>
        <v/>
      </c>
      <c r="I2240" s="69" t="str">
        <f>IF($B2240="","",IPMT(Rate,ROWS($1:2228),Nper,-PV,,Type))</f>
        <v/>
      </c>
      <c r="J2240" s="73" t="str">
        <f t="shared" ref="J2240:K2240" si="2230">IF($B2240="","",N(J2239)+N(H2240))</f>
        <v/>
      </c>
      <c r="K2240" s="74" t="str">
        <f t="shared" si="2230"/>
        <v/>
      </c>
      <c r="L2240" s="69" t="str">
        <f>IF($B2240="","",PV-J2240)</f>
        <v/>
      </c>
      <c r="M2240" s="71" t="str">
        <f>IF($B2240="","",J2240/PV)</f>
        <v/>
      </c>
      <c r="N2240" s="72" t="str">
        <f t="shared" si="4"/>
        <v/>
      </c>
    </row>
    <row r="2241" ht="14.25" customHeight="1">
      <c r="B2241" s="66" t="str">
        <f>IF(ROWS($1:2229)&lt;=Nper,ROWS($1:2229),"")</f>
        <v/>
      </c>
      <c r="C2241" s="67" t="str">
        <f>IF($B2241="","",IF($E$7="Weekly",Start_Date+7*(ROWS($1:2229)-1),EDATE(Start_Date,VLOOKUP(IF(ASTemp!$E$7="","Monthly",ASTemp!$E$7),Parameters!$B$3:$D$6,3,0)*(ROWS($1:2229)-1))))</f>
        <v/>
      </c>
      <c r="D2241" s="68" t="str">
        <f t="shared" si="2"/>
        <v/>
      </c>
      <c r="E2241" s="65" t="str">
        <f>IF($B2241="","",VLOOKUP(MONTH(C2241),Parameters!$F$2:$G$13,2,0))</f>
        <v/>
      </c>
      <c r="F2241" s="69" t="str">
        <f>IF($B2241="","",PV-N(J2240))</f>
        <v/>
      </c>
      <c r="G2241" s="69" t="str">
        <f>IF($B2241="","",PMT(Rate,Nper,-PV,,Type))</f>
        <v/>
      </c>
      <c r="H2241" s="69" t="str">
        <f>IF($B2241="","",PPMT(Rate,ROWS($1:2229),Nper,-PV,,Type))</f>
        <v/>
      </c>
      <c r="I2241" s="69" t="str">
        <f>IF($B2241="","",IPMT(Rate,ROWS($1:2229),Nper,-PV,,Type))</f>
        <v/>
      </c>
      <c r="J2241" s="73" t="str">
        <f t="shared" ref="J2241:K2241" si="2231">IF($B2241="","",N(J2240)+N(H2241))</f>
        <v/>
      </c>
      <c r="K2241" s="74" t="str">
        <f t="shared" si="2231"/>
        <v/>
      </c>
      <c r="L2241" s="69" t="str">
        <f>IF($B2241="","",PV-J2241)</f>
        <v/>
      </c>
      <c r="M2241" s="71" t="str">
        <f>IF($B2241="","",J2241/PV)</f>
        <v/>
      </c>
      <c r="N2241" s="72" t="str">
        <f t="shared" si="4"/>
        <v/>
      </c>
    </row>
    <row r="2242" ht="14.25" customHeight="1">
      <c r="B2242" s="66" t="str">
        <f>IF(ROWS($1:2230)&lt;=Nper,ROWS($1:2230),"")</f>
        <v/>
      </c>
      <c r="C2242" s="67" t="str">
        <f>IF($B2242="","",IF($E$7="Weekly",Start_Date+7*(ROWS($1:2230)-1),EDATE(Start_Date,VLOOKUP(IF(ASTemp!$E$7="","Monthly",ASTemp!$E$7),Parameters!$B$3:$D$6,3,0)*(ROWS($1:2230)-1))))</f>
        <v/>
      </c>
      <c r="D2242" s="68" t="str">
        <f t="shared" si="2"/>
        <v/>
      </c>
      <c r="E2242" s="65" t="str">
        <f>IF($B2242="","",VLOOKUP(MONTH(C2242),Parameters!$F$2:$G$13,2,0))</f>
        <v/>
      </c>
      <c r="F2242" s="69" t="str">
        <f>IF($B2242="","",PV-N(J2241))</f>
        <v/>
      </c>
      <c r="G2242" s="69" t="str">
        <f>IF($B2242="","",PMT(Rate,Nper,-PV,,Type))</f>
        <v/>
      </c>
      <c r="H2242" s="69" t="str">
        <f>IF($B2242="","",PPMT(Rate,ROWS($1:2230),Nper,-PV,,Type))</f>
        <v/>
      </c>
      <c r="I2242" s="69" t="str">
        <f>IF($B2242="","",IPMT(Rate,ROWS($1:2230),Nper,-PV,,Type))</f>
        <v/>
      </c>
      <c r="J2242" s="73" t="str">
        <f t="shared" ref="J2242:K2242" si="2232">IF($B2242="","",N(J2241)+N(H2242))</f>
        <v/>
      </c>
      <c r="K2242" s="74" t="str">
        <f t="shared" si="2232"/>
        <v/>
      </c>
      <c r="L2242" s="69" t="str">
        <f>IF($B2242="","",PV-J2242)</f>
        <v/>
      </c>
      <c r="M2242" s="71" t="str">
        <f>IF($B2242="","",J2242/PV)</f>
        <v/>
      </c>
      <c r="N2242" s="72" t="str">
        <f t="shared" si="4"/>
        <v/>
      </c>
    </row>
    <row r="2243" ht="14.25" customHeight="1">
      <c r="B2243" s="66" t="str">
        <f>IF(ROWS($1:2231)&lt;=Nper,ROWS($1:2231),"")</f>
        <v/>
      </c>
      <c r="C2243" s="67" t="str">
        <f>IF($B2243="","",IF($E$7="Weekly",Start_Date+7*(ROWS($1:2231)-1),EDATE(Start_Date,VLOOKUP(IF(ASTemp!$E$7="","Monthly",ASTemp!$E$7),Parameters!$B$3:$D$6,3,0)*(ROWS($1:2231)-1))))</f>
        <v/>
      </c>
      <c r="D2243" s="68" t="str">
        <f t="shared" si="2"/>
        <v/>
      </c>
      <c r="E2243" s="65" t="str">
        <f>IF($B2243="","",VLOOKUP(MONTH(C2243),Parameters!$F$2:$G$13,2,0))</f>
        <v/>
      </c>
      <c r="F2243" s="69" t="str">
        <f>IF($B2243="","",PV-N(J2242))</f>
        <v/>
      </c>
      <c r="G2243" s="69" t="str">
        <f>IF($B2243="","",PMT(Rate,Nper,-PV,,Type))</f>
        <v/>
      </c>
      <c r="H2243" s="69" t="str">
        <f>IF($B2243="","",PPMT(Rate,ROWS($1:2231),Nper,-PV,,Type))</f>
        <v/>
      </c>
      <c r="I2243" s="69" t="str">
        <f>IF($B2243="","",IPMT(Rate,ROWS($1:2231),Nper,-PV,,Type))</f>
        <v/>
      </c>
      <c r="J2243" s="73" t="str">
        <f t="shared" ref="J2243:K2243" si="2233">IF($B2243="","",N(J2242)+N(H2243))</f>
        <v/>
      </c>
      <c r="K2243" s="74" t="str">
        <f t="shared" si="2233"/>
        <v/>
      </c>
      <c r="L2243" s="69" t="str">
        <f>IF($B2243="","",PV-J2243)</f>
        <v/>
      </c>
      <c r="M2243" s="71" t="str">
        <f>IF($B2243="","",J2243/PV)</f>
        <v/>
      </c>
      <c r="N2243" s="72" t="str">
        <f t="shared" si="4"/>
        <v/>
      </c>
    </row>
    <row r="2244" ht="14.25" customHeight="1">
      <c r="B2244" s="66" t="str">
        <f>IF(ROWS($1:2232)&lt;=Nper,ROWS($1:2232),"")</f>
        <v/>
      </c>
      <c r="C2244" s="67" t="str">
        <f>IF($B2244="","",IF($E$7="Weekly",Start_Date+7*(ROWS($1:2232)-1),EDATE(Start_Date,VLOOKUP(IF(ASTemp!$E$7="","Monthly",ASTemp!$E$7),Parameters!$B$3:$D$6,3,0)*(ROWS($1:2232)-1))))</f>
        <v/>
      </c>
      <c r="D2244" s="68" t="str">
        <f t="shared" si="2"/>
        <v/>
      </c>
      <c r="E2244" s="65" t="str">
        <f>IF($B2244="","",VLOOKUP(MONTH(C2244),Parameters!$F$2:$G$13,2,0))</f>
        <v/>
      </c>
      <c r="F2244" s="69" t="str">
        <f>IF($B2244="","",PV-N(J2243))</f>
        <v/>
      </c>
      <c r="G2244" s="69" t="str">
        <f>IF($B2244="","",PMT(Rate,Nper,-PV,,Type))</f>
        <v/>
      </c>
      <c r="H2244" s="69" t="str">
        <f>IF($B2244="","",PPMT(Rate,ROWS($1:2232),Nper,-PV,,Type))</f>
        <v/>
      </c>
      <c r="I2244" s="69" t="str">
        <f>IF($B2244="","",IPMT(Rate,ROWS($1:2232),Nper,-PV,,Type))</f>
        <v/>
      </c>
      <c r="J2244" s="73" t="str">
        <f t="shared" ref="J2244:K2244" si="2234">IF($B2244="","",N(J2243)+N(H2244))</f>
        <v/>
      </c>
      <c r="K2244" s="74" t="str">
        <f t="shared" si="2234"/>
        <v/>
      </c>
      <c r="L2244" s="69" t="str">
        <f>IF($B2244="","",PV-J2244)</f>
        <v/>
      </c>
      <c r="M2244" s="71" t="str">
        <f>IF($B2244="","",J2244/PV)</f>
        <v/>
      </c>
      <c r="N2244" s="72" t="str">
        <f t="shared" si="4"/>
        <v/>
      </c>
    </row>
    <row r="2245" ht="14.25" customHeight="1">
      <c r="B2245" s="66" t="str">
        <f>IF(ROWS($1:2233)&lt;=Nper,ROWS($1:2233),"")</f>
        <v/>
      </c>
      <c r="C2245" s="67" t="str">
        <f>IF($B2245="","",IF($E$7="Weekly",Start_Date+7*(ROWS($1:2233)-1),EDATE(Start_Date,VLOOKUP(IF(ASTemp!$E$7="","Monthly",ASTemp!$E$7),Parameters!$B$3:$D$6,3,0)*(ROWS($1:2233)-1))))</f>
        <v/>
      </c>
      <c r="D2245" s="68" t="str">
        <f t="shared" si="2"/>
        <v/>
      </c>
      <c r="E2245" s="65" t="str">
        <f>IF($B2245="","",VLOOKUP(MONTH(C2245),Parameters!$F$2:$G$13,2,0))</f>
        <v/>
      </c>
      <c r="F2245" s="69" t="str">
        <f>IF($B2245="","",PV-N(J2244))</f>
        <v/>
      </c>
      <c r="G2245" s="69" t="str">
        <f>IF($B2245="","",PMT(Rate,Nper,-PV,,Type))</f>
        <v/>
      </c>
      <c r="H2245" s="69" t="str">
        <f>IF($B2245="","",PPMT(Rate,ROWS($1:2233),Nper,-PV,,Type))</f>
        <v/>
      </c>
      <c r="I2245" s="69" t="str">
        <f>IF($B2245="","",IPMT(Rate,ROWS($1:2233),Nper,-PV,,Type))</f>
        <v/>
      </c>
      <c r="J2245" s="73" t="str">
        <f t="shared" ref="J2245:K2245" si="2235">IF($B2245="","",N(J2244)+N(H2245))</f>
        <v/>
      </c>
      <c r="K2245" s="74" t="str">
        <f t="shared" si="2235"/>
        <v/>
      </c>
      <c r="L2245" s="69" t="str">
        <f>IF($B2245="","",PV-J2245)</f>
        <v/>
      </c>
      <c r="M2245" s="71" t="str">
        <f>IF($B2245="","",J2245/PV)</f>
        <v/>
      </c>
      <c r="N2245" s="72" t="str">
        <f t="shared" si="4"/>
        <v/>
      </c>
    </row>
    <row r="2246" ht="14.25" customHeight="1">
      <c r="B2246" s="66" t="str">
        <f>IF(ROWS($1:2234)&lt;=Nper,ROWS($1:2234),"")</f>
        <v/>
      </c>
      <c r="C2246" s="67" t="str">
        <f>IF($B2246="","",IF($E$7="Weekly",Start_Date+7*(ROWS($1:2234)-1),EDATE(Start_Date,VLOOKUP(IF(ASTemp!$E$7="","Monthly",ASTemp!$E$7),Parameters!$B$3:$D$6,3,0)*(ROWS($1:2234)-1))))</f>
        <v/>
      </c>
      <c r="D2246" s="68" t="str">
        <f t="shared" si="2"/>
        <v/>
      </c>
      <c r="E2246" s="65" t="str">
        <f>IF($B2246="","",VLOOKUP(MONTH(C2246),Parameters!$F$2:$G$13,2,0))</f>
        <v/>
      </c>
      <c r="F2246" s="69" t="str">
        <f>IF($B2246="","",PV-N(J2245))</f>
        <v/>
      </c>
      <c r="G2246" s="69" t="str">
        <f>IF($B2246="","",PMT(Rate,Nper,-PV,,Type))</f>
        <v/>
      </c>
      <c r="H2246" s="69" t="str">
        <f>IF($B2246="","",PPMT(Rate,ROWS($1:2234),Nper,-PV,,Type))</f>
        <v/>
      </c>
      <c r="I2246" s="69" t="str">
        <f>IF($B2246="","",IPMT(Rate,ROWS($1:2234),Nper,-PV,,Type))</f>
        <v/>
      </c>
      <c r="J2246" s="73" t="str">
        <f t="shared" ref="J2246:K2246" si="2236">IF($B2246="","",N(J2245)+N(H2246))</f>
        <v/>
      </c>
      <c r="K2246" s="74" t="str">
        <f t="shared" si="2236"/>
        <v/>
      </c>
      <c r="L2246" s="69" t="str">
        <f>IF($B2246="","",PV-J2246)</f>
        <v/>
      </c>
      <c r="M2246" s="71" t="str">
        <f>IF($B2246="","",J2246/PV)</f>
        <v/>
      </c>
      <c r="N2246" s="72" t="str">
        <f t="shared" si="4"/>
        <v/>
      </c>
    </row>
    <row r="2247" ht="14.25" customHeight="1">
      <c r="B2247" s="66" t="str">
        <f>IF(ROWS($1:2235)&lt;=Nper,ROWS($1:2235),"")</f>
        <v/>
      </c>
      <c r="C2247" s="67" t="str">
        <f>IF($B2247="","",IF($E$7="Weekly",Start_Date+7*(ROWS($1:2235)-1),EDATE(Start_Date,VLOOKUP(IF(ASTemp!$E$7="","Monthly",ASTemp!$E$7),Parameters!$B$3:$D$6,3,0)*(ROWS($1:2235)-1))))</f>
        <v/>
      </c>
      <c r="D2247" s="68" t="str">
        <f t="shared" si="2"/>
        <v/>
      </c>
      <c r="E2247" s="65" t="str">
        <f>IF($B2247="","",VLOOKUP(MONTH(C2247),Parameters!$F$2:$G$13,2,0))</f>
        <v/>
      </c>
      <c r="F2247" s="69" t="str">
        <f>IF($B2247="","",PV-N(J2246))</f>
        <v/>
      </c>
      <c r="G2247" s="69" t="str">
        <f>IF($B2247="","",PMT(Rate,Nper,-PV,,Type))</f>
        <v/>
      </c>
      <c r="H2247" s="69" t="str">
        <f>IF($B2247="","",PPMT(Rate,ROWS($1:2235),Nper,-PV,,Type))</f>
        <v/>
      </c>
      <c r="I2247" s="69" t="str">
        <f>IF($B2247="","",IPMT(Rate,ROWS($1:2235),Nper,-PV,,Type))</f>
        <v/>
      </c>
      <c r="J2247" s="73" t="str">
        <f t="shared" ref="J2247:K2247" si="2237">IF($B2247="","",N(J2246)+N(H2247))</f>
        <v/>
      </c>
      <c r="K2247" s="74" t="str">
        <f t="shared" si="2237"/>
        <v/>
      </c>
      <c r="L2247" s="69" t="str">
        <f>IF($B2247="","",PV-J2247)</f>
        <v/>
      </c>
      <c r="M2247" s="71" t="str">
        <f>IF($B2247="","",J2247/PV)</f>
        <v/>
      </c>
      <c r="N2247" s="72" t="str">
        <f t="shared" si="4"/>
        <v/>
      </c>
    </row>
    <row r="2248" ht="14.25" customHeight="1">
      <c r="B2248" s="66" t="str">
        <f>IF(ROWS($1:2236)&lt;=Nper,ROWS($1:2236),"")</f>
        <v/>
      </c>
      <c r="C2248" s="67" t="str">
        <f>IF($B2248="","",IF($E$7="Weekly",Start_Date+7*(ROWS($1:2236)-1),EDATE(Start_Date,VLOOKUP(IF(ASTemp!$E$7="","Monthly",ASTemp!$E$7),Parameters!$B$3:$D$6,3,0)*(ROWS($1:2236)-1))))</f>
        <v/>
      </c>
      <c r="D2248" s="68" t="str">
        <f t="shared" si="2"/>
        <v/>
      </c>
      <c r="E2248" s="65" t="str">
        <f>IF($B2248="","",VLOOKUP(MONTH(C2248),Parameters!$F$2:$G$13,2,0))</f>
        <v/>
      </c>
      <c r="F2248" s="69" t="str">
        <f>IF($B2248="","",PV-N(J2247))</f>
        <v/>
      </c>
      <c r="G2248" s="69" t="str">
        <f>IF($B2248="","",PMT(Rate,Nper,-PV,,Type))</f>
        <v/>
      </c>
      <c r="H2248" s="69" t="str">
        <f>IF($B2248="","",PPMT(Rate,ROWS($1:2236),Nper,-PV,,Type))</f>
        <v/>
      </c>
      <c r="I2248" s="69" t="str">
        <f>IF($B2248="","",IPMT(Rate,ROWS($1:2236),Nper,-PV,,Type))</f>
        <v/>
      </c>
      <c r="J2248" s="73" t="str">
        <f t="shared" ref="J2248:K2248" si="2238">IF($B2248="","",N(J2247)+N(H2248))</f>
        <v/>
      </c>
      <c r="K2248" s="74" t="str">
        <f t="shared" si="2238"/>
        <v/>
      </c>
      <c r="L2248" s="69" t="str">
        <f>IF($B2248="","",PV-J2248)</f>
        <v/>
      </c>
      <c r="M2248" s="71" t="str">
        <f>IF($B2248="","",J2248/PV)</f>
        <v/>
      </c>
      <c r="N2248" s="72" t="str">
        <f t="shared" si="4"/>
        <v/>
      </c>
    </row>
    <row r="2249" ht="14.25" customHeight="1">
      <c r="B2249" s="66" t="str">
        <f>IF(ROWS($1:2237)&lt;=Nper,ROWS($1:2237),"")</f>
        <v/>
      </c>
      <c r="C2249" s="67" t="str">
        <f>IF($B2249="","",IF($E$7="Weekly",Start_Date+7*(ROWS($1:2237)-1),EDATE(Start_Date,VLOOKUP(IF(ASTemp!$E$7="","Monthly",ASTemp!$E$7),Parameters!$B$3:$D$6,3,0)*(ROWS($1:2237)-1))))</f>
        <v/>
      </c>
      <c r="D2249" s="68" t="str">
        <f t="shared" si="2"/>
        <v/>
      </c>
      <c r="E2249" s="65" t="str">
        <f>IF($B2249="","",VLOOKUP(MONTH(C2249),Parameters!$F$2:$G$13,2,0))</f>
        <v/>
      </c>
      <c r="F2249" s="69" t="str">
        <f>IF($B2249="","",PV-N(J2248))</f>
        <v/>
      </c>
      <c r="G2249" s="69" t="str">
        <f>IF($B2249="","",PMT(Rate,Nper,-PV,,Type))</f>
        <v/>
      </c>
      <c r="H2249" s="69" t="str">
        <f>IF($B2249="","",PPMT(Rate,ROWS($1:2237),Nper,-PV,,Type))</f>
        <v/>
      </c>
      <c r="I2249" s="69" t="str">
        <f>IF($B2249="","",IPMT(Rate,ROWS($1:2237),Nper,-PV,,Type))</f>
        <v/>
      </c>
      <c r="J2249" s="73" t="str">
        <f t="shared" ref="J2249:K2249" si="2239">IF($B2249="","",N(J2248)+N(H2249))</f>
        <v/>
      </c>
      <c r="K2249" s="74" t="str">
        <f t="shared" si="2239"/>
        <v/>
      </c>
      <c r="L2249" s="69" t="str">
        <f>IF($B2249="","",PV-J2249)</f>
        <v/>
      </c>
      <c r="M2249" s="71" t="str">
        <f>IF($B2249="","",J2249/PV)</f>
        <v/>
      </c>
      <c r="N2249" s="72" t="str">
        <f t="shared" si="4"/>
        <v/>
      </c>
    </row>
    <row r="2250" ht="14.25" customHeight="1">
      <c r="B2250" s="66" t="str">
        <f>IF(ROWS($1:2238)&lt;=Nper,ROWS($1:2238),"")</f>
        <v/>
      </c>
      <c r="C2250" s="67" t="str">
        <f>IF($B2250="","",IF($E$7="Weekly",Start_Date+7*(ROWS($1:2238)-1),EDATE(Start_Date,VLOOKUP(IF(ASTemp!$E$7="","Monthly",ASTemp!$E$7),Parameters!$B$3:$D$6,3,0)*(ROWS($1:2238)-1))))</f>
        <v/>
      </c>
      <c r="D2250" s="68" t="str">
        <f t="shared" si="2"/>
        <v/>
      </c>
      <c r="E2250" s="65" t="str">
        <f>IF($B2250="","",VLOOKUP(MONTH(C2250),Parameters!$F$2:$G$13,2,0))</f>
        <v/>
      </c>
      <c r="F2250" s="69" t="str">
        <f>IF($B2250="","",PV-N(J2249))</f>
        <v/>
      </c>
      <c r="G2250" s="69" t="str">
        <f>IF($B2250="","",PMT(Rate,Nper,-PV,,Type))</f>
        <v/>
      </c>
      <c r="H2250" s="69" t="str">
        <f>IF($B2250="","",PPMT(Rate,ROWS($1:2238),Nper,-PV,,Type))</f>
        <v/>
      </c>
      <c r="I2250" s="69" t="str">
        <f>IF($B2250="","",IPMT(Rate,ROWS($1:2238),Nper,-PV,,Type))</f>
        <v/>
      </c>
      <c r="J2250" s="73" t="str">
        <f t="shared" ref="J2250:K2250" si="2240">IF($B2250="","",N(J2249)+N(H2250))</f>
        <v/>
      </c>
      <c r="K2250" s="74" t="str">
        <f t="shared" si="2240"/>
        <v/>
      </c>
      <c r="L2250" s="69" t="str">
        <f>IF($B2250="","",PV-J2250)</f>
        <v/>
      </c>
      <c r="M2250" s="71" t="str">
        <f>IF($B2250="","",J2250/PV)</f>
        <v/>
      </c>
      <c r="N2250" s="72" t="str">
        <f t="shared" si="4"/>
        <v/>
      </c>
    </row>
    <row r="2251" ht="14.25" customHeight="1">
      <c r="B2251" s="66" t="str">
        <f>IF(ROWS($1:2239)&lt;=Nper,ROWS($1:2239),"")</f>
        <v/>
      </c>
      <c r="C2251" s="67" t="str">
        <f>IF($B2251="","",IF($E$7="Weekly",Start_Date+7*(ROWS($1:2239)-1),EDATE(Start_Date,VLOOKUP(IF(ASTemp!$E$7="","Monthly",ASTemp!$E$7),Parameters!$B$3:$D$6,3,0)*(ROWS($1:2239)-1))))</f>
        <v/>
      </c>
      <c r="D2251" s="68" t="str">
        <f t="shared" si="2"/>
        <v/>
      </c>
      <c r="E2251" s="65" t="str">
        <f>IF($B2251="","",VLOOKUP(MONTH(C2251),Parameters!$F$2:$G$13,2,0))</f>
        <v/>
      </c>
      <c r="F2251" s="69" t="str">
        <f>IF($B2251="","",PV-N(J2250))</f>
        <v/>
      </c>
      <c r="G2251" s="69" t="str">
        <f>IF($B2251="","",PMT(Rate,Nper,-PV,,Type))</f>
        <v/>
      </c>
      <c r="H2251" s="69" t="str">
        <f>IF($B2251="","",PPMT(Rate,ROWS($1:2239),Nper,-PV,,Type))</f>
        <v/>
      </c>
      <c r="I2251" s="69" t="str">
        <f>IF($B2251="","",IPMT(Rate,ROWS($1:2239),Nper,-PV,,Type))</f>
        <v/>
      </c>
      <c r="J2251" s="73" t="str">
        <f t="shared" ref="J2251:K2251" si="2241">IF($B2251="","",N(J2250)+N(H2251))</f>
        <v/>
      </c>
      <c r="K2251" s="74" t="str">
        <f t="shared" si="2241"/>
        <v/>
      </c>
      <c r="L2251" s="69" t="str">
        <f>IF($B2251="","",PV-J2251)</f>
        <v/>
      </c>
      <c r="M2251" s="71" t="str">
        <f>IF($B2251="","",J2251/PV)</f>
        <v/>
      </c>
      <c r="N2251" s="72" t="str">
        <f t="shared" si="4"/>
        <v/>
      </c>
    </row>
    <row r="2252" ht="14.25" customHeight="1">
      <c r="B2252" s="66" t="str">
        <f>IF(ROWS($1:2240)&lt;=Nper,ROWS($1:2240),"")</f>
        <v/>
      </c>
      <c r="C2252" s="67" t="str">
        <f>IF($B2252="","",IF($E$7="Weekly",Start_Date+7*(ROWS($1:2240)-1),EDATE(Start_Date,VLOOKUP(IF(ASTemp!$E$7="","Monthly",ASTemp!$E$7),Parameters!$B$3:$D$6,3,0)*(ROWS($1:2240)-1))))</f>
        <v/>
      </c>
      <c r="D2252" s="68" t="str">
        <f t="shared" si="2"/>
        <v/>
      </c>
      <c r="E2252" s="65" t="str">
        <f>IF($B2252="","",VLOOKUP(MONTH(C2252),Parameters!$F$2:$G$13,2,0))</f>
        <v/>
      </c>
      <c r="F2252" s="69" t="str">
        <f>IF($B2252="","",PV-N(J2251))</f>
        <v/>
      </c>
      <c r="G2252" s="69" t="str">
        <f>IF($B2252="","",PMT(Rate,Nper,-PV,,Type))</f>
        <v/>
      </c>
      <c r="H2252" s="69" t="str">
        <f>IF($B2252="","",PPMT(Rate,ROWS($1:2240),Nper,-PV,,Type))</f>
        <v/>
      </c>
      <c r="I2252" s="69" t="str">
        <f>IF($B2252="","",IPMT(Rate,ROWS($1:2240),Nper,-PV,,Type))</f>
        <v/>
      </c>
      <c r="J2252" s="73" t="str">
        <f t="shared" ref="J2252:K2252" si="2242">IF($B2252="","",N(J2251)+N(H2252))</f>
        <v/>
      </c>
      <c r="K2252" s="74" t="str">
        <f t="shared" si="2242"/>
        <v/>
      </c>
      <c r="L2252" s="69" t="str">
        <f>IF($B2252="","",PV-J2252)</f>
        <v/>
      </c>
      <c r="M2252" s="71" t="str">
        <f>IF($B2252="","",J2252/PV)</f>
        <v/>
      </c>
      <c r="N2252" s="72" t="str">
        <f t="shared" si="4"/>
        <v/>
      </c>
    </row>
    <row r="2253" ht="14.25" customHeight="1">
      <c r="B2253" s="66" t="str">
        <f>IF(ROWS($1:2241)&lt;=Nper,ROWS($1:2241),"")</f>
        <v/>
      </c>
      <c r="C2253" s="67" t="str">
        <f>IF($B2253="","",IF($E$7="Weekly",Start_Date+7*(ROWS($1:2241)-1),EDATE(Start_Date,VLOOKUP(IF(ASTemp!$E$7="","Monthly",ASTemp!$E$7),Parameters!$B$3:$D$6,3,0)*(ROWS($1:2241)-1))))</f>
        <v/>
      </c>
      <c r="D2253" s="68" t="str">
        <f t="shared" si="2"/>
        <v/>
      </c>
      <c r="E2253" s="65" t="str">
        <f>IF($B2253="","",VLOOKUP(MONTH(C2253),Parameters!$F$2:$G$13,2,0))</f>
        <v/>
      </c>
      <c r="F2253" s="69" t="str">
        <f>IF($B2253="","",PV-N(J2252))</f>
        <v/>
      </c>
      <c r="G2253" s="69" t="str">
        <f>IF($B2253="","",PMT(Rate,Nper,-PV,,Type))</f>
        <v/>
      </c>
      <c r="H2253" s="69" t="str">
        <f>IF($B2253="","",PPMT(Rate,ROWS($1:2241),Nper,-PV,,Type))</f>
        <v/>
      </c>
      <c r="I2253" s="69" t="str">
        <f>IF($B2253="","",IPMT(Rate,ROWS($1:2241),Nper,-PV,,Type))</f>
        <v/>
      </c>
      <c r="J2253" s="73" t="str">
        <f t="shared" ref="J2253:K2253" si="2243">IF($B2253="","",N(J2252)+N(H2253))</f>
        <v/>
      </c>
      <c r="K2253" s="74" t="str">
        <f t="shared" si="2243"/>
        <v/>
      </c>
      <c r="L2253" s="69" t="str">
        <f>IF($B2253="","",PV-J2253)</f>
        <v/>
      </c>
      <c r="M2253" s="71" t="str">
        <f>IF($B2253="","",J2253/PV)</f>
        <v/>
      </c>
      <c r="N2253" s="72" t="str">
        <f t="shared" si="4"/>
        <v/>
      </c>
    </row>
    <row r="2254" ht="14.25" customHeight="1">
      <c r="B2254" s="66" t="str">
        <f>IF(ROWS($1:2242)&lt;=Nper,ROWS($1:2242),"")</f>
        <v/>
      </c>
      <c r="C2254" s="67" t="str">
        <f>IF($B2254="","",IF($E$7="Weekly",Start_Date+7*(ROWS($1:2242)-1),EDATE(Start_Date,VLOOKUP(IF(ASTemp!$E$7="","Monthly",ASTemp!$E$7),Parameters!$B$3:$D$6,3,0)*(ROWS($1:2242)-1))))</f>
        <v/>
      </c>
      <c r="D2254" s="68" t="str">
        <f t="shared" si="2"/>
        <v/>
      </c>
      <c r="E2254" s="65" t="str">
        <f>IF($B2254="","",VLOOKUP(MONTH(C2254),Parameters!$F$2:$G$13,2,0))</f>
        <v/>
      </c>
      <c r="F2254" s="69" t="str">
        <f>IF($B2254="","",PV-N(J2253))</f>
        <v/>
      </c>
      <c r="G2254" s="69" t="str">
        <f>IF($B2254="","",PMT(Rate,Nper,-PV,,Type))</f>
        <v/>
      </c>
      <c r="H2254" s="69" t="str">
        <f>IF($B2254="","",PPMT(Rate,ROWS($1:2242),Nper,-PV,,Type))</f>
        <v/>
      </c>
      <c r="I2254" s="69" t="str">
        <f>IF($B2254="","",IPMT(Rate,ROWS($1:2242),Nper,-PV,,Type))</f>
        <v/>
      </c>
      <c r="J2254" s="73" t="str">
        <f t="shared" ref="J2254:K2254" si="2244">IF($B2254="","",N(J2253)+N(H2254))</f>
        <v/>
      </c>
      <c r="K2254" s="74" t="str">
        <f t="shared" si="2244"/>
        <v/>
      </c>
      <c r="L2254" s="69" t="str">
        <f>IF($B2254="","",PV-J2254)</f>
        <v/>
      </c>
      <c r="M2254" s="71" t="str">
        <f>IF($B2254="","",J2254/PV)</f>
        <v/>
      </c>
      <c r="N2254" s="72" t="str">
        <f t="shared" si="4"/>
        <v/>
      </c>
    </row>
    <row r="2255" ht="14.25" customHeight="1">
      <c r="B2255" s="66" t="str">
        <f>IF(ROWS($1:2243)&lt;=Nper,ROWS($1:2243),"")</f>
        <v/>
      </c>
      <c r="C2255" s="67" t="str">
        <f>IF($B2255="","",IF($E$7="Weekly",Start_Date+7*(ROWS($1:2243)-1),EDATE(Start_Date,VLOOKUP(IF(ASTemp!$E$7="","Monthly",ASTemp!$E$7),Parameters!$B$3:$D$6,3,0)*(ROWS($1:2243)-1))))</f>
        <v/>
      </c>
      <c r="D2255" s="68" t="str">
        <f t="shared" si="2"/>
        <v/>
      </c>
      <c r="E2255" s="65" t="str">
        <f>IF($B2255="","",VLOOKUP(MONTH(C2255),Parameters!$F$2:$G$13,2,0))</f>
        <v/>
      </c>
      <c r="F2255" s="69" t="str">
        <f>IF($B2255="","",PV-N(J2254))</f>
        <v/>
      </c>
      <c r="G2255" s="69" t="str">
        <f>IF($B2255="","",PMT(Rate,Nper,-PV,,Type))</f>
        <v/>
      </c>
      <c r="H2255" s="69" t="str">
        <f>IF($B2255="","",PPMT(Rate,ROWS($1:2243),Nper,-PV,,Type))</f>
        <v/>
      </c>
      <c r="I2255" s="69" t="str">
        <f>IF($B2255="","",IPMT(Rate,ROWS($1:2243),Nper,-PV,,Type))</f>
        <v/>
      </c>
      <c r="J2255" s="73" t="str">
        <f t="shared" ref="J2255:K2255" si="2245">IF($B2255="","",N(J2254)+N(H2255))</f>
        <v/>
      </c>
      <c r="K2255" s="74" t="str">
        <f t="shared" si="2245"/>
        <v/>
      </c>
      <c r="L2255" s="69" t="str">
        <f>IF($B2255="","",PV-J2255)</f>
        <v/>
      </c>
      <c r="M2255" s="71" t="str">
        <f>IF($B2255="","",J2255/PV)</f>
        <v/>
      </c>
      <c r="N2255" s="72" t="str">
        <f t="shared" si="4"/>
        <v/>
      </c>
    </row>
    <row r="2256" ht="14.25" customHeight="1">
      <c r="B2256" s="66" t="str">
        <f>IF(ROWS($1:2244)&lt;=Nper,ROWS($1:2244),"")</f>
        <v/>
      </c>
      <c r="C2256" s="67" t="str">
        <f>IF($B2256="","",IF($E$7="Weekly",Start_Date+7*(ROWS($1:2244)-1),EDATE(Start_Date,VLOOKUP(IF(ASTemp!$E$7="","Monthly",ASTemp!$E$7),Parameters!$B$3:$D$6,3,0)*(ROWS($1:2244)-1))))</f>
        <v/>
      </c>
      <c r="D2256" s="68" t="str">
        <f t="shared" si="2"/>
        <v/>
      </c>
      <c r="E2256" s="65" t="str">
        <f>IF($B2256="","",VLOOKUP(MONTH(C2256),Parameters!$F$2:$G$13,2,0))</f>
        <v/>
      </c>
      <c r="F2256" s="69" t="str">
        <f>IF($B2256="","",PV-N(J2255))</f>
        <v/>
      </c>
      <c r="G2256" s="69" t="str">
        <f>IF($B2256="","",PMT(Rate,Nper,-PV,,Type))</f>
        <v/>
      </c>
      <c r="H2256" s="69" t="str">
        <f>IF($B2256="","",PPMT(Rate,ROWS($1:2244),Nper,-PV,,Type))</f>
        <v/>
      </c>
      <c r="I2256" s="69" t="str">
        <f>IF($B2256="","",IPMT(Rate,ROWS($1:2244),Nper,-PV,,Type))</f>
        <v/>
      </c>
      <c r="J2256" s="73" t="str">
        <f t="shared" ref="J2256:K2256" si="2246">IF($B2256="","",N(J2255)+N(H2256))</f>
        <v/>
      </c>
      <c r="K2256" s="74" t="str">
        <f t="shared" si="2246"/>
        <v/>
      </c>
      <c r="L2256" s="69" t="str">
        <f>IF($B2256="","",PV-J2256)</f>
        <v/>
      </c>
      <c r="M2256" s="71" t="str">
        <f>IF($B2256="","",J2256/PV)</f>
        <v/>
      </c>
      <c r="N2256" s="72" t="str">
        <f t="shared" si="4"/>
        <v/>
      </c>
    </row>
    <row r="2257" ht="14.25" customHeight="1">
      <c r="B2257" s="66" t="str">
        <f>IF(ROWS($1:2245)&lt;=Nper,ROWS($1:2245),"")</f>
        <v/>
      </c>
      <c r="C2257" s="67" t="str">
        <f>IF($B2257="","",IF($E$7="Weekly",Start_Date+7*(ROWS($1:2245)-1),EDATE(Start_Date,VLOOKUP(IF(ASTemp!$E$7="","Monthly",ASTemp!$E$7),Parameters!$B$3:$D$6,3,0)*(ROWS($1:2245)-1))))</f>
        <v/>
      </c>
      <c r="D2257" s="68" t="str">
        <f t="shared" si="2"/>
        <v/>
      </c>
      <c r="E2257" s="65" t="str">
        <f>IF($B2257="","",VLOOKUP(MONTH(C2257),Parameters!$F$2:$G$13,2,0))</f>
        <v/>
      </c>
      <c r="F2257" s="69" t="str">
        <f>IF($B2257="","",PV-N(J2256))</f>
        <v/>
      </c>
      <c r="G2257" s="69" t="str">
        <f>IF($B2257="","",PMT(Rate,Nper,-PV,,Type))</f>
        <v/>
      </c>
      <c r="H2257" s="69" t="str">
        <f>IF($B2257="","",PPMT(Rate,ROWS($1:2245),Nper,-PV,,Type))</f>
        <v/>
      </c>
      <c r="I2257" s="69" t="str">
        <f>IF($B2257="","",IPMT(Rate,ROWS($1:2245),Nper,-PV,,Type))</f>
        <v/>
      </c>
      <c r="J2257" s="73" t="str">
        <f t="shared" ref="J2257:K2257" si="2247">IF($B2257="","",N(J2256)+N(H2257))</f>
        <v/>
      </c>
      <c r="K2257" s="74" t="str">
        <f t="shared" si="2247"/>
        <v/>
      </c>
      <c r="L2257" s="69" t="str">
        <f>IF($B2257="","",PV-J2257)</f>
        <v/>
      </c>
      <c r="M2257" s="71" t="str">
        <f>IF($B2257="","",J2257/PV)</f>
        <v/>
      </c>
      <c r="N2257" s="72" t="str">
        <f t="shared" si="4"/>
        <v/>
      </c>
    </row>
    <row r="2258" ht="14.25" customHeight="1">
      <c r="B2258" s="66" t="str">
        <f>IF(ROWS($1:2246)&lt;=Nper,ROWS($1:2246),"")</f>
        <v/>
      </c>
      <c r="C2258" s="67" t="str">
        <f>IF($B2258="","",IF($E$7="Weekly",Start_Date+7*(ROWS($1:2246)-1),EDATE(Start_Date,VLOOKUP(IF(ASTemp!$E$7="","Monthly",ASTemp!$E$7),Parameters!$B$3:$D$6,3,0)*(ROWS($1:2246)-1))))</f>
        <v/>
      </c>
      <c r="D2258" s="68" t="str">
        <f t="shared" si="2"/>
        <v/>
      </c>
      <c r="E2258" s="65" t="str">
        <f>IF($B2258="","",VLOOKUP(MONTH(C2258),Parameters!$F$2:$G$13,2,0))</f>
        <v/>
      </c>
      <c r="F2258" s="69" t="str">
        <f>IF($B2258="","",PV-N(J2257))</f>
        <v/>
      </c>
      <c r="G2258" s="69" t="str">
        <f>IF($B2258="","",PMT(Rate,Nper,-PV,,Type))</f>
        <v/>
      </c>
      <c r="H2258" s="69" t="str">
        <f>IF($B2258="","",PPMT(Rate,ROWS($1:2246),Nper,-PV,,Type))</f>
        <v/>
      </c>
      <c r="I2258" s="69" t="str">
        <f>IF($B2258="","",IPMT(Rate,ROWS($1:2246),Nper,-PV,,Type))</f>
        <v/>
      </c>
      <c r="J2258" s="73" t="str">
        <f t="shared" ref="J2258:K2258" si="2248">IF($B2258="","",N(J2257)+N(H2258))</f>
        <v/>
      </c>
      <c r="K2258" s="74" t="str">
        <f t="shared" si="2248"/>
        <v/>
      </c>
      <c r="L2258" s="69" t="str">
        <f>IF($B2258="","",PV-J2258)</f>
        <v/>
      </c>
      <c r="M2258" s="71" t="str">
        <f>IF($B2258="","",J2258/PV)</f>
        <v/>
      </c>
      <c r="N2258" s="72" t="str">
        <f t="shared" si="4"/>
        <v/>
      </c>
    </row>
    <row r="2259" ht="14.25" customHeight="1">
      <c r="B2259" s="66" t="str">
        <f>IF(ROWS($1:2247)&lt;=Nper,ROWS($1:2247),"")</f>
        <v/>
      </c>
      <c r="C2259" s="67" t="str">
        <f>IF($B2259="","",IF($E$7="Weekly",Start_Date+7*(ROWS($1:2247)-1),EDATE(Start_Date,VLOOKUP(IF(ASTemp!$E$7="","Monthly",ASTemp!$E$7),Parameters!$B$3:$D$6,3,0)*(ROWS($1:2247)-1))))</f>
        <v/>
      </c>
      <c r="D2259" s="68" t="str">
        <f t="shared" si="2"/>
        <v/>
      </c>
      <c r="E2259" s="65" t="str">
        <f>IF($B2259="","",VLOOKUP(MONTH(C2259),Parameters!$F$2:$G$13,2,0))</f>
        <v/>
      </c>
      <c r="F2259" s="69" t="str">
        <f>IF($B2259="","",PV-N(J2258))</f>
        <v/>
      </c>
      <c r="G2259" s="69" t="str">
        <f>IF($B2259="","",PMT(Rate,Nper,-PV,,Type))</f>
        <v/>
      </c>
      <c r="H2259" s="69" t="str">
        <f>IF($B2259="","",PPMT(Rate,ROWS($1:2247),Nper,-PV,,Type))</f>
        <v/>
      </c>
      <c r="I2259" s="69" t="str">
        <f>IF($B2259="","",IPMT(Rate,ROWS($1:2247),Nper,-PV,,Type))</f>
        <v/>
      </c>
      <c r="J2259" s="73" t="str">
        <f t="shared" ref="J2259:K2259" si="2249">IF($B2259="","",N(J2258)+N(H2259))</f>
        <v/>
      </c>
      <c r="K2259" s="74" t="str">
        <f t="shared" si="2249"/>
        <v/>
      </c>
      <c r="L2259" s="69" t="str">
        <f>IF($B2259="","",PV-J2259)</f>
        <v/>
      </c>
      <c r="M2259" s="71" t="str">
        <f>IF($B2259="","",J2259/PV)</f>
        <v/>
      </c>
      <c r="N2259" s="72" t="str">
        <f t="shared" si="4"/>
        <v/>
      </c>
    </row>
    <row r="2260" ht="14.25" customHeight="1">
      <c r="B2260" s="66" t="str">
        <f>IF(ROWS($1:2248)&lt;=Nper,ROWS($1:2248),"")</f>
        <v/>
      </c>
      <c r="C2260" s="67" t="str">
        <f>IF($B2260="","",IF($E$7="Weekly",Start_Date+7*(ROWS($1:2248)-1),EDATE(Start_Date,VLOOKUP(IF(ASTemp!$E$7="","Monthly",ASTemp!$E$7),Parameters!$B$3:$D$6,3,0)*(ROWS($1:2248)-1))))</f>
        <v/>
      </c>
      <c r="D2260" s="68" t="str">
        <f t="shared" si="2"/>
        <v/>
      </c>
      <c r="E2260" s="65" t="str">
        <f>IF($B2260="","",VLOOKUP(MONTH(C2260),Parameters!$F$2:$G$13,2,0))</f>
        <v/>
      </c>
      <c r="F2260" s="69" t="str">
        <f>IF($B2260="","",PV-N(J2259))</f>
        <v/>
      </c>
      <c r="G2260" s="69" t="str">
        <f>IF($B2260="","",PMT(Rate,Nper,-PV,,Type))</f>
        <v/>
      </c>
      <c r="H2260" s="69" t="str">
        <f>IF($B2260="","",PPMT(Rate,ROWS($1:2248),Nper,-PV,,Type))</f>
        <v/>
      </c>
      <c r="I2260" s="69" t="str">
        <f>IF($B2260="","",IPMT(Rate,ROWS($1:2248),Nper,-PV,,Type))</f>
        <v/>
      </c>
      <c r="J2260" s="73" t="str">
        <f t="shared" ref="J2260:K2260" si="2250">IF($B2260="","",N(J2259)+N(H2260))</f>
        <v/>
      </c>
      <c r="K2260" s="74" t="str">
        <f t="shared" si="2250"/>
        <v/>
      </c>
      <c r="L2260" s="69" t="str">
        <f>IF($B2260="","",PV-J2260)</f>
        <v/>
      </c>
      <c r="M2260" s="71" t="str">
        <f>IF($B2260="","",J2260/PV)</f>
        <v/>
      </c>
      <c r="N2260" s="72" t="str">
        <f t="shared" si="4"/>
        <v/>
      </c>
    </row>
    <row r="2261" ht="14.25" customHeight="1">
      <c r="B2261" s="66" t="str">
        <f>IF(ROWS($1:2249)&lt;=Nper,ROWS($1:2249),"")</f>
        <v/>
      </c>
      <c r="C2261" s="67" t="str">
        <f>IF($B2261="","",IF($E$7="Weekly",Start_Date+7*(ROWS($1:2249)-1),EDATE(Start_Date,VLOOKUP(IF(ASTemp!$E$7="","Monthly",ASTemp!$E$7),Parameters!$B$3:$D$6,3,0)*(ROWS($1:2249)-1))))</f>
        <v/>
      </c>
      <c r="D2261" s="68" t="str">
        <f t="shared" si="2"/>
        <v/>
      </c>
      <c r="E2261" s="65" t="str">
        <f>IF($B2261="","",VLOOKUP(MONTH(C2261),Parameters!$F$2:$G$13,2,0))</f>
        <v/>
      </c>
      <c r="F2261" s="69" t="str">
        <f>IF($B2261="","",PV-N(J2260))</f>
        <v/>
      </c>
      <c r="G2261" s="69" t="str">
        <f>IF($B2261="","",PMT(Rate,Nper,-PV,,Type))</f>
        <v/>
      </c>
      <c r="H2261" s="69" t="str">
        <f>IF($B2261="","",PPMT(Rate,ROWS($1:2249),Nper,-PV,,Type))</f>
        <v/>
      </c>
      <c r="I2261" s="69" t="str">
        <f>IF($B2261="","",IPMT(Rate,ROWS($1:2249),Nper,-PV,,Type))</f>
        <v/>
      </c>
      <c r="J2261" s="73" t="str">
        <f t="shared" ref="J2261:K2261" si="2251">IF($B2261="","",N(J2260)+N(H2261))</f>
        <v/>
      </c>
      <c r="K2261" s="74" t="str">
        <f t="shared" si="2251"/>
        <v/>
      </c>
      <c r="L2261" s="69" t="str">
        <f>IF($B2261="","",PV-J2261)</f>
        <v/>
      </c>
      <c r="M2261" s="71" t="str">
        <f>IF($B2261="","",J2261/PV)</f>
        <v/>
      </c>
      <c r="N2261" s="72" t="str">
        <f t="shared" si="4"/>
        <v/>
      </c>
    </row>
    <row r="2262" ht="14.25" customHeight="1">
      <c r="B2262" s="66" t="str">
        <f>IF(ROWS($1:2250)&lt;=Nper,ROWS($1:2250),"")</f>
        <v/>
      </c>
      <c r="C2262" s="67" t="str">
        <f>IF($B2262="","",IF($E$7="Weekly",Start_Date+7*(ROWS($1:2250)-1),EDATE(Start_Date,VLOOKUP(IF(ASTemp!$E$7="","Monthly",ASTemp!$E$7),Parameters!$B$3:$D$6,3,0)*(ROWS($1:2250)-1))))</f>
        <v/>
      </c>
      <c r="D2262" s="68" t="str">
        <f t="shared" si="2"/>
        <v/>
      </c>
      <c r="E2262" s="65" t="str">
        <f>IF($B2262="","",VLOOKUP(MONTH(C2262),Parameters!$F$2:$G$13,2,0))</f>
        <v/>
      </c>
      <c r="F2262" s="69" t="str">
        <f>IF($B2262="","",PV-N(J2261))</f>
        <v/>
      </c>
      <c r="G2262" s="69" t="str">
        <f>IF($B2262="","",PMT(Rate,Nper,-PV,,Type))</f>
        <v/>
      </c>
      <c r="H2262" s="69" t="str">
        <f>IF($B2262="","",PPMT(Rate,ROWS($1:2250),Nper,-PV,,Type))</f>
        <v/>
      </c>
      <c r="I2262" s="69" t="str">
        <f>IF($B2262="","",IPMT(Rate,ROWS($1:2250),Nper,-PV,,Type))</f>
        <v/>
      </c>
      <c r="J2262" s="73" t="str">
        <f t="shared" ref="J2262:K2262" si="2252">IF($B2262="","",N(J2261)+N(H2262))</f>
        <v/>
      </c>
      <c r="K2262" s="74" t="str">
        <f t="shared" si="2252"/>
        <v/>
      </c>
      <c r="L2262" s="69" t="str">
        <f>IF($B2262="","",PV-J2262)</f>
        <v/>
      </c>
      <c r="M2262" s="71" t="str">
        <f>IF($B2262="","",J2262/PV)</f>
        <v/>
      </c>
      <c r="N2262" s="72" t="str">
        <f t="shared" si="4"/>
        <v/>
      </c>
    </row>
    <row r="2263" ht="14.25" customHeight="1">
      <c r="B2263" s="66" t="str">
        <f>IF(ROWS($1:2251)&lt;=Nper,ROWS($1:2251),"")</f>
        <v/>
      </c>
      <c r="C2263" s="67" t="str">
        <f>IF($B2263="","",IF($E$7="Weekly",Start_Date+7*(ROWS($1:2251)-1),EDATE(Start_Date,VLOOKUP(IF(ASTemp!$E$7="","Monthly",ASTemp!$E$7),Parameters!$B$3:$D$6,3,0)*(ROWS($1:2251)-1))))</f>
        <v/>
      </c>
      <c r="D2263" s="68" t="str">
        <f t="shared" si="2"/>
        <v/>
      </c>
      <c r="E2263" s="65" t="str">
        <f>IF($B2263="","",VLOOKUP(MONTH(C2263),Parameters!$F$2:$G$13,2,0))</f>
        <v/>
      </c>
      <c r="F2263" s="69" t="str">
        <f>IF($B2263="","",PV-N(J2262))</f>
        <v/>
      </c>
      <c r="G2263" s="69" t="str">
        <f>IF($B2263="","",PMT(Rate,Nper,-PV,,Type))</f>
        <v/>
      </c>
      <c r="H2263" s="69" t="str">
        <f>IF($B2263="","",PPMT(Rate,ROWS($1:2251),Nper,-PV,,Type))</f>
        <v/>
      </c>
      <c r="I2263" s="69" t="str">
        <f>IF($B2263="","",IPMT(Rate,ROWS($1:2251),Nper,-PV,,Type))</f>
        <v/>
      </c>
      <c r="J2263" s="73" t="str">
        <f t="shared" ref="J2263:K2263" si="2253">IF($B2263="","",N(J2262)+N(H2263))</f>
        <v/>
      </c>
      <c r="K2263" s="74" t="str">
        <f t="shared" si="2253"/>
        <v/>
      </c>
      <c r="L2263" s="69" t="str">
        <f>IF($B2263="","",PV-J2263)</f>
        <v/>
      </c>
      <c r="M2263" s="71" t="str">
        <f>IF($B2263="","",J2263/PV)</f>
        <v/>
      </c>
      <c r="N2263" s="72" t="str">
        <f t="shared" si="4"/>
        <v/>
      </c>
    </row>
    <row r="2264" ht="14.25" customHeight="1">
      <c r="B2264" s="66" t="str">
        <f>IF(ROWS($1:2252)&lt;=Nper,ROWS($1:2252),"")</f>
        <v/>
      </c>
      <c r="C2264" s="67" t="str">
        <f>IF($B2264="","",IF($E$7="Weekly",Start_Date+7*(ROWS($1:2252)-1),EDATE(Start_Date,VLOOKUP(IF(ASTemp!$E$7="","Monthly",ASTemp!$E$7),Parameters!$B$3:$D$6,3,0)*(ROWS($1:2252)-1))))</f>
        <v/>
      </c>
      <c r="D2264" s="68" t="str">
        <f t="shared" si="2"/>
        <v/>
      </c>
      <c r="E2264" s="65" t="str">
        <f>IF($B2264="","",VLOOKUP(MONTH(C2264),Parameters!$F$2:$G$13,2,0))</f>
        <v/>
      </c>
      <c r="F2264" s="69" t="str">
        <f>IF($B2264="","",PV-N(J2263))</f>
        <v/>
      </c>
      <c r="G2264" s="69" t="str">
        <f>IF($B2264="","",PMT(Rate,Nper,-PV,,Type))</f>
        <v/>
      </c>
      <c r="H2264" s="69" t="str">
        <f>IF($B2264="","",PPMT(Rate,ROWS($1:2252),Nper,-PV,,Type))</f>
        <v/>
      </c>
      <c r="I2264" s="69" t="str">
        <f>IF($B2264="","",IPMT(Rate,ROWS($1:2252),Nper,-PV,,Type))</f>
        <v/>
      </c>
      <c r="J2264" s="73" t="str">
        <f t="shared" ref="J2264:K2264" si="2254">IF($B2264="","",N(J2263)+N(H2264))</f>
        <v/>
      </c>
      <c r="K2264" s="74" t="str">
        <f t="shared" si="2254"/>
        <v/>
      </c>
      <c r="L2264" s="69" t="str">
        <f>IF($B2264="","",PV-J2264)</f>
        <v/>
      </c>
      <c r="M2264" s="71" t="str">
        <f>IF($B2264="","",J2264/PV)</f>
        <v/>
      </c>
      <c r="N2264" s="72" t="str">
        <f t="shared" si="4"/>
        <v/>
      </c>
    </row>
    <row r="2265" ht="14.25" customHeight="1">
      <c r="B2265" s="66" t="str">
        <f>IF(ROWS($1:2253)&lt;=Nper,ROWS($1:2253),"")</f>
        <v/>
      </c>
      <c r="C2265" s="67" t="str">
        <f>IF($B2265="","",IF($E$7="Weekly",Start_Date+7*(ROWS($1:2253)-1),EDATE(Start_Date,VLOOKUP(IF(ASTemp!$E$7="","Monthly",ASTemp!$E$7),Parameters!$B$3:$D$6,3,0)*(ROWS($1:2253)-1))))</f>
        <v/>
      </c>
      <c r="D2265" s="68" t="str">
        <f t="shared" si="2"/>
        <v/>
      </c>
      <c r="E2265" s="65" t="str">
        <f>IF($B2265="","",VLOOKUP(MONTH(C2265),Parameters!$F$2:$G$13,2,0))</f>
        <v/>
      </c>
      <c r="F2265" s="69" t="str">
        <f>IF($B2265="","",PV-N(J2264))</f>
        <v/>
      </c>
      <c r="G2265" s="69" t="str">
        <f>IF($B2265="","",PMT(Rate,Nper,-PV,,Type))</f>
        <v/>
      </c>
      <c r="H2265" s="69" t="str">
        <f>IF($B2265="","",PPMT(Rate,ROWS($1:2253),Nper,-PV,,Type))</f>
        <v/>
      </c>
      <c r="I2265" s="69" t="str">
        <f>IF($B2265="","",IPMT(Rate,ROWS($1:2253),Nper,-PV,,Type))</f>
        <v/>
      </c>
      <c r="J2265" s="73" t="str">
        <f t="shared" ref="J2265:K2265" si="2255">IF($B2265="","",N(J2264)+N(H2265))</f>
        <v/>
      </c>
      <c r="K2265" s="74" t="str">
        <f t="shared" si="2255"/>
        <v/>
      </c>
      <c r="L2265" s="69" t="str">
        <f>IF($B2265="","",PV-J2265)</f>
        <v/>
      </c>
      <c r="M2265" s="71" t="str">
        <f>IF($B2265="","",J2265/PV)</f>
        <v/>
      </c>
      <c r="N2265" s="72" t="str">
        <f t="shared" si="4"/>
        <v/>
      </c>
    </row>
    <row r="2266" ht="14.25" customHeight="1">
      <c r="B2266" s="66" t="str">
        <f>IF(ROWS($1:2254)&lt;=Nper,ROWS($1:2254),"")</f>
        <v/>
      </c>
      <c r="C2266" s="67" t="str">
        <f>IF($B2266="","",IF($E$7="Weekly",Start_Date+7*(ROWS($1:2254)-1),EDATE(Start_Date,VLOOKUP(IF(ASTemp!$E$7="","Monthly",ASTemp!$E$7),Parameters!$B$3:$D$6,3,0)*(ROWS($1:2254)-1))))</f>
        <v/>
      </c>
      <c r="D2266" s="68" t="str">
        <f t="shared" si="2"/>
        <v/>
      </c>
      <c r="E2266" s="65" t="str">
        <f>IF($B2266="","",VLOOKUP(MONTH(C2266),Parameters!$F$2:$G$13,2,0))</f>
        <v/>
      </c>
      <c r="F2266" s="69" t="str">
        <f>IF($B2266="","",PV-N(J2265))</f>
        <v/>
      </c>
      <c r="G2266" s="69" t="str">
        <f>IF($B2266="","",PMT(Rate,Nper,-PV,,Type))</f>
        <v/>
      </c>
      <c r="H2266" s="69" t="str">
        <f>IF($B2266="","",PPMT(Rate,ROWS($1:2254),Nper,-PV,,Type))</f>
        <v/>
      </c>
      <c r="I2266" s="69" t="str">
        <f>IF($B2266="","",IPMT(Rate,ROWS($1:2254),Nper,-PV,,Type))</f>
        <v/>
      </c>
      <c r="J2266" s="73" t="str">
        <f t="shared" ref="J2266:K2266" si="2256">IF($B2266="","",N(J2265)+N(H2266))</f>
        <v/>
      </c>
      <c r="K2266" s="74" t="str">
        <f t="shared" si="2256"/>
        <v/>
      </c>
      <c r="L2266" s="69" t="str">
        <f>IF($B2266="","",PV-J2266)</f>
        <v/>
      </c>
      <c r="M2266" s="71" t="str">
        <f>IF($B2266="","",J2266/PV)</f>
        <v/>
      </c>
      <c r="N2266" s="72" t="str">
        <f t="shared" si="4"/>
        <v/>
      </c>
    </row>
    <row r="2267" ht="14.25" customHeight="1">
      <c r="B2267" s="66" t="str">
        <f>IF(ROWS($1:2255)&lt;=Nper,ROWS($1:2255),"")</f>
        <v/>
      </c>
      <c r="C2267" s="67" t="str">
        <f>IF($B2267="","",IF($E$7="Weekly",Start_Date+7*(ROWS($1:2255)-1),EDATE(Start_Date,VLOOKUP(IF(ASTemp!$E$7="","Monthly",ASTemp!$E$7),Parameters!$B$3:$D$6,3,0)*(ROWS($1:2255)-1))))</f>
        <v/>
      </c>
      <c r="D2267" s="68" t="str">
        <f t="shared" si="2"/>
        <v/>
      </c>
      <c r="E2267" s="65" t="str">
        <f>IF($B2267="","",VLOOKUP(MONTH(C2267),Parameters!$F$2:$G$13,2,0))</f>
        <v/>
      </c>
      <c r="F2267" s="69" t="str">
        <f>IF($B2267="","",PV-N(J2266))</f>
        <v/>
      </c>
      <c r="G2267" s="69" t="str">
        <f>IF($B2267="","",PMT(Rate,Nper,-PV,,Type))</f>
        <v/>
      </c>
      <c r="H2267" s="69" t="str">
        <f>IF($B2267="","",PPMT(Rate,ROWS($1:2255),Nper,-PV,,Type))</f>
        <v/>
      </c>
      <c r="I2267" s="69" t="str">
        <f>IF($B2267="","",IPMT(Rate,ROWS($1:2255),Nper,-PV,,Type))</f>
        <v/>
      </c>
      <c r="J2267" s="73" t="str">
        <f t="shared" ref="J2267:K2267" si="2257">IF($B2267="","",N(J2266)+N(H2267))</f>
        <v/>
      </c>
      <c r="K2267" s="74" t="str">
        <f t="shared" si="2257"/>
        <v/>
      </c>
      <c r="L2267" s="69" t="str">
        <f>IF($B2267="","",PV-J2267)</f>
        <v/>
      </c>
      <c r="M2267" s="71" t="str">
        <f>IF($B2267="","",J2267/PV)</f>
        <v/>
      </c>
      <c r="N2267" s="72" t="str">
        <f t="shared" si="4"/>
        <v/>
      </c>
    </row>
    <row r="2268" ht="14.25" customHeight="1">
      <c r="B2268" s="66" t="str">
        <f>IF(ROWS($1:2256)&lt;=Nper,ROWS($1:2256),"")</f>
        <v/>
      </c>
      <c r="C2268" s="67" t="str">
        <f>IF($B2268="","",IF($E$7="Weekly",Start_Date+7*(ROWS($1:2256)-1),EDATE(Start_Date,VLOOKUP(IF(ASTemp!$E$7="","Monthly",ASTemp!$E$7),Parameters!$B$3:$D$6,3,0)*(ROWS($1:2256)-1))))</f>
        <v/>
      </c>
      <c r="D2268" s="68" t="str">
        <f t="shared" si="2"/>
        <v/>
      </c>
      <c r="E2268" s="65" t="str">
        <f>IF($B2268="","",VLOOKUP(MONTH(C2268),Parameters!$F$2:$G$13,2,0))</f>
        <v/>
      </c>
      <c r="F2268" s="69" t="str">
        <f>IF($B2268="","",PV-N(J2267))</f>
        <v/>
      </c>
      <c r="G2268" s="69" t="str">
        <f>IF($B2268="","",PMT(Rate,Nper,-PV,,Type))</f>
        <v/>
      </c>
      <c r="H2268" s="69" t="str">
        <f>IF($B2268="","",PPMT(Rate,ROWS($1:2256),Nper,-PV,,Type))</f>
        <v/>
      </c>
      <c r="I2268" s="69" t="str">
        <f>IF($B2268="","",IPMT(Rate,ROWS($1:2256),Nper,-PV,,Type))</f>
        <v/>
      </c>
      <c r="J2268" s="73" t="str">
        <f t="shared" ref="J2268:K2268" si="2258">IF($B2268="","",N(J2267)+N(H2268))</f>
        <v/>
      </c>
      <c r="K2268" s="74" t="str">
        <f t="shared" si="2258"/>
        <v/>
      </c>
      <c r="L2268" s="69" t="str">
        <f>IF($B2268="","",PV-J2268)</f>
        <v/>
      </c>
      <c r="M2268" s="71" t="str">
        <f>IF($B2268="","",J2268/PV)</f>
        <v/>
      </c>
      <c r="N2268" s="72" t="str">
        <f t="shared" si="4"/>
        <v/>
      </c>
    </row>
    <row r="2269" ht="14.25" customHeight="1">
      <c r="B2269" s="66" t="str">
        <f>IF(ROWS($1:2257)&lt;=Nper,ROWS($1:2257),"")</f>
        <v/>
      </c>
      <c r="C2269" s="67" t="str">
        <f>IF($B2269="","",IF($E$7="Weekly",Start_Date+7*(ROWS($1:2257)-1),EDATE(Start_Date,VLOOKUP(IF(ASTemp!$E$7="","Monthly",ASTemp!$E$7),Parameters!$B$3:$D$6,3,0)*(ROWS($1:2257)-1))))</f>
        <v/>
      </c>
      <c r="D2269" s="68" t="str">
        <f t="shared" si="2"/>
        <v/>
      </c>
      <c r="E2269" s="65" t="str">
        <f>IF($B2269="","",VLOOKUP(MONTH(C2269),Parameters!$F$2:$G$13,2,0))</f>
        <v/>
      </c>
      <c r="F2269" s="69" t="str">
        <f>IF($B2269="","",PV-N(J2268))</f>
        <v/>
      </c>
      <c r="G2269" s="69" t="str">
        <f>IF($B2269="","",PMT(Rate,Nper,-PV,,Type))</f>
        <v/>
      </c>
      <c r="H2269" s="69" t="str">
        <f>IF($B2269="","",PPMT(Rate,ROWS($1:2257),Nper,-PV,,Type))</f>
        <v/>
      </c>
      <c r="I2269" s="69" t="str">
        <f>IF($B2269="","",IPMT(Rate,ROWS($1:2257),Nper,-PV,,Type))</f>
        <v/>
      </c>
      <c r="J2269" s="73" t="str">
        <f t="shared" ref="J2269:K2269" si="2259">IF($B2269="","",N(J2268)+N(H2269))</f>
        <v/>
      </c>
      <c r="K2269" s="74" t="str">
        <f t="shared" si="2259"/>
        <v/>
      </c>
      <c r="L2269" s="69" t="str">
        <f>IF($B2269="","",PV-J2269)</f>
        <v/>
      </c>
      <c r="M2269" s="71" t="str">
        <f>IF($B2269="","",J2269/PV)</f>
        <v/>
      </c>
      <c r="N2269" s="72" t="str">
        <f t="shared" si="4"/>
        <v/>
      </c>
    </row>
    <row r="2270" ht="14.25" customHeight="1">
      <c r="B2270" s="66" t="str">
        <f>IF(ROWS($1:2258)&lt;=Nper,ROWS($1:2258),"")</f>
        <v/>
      </c>
      <c r="C2270" s="67" t="str">
        <f>IF($B2270="","",IF($E$7="Weekly",Start_Date+7*(ROWS($1:2258)-1),EDATE(Start_Date,VLOOKUP(IF(ASTemp!$E$7="","Monthly",ASTemp!$E$7),Parameters!$B$3:$D$6,3,0)*(ROWS($1:2258)-1))))</f>
        <v/>
      </c>
      <c r="D2270" s="68" t="str">
        <f t="shared" si="2"/>
        <v/>
      </c>
      <c r="E2270" s="65" t="str">
        <f>IF($B2270="","",VLOOKUP(MONTH(C2270),Parameters!$F$2:$G$13,2,0))</f>
        <v/>
      </c>
      <c r="F2270" s="69" t="str">
        <f>IF($B2270="","",PV-N(J2269))</f>
        <v/>
      </c>
      <c r="G2270" s="69" t="str">
        <f>IF($B2270="","",PMT(Rate,Nper,-PV,,Type))</f>
        <v/>
      </c>
      <c r="H2270" s="69" t="str">
        <f>IF($B2270="","",PPMT(Rate,ROWS($1:2258),Nper,-PV,,Type))</f>
        <v/>
      </c>
      <c r="I2270" s="69" t="str">
        <f>IF($B2270="","",IPMT(Rate,ROWS($1:2258),Nper,-PV,,Type))</f>
        <v/>
      </c>
      <c r="J2270" s="73" t="str">
        <f t="shared" ref="J2270:K2270" si="2260">IF($B2270="","",N(J2269)+N(H2270))</f>
        <v/>
      </c>
      <c r="K2270" s="74" t="str">
        <f t="shared" si="2260"/>
        <v/>
      </c>
      <c r="L2270" s="69" t="str">
        <f>IF($B2270="","",PV-J2270)</f>
        <v/>
      </c>
      <c r="M2270" s="71" t="str">
        <f>IF($B2270="","",J2270/PV)</f>
        <v/>
      </c>
      <c r="N2270" s="72" t="str">
        <f t="shared" si="4"/>
        <v/>
      </c>
    </row>
    <row r="2271" ht="14.25" customHeight="1">
      <c r="B2271" s="66" t="str">
        <f>IF(ROWS($1:2259)&lt;=Nper,ROWS($1:2259),"")</f>
        <v/>
      </c>
      <c r="C2271" s="67" t="str">
        <f>IF($B2271="","",IF($E$7="Weekly",Start_Date+7*(ROWS($1:2259)-1),EDATE(Start_Date,VLOOKUP(IF(ASTemp!$E$7="","Monthly",ASTemp!$E$7),Parameters!$B$3:$D$6,3,0)*(ROWS($1:2259)-1))))</f>
        <v/>
      </c>
      <c r="D2271" s="68" t="str">
        <f t="shared" si="2"/>
        <v/>
      </c>
      <c r="E2271" s="65" t="str">
        <f>IF($B2271="","",VLOOKUP(MONTH(C2271),Parameters!$F$2:$G$13,2,0))</f>
        <v/>
      </c>
      <c r="F2271" s="69" t="str">
        <f>IF($B2271="","",PV-N(J2270))</f>
        <v/>
      </c>
      <c r="G2271" s="69" t="str">
        <f>IF($B2271="","",PMT(Rate,Nper,-PV,,Type))</f>
        <v/>
      </c>
      <c r="H2271" s="69" t="str">
        <f>IF($B2271="","",PPMT(Rate,ROWS($1:2259),Nper,-PV,,Type))</f>
        <v/>
      </c>
      <c r="I2271" s="69" t="str">
        <f>IF($B2271="","",IPMT(Rate,ROWS($1:2259),Nper,-PV,,Type))</f>
        <v/>
      </c>
      <c r="J2271" s="73" t="str">
        <f t="shared" ref="J2271:K2271" si="2261">IF($B2271="","",N(J2270)+N(H2271))</f>
        <v/>
      </c>
      <c r="K2271" s="74" t="str">
        <f t="shared" si="2261"/>
        <v/>
      </c>
      <c r="L2271" s="69" t="str">
        <f>IF($B2271="","",PV-J2271)</f>
        <v/>
      </c>
      <c r="M2271" s="71" t="str">
        <f>IF($B2271="","",J2271/PV)</f>
        <v/>
      </c>
      <c r="N2271" s="72" t="str">
        <f t="shared" si="4"/>
        <v/>
      </c>
    </row>
    <row r="2272" ht="14.25" customHeight="1">
      <c r="B2272" s="66" t="str">
        <f>IF(ROWS($1:2260)&lt;=Nper,ROWS($1:2260),"")</f>
        <v/>
      </c>
      <c r="C2272" s="67" t="str">
        <f>IF($B2272="","",IF($E$7="Weekly",Start_Date+7*(ROWS($1:2260)-1),EDATE(Start_Date,VLOOKUP(IF(ASTemp!$E$7="","Monthly",ASTemp!$E$7),Parameters!$B$3:$D$6,3,0)*(ROWS($1:2260)-1))))</f>
        <v/>
      </c>
      <c r="D2272" s="68" t="str">
        <f t="shared" si="2"/>
        <v/>
      </c>
      <c r="E2272" s="65" t="str">
        <f>IF($B2272="","",VLOOKUP(MONTH(C2272),Parameters!$F$2:$G$13,2,0))</f>
        <v/>
      </c>
      <c r="F2272" s="69" t="str">
        <f>IF($B2272="","",PV-N(J2271))</f>
        <v/>
      </c>
      <c r="G2272" s="69" t="str">
        <f>IF($B2272="","",PMT(Rate,Nper,-PV,,Type))</f>
        <v/>
      </c>
      <c r="H2272" s="69" t="str">
        <f>IF($B2272="","",PPMT(Rate,ROWS($1:2260),Nper,-PV,,Type))</f>
        <v/>
      </c>
      <c r="I2272" s="69" t="str">
        <f>IF($B2272="","",IPMT(Rate,ROWS($1:2260),Nper,-PV,,Type))</f>
        <v/>
      </c>
      <c r="J2272" s="73" t="str">
        <f t="shared" ref="J2272:K2272" si="2262">IF($B2272="","",N(J2271)+N(H2272))</f>
        <v/>
      </c>
      <c r="K2272" s="74" t="str">
        <f t="shared" si="2262"/>
        <v/>
      </c>
      <c r="L2272" s="69" t="str">
        <f>IF($B2272="","",PV-J2272)</f>
        <v/>
      </c>
      <c r="M2272" s="71" t="str">
        <f>IF($B2272="","",J2272/PV)</f>
        <v/>
      </c>
      <c r="N2272" s="72" t="str">
        <f t="shared" si="4"/>
        <v/>
      </c>
    </row>
    <row r="2273" ht="14.25" customHeight="1">
      <c r="B2273" s="66" t="str">
        <f>IF(ROWS($1:2261)&lt;=Nper,ROWS($1:2261),"")</f>
        <v/>
      </c>
      <c r="C2273" s="67" t="str">
        <f>IF($B2273="","",IF($E$7="Weekly",Start_Date+7*(ROWS($1:2261)-1),EDATE(Start_Date,VLOOKUP(IF(ASTemp!$E$7="","Monthly",ASTemp!$E$7),Parameters!$B$3:$D$6,3,0)*(ROWS($1:2261)-1))))</f>
        <v/>
      </c>
      <c r="D2273" s="68" t="str">
        <f t="shared" si="2"/>
        <v/>
      </c>
      <c r="E2273" s="65" t="str">
        <f>IF($B2273="","",VLOOKUP(MONTH(C2273),Parameters!$F$2:$G$13,2,0))</f>
        <v/>
      </c>
      <c r="F2273" s="69" t="str">
        <f>IF($B2273="","",PV-N(J2272))</f>
        <v/>
      </c>
      <c r="G2273" s="69" t="str">
        <f>IF($B2273="","",PMT(Rate,Nper,-PV,,Type))</f>
        <v/>
      </c>
      <c r="H2273" s="69" t="str">
        <f>IF($B2273="","",PPMT(Rate,ROWS($1:2261),Nper,-PV,,Type))</f>
        <v/>
      </c>
      <c r="I2273" s="69" t="str">
        <f>IF($B2273="","",IPMT(Rate,ROWS($1:2261),Nper,-PV,,Type))</f>
        <v/>
      </c>
      <c r="J2273" s="73" t="str">
        <f t="shared" ref="J2273:K2273" si="2263">IF($B2273="","",N(J2272)+N(H2273))</f>
        <v/>
      </c>
      <c r="K2273" s="74" t="str">
        <f t="shared" si="2263"/>
        <v/>
      </c>
      <c r="L2273" s="69" t="str">
        <f>IF($B2273="","",PV-J2273)</f>
        <v/>
      </c>
      <c r="M2273" s="71" t="str">
        <f>IF($B2273="","",J2273/PV)</f>
        <v/>
      </c>
      <c r="N2273" s="72" t="str">
        <f t="shared" si="4"/>
        <v/>
      </c>
    </row>
    <row r="2274" ht="14.25" customHeight="1">
      <c r="B2274" s="66" t="str">
        <f>IF(ROWS($1:2262)&lt;=Nper,ROWS($1:2262),"")</f>
        <v/>
      </c>
      <c r="C2274" s="67" t="str">
        <f>IF($B2274="","",IF($E$7="Weekly",Start_Date+7*(ROWS($1:2262)-1),EDATE(Start_Date,VLOOKUP(IF(ASTemp!$E$7="","Monthly",ASTemp!$E$7),Parameters!$B$3:$D$6,3,0)*(ROWS($1:2262)-1))))</f>
        <v/>
      </c>
      <c r="D2274" s="68" t="str">
        <f t="shared" si="2"/>
        <v/>
      </c>
      <c r="E2274" s="65" t="str">
        <f>IF($B2274="","",VLOOKUP(MONTH(C2274),Parameters!$F$2:$G$13,2,0))</f>
        <v/>
      </c>
      <c r="F2274" s="69" t="str">
        <f>IF($B2274="","",PV-N(J2273))</f>
        <v/>
      </c>
      <c r="G2274" s="69" t="str">
        <f>IF($B2274="","",PMT(Rate,Nper,-PV,,Type))</f>
        <v/>
      </c>
      <c r="H2274" s="69" t="str">
        <f>IF($B2274="","",PPMT(Rate,ROWS($1:2262),Nper,-PV,,Type))</f>
        <v/>
      </c>
      <c r="I2274" s="69" t="str">
        <f>IF($B2274="","",IPMT(Rate,ROWS($1:2262),Nper,-PV,,Type))</f>
        <v/>
      </c>
      <c r="J2274" s="73" t="str">
        <f t="shared" ref="J2274:K2274" si="2264">IF($B2274="","",N(J2273)+N(H2274))</f>
        <v/>
      </c>
      <c r="K2274" s="74" t="str">
        <f t="shared" si="2264"/>
        <v/>
      </c>
      <c r="L2274" s="69" t="str">
        <f>IF($B2274="","",PV-J2274)</f>
        <v/>
      </c>
      <c r="M2274" s="71" t="str">
        <f>IF($B2274="","",J2274/PV)</f>
        <v/>
      </c>
      <c r="N2274" s="72" t="str">
        <f t="shared" si="4"/>
        <v/>
      </c>
    </row>
    <row r="2275" ht="14.25" customHeight="1">
      <c r="B2275" s="66" t="str">
        <f>IF(ROWS($1:2263)&lt;=Nper,ROWS($1:2263),"")</f>
        <v/>
      </c>
      <c r="C2275" s="67" t="str">
        <f>IF($B2275="","",IF($E$7="Weekly",Start_Date+7*(ROWS($1:2263)-1),EDATE(Start_Date,VLOOKUP(IF(ASTemp!$E$7="","Monthly",ASTemp!$E$7),Parameters!$B$3:$D$6,3,0)*(ROWS($1:2263)-1))))</f>
        <v/>
      </c>
      <c r="D2275" s="68" t="str">
        <f t="shared" si="2"/>
        <v/>
      </c>
      <c r="E2275" s="65" t="str">
        <f>IF($B2275="","",VLOOKUP(MONTH(C2275),Parameters!$F$2:$G$13,2,0))</f>
        <v/>
      </c>
      <c r="F2275" s="69" t="str">
        <f>IF($B2275="","",PV-N(J2274))</f>
        <v/>
      </c>
      <c r="G2275" s="69" t="str">
        <f>IF($B2275="","",PMT(Rate,Nper,-PV,,Type))</f>
        <v/>
      </c>
      <c r="H2275" s="69" t="str">
        <f>IF($B2275="","",PPMT(Rate,ROWS($1:2263),Nper,-PV,,Type))</f>
        <v/>
      </c>
      <c r="I2275" s="69" t="str">
        <f>IF($B2275="","",IPMT(Rate,ROWS($1:2263),Nper,-PV,,Type))</f>
        <v/>
      </c>
      <c r="J2275" s="73" t="str">
        <f t="shared" ref="J2275:K2275" si="2265">IF($B2275="","",N(J2274)+N(H2275))</f>
        <v/>
      </c>
      <c r="K2275" s="74" t="str">
        <f t="shared" si="2265"/>
        <v/>
      </c>
      <c r="L2275" s="69" t="str">
        <f>IF($B2275="","",PV-J2275)</f>
        <v/>
      </c>
      <c r="M2275" s="71" t="str">
        <f>IF($B2275="","",J2275/PV)</f>
        <v/>
      </c>
      <c r="N2275" s="72" t="str">
        <f t="shared" si="4"/>
        <v/>
      </c>
    </row>
    <row r="2276" ht="14.25" customHeight="1">
      <c r="B2276" s="66" t="str">
        <f>IF(ROWS($1:2264)&lt;=Nper,ROWS($1:2264),"")</f>
        <v/>
      </c>
      <c r="C2276" s="67" t="str">
        <f>IF($B2276="","",IF($E$7="Weekly",Start_Date+7*(ROWS($1:2264)-1),EDATE(Start_Date,VLOOKUP(IF(ASTemp!$E$7="","Monthly",ASTemp!$E$7),Parameters!$B$3:$D$6,3,0)*(ROWS($1:2264)-1))))</f>
        <v/>
      </c>
      <c r="D2276" s="68" t="str">
        <f t="shared" si="2"/>
        <v/>
      </c>
      <c r="E2276" s="65" t="str">
        <f>IF($B2276="","",VLOOKUP(MONTH(C2276),Parameters!$F$2:$G$13,2,0))</f>
        <v/>
      </c>
      <c r="F2276" s="69" t="str">
        <f>IF($B2276="","",PV-N(J2275))</f>
        <v/>
      </c>
      <c r="G2276" s="69" t="str">
        <f>IF($B2276="","",PMT(Rate,Nper,-PV,,Type))</f>
        <v/>
      </c>
      <c r="H2276" s="69" t="str">
        <f>IF($B2276="","",PPMT(Rate,ROWS($1:2264),Nper,-PV,,Type))</f>
        <v/>
      </c>
      <c r="I2276" s="69" t="str">
        <f>IF($B2276="","",IPMT(Rate,ROWS($1:2264),Nper,-PV,,Type))</f>
        <v/>
      </c>
      <c r="J2276" s="73" t="str">
        <f t="shared" ref="J2276:K2276" si="2266">IF($B2276="","",N(J2275)+N(H2276))</f>
        <v/>
      </c>
      <c r="K2276" s="74" t="str">
        <f t="shared" si="2266"/>
        <v/>
      </c>
      <c r="L2276" s="69" t="str">
        <f>IF($B2276="","",PV-J2276)</f>
        <v/>
      </c>
      <c r="M2276" s="71" t="str">
        <f>IF($B2276="","",J2276/PV)</f>
        <v/>
      </c>
      <c r="N2276" s="72" t="str">
        <f t="shared" si="4"/>
        <v/>
      </c>
    </row>
    <row r="2277" ht="14.25" customHeight="1">
      <c r="B2277" s="66" t="str">
        <f>IF(ROWS($1:2265)&lt;=Nper,ROWS($1:2265),"")</f>
        <v/>
      </c>
      <c r="C2277" s="67" t="str">
        <f>IF($B2277="","",IF($E$7="Weekly",Start_Date+7*(ROWS($1:2265)-1),EDATE(Start_Date,VLOOKUP(IF(ASTemp!$E$7="","Monthly",ASTemp!$E$7),Parameters!$B$3:$D$6,3,0)*(ROWS($1:2265)-1))))</f>
        <v/>
      </c>
      <c r="D2277" s="68" t="str">
        <f t="shared" si="2"/>
        <v/>
      </c>
      <c r="E2277" s="65" t="str">
        <f>IF($B2277="","",VLOOKUP(MONTH(C2277),Parameters!$F$2:$G$13,2,0))</f>
        <v/>
      </c>
      <c r="F2277" s="69" t="str">
        <f>IF($B2277="","",PV-N(J2276))</f>
        <v/>
      </c>
      <c r="G2277" s="69" t="str">
        <f>IF($B2277="","",PMT(Rate,Nper,-PV,,Type))</f>
        <v/>
      </c>
      <c r="H2277" s="69" t="str">
        <f>IF($B2277="","",PPMT(Rate,ROWS($1:2265),Nper,-PV,,Type))</f>
        <v/>
      </c>
      <c r="I2277" s="69" t="str">
        <f>IF($B2277="","",IPMT(Rate,ROWS($1:2265),Nper,-PV,,Type))</f>
        <v/>
      </c>
      <c r="J2277" s="73" t="str">
        <f t="shared" ref="J2277:K2277" si="2267">IF($B2277="","",N(J2276)+N(H2277))</f>
        <v/>
      </c>
      <c r="K2277" s="74" t="str">
        <f t="shared" si="2267"/>
        <v/>
      </c>
      <c r="L2277" s="69" t="str">
        <f>IF($B2277="","",PV-J2277)</f>
        <v/>
      </c>
      <c r="M2277" s="71" t="str">
        <f>IF($B2277="","",J2277/PV)</f>
        <v/>
      </c>
      <c r="N2277" s="72" t="str">
        <f t="shared" si="4"/>
        <v/>
      </c>
    </row>
    <row r="2278" ht="14.25" customHeight="1">
      <c r="B2278" s="66" t="str">
        <f>IF(ROWS($1:2266)&lt;=Nper,ROWS($1:2266),"")</f>
        <v/>
      </c>
      <c r="C2278" s="67" t="str">
        <f>IF($B2278="","",IF($E$7="Weekly",Start_Date+7*(ROWS($1:2266)-1),EDATE(Start_Date,VLOOKUP(IF(ASTemp!$E$7="","Monthly",ASTemp!$E$7),Parameters!$B$3:$D$6,3,0)*(ROWS($1:2266)-1))))</f>
        <v/>
      </c>
      <c r="D2278" s="68" t="str">
        <f t="shared" si="2"/>
        <v/>
      </c>
      <c r="E2278" s="65" t="str">
        <f>IF($B2278="","",VLOOKUP(MONTH(C2278),Parameters!$F$2:$G$13,2,0))</f>
        <v/>
      </c>
      <c r="F2278" s="69" t="str">
        <f>IF($B2278="","",PV-N(J2277))</f>
        <v/>
      </c>
      <c r="G2278" s="69" t="str">
        <f>IF($B2278="","",PMT(Rate,Nper,-PV,,Type))</f>
        <v/>
      </c>
      <c r="H2278" s="69" t="str">
        <f>IF($B2278="","",PPMT(Rate,ROWS($1:2266),Nper,-PV,,Type))</f>
        <v/>
      </c>
      <c r="I2278" s="69" t="str">
        <f>IF($B2278="","",IPMT(Rate,ROWS($1:2266),Nper,-PV,,Type))</f>
        <v/>
      </c>
      <c r="J2278" s="73" t="str">
        <f t="shared" ref="J2278:K2278" si="2268">IF($B2278="","",N(J2277)+N(H2278))</f>
        <v/>
      </c>
      <c r="K2278" s="74" t="str">
        <f t="shared" si="2268"/>
        <v/>
      </c>
      <c r="L2278" s="69" t="str">
        <f>IF($B2278="","",PV-J2278)</f>
        <v/>
      </c>
      <c r="M2278" s="71" t="str">
        <f>IF($B2278="","",J2278/PV)</f>
        <v/>
      </c>
      <c r="N2278" s="72" t="str">
        <f t="shared" si="4"/>
        <v/>
      </c>
    </row>
    <row r="2279" ht="14.25" customHeight="1">
      <c r="B2279" s="66" t="str">
        <f>IF(ROWS($1:2267)&lt;=Nper,ROWS($1:2267),"")</f>
        <v/>
      </c>
      <c r="C2279" s="67" t="str">
        <f>IF($B2279="","",IF($E$7="Weekly",Start_Date+7*(ROWS($1:2267)-1),EDATE(Start_Date,VLOOKUP(IF(ASTemp!$E$7="","Monthly",ASTemp!$E$7),Parameters!$B$3:$D$6,3,0)*(ROWS($1:2267)-1))))</f>
        <v/>
      </c>
      <c r="D2279" s="68" t="str">
        <f t="shared" si="2"/>
        <v/>
      </c>
      <c r="E2279" s="65" t="str">
        <f>IF($B2279="","",VLOOKUP(MONTH(C2279),Parameters!$F$2:$G$13,2,0))</f>
        <v/>
      </c>
      <c r="F2279" s="69" t="str">
        <f>IF($B2279="","",PV-N(J2278))</f>
        <v/>
      </c>
      <c r="G2279" s="69" t="str">
        <f>IF($B2279="","",PMT(Rate,Nper,-PV,,Type))</f>
        <v/>
      </c>
      <c r="H2279" s="69" t="str">
        <f>IF($B2279="","",PPMT(Rate,ROWS($1:2267),Nper,-PV,,Type))</f>
        <v/>
      </c>
      <c r="I2279" s="69" t="str">
        <f>IF($B2279="","",IPMT(Rate,ROWS($1:2267),Nper,-PV,,Type))</f>
        <v/>
      </c>
      <c r="J2279" s="73" t="str">
        <f t="shared" ref="J2279:K2279" si="2269">IF($B2279="","",N(J2278)+N(H2279))</f>
        <v/>
      </c>
      <c r="K2279" s="74" t="str">
        <f t="shared" si="2269"/>
        <v/>
      </c>
      <c r="L2279" s="69" t="str">
        <f>IF($B2279="","",PV-J2279)</f>
        <v/>
      </c>
      <c r="M2279" s="71" t="str">
        <f>IF($B2279="","",J2279/PV)</f>
        <v/>
      </c>
      <c r="N2279" s="72" t="str">
        <f t="shared" si="4"/>
        <v/>
      </c>
    </row>
    <row r="2280" ht="14.25" customHeight="1">
      <c r="B2280" s="66" t="str">
        <f>IF(ROWS($1:2268)&lt;=Nper,ROWS($1:2268),"")</f>
        <v/>
      </c>
      <c r="C2280" s="67" t="str">
        <f>IF($B2280="","",IF($E$7="Weekly",Start_Date+7*(ROWS($1:2268)-1),EDATE(Start_Date,VLOOKUP(IF(ASTemp!$E$7="","Monthly",ASTemp!$E$7),Parameters!$B$3:$D$6,3,0)*(ROWS($1:2268)-1))))</f>
        <v/>
      </c>
      <c r="D2280" s="68" t="str">
        <f t="shared" si="2"/>
        <v/>
      </c>
      <c r="E2280" s="65" t="str">
        <f>IF($B2280="","",VLOOKUP(MONTH(C2280),Parameters!$F$2:$G$13,2,0))</f>
        <v/>
      </c>
      <c r="F2280" s="69" t="str">
        <f>IF($B2280="","",PV-N(J2279))</f>
        <v/>
      </c>
      <c r="G2280" s="69" t="str">
        <f>IF($B2280="","",PMT(Rate,Nper,-PV,,Type))</f>
        <v/>
      </c>
      <c r="H2280" s="69" t="str">
        <f>IF($B2280="","",PPMT(Rate,ROWS($1:2268),Nper,-PV,,Type))</f>
        <v/>
      </c>
      <c r="I2280" s="69" t="str">
        <f>IF($B2280="","",IPMT(Rate,ROWS($1:2268),Nper,-PV,,Type))</f>
        <v/>
      </c>
      <c r="J2280" s="73" t="str">
        <f t="shared" ref="J2280:K2280" si="2270">IF($B2280="","",N(J2279)+N(H2280))</f>
        <v/>
      </c>
      <c r="K2280" s="74" t="str">
        <f t="shared" si="2270"/>
        <v/>
      </c>
      <c r="L2280" s="69" t="str">
        <f>IF($B2280="","",PV-J2280)</f>
        <v/>
      </c>
      <c r="M2280" s="71" t="str">
        <f>IF($B2280="","",J2280/PV)</f>
        <v/>
      </c>
      <c r="N2280" s="72" t="str">
        <f t="shared" si="4"/>
        <v/>
      </c>
    </row>
    <row r="2281" ht="14.25" customHeight="1">
      <c r="B2281" s="66" t="str">
        <f>IF(ROWS($1:2269)&lt;=Nper,ROWS($1:2269),"")</f>
        <v/>
      </c>
      <c r="C2281" s="67" t="str">
        <f>IF($B2281="","",IF($E$7="Weekly",Start_Date+7*(ROWS($1:2269)-1),EDATE(Start_Date,VLOOKUP(IF(ASTemp!$E$7="","Monthly",ASTemp!$E$7),Parameters!$B$3:$D$6,3,0)*(ROWS($1:2269)-1))))</f>
        <v/>
      </c>
      <c r="D2281" s="68" t="str">
        <f t="shared" si="2"/>
        <v/>
      </c>
      <c r="E2281" s="65" t="str">
        <f>IF($B2281="","",VLOOKUP(MONTH(C2281),Parameters!$F$2:$G$13,2,0))</f>
        <v/>
      </c>
      <c r="F2281" s="69" t="str">
        <f>IF($B2281="","",PV-N(J2280))</f>
        <v/>
      </c>
      <c r="G2281" s="69" t="str">
        <f>IF($B2281="","",PMT(Rate,Nper,-PV,,Type))</f>
        <v/>
      </c>
      <c r="H2281" s="69" t="str">
        <f>IF($B2281="","",PPMT(Rate,ROWS($1:2269),Nper,-PV,,Type))</f>
        <v/>
      </c>
      <c r="I2281" s="69" t="str">
        <f>IF($B2281="","",IPMT(Rate,ROWS($1:2269),Nper,-PV,,Type))</f>
        <v/>
      </c>
      <c r="J2281" s="73" t="str">
        <f t="shared" ref="J2281:K2281" si="2271">IF($B2281="","",N(J2280)+N(H2281))</f>
        <v/>
      </c>
      <c r="K2281" s="74" t="str">
        <f t="shared" si="2271"/>
        <v/>
      </c>
      <c r="L2281" s="69" t="str">
        <f>IF($B2281="","",PV-J2281)</f>
        <v/>
      </c>
      <c r="M2281" s="71" t="str">
        <f>IF($B2281="","",J2281/PV)</f>
        <v/>
      </c>
      <c r="N2281" s="72" t="str">
        <f t="shared" si="4"/>
        <v/>
      </c>
    </row>
    <row r="2282" ht="14.25" customHeight="1">
      <c r="B2282" s="66" t="str">
        <f>IF(ROWS($1:2270)&lt;=Nper,ROWS($1:2270),"")</f>
        <v/>
      </c>
      <c r="C2282" s="67" t="str">
        <f>IF($B2282="","",IF($E$7="Weekly",Start_Date+7*(ROWS($1:2270)-1),EDATE(Start_Date,VLOOKUP(IF(ASTemp!$E$7="","Monthly",ASTemp!$E$7),Parameters!$B$3:$D$6,3,0)*(ROWS($1:2270)-1))))</f>
        <v/>
      </c>
      <c r="D2282" s="68" t="str">
        <f t="shared" si="2"/>
        <v/>
      </c>
      <c r="E2282" s="65" t="str">
        <f>IF($B2282="","",VLOOKUP(MONTH(C2282),Parameters!$F$2:$G$13,2,0))</f>
        <v/>
      </c>
      <c r="F2282" s="69" t="str">
        <f>IF($B2282="","",PV-N(J2281))</f>
        <v/>
      </c>
      <c r="G2282" s="69" t="str">
        <f>IF($B2282="","",PMT(Rate,Nper,-PV,,Type))</f>
        <v/>
      </c>
      <c r="H2282" s="69" t="str">
        <f>IF($B2282="","",PPMT(Rate,ROWS($1:2270),Nper,-PV,,Type))</f>
        <v/>
      </c>
      <c r="I2282" s="69" t="str">
        <f>IF($B2282="","",IPMT(Rate,ROWS($1:2270),Nper,-PV,,Type))</f>
        <v/>
      </c>
      <c r="J2282" s="73" t="str">
        <f t="shared" ref="J2282:K2282" si="2272">IF($B2282="","",N(J2281)+N(H2282))</f>
        <v/>
      </c>
      <c r="K2282" s="74" t="str">
        <f t="shared" si="2272"/>
        <v/>
      </c>
      <c r="L2282" s="69" t="str">
        <f>IF($B2282="","",PV-J2282)</f>
        <v/>
      </c>
      <c r="M2282" s="71" t="str">
        <f>IF($B2282="","",J2282/PV)</f>
        <v/>
      </c>
      <c r="N2282" s="72" t="str">
        <f t="shared" si="4"/>
        <v/>
      </c>
    </row>
    <row r="2283" ht="14.25" customHeight="1">
      <c r="B2283" s="66" t="str">
        <f>IF(ROWS($1:2271)&lt;=Nper,ROWS($1:2271),"")</f>
        <v/>
      </c>
      <c r="C2283" s="67" t="str">
        <f>IF($B2283="","",IF($E$7="Weekly",Start_Date+7*(ROWS($1:2271)-1),EDATE(Start_Date,VLOOKUP(IF(ASTemp!$E$7="","Monthly",ASTemp!$E$7),Parameters!$B$3:$D$6,3,0)*(ROWS($1:2271)-1))))</f>
        <v/>
      </c>
      <c r="D2283" s="68" t="str">
        <f t="shared" si="2"/>
        <v/>
      </c>
      <c r="E2283" s="65" t="str">
        <f>IF($B2283="","",VLOOKUP(MONTH(C2283),Parameters!$F$2:$G$13,2,0))</f>
        <v/>
      </c>
      <c r="F2283" s="69" t="str">
        <f>IF($B2283="","",PV-N(J2282))</f>
        <v/>
      </c>
      <c r="G2283" s="69" t="str">
        <f>IF($B2283="","",PMT(Rate,Nper,-PV,,Type))</f>
        <v/>
      </c>
      <c r="H2283" s="69" t="str">
        <f>IF($B2283="","",PPMT(Rate,ROWS($1:2271),Nper,-PV,,Type))</f>
        <v/>
      </c>
      <c r="I2283" s="69" t="str">
        <f>IF($B2283="","",IPMT(Rate,ROWS($1:2271),Nper,-PV,,Type))</f>
        <v/>
      </c>
      <c r="J2283" s="73" t="str">
        <f t="shared" ref="J2283:K2283" si="2273">IF($B2283="","",N(J2282)+N(H2283))</f>
        <v/>
      </c>
      <c r="K2283" s="74" t="str">
        <f t="shared" si="2273"/>
        <v/>
      </c>
      <c r="L2283" s="69" t="str">
        <f>IF($B2283="","",PV-J2283)</f>
        <v/>
      </c>
      <c r="M2283" s="71" t="str">
        <f>IF($B2283="","",J2283/PV)</f>
        <v/>
      </c>
      <c r="N2283" s="72" t="str">
        <f t="shared" si="4"/>
        <v/>
      </c>
    </row>
    <row r="2284" ht="14.25" customHeight="1">
      <c r="B2284" s="66" t="str">
        <f>IF(ROWS($1:2272)&lt;=Nper,ROWS($1:2272),"")</f>
        <v/>
      </c>
      <c r="C2284" s="67" t="str">
        <f>IF($B2284="","",IF($E$7="Weekly",Start_Date+7*(ROWS($1:2272)-1),EDATE(Start_Date,VLOOKUP(IF(ASTemp!$E$7="","Monthly",ASTemp!$E$7),Parameters!$B$3:$D$6,3,0)*(ROWS($1:2272)-1))))</f>
        <v/>
      </c>
      <c r="D2284" s="68" t="str">
        <f t="shared" si="2"/>
        <v/>
      </c>
      <c r="E2284" s="65" t="str">
        <f>IF($B2284="","",VLOOKUP(MONTH(C2284),Parameters!$F$2:$G$13,2,0))</f>
        <v/>
      </c>
      <c r="F2284" s="69" t="str">
        <f>IF($B2284="","",PV-N(J2283))</f>
        <v/>
      </c>
      <c r="G2284" s="69" t="str">
        <f>IF($B2284="","",PMT(Rate,Nper,-PV,,Type))</f>
        <v/>
      </c>
      <c r="H2284" s="69" t="str">
        <f>IF($B2284="","",PPMT(Rate,ROWS($1:2272),Nper,-PV,,Type))</f>
        <v/>
      </c>
      <c r="I2284" s="69" t="str">
        <f>IF($B2284="","",IPMT(Rate,ROWS($1:2272),Nper,-PV,,Type))</f>
        <v/>
      </c>
      <c r="J2284" s="73" t="str">
        <f t="shared" ref="J2284:K2284" si="2274">IF($B2284="","",N(J2283)+N(H2284))</f>
        <v/>
      </c>
      <c r="K2284" s="74" t="str">
        <f t="shared" si="2274"/>
        <v/>
      </c>
      <c r="L2284" s="69" t="str">
        <f>IF($B2284="","",PV-J2284)</f>
        <v/>
      </c>
      <c r="M2284" s="71" t="str">
        <f>IF($B2284="","",J2284/PV)</f>
        <v/>
      </c>
      <c r="N2284" s="72" t="str">
        <f t="shared" si="4"/>
        <v/>
      </c>
    </row>
    <row r="2285" ht="14.25" customHeight="1">
      <c r="B2285" s="66" t="str">
        <f>IF(ROWS($1:2273)&lt;=Nper,ROWS($1:2273),"")</f>
        <v/>
      </c>
      <c r="C2285" s="67" t="str">
        <f>IF($B2285="","",IF($E$7="Weekly",Start_Date+7*(ROWS($1:2273)-1),EDATE(Start_Date,VLOOKUP(IF(ASTemp!$E$7="","Monthly",ASTemp!$E$7),Parameters!$B$3:$D$6,3,0)*(ROWS($1:2273)-1))))</f>
        <v/>
      </c>
      <c r="D2285" s="68" t="str">
        <f t="shared" si="2"/>
        <v/>
      </c>
      <c r="E2285" s="65" t="str">
        <f>IF($B2285="","",VLOOKUP(MONTH(C2285),Parameters!$F$2:$G$13,2,0))</f>
        <v/>
      </c>
      <c r="F2285" s="69" t="str">
        <f>IF($B2285="","",PV-N(J2284))</f>
        <v/>
      </c>
      <c r="G2285" s="69" t="str">
        <f>IF($B2285="","",PMT(Rate,Nper,-PV,,Type))</f>
        <v/>
      </c>
      <c r="H2285" s="69" t="str">
        <f>IF($B2285="","",PPMT(Rate,ROWS($1:2273),Nper,-PV,,Type))</f>
        <v/>
      </c>
      <c r="I2285" s="69" t="str">
        <f>IF($B2285="","",IPMT(Rate,ROWS($1:2273),Nper,-PV,,Type))</f>
        <v/>
      </c>
      <c r="J2285" s="73" t="str">
        <f t="shared" ref="J2285:K2285" si="2275">IF($B2285="","",N(J2284)+N(H2285))</f>
        <v/>
      </c>
      <c r="K2285" s="74" t="str">
        <f t="shared" si="2275"/>
        <v/>
      </c>
      <c r="L2285" s="69" t="str">
        <f>IF($B2285="","",PV-J2285)</f>
        <v/>
      </c>
      <c r="M2285" s="71" t="str">
        <f>IF($B2285="","",J2285/PV)</f>
        <v/>
      </c>
      <c r="N2285" s="72" t="str">
        <f t="shared" si="4"/>
        <v/>
      </c>
    </row>
    <row r="2286" ht="14.25" customHeight="1">
      <c r="B2286" s="66" t="str">
        <f>IF(ROWS($1:2274)&lt;=Nper,ROWS($1:2274),"")</f>
        <v/>
      </c>
      <c r="C2286" s="67" t="str">
        <f>IF($B2286="","",IF($E$7="Weekly",Start_Date+7*(ROWS($1:2274)-1),EDATE(Start_Date,VLOOKUP(IF(ASTemp!$E$7="","Monthly",ASTemp!$E$7),Parameters!$B$3:$D$6,3,0)*(ROWS($1:2274)-1))))</f>
        <v/>
      </c>
      <c r="D2286" s="68" t="str">
        <f t="shared" si="2"/>
        <v/>
      </c>
      <c r="E2286" s="65" t="str">
        <f>IF($B2286="","",VLOOKUP(MONTH(C2286),Parameters!$F$2:$G$13,2,0))</f>
        <v/>
      </c>
      <c r="F2286" s="69" t="str">
        <f>IF($B2286="","",PV-N(J2285))</f>
        <v/>
      </c>
      <c r="G2286" s="69" t="str">
        <f>IF($B2286="","",PMT(Rate,Nper,-PV,,Type))</f>
        <v/>
      </c>
      <c r="H2286" s="69" t="str">
        <f>IF($B2286="","",PPMT(Rate,ROWS($1:2274),Nper,-PV,,Type))</f>
        <v/>
      </c>
      <c r="I2286" s="69" t="str">
        <f>IF($B2286="","",IPMT(Rate,ROWS($1:2274),Nper,-PV,,Type))</f>
        <v/>
      </c>
      <c r="J2286" s="73" t="str">
        <f t="shared" ref="J2286:K2286" si="2276">IF($B2286="","",N(J2285)+N(H2286))</f>
        <v/>
      </c>
      <c r="K2286" s="74" t="str">
        <f t="shared" si="2276"/>
        <v/>
      </c>
      <c r="L2286" s="69" t="str">
        <f>IF($B2286="","",PV-J2286)</f>
        <v/>
      </c>
      <c r="M2286" s="71" t="str">
        <f>IF($B2286="","",J2286/PV)</f>
        <v/>
      </c>
      <c r="N2286" s="72" t="str">
        <f t="shared" si="4"/>
        <v/>
      </c>
    </row>
    <row r="2287" ht="14.25" customHeight="1">
      <c r="B2287" s="66" t="str">
        <f>IF(ROWS($1:2275)&lt;=Nper,ROWS($1:2275),"")</f>
        <v/>
      </c>
      <c r="C2287" s="67" t="str">
        <f>IF($B2287="","",IF($E$7="Weekly",Start_Date+7*(ROWS($1:2275)-1),EDATE(Start_Date,VLOOKUP(IF(ASTemp!$E$7="","Monthly",ASTemp!$E$7),Parameters!$B$3:$D$6,3,0)*(ROWS($1:2275)-1))))</f>
        <v/>
      </c>
      <c r="D2287" s="68" t="str">
        <f t="shared" si="2"/>
        <v/>
      </c>
      <c r="E2287" s="65" t="str">
        <f>IF($B2287="","",VLOOKUP(MONTH(C2287),Parameters!$F$2:$G$13,2,0))</f>
        <v/>
      </c>
      <c r="F2287" s="69" t="str">
        <f>IF($B2287="","",PV-N(J2286))</f>
        <v/>
      </c>
      <c r="G2287" s="69" t="str">
        <f>IF($B2287="","",PMT(Rate,Nper,-PV,,Type))</f>
        <v/>
      </c>
      <c r="H2287" s="69" t="str">
        <f>IF($B2287="","",PPMT(Rate,ROWS($1:2275),Nper,-PV,,Type))</f>
        <v/>
      </c>
      <c r="I2287" s="69" t="str">
        <f>IF($B2287="","",IPMT(Rate,ROWS($1:2275),Nper,-PV,,Type))</f>
        <v/>
      </c>
      <c r="J2287" s="73" t="str">
        <f t="shared" ref="J2287:K2287" si="2277">IF($B2287="","",N(J2286)+N(H2287))</f>
        <v/>
      </c>
      <c r="K2287" s="74" t="str">
        <f t="shared" si="2277"/>
        <v/>
      </c>
      <c r="L2287" s="69" t="str">
        <f>IF($B2287="","",PV-J2287)</f>
        <v/>
      </c>
      <c r="M2287" s="71" t="str">
        <f>IF($B2287="","",J2287/PV)</f>
        <v/>
      </c>
      <c r="N2287" s="72" t="str">
        <f t="shared" si="4"/>
        <v/>
      </c>
    </row>
    <row r="2288" ht="14.25" customHeight="1">
      <c r="B2288" s="66" t="str">
        <f>IF(ROWS($1:2276)&lt;=Nper,ROWS($1:2276),"")</f>
        <v/>
      </c>
      <c r="C2288" s="67" t="str">
        <f>IF($B2288="","",IF($E$7="Weekly",Start_Date+7*(ROWS($1:2276)-1),EDATE(Start_Date,VLOOKUP(IF(ASTemp!$E$7="","Monthly",ASTemp!$E$7),Parameters!$B$3:$D$6,3,0)*(ROWS($1:2276)-1))))</f>
        <v/>
      </c>
      <c r="D2288" s="68" t="str">
        <f t="shared" si="2"/>
        <v/>
      </c>
      <c r="E2288" s="65" t="str">
        <f>IF($B2288="","",VLOOKUP(MONTH(C2288),Parameters!$F$2:$G$13,2,0))</f>
        <v/>
      </c>
      <c r="F2288" s="69" t="str">
        <f>IF($B2288="","",PV-N(J2287))</f>
        <v/>
      </c>
      <c r="G2288" s="69" t="str">
        <f>IF($B2288="","",PMT(Rate,Nper,-PV,,Type))</f>
        <v/>
      </c>
      <c r="H2288" s="69" t="str">
        <f>IF($B2288="","",PPMT(Rate,ROWS($1:2276),Nper,-PV,,Type))</f>
        <v/>
      </c>
      <c r="I2288" s="69" t="str">
        <f>IF($B2288="","",IPMT(Rate,ROWS($1:2276),Nper,-PV,,Type))</f>
        <v/>
      </c>
      <c r="J2288" s="73" t="str">
        <f t="shared" ref="J2288:K2288" si="2278">IF($B2288="","",N(J2287)+N(H2288))</f>
        <v/>
      </c>
      <c r="K2288" s="74" t="str">
        <f t="shared" si="2278"/>
        <v/>
      </c>
      <c r="L2288" s="69" t="str">
        <f>IF($B2288="","",PV-J2288)</f>
        <v/>
      </c>
      <c r="M2288" s="71" t="str">
        <f>IF($B2288="","",J2288/PV)</f>
        <v/>
      </c>
      <c r="N2288" s="72" t="str">
        <f t="shared" si="4"/>
        <v/>
      </c>
    </row>
    <row r="2289" ht="14.25" customHeight="1">
      <c r="B2289" s="66" t="str">
        <f>IF(ROWS($1:2277)&lt;=Nper,ROWS($1:2277),"")</f>
        <v/>
      </c>
      <c r="C2289" s="67" t="str">
        <f>IF($B2289="","",IF($E$7="Weekly",Start_Date+7*(ROWS($1:2277)-1),EDATE(Start_Date,VLOOKUP(IF(ASTemp!$E$7="","Monthly",ASTemp!$E$7),Parameters!$B$3:$D$6,3,0)*(ROWS($1:2277)-1))))</f>
        <v/>
      </c>
      <c r="D2289" s="68" t="str">
        <f t="shared" si="2"/>
        <v/>
      </c>
      <c r="E2289" s="65" t="str">
        <f>IF($B2289="","",VLOOKUP(MONTH(C2289),Parameters!$F$2:$G$13,2,0))</f>
        <v/>
      </c>
      <c r="F2289" s="69" t="str">
        <f>IF($B2289="","",PV-N(J2288))</f>
        <v/>
      </c>
      <c r="G2289" s="69" t="str">
        <f>IF($B2289="","",PMT(Rate,Nper,-PV,,Type))</f>
        <v/>
      </c>
      <c r="H2289" s="69" t="str">
        <f>IF($B2289="","",PPMT(Rate,ROWS($1:2277),Nper,-PV,,Type))</f>
        <v/>
      </c>
      <c r="I2289" s="69" t="str">
        <f>IF($B2289="","",IPMT(Rate,ROWS($1:2277),Nper,-PV,,Type))</f>
        <v/>
      </c>
      <c r="J2289" s="73" t="str">
        <f t="shared" ref="J2289:K2289" si="2279">IF($B2289="","",N(J2288)+N(H2289))</f>
        <v/>
      </c>
      <c r="K2289" s="74" t="str">
        <f t="shared" si="2279"/>
        <v/>
      </c>
      <c r="L2289" s="69" t="str">
        <f>IF($B2289="","",PV-J2289)</f>
        <v/>
      </c>
      <c r="M2289" s="71" t="str">
        <f>IF($B2289="","",J2289/PV)</f>
        <v/>
      </c>
      <c r="N2289" s="72" t="str">
        <f t="shared" si="4"/>
        <v/>
      </c>
    </row>
    <row r="2290" ht="14.25" customHeight="1">
      <c r="B2290" s="66" t="str">
        <f>IF(ROWS($1:2278)&lt;=Nper,ROWS($1:2278),"")</f>
        <v/>
      </c>
      <c r="C2290" s="67" t="str">
        <f>IF($B2290="","",IF($E$7="Weekly",Start_Date+7*(ROWS($1:2278)-1),EDATE(Start_Date,VLOOKUP(IF(ASTemp!$E$7="","Monthly",ASTemp!$E$7),Parameters!$B$3:$D$6,3,0)*(ROWS($1:2278)-1))))</f>
        <v/>
      </c>
      <c r="D2290" s="68" t="str">
        <f t="shared" si="2"/>
        <v/>
      </c>
      <c r="E2290" s="65" t="str">
        <f>IF($B2290="","",VLOOKUP(MONTH(C2290),Parameters!$F$2:$G$13,2,0))</f>
        <v/>
      </c>
      <c r="F2290" s="69" t="str">
        <f>IF($B2290="","",PV-N(J2289))</f>
        <v/>
      </c>
      <c r="G2290" s="69" t="str">
        <f>IF($B2290="","",PMT(Rate,Nper,-PV,,Type))</f>
        <v/>
      </c>
      <c r="H2290" s="69" t="str">
        <f>IF($B2290="","",PPMT(Rate,ROWS($1:2278),Nper,-PV,,Type))</f>
        <v/>
      </c>
      <c r="I2290" s="69" t="str">
        <f>IF($B2290="","",IPMT(Rate,ROWS($1:2278),Nper,-PV,,Type))</f>
        <v/>
      </c>
      <c r="J2290" s="73" t="str">
        <f t="shared" ref="J2290:K2290" si="2280">IF($B2290="","",N(J2289)+N(H2290))</f>
        <v/>
      </c>
      <c r="K2290" s="74" t="str">
        <f t="shared" si="2280"/>
        <v/>
      </c>
      <c r="L2290" s="69" t="str">
        <f>IF($B2290="","",PV-J2290)</f>
        <v/>
      </c>
      <c r="M2290" s="71" t="str">
        <f>IF($B2290="","",J2290/PV)</f>
        <v/>
      </c>
      <c r="N2290" s="72" t="str">
        <f t="shared" si="4"/>
        <v/>
      </c>
    </row>
    <row r="2291" ht="14.25" customHeight="1">
      <c r="B2291" s="66" t="str">
        <f>IF(ROWS($1:2279)&lt;=Nper,ROWS($1:2279),"")</f>
        <v/>
      </c>
      <c r="C2291" s="67" t="str">
        <f>IF($B2291="","",IF($E$7="Weekly",Start_Date+7*(ROWS($1:2279)-1),EDATE(Start_Date,VLOOKUP(IF(ASTemp!$E$7="","Monthly",ASTemp!$E$7),Parameters!$B$3:$D$6,3,0)*(ROWS($1:2279)-1))))</f>
        <v/>
      </c>
      <c r="D2291" s="68" t="str">
        <f t="shared" si="2"/>
        <v/>
      </c>
      <c r="E2291" s="65" t="str">
        <f>IF($B2291="","",VLOOKUP(MONTH(C2291),Parameters!$F$2:$G$13,2,0))</f>
        <v/>
      </c>
      <c r="F2291" s="69" t="str">
        <f>IF($B2291="","",PV-N(J2290))</f>
        <v/>
      </c>
      <c r="G2291" s="69" t="str">
        <f>IF($B2291="","",PMT(Rate,Nper,-PV,,Type))</f>
        <v/>
      </c>
      <c r="H2291" s="69" t="str">
        <f>IF($B2291="","",PPMT(Rate,ROWS($1:2279),Nper,-PV,,Type))</f>
        <v/>
      </c>
      <c r="I2291" s="69" t="str">
        <f>IF($B2291="","",IPMT(Rate,ROWS($1:2279),Nper,-PV,,Type))</f>
        <v/>
      </c>
      <c r="J2291" s="73" t="str">
        <f t="shared" ref="J2291:K2291" si="2281">IF($B2291="","",N(J2290)+N(H2291))</f>
        <v/>
      </c>
      <c r="K2291" s="74" t="str">
        <f t="shared" si="2281"/>
        <v/>
      </c>
      <c r="L2291" s="69" t="str">
        <f>IF($B2291="","",PV-J2291)</f>
        <v/>
      </c>
      <c r="M2291" s="71" t="str">
        <f>IF($B2291="","",J2291/PV)</f>
        <v/>
      </c>
      <c r="N2291" s="72" t="str">
        <f t="shared" si="4"/>
        <v/>
      </c>
    </row>
    <row r="2292" ht="14.25" customHeight="1">
      <c r="B2292" s="66" t="str">
        <f>IF(ROWS($1:2280)&lt;=Nper,ROWS($1:2280),"")</f>
        <v/>
      </c>
      <c r="C2292" s="67" t="str">
        <f>IF($B2292="","",IF($E$7="Weekly",Start_Date+7*(ROWS($1:2280)-1),EDATE(Start_Date,VLOOKUP(IF(ASTemp!$E$7="","Monthly",ASTemp!$E$7),Parameters!$B$3:$D$6,3,0)*(ROWS($1:2280)-1))))</f>
        <v/>
      </c>
      <c r="D2292" s="68" t="str">
        <f t="shared" si="2"/>
        <v/>
      </c>
      <c r="E2292" s="65" t="str">
        <f>IF($B2292="","",VLOOKUP(MONTH(C2292),Parameters!$F$2:$G$13,2,0))</f>
        <v/>
      </c>
      <c r="F2292" s="69" t="str">
        <f>IF($B2292="","",PV-N(J2291))</f>
        <v/>
      </c>
      <c r="G2292" s="69" t="str">
        <f>IF($B2292="","",PMT(Rate,Nper,-PV,,Type))</f>
        <v/>
      </c>
      <c r="H2292" s="69" t="str">
        <f>IF($B2292="","",PPMT(Rate,ROWS($1:2280),Nper,-PV,,Type))</f>
        <v/>
      </c>
      <c r="I2292" s="69" t="str">
        <f>IF($B2292="","",IPMT(Rate,ROWS($1:2280),Nper,-PV,,Type))</f>
        <v/>
      </c>
      <c r="J2292" s="73" t="str">
        <f t="shared" ref="J2292:K2292" si="2282">IF($B2292="","",N(J2291)+N(H2292))</f>
        <v/>
      </c>
      <c r="K2292" s="74" t="str">
        <f t="shared" si="2282"/>
        <v/>
      </c>
      <c r="L2292" s="69" t="str">
        <f>IF($B2292="","",PV-J2292)</f>
        <v/>
      </c>
      <c r="M2292" s="71" t="str">
        <f>IF($B2292="","",J2292/PV)</f>
        <v/>
      </c>
      <c r="N2292" s="72" t="str">
        <f t="shared" si="4"/>
        <v/>
      </c>
    </row>
    <row r="2293" ht="14.25" customHeight="1">
      <c r="B2293" s="66" t="str">
        <f>IF(ROWS($1:2281)&lt;=Nper,ROWS($1:2281),"")</f>
        <v/>
      </c>
      <c r="C2293" s="67" t="str">
        <f>IF($B2293="","",IF($E$7="Weekly",Start_Date+7*(ROWS($1:2281)-1),EDATE(Start_Date,VLOOKUP(IF(ASTemp!$E$7="","Monthly",ASTemp!$E$7),Parameters!$B$3:$D$6,3,0)*(ROWS($1:2281)-1))))</f>
        <v/>
      </c>
      <c r="D2293" s="68" t="str">
        <f t="shared" si="2"/>
        <v/>
      </c>
      <c r="E2293" s="65" t="str">
        <f>IF($B2293="","",VLOOKUP(MONTH(C2293),Parameters!$F$2:$G$13,2,0))</f>
        <v/>
      </c>
      <c r="F2293" s="69" t="str">
        <f>IF($B2293="","",PV-N(J2292))</f>
        <v/>
      </c>
      <c r="G2293" s="69" t="str">
        <f>IF($B2293="","",PMT(Rate,Nper,-PV,,Type))</f>
        <v/>
      </c>
      <c r="H2293" s="69" t="str">
        <f>IF($B2293="","",PPMT(Rate,ROWS($1:2281),Nper,-PV,,Type))</f>
        <v/>
      </c>
      <c r="I2293" s="69" t="str">
        <f>IF($B2293="","",IPMT(Rate,ROWS($1:2281),Nper,-PV,,Type))</f>
        <v/>
      </c>
      <c r="J2293" s="73" t="str">
        <f t="shared" ref="J2293:K2293" si="2283">IF($B2293="","",N(J2292)+N(H2293))</f>
        <v/>
      </c>
      <c r="K2293" s="74" t="str">
        <f t="shared" si="2283"/>
        <v/>
      </c>
      <c r="L2293" s="69" t="str">
        <f>IF($B2293="","",PV-J2293)</f>
        <v/>
      </c>
      <c r="M2293" s="71" t="str">
        <f>IF($B2293="","",J2293/PV)</f>
        <v/>
      </c>
      <c r="N2293" s="72" t="str">
        <f t="shared" si="4"/>
        <v/>
      </c>
    </row>
    <row r="2294" ht="14.25" customHeight="1">
      <c r="B2294" s="66" t="str">
        <f>IF(ROWS($1:2282)&lt;=Nper,ROWS($1:2282),"")</f>
        <v/>
      </c>
      <c r="C2294" s="67" t="str">
        <f>IF($B2294="","",IF($E$7="Weekly",Start_Date+7*(ROWS($1:2282)-1),EDATE(Start_Date,VLOOKUP(IF(ASTemp!$E$7="","Monthly",ASTemp!$E$7),Parameters!$B$3:$D$6,3,0)*(ROWS($1:2282)-1))))</f>
        <v/>
      </c>
      <c r="D2294" s="68" t="str">
        <f t="shared" si="2"/>
        <v/>
      </c>
      <c r="E2294" s="65" t="str">
        <f>IF($B2294="","",VLOOKUP(MONTH(C2294),Parameters!$F$2:$G$13,2,0))</f>
        <v/>
      </c>
      <c r="F2294" s="69" t="str">
        <f>IF($B2294="","",PV-N(J2293))</f>
        <v/>
      </c>
      <c r="G2294" s="69" t="str">
        <f>IF($B2294="","",PMT(Rate,Nper,-PV,,Type))</f>
        <v/>
      </c>
      <c r="H2294" s="69" t="str">
        <f>IF($B2294="","",PPMT(Rate,ROWS($1:2282),Nper,-PV,,Type))</f>
        <v/>
      </c>
      <c r="I2294" s="69" t="str">
        <f>IF($B2294="","",IPMT(Rate,ROWS($1:2282),Nper,-PV,,Type))</f>
        <v/>
      </c>
      <c r="J2294" s="73" t="str">
        <f t="shared" ref="J2294:K2294" si="2284">IF($B2294="","",N(J2293)+N(H2294))</f>
        <v/>
      </c>
      <c r="K2294" s="74" t="str">
        <f t="shared" si="2284"/>
        <v/>
      </c>
      <c r="L2294" s="69" t="str">
        <f>IF($B2294="","",PV-J2294)</f>
        <v/>
      </c>
      <c r="M2294" s="71" t="str">
        <f>IF($B2294="","",J2294/PV)</f>
        <v/>
      </c>
      <c r="N2294" s="72" t="str">
        <f t="shared" si="4"/>
        <v/>
      </c>
    </row>
    <row r="2295" ht="14.25" customHeight="1">
      <c r="B2295" s="66" t="str">
        <f>IF(ROWS($1:2283)&lt;=Nper,ROWS($1:2283),"")</f>
        <v/>
      </c>
      <c r="C2295" s="67" t="str">
        <f>IF($B2295="","",IF($E$7="Weekly",Start_Date+7*(ROWS($1:2283)-1),EDATE(Start_Date,VLOOKUP(IF(ASTemp!$E$7="","Monthly",ASTemp!$E$7),Parameters!$B$3:$D$6,3,0)*(ROWS($1:2283)-1))))</f>
        <v/>
      </c>
      <c r="D2295" s="68" t="str">
        <f t="shared" si="2"/>
        <v/>
      </c>
      <c r="E2295" s="65" t="str">
        <f>IF($B2295="","",VLOOKUP(MONTH(C2295),Parameters!$F$2:$G$13,2,0))</f>
        <v/>
      </c>
      <c r="F2295" s="69" t="str">
        <f>IF($B2295="","",PV-N(J2294))</f>
        <v/>
      </c>
      <c r="G2295" s="69" t="str">
        <f>IF($B2295="","",PMT(Rate,Nper,-PV,,Type))</f>
        <v/>
      </c>
      <c r="H2295" s="69" t="str">
        <f>IF($B2295="","",PPMT(Rate,ROWS($1:2283),Nper,-PV,,Type))</f>
        <v/>
      </c>
      <c r="I2295" s="69" t="str">
        <f>IF($B2295="","",IPMT(Rate,ROWS($1:2283),Nper,-PV,,Type))</f>
        <v/>
      </c>
      <c r="J2295" s="73" t="str">
        <f t="shared" ref="J2295:K2295" si="2285">IF($B2295="","",N(J2294)+N(H2295))</f>
        <v/>
      </c>
      <c r="K2295" s="74" t="str">
        <f t="shared" si="2285"/>
        <v/>
      </c>
      <c r="L2295" s="69" t="str">
        <f>IF($B2295="","",PV-J2295)</f>
        <v/>
      </c>
      <c r="M2295" s="71" t="str">
        <f>IF($B2295="","",J2295/PV)</f>
        <v/>
      </c>
      <c r="N2295" s="72" t="str">
        <f t="shared" si="4"/>
        <v/>
      </c>
    </row>
    <row r="2296" ht="14.25" customHeight="1">
      <c r="B2296" s="66" t="str">
        <f>IF(ROWS($1:2284)&lt;=Nper,ROWS($1:2284),"")</f>
        <v/>
      </c>
      <c r="C2296" s="67" t="str">
        <f>IF($B2296="","",IF($E$7="Weekly",Start_Date+7*(ROWS($1:2284)-1),EDATE(Start_Date,VLOOKUP(IF(ASTemp!$E$7="","Monthly",ASTemp!$E$7),Parameters!$B$3:$D$6,3,0)*(ROWS($1:2284)-1))))</f>
        <v/>
      </c>
      <c r="D2296" s="68" t="str">
        <f t="shared" si="2"/>
        <v/>
      </c>
      <c r="E2296" s="65" t="str">
        <f>IF($B2296="","",VLOOKUP(MONTH(C2296),Parameters!$F$2:$G$13,2,0))</f>
        <v/>
      </c>
      <c r="F2296" s="69" t="str">
        <f>IF($B2296="","",PV-N(J2295))</f>
        <v/>
      </c>
      <c r="G2296" s="69" t="str">
        <f>IF($B2296="","",PMT(Rate,Nper,-PV,,Type))</f>
        <v/>
      </c>
      <c r="H2296" s="69" t="str">
        <f>IF($B2296="","",PPMT(Rate,ROWS($1:2284),Nper,-PV,,Type))</f>
        <v/>
      </c>
      <c r="I2296" s="69" t="str">
        <f>IF($B2296="","",IPMT(Rate,ROWS($1:2284),Nper,-PV,,Type))</f>
        <v/>
      </c>
      <c r="J2296" s="73" t="str">
        <f t="shared" ref="J2296:K2296" si="2286">IF($B2296="","",N(J2295)+N(H2296))</f>
        <v/>
      </c>
      <c r="K2296" s="74" t="str">
        <f t="shared" si="2286"/>
        <v/>
      </c>
      <c r="L2296" s="69" t="str">
        <f>IF($B2296="","",PV-J2296)</f>
        <v/>
      </c>
      <c r="M2296" s="71" t="str">
        <f>IF($B2296="","",J2296/PV)</f>
        <v/>
      </c>
      <c r="N2296" s="72" t="str">
        <f t="shared" si="4"/>
        <v/>
      </c>
    </row>
    <row r="2297" ht="14.25" customHeight="1">
      <c r="B2297" s="66" t="str">
        <f>IF(ROWS($1:2285)&lt;=Nper,ROWS($1:2285),"")</f>
        <v/>
      </c>
      <c r="C2297" s="67" t="str">
        <f>IF($B2297="","",IF($E$7="Weekly",Start_Date+7*(ROWS($1:2285)-1),EDATE(Start_Date,VLOOKUP(IF(ASTemp!$E$7="","Monthly",ASTemp!$E$7),Parameters!$B$3:$D$6,3,0)*(ROWS($1:2285)-1))))</f>
        <v/>
      </c>
      <c r="D2297" s="68" t="str">
        <f t="shared" si="2"/>
        <v/>
      </c>
      <c r="E2297" s="65" t="str">
        <f>IF($B2297="","",VLOOKUP(MONTH(C2297),Parameters!$F$2:$G$13,2,0))</f>
        <v/>
      </c>
      <c r="F2297" s="69" t="str">
        <f>IF($B2297="","",PV-N(J2296))</f>
        <v/>
      </c>
      <c r="G2297" s="69" t="str">
        <f>IF($B2297="","",PMT(Rate,Nper,-PV,,Type))</f>
        <v/>
      </c>
      <c r="H2297" s="69" t="str">
        <f>IF($B2297="","",PPMT(Rate,ROWS($1:2285),Nper,-PV,,Type))</f>
        <v/>
      </c>
      <c r="I2297" s="69" t="str">
        <f>IF($B2297="","",IPMT(Rate,ROWS($1:2285),Nper,-PV,,Type))</f>
        <v/>
      </c>
      <c r="J2297" s="73" t="str">
        <f t="shared" ref="J2297:K2297" si="2287">IF($B2297="","",N(J2296)+N(H2297))</f>
        <v/>
      </c>
      <c r="K2297" s="74" t="str">
        <f t="shared" si="2287"/>
        <v/>
      </c>
      <c r="L2297" s="69" t="str">
        <f>IF($B2297="","",PV-J2297)</f>
        <v/>
      </c>
      <c r="M2297" s="71" t="str">
        <f>IF($B2297="","",J2297/PV)</f>
        <v/>
      </c>
      <c r="N2297" s="72" t="str">
        <f t="shared" si="4"/>
        <v/>
      </c>
    </row>
    <row r="2298" ht="14.25" customHeight="1">
      <c r="B2298" s="66" t="str">
        <f>IF(ROWS($1:2286)&lt;=Nper,ROWS($1:2286),"")</f>
        <v/>
      </c>
      <c r="C2298" s="67" t="str">
        <f>IF($B2298="","",IF($E$7="Weekly",Start_Date+7*(ROWS($1:2286)-1),EDATE(Start_Date,VLOOKUP(IF(ASTemp!$E$7="","Monthly",ASTemp!$E$7),Parameters!$B$3:$D$6,3,0)*(ROWS($1:2286)-1))))</f>
        <v/>
      </c>
      <c r="D2298" s="68" t="str">
        <f t="shared" si="2"/>
        <v/>
      </c>
      <c r="E2298" s="65" t="str">
        <f>IF($B2298="","",VLOOKUP(MONTH(C2298),Parameters!$F$2:$G$13,2,0))</f>
        <v/>
      </c>
      <c r="F2298" s="69" t="str">
        <f>IF($B2298="","",PV-N(J2297))</f>
        <v/>
      </c>
      <c r="G2298" s="69" t="str">
        <f>IF($B2298="","",PMT(Rate,Nper,-PV,,Type))</f>
        <v/>
      </c>
      <c r="H2298" s="69" t="str">
        <f>IF($B2298="","",PPMT(Rate,ROWS($1:2286),Nper,-PV,,Type))</f>
        <v/>
      </c>
      <c r="I2298" s="69" t="str">
        <f>IF($B2298="","",IPMT(Rate,ROWS($1:2286),Nper,-PV,,Type))</f>
        <v/>
      </c>
      <c r="J2298" s="73" t="str">
        <f t="shared" ref="J2298:K2298" si="2288">IF($B2298="","",N(J2297)+N(H2298))</f>
        <v/>
      </c>
      <c r="K2298" s="74" t="str">
        <f t="shared" si="2288"/>
        <v/>
      </c>
      <c r="L2298" s="69" t="str">
        <f>IF($B2298="","",PV-J2298)</f>
        <v/>
      </c>
      <c r="M2298" s="71" t="str">
        <f>IF($B2298="","",J2298/PV)</f>
        <v/>
      </c>
      <c r="N2298" s="72" t="str">
        <f t="shared" si="4"/>
        <v/>
      </c>
    </row>
    <row r="2299" ht="14.25" customHeight="1">
      <c r="B2299" s="66" t="str">
        <f>IF(ROWS($1:2287)&lt;=Nper,ROWS($1:2287),"")</f>
        <v/>
      </c>
      <c r="C2299" s="67" t="str">
        <f>IF($B2299="","",IF($E$7="Weekly",Start_Date+7*(ROWS($1:2287)-1),EDATE(Start_Date,VLOOKUP(IF(ASTemp!$E$7="","Monthly",ASTemp!$E$7),Parameters!$B$3:$D$6,3,0)*(ROWS($1:2287)-1))))</f>
        <v/>
      </c>
      <c r="D2299" s="68" t="str">
        <f t="shared" si="2"/>
        <v/>
      </c>
      <c r="E2299" s="65" t="str">
        <f>IF($B2299="","",VLOOKUP(MONTH(C2299),Parameters!$F$2:$G$13,2,0))</f>
        <v/>
      </c>
      <c r="F2299" s="69" t="str">
        <f>IF($B2299="","",PV-N(J2298))</f>
        <v/>
      </c>
      <c r="G2299" s="69" t="str">
        <f>IF($B2299="","",PMT(Rate,Nper,-PV,,Type))</f>
        <v/>
      </c>
      <c r="H2299" s="69" t="str">
        <f>IF($B2299="","",PPMT(Rate,ROWS($1:2287),Nper,-PV,,Type))</f>
        <v/>
      </c>
      <c r="I2299" s="69" t="str">
        <f>IF($B2299="","",IPMT(Rate,ROWS($1:2287),Nper,-PV,,Type))</f>
        <v/>
      </c>
      <c r="J2299" s="73" t="str">
        <f t="shared" ref="J2299:K2299" si="2289">IF($B2299="","",N(J2298)+N(H2299))</f>
        <v/>
      </c>
      <c r="K2299" s="74" t="str">
        <f t="shared" si="2289"/>
        <v/>
      </c>
      <c r="L2299" s="69" t="str">
        <f>IF($B2299="","",PV-J2299)</f>
        <v/>
      </c>
      <c r="M2299" s="71" t="str">
        <f>IF($B2299="","",J2299/PV)</f>
        <v/>
      </c>
      <c r="N2299" s="72" t="str">
        <f t="shared" si="4"/>
        <v/>
      </c>
    </row>
    <row r="2300" ht="14.25" customHeight="1">
      <c r="B2300" s="66" t="str">
        <f>IF(ROWS($1:2288)&lt;=Nper,ROWS($1:2288),"")</f>
        <v/>
      </c>
      <c r="C2300" s="67" t="str">
        <f>IF($B2300="","",IF($E$7="Weekly",Start_Date+7*(ROWS($1:2288)-1),EDATE(Start_Date,VLOOKUP(IF(ASTemp!$E$7="","Monthly",ASTemp!$E$7),Parameters!$B$3:$D$6,3,0)*(ROWS($1:2288)-1))))</f>
        <v/>
      </c>
      <c r="D2300" s="68" t="str">
        <f t="shared" si="2"/>
        <v/>
      </c>
      <c r="E2300" s="65" t="str">
        <f>IF($B2300="","",VLOOKUP(MONTH(C2300),Parameters!$F$2:$G$13,2,0))</f>
        <v/>
      </c>
      <c r="F2300" s="69" t="str">
        <f>IF($B2300="","",PV-N(J2299))</f>
        <v/>
      </c>
      <c r="G2300" s="69" t="str">
        <f>IF($B2300="","",PMT(Rate,Nper,-PV,,Type))</f>
        <v/>
      </c>
      <c r="H2300" s="69" t="str">
        <f>IF($B2300="","",PPMT(Rate,ROWS($1:2288),Nper,-PV,,Type))</f>
        <v/>
      </c>
      <c r="I2300" s="69" t="str">
        <f>IF($B2300="","",IPMT(Rate,ROWS($1:2288),Nper,-PV,,Type))</f>
        <v/>
      </c>
      <c r="J2300" s="73" t="str">
        <f t="shared" ref="J2300:K2300" si="2290">IF($B2300="","",N(J2299)+N(H2300))</f>
        <v/>
      </c>
      <c r="K2300" s="74" t="str">
        <f t="shared" si="2290"/>
        <v/>
      </c>
      <c r="L2300" s="69" t="str">
        <f>IF($B2300="","",PV-J2300)</f>
        <v/>
      </c>
      <c r="M2300" s="71" t="str">
        <f>IF($B2300="","",J2300/PV)</f>
        <v/>
      </c>
      <c r="N2300" s="72" t="str">
        <f t="shared" si="4"/>
        <v/>
      </c>
    </row>
    <row r="2301" ht="14.25" customHeight="1">
      <c r="B2301" s="66" t="str">
        <f>IF(ROWS($1:2289)&lt;=Nper,ROWS($1:2289),"")</f>
        <v/>
      </c>
      <c r="C2301" s="67" t="str">
        <f>IF($B2301="","",IF($E$7="Weekly",Start_Date+7*(ROWS($1:2289)-1),EDATE(Start_Date,VLOOKUP(IF(ASTemp!$E$7="","Monthly",ASTemp!$E$7),Parameters!$B$3:$D$6,3,0)*(ROWS($1:2289)-1))))</f>
        <v/>
      </c>
      <c r="D2301" s="68" t="str">
        <f t="shared" si="2"/>
        <v/>
      </c>
      <c r="E2301" s="65" t="str">
        <f>IF($B2301="","",VLOOKUP(MONTH(C2301),Parameters!$F$2:$G$13,2,0))</f>
        <v/>
      </c>
      <c r="F2301" s="69" t="str">
        <f>IF($B2301="","",PV-N(J2300))</f>
        <v/>
      </c>
      <c r="G2301" s="69" t="str">
        <f>IF($B2301="","",PMT(Rate,Nper,-PV,,Type))</f>
        <v/>
      </c>
      <c r="H2301" s="69" t="str">
        <f>IF($B2301="","",PPMT(Rate,ROWS($1:2289),Nper,-PV,,Type))</f>
        <v/>
      </c>
      <c r="I2301" s="69" t="str">
        <f>IF($B2301="","",IPMT(Rate,ROWS($1:2289),Nper,-PV,,Type))</f>
        <v/>
      </c>
      <c r="J2301" s="73" t="str">
        <f t="shared" ref="J2301:K2301" si="2291">IF($B2301="","",N(J2300)+N(H2301))</f>
        <v/>
      </c>
      <c r="K2301" s="74" t="str">
        <f t="shared" si="2291"/>
        <v/>
      </c>
      <c r="L2301" s="69" t="str">
        <f>IF($B2301="","",PV-J2301)</f>
        <v/>
      </c>
      <c r="M2301" s="71" t="str">
        <f>IF($B2301="","",J2301/PV)</f>
        <v/>
      </c>
      <c r="N2301" s="72" t="str">
        <f t="shared" si="4"/>
        <v/>
      </c>
    </row>
    <row r="2302" ht="14.25" customHeight="1">
      <c r="B2302" s="66" t="str">
        <f>IF(ROWS($1:2290)&lt;=Nper,ROWS($1:2290),"")</f>
        <v/>
      </c>
      <c r="C2302" s="67" t="str">
        <f>IF($B2302="","",IF($E$7="Weekly",Start_Date+7*(ROWS($1:2290)-1),EDATE(Start_Date,VLOOKUP(IF(ASTemp!$E$7="","Monthly",ASTemp!$E$7),Parameters!$B$3:$D$6,3,0)*(ROWS($1:2290)-1))))</f>
        <v/>
      </c>
      <c r="D2302" s="68" t="str">
        <f t="shared" si="2"/>
        <v/>
      </c>
      <c r="E2302" s="65" t="str">
        <f>IF($B2302="","",VLOOKUP(MONTH(C2302),Parameters!$F$2:$G$13,2,0))</f>
        <v/>
      </c>
      <c r="F2302" s="69" t="str">
        <f>IF($B2302="","",PV-N(J2301))</f>
        <v/>
      </c>
      <c r="G2302" s="69" t="str">
        <f>IF($B2302="","",PMT(Rate,Nper,-PV,,Type))</f>
        <v/>
      </c>
      <c r="H2302" s="69" t="str">
        <f>IF($B2302="","",PPMT(Rate,ROWS($1:2290),Nper,-PV,,Type))</f>
        <v/>
      </c>
      <c r="I2302" s="69" t="str">
        <f>IF($B2302="","",IPMT(Rate,ROWS($1:2290),Nper,-PV,,Type))</f>
        <v/>
      </c>
      <c r="J2302" s="73" t="str">
        <f t="shared" ref="J2302:K2302" si="2292">IF($B2302="","",N(J2301)+N(H2302))</f>
        <v/>
      </c>
      <c r="K2302" s="74" t="str">
        <f t="shared" si="2292"/>
        <v/>
      </c>
      <c r="L2302" s="69" t="str">
        <f>IF($B2302="","",PV-J2302)</f>
        <v/>
      </c>
      <c r="M2302" s="71" t="str">
        <f>IF($B2302="","",J2302/PV)</f>
        <v/>
      </c>
      <c r="N2302" s="72" t="str">
        <f t="shared" si="4"/>
        <v/>
      </c>
    </row>
    <row r="2303" ht="14.25" customHeight="1">
      <c r="B2303" s="66" t="str">
        <f>IF(ROWS($1:2291)&lt;=Nper,ROWS($1:2291),"")</f>
        <v/>
      </c>
      <c r="C2303" s="67" t="str">
        <f>IF($B2303="","",IF($E$7="Weekly",Start_Date+7*(ROWS($1:2291)-1),EDATE(Start_Date,VLOOKUP(IF(ASTemp!$E$7="","Monthly",ASTemp!$E$7),Parameters!$B$3:$D$6,3,0)*(ROWS($1:2291)-1))))</f>
        <v/>
      </c>
      <c r="D2303" s="68" t="str">
        <f t="shared" si="2"/>
        <v/>
      </c>
      <c r="E2303" s="65" t="str">
        <f>IF($B2303="","",VLOOKUP(MONTH(C2303),Parameters!$F$2:$G$13,2,0))</f>
        <v/>
      </c>
      <c r="F2303" s="69" t="str">
        <f>IF($B2303="","",PV-N(J2302))</f>
        <v/>
      </c>
      <c r="G2303" s="69" t="str">
        <f>IF($B2303="","",PMT(Rate,Nper,-PV,,Type))</f>
        <v/>
      </c>
      <c r="H2303" s="69" t="str">
        <f>IF($B2303="","",PPMT(Rate,ROWS($1:2291),Nper,-PV,,Type))</f>
        <v/>
      </c>
      <c r="I2303" s="69" t="str">
        <f>IF($B2303="","",IPMT(Rate,ROWS($1:2291),Nper,-PV,,Type))</f>
        <v/>
      </c>
      <c r="J2303" s="73" t="str">
        <f t="shared" ref="J2303:K2303" si="2293">IF($B2303="","",N(J2302)+N(H2303))</f>
        <v/>
      </c>
      <c r="K2303" s="74" t="str">
        <f t="shared" si="2293"/>
        <v/>
      </c>
      <c r="L2303" s="69" t="str">
        <f>IF($B2303="","",PV-J2303)</f>
        <v/>
      </c>
      <c r="M2303" s="71" t="str">
        <f>IF($B2303="","",J2303/PV)</f>
        <v/>
      </c>
      <c r="N2303" s="72" t="str">
        <f t="shared" si="4"/>
        <v/>
      </c>
    </row>
    <row r="2304" ht="14.25" customHeight="1">
      <c r="B2304" s="66" t="str">
        <f>IF(ROWS($1:2292)&lt;=Nper,ROWS($1:2292),"")</f>
        <v/>
      </c>
      <c r="C2304" s="67" t="str">
        <f>IF($B2304="","",IF($E$7="Weekly",Start_Date+7*(ROWS($1:2292)-1),EDATE(Start_Date,VLOOKUP(IF(ASTemp!$E$7="","Monthly",ASTemp!$E$7),Parameters!$B$3:$D$6,3,0)*(ROWS($1:2292)-1))))</f>
        <v/>
      </c>
      <c r="D2304" s="68" t="str">
        <f t="shared" si="2"/>
        <v/>
      </c>
      <c r="E2304" s="65" t="str">
        <f>IF($B2304="","",VLOOKUP(MONTH(C2304),Parameters!$F$2:$G$13,2,0))</f>
        <v/>
      </c>
      <c r="F2304" s="69" t="str">
        <f>IF($B2304="","",PV-N(J2303))</f>
        <v/>
      </c>
      <c r="G2304" s="69" t="str">
        <f>IF($B2304="","",PMT(Rate,Nper,-PV,,Type))</f>
        <v/>
      </c>
      <c r="H2304" s="69" t="str">
        <f>IF($B2304="","",PPMT(Rate,ROWS($1:2292),Nper,-PV,,Type))</f>
        <v/>
      </c>
      <c r="I2304" s="69" t="str">
        <f>IF($B2304="","",IPMT(Rate,ROWS($1:2292),Nper,-PV,,Type))</f>
        <v/>
      </c>
      <c r="J2304" s="73" t="str">
        <f t="shared" ref="J2304:K2304" si="2294">IF($B2304="","",N(J2303)+N(H2304))</f>
        <v/>
      </c>
      <c r="K2304" s="74" t="str">
        <f t="shared" si="2294"/>
        <v/>
      </c>
      <c r="L2304" s="69" t="str">
        <f>IF($B2304="","",PV-J2304)</f>
        <v/>
      </c>
      <c r="M2304" s="71" t="str">
        <f>IF($B2304="","",J2304/PV)</f>
        <v/>
      </c>
      <c r="N2304" s="72" t="str">
        <f t="shared" si="4"/>
        <v/>
      </c>
    </row>
    <row r="2305" ht="14.25" customHeight="1">
      <c r="B2305" s="66" t="str">
        <f>IF(ROWS($1:2293)&lt;=Nper,ROWS($1:2293),"")</f>
        <v/>
      </c>
      <c r="C2305" s="67" t="str">
        <f>IF($B2305="","",IF($E$7="Weekly",Start_Date+7*(ROWS($1:2293)-1),EDATE(Start_Date,VLOOKUP(IF(ASTemp!$E$7="","Monthly",ASTemp!$E$7),Parameters!$B$3:$D$6,3,0)*(ROWS($1:2293)-1))))</f>
        <v/>
      </c>
      <c r="D2305" s="68" t="str">
        <f t="shared" si="2"/>
        <v/>
      </c>
      <c r="E2305" s="65" t="str">
        <f>IF($B2305="","",VLOOKUP(MONTH(C2305),Parameters!$F$2:$G$13,2,0))</f>
        <v/>
      </c>
      <c r="F2305" s="69" t="str">
        <f>IF($B2305="","",PV-N(J2304))</f>
        <v/>
      </c>
      <c r="G2305" s="69" t="str">
        <f>IF($B2305="","",PMT(Rate,Nper,-PV,,Type))</f>
        <v/>
      </c>
      <c r="H2305" s="69" t="str">
        <f>IF($B2305="","",PPMT(Rate,ROWS($1:2293),Nper,-PV,,Type))</f>
        <v/>
      </c>
      <c r="I2305" s="69" t="str">
        <f>IF($B2305="","",IPMT(Rate,ROWS($1:2293),Nper,-PV,,Type))</f>
        <v/>
      </c>
      <c r="J2305" s="73" t="str">
        <f t="shared" ref="J2305:K2305" si="2295">IF($B2305="","",N(J2304)+N(H2305))</f>
        <v/>
      </c>
      <c r="K2305" s="74" t="str">
        <f t="shared" si="2295"/>
        <v/>
      </c>
      <c r="L2305" s="69" t="str">
        <f>IF($B2305="","",PV-J2305)</f>
        <v/>
      </c>
      <c r="M2305" s="71" t="str">
        <f>IF($B2305="","",J2305/PV)</f>
        <v/>
      </c>
      <c r="N2305" s="72" t="str">
        <f t="shared" si="4"/>
        <v/>
      </c>
    </row>
    <row r="2306" ht="14.25" customHeight="1">
      <c r="B2306" s="66" t="str">
        <f>IF(ROWS($1:2294)&lt;=Nper,ROWS($1:2294),"")</f>
        <v/>
      </c>
      <c r="C2306" s="67" t="str">
        <f>IF($B2306="","",IF($E$7="Weekly",Start_Date+7*(ROWS($1:2294)-1),EDATE(Start_Date,VLOOKUP(IF(ASTemp!$E$7="","Monthly",ASTemp!$E$7),Parameters!$B$3:$D$6,3,0)*(ROWS($1:2294)-1))))</f>
        <v/>
      </c>
      <c r="D2306" s="68" t="str">
        <f t="shared" si="2"/>
        <v/>
      </c>
      <c r="E2306" s="65" t="str">
        <f>IF($B2306="","",VLOOKUP(MONTH(C2306),Parameters!$F$2:$G$13,2,0))</f>
        <v/>
      </c>
      <c r="F2306" s="69" t="str">
        <f>IF($B2306="","",PV-N(J2305))</f>
        <v/>
      </c>
      <c r="G2306" s="69" t="str">
        <f>IF($B2306="","",PMT(Rate,Nper,-PV,,Type))</f>
        <v/>
      </c>
      <c r="H2306" s="69" t="str">
        <f>IF($B2306="","",PPMT(Rate,ROWS($1:2294),Nper,-PV,,Type))</f>
        <v/>
      </c>
      <c r="I2306" s="69" t="str">
        <f>IF($B2306="","",IPMT(Rate,ROWS($1:2294),Nper,-PV,,Type))</f>
        <v/>
      </c>
      <c r="J2306" s="73" t="str">
        <f t="shared" ref="J2306:K2306" si="2296">IF($B2306="","",N(J2305)+N(H2306))</f>
        <v/>
      </c>
      <c r="K2306" s="74" t="str">
        <f t="shared" si="2296"/>
        <v/>
      </c>
      <c r="L2306" s="69" t="str">
        <f>IF($B2306="","",PV-J2306)</f>
        <v/>
      </c>
      <c r="M2306" s="71" t="str">
        <f>IF($B2306="","",J2306/PV)</f>
        <v/>
      </c>
      <c r="N2306" s="72" t="str">
        <f t="shared" si="4"/>
        <v/>
      </c>
    </row>
    <row r="2307" ht="14.25" customHeight="1">
      <c r="B2307" s="66" t="str">
        <f>IF(ROWS($1:2295)&lt;=Nper,ROWS($1:2295),"")</f>
        <v/>
      </c>
      <c r="C2307" s="67" t="str">
        <f>IF($B2307="","",IF($E$7="Weekly",Start_Date+7*(ROWS($1:2295)-1),EDATE(Start_Date,VLOOKUP(IF(ASTemp!$E$7="","Monthly",ASTemp!$E$7),Parameters!$B$3:$D$6,3,0)*(ROWS($1:2295)-1))))</f>
        <v/>
      </c>
      <c r="D2307" s="68" t="str">
        <f t="shared" si="2"/>
        <v/>
      </c>
      <c r="E2307" s="65" t="str">
        <f>IF($B2307="","",VLOOKUP(MONTH(C2307),Parameters!$F$2:$G$13,2,0))</f>
        <v/>
      </c>
      <c r="F2307" s="69" t="str">
        <f>IF($B2307="","",PV-N(J2306))</f>
        <v/>
      </c>
      <c r="G2307" s="69" t="str">
        <f>IF($B2307="","",PMT(Rate,Nper,-PV,,Type))</f>
        <v/>
      </c>
      <c r="H2307" s="69" t="str">
        <f>IF($B2307="","",PPMT(Rate,ROWS($1:2295),Nper,-PV,,Type))</f>
        <v/>
      </c>
      <c r="I2307" s="69" t="str">
        <f>IF($B2307="","",IPMT(Rate,ROWS($1:2295),Nper,-PV,,Type))</f>
        <v/>
      </c>
      <c r="J2307" s="73" t="str">
        <f t="shared" ref="J2307:K2307" si="2297">IF($B2307="","",N(J2306)+N(H2307))</f>
        <v/>
      </c>
      <c r="K2307" s="74" t="str">
        <f t="shared" si="2297"/>
        <v/>
      </c>
      <c r="L2307" s="69" t="str">
        <f>IF($B2307="","",PV-J2307)</f>
        <v/>
      </c>
      <c r="M2307" s="71" t="str">
        <f>IF($B2307="","",J2307/PV)</f>
        <v/>
      </c>
      <c r="N2307" s="72" t="str">
        <f t="shared" si="4"/>
        <v/>
      </c>
    </row>
    <row r="2308" ht="14.25" customHeight="1">
      <c r="B2308" s="66" t="str">
        <f>IF(ROWS($1:2296)&lt;=Nper,ROWS($1:2296),"")</f>
        <v/>
      </c>
      <c r="C2308" s="67" t="str">
        <f>IF($B2308="","",IF($E$7="Weekly",Start_Date+7*(ROWS($1:2296)-1),EDATE(Start_Date,VLOOKUP(IF(ASTemp!$E$7="","Monthly",ASTemp!$E$7),Parameters!$B$3:$D$6,3,0)*(ROWS($1:2296)-1))))</f>
        <v/>
      </c>
      <c r="D2308" s="68" t="str">
        <f t="shared" si="2"/>
        <v/>
      </c>
      <c r="E2308" s="65" t="str">
        <f>IF($B2308="","",VLOOKUP(MONTH(C2308),Parameters!$F$2:$G$13,2,0))</f>
        <v/>
      </c>
      <c r="F2308" s="69" t="str">
        <f>IF($B2308="","",PV-N(J2307))</f>
        <v/>
      </c>
      <c r="G2308" s="69" t="str">
        <f>IF($B2308="","",PMT(Rate,Nper,-PV,,Type))</f>
        <v/>
      </c>
      <c r="H2308" s="69" t="str">
        <f>IF($B2308="","",PPMT(Rate,ROWS($1:2296),Nper,-PV,,Type))</f>
        <v/>
      </c>
      <c r="I2308" s="69" t="str">
        <f>IF($B2308="","",IPMT(Rate,ROWS($1:2296),Nper,-PV,,Type))</f>
        <v/>
      </c>
      <c r="J2308" s="73" t="str">
        <f t="shared" ref="J2308:K2308" si="2298">IF($B2308="","",N(J2307)+N(H2308))</f>
        <v/>
      </c>
      <c r="K2308" s="74" t="str">
        <f t="shared" si="2298"/>
        <v/>
      </c>
      <c r="L2308" s="69" t="str">
        <f>IF($B2308="","",PV-J2308)</f>
        <v/>
      </c>
      <c r="M2308" s="71" t="str">
        <f>IF($B2308="","",J2308/PV)</f>
        <v/>
      </c>
      <c r="N2308" s="72" t="str">
        <f t="shared" si="4"/>
        <v/>
      </c>
    </row>
    <row r="2309" ht="14.25" customHeight="1">
      <c r="B2309" s="66" t="str">
        <f>IF(ROWS($1:2297)&lt;=Nper,ROWS($1:2297),"")</f>
        <v/>
      </c>
      <c r="C2309" s="67" t="str">
        <f>IF($B2309="","",IF($E$7="Weekly",Start_Date+7*(ROWS($1:2297)-1),EDATE(Start_Date,VLOOKUP(IF(ASTemp!$E$7="","Monthly",ASTemp!$E$7),Parameters!$B$3:$D$6,3,0)*(ROWS($1:2297)-1))))</f>
        <v/>
      </c>
      <c r="D2309" s="68" t="str">
        <f t="shared" si="2"/>
        <v/>
      </c>
      <c r="E2309" s="65" t="str">
        <f>IF($B2309="","",VLOOKUP(MONTH(C2309),Parameters!$F$2:$G$13,2,0))</f>
        <v/>
      </c>
      <c r="F2309" s="69" t="str">
        <f>IF($B2309="","",PV-N(J2308))</f>
        <v/>
      </c>
      <c r="G2309" s="69" t="str">
        <f>IF($B2309="","",PMT(Rate,Nper,-PV,,Type))</f>
        <v/>
      </c>
      <c r="H2309" s="69" t="str">
        <f>IF($B2309="","",PPMT(Rate,ROWS($1:2297),Nper,-PV,,Type))</f>
        <v/>
      </c>
      <c r="I2309" s="69" t="str">
        <f>IF($B2309="","",IPMT(Rate,ROWS($1:2297),Nper,-PV,,Type))</f>
        <v/>
      </c>
      <c r="J2309" s="73" t="str">
        <f t="shared" ref="J2309:K2309" si="2299">IF($B2309="","",N(J2308)+N(H2309))</f>
        <v/>
      </c>
      <c r="K2309" s="74" t="str">
        <f t="shared" si="2299"/>
        <v/>
      </c>
      <c r="L2309" s="69" t="str">
        <f>IF($B2309="","",PV-J2309)</f>
        <v/>
      </c>
      <c r="M2309" s="71" t="str">
        <f>IF($B2309="","",J2309/PV)</f>
        <v/>
      </c>
      <c r="N2309" s="72" t="str">
        <f t="shared" si="4"/>
        <v/>
      </c>
    </row>
    <row r="2310" ht="14.25" customHeight="1">
      <c r="B2310" s="66" t="str">
        <f>IF(ROWS($1:2298)&lt;=Nper,ROWS($1:2298),"")</f>
        <v/>
      </c>
      <c r="C2310" s="67" t="str">
        <f>IF($B2310="","",IF($E$7="Weekly",Start_Date+7*(ROWS($1:2298)-1),EDATE(Start_Date,VLOOKUP(IF(ASTemp!$E$7="","Monthly",ASTemp!$E$7),Parameters!$B$3:$D$6,3,0)*(ROWS($1:2298)-1))))</f>
        <v/>
      </c>
      <c r="D2310" s="68" t="str">
        <f t="shared" si="2"/>
        <v/>
      </c>
      <c r="E2310" s="65" t="str">
        <f>IF($B2310="","",VLOOKUP(MONTH(C2310),Parameters!$F$2:$G$13,2,0))</f>
        <v/>
      </c>
      <c r="F2310" s="69" t="str">
        <f>IF($B2310="","",PV-N(J2309))</f>
        <v/>
      </c>
      <c r="G2310" s="69" t="str">
        <f>IF($B2310="","",PMT(Rate,Nper,-PV,,Type))</f>
        <v/>
      </c>
      <c r="H2310" s="69" t="str">
        <f>IF($B2310="","",PPMT(Rate,ROWS($1:2298),Nper,-PV,,Type))</f>
        <v/>
      </c>
      <c r="I2310" s="69" t="str">
        <f>IF($B2310="","",IPMT(Rate,ROWS($1:2298),Nper,-PV,,Type))</f>
        <v/>
      </c>
      <c r="J2310" s="73" t="str">
        <f t="shared" ref="J2310:K2310" si="2300">IF($B2310="","",N(J2309)+N(H2310))</f>
        <v/>
      </c>
      <c r="K2310" s="74" t="str">
        <f t="shared" si="2300"/>
        <v/>
      </c>
      <c r="L2310" s="69" t="str">
        <f>IF($B2310="","",PV-J2310)</f>
        <v/>
      </c>
      <c r="M2310" s="71" t="str">
        <f>IF($B2310="","",J2310/PV)</f>
        <v/>
      </c>
      <c r="N2310" s="72" t="str">
        <f t="shared" si="4"/>
        <v/>
      </c>
    </row>
    <row r="2311" ht="14.25" customHeight="1">
      <c r="B2311" s="66" t="str">
        <f>IF(ROWS($1:2299)&lt;=Nper,ROWS($1:2299),"")</f>
        <v/>
      </c>
      <c r="C2311" s="67" t="str">
        <f>IF($B2311="","",IF($E$7="Weekly",Start_Date+7*(ROWS($1:2299)-1),EDATE(Start_Date,VLOOKUP(IF(ASTemp!$E$7="","Monthly",ASTemp!$E$7),Parameters!$B$3:$D$6,3,0)*(ROWS($1:2299)-1))))</f>
        <v/>
      </c>
      <c r="D2311" s="68" t="str">
        <f t="shared" si="2"/>
        <v/>
      </c>
      <c r="E2311" s="65" t="str">
        <f>IF($B2311="","",VLOOKUP(MONTH(C2311),Parameters!$F$2:$G$13,2,0))</f>
        <v/>
      </c>
      <c r="F2311" s="69" t="str">
        <f>IF($B2311="","",PV-N(J2310))</f>
        <v/>
      </c>
      <c r="G2311" s="69" t="str">
        <f>IF($B2311="","",PMT(Rate,Nper,-PV,,Type))</f>
        <v/>
      </c>
      <c r="H2311" s="69" t="str">
        <f>IF($B2311="","",PPMT(Rate,ROWS($1:2299),Nper,-PV,,Type))</f>
        <v/>
      </c>
      <c r="I2311" s="69" t="str">
        <f>IF($B2311="","",IPMT(Rate,ROWS($1:2299),Nper,-PV,,Type))</f>
        <v/>
      </c>
      <c r="J2311" s="73" t="str">
        <f t="shared" ref="J2311:K2311" si="2301">IF($B2311="","",N(J2310)+N(H2311))</f>
        <v/>
      </c>
      <c r="K2311" s="74" t="str">
        <f t="shared" si="2301"/>
        <v/>
      </c>
      <c r="L2311" s="69" t="str">
        <f>IF($B2311="","",PV-J2311)</f>
        <v/>
      </c>
      <c r="M2311" s="71" t="str">
        <f>IF($B2311="","",J2311/PV)</f>
        <v/>
      </c>
      <c r="N2311" s="72" t="str">
        <f t="shared" si="4"/>
        <v/>
      </c>
    </row>
    <row r="2312" ht="14.25" customHeight="1">
      <c r="B2312" s="66" t="str">
        <f>IF(ROWS($1:2300)&lt;=Nper,ROWS($1:2300),"")</f>
        <v/>
      </c>
      <c r="C2312" s="67" t="str">
        <f>IF($B2312="","",IF($E$7="Weekly",Start_Date+7*(ROWS($1:2300)-1),EDATE(Start_Date,VLOOKUP(IF(ASTemp!$E$7="","Monthly",ASTemp!$E$7),Parameters!$B$3:$D$6,3,0)*(ROWS($1:2300)-1))))</f>
        <v/>
      </c>
      <c r="D2312" s="68" t="str">
        <f t="shared" si="2"/>
        <v/>
      </c>
      <c r="E2312" s="65" t="str">
        <f>IF($B2312="","",VLOOKUP(MONTH(C2312),Parameters!$F$2:$G$13,2,0))</f>
        <v/>
      </c>
      <c r="F2312" s="69" t="str">
        <f>IF($B2312="","",PV-N(J2311))</f>
        <v/>
      </c>
      <c r="G2312" s="69" t="str">
        <f>IF($B2312="","",PMT(Rate,Nper,-PV,,Type))</f>
        <v/>
      </c>
      <c r="H2312" s="69" t="str">
        <f>IF($B2312="","",PPMT(Rate,ROWS($1:2300),Nper,-PV,,Type))</f>
        <v/>
      </c>
      <c r="I2312" s="69" t="str">
        <f>IF($B2312="","",IPMT(Rate,ROWS($1:2300),Nper,-PV,,Type))</f>
        <v/>
      </c>
      <c r="J2312" s="73" t="str">
        <f t="shared" ref="J2312:K2312" si="2302">IF($B2312="","",N(J2311)+N(H2312))</f>
        <v/>
      </c>
      <c r="K2312" s="74" t="str">
        <f t="shared" si="2302"/>
        <v/>
      </c>
      <c r="L2312" s="69" t="str">
        <f>IF($B2312="","",PV-J2312)</f>
        <v/>
      </c>
      <c r="M2312" s="71" t="str">
        <f>IF($B2312="","",J2312/PV)</f>
        <v/>
      </c>
      <c r="N2312" s="72" t="str">
        <f t="shared" si="4"/>
        <v/>
      </c>
    </row>
    <row r="2313" ht="14.25" customHeight="1">
      <c r="B2313" s="66" t="str">
        <f>IF(ROWS($1:2301)&lt;=Nper,ROWS($1:2301),"")</f>
        <v/>
      </c>
      <c r="C2313" s="67" t="str">
        <f>IF($B2313="","",IF($E$7="Weekly",Start_Date+7*(ROWS($1:2301)-1),EDATE(Start_Date,VLOOKUP(IF(ASTemp!$E$7="","Monthly",ASTemp!$E$7),Parameters!$B$3:$D$6,3,0)*(ROWS($1:2301)-1))))</f>
        <v/>
      </c>
      <c r="D2313" s="68" t="str">
        <f t="shared" si="2"/>
        <v/>
      </c>
      <c r="E2313" s="65" t="str">
        <f>IF($B2313="","",VLOOKUP(MONTH(C2313),Parameters!$F$2:$G$13,2,0))</f>
        <v/>
      </c>
      <c r="F2313" s="69" t="str">
        <f>IF($B2313="","",PV-N(J2312))</f>
        <v/>
      </c>
      <c r="G2313" s="69" t="str">
        <f>IF($B2313="","",PMT(Rate,Nper,-PV,,Type))</f>
        <v/>
      </c>
      <c r="H2313" s="69" t="str">
        <f>IF($B2313="","",PPMT(Rate,ROWS($1:2301),Nper,-PV,,Type))</f>
        <v/>
      </c>
      <c r="I2313" s="69" t="str">
        <f>IF($B2313="","",IPMT(Rate,ROWS($1:2301),Nper,-PV,,Type))</f>
        <v/>
      </c>
      <c r="J2313" s="73" t="str">
        <f t="shared" ref="J2313:K2313" si="2303">IF($B2313="","",N(J2312)+N(H2313))</f>
        <v/>
      </c>
      <c r="K2313" s="74" t="str">
        <f t="shared" si="2303"/>
        <v/>
      </c>
      <c r="L2313" s="69" t="str">
        <f>IF($B2313="","",PV-J2313)</f>
        <v/>
      </c>
      <c r="M2313" s="71" t="str">
        <f>IF($B2313="","",J2313/PV)</f>
        <v/>
      </c>
      <c r="N2313" s="72" t="str">
        <f t="shared" si="4"/>
        <v/>
      </c>
    </row>
    <row r="2314" ht="14.25" customHeight="1">
      <c r="B2314" s="66" t="str">
        <f>IF(ROWS($1:2302)&lt;=Nper,ROWS($1:2302),"")</f>
        <v/>
      </c>
      <c r="C2314" s="67" t="str">
        <f>IF($B2314="","",IF($E$7="Weekly",Start_Date+7*(ROWS($1:2302)-1),EDATE(Start_Date,VLOOKUP(IF(ASTemp!$E$7="","Monthly",ASTemp!$E$7),Parameters!$B$3:$D$6,3,0)*(ROWS($1:2302)-1))))</f>
        <v/>
      </c>
      <c r="D2314" s="68" t="str">
        <f t="shared" si="2"/>
        <v/>
      </c>
      <c r="E2314" s="65" t="str">
        <f>IF($B2314="","",VLOOKUP(MONTH(C2314),Parameters!$F$2:$G$13,2,0))</f>
        <v/>
      </c>
      <c r="F2314" s="69" t="str">
        <f>IF($B2314="","",PV-N(J2313))</f>
        <v/>
      </c>
      <c r="G2314" s="69" t="str">
        <f>IF($B2314="","",PMT(Rate,Nper,-PV,,Type))</f>
        <v/>
      </c>
      <c r="H2314" s="69" t="str">
        <f>IF($B2314="","",PPMT(Rate,ROWS($1:2302),Nper,-PV,,Type))</f>
        <v/>
      </c>
      <c r="I2314" s="69" t="str">
        <f>IF($B2314="","",IPMT(Rate,ROWS($1:2302),Nper,-PV,,Type))</f>
        <v/>
      </c>
      <c r="J2314" s="73" t="str">
        <f t="shared" ref="J2314:K2314" si="2304">IF($B2314="","",N(J2313)+N(H2314))</f>
        <v/>
      </c>
      <c r="K2314" s="74" t="str">
        <f t="shared" si="2304"/>
        <v/>
      </c>
      <c r="L2314" s="69" t="str">
        <f>IF($B2314="","",PV-J2314)</f>
        <v/>
      </c>
      <c r="M2314" s="71" t="str">
        <f>IF($B2314="","",J2314/PV)</f>
        <v/>
      </c>
      <c r="N2314" s="72" t="str">
        <f t="shared" si="4"/>
        <v/>
      </c>
    </row>
    <row r="2315" ht="14.25" customHeight="1">
      <c r="B2315" s="66" t="str">
        <f>IF(ROWS($1:2303)&lt;=Nper,ROWS($1:2303),"")</f>
        <v/>
      </c>
      <c r="C2315" s="67" t="str">
        <f>IF($B2315="","",IF($E$7="Weekly",Start_Date+7*(ROWS($1:2303)-1),EDATE(Start_Date,VLOOKUP(IF(ASTemp!$E$7="","Monthly",ASTemp!$E$7),Parameters!$B$3:$D$6,3,0)*(ROWS($1:2303)-1))))</f>
        <v/>
      </c>
      <c r="D2315" s="68" t="str">
        <f t="shared" si="2"/>
        <v/>
      </c>
      <c r="E2315" s="65" t="str">
        <f>IF($B2315="","",VLOOKUP(MONTH(C2315),Parameters!$F$2:$G$13,2,0))</f>
        <v/>
      </c>
      <c r="F2315" s="69" t="str">
        <f>IF($B2315="","",PV-N(J2314))</f>
        <v/>
      </c>
      <c r="G2315" s="69" t="str">
        <f>IF($B2315="","",PMT(Rate,Nper,-PV,,Type))</f>
        <v/>
      </c>
      <c r="H2315" s="69" t="str">
        <f>IF($B2315="","",PPMT(Rate,ROWS($1:2303),Nper,-PV,,Type))</f>
        <v/>
      </c>
      <c r="I2315" s="69" t="str">
        <f>IF($B2315="","",IPMT(Rate,ROWS($1:2303),Nper,-PV,,Type))</f>
        <v/>
      </c>
      <c r="J2315" s="73" t="str">
        <f t="shared" ref="J2315:K2315" si="2305">IF($B2315="","",N(J2314)+N(H2315))</f>
        <v/>
      </c>
      <c r="K2315" s="74" t="str">
        <f t="shared" si="2305"/>
        <v/>
      </c>
      <c r="L2315" s="69" t="str">
        <f>IF($B2315="","",PV-J2315)</f>
        <v/>
      </c>
      <c r="M2315" s="71" t="str">
        <f>IF($B2315="","",J2315/PV)</f>
        <v/>
      </c>
      <c r="N2315" s="72" t="str">
        <f t="shared" si="4"/>
        <v/>
      </c>
    </row>
    <row r="2316" ht="14.25" customHeight="1">
      <c r="B2316" s="66" t="str">
        <f>IF(ROWS($1:2304)&lt;=Nper,ROWS($1:2304),"")</f>
        <v/>
      </c>
      <c r="C2316" s="67" t="str">
        <f>IF($B2316="","",IF($E$7="Weekly",Start_Date+7*(ROWS($1:2304)-1),EDATE(Start_Date,VLOOKUP(IF(ASTemp!$E$7="","Monthly",ASTemp!$E$7),Parameters!$B$3:$D$6,3,0)*(ROWS($1:2304)-1))))</f>
        <v/>
      </c>
      <c r="D2316" s="68" t="str">
        <f t="shared" si="2"/>
        <v/>
      </c>
      <c r="E2316" s="65" t="str">
        <f>IF($B2316="","",VLOOKUP(MONTH(C2316),Parameters!$F$2:$G$13,2,0))</f>
        <v/>
      </c>
      <c r="F2316" s="69" t="str">
        <f>IF($B2316="","",PV-N(J2315))</f>
        <v/>
      </c>
      <c r="G2316" s="69" t="str">
        <f>IF($B2316="","",PMT(Rate,Nper,-PV,,Type))</f>
        <v/>
      </c>
      <c r="H2316" s="69" t="str">
        <f>IF($B2316="","",PPMT(Rate,ROWS($1:2304),Nper,-PV,,Type))</f>
        <v/>
      </c>
      <c r="I2316" s="69" t="str">
        <f>IF($B2316="","",IPMT(Rate,ROWS($1:2304),Nper,-PV,,Type))</f>
        <v/>
      </c>
      <c r="J2316" s="73" t="str">
        <f t="shared" ref="J2316:K2316" si="2306">IF($B2316="","",N(J2315)+N(H2316))</f>
        <v/>
      </c>
      <c r="K2316" s="74" t="str">
        <f t="shared" si="2306"/>
        <v/>
      </c>
      <c r="L2316" s="69" t="str">
        <f>IF($B2316="","",PV-J2316)</f>
        <v/>
      </c>
      <c r="M2316" s="71" t="str">
        <f>IF($B2316="","",J2316/PV)</f>
        <v/>
      </c>
      <c r="N2316" s="72" t="str">
        <f t="shared" si="4"/>
        <v/>
      </c>
    </row>
    <row r="2317" ht="14.25" customHeight="1">
      <c r="B2317" s="66" t="str">
        <f>IF(ROWS($1:2305)&lt;=Nper,ROWS($1:2305),"")</f>
        <v/>
      </c>
      <c r="C2317" s="67" t="str">
        <f>IF($B2317="","",IF($E$7="Weekly",Start_Date+7*(ROWS($1:2305)-1),EDATE(Start_Date,VLOOKUP(IF(ASTemp!$E$7="","Monthly",ASTemp!$E$7),Parameters!$B$3:$D$6,3,0)*(ROWS($1:2305)-1))))</f>
        <v/>
      </c>
      <c r="D2317" s="68" t="str">
        <f t="shared" si="2"/>
        <v/>
      </c>
      <c r="E2317" s="65" t="str">
        <f>IF($B2317="","",VLOOKUP(MONTH(C2317),Parameters!$F$2:$G$13,2,0))</f>
        <v/>
      </c>
      <c r="F2317" s="69" t="str">
        <f>IF($B2317="","",PV-N(J2316))</f>
        <v/>
      </c>
      <c r="G2317" s="69" t="str">
        <f>IF($B2317="","",PMT(Rate,Nper,-PV,,Type))</f>
        <v/>
      </c>
      <c r="H2317" s="69" t="str">
        <f>IF($B2317="","",PPMT(Rate,ROWS($1:2305),Nper,-PV,,Type))</f>
        <v/>
      </c>
      <c r="I2317" s="69" t="str">
        <f>IF($B2317="","",IPMT(Rate,ROWS($1:2305),Nper,-PV,,Type))</f>
        <v/>
      </c>
      <c r="J2317" s="73" t="str">
        <f t="shared" ref="J2317:K2317" si="2307">IF($B2317="","",N(J2316)+N(H2317))</f>
        <v/>
      </c>
      <c r="K2317" s="74" t="str">
        <f t="shared" si="2307"/>
        <v/>
      </c>
      <c r="L2317" s="69" t="str">
        <f>IF($B2317="","",PV-J2317)</f>
        <v/>
      </c>
      <c r="M2317" s="71" t="str">
        <f>IF($B2317="","",J2317/PV)</f>
        <v/>
      </c>
      <c r="N2317" s="72" t="str">
        <f t="shared" si="4"/>
        <v/>
      </c>
    </row>
    <row r="2318" ht="14.25" customHeight="1">
      <c r="B2318" s="66" t="str">
        <f>IF(ROWS($1:2306)&lt;=Nper,ROWS($1:2306),"")</f>
        <v/>
      </c>
      <c r="C2318" s="67" t="str">
        <f>IF($B2318="","",IF($E$7="Weekly",Start_Date+7*(ROWS($1:2306)-1),EDATE(Start_Date,VLOOKUP(IF(ASTemp!$E$7="","Monthly",ASTemp!$E$7),Parameters!$B$3:$D$6,3,0)*(ROWS($1:2306)-1))))</f>
        <v/>
      </c>
      <c r="D2318" s="68" t="str">
        <f t="shared" si="2"/>
        <v/>
      </c>
      <c r="E2318" s="65" t="str">
        <f>IF($B2318="","",VLOOKUP(MONTH(C2318),Parameters!$F$2:$G$13,2,0))</f>
        <v/>
      </c>
      <c r="F2318" s="69" t="str">
        <f>IF($B2318="","",PV-N(J2317))</f>
        <v/>
      </c>
      <c r="G2318" s="69" t="str">
        <f>IF($B2318="","",PMT(Rate,Nper,-PV,,Type))</f>
        <v/>
      </c>
      <c r="H2318" s="69" t="str">
        <f>IF($B2318="","",PPMT(Rate,ROWS($1:2306),Nper,-PV,,Type))</f>
        <v/>
      </c>
      <c r="I2318" s="69" t="str">
        <f>IF($B2318="","",IPMT(Rate,ROWS($1:2306),Nper,-PV,,Type))</f>
        <v/>
      </c>
      <c r="J2318" s="73" t="str">
        <f t="shared" ref="J2318:K2318" si="2308">IF($B2318="","",N(J2317)+N(H2318))</f>
        <v/>
      </c>
      <c r="K2318" s="74" t="str">
        <f t="shared" si="2308"/>
        <v/>
      </c>
      <c r="L2318" s="69" t="str">
        <f>IF($B2318="","",PV-J2318)</f>
        <v/>
      </c>
      <c r="M2318" s="71" t="str">
        <f>IF($B2318="","",J2318/PV)</f>
        <v/>
      </c>
      <c r="N2318" s="72" t="str">
        <f t="shared" si="4"/>
        <v/>
      </c>
    </row>
    <row r="2319" ht="14.25" customHeight="1">
      <c r="B2319" s="66" t="str">
        <f>IF(ROWS($1:2307)&lt;=Nper,ROWS($1:2307),"")</f>
        <v/>
      </c>
      <c r="C2319" s="67" t="str">
        <f>IF($B2319="","",IF($E$7="Weekly",Start_Date+7*(ROWS($1:2307)-1),EDATE(Start_Date,VLOOKUP(IF(ASTemp!$E$7="","Monthly",ASTemp!$E$7),Parameters!$B$3:$D$6,3,0)*(ROWS($1:2307)-1))))</f>
        <v/>
      </c>
      <c r="D2319" s="68" t="str">
        <f t="shared" si="2"/>
        <v/>
      </c>
      <c r="E2319" s="65" t="str">
        <f>IF($B2319="","",VLOOKUP(MONTH(C2319),Parameters!$F$2:$G$13,2,0))</f>
        <v/>
      </c>
      <c r="F2319" s="69" t="str">
        <f>IF($B2319="","",PV-N(J2318))</f>
        <v/>
      </c>
      <c r="G2319" s="69" t="str">
        <f>IF($B2319="","",PMT(Rate,Nper,-PV,,Type))</f>
        <v/>
      </c>
      <c r="H2319" s="69" t="str">
        <f>IF($B2319="","",PPMT(Rate,ROWS($1:2307),Nper,-PV,,Type))</f>
        <v/>
      </c>
      <c r="I2319" s="69" t="str">
        <f>IF($B2319="","",IPMT(Rate,ROWS($1:2307),Nper,-PV,,Type))</f>
        <v/>
      </c>
      <c r="J2319" s="73" t="str">
        <f t="shared" ref="J2319:K2319" si="2309">IF($B2319="","",N(J2318)+N(H2319))</f>
        <v/>
      </c>
      <c r="K2319" s="74" t="str">
        <f t="shared" si="2309"/>
        <v/>
      </c>
      <c r="L2319" s="69" t="str">
        <f>IF($B2319="","",PV-J2319)</f>
        <v/>
      </c>
      <c r="M2319" s="71" t="str">
        <f>IF($B2319="","",J2319/PV)</f>
        <v/>
      </c>
      <c r="N2319" s="72" t="str">
        <f t="shared" si="4"/>
        <v/>
      </c>
    </row>
    <row r="2320" ht="14.25" customHeight="1">
      <c r="B2320" s="66" t="str">
        <f>IF(ROWS($1:2308)&lt;=Nper,ROWS($1:2308),"")</f>
        <v/>
      </c>
      <c r="C2320" s="67" t="str">
        <f>IF($B2320="","",IF($E$7="Weekly",Start_Date+7*(ROWS($1:2308)-1),EDATE(Start_Date,VLOOKUP(IF(ASTemp!$E$7="","Monthly",ASTemp!$E$7),Parameters!$B$3:$D$6,3,0)*(ROWS($1:2308)-1))))</f>
        <v/>
      </c>
      <c r="D2320" s="68" t="str">
        <f t="shared" si="2"/>
        <v/>
      </c>
      <c r="E2320" s="65" t="str">
        <f>IF($B2320="","",VLOOKUP(MONTH(C2320),Parameters!$F$2:$G$13,2,0))</f>
        <v/>
      </c>
      <c r="F2320" s="69" t="str">
        <f>IF($B2320="","",PV-N(J2319))</f>
        <v/>
      </c>
      <c r="G2320" s="69" t="str">
        <f>IF($B2320="","",PMT(Rate,Nper,-PV,,Type))</f>
        <v/>
      </c>
      <c r="H2320" s="69" t="str">
        <f>IF($B2320="","",PPMT(Rate,ROWS($1:2308),Nper,-PV,,Type))</f>
        <v/>
      </c>
      <c r="I2320" s="69" t="str">
        <f>IF($B2320="","",IPMT(Rate,ROWS($1:2308),Nper,-PV,,Type))</f>
        <v/>
      </c>
      <c r="J2320" s="73" t="str">
        <f t="shared" ref="J2320:K2320" si="2310">IF($B2320="","",N(J2319)+N(H2320))</f>
        <v/>
      </c>
      <c r="K2320" s="74" t="str">
        <f t="shared" si="2310"/>
        <v/>
      </c>
      <c r="L2320" s="69" t="str">
        <f>IF($B2320="","",PV-J2320)</f>
        <v/>
      </c>
      <c r="M2320" s="71" t="str">
        <f>IF($B2320="","",J2320/PV)</f>
        <v/>
      </c>
      <c r="N2320" s="72" t="str">
        <f t="shared" si="4"/>
        <v/>
      </c>
    </row>
    <row r="2321" ht="14.25" customHeight="1">
      <c r="B2321" s="66" t="str">
        <f>IF(ROWS($1:2309)&lt;=Nper,ROWS($1:2309),"")</f>
        <v/>
      </c>
      <c r="C2321" s="67" t="str">
        <f>IF($B2321="","",IF($E$7="Weekly",Start_Date+7*(ROWS($1:2309)-1),EDATE(Start_Date,VLOOKUP(IF(ASTemp!$E$7="","Monthly",ASTemp!$E$7),Parameters!$B$3:$D$6,3,0)*(ROWS($1:2309)-1))))</f>
        <v/>
      </c>
      <c r="D2321" s="68" t="str">
        <f t="shared" si="2"/>
        <v/>
      </c>
      <c r="E2321" s="65" t="str">
        <f>IF($B2321="","",VLOOKUP(MONTH(C2321),Parameters!$F$2:$G$13,2,0))</f>
        <v/>
      </c>
      <c r="F2321" s="69" t="str">
        <f>IF($B2321="","",PV-N(J2320))</f>
        <v/>
      </c>
      <c r="G2321" s="69" t="str">
        <f>IF($B2321="","",PMT(Rate,Nper,-PV,,Type))</f>
        <v/>
      </c>
      <c r="H2321" s="69" t="str">
        <f>IF($B2321="","",PPMT(Rate,ROWS($1:2309),Nper,-PV,,Type))</f>
        <v/>
      </c>
      <c r="I2321" s="69" t="str">
        <f>IF($B2321="","",IPMT(Rate,ROWS($1:2309),Nper,-PV,,Type))</f>
        <v/>
      </c>
      <c r="J2321" s="73" t="str">
        <f t="shared" ref="J2321:K2321" si="2311">IF($B2321="","",N(J2320)+N(H2321))</f>
        <v/>
      </c>
      <c r="K2321" s="74" t="str">
        <f t="shared" si="2311"/>
        <v/>
      </c>
      <c r="L2321" s="69" t="str">
        <f>IF($B2321="","",PV-J2321)</f>
        <v/>
      </c>
      <c r="M2321" s="71" t="str">
        <f>IF($B2321="","",J2321/PV)</f>
        <v/>
      </c>
      <c r="N2321" s="72" t="str">
        <f t="shared" si="4"/>
        <v/>
      </c>
    </row>
    <row r="2322" ht="14.25" customHeight="1">
      <c r="B2322" s="66" t="str">
        <f>IF(ROWS($1:2310)&lt;=Nper,ROWS($1:2310),"")</f>
        <v/>
      </c>
      <c r="C2322" s="67" t="str">
        <f>IF($B2322="","",IF($E$7="Weekly",Start_Date+7*(ROWS($1:2310)-1),EDATE(Start_Date,VLOOKUP(IF(ASTemp!$E$7="","Monthly",ASTemp!$E$7),Parameters!$B$3:$D$6,3,0)*(ROWS($1:2310)-1))))</f>
        <v/>
      </c>
      <c r="D2322" s="68" t="str">
        <f t="shared" si="2"/>
        <v/>
      </c>
      <c r="E2322" s="65" t="str">
        <f>IF($B2322="","",VLOOKUP(MONTH(C2322),Parameters!$F$2:$G$13,2,0))</f>
        <v/>
      </c>
      <c r="F2322" s="69" t="str">
        <f>IF($B2322="","",PV-N(J2321))</f>
        <v/>
      </c>
      <c r="G2322" s="69" t="str">
        <f>IF($B2322="","",PMT(Rate,Nper,-PV,,Type))</f>
        <v/>
      </c>
      <c r="H2322" s="69" t="str">
        <f>IF($B2322="","",PPMT(Rate,ROWS($1:2310),Nper,-PV,,Type))</f>
        <v/>
      </c>
      <c r="I2322" s="69" t="str">
        <f>IF($B2322="","",IPMT(Rate,ROWS($1:2310),Nper,-PV,,Type))</f>
        <v/>
      </c>
      <c r="J2322" s="73" t="str">
        <f t="shared" ref="J2322:K2322" si="2312">IF($B2322="","",N(J2321)+N(H2322))</f>
        <v/>
      </c>
      <c r="K2322" s="74" t="str">
        <f t="shared" si="2312"/>
        <v/>
      </c>
      <c r="L2322" s="69" t="str">
        <f>IF($B2322="","",PV-J2322)</f>
        <v/>
      </c>
      <c r="M2322" s="71" t="str">
        <f>IF($B2322="","",J2322/PV)</f>
        <v/>
      </c>
      <c r="N2322" s="72" t="str">
        <f t="shared" si="4"/>
        <v/>
      </c>
    </row>
    <row r="2323" ht="14.25" customHeight="1">
      <c r="B2323" s="66" t="str">
        <f>IF(ROWS($1:2311)&lt;=Nper,ROWS($1:2311),"")</f>
        <v/>
      </c>
      <c r="C2323" s="67" t="str">
        <f>IF($B2323="","",IF($E$7="Weekly",Start_Date+7*(ROWS($1:2311)-1),EDATE(Start_Date,VLOOKUP(IF(ASTemp!$E$7="","Monthly",ASTemp!$E$7),Parameters!$B$3:$D$6,3,0)*(ROWS($1:2311)-1))))</f>
        <v/>
      </c>
      <c r="D2323" s="68" t="str">
        <f t="shared" si="2"/>
        <v/>
      </c>
      <c r="E2323" s="65" t="str">
        <f>IF($B2323="","",VLOOKUP(MONTH(C2323),Parameters!$F$2:$G$13,2,0))</f>
        <v/>
      </c>
      <c r="F2323" s="69" t="str">
        <f>IF($B2323="","",PV-N(J2322))</f>
        <v/>
      </c>
      <c r="G2323" s="69" t="str">
        <f>IF($B2323="","",PMT(Rate,Nper,-PV,,Type))</f>
        <v/>
      </c>
      <c r="H2323" s="69" t="str">
        <f>IF($B2323="","",PPMT(Rate,ROWS($1:2311),Nper,-PV,,Type))</f>
        <v/>
      </c>
      <c r="I2323" s="69" t="str">
        <f>IF($B2323="","",IPMT(Rate,ROWS($1:2311),Nper,-PV,,Type))</f>
        <v/>
      </c>
      <c r="J2323" s="73" t="str">
        <f t="shared" ref="J2323:K2323" si="2313">IF($B2323="","",N(J2322)+N(H2323))</f>
        <v/>
      </c>
      <c r="K2323" s="74" t="str">
        <f t="shared" si="2313"/>
        <v/>
      </c>
      <c r="L2323" s="69" t="str">
        <f>IF($B2323="","",PV-J2323)</f>
        <v/>
      </c>
      <c r="M2323" s="71" t="str">
        <f>IF($B2323="","",J2323/PV)</f>
        <v/>
      </c>
      <c r="N2323" s="72" t="str">
        <f t="shared" si="4"/>
        <v/>
      </c>
    </row>
    <row r="2324" ht="14.25" customHeight="1">
      <c r="B2324" s="66" t="str">
        <f>IF(ROWS($1:2312)&lt;=Nper,ROWS($1:2312),"")</f>
        <v/>
      </c>
      <c r="C2324" s="67" t="str">
        <f>IF($B2324="","",IF($E$7="Weekly",Start_Date+7*(ROWS($1:2312)-1),EDATE(Start_Date,VLOOKUP(IF(ASTemp!$E$7="","Monthly",ASTemp!$E$7),Parameters!$B$3:$D$6,3,0)*(ROWS($1:2312)-1))))</f>
        <v/>
      </c>
      <c r="D2324" s="68" t="str">
        <f t="shared" si="2"/>
        <v/>
      </c>
      <c r="E2324" s="65" t="str">
        <f>IF($B2324="","",VLOOKUP(MONTH(C2324),Parameters!$F$2:$G$13,2,0))</f>
        <v/>
      </c>
      <c r="F2324" s="69" t="str">
        <f>IF($B2324="","",PV-N(J2323))</f>
        <v/>
      </c>
      <c r="G2324" s="69" t="str">
        <f>IF($B2324="","",PMT(Rate,Nper,-PV,,Type))</f>
        <v/>
      </c>
      <c r="H2324" s="69" t="str">
        <f>IF($B2324="","",PPMT(Rate,ROWS($1:2312),Nper,-PV,,Type))</f>
        <v/>
      </c>
      <c r="I2324" s="69" t="str">
        <f>IF($B2324="","",IPMT(Rate,ROWS($1:2312),Nper,-PV,,Type))</f>
        <v/>
      </c>
      <c r="J2324" s="73" t="str">
        <f t="shared" ref="J2324:K2324" si="2314">IF($B2324="","",N(J2323)+N(H2324))</f>
        <v/>
      </c>
      <c r="K2324" s="74" t="str">
        <f t="shared" si="2314"/>
        <v/>
      </c>
      <c r="L2324" s="69" t="str">
        <f>IF($B2324="","",PV-J2324)</f>
        <v/>
      </c>
      <c r="M2324" s="71" t="str">
        <f>IF($B2324="","",J2324/PV)</f>
        <v/>
      </c>
      <c r="N2324" s="72" t="str">
        <f t="shared" si="4"/>
        <v/>
      </c>
    </row>
    <row r="2325" ht="14.25" customHeight="1">
      <c r="B2325" s="66" t="str">
        <f>IF(ROWS($1:2313)&lt;=Nper,ROWS($1:2313),"")</f>
        <v/>
      </c>
      <c r="C2325" s="67" t="str">
        <f>IF($B2325="","",IF($E$7="Weekly",Start_Date+7*(ROWS($1:2313)-1),EDATE(Start_Date,VLOOKUP(IF(ASTemp!$E$7="","Monthly",ASTemp!$E$7),Parameters!$B$3:$D$6,3,0)*(ROWS($1:2313)-1))))</f>
        <v/>
      </c>
      <c r="D2325" s="68" t="str">
        <f t="shared" si="2"/>
        <v/>
      </c>
      <c r="E2325" s="65" t="str">
        <f>IF($B2325="","",VLOOKUP(MONTH(C2325),Parameters!$F$2:$G$13,2,0))</f>
        <v/>
      </c>
      <c r="F2325" s="69" t="str">
        <f>IF($B2325="","",PV-N(J2324))</f>
        <v/>
      </c>
      <c r="G2325" s="69" t="str">
        <f>IF($B2325="","",PMT(Rate,Nper,-PV,,Type))</f>
        <v/>
      </c>
      <c r="H2325" s="69" t="str">
        <f>IF($B2325="","",PPMT(Rate,ROWS($1:2313),Nper,-PV,,Type))</f>
        <v/>
      </c>
      <c r="I2325" s="69" t="str">
        <f>IF($B2325="","",IPMT(Rate,ROWS($1:2313),Nper,-PV,,Type))</f>
        <v/>
      </c>
      <c r="J2325" s="73" t="str">
        <f t="shared" ref="J2325:K2325" si="2315">IF($B2325="","",N(J2324)+N(H2325))</f>
        <v/>
      </c>
      <c r="K2325" s="74" t="str">
        <f t="shared" si="2315"/>
        <v/>
      </c>
      <c r="L2325" s="69" t="str">
        <f>IF($B2325="","",PV-J2325)</f>
        <v/>
      </c>
      <c r="M2325" s="71" t="str">
        <f>IF($B2325="","",J2325/PV)</f>
        <v/>
      </c>
      <c r="N2325" s="72" t="str">
        <f t="shared" si="4"/>
        <v/>
      </c>
    </row>
    <row r="2326" ht="14.25" customHeight="1">
      <c r="B2326" s="66" t="str">
        <f>IF(ROWS($1:2314)&lt;=Nper,ROWS($1:2314),"")</f>
        <v/>
      </c>
      <c r="C2326" s="67" t="str">
        <f>IF($B2326="","",IF($E$7="Weekly",Start_Date+7*(ROWS($1:2314)-1),EDATE(Start_Date,VLOOKUP(IF(ASTemp!$E$7="","Monthly",ASTemp!$E$7),Parameters!$B$3:$D$6,3,0)*(ROWS($1:2314)-1))))</f>
        <v/>
      </c>
      <c r="D2326" s="68" t="str">
        <f t="shared" si="2"/>
        <v/>
      </c>
      <c r="E2326" s="65" t="str">
        <f>IF($B2326="","",VLOOKUP(MONTH(C2326),Parameters!$F$2:$G$13,2,0))</f>
        <v/>
      </c>
      <c r="F2326" s="69" t="str">
        <f>IF($B2326="","",PV-N(J2325))</f>
        <v/>
      </c>
      <c r="G2326" s="69" t="str">
        <f>IF($B2326="","",PMT(Rate,Nper,-PV,,Type))</f>
        <v/>
      </c>
      <c r="H2326" s="69" t="str">
        <f>IF($B2326="","",PPMT(Rate,ROWS($1:2314),Nper,-PV,,Type))</f>
        <v/>
      </c>
      <c r="I2326" s="69" t="str">
        <f>IF($B2326="","",IPMT(Rate,ROWS($1:2314),Nper,-PV,,Type))</f>
        <v/>
      </c>
      <c r="J2326" s="73" t="str">
        <f t="shared" ref="J2326:K2326" si="2316">IF($B2326="","",N(J2325)+N(H2326))</f>
        <v/>
      </c>
      <c r="K2326" s="74" t="str">
        <f t="shared" si="2316"/>
        <v/>
      </c>
      <c r="L2326" s="69" t="str">
        <f>IF($B2326="","",PV-J2326)</f>
        <v/>
      </c>
      <c r="M2326" s="71" t="str">
        <f>IF($B2326="","",J2326/PV)</f>
        <v/>
      </c>
      <c r="N2326" s="72" t="str">
        <f t="shared" si="4"/>
        <v/>
      </c>
    </row>
    <row r="2327" ht="14.25" customHeight="1">
      <c r="B2327" s="66" t="str">
        <f>IF(ROWS($1:2315)&lt;=Nper,ROWS($1:2315),"")</f>
        <v/>
      </c>
      <c r="C2327" s="67" t="str">
        <f>IF($B2327="","",IF($E$7="Weekly",Start_Date+7*(ROWS($1:2315)-1),EDATE(Start_Date,VLOOKUP(IF(ASTemp!$E$7="","Monthly",ASTemp!$E$7),Parameters!$B$3:$D$6,3,0)*(ROWS($1:2315)-1))))</f>
        <v/>
      </c>
      <c r="D2327" s="68" t="str">
        <f t="shared" si="2"/>
        <v/>
      </c>
      <c r="E2327" s="65" t="str">
        <f>IF($B2327="","",VLOOKUP(MONTH(C2327),Parameters!$F$2:$G$13,2,0))</f>
        <v/>
      </c>
      <c r="F2327" s="69" t="str">
        <f>IF($B2327="","",PV-N(J2326))</f>
        <v/>
      </c>
      <c r="G2327" s="69" t="str">
        <f>IF($B2327="","",PMT(Rate,Nper,-PV,,Type))</f>
        <v/>
      </c>
      <c r="H2327" s="69" t="str">
        <f>IF($B2327="","",PPMT(Rate,ROWS($1:2315),Nper,-PV,,Type))</f>
        <v/>
      </c>
      <c r="I2327" s="69" t="str">
        <f>IF($B2327="","",IPMT(Rate,ROWS($1:2315),Nper,-PV,,Type))</f>
        <v/>
      </c>
      <c r="J2327" s="73" t="str">
        <f t="shared" ref="J2327:K2327" si="2317">IF($B2327="","",N(J2326)+N(H2327))</f>
        <v/>
      </c>
      <c r="K2327" s="74" t="str">
        <f t="shared" si="2317"/>
        <v/>
      </c>
      <c r="L2327" s="69" t="str">
        <f>IF($B2327="","",PV-J2327)</f>
        <v/>
      </c>
      <c r="M2327" s="71" t="str">
        <f>IF($B2327="","",J2327/PV)</f>
        <v/>
      </c>
      <c r="N2327" s="72" t="str">
        <f t="shared" si="4"/>
        <v/>
      </c>
    </row>
    <row r="2328" ht="14.25" customHeight="1">
      <c r="B2328" s="66" t="str">
        <f>IF(ROWS($1:2316)&lt;=Nper,ROWS($1:2316),"")</f>
        <v/>
      </c>
      <c r="C2328" s="67" t="str">
        <f>IF($B2328="","",IF($E$7="Weekly",Start_Date+7*(ROWS($1:2316)-1),EDATE(Start_Date,VLOOKUP(IF(ASTemp!$E$7="","Monthly",ASTemp!$E$7),Parameters!$B$3:$D$6,3,0)*(ROWS($1:2316)-1))))</f>
        <v/>
      </c>
      <c r="D2328" s="68" t="str">
        <f t="shared" si="2"/>
        <v/>
      </c>
      <c r="E2328" s="65" t="str">
        <f>IF($B2328="","",VLOOKUP(MONTH(C2328),Parameters!$F$2:$G$13,2,0))</f>
        <v/>
      </c>
      <c r="F2328" s="69" t="str">
        <f>IF($B2328="","",PV-N(J2327))</f>
        <v/>
      </c>
      <c r="G2328" s="69" t="str">
        <f>IF($B2328="","",PMT(Rate,Nper,-PV,,Type))</f>
        <v/>
      </c>
      <c r="H2328" s="69" t="str">
        <f>IF($B2328="","",PPMT(Rate,ROWS($1:2316),Nper,-PV,,Type))</f>
        <v/>
      </c>
      <c r="I2328" s="69" t="str">
        <f>IF($B2328="","",IPMT(Rate,ROWS($1:2316),Nper,-PV,,Type))</f>
        <v/>
      </c>
      <c r="J2328" s="73" t="str">
        <f t="shared" ref="J2328:K2328" si="2318">IF($B2328="","",N(J2327)+N(H2328))</f>
        <v/>
      </c>
      <c r="K2328" s="74" t="str">
        <f t="shared" si="2318"/>
        <v/>
      </c>
      <c r="L2328" s="69" t="str">
        <f>IF($B2328="","",PV-J2328)</f>
        <v/>
      </c>
      <c r="M2328" s="71" t="str">
        <f>IF($B2328="","",J2328/PV)</f>
        <v/>
      </c>
      <c r="N2328" s="72" t="str">
        <f t="shared" si="4"/>
        <v/>
      </c>
    </row>
    <row r="2329" ht="14.25" customHeight="1">
      <c r="B2329" s="66" t="str">
        <f>IF(ROWS($1:2317)&lt;=Nper,ROWS($1:2317),"")</f>
        <v/>
      </c>
      <c r="C2329" s="67" t="str">
        <f>IF($B2329="","",IF($E$7="Weekly",Start_Date+7*(ROWS($1:2317)-1),EDATE(Start_Date,VLOOKUP(IF(ASTemp!$E$7="","Monthly",ASTemp!$E$7),Parameters!$B$3:$D$6,3,0)*(ROWS($1:2317)-1))))</f>
        <v/>
      </c>
      <c r="D2329" s="68" t="str">
        <f t="shared" si="2"/>
        <v/>
      </c>
      <c r="E2329" s="65" t="str">
        <f>IF($B2329="","",VLOOKUP(MONTH(C2329),Parameters!$F$2:$G$13,2,0))</f>
        <v/>
      </c>
      <c r="F2329" s="69" t="str">
        <f>IF($B2329="","",PV-N(J2328))</f>
        <v/>
      </c>
      <c r="G2329" s="69" t="str">
        <f>IF($B2329="","",PMT(Rate,Nper,-PV,,Type))</f>
        <v/>
      </c>
      <c r="H2329" s="69" t="str">
        <f>IF($B2329="","",PPMT(Rate,ROWS($1:2317),Nper,-PV,,Type))</f>
        <v/>
      </c>
      <c r="I2329" s="69" t="str">
        <f>IF($B2329="","",IPMT(Rate,ROWS($1:2317),Nper,-PV,,Type))</f>
        <v/>
      </c>
      <c r="J2329" s="73" t="str">
        <f t="shared" ref="J2329:K2329" si="2319">IF($B2329="","",N(J2328)+N(H2329))</f>
        <v/>
      </c>
      <c r="K2329" s="74" t="str">
        <f t="shared" si="2319"/>
        <v/>
      </c>
      <c r="L2329" s="69" t="str">
        <f>IF($B2329="","",PV-J2329)</f>
        <v/>
      </c>
      <c r="M2329" s="71" t="str">
        <f>IF($B2329="","",J2329/PV)</f>
        <v/>
      </c>
      <c r="N2329" s="72" t="str">
        <f t="shared" si="4"/>
        <v/>
      </c>
    </row>
    <row r="2330" ht="14.25" customHeight="1">
      <c r="B2330" s="66" t="str">
        <f>IF(ROWS($1:2318)&lt;=Nper,ROWS($1:2318),"")</f>
        <v/>
      </c>
      <c r="C2330" s="67" t="str">
        <f>IF($B2330="","",IF($E$7="Weekly",Start_Date+7*(ROWS($1:2318)-1),EDATE(Start_Date,VLOOKUP(IF(ASTemp!$E$7="","Monthly",ASTemp!$E$7),Parameters!$B$3:$D$6,3,0)*(ROWS($1:2318)-1))))</f>
        <v/>
      </c>
      <c r="D2330" s="68" t="str">
        <f t="shared" si="2"/>
        <v/>
      </c>
      <c r="E2330" s="65" t="str">
        <f>IF($B2330="","",VLOOKUP(MONTH(C2330),Parameters!$F$2:$G$13,2,0))</f>
        <v/>
      </c>
      <c r="F2330" s="69" t="str">
        <f>IF($B2330="","",PV-N(J2329))</f>
        <v/>
      </c>
      <c r="G2330" s="69" t="str">
        <f>IF($B2330="","",PMT(Rate,Nper,-PV,,Type))</f>
        <v/>
      </c>
      <c r="H2330" s="69" t="str">
        <f>IF($B2330="","",PPMT(Rate,ROWS($1:2318),Nper,-PV,,Type))</f>
        <v/>
      </c>
      <c r="I2330" s="69" t="str">
        <f>IF($B2330="","",IPMT(Rate,ROWS($1:2318),Nper,-PV,,Type))</f>
        <v/>
      </c>
      <c r="J2330" s="73" t="str">
        <f t="shared" ref="J2330:K2330" si="2320">IF($B2330="","",N(J2329)+N(H2330))</f>
        <v/>
      </c>
      <c r="K2330" s="74" t="str">
        <f t="shared" si="2320"/>
        <v/>
      </c>
      <c r="L2330" s="69" t="str">
        <f>IF($B2330="","",PV-J2330)</f>
        <v/>
      </c>
      <c r="M2330" s="71" t="str">
        <f>IF($B2330="","",J2330/PV)</f>
        <v/>
      </c>
      <c r="N2330" s="72" t="str">
        <f t="shared" si="4"/>
        <v/>
      </c>
    </row>
    <row r="2331" ht="14.25" customHeight="1">
      <c r="B2331" s="66" t="str">
        <f>IF(ROWS($1:2319)&lt;=Nper,ROWS($1:2319),"")</f>
        <v/>
      </c>
      <c r="C2331" s="67" t="str">
        <f>IF($B2331="","",IF($E$7="Weekly",Start_Date+7*(ROWS($1:2319)-1),EDATE(Start_Date,VLOOKUP(IF(ASTemp!$E$7="","Monthly",ASTemp!$E$7),Parameters!$B$3:$D$6,3,0)*(ROWS($1:2319)-1))))</f>
        <v/>
      </c>
      <c r="D2331" s="68" t="str">
        <f t="shared" si="2"/>
        <v/>
      </c>
      <c r="E2331" s="65" t="str">
        <f>IF($B2331="","",VLOOKUP(MONTH(C2331),Parameters!$F$2:$G$13,2,0))</f>
        <v/>
      </c>
      <c r="F2331" s="69" t="str">
        <f>IF($B2331="","",PV-N(J2330))</f>
        <v/>
      </c>
      <c r="G2331" s="69" t="str">
        <f>IF($B2331="","",PMT(Rate,Nper,-PV,,Type))</f>
        <v/>
      </c>
      <c r="H2331" s="69" t="str">
        <f>IF($B2331="","",PPMT(Rate,ROWS($1:2319),Nper,-PV,,Type))</f>
        <v/>
      </c>
      <c r="I2331" s="69" t="str">
        <f>IF($B2331="","",IPMT(Rate,ROWS($1:2319),Nper,-PV,,Type))</f>
        <v/>
      </c>
      <c r="J2331" s="73" t="str">
        <f t="shared" ref="J2331:K2331" si="2321">IF($B2331="","",N(J2330)+N(H2331))</f>
        <v/>
      </c>
      <c r="K2331" s="74" t="str">
        <f t="shared" si="2321"/>
        <v/>
      </c>
      <c r="L2331" s="69" t="str">
        <f>IF($B2331="","",PV-J2331)</f>
        <v/>
      </c>
      <c r="M2331" s="71" t="str">
        <f>IF($B2331="","",J2331/PV)</f>
        <v/>
      </c>
      <c r="N2331" s="72" t="str">
        <f t="shared" si="4"/>
        <v/>
      </c>
    </row>
    <row r="2332" ht="14.25" customHeight="1">
      <c r="B2332" s="66" t="str">
        <f>IF(ROWS($1:2320)&lt;=Nper,ROWS($1:2320),"")</f>
        <v/>
      </c>
      <c r="C2332" s="67" t="str">
        <f>IF($B2332="","",IF($E$7="Weekly",Start_Date+7*(ROWS($1:2320)-1),EDATE(Start_Date,VLOOKUP(IF(ASTemp!$E$7="","Monthly",ASTemp!$E$7),Parameters!$B$3:$D$6,3,0)*(ROWS($1:2320)-1))))</f>
        <v/>
      </c>
      <c r="D2332" s="68" t="str">
        <f t="shared" si="2"/>
        <v/>
      </c>
      <c r="E2332" s="65" t="str">
        <f>IF($B2332="","",VLOOKUP(MONTH(C2332),Parameters!$F$2:$G$13,2,0))</f>
        <v/>
      </c>
      <c r="F2332" s="69" t="str">
        <f>IF($B2332="","",PV-N(J2331))</f>
        <v/>
      </c>
      <c r="G2332" s="69" t="str">
        <f>IF($B2332="","",PMT(Rate,Nper,-PV,,Type))</f>
        <v/>
      </c>
      <c r="H2332" s="69" t="str">
        <f>IF($B2332="","",PPMT(Rate,ROWS($1:2320),Nper,-PV,,Type))</f>
        <v/>
      </c>
      <c r="I2332" s="69" t="str">
        <f>IF($B2332="","",IPMT(Rate,ROWS($1:2320),Nper,-PV,,Type))</f>
        <v/>
      </c>
      <c r="J2332" s="73" t="str">
        <f t="shared" ref="J2332:K2332" si="2322">IF($B2332="","",N(J2331)+N(H2332))</f>
        <v/>
      </c>
      <c r="K2332" s="74" t="str">
        <f t="shared" si="2322"/>
        <v/>
      </c>
      <c r="L2332" s="69" t="str">
        <f>IF($B2332="","",PV-J2332)</f>
        <v/>
      </c>
      <c r="M2332" s="71" t="str">
        <f>IF($B2332="","",J2332/PV)</f>
        <v/>
      </c>
      <c r="N2332" s="72" t="str">
        <f t="shared" si="4"/>
        <v/>
      </c>
    </row>
    <row r="2333" ht="14.25" customHeight="1">
      <c r="B2333" s="66" t="str">
        <f>IF(ROWS($1:2321)&lt;=Nper,ROWS($1:2321),"")</f>
        <v/>
      </c>
      <c r="C2333" s="67" t="str">
        <f>IF($B2333="","",IF($E$7="Weekly",Start_Date+7*(ROWS($1:2321)-1),EDATE(Start_Date,VLOOKUP(IF(ASTemp!$E$7="","Monthly",ASTemp!$E$7),Parameters!$B$3:$D$6,3,0)*(ROWS($1:2321)-1))))</f>
        <v/>
      </c>
      <c r="D2333" s="68" t="str">
        <f t="shared" si="2"/>
        <v/>
      </c>
      <c r="E2333" s="65" t="str">
        <f>IF($B2333="","",VLOOKUP(MONTH(C2333),Parameters!$F$2:$G$13,2,0))</f>
        <v/>
      </c>
      <c r="F2333" s="69" t="str">
        <f>IF($B2333="","",PV-N(J2332))</f>
        <v/>
      </c>
      <c r="G2333" s="69" t="str">
        <f>IF($B2333="","",PMT(Rate,Nper,-PV,,Type))</f>
        <v/>
      </c>
      <c r="H2333" s="69" t="str">
        <f>IF($B2333="","",PPMT(Rate,ROWS($1:2321),Nper,-PV,,Type))</f>
        <v/>
      </c>
      <c r="I2333" s="69" t="str">
        <f>IF($B2333="","",IPMT(Rate,ROWS($1:2321),Nper,-PV,,Type))</f>
        <v/>
      </c>
      <c r="J2333" s="73" t="str">
        <f t="shared" ref="J2333:K2333" si="2323">IF($B2333="","",N(J2332)+N(H2333))</f>
        <v/>
      </c>
      <c r="K2333" s="74" t="str">
        <f t="shared" si="2323"/>
        <v/>
      </c>
      <c r="L2333" s="69" t="str">
        <f>IF($B2333="","",PV-J2333)</f>
        <v/>
      </c>
      <c r="M2333" s="71" t="str">
        <f>IF($B2333="","",J2333/PV)</f>
        <v/>
      </c>
      <c r="N2333" s="72" t="str">
        <f t="shared" si="4"/>
        <v/>
      </c>
    </row>
    <row r="2334" ht="14.25" customHeight="1">
      <c r="B2334" s="66" t="str">
        <f>IF(ROWS($1:2322)&lt;=Nper,ROWS($1:2322),"")</f>
        <v/>
      </c>
      <c r="C2334" s="67" t="str">
        <f>IF($B2334="","",IF($E$7="Weekly",Start_Date+7*(ROWS($1:2322)-1),EDATE(Start_Date,VLOOKUP(IF(ASTemp!$E$7="","Monthly",ASTemp!$E$7),Parameters!$B$3:$D$6,3,0)*(ROWS($1:2322)-1))))</f>
        <v/>
      </c>
      <c r="D2334" s="68" t="str">
        <f t="shared" si="2"/>
        <v/>
      </c>
      <c r="E2334" s="65" t="str">
        <f>IF($B2334="","",VLOOKUP(MONTH(C2334),Parameters!$F$2:$G$13,2,0))</f>
        <v/>
      </c>
      <c r="F2334" s="69" t="str">
        <f>IF($B2334="","",PV-N(J2333))</f>
        <v/>
      </c>
      <c r="G2334" s="69" t="str">
        <f>IF($B2334="","",PMT(Rate,Nper,-PV,,Type))</f>
        <v/>
      </c>
      <c r="H2334" s="69" t="str">
        <f>IF($B2334="","",PPMT(Rate,ROWS($1:2322),Nper,-PV,,Type))</f>
        <v/>
      </c>
      <c r="I2334" s="69" t="str">
        <f>IF($B2334="","",IPMT(Rate,ROWS($1:2322),Nper,-PV,,Type))</f>
        <v/>
      </c>
      <c r="J2334" s="73" t="str">
        <f t="shared" ref="J2334:K2334" si="2324">IF($B2334="","",N(J2333)+N(H2334))</f>
        <v/>
      </c>
      <c r="K2334" s="74" t="str">
        <f t="shared" si="2324"/>
        <v/>
      </c>
      <c r="L2334" s="69" t="str">
        <f>IF($B2334="","",PV-J2334)</f>
        <v/>
      </c>
      <c r="M2334" s="71" t="str">
        <f>IF($B2334="","",J2334/PV)</f>
        <v/>
      </c>
      <c r="N2334" s="72" t="str">
        <f t="shared" si="4"/>
        <v/>
      </c>
    </row>
    <row r="2335" ht="14.25" customHeight="1">
      <c r="B2335" s="66" t="str">
        <f>IF(ROWS($1:2323)&lt;=Nper,ROWS($1:2323),"")</f>
        <v/>
      </c>
      <c r="C2335" s="67" t="str">
        <f>IF($B2335="","",IF($E$7="Weekly",Start_Date+7*(ROWS($1:2323)-1),EDATE(Start_Date,VLOOKUP(IF(ASTemp!$E$7="","Monthly",ASTemp!$E$7),Parameters!$B$3:$D$6,3,0)*(ROWS($1:2323)-1))))</f>
        <v/>
      </c>
      <c r="D2335" s="68" t="str">
        <f t="shared" si="2"/>
        <v/>
      </c>
      <c r="E2335" s="65" t="str">
        <f>IF($B2335="","",VLOOKUP(MONTH(C2335),Parameters!$F$2:$G$13,2,0))</f>
        <v/>
      </c>
      <c r="F2335" s="69" t="str">
        <f>IF($B2335="","",PV-N(J2334))</f>
        <v/>
      </c>
      <c r="G2335" s="69" t="str">
        <f>IF($B2335="","",PMT(Rate,Nper,-PV,,Type))</f>
        <v/>
      </c>
      <c r="H2335" s="69" t="str">
        <f>IF($B2335="","",PPMT(Rate,ROWS($1:2323),Nper,-PV,,Type))</f>
        <v/>
      </c>
      <c r="I2335" s="69" t="str">
        <f>IF($B2335="","",IPMT(Rate,ROWS($1:2323),Nper,-PV,,Type))</f>
        <v/>
      </c>
      <c r="J2335" s="73" t="str">
        <f t="shared" ref="J2335:K2335" si="2325">IF($B2335="","",N(J2334)+N(H2335))</f>
        <v/>
      </c>
      <c r="K2335" s="74" t="str">
        <f t="shared" si="2325"/>
        <v/>
      </c>
      <c r="L2335" s="69" t="str">
        <f>IF($B2335="","",PV-J2335)</f>
        <v/>
      </c>
      <c r="M2335" s="71" t="str">
        <f>IF($B2335="","",J2335/PV)</f>
        <v/>
      </c>
      <c r="N2335" s="72" t="str">
        <f t="shared" si="4"/>
        <v/>
      </c>
    </row>
    <row r="2336" ht="14.25" customHeight="1">
      <c r="B2336" s="66" t="str">
        <f>IF(ROWS($1:2324)&lt;=Nper,ROWS($1:2324),"")</f>
        <v/>
      </c>
      <c r="C2336" s="67" t="str">
        <f>IF($B2336="","",IF($E$7="Weekly",Start_Date+7*(ROWS($1:2324)-1),EDATE(Start_Date,VLOOKUP(IF(ASTemp!$E$7="","Monthly",ASTemp!$E$7),Parameters!$B$3:$D$6,3,0)*(ROWS($1:2324)-1))))</f>
        <v/>
      </c>
      <c r="D2336" s="68" t="str">
        <f t="shared" si="2"/>
        <v/>
      </c>
      <c r="E2336" s="65" t="str">
        <f>IF($B2336="","",VLOOKUP(MONTH(C2336),Parameters!$F$2:$G$13,2,0))</f>
        <v/>
      </c>
      <c r="F2336" s="69" t="str">
        <f>IF($B2336="","",PV-N(J2335))</f>
        <v/>
      </c>
      <c r="G2336" s="69" t="str">
        <f>IF($B2336="","",PMT(Rate,Nper,-PV,,Type))</f>
        <v/>
      </c>
      <c r="H2336" s="69" t="str">
        <f>IF($B2336="","",PPMT(Rate,ROWS($1:2324),Nper,-PV,,Type))</f>
        <v/>
      </c>
      <c r="I2336" s="69" t="str">
        <f>IF($B2336="","",IPMT(Rate,ROWS($1:2324),Nper,-PV,,Type))</f>
        <v/>
      </c>
      <c r="J2336" s="73" t="str">
        <f t="shared" ref="J2336:K2336" si="2326">IF($B2336="","",N(J2335)+N(H2336))</f>
        <v/>
      </c>
      <c r="K2336" s="74" t="str">
        <f t="shared" si="2326"/>
        <v/>
      </c>
      <c r="L2336" s="69" t="str">
        <f>IF($B2336="","",PV-J2336)</f>
        <v/>
      </c>
      <c r="M2336" s="71" t="str">
        <f>IF($B2336="","",J2336/PV)</f>
        <v/>
      </c>
      <c r="N2336" s="72" t="str">
        <f t="shared" si="4"/>
        <v/>
      </c>
    </row>
    <row r="2337" ht="14.25" customHeight="1">
      <c r="B2337" s="66" t="str">
        <f>IF(ROWS($1:2325)&lt;=Nper,ROWS($1:2325),"")</f>
        <v/>
      </c>
      <c r="C2337" s="67" t="str">
        <f>IF($B2337="","",IF($E$7="Weekly",Start_Date+7*(ROWS($1:2325)-1),EDATE(Start_Date,VLOOKUP(IF(ASTemp!$E$7="","Monthly",ASTemp!$E$7),Parameters!$B$3:$D$6,3,0)*(ROWS($1:2325)-1))))</f>
        <v/>
      </c>
      <c r="D2337" s="68" t="str">
        <f t="shared" si="2"/>
        <v/>
      </c>
      <c r="E2337" s="65" t="str">
        <f>IF($B2337="","",VLOOKUP(MONTH(C2337),Parameters!$F$2:$G$13,2,0))</f>
        <v/>
      </c>
      <c r="F2337" s="69" t="str">
        <f>IF($B2337="","",PV-N(J2336))</f>
        <v/>
      </c>
      <c r="G2337" s="69" t="str">
        <f>IF($B2337="","",PMT(Rate,Nper,-PV,,Type))</f>
        <v/>
      </c>
      <c r="H2337" s="69" t="str">
        <f>IF($B2337="","",PPMT(Rate,ROWS($1:2325),Nper,-PV,,Type))</f>
        <v/>
      </c>
      <c r="I2337" s="69" t="str">
        <f>IF($B2337="","",IPMT(Rate,ROWS($1:2325),Nper,-PV,,Type))</f>
        <v/>
      </c>
      <c r="J2337" s="73" t="str">
        <f t="shared" ref="J2337:K2337" si="2327">IF($B2337="","",N(J2336)+N(H2337))</f>
        <v/>
      </c>
      <c r="K2337" s="74" t="str">
        <f t="shared" si="2327"/>
        <v/>
      </c>
      <c r="L2337" s="69" t="str">
        <f>IF($B2337="","",PV-J2337)</f>
        <v/>
      </c>
      <c r="M2337" s="71" t="str">
        <f>IF($B2337="","",J2337/PV)</f>
        <v/>
      </c>
      <c r="N2337" s="72" t="str">
        <f t="shared" si="4"/>
        <v/>
      </c>
    </row>
    <row r="2338" ht="14.25" customHeight="1">
      <c r="B2338" s="66" t="str">
        <f>IF(ROWS($1:2326)&lt;=Nper,ROWS($1:2326),"")</f>
        <v/>
      </c>
      <c r="C2338" s="67" t="str">
        <f>IF($B2338="","",IF($E$7="Weekly",Start_Date+7*(ROWS($1:2326)-1),EDATE(Start_Date,VLOOKUP(IF(ASTemp!$E$7="","Monthly",ASTemp!$E$7),Parameters!$B$3:$D$6,3,0)*(ROWS($1:2326)-1))))</f>
        <v/>
      </c>
      <c r="D2338" s="68" t="str">
        <f t="shared" si="2"/>
        <v/>
      </c>
      <c r="E2338" s="65" t="str">
        <f>IF($B2338="","",VLOOKUP(MONTH(C2338),Parameters!$F$2:$G$13,2,0))</f>
        <v/>
      </c>
      <c r="F2338" s="69" t="str">
        <f>IF($B2338="","",PV-N(J2337))</f>
        <v/>
      </c>
      <c r="G2338" s="69" t="str">
        <f>IF($B2338="","",PMT(Rate,Nper,-PV,,Type))</f>
        <v/>
      </c>
      <c r="H2338" s="69" t="str">
        <f>IF($B2338="","",PPMT(Rate,ROWS($1:2326),Nper,-PV,,Type))</f>
        <v/>
      </c>
      <c r="I2338" s="69" t="str">
        <f>IF($B2338="","",IPMT(Rate,ROWS($1:2326),Nper,-PV,,Type))</f>
        <v/>
      </c>
      <c r="J2338" s="73" t="str">
        <f t="shared" ref="J2338:K2338" si="2328">IF($B2338="","",N(J2337)+N(H2338))</f>
        <v/>
      </c>
      <c r="K2338" s="74" t="str">
        <f t="shared" si="2328"/>
        <v/>
      </c>
      <c r="L2338" s="69" t="str">
        <f>IF($B2338="","",PV-J2338)</f>
        <v/>
      </c>
      <c r="M2338" s="71" t="str">
        <f>IF($B2338="","",J2338/PV)</f>
        <v/>
      </c>
      <c r="N2338" s="72" t="str">
        <f t="shared" si="4"/>
        <v/>
      </c>
    </row>
    <row r="2339" ht="14.25" customHeight="1">
      <c r="B2339" s="66" t="str">
        <f>IF(ROWS($1:2327)&lt;=Nper,ROWS($1:2327),"")</f>
        <v/>
      </c>
      <c r="C2339" s="67" t="str">
        <f>IF($B2339="","",IF($E$7="Weekly",Start_Date+7*(ROWS($1:2327)-1),EDATE(Start_Date,VLOOKUP(IF(ASTemp!$E$7="","Monthly",ASTemp!$E$7),Parameters!$B$3:$D$6,3,0)*(ROWS($1:2327)-1))))</f>
        <v/>
      </c>
      <c r="D2339" s="68" t="str">
        <f t="shared" si="2"/>
        <v/>
      </c>
      <c r="E2339" s="65" t="str">
        <f>IF($B2339="","",VLOOKUP(MONTH(C2339),Parameters!$F$2:$G$13,2,0))</f>
        <v/>
      </c>
      <c r="F2339" s="69" t="str">
        <f>IF($B2339="","",PV-N(J2338))</f>
        <v/>
      </c>
      <c r="G2339" s="69" t="str">
        <f>IF($B2339="","",PMT(Rate,Nper,-PV,,Type))</f>
        <v/>
      </c>
      <c r="H2339" s="69" t="str">
        <f>IF($B2339="","",PPMT(Rate,ROWS($1:2327),Nper,-PV,,Type))</f>
        <v/>
      </c>
      <c r="I2339" s="69" t="str">
        <f>IF($B2339="","",IPMT(Rate,ROWS($1:2327),Nper,-PV,,Type))</f>
        <v/>
      </c>
      <c r="J2339" s="73" t="str">
        <f t="shared" ref="J2339:K2339" si="2329">IF($B2339="","",N(J2338)+N(H2339))</f>
        <v/>
      </c>
      <c r="K2339" s="74" t="str">
        <f t="shared" si="2329"/>
        <v/>
      </c>
      <c r="L2339" s="69" t="str">
        <f>IF($B2339="","",PV-J2339)</f>
        <v/>
      </c>
      <c r="M2339" s="71" t="str">
        <f>IF($B2339="","",J2339/PV)</f>
        <v/>
      </c>
      <c r="N2339" s="72" t="str">
        <f t="shared" si="4"/>
        <v/>
      </c>
    </row>
    <row r="2340" ht="14.25" customHeight="1">
      <c r="B2340" s="66" t="str">
        <f>IF(ROWS($1:2328)&lt;=Nper,ROWS($1:2328),"")</f>
        <v/>
      </c>
      <c r="C2340" s="67" t="str">
        <f>IF($B2340="","",IF($E$7="Weekly",Start_Date+7*(ROWS($1:2328)-1),EDATE(Start_Date,VLOOKUP(IF(ASTemp!$E$7="","Monthly",ASTemp!$E$7),Parameters!$B$3:$D$6,3,0)*(ROWS($1:2328)-1))))</f>
        <v/>
      </c>
      <c r="D2340" s="68" t="str">
        <f t="shared" si="2"/>
        <v/>
      </c>
      <c r="E2340" s="65" t="str">
        <f>IF($B2340="","",VLOOKUP(MONTH(C2340),Parameters!$F$2:$G$13,2,0))</f>
        <v/>
      </c>
      <c r="F2340" s="69" t="str">
        <f>IF($B2340="","",PV-N(J2339))</f>
        <v/>
      </c>
      <c r="G2340" s="69" t="str">
        <f>IF($B2340="","",PMT(Rate,Nper,-PV,,Type))</f>
        <v/>
      </c>
      <c r="H2340" s="69" t="str">
        <f>IF($B2340="","",PPMT(Rate,ROWS($1:2328),Nper,-PV,,Type))</f>
        <v/>
      </c>
      <c r="I2340" s="69" t="str">
        <f>IF($B2340="","",IPMT(Rate,ROWS($1:2328),Nper,-PV,,Type))</f>
        <v/>
      </c>
      <c r="J2340" s="73" t="str">
        <f t="shared" ref="J2340:K2340" si="2330">IF($B2340="","",N(J2339)+N(H2340))</f>
        <v/>
      </c>
      <c r="K2340" s="74" t="str">
        <f t="shared" si="2330"/>
        <v/>
      </c>
      <c r="L2340" s="69" t="str">
        <f>IF($B2340="","",PV-J2340)</f>
        <v/>
      </c>
      <c r="M2340" s="71" t="str">
        <f>IF($B2340="","",J2340/PV)</f>
        <v/>
      </c>
      <c r="N2340" s="72" t="str">
        <f t="shared" si="4"/>
        <v/>
      </c>
    </row>
    <row r="2341" ht="14.25" customHeight="1">
      <c r="B2341" s="66" t="str">
        <f>IF(ROWS($1:2329)&lt;=Nper,ROWS($1:2329),"")</f>
        <v/>
      </c>
      <c r="C2341" s="67" t="str">
        <f>IF($B2341="","",IF($E$7="Weekly",Start_Date+7*(ROWS($1:2329)-1),EDATE(Start_Date,VLOOKUP(IF(ASTemp!$E$7="","Monthly",ASTemp!$E$7),Parameters!$B$3:$D$6,3,0)*(ROWS($1:2329)-1))))</f>
        <v/>
      </c>
      <c r="D2341" s="68" t="str">
        <f t="shared" si="2"/>
        <v/>
      </c>
      <c r="E2341" s="65" t="str">
        <f>IF($B2341="","",VLOOKUP(MONTH(C2341),Parameters!$F$2:$G$13,2,0))</f>
        <v/>
      </c>
      <c r="F2341" s="69" t="str">
        <f>IF($B2341="","",PV-N(J2340))</f>
        <v/>
      </c>
      <c r="G2341" s="69" t="str">
        <f>IF($B2341="","",PMT(Rate,Nper,-PV,,Type))</f>
        <v/>
      </c>
      <c r="H2341" s="69" t="str">
        <f>IF($B2341="","",PPMT(Rate,ROWS($1:2329),Nper,-PV,,Type))</f>
        <v/>
      </c>
      <c r="I2341" s="69" t="str">
        <f>IF($B2341="","",IPMT(Rate,ROWS($1:2329),Nper,-PV,,Type))</f>
        <v/>
      </c>
      <c r="J2341" s="73" t="str">
        <f t="shared" ref="J2341:K2341" si="2331">IF($B2341="","",N(J2340)+N(H2341))</f>
        <v/>
      </c>
      <c r="K2341" s="74" t="str">
        <f t="shared" si="2331"/>
        <v/>
      </c>
      <c r="L2341" s="69" t="str">
        <f>IF($B2341="","",PV-J2341)</f>
        <v/>
      </c>
      <c r="M2341" s="71" t="str">
        <f>IF($B2341="","",J2341/PV)</f>
        <v/>
      </c>
      <c r="N2341" s="72" t="str">
        <f t="shared" si="4"/>
        <v/>
      </c>
    </row>
    <row r="2342" ht="14.25" customHeight="1">
      <c r="B2342" s="66" t="str">
        <f>IF(ROWS($1:2330)&lt;=Nper,ROWS($1:2330),"")</f>
        <v/>
      </c>
      <c r="C2342" s="67" t="str">
        <f>IF($B2342="","",IF($E$7="Weekly",Start_Date+7*(ROWS($1:2330)-1),EDATE(Start_Date,VLOOKUP(IF(ASTemp!$E$7="","Monthly",ASTemp!$E$7),Parameters!$B$3:$D$6,3,0)*(ROWS($1:2330)-1))))</f>
        <v/>
      </c>
      <c r="D2342" s="68" t="str">
        <f t="shared" si="2"/>
        <v/>
      </c>
      <c r="E2342" s="65" t="str">
        <f>IF($B2342="","",VLOOKUP(MONTH(C2342),Parameters!$F$2:$G$13,2,0))</f>
        <v/>
      </c>
      <c r="F2342" s="69" t="str">
        <f>IF($B2342="","",PV-N(J2341))</f>
        <v/>
      </c>
      <c r="G2342" s="69" t="str">
        <f>IF($B2342="","",PMT(Rate,Nper,-PV,,Type))</f>
        <v/>
      </c>
      <c r="H2342" s="69" t="str">
        <f>IF($B2342="","",PPMT(Rate,ROWS($1:2330),Nper,-PV,,Type))</f>
        <v/>
      </c>
      <c r="I2342" s="69" t="str">
        <f>IF($B2342="","",IPMT(Rate,ROWS($1:2330),Nper,-PV,,Type))</f>
        <v/>
      </c>
      <c r="J2342" s="73" t="str">
        <f t="shared" ref="J2342:K2342" si="2332">IF($B2342="","",N(J2341)+N(H2342))</f>
        <v/>
      </c>
      <c r="K2342" s="74" t="str">
        <f t="shared" si="2332"/>
        <v/>
      </c>
      <c r="L2342" s="69" t="str">
        <f>IF($B2342="","",PV-J2342)</f>
        <v/>
      </c>
      <c r="M2342" s="71" t="str">
        <f>IF($B2342="","",J2342/PV)</f>
        <v/>
      </c>
      <c r="N2342" s="72" t="str">
        <f t="shared" si="4"/>
        <v/>
      </c>
    </row>
    <row r="2343" ht="14.25" customHeight="1">
      <c r="B2343" s="66" t="str">
        <f>IF(ROWS($1:2331)&lt;=Nper,ROWS($1:2331),"")</f>
        <v/>
      </c>
      <c r="C2343" s="67" t="str">
        <f>IF($B2343="","",IF($E$7="Weekly",Start_Date+7*(ROWS($1:2331)-1),EDATE(Start_Date,VLOOKUP(IF(ASTemp!$E$7="","Monthly",ASTemp!$E$7),Parameters!$B$3:$D$6,3,0)*(ROWS($1:2331)-1))))</f>
        <v/>
      </c>
      <c r="D2343" s="68" t="str">
        <f t="shared" si="2"/>
        <v/>
      </c>
      <c r="E2343" s="65" t="str">
        <f>IF($B2343="","",VLOOKUP(MONTH(C2343),Parameters!$F$2:$G$13,2,0))</f>
        <v/>
      </c>
      <c r="F2343" s="69" t="str">
        <f>IF($B2343="","",PV-N(J2342))</f>
        <v/>
      </c>
      <c r="G2343" s="69" t="str">
        <f>IF($B2343="","",PMT(Rate,Nper,-PV,,Type))</f>
        <v/>
      </c>
      <c r="H2343" s="69" t="str">
        <f>IF($B2343="","",PPMT(Rate,ROWS($1:2331),Nper,-PV,,Type))</f>
        <v/>
      </c>
      <c r="I2343" s="69" t="str">
        <f>IF($B2343="","",IPMT(Rate,ROWS($1:2331),Nper,-PV,,Type))</f>
        <v/>
      </c>
      <c r="J2343" s="73" t="str">
        <f t="shared" ref="J2343:K2343" si="2333">IF($B2343="","",N(J2342)+N(H2343))</f>
        <v/>
      </c>
      <c r="K2343" s="74" t="str">
        <f t="shared" si="2333"/>
        <v/>
      </c>
      <c r="L2343" s="69" t="str">
        <f>IF($B2343="","",PV-J2343)</f>
        <v/>
      </c>
      <c r="M2343" s="71" t="str">
        <f>IF($B2343="","",J2343/PV)</f>
        <v/>
      </c>
      <c r="N2343" s="72" t="str">
        <f t="shared" si="4"/>
        <v/>
      </c>
    </row>
    <row r="2344" ht="14.25" customHeight="1">
      <c r="B2344" s="66" t="str">
        <f>IF(ROWS($1:2332)&lt;=Nper,ROWS($1:2332),"")</f>
        <v/>
      </c>
      <c r="C2344" s="67" t="str">
        <f>IF($B2344="","",IF($E$7="Weekly",Start_Date+7*(ROWS($1:2332)-1),EDATE(Start_Date,VLOOKUP(IF(ASTemp!$E$7="","Monthly",ASTemp!$E$7),Parameters!$B$3:$D$6,3,0)*(ROWS($1:2332)-1))))</f>
        <v/>
      </c>
      <c r="D2344" s="68" t="str">
        <f t="shared" si="2"/>
        <v/>
      </c>
      <c r="E2344" s="65" t="str">
        <f>IF($B2344="","",VLOOKUP(MONTH(C2344),Parameters!$F$2:$G$13,2,0))</f>
        <v/>
      </c>
      <c r="F2344" s="69" t="str">
        <f>IF($B2344="","",PV-N(J2343))</f>
        <v/>
      </c>
      <c r="G2344" s="69" t="str">
        <f>IF($B2344="","",PMT(Rate,Nper,-PV,,Type))</f>
        <v/>
      </c>
      <c r="H2344" s="69" t="str">
        <f>IF($B2344="","",PPMT(Rate,ROWS($1:2332),Nper,-PV,,Type))</f>
        <v/>
      </c>
      <c r="I2344" s="69" t="str">
        <f>IF($B2344="","",IPMT(Rate,ROWS($1:2332),Nper,-PV,,Type))</f>
        <v/>
      </c>
      <c r="J2344" s="73" t="str">
        <f t="shared" ref="J2344:K2344" si="2334">IF($B2344="","",N(J2343)+N(H2344))</f>
        <v/>
      </c>
      <c r="K2344" s="74" t="str">
        <f t="shared" si="2334"/>
        <v/>
      </c>
      <c r="L2344" s="69" t="str">
        <f>IF($B2344="","",PV-J2344)</f>
        <v/>
      </c>
      <c r="M2344" s="71" t="str">
        <f>IF($B2344="","",J2344/PV)</f>
        <v/>
      </c>
      <c r="N2344" s="72" t="str">
        <f t="shared" si="4"/>
        <v/>
      </c>
    </row>
    <row r="2345" ht="14.25" customHeight="1">
      <c r="B2345" s="66" t="str">
        <f>IF(ROWS($1:2333)&lt;=Nper,ROWS($1:2333),"")</f>
        <v/>
      </c>
      <c r="C2345" s="67" t="str">
        <f>IF($B2345="","",IF($E$7="Weekly",Start_Date+7*(ROWS($1:2333)-1),EDATE(Start_Date,VLOOKUP(IF(ASTemp!$E$7="","Monthly",ASTemp!$E$7),Parameters!$B$3:$D$6,3,0)*(ROWS($1:2333)-1))))</f>
        <v/>
      </c>
      <c r="D2345" s="68" t="str">
        <f t="shared" si="2"/>
        <v/>
      </c>
      <c r="E2345" s="65" t="str">
        <f>IF($B2345="","",VLOOKUP(MONTH(C2345),Parameters!$F$2:$G$13,2,0))</f>
        <v/>
      </c>
      <c r="F2345" s="69" t="str">
        <f>IF($B2345="","",PV-N(J2344))</f>
        <v/>
      </c>
      <c r="G2345" s="69" t="str">
        <f>IF($B2345="","",PMT(Rate,Nper,-PV,,Type))</f>
        <v/>
      </c>
      <c r="H2345" s="69" t="str">
        <f>IF($B2345="","",PPMT(Rate,ROWS($1:2333),Nper,-PV,,Type))</f>
        <v/>
      </c>
      <c r="I2345" s="69" t="str">
        <f>IF($B2345="","",IPMT(Rate,ROWS($1:2333),Nper,-PV,,Type))</f>
        <v/>
      </c>
      <c r="J2345" s="73" t="str">
        <f t="shared" ref="J2345:K2345" si="2335">IF($B2345="","",N(J2344)+N(H2345))</f>
        <v/>
      </c>
      <c r="K2345" s="74" t="str">
        <f t="shared" si="2335"/>
        <v/>
      </c>
      <c r="L2345" s="69" t="str">
        <f>IF($B2345="","",PV-J2345)</f>
        <v/>
      </c>
      <c r="M2345" s="71" t="str">
        <f>IF($B2345="","",J2345/PV)</f>
        <v/>
      </c>
      <c r="N2345" s="72" t="str">
        <f t="shared" si="4"/>
        <v/>
      </c>
    </row>
    <row r="2346" ht="14.25" customHeight="1">
      <c r="B2346" s="66" t="str">
        <f>IF(ROWS($1:2334)&lt;=Nper,ROWS($1:2334),"")</f>
        <v/>
      </c>
      <c r="C2346" s="67" t="str">
        <f>IF($B2346="","",IF($E$7="Weekly",Start_Date+7*(ROWS($1:2334)-1),EDATE(Start_Date,VLOOKUP(IF(ASTemp!$E$7="","Monthly",ASTemp!$E$7),Parameters!$B$3:$D$6,3,0)*(ROWS($1:2334)-1))))</f>
        <v/>
      </c>
      <c r="D2346" s="68" t="str">
        <f t="shared" si="2"/>
        <v/>
      </c>
      <c r="E2346" s="65" t="str">
        <f>IF($B2346="","",VLOOKUP(MONTH(C2346),Parameters!$F$2:$G$13,2,0))</f>
        <v/>
      </c>
      <c r="F2346" s="69" t="str">
        <f>IF($B2346="","",PV-N(J2345))</f>
        <v/>
      </c>
      <c r="G2346" s="69" t="str">
        <f>IF($B2346="","",PMT(Rate,Nper,-PV,,Type))</f>
        <v/>
      </c>
      <c r="H2346" s="69" t="str">
        <f>IF($B2346="","",PPMT(Rate,ROWS($1:2334),Nper,-PV,,Type))</f>
        <v/>
      </c>
      <c r="I2346" s="69" t="str">
        <f>IF($B2346="","",IPMT(Rate,ROWS($1:2334),Nper,-PV,,Type))</f>
        <v/>
      </c>
      <c r="J2346" s="73" t="str">
        <f t="shared" ref="J2346:K2346" si="2336">IF($B2346="","",N(J2345)+N(H2346))</f>
        <v/>
      </c>
      <c r="K2346" s="74" t="str">
        <f t="shared" si="2336"/>
        <v/>
      </c>
      <c r="L2346" s="69" t="str">
        <f>IF($B2346="","",PV-J2346)</f>
        <v/>
      </c>
      <c r="M2346" s="71" t="str">
        <f>IF($B2346="","",J2346/PV)</f>
        <v/>
      </c>
      <c r="N2346" s="72" t="str">
        <f t="shared" si="4"/>
        <v/>
      </c>
    </row>
    <row r="2347" ht="14.25" customHeight="1">
      <c r="B2347" s="66" t="str">
        <f>IF(ROWS($1:2335)&lt;=Nper,ROWS($1:2335),"")</f>
        <v/>
      </c>
      <c r="C2347" s="67" t="str">
        <f>IF($B2347="","",IF($E$7="Weekly",Start_Date+7*(ROWS($1:2335)-1),EDATE(Start_Date,VLOOKUP(IF(ASTemp!$E$7="","Monthly",ASTemp!$E$7),Parameters!$B$3:$D$6,3,0)*(ROWS($1:2335)-1))))</f>
        <v/>
      </c>
      <c r="D2347" s="68" t="str">
        <f t="shared" si="2"/>
        <v/>
      </c>
      <c r="E2347" s="65" t="str">
        <f>IF($B2347="","",VLOOKUP(MONTH(C2347),Parameters!$F$2:$G$13,2,0))</f>
        <v/>
      </c>
      <c r="F2347" s="69" t="str">
        <f>IF($B2347="","",PV-N(J2346))</f>
        <v/>
      </c>
      <c r="G2347" s="69" t="str">
        <f>IF($B2347="","",PMT(Rate,Nper,-PV,,Type))</f>
        <v/>
      </c>
      <c r="H2347" s="69" t="str">
        <f>IF($B2347="","",PPMT(Rate,ROWS($1:2335),Nper,-PV,,Type))</f>
        <v/>
      </c>
      <c r="I2347" s="69" t="str">
        <f>IF($B2347="","",IPMT(Rate,ROWS($1:2335),Nper,-PV,,Type))</f>
        <v/>
      </c>
      <c r="J2347" s="73" t="str">
        <f t="shared" ref="J2347:K2347" si="2337">IF($B2347="","",N(J2346)+N(H2347))</f>
        <v/>
      </c>
      <c r="K2347" s="74" t="str">
        <f t="shared" si="2337"/>
        <v/>
      </c>
      <c r="L2347" s="69" t="str">
        <f>IF($B2347="","",PV-J2347)</f>
        <v/>
      </c>
      <c r="M2347" s="71" t="str">
        <f>IF($B2347="","",J2347/PV)</f>
        <v/>
      </c>
      <c r="N2347" s="72" t="str">
        <f t="shared" si="4"/>
        <v/>
      </c>
    </row>
    <row r="2348" ht="14.25" customHeight="1">
      <c r="B2348" s="66" t="str">
        <f>IF(ROWS($1:2336)&lt;=Nper,ROWS($1:2336),"")</f>
        <v/>
      </c>
      <c r="C2348" s="67" t="str">
        <f>IF($B2348="","",IF($E$7="Weekly",Start_Date+7*(ROWS($1:2336)-1),EDATE(Start_Date,VLOOKUP(IF(ASTemp!$E$7="","Monthly",ASTemp!$E$7),Parameters!$B$3:$D$6,3,0)*(ROWS($1:2336)-1))))</f>
        <v/>
      </c>
      <c r="D2348" s="68" t="str">
        <f t="shared" si="2"/>
        <v/>
      </c>
      <c r="E2348" s="65" t="str">
        <f>IF($B2348="","",VLOOKUP(MONTH(C2348),Parameters!$F$2:$G$13,2,0))</f>
        <v/>
      </c>
      <c r="F2348" s="69" t="str">
        <f>IF($B2348="","",PV-N(J2347))</f>
        <v/>
      </c>
      <c r="G2348" s="69" t="str">
        <f>IF($B2348="","",PMT(Rate,Nper,-PV,,Type))</f>
        <v/>
      </c>
      <c r="H2348" s="69" t="str">
        <f>IF($B2348="","",PPMT(Rate,ROWS($1:2336),Nper,-PV,,Type))</f>
        <v/>
      </c>
      <c r="I2348" s="69" t="str">
        <f>IF($B2348="","",IPMT(Rate,ROWS($1:2336),Nper,-PV,,Type))</f>
        <v/>
      </c>
      <c r="J2348" s="73" t="str">
        <f t="shared" ref="J2348:K2348" si="2338">IF($B2348="","",N(J2347)+N(H2348))</f>
        <v/>
      </c>
      <c r="K2348" s="74" t="str">
        <f t="shared" si="2338"/>
        <v/>
      </c>
      <c r="L2348" s="69" t="str">
        <f>IF($B2348="","",PV-J2348)</f>
        <v/>
      </c>
      <c r="M2348" s="71" t="str">
        <f>IF($B2348="","",J2348/PV)</f>
        <v/>
      </c>
      <c r="N2348" s="72" t="str">
        <f t="shared" si="4"/>
        <v/>
      </c>
    </row>
    <row r="2349" ht="14.25" customHeight="1">
      <c r="B2349" s="66" t="str">
        <f>IF(ROWS($1:2337)&lt;=Nper,ROWS($1:2337),"")</f>
        <v/>
      </c>
      <c r="C2349" s="67" t="str">
        <f>IF($B2349="","",IF($E$7="Weekly",Start_Date+7*(ROWS($1:2337)-1),EDATE(Start_Date,VLOOKUP(IF(ASTemp!$E$7="","Monthly",ASTemp!$E$7),Parameters!$B$3:$D$6,3,0)*(ROWS($1:2337)-1))))</f>
        <v/>
      </c>
      <c r="D2349" s="68" t="str">
        <f t="shared" si="2"/>
        <v/>
      </c>
      <c r="E2349" s="65" t="str">
        <f>IF($B2349="","",VLOOKUP(MONTH(C2349),Parameters!$F$2:$G$13,2,0))</f>
        <v/>
      </c>
      <c r="F2349" s="69" t="str">
        <f>IF($B2349="","",PV-N(J2348))</f>
        <v/>
      </c>
      <c r="G2349" s="69" t="str">
        <f>IF($B2349="","",PMT(Rate,Nper,-PV,,Type))</f>
        <v/>
      </c>
      <c r="H2349" s="69" t="str">
        <f>IF($B2349="","",PPMT(Rate,ROWS($1:2337),Nper,-PV,,Type))</f>
        <v/>
      </c>
      <c r="I2349" s="69" t="str">
        <f>IF($B2349="","",IPMT(Rate,ROWS($1:2337),Nper,-PV,,Type))</f>
        <v/>
      </c>
      <c r="J2349" s="73" t="str">
        <f t="shared" ref="J2349:K2349" si="2339">IF($B2349="","",N(J2348)+N(H2349))</f>
        <v/>
      </c>
      <c r="K2349" s="74" t="str">
        <f t="shared" si="2339"/>
        <v/>
      </c>
      <c r="L2349" s="69" t="str">
        <f>IF($B2349="","",PV-J2349)</f>
        <v/>
      </c>
      <c r="M2349" s="71" t="str">
        <f>IF($B2349="","",J2349/PV)</f>
        <v/>
      </c>
      <c r="N2349" s="72" t="str">
        <f t="shared" si="4"/>
        <v/>
      </c>
    </row>
    <row r="2350" ht="14.25" customHeight="1">
      <c r="B2350" s="66" t="str">
        <f>IF(ROWS($1:2338)&lt;=Nper,ROWS($1:2338),"")</f>
        <v/>
      </c>
      <c r="C2350" s="67" t="str">
        <f>IF($B2350="","",IF($E$7="Weekly",Start_Date+7*(ROWS($1:2338)-1),EDATE(Start_Date,VLOOKUP(IF(ASTemp!$E$7="","Monthly",ASTemp!$E$7),Parameters!$B$3:$D$6,3,0)*(ROWS($1:2338)-1))))</f>
        <v/>
      </c>
      <c r="D2350" s="68" t="str">
        <f t="shared" si="2"/>
        <v/>
      </c>
      <c r="E2350" s="65" t="str">
        <f>IF($B2350="","",VLOOKUP(MONTH(C2350),Parameters!$F$2:$G$13,2,0))</f>
        <v/>
      </c>
      <c r="F2350" s="69" t="str">
        <f>IF($B2350="","",PV-N(J2349))</f>
        <v/>
      </c>
      <c r="G2350" s="69" t="str">
        <f>IF($B2350="","",PMT(Rate,Nper,-PV,,Type))</f>
        <v/>
      </c>
      <c r="H2350" s="69" t="str">
        <f>IF($B2350="","",PPMT(Rate,ROWS($1:2338),Nper,-PV,,Type))</f>
        <v/>
      </c>
      <c r="I2350" s="69" t="str">
        <f>IF($B2350="","",IPMT(Rate,ROWS($1:2338),Nper,-PV,,Type))</f>
        <v/>
      </c>
      <c r="J2350" s="73" t="str">
        <f t="shared" ref="J2350:K2350" si="2340">IF($B2350="","",N(J2349)+N(H2350))</f>
        <v/>
      </c>
      <c r="K2350" s="74" t="str">
        <f t="shared" si="2340"/>
        <v/>
      </c>
      <c r="L2350" s="69" t="str">
        <f>IF($B2350="","",PV-J2350)</f>
        <v/>
      </c>
      <c r="M2350" s="71" t="str">
        <f>IF($B2350="","",J2350/PV)</f>
        <v/>
      </c>
      <c r="N2350" s="72" t="str">
        <f t="shared" si="4"/>
        <v/>
      </c>
    </row>
    <row r="2351" ht="14.25" customHeight="1">
      <c r="B2351" s="66" t="str">
        <f>IF(ROWS($1:2339)&lt;=Nper,ROWS($1:2339),"")</f>
        <v/>
      </c>
      <c r="C2351" s="67" t="str">
        <f>IF($B2351="","",IF($E$7="Weekly",Start_Date+7*(ROWS($1:2339)-1),EDATE(Start_Date,VLOOKUP(IF(ASTemp!$E$7="","Monthly",ASTemp!$E$7),Parameters!$B$3:$D$6,3,0)*(ROWS($1:2339)-1))))</f>
        <v/>
      </c>
      <c r="D2351" s="68" t="str">
        <f t="shared" si="2"/>
        <v/>
      </c>
      <c r="E2351" s="65" t="str">
        <f>IF($B2351="","",VLOOKUP(MONTH(C2351),Parameters!$F$2:$G$13,2,0))</f>
        <v/>
      </c>
      <c r="F2351" s="69" t="str">
        <f>IF($B2351="","",PV-N(J2350))</f>
        <v/>
      </c>
      <c r="G2351" s="69" t="str">
        <f>IF($B2351="","",PMT(Rate,Nper,-PV,,Type))</f>
        <v/>
      </c>
      <c r="H2351" s="69" t="str">
        <f>IF($B2351="","",PPMT(Rate,ROWS($1:2339),Nper,-PV,,Type))</f>
        <v/>
      </c>
      <c r="I2351" s="69" t="str">
        <f>IF($B2351="","",IPMT(Rate,ROWS($1:2339),Nper,-PV,,Type))</f>
        <v/>
      </c>
      <c r="J2351" s="73" t="str">
        <f t="shared" ref="J2351:K2351" si="2341">IF($B2351="","",N(J2350)+N(H2351))</f>
        <v/>
      </c>
      <c r="K2351" s="74" t="str">
        <f t="shared" si="2341"/>
        <v/>
      </c>
      <c r="L2351" s="69" t="str">
        <f>IF($B2351="","",PV-J2351)</f>
        <v/>
      </c>
      <c r="M2351" s="71" t="str">
        <f>IF($B2351="","",J2351/PV)</f>
        <v/>
      </c>
      <c r="N2351" s="72" t="str">
        <f t="shared" si="4"/>
        <v/>
      </c>
    </row>
    <row r="2352" ht="14.25" customHeight="1">
      <c r="B2352" s="66" t="str">
        <f>IF(ROWS($1:2340)&lt;=Nper,ROWS($1:2340),"")</f>
        <v/>
      </c>
      <c r="C2352" s="67" t="str">
        <f>IF($B2352="","",IF($E$7="Weekly",Start_Date+7*(ROWS($1:2340)-1),EDATE(Start_Date,VLOOKUP(IF(ASTemp!$E$7="","Monthly",ASTemp!$E$7),Parameters!$B$3:$D$6,3,0)*(ROWS($1:2340)-1))))</f>
        <v/>
      </c>
      <c r="D2352" s="68" t="str">
        <f t="shared" si="2"/>
        <v/>
      </c>
      <c r="E2352" s="65" t="str">
        <f>IF($B2352="","",VLOOKUP(MONTH(C2352),Parameters!$F$2:$G$13,2,0))</f>
        <v/>
      </c>
      <c r="F2352" s="69" t="str">
        <f>IF($B2352="","",PV-N(J2351))</f>
        <v/>
      </c>
      <c r="G2352" s="69" t="str">
        <f>IF($B2352="","",PMT(Rate,Nper,-PV,,Type))</f>
        <v/>
      </c>
      <c r="H2352" s="69" t="str">
        <f>IF($B2352="","",PPMT(Rate,ROWS($1:2340),Nper,-PV,,Type))</f>
        <v/>
      </c>
      <c r="I2352" s="69" t="str">
        <f>IF($B2352="","",IPMT(Rate,ROWS($1:2340),Nper,-PV,,Type))</f>
        <v/>
      </c>
      <c r="J2352" s="73" t="str">
        <f t="shared" ref="J2352:K2352" si="2342">IF($B2352="","",N(J2351)+N(H2352))</f>
        <v/>
      </c>
      <c r="K2352" s="74" t="str">
        <f t="shared" si="2342"/>
        <v/>
      </c>
      <c r="L2352" s="69" t="str">
        <f>IF($B2352="","",PV-J2352)</f>
        <v/>
      </c>
      <c r="M2352" s="71" t="str">
        <f>IF($B2352="","",J2352/PV)</f>
        <v/>
      </c>
      <c r="N2352" s="72" t="str">
        <f t="shared" si="4"/>
        <v/>
      </c>
    </row>
    <row r="2353" ht="14.25" customHeight="1">
      <c r="B2353" s="66" t="str">
        <f>IF(ROWS($1:2341)&lt;=Nper,ROWS($1:2341),"")</f>
        <v/>
      </c>
      <c r="C2353" s="67" t="str">
        <f>IF($B2353="","",IF($E$7="Weekly",Start_Date+7*(ROWS($1:2341)-1),EDATE(Start_Date,VLOOKUP(IF(ASTemp!$E$7="","Monthly",ASTemp!$E$7),Parameters!$B$3:$D$6,3,0)*(ROWS($1:2341)-1))))</f>
        <v/>
      </c>
      <c r="D2353" s="68" t="str">
        <f t="shared" si="2"/>
        <v/>
      </c>
      <c r="E2353" s="65" t="str">
        <f>IF($B2353="","",VLOOKUP(MONTH(C2353),Parameters!$F$2:$G$13,2,0))</f>
        <v/>
      </c>
      <c r="F2353" s="69" t="str">
        <f>IF($B2353="","",PV-N(J2352))</f>
        <v/>
      </c>
      <c r="G2353" s="69" t="str">
        <f>IF($B2353="","",PMT(Rate,Nper,-PV,,Type))</f>
        <v/>
      </c>
      <c r="H2353" s="69" t="str">
        <f>IF($B2353="","",PPMT(Rate,ROWS($1:2341),Nper,-PV,,Type))</f>
        <v/>
      </c>
      <c r="I2353" s="69" t="str">
        <f>IF($B2353="","",IPMT(Rate,ROWS($1:2341),Nper,-PV,,Type))</f>
        <v/>
      </c>
      <c r="J2353" s="73" t="str">
        <f t="shared" ref="J2353:K2353" si="2343">IF($B2353="","",N(J2352)+N(H2353))</f>
        <v/>
      </c>
      <c r="K2353" s="74" t="str">
        <f t="shared" si="2343"/>
        <v/>
      </c>
      <c r="L2353" s="69" t="str">
        <f>IF($B2353="","",PV-J2353)</f>
        <v/>
      </c>
      <c r="M2353" s="71" t="str">
        <f>IF($B2353="","",J2353/PV)</f>
        <v/>
      </c>
      <c r="N2353" s="72" t="str">
        <f t="shared" si="4"/>
        <v/>
      </c>
    </row>
    <row r="2354" ht="14.25" customHeight="1">
      <c r="B2354" s="66" t="str">
        <f>IF(ROWS($1:2342)&lt;=Nper,ROWS($1:2342),"")</f>
        <v/>
      </c>
      <c r="C2354" s="67" t="str">
        <f>IF($B2354="","",IF($E$7="Weekly",Start_Date+7*(ROWS($1:2342)-1),EDATE(Start_Date,VLOOKUP(IF(ASTemp!$E$7="","Monthly",ASTemp!$E$7),Parameters!$B$3:$D$6,3,0)*(ROWS($1:2342)-1))))</f>
        <v/>
      </c>
      <c r="D2354" s="68" t="str">
        <f t="shared" si="2"/>
        <v/>
      </c>
      <c r="E2354" s="65" t="str">
        <f>IF($B2354="","",VLOOKUP(MONTH(C2354),Parameters!$F$2:$G$13,2,0))</f>
        <v/>
      </c>
      <c r="F2354" s="69" t="str">
        <f>IF($B2354="","",PV-N(J2353))</f>
        <v/>
      </c>
      <c r="G2354" s="69" t="str">
        <f>IF($B2354="","",PMT(Rate,Nper,-PV,,Type))</f>
        <v/>
      </c>
      <c r="H2354" s="69" t="str">
        <f>IF($B2354="","",PPMT(Rate,ROWS($1:2342),Nper,-PV,,Type))</f>
        <v/>
      </c>
      <c r="I2354" s="69" t="str">
        <f>IF($B2354="","",IPMT(Rate,ROWS($1:2342),Nper,-PV,,Type))</f>
        <v/>
      </c>
      <c r="J2354" s="73" t="str">
        <f t="shared" ref="J2354:K2354" si="2344">IF($B2354="","",N(J2353)+N(H2354))</f>
        <v/>
      </c>
      <c r="K2354" s="74" t="str">
        <f t="shared" si="2344"/>
        <v/>
      </c>
      <c r="L2354" s="69" t="str">
        <f>IF($B2354="","",PV-J2354)</f>
        <v/>
      </c>
      <c r="M2354" s="71" t="str">
        <f>IF($B2354="","",J2354/PV)</f>
        <v/>
      </c>
      <c r="N2354" s="72" t="str">
        <f t="shared" si="4"/>
        <v/>
      </c>
    </row>
    <row r="2355" ht="14.25" customHeight="1">
      <c r="B2355" s="66" t="str">
        <f>IF(ROWS($1:2343)&lt;=Nper,ROWS($1:2343),"")</f>
        <v/>
      </c>
      <c r="C2355" s="67" t="str">
        <f>IF($B2355="","",IF($E$7="Weekly",Start_Date+7*(ROWS($1:2343)-1),EDATE(Start_Date,VLOOKUP(IF(ASTemp!$E$7="","Monthly",ASTemp!$E$7),Parameters!$B$3:$D$6,3,0)*(ROWS($1:2343)-1))))</f>
        <v/>
      </c>
      <c r="D2355" s="68" t="str">
        <f t="shared" si="2"/>
        <v/>
      </c>
      <c r="E2355" s="65" t="str">
        <f>IF($B2355="","",VLOOKUP(MONTH(C2355),Parameters!$F$2:$G$13,2,0))</f>
        <v/>
      </c>
      <c r="F2355" s="69" t="str">
        <f>IF($B2355="","",PV-N(J2354))</f>
        <v/>
      </c>
      <c r="G2355" s="69" t="str">
        <f>IF($B2355="","",PMT(Rate,Nper,-PV,,Type))</f>
        <v/>
      </c>
      <c r="H2355" s="69" t="str">
        <f>IF($B2355="","",PPMT(Rate,ROWS($1:2343),Nper,-PV,,Type))</f>
        <v/>
      </c>
      <c r="I2355" s="69" t="str">
        <f>IF($B2355="","",IPMT(Rate,ROWS($1:2343),Nper,-PV,,Type))</f>
        <v/>
      </c>
      <c r="J2355" s="73" t="str">
        <f t="shared" ref="J2355:K2355" si="2345">IF($B2355="","",N(J2354)+N(H2355))</f>
        <v/>
      </c>
      <c r="K2355" s="74" t="str">
        <f t="shared" si="2345"/>
        <v/>
      </c>
      <c r="L2355" s="69" t="str">
        <f>IF($B2355="","",PV-J2355)</f>
        <v/>
      </c>
      <c r="M2355" s="71" t="str">
        <f>IF($B2355="","",J2355/PV)</f>
        <v/>
      </c>
      <c r="N2355" s="72" t="str">
        <f t="shared" si="4"/>
        <v/>
      </c>
    </row>
    <row r="2356" ht="14.25" customHeight="1">
      <c r="B2356" s="66" t="str">
        <f>IF(ROWS($1:2344)&lt;=Nper,ROWS($1:2344),"")</f>
        <v/>
      </c>
      <c r="C2356" s="67" t="str">
        <f>IF($B2356="","",IF($E$7="Weekly",Start_Date+7*(ROWS($1:2344)-1),EDATE(Start_Date,VLOOKUP(IF(ASTemp!$E$7="","Monthly",ASTemp!$E$7),Parameters!$B$3:$D$6,3,0)*(ROWS($1:2344)-1))))</f>
        <v/>
      </c>
      <c r="D2356" s="68" t="str">
        <f t="shared" si="2"/>
        <v/>
      </c>
      <c r="E2356" s="65" t="str">
        <f>IF($B2356="","",VLOOKUP(MONTH(C2356),Parameters!$F$2:$G$13,2,0))</f>
        <v/>
      </c>
      <c r="F2356" s="69" t="str">
        <f>IF($B2356="","",PV-N(J2355))</f>
        <v/>
      </c>
      <c r="G2356" s="69" t="str">
        <f>IF($B2356="","",PMT(Rate,Nper,-PV,,Type))</f>
        <v/>
      </c>
      <c r="H2356" s="69" t="str">
        <f>IF($B2356="","",PPMT(Rate,ROWS($1:2344),Nper,-PV,,Type))</f>
        <v/>
      </c>
      <c r="I2356" s="69" t="str">
        <f>IF($B2356="","",IPMT(Rate,ROWS($1:2344),Nper,-PV,,Type))</f>
        <v/>
      </c>
      <c r="J2356" s="73" t="str">
        <f t="shared" ref="J2356:K2356" si="2346">IF($B2356="","",N(J2355)+N(H2356))</f>
        <v/>
      </c>
      <c r="K2356" s="74" t="str">
        <f t="shared" si="2346"/>
        <v/>
      </c>
      <c r="L2356" s="69" t="str">
        <f>IF($B2356="","",PV-J2356)</f>
        <v/>
      </c>
      <c r="M2356" s="71" t="str">
        <f>IF($B2356="","",J2356/PV)</f>
        <v/>
      </c>
      <c r="N2356" s="72" t="str">
        <f t="shared" si="4"/>
        <v/>
      </c>
    </row>
    <row r="2357" ht="14.25" customHeight="1">
      <c r="B2357" s="66" t="str">
        <f>IF(ROWS($1:2345)&lt;=Nper,ROWS($1:2345),"")</f>
        <v/>
      </c>
      <c r="C2357" s="67" t="str">
        <f>IF($B2357="","",IF($E$7="Weekly",Start_Date+7*(ROWS($1:2345)-1),EDATE(Start_Date,VLOOKUP(IF(ASTemp!$E$7="","Monthly",ASTemp!$E$7),Parameters!$B$3:$D$6,3,0)*(ROWS($1:2345)-1))))</f>
        <v/>
      </c>
      <c r="D2357" s="68" t="str">
        <f t="shared" si="2"/>
        <v/>
      </c>
      <c r="E2357" s="65" t="str">
        <f>IF($B2357="","",VLOOKUP(MONTH(C2357),Parameters!$F$2:$G$13,2,0))</f>
        <v/>
      </c>
      <c r="F2357" s="69" t="str">
        <f>IF($B2357="","",PV-N(J2356))</f>
        <v/>
      </c>
      <c r="G2357" s="69" t="str">
        <f>IF($B2357="","",PMT(Rate,Nper,-PV,,Type))</f>
        <v/>
      </c>
      <c r="H2357" s="69" t="str">
        <f>IF($B2357="","",PPMT(Rate,ROWS($1:2345),Nper,-PV,,Type))</f>
        <v/>
      </c>
      <c r="I2357" s="69" t="str">
        <f>IF($B2357="","",IPMT(Rate,ROWS($1:2345),Nper,-PV,,Type))</f>
        <v/>
      </c>
      <c r="J2357" s="73" t="str">
        <f t="shared" ref="J2357:K2357" si="2347">IF($B2357="","",N(J2356)+N(H2357))</f>
        <v/>
      </c>
      <c r="K2357" s="74" t="str">
        <f t="shared" si="2347"/>
        <v/>
      </c>
      <c r="L2357" s="69" t="str">
        <f>IF($B2357="","",PV-J2357)</f>
        <v/>
      </c>
      <c r="M2357" s="71" t="str">
        <f>IF($B2357="","",J2357/PV)</f>
        <v/>
      </c>
      <c r="N2357" s="72" t="str">
        <f t="shared" si="4"/>
        <v/>
      </c>
    </row>
    <row r="2358" ht="14.25" customHeight="1">
      <c r="B2358" s="66" t="str">
        <f>IF(ROWS($1:2346)&lt;=Nper,ROWS($1:2346),"")</f>
        <v/>
      </c>
      <c r="C2358" s="67" t="str">
        <f>IF($B2358="","",IF($E$7="Weekly",Start_Date+7*(ROWS($1:2346)-1),EDATE(Start_Date,VLOOKUP(IF(ASTemp!$E$7="","Monthly",ASTemp!$E$7),Parameters!$B$3:$D$6,3,0)*(ROWS($1:2346)-1))))</f>
        <v/>
      </c>
      <c r="D2358" s="68" t="str">
        <f t="shared" si="2"/>
        <v/>
      </c>
      <c r="E2358" s="65" t="str">
        <f>IF($B2358="","",VLOOKUP(MONTH(C2358),Parameters!$F$2:$G$13,2,0))</f>
        <v/>
      </c>
      <c r="F2358" s="69" t="str">
        <f>IF($B2358="","",PV-N(J2357))</f>
        <v/>
      </c>
      <c r="G2358" s="69" t="str">
        <f>IF($B2358="","",PMT(Rate,Nper,-PV,,Type))</f>
        <v/>
      </c>
      <c r="H2358" s="69" t="str">
        <f>IF($B2358="","",PPMT(Rate,ROWS($1:2346),Nper,-PV,,Type))</f>
        <v/>
      </c>
      <c r="I2358" s="69" t="str">
        <f>IF($B2358="","",IPMT(Rate,ROWS($1:2346),Nper,-PV,,Type))</f>
        <v/>
      </c>
      <c r="J2358" s="73" t="str">
        <f t="shared" ref="J2358:K2358" si="2348">IF($B2358="","",N(J2357)+N(H2358))</f>
        <v/>
      </c>
      <c r="K2358" s="74" t="str">
        <f t="shared" si="2348"/>
        <v/>
      </c>
      <c r="L2358" s="69" t="str">
        <f>IF($B2358="","",PV-J2358)</f>
        <v/>
      </c>
      <c r="M2358" s="71" t="str">
        <f>IF($B2358="","",J2358/PV)</f>
        <v/>
      </c>
      <c r="N2358" s="72" t="str">
        <f t="shared" si="4"/>
        <v/>
      </c>
    </row>
    <row r="2359" ht="14.25" customHeight="1">
      <c r="B2359" s="66" t="str">
        <f>IF(ROWS($1:2347)&lt;=Nper,ROWS($1:2347),"")</f>
        <v/>
      </c>
      <c r="C2359" s="67" t="str">
        <f>IF($B2359="","",IF($E$7="Weekly",Start_Date+7*(ROWS($1:2347)-1),EDATE(Start_Date,VLOOKUP(IF(ASTemp!$E$7="","Monthly",ASTemp!$E$7),Parameters!$B$3:$D$6,3,0)*(ROWS($1:2347)-1))))</f>
        <v/>
      </c>
      <c r="D2359" s="68" t="str">
        <f t="shared" si="2"/>
        <v/>
      </c>
      <c r="E2359" s="65" t="str">
        <f>IF($B2359="","",VLOOKUP(MONTH(C2359),Parameters!$F$2:$G$13,2,0))</f>
        <v/>
      </c>
      <c r="F2359" s="69" t="str">
        <f>IF($B2359="","",PV-N(J2358))</f>
        <v/>
      </c>
      <c r="G2359" s="69" t="str">
        <f>IF($B2359="","",PMT(Rate,Nper,-PV,,Type))</f>
        <v/>
      </c>
      <c r="H2359" s="69" t="str">
        <f>IF($B2359="","",PPMT(Rate,ROWS($1:2347),Nper,-PV,,Type))</f>
        <v/>
      </c>
      <c r="I2359" s="69" t="str">
        <f>IF($B2359="","",IPMT(Rate,ROWS($1:2347),Nper,-PV,,Type))</f>
        <v/>
      </c>
      <c r="J2359" s="73" t="str">
        <f t="shared" ref="J2359:K2359" si="2349">IF($B2359="","",N(J2358)+N(H2359))</f>
        <v/>
      </c>
      <c r="K2359" s="74" t="str">
        <f t="shared" si="2349"/>
        <v/>
      </c>
      <c r="L2359" s="69" t="str">
        <f>IF($B2359="","",PV-J2359)</f>
        <v/>
      </c>
      <c r="M2359" s="71" t="str">
        <f>IF($B2359="","",J2359/PV)</f>
        <v/>
      </c>
      <c r="N2359" s="72" t="str">
        <f t="shared" si="4"/>
        <v/>
      </c>
    </row>
    <row r="2360" ht="14.25" customHeight="1">
      <c r="B2360" s="66" t="str">
        <f>IF(ROWS($1:2348)&lt;=Nper,ROWS($1:2348),"")</f>
        <v/>
      </c>
      <c r="C2360" s="67" t="str">
        <f>IF($B2360="","",IF($E$7="Weekly",Start_Date+7*(ROWS($1:2348)-1),EDATE(Start_Date,VLOOKUP(IF(ASTemp!$E$7="","Monthly",ASTemp!$E$7),Parameters!$B$3:$D$6,3,0)*(ROWS($1:2348)-1))))</f>
        <v/>
      </c>
      <c r="D2360" s="68" t="str">
        <f t="shared" si="2"/>
        <v/>
      </c>
      <c r="E2360" s="65" t="str">
        <f>IF($B2360="","",VLOOKUP(MONTH(C2360),Parameters!$F$2:$G$13,2,0))</f>
        <v/>
      </c>
      <c r="F2360" s="69" t="str">
        <f>IF($B2360="","",PV-N(J2359))</f>
        <v/>
      </c>
      <c r="G2360" s="69" t="str">
        <f>IF($B2360="","",PMT(Rate,Nper,-PV,,Type))</f>
        <v/>
      </c>
      <c r="H2360" s="69" t="str">
        <f>IF($B2360="","",PPMT(Rate,ROWS($1:2348),Nper,-PV,,Type))</f>
        <v/>
      </c>
      <c r="I2360" s="69" t="str">
        <f>IF($B2360="","",IPMT(Rate,ROWS($1:2348),Nper,-PV,,Type))</f>
        <v/>
      </c>
      <c r="J2360" s="73" t="str">
        <f t="shared" ref="J2360:K2360" si="2350">IF($B2360="","",N(J2359)+N(H2360))</f>
        <v/>
      </c>
      <c r="K2360" s="74" t="str">
        <f t="shared" si="2350"/>
        <v/>
      </c>
      <c r="L2360" s="69" t="str">
        <f>IF($B2360="","",PV-J2360)</f>
        <v/>
      </c>
      <c r="M2360" s="71" t="str">
        <f>IF($B2360="","",J2360/PV)</f>
        <v/>
      </c>
      <c r="N2360" s="72" t="str">
        <f t="shared" si="4"/>
        <v/>
      </c>
    </row>
    <row r="2361" ht="14.25" customHeight="1">
      <c r="B2361" s="66" t="str">
        <f>IF(ROWS($1:2349)&lt;=Nper,ROWS($1:2349),"")</f>
        <v/>
      </c>
      <c r="C2361" s="67" t="str">
        <f>IF($B2361="","",IF($E$7="Weekly",Start_Date+7*(ROWS($1:2349)-1),EDATE(Start_Date,VLOOKUP(IF(ASTemp!$E$7="","Monthly",ASTemp!$E$7),Parameters!$B$3:$D$6,3,0)*(ROWS($1:2349)-1))))</f>
        <v/>
      </c>
      <c r="D2361" s="68" t="str">
        <f t="shared" si="2"/>
        <v/>
      </c>
      <c r="E2361" s="65" t="str">
        <f>IF($B2361="","",VLOOKUP(MONTH(C2361),Parameters!$F$2:$G$13,2,0))</f>
        <v/>
      </c>
      <c r="F2361" s="69" t="str">
        <f>IF($B2361="","",PV-N(J2360))</f>
        <v/>
      </c>
      <c r="G2361" s="69" t="str">
        <f>IF($B2361="","",PMT(Rate,Nper,-PV,,Type))</f>
        <v/>
      </c>
      <c r="H2361" s="69" t="str">
        <f>IF($B2361="","",PPMT(Rate,ROWS($1:2349),Nper,-PV,,Type))</f>
        <v/>
      </c>
      <c r="I2361" s="69" t="str">
        <f>IF($B2361="","",IPMT(Rate,ROWS($1:2349),Nper,-PV,,Type))</f>
        <v/>
      </c>
      <c r="J2361" s="73" t="str">
        <f t="shared" ref="J2361:K2361" si="2351">IF($B2361="","",N(J2360)+N(H2361))</f>
        <v/>
      </c>
      <c r="K2361" s="74" t="str">
        <f t="shared" si="2351"/>
        <v/>
      </c>
      <c r="L2361" s="69" t="str">
        <f>IF($B2361="","",PV-J2361)</f>
        <v/>
      </c>
      <c r="M2361" s="71" t="str">
        <f>IF($B2361="","",J2361/PV)</f>
        <v/>
      </c>
      <c r="N2361" s="72" t="str">
        <f t="shared" si="4"/>
        <v/>
      </c>
    </row>
    <row r="2362" ht="14.25" customHeight="1">
      <c r="B2362" s="66" t="str">
        <f>IF(ROWS($1:2350)&lt;=Nper,ROWS($1:2350),"")</f>
        <v/>
      </c>
      <c r="C2362" s="67" t="str">
        <f>IF($B2362="","",IF($E$7="Weekly",Start_Date+7*(ROWS($1:2350)-1),EDATE(Start_Date,VLOOKUP(IF(ASTemp!$E$7="","Monthly",ASTemp!$E$7),Parameters!$B$3:$D$6,3,0)*(ROWS($1:2350)-1))))</f>
        <v/>
      </c>
      <c r="D2362" s="68" t="str">
        <f t="shared" si="2"/>
        <v/>
      </c>
      <c r="E2362" s="65" t="str">
        <f>IF($B2362="","",VLOOKUP(MONTH(C2362),Parameters!$F$2:$G$13,2,0))</f>
        <v/>
      </c>
      <c r="F2362" s="69" t="str">
        <f>IF($B2362="","",PV-N(J2361))</f>
        <v/>
      </c>
      <c r="G2362" s="69" t="str">
        <f>IF($B2362="","",PMT(Rate,Nper,-PV,,Type))</f>
        <v/>
      </c>
      <c r="H2362" s="69" t="str">
        <f>IF($B2362="","",PPMT(Rate,ROWS($1:2350),Nper,-PV,,Type))</f>
        <v/>
      </c>
      <c r="I2362" s="69" t="str">
        <f>IF($B2362="","",IPMT(Rate,ROWS($1:2350),Nper,-PV,,Type))</f>
        <v/>
      </c>
      <c r="J2362" s="73" t="str">
        <f t="shared" ref="J2362:K2362" si="2352">IF($B2362="","",N(J2361)+N(H2362))</f>
        <v/>
      </c>
      <c r="K2362" s="74" t="str">
        <f t="shared" si="2352"/>
        <v/>
      </c>
      <c r="L2362" s="69" t="str">
        <f>IF($B2362="","",PV-J2362)</f>
        <v/>
      </c>
      <c r="M2362" s="71" t="str">
        <f>IF($B2362="","",J2362/PV)</f>
        <v/>
      </c>
      <c r="N2362" s="72" t="str">
        <f t="shared" si="4"/>
        <v/>
      </c>
    </row>
    <row r="2363" ht="14.25" customHeight="1">
      <c r="B2363" s="66" t="str">
        <f>IF(ROWS($1:2351)&lt;=Nper,ROWS($1:2351),"")</f>
        <v/>
      </c>
      <c r="C2363" s="67" t="str">
        <f>IF($B2363="","",IF($E$7="Weekly",Start_Date+7*(ROWS($1:2351)-1),EDATE(Start_Date,VLOOKUP(IF(ASTemp!$E$7="","Monthly",ASTemp!$E$7),Parameters!$B$3:$D$6,3,0)*(ROWS($1:2351)-1))))</f>
        <v/>
      </c>
      <c r="D2363" s="68" t="str">
        <f t="shared" si="2"/>
        <v/>
      </c>
      <c r="E2363" s="65" t="str">
        <f>IF($B2363="","",VLOOKUP(MONTH(C2363),Parameters!$F$2:$G$13,2,0))</f>
        <v/>
      </c>
      <c r="F2363" s="69" t="str">
        <f>IF($B2363="","",PV-N(J2362))</f>
        <v/>
      </c>
      <c r="G2363" s="69" t="str">
        <f>IF($B2363="","",PMT(Rate,Nper,-PV,,Type))</f>
        <v/>
      </c>
      <c r="H2363" s="69" t="str">
        <f>IF($B2363="","",PPMT(Rate,ROWS($1:2351),Nper,-PV,,Type))</f>
        <v/>
      </c>
      <c r="I2363" s="69" t="str">
        <f>IF($B2363="","",IPMT(Rate,ROWS($1:2351),Nper,-PV,,Type))</f>
        <v/>
      </c>
      <c r="J2363" s="73" t="str">
        <f t="shared" ref="J2363:K2363" si="2353">IF($B2363="","",N(J2362)+N(H2363))</f>
        <v/>
      </c>
      <c r="K2363" s="74" t="str">
        <f t="shared" si="2353"/>
        <v/>
      </c>
      <c r="L2363" s="69" t="str">
        <f>IF($B2363="","",PV-J2363)</f>
        <v/>
      </c>
      <c r="M2363" s="71" t="str">
        <f>IF($B2363="","",J2363/PV)</f>
        <v/>
      </c>
      <c r="N2363" s="72" t="str">
        <f t="shared" si="4"/>
        <v/>
      </c>
    </row>
    <row r="2364" ht="14.25" customHeight="1">
      <c r="B2364" s="66" t="str">
        <f>IF(ROWS($1:2352)&lt;=Nper,ROWS($1:2352),"")</f>
        <v/>
      </c>
      <c r="C2364" s="67" t="str">
        <f>IF($B2364="","",IF($E$7="Weekly",Start_Date+7*(ROWS($1:2352)-1),EDATE(Start_Date,VLOOKUP(IF(ASTemp!$E$7="","Monthly",ASTemp!$E$7),Parameters!$B$3:$D$6,3,0)*(ROWS($1:2352)-1))))</f>
        <v/>
      </c>
      <c r="D2364" s="68" t="str">
        <f t="shared" si="2"/>
        <v/>
      </c>
      <c r="E2364" s="65" t="str">
        <f>IF($B2364="","",VLOOKUP(MONTH(C2364),Parameters!$F$2:$G$13,2,0))</f>
        <v/>
      </c>
      <c r="F2364" s="69" t="str">
        <f>IF($B2364="","",PV-N(J2363))</f>
        <v/>
      </c>
      <c r="G2364" s="69" t="str">
        <f>IF($B2364="","",PMT(Rate,Nper,-PV,,Type))</f>
        <v/>
      </c>
      <c r="H2364" s="69" t="str">
        <f>IF($B2364="","",PPMT(Rate,ROWS($1:2352),Nper,-PV,,Type))</f>
        <v/>
      </c>
      <c r="I2364" s="69" t="str">
        <f>IF($B2364="","",IPMT(Rate,ROWS($1:2352),Nper,-PV,,Type))</f>
        <v/>
      </c>
      <c r="J2364" s="73" t="str">
        <f t="shared" ref="J2364:K2364" si="2354">IF($B2364="","",N(J2363)+N(H2364))</f>
        <v/>
      </c>
      <c r="K2364" s="74" t="str">
        <f t="shared" si="2354"/>
        <v/>
      </c>
      <c r="L2364" s="69" t="str">
        <f>IF($B2364="","",PV-J2364)</f>
        <v/>
      </c>
      <c r="M2364" s="71" t="str">
        <f>IF($B2364="","",J2364/PV)</f>
        <v/>
      </c>
      <c r="N2364" s="72" t="str">
        <f t="shared" si="4"/>
        <v/>
      </c>
    </row>
    <row r="2365" ht="14.25" customHeight="1">
      <c r="B2365" s="66" t="str">
        <f>IF(ROWS($1:2353)&lt;=Nper,ROWS($1:2353),"")</f>
        <v/>
      </c>
      <c r="C2365" s="67" t="str">
        <f>IF($B2365="","",IF($E$7="Weekly",Start_Date+7*(ROWS($1:2353)-1),EDATE(Start_Date,VLOOKUP(IF(ASTemp!$E$7="","Monthly",ASTemp!$E$7),Parameters!$B$3:$D$6,3,0)*(ROWS($1:2353)-1))))</f>
        <v/>
      </c>
      <c r="D2365" s="68" t="str">
        <f t="shared" si="2"/>
        <v/>
      </c>
      <c r="E2365" s="65" t="str">
        <f>IF($B2365="","",VLOOKUP(MONTH(C2365),Parameters!$F$2:$G$13,2,0))</f>
        <v/>
      </c>
      <c r="F2365" s="69" t="str">
        <f>IF($B2365="","",PV-N(J2364))</f>
        <v/>
      </c>
      <c r="G2365" s="69" t="str">
        <f>IF($B2365="","",PMT(Rate,Nper,-PV,,Type))</f>
        <v/>
      </c>
      <c r="H2365" s="69" t="str">
        <f>IF($B2365="","",PPMT(Rate,ROWS($1:2353),Nper,-PV,,Type))</f>
        <v/>
      </c>
      <c r="I2365" s="69" t="str">
        <f>IF($B2365="","",IPMT(Rate,ROWS($1:2353),Nper,-PV,,Type))</f>
        <v/>
      </c>
      <c r="J2365" s="73" t="str">
        <f t="shared" ref="J2365:K2365" si="2355">IF($B2365="","",N(J2364)+N(H2365))</f>
        <v/>
      </c>
      <c r="K2365" s="74" t="str">
        <f t="shared" si="2355"/>
        <v/>
      </c>
      <c r="L2365" s="69" t="str">
        <f>IF($B2365="","",PV-J2365)</f>
        <v/>
      </c>
      <c r="M2365" s="71" t="str">
        <f>IF($B2365="","",J2365/PV)</f>
        <v/>
      </c>
      <c r="N2365" s="72" t="str">
        <f t="shared" si="4"/>
        <v/>
      </c>
    </row>
    <row r="2366" ht="14.25" customHeight="1">
      <c r="B2366" s="66" t="str">
        <f>IF(ROWS($1:2354)&lt;=Nper,ROWS($1:2354),"")</f>
        <v/>
      </c>
      <c r="C2366" s="67" t="str">
        <f>IF($B2366="","",IF($E$7="Weekly",Start_Date+7*(ROWS($1:2354)-1),EDATE(Start_Date,VLOOKUP(IF(ASTemp!$E$7="","Monthly",ASTemp!$E$7),Parameters!$B$3:$D$6,3,0)*(ROWS($1:2354)-1))))</f>
        <v/>
      </c>
      <c r="D2366" s="68" t="str">
        <f t="shared" si="2"/>
        <v/>
      </c>
      <c r="E2366" s="65" t="str">
        <f>IF($B2366="","",VLOOKUP(MONTH(C2366),Parameters!$F$2:$G$13,2,0))</f>
        <v/>
      </c>
      <c r="F2366" s="69" t="str">
        <f>IF($B2366="","",PV-N(J2365))</f>
        <v/>
      </c>
      <c r="G2366" s="69" t="str">
        <f>IF($B2366="","",PMT(Rate,Nper,-PV,,Type))</f>
        <v/>
      </c>
      <c r="H2366" s="69" t="str">
        <f>IF($B2366="","",PPMT(Rate,ROWS($1:2354),Nper,-PV,,Type))</f>
        <v/>
      </c>
      <c r="I2366" s="69" t="str">
        <f>IF($B2366="","",IPMT(Rate,ROWS($1:2354),Nper,-PV,,Type))</f>
        <v/>
      </c>
      <c r="J2366" s="73" t="str">
        <f t="shared" ref="J2366:K2366" si="2356">IF($B2366="","",N(J2365)+N(H2366))</f>
        <v/>
      </c>
      <c r="K2366" s="74" t="str">
        <f t="shared" si="2356"/>
        <v/>
      </c>
      <c r="L2366" s="69" t="str">
        <f>IF($B2366="","",PV-J2366)</f>
        <v/>
      </c>
      <c r="M2366" s="71" t="str">
        <f>IF($B2366="","",J2366/PV)</f>
        <v/>
      </c>
      <c r="N2366" s="72" t="str">
        <f t="shared" si="4"/>
        <v/>
      </c>
    </row>
    <row r="2367" ht="14.25" customHeight="1">
      <c r="B2367" s="66" t="str">
        <f>IF(ROWS($1:2355)&lt;=Nper,ROWS($1:2355),"")</f>
        <v/>
      </c>
      <c r="C2367" s="67" t="str">
        <f>IF($B2367="","",IF($E$7="Weekly",Start_Date+7*(ROWS($1:2355)-1),EDATE(Start_Date,VLOOKUP(IF(ASTemp!$E$7="","Monthly",ASTemp!$E$7),Parameters!$B$3:$D$6,3,0)*(ROWS($1:2355)-1))))</f>
        <v/>
      </c>
      <c r="D2367" s="68" t="str">
        <f t="shared" si="2"/>
        <v/>
      </c>
      <c r="E2367" s="65" t="str">
        <f>IF($B2367="","",VLOOKUP(MONTH(C2367),Parameters!$F$2:$G$13,2,0))</f>
        <v/>
      </c>
      <c r="F2367" s="69" t="str">
        <f>IF($B2367="","",PV-N(J2366))</f>
        <v/>
      </c>
      <c r="G2367" s="69" t="str">
        <f>IF($B2367="","",PMT(Rate,Nper,-PV,,Type))</f>
        <v/>
      </c>
      <c r="H2367" s="69" t="str">
        <f>IF($B2367="","",PPMT(Rate,ROWS($1:2355),Nper,-PV,,Type))</f>
        <v/>
      </c>
      <c r="I2367" s="69" t="str">
        <f>IF($B2367="","",IPMT(Rate,ROWS($1:2355),Nper,-PV,,Type))</f>
        <v/>
      </c>
      <c r="J2367" s="73" t="str">
        <f t="shared" ref="J2367:K2367" si="2357">IF($B2367="","",N(J2366)+N(H2367))</f>
        <v/>
      </c>
      <c r="K2367" s="74" t="str">
        <f t="shared" si="2357"/>
        <v/>
      </c>
      <c r="L2367" s="69" t="str">
        <f>IF($B2367="","",PV-J2367)</f>
        <v/>
      </c>
      <c r="M2367" s="71" t="str">
        <f>IF($B2367="","",J2367/PV)</f>
        <v/>
      </c>
      <c r="N2367" s="72" t="str">
        <f t="shared" si="4"/>
        <v/>
      </c>
    </row>
    <row r="2368" ht="14.25" customHeight="1">
      <c r="B2368" s="66" t="str">
        <f>IF(ROWS($1:2356)&lt;=Nper,ROWS($1:2356),"")</f>
        <v/>
      </c>
      <c r="C2368" s="67" t="str">
        <f>IF($B2368="","",IF($E$7="Weekly",Start_Date+7*(ROWS($1:2356)-1),EDATE(Start_Date,VLOOKUP(IF(ASTemp!$E$7="","Monthly",ASTemp!$E$7),Parameters!$B$3:$D$6,3,0)*(ROWS($1:2356)-1))))</f>
        <v/>
      </c>
      <c r="D2368" s="68" t="str">
        <f t="shared" si="2"/>
        <v/>
      </c>
      <c r="E2368" s="65" t="str">
        <f>IF($B2368="","",VLOOKUP(MONTH(C2368),Parameters!$F$2:$G$13,2,0))</f>
        <v/>
      </c>
      <c r="F2368" s="69" t="str">
        <f>IF($B2368="","",PV-N(J2367))</f>
        <v/>
      </c>
      <c r="G2368" s="69" t="str">
        <f>IF($B2368="","",PMT(Rate,Nper,-PV,,Type))</f>
        <v/>
      </c>
      <c r="H2368" s="69" t="str">
        <f>IF($B2368="","",PPMT(Rate,ROWS($1:2356),Nper,-PV,,Type))</f>
        <v/>
      </c>
      <c r="I2368" s="69" t="str">
        <f>IF($B2368="","",IPMT(Rate,ROWS($1:2356),Nper,-PV,,Type))</f>
        <v/>
      </c>
      <c r="J2368" s="73" t="str">
        <f t="shared" ref="J2368:K2368" si="2358">IF($B2368="","",N(J2367)+N(H2368))</f>
        <v/>
      </c>
      <c r="K2368" s="74" t="str">
        <f t="shared" si="2358"/>
        <v/>
      </c>
      <c r="L2368" s="69" t="str">
        <f>IF($B2368="","",PV-J2368)</f>
        <v/>
      </c>
      <c r="M2368" s="71" t="str">
        <f>IF($B2368="","",J2368/PV)</f>
        <v/>
      </c>
      <c r="N2368" s="72" t="str">
        <f t="shared" si="4"/>
        <v/>
      </c>
    </row>
    <row r="2369" ht="14.25" customHeight="1">
      <c r="B2369" s="66" t="str">
        <f>IF(ROWS($1:2357)&lt;=Nper,ROWS($1:2357),"")</f>
        <v/>
      </c>
      <c r="C2369" s="67" t="str">
        <f>IF($B2369="","",IF($E$7="Weekly",Start_Date+7*(ROWS($1:2357)-1),EDATE(Start_Date,VLOOKUP(IF(ASTemp!$E$7="","Monthly",ASTemp!$E$7),Parameters!$B$3:$D$6,3,0)*(ROWS($1:2357)-1))))</f>
        <v/>
      </c>
      <c r="D2369" s="68" t="str">
        <f t="shared" si="2"/>
        <v/>
      </c>
      <c r="E2369" s="65" t="str">
        <f>IF($B2369="","",VLOOKUP(MONTH(C2369),Parameters!$F$2:$G$13,2,0))</f>
        <v/>
      </c>
      <c r="F2369" s="69" t="str">
        <f>IF($B2369="","",PV-N(J2368))</f>
        <v/>
      </c>
      <c r="G2369" s="69" t="str">
        <f>IF($B2369="","",PMT(Rate,Nper,-PV,,Type))</f>
        <v/>
      </c>
      <c r="H2369" s="69" t="str">
        <f>IF($B2369="","",PPMT(Rate,ROWS($1:2357),Nper,-PV,,Type))</f>
        <v/>
      </c>
      <c r="I2369" s="69" t="str">
        <f>IF($B2369="","",IPMT(Rate,ROWS($1:2357),Nper,-PV,,Type))</f>
        <v/>
      </c>
      <c r="J2369" s="73" t="str">
        <f t="shared" ref="J2369:K2369" si="2359">IF($B2369="","",N(J2368)+N(H2369))</f>
        <v/>
      </c>
      <c r="K2369" s="74" t="str">
        <f t="shared" si="2359"/>
        <v/>
      </c>
      <c r="L2369" s="69" t="str">
        <f>IF($B2369="","",PV-J2369)</f>
        <v/>
      </c>
      <c r="M2369" s="71" t="str">
        <f>IF($B2369="","",J2369/PV)</f>
        <v/>
      </c>
      <c r="N2369" s="72" t="str">
        <f t="shared" si="4"/>
        <v/>
      </c>
    </row>
    <row r="2370" ht="14.25" customHeight="1">
      <c r="B2370" s="66" t="str">
        <f>IF(ROWS($1:2358)&lt;=Nper,ROWS($1:2358),"")</f>
        <v/>
      </c>
      <c r="C2370" s="67" t="str">
        <f>IF($B2370="","",IF($E$7="Weekly",Start_Date+7*(ROWS($1:2358)-1),EDATE(Start_Date,VLOOKUP(IF(ASTemp!$E$7="","Monthly",ASTemp!$E$7),Parameters!$B$3:$D$6,3,0)*(ROWS($1:2358)-1))))</f>
        <v/>
      </c>
      <c r="D2370" s="68" t="str">
        <f t="shared" si="2"/>
        <v/>
      </c>
      <c r="E2370" s="65" t="str">
        <f>IF($B2370="","",VLOOKUP(MONTH(C2370),Parameters!$F$2:$G$13,2,0))</f>
        <v/>
      </c>
      <c r="F2370" s="69" t="str">
        <f>IF($B2370="","",PV-N(J2369))</f>
        <v/>
      </c>
      <c r="G2370" s="69" t="str">
        <f>IF($B2370="","",PMT(Rate,Nper,-PV,,Type))</f>
        <v/>
      </c>
      <c r="H2370" s="69" t="str">
        <f>IF($B2370="","",PPMT(Rate,ROWS($1:2358),Nper,-PV,,Type))</f>
        <v/>
      </c>
      <c r="I2370" s="69" t="str">
        <f>IF($B2370="","",IPMT(Rate,ROWS($1:2358),Nper,-PV,,Type))</f>
        <v/>
      </c>
      <c r="J2370" s="73" t="str">
        <f t="shared" ref="J2370:K2370" si="2360">IF($B2370="","",N(J2369)+N(H2370))</f>
        <v/>
      </c>
      <c r="K2370" s="74" t="str">
        <f t="shared" si="2360"/>
        <v/>
      </c>
      <c r="L2370" s="69" t="str">
        <f>IF($B2370="","",PV-J2370)</f>
        <v/>
      </c>
      <c r="M2370" s="71" t="str">
        <f>IF($B2370="","",J2370/PV)</f>
        <v/>
      </c>
      <c r="N2370" s="72" t="str">
        <f t="shared" si="4"/>
        <v/>
      </c>
    </row>
    <row r="2371" ht="14.25" customHeight="1">
      <c r="B2371" s="66" t="str">
        <f>IF(ROWS($1:2359)&lt;=Nper,ROWS($1:2359),"")</f>
        <v/>
      </c>
      <c r="C2371" s="67" t="str">
        <f>IF($B2371="","",IF($E$7="Weekly",Start_Date+7*(ROWS($1:2359)-1),EDATE(Start_Date,VLOOKUP(IF(ASTemp!$E$7="","Monthly",ASTemp!$E$7),Parameters!$B$3:$D$6,3,0)*(ROWS($1:2359)-1))))</f>
        <v/>
      </c>
      <c r="D2371" s="68" t="str">
        <f t="shared" si="2"/>
        <v/>
      </c>
      <c r="E2371" s="65" t="str">
        <f>IF($B2371="","",VLOOKUP(MONTH(C2371),Parameters!$F$2:$G$13,2,0))</f>
        <v/>
      </c>
      <c r="F2371" s="69" t="str">
        <f>IF($B2371="","",PV-N(J2370))</f>
        <v/>
      </c>
      <c r="G2371" s="69" t="str">
        <f>IF($B2371="","",PMT(Rate,Nper,-PV,,Type))</f>
        <v/>
      </c>
      <c r="H2371" s="69" t="str">
        <f>IF($B2371="","",PPMT(Rate,ROWS($1:2359),Nper,-PV,,Type))</f>
        <v/>
      </c>
      <c r="I2371" s="69" t="str">
        <f>IF($B2371="","",IPMT(Rate,ROWS($1:2359),Nper,-PV,,Type))</f>
        <v/>
      </c>
      <c r="J2371" s="73" t="str">
        <f t="shared" ref="J2371:K2371" si="2361">IF($B2371="","",N(J2370)+N(H2371))</f>
        <v/>
      </c>
      <c r="K2371" s="74" t="str">
        <f t="shared" si="2361"/>
        <v/>
      </c>
      <c r="L2371" s="69" t="str">
        <f>IF($B2371="","",PV-J2371)</f>
        <v/>
      </c>
      <c r="M2371" s="71" t="str">
        <f>IF($B2371="","",J2371/PV)</f>
        <v/>
      </c>
      <c r="N2371" s="72" t="str">
        <f t="shared" si="4"/>
        <v/>
      </c>
    </row>
    <row r="2372" ht="14.25" customHeight="1">
      <c r="B2372" s="66" t="str">
        <f>IF(ROWS($1:2360)&lt;=Nper,ROWS($1:2360),"")</f>
        <v/>
      </c>
      <c r="C2372" s="67" t="str">
        <f>IF($B2372="","",IF($E$7="Weekly",Start_Date+7*(ROWS($1:2360)-1),EDATE(Start_Date,VLOOKUP(IF(ASTemp!$E$7="","Monthly",ASTemp!$E$7),Parameters!$B$3:$D$6,3,0)*(ROWS($1:2360)-1))))</f>
        <v/>
      </c>
      <c r="D2372" s="68" t="str">
        <f t="shared" si="2"/>
        <v/>
      </c>
      <c r="E2372" s="65" t="str">
        <f>IF($B2372="","",VLOOKUP(MONTH(C2372),Parameters!$F$2:$G$13,2,0))</f>
        <v/>
      </c>
      <c r="F2372" s="69" t="str">
        <f>IF($B2372="","",PV-N(J2371))</f>
        <v/>
      </c>
      <c r="G2372" s="69" t="str">
        <f>IF($B2372="","",PMT(Rate,Nper,-PV,,Type))</f>
        <v/>
      </c>
      <c r="H2372" s="69" t="str">
        <f>IF($B2372="","",PPMT(Rate,ROWS($1:2360),Nper,-PV,,Type))</f>
        <v/>
      </c>
      <c r="I2372" s="69" t="str">
        <f>IF($B2372="","",IPMT(Rate,ROWS($1:2360),Nper,-PV,,Type))</f>
        <v/>
      </c>
      <c r="J2372" s="73" t="str">
        <f t="shared" ref="J2372:K2372" si="2362">IF($B2372="","",N(J2371)+N(H2372))</f>
        <v/>
      </c>
      <c r="K2372" s="74" t="str">
        <f t="shared" si="2362"/>
        <v/>
      </c>
      <c r="L2372" s="69" t="str">
        <f>IF($B2372="","",PV-J2372)</f>
        <v/>
      </c>
      <c r="M2372" s="71" t="str">
        <f>IF($B2372="","",J2372/PV)</f>
        <v/>
      </c>
      <c r="N2372" s="72" t="str">
        <f t="shared" si="4"/>
        <v/>
      </c>
    </row>
    <row r="2373" ht="14.25" customHeight="1">
      <c r="B2373" s="66" t="str">
        <f>IF(ROWS($1:2361)&lt;=Nper,ROWS($1:2361),"")</f>
        <v/>
      </c>
      <c r="C2373" s="67" t="str">
        <f>IF($B2373="","",IF($E$7="Weekly",Start_Date+7*(ROWS($1:2361)-1),EDATE(Start_Date,VLOOKUP(IF(ASTemp!$E$7="","Monthly",ASTemp!$E$7),Parameters!$B$3:$D$6,3,0)*(ROWS($1:2361)-1))))</f>
        <v/>
      </c>
      <c r="D2373" s="68" t="str">
        <f t="shared" si="2"/>
        <v/>
      </c>
      <c r="E2373" s="65" t="str">
        <f>IF($B2373="","",VLOOKUP(MONTH(C2373),Parameters!$F$2:$G$13,2,0))</f>
        <v/>
      </c>
      <c r="F2373" s="69" t="str">
        <f>IF($B2373="","",PV-N(J2372))</f>
        <v/>
      </c>
      <c r="G2373" s="69" t="str">
        <f>IF($B2373="","",PMT(Rate,Nper,-PV,,Type))</f>
        <v/>
      </c>
      <c r="H2373" s="69" t="str">
        <f>IF($B2373="","",PPMT(Rate,ROWS($1:2361),Nper,-PV,,Type))</f>
        <v/>
      </c>
      <c r="I2373" s="69" t="str">
        <f>IF($B2373="","",IPMT(Rate,ROWS($1:2361),Nper,-PV,,Type))</f>
        <v/>
      </c>
      <c r="J2373" s="73" t="str">
        <f t="shared" ref="J2373:K2373" si="2363">IF($B2373="","",N(J2372)+N(H2373))</f>
        <v/>
      </c>
      <c r="K2373" s="74" t="str">
        <f t="shared" si="2363"/>
        <v/>
      </c>
      <c r="L2373" s="69" t="str">
        <f>IF($B2373="","",PV-J2373)</f>
        <v/>
      </c>
      <c r="M2373" s="71" t="str">
        <f>IF($B2373="","",J2373/PV)</f>
        <v/>
      </c>
      <c r="N2373" s="72" t="str">
        <f t="shared" si="4"/>
        <v/>
      </c>
    </row>
    <row r="2374" ht="14.25" customHeight="1">
      <c r="B2374" s="66" t="str">
        <f>IF(ROWS($1:2362)&lt;=Nper,ROWS($1:2362),"")</f>
        <v/>
      </c>
      <c r="C2374" s="67" t="str">
        <f>IF($B2374="","",IF($E$7="Weekly",Start_Date+7*(ROWS($1:2362)-1),EDATE(Start_Date,VLOOKUP(IF(ASTemp!$E$7="","Monthly",ASTemp!$E$7),Parameters!$B$3:$D$6,3,0)*(ROWS($1:2362)-1))))</f>
        <v/>
      </c>
      <c r="D2374" s="68" t="str">
        <f t="shared" si="2"/>
        <v/>
      </c>
      <c r="E2374" s="65" t="str">
        <f>IF($B2374="","",VLOOKUP(MONTH(C2374),Parameters!$F$2:$G$13,2,0))</f>
        <v/>
      </c>
      <c r="F2374" s="69" t="str">
        <f>IF($B2374="","",PV-N(J2373))</f>
        <v/>
      </c>
      <c r="G2374" s="69" t="str">
        <f>IF($B2374="","",PMT(Rate,Nper,-PV,,Type))</f>
        <v/>
      </c>
      <c r="H2374" s="69" t="str">
        <f>IF($B2374="","",PPMT(Rate,ROWS($1:2362),Nper,-PV,,Type))</f>
        <v/>
      </c>
      <c r="I2374" s="69" t="str">
        <f>IF($B2374="","",IPMT(Rate,ROWS($1:2362),Nper,-PV,,Type))</f>
        <v/>
      </c>
      <c r="J2374" s="73" t="str">
        <f t="shared" ref="J2374:K2374" si="2364">IF($B2374="","",N(J2373)+N(H2374))</f>
        <v/>
      </c>
      <c r="K2374" s="74" t="str">
        <f t="shared" si="2364"/>
        <v/>
      </c>
      <c r="L2374" s="69" t="str">
        <f>IF($B2374="","",PV-J2374)</f>
        <v/>
      </c>
      <c r="M2374" s="71" t="str">
        <f>IF($B2374="","",J2374/PV)</f>
        <v/>
      </c>
      <c r="N2374" s="72" t="str">
        <f t="shared" si="4"/>
        <v/>
      </c>
    </row>
    <row r="2375" ht="14.25" customHeight="1">
      <c r="B2375" s="66" t="str">
        <f>IF(ROWS($1:2363)&lt;=Nper,ROWS($1:2363),"")</f>
        <v/>
      </c>
      <c r="C2375" s="67" t="str">
        <f>IF($B2375="","",IF($E$7="Weekly",Start_Date+7*(ROWS($1:2363)-1),EDATE(Start_Date,VLOOKUP(IF(ASTemp!$E$7="","Monthly",ASTemp!$E$7),Parameters!$B$3:$D$6,3,0)*(ROWS($1:2363)-1))))</f>
        <v/>
      </c>
      <c r="D2375" s="68" t="str">
        <f t="shared" si="2"/>
        <v/>
      </c>
      <c r="E2375" s="65" t="str">
        <f>IF($B2375="","",VLOOKUP(MONTH(C2375),Parameters!$F$2:$G$13,2,0))</f>
        <v/>
      </c>
      <c r="F2375" s="69" t="str">
        <f>IF($B2375="","",PV-N(J2374))</f>
        <v/>
      </c>
      <c r="G2375" s="69" t="str">
        <f>IF($B2375="","",PMT(Rate,Nper,-PV,,Type))</f>
        <v/>
      </c>
      <c r="H2375" s="69" t="str">
        <f>IF($B2375="","",PPMT(Rate,ROWS($1:2363),Nper,-PV,,Type))</f>
        <v/>
      </c>
      <c r="I2375" s="69" t="str">
        <f>IF($B2375="","",IPMT(Rate,ROWS($1:2363),Nper,-PV,,Type))</f>
        <v/>
      </c>
      <c r="J2375" s="73" t="str">
        <f t="shared" ref="J2375:K2375" si="2365">IF($B2375="","",N(J2374)+N(H2375))</f>
        <v/>
      </c>
      <c r="K2375" s="74" t="str">
        <f t="shared" si="2365"/>
        <v/>
      </c>
      <c r="L2375" s="69" t="str">
        <f>IF($B2375="","",PV-J2375)</f>
        <v/>
      </c>
      <c r="M2375" s="71" t="str">
        <f>IF($B2375="","",J2375/PV)</f>
        <v/>
      </c>
      <c r="N2375" s="72" t="str">
        <f t="shared" si="4"/>
        <v/>
      </c>
    </row>
    <row r="2376" ht="14.25" customHeight="1">
      <c r="B2376" s="66" t="str">
        <f>IF(ROWS($1:2364)&lt;=Nper,ROWS($1:2364),"")</f>
        <v/>
      </c>
      <c r="C2376" s="67" t="str">
        <f>IF($B2376="","",IF($E$7="Weekly",Start_Date+7*(ROWS($1:2364)-1),EDATE(Start_Date,VLOOKUP(IF(ASTemp!$E$7="","Monthly",ASTemp!$E$7),Parameters!$B$3:$D$6,3,0)*(ROWS($1:2364)-1))))</f>
        <v/>
      </c>
      <c r="D2376" s="68" t="str">
        <f t="shared" si="2"/>
        <v/>
      </c>
      <c r="E2376" s="65" t="str">
        <f>IF($B2376="","",VLOOKUP(MONTH(C2376),Parameters!$F$2:$G$13,2,0))</f>
        <v/>
      </c>
      <c r="F2376" s="69" t="str">
        <f>IF($B2376="","",PV-N(J2375))</f>
        <v/>
      </c>
      <c r="G2376" s="69" t="str">
        <f>IF($B2376="","",PMT(Rate,Nper,-PV,,Type))</f>
        <v/>
      </c>
      <c r="H2376" s="69" t="str">
        <f>IF($B2376="","",PPMT(Rate,ROWS($1:2364),Nper,-PV,,Type))</f>
        <v/>
      </c>
      <c r="I2376" s="69" t="str">
        <f>IF($B2376="","",IPMT(Rate,ROWS($1:2364),Nper,-PV,,Type))</f>
        <v/>
      </c>
      <c r="J2376" s="73" t="str">
        <f t="shared" ref="J2376:K2376" si="2366">IF($B2376="","",N(J2375)+N(H2376))</f>
        <v/>
      </c>
      <c r="K2376" s="74" t="str">
        <f t="shared" si="2366"/>
        <v/>
      </c>
      <c r="L2376" s="69" t="str">
        <f>IF($B2376="","",PV-J2376)</f>
        <v/>
      </c>
      <c r="M2376" s="71" t="str">
        <f>IF($B2376="","",J2376/PV)</f>
        <v/>
      </c>
      <c r="N2376" s="72" t="str">
        <f t="shared" si="4"/>
        <v/>
      </c>
    </row>
    <row r="2377" ht="14.25" customHeight="1">
      <c r="B2377" s="66" t="str">
        <f>IF(ROWS($1:2365)&lt;=Nper,ROWS($1:2365),"")</f>
        <v/>
      </c>
      <c r="C2377" s="67" t="str">
        <f>IF($B2377="","",IF($E$7="Weekly",Start_Date+7*(ROWS($1:2365)-1),EDATE(Start_Date,VLOOKUP(IF(ASTemp!$E$7="","Monthly",ASTemp!$E$7),Parameters!$B$3:$D$6,3,0)*(ROWS($1:2365)-1))))</f>
        <v/>
      </c>
      <c r="D2377" s="68" t="str">
        <f t="shared" si="2"/>
        <v/>
      </c>
      <c r="E2377" s="65" t="str">
        <f>IF($B2377="","",VLOOKUP(MONTH(C2377),Parameters!$F$2:$G$13,2,0))</f>
        <v/>
      </c>
      <c r="F2377" s="69" t="str">
        <f>IF($B2377="","",PV-N(J2376))</f>
        <v/>
      </c>
      <c r="G2377" s="69" t="str">
        <f>IF($B2377="","",PMT(Rate,Nper,-PV,,Type))</f>
        <v/>
      </c>
      <c r="H2377" s="69" t="str">
        <f>IF($B2377="","",PPMT(Rate,ROWS($1:2365),Nper,-PV,,Type))</f>
        <v/>
      </c>
      <c r="I2377" s="69" t="str">
        <f>IF($B2377="","",IPMT(Rate,ROWS($1:2365),Nper,-PV,,Type))</f>
        <v/>
      </c>
      <c r="J2377" s="73" t="str">
        <f t="shared" ref="J2377:K2377" si="2367">IF($B2377="","",N(J2376)+N(H2377))</f>
        <v/>
      </c>
      <c r="K2377" s="74" t="str">
        <f t="shared" si="2367"/>
        <v/>
      </c>
      <c r="L2377" s="69" t="str">
        <f>IF($B2377="","",PV-J2377)</f>
        <v/>
      </c>
      <c r="M2377" s="71" t="str">
        <f>IF($B2377="","",J2377/PV)</f>
        <v/>
      </c>
      <c r="N2377" s="72" t="str">
        <f t="shared" si="4"/>
        <v/>
      </c>
    </row>
    <row r="2378" ht="14.25" customHeight="1">
      <c r="B2378" s="66" t="str">
        <f>IF(ROWS($1:2366)&lt;=Nper,ROWS($1:2366),"")</f>
        <v/>
      </c>
      <c r="C2378" s="67" t="str">
        <f>IF($B2378="","",IF($E$7="Weekly",Start_Date+7*(ROWS($1:2366)-1),EDATE(Start_Date,VLOOKUP(IF(ASTemp!$E$7="","Monthly",ASTemp!$E$7),Parameters!$B$3:$D$6,3,0)*(ROWS($1:2366)-1))))</f>
        <v/>
      </c>
      <c r="D2378" s="68" t="str">
        <f t="shared" si="2"/>
        <v/>
      </c>
      <c r="E2378" s="65" t="str">
        <f>IF($B2378="","",VLOOKUP(MONTH(C2378),Parameters!$F$2:$G$13,2,0))</f>
        <v/>
      </c>
      <c r="F2378" s="69" t="str">
        <f>IF($B2378="","",PV-N(J2377))</f>
        <v/>
      </c>
      <c r="G2378" s="69" t="str">
        <f>IF($B2378="","",PMT(Rate,Nper,-PV,,Type))</f>
        <v/>
      </c>
      <c r="H2378" s="69" t="str">
        <f>IF($B2378="","",PPMT(Rate,ROWS($1:2366),Nper,-PV,,Type))</f>
        <v/>
      </c>
      <c r="I2378" s="69" t="str">
        <f>IF($B2378="","",IPMT(Rate,ROWS($1:2366),Nper,-PV,,Type))</f>
        <v/>
      </c>
      <c r="J2378" s="73" t="str">
        <f t="shared" ref="J2378:K2378" si="2368">IF($B2378="","",N(J2377)+N(H2378))</f>
        <v/>
      </c>
      <c r="K2378" s="74" t="str">
        <f t="shared" si="2368"/>
        <v/>
      </c>
      <c r="L2378" s="69" t="str">
        <f>IF($B2378="","",PV-J2378)</f>
        <v/>
      </c>
      <c r="M2378" s="71" t="str">
        <f>IF($B2378="","",J2378/PV)</f>
        <v/>
      </c>
      <c r="N2378" s="72" t="str">
        <f t="shared" si="4"/>
        <v/>
      </c>
    </row>
    <row r="2379" ht="14.25" customHeight="1">
      <c r="B2379" s="66" t="str">
        <f>IF(ROWS($1:2367)&lt;=Nper,ROWS($1:2367),"")</f>
        <v/>
      </c>
      <c r="C2379" s="67" t="str">
        <f>IF($B2379="","",IF($E$7="Weekly",Start_Date+7*(ROWS($1:2367)-1),EDATE(Start_Date,VLOOKUP(IF(ASTemp!$E$7="","Monthly",ASTemp!$E$7),Parameters!$B$3:$D$6,3,0)*(ROWS($1:2367)-1))))</f>
        <v/>
      </c>
      <c r="D2379" s="68" t="str">
        <f t="shared" si="2"/>
        <v/>
      </c>
      <c r="E2379" s="65" t="str">
        <f>IF($B2379="","",VLOOKUP(MONTH(C2379),Parameters!$F$2:$G$13,2,0))</f>
        <v/>
      </c>
      <c r="F2379" s="69" t="str">
        <f>IF($B2379="","",PV-N(J2378))</f>
        <v/>
      </c>
      <c r="G2379" s="69" t="str">
        <f>IF($B2379="","",PMT(Rate,Nper,-PV,,Type))</f>
        <v/>
      </c>
      <c r="H2379" s="69" t="str">
        <f>IF($B2379="","",PPMT(Rate,ROWS($1:2367),Nper,-PV,,Type))</f>
        <v/>
      </c>
      <c r="I2379" s="69" t="str">
        <f>IF($B2379="","",IPMT(Rate,ROWS($1:2367),Nper,-PV,,Type))</f>
        <v/>
      </c>
      <c r="J2379" s="73" t="str">
        <f t="shared" ref="J2379:K2379" si="2369">IF($B2379="","",N(J2378)+N(H2379))</f>
        <v/>
      </c>
      <c r="K2379" s="74" t="str">
        <f t="shared" si="2369"/>
        <v/>
      </c>
      <c r="L2379" s="69" t="str">
        <f>IF($B2379="","",PV-J2379)</f>
        <v/>
      </c>
      <c r="M2379" s="71" t="str">
        <f>IF($B2379="","",J2379/PV)</f>
        <v/>
      </c>
      <c r="N2379" s="72" t="str">
        <f t="shared" si="4"/>
        <v/>
      </c>
    </row>
    <row r="2380" ht="14.25" customHeight="1">
      <c r="B2380" s="66" t="str">
        <f>IF(ROWS($1:2368)&lt;=Nper,ROWS($1:2368),"")</f>
        <v/>
      </c>
      <c r="C2380" s="67" t="str">
        <f>IF($B2380="","",IF($E$7="Weekly",Start_Date+7*(ROWS($1:2368)-1),EDATE(Start_Date,VLOOKUP(IF(ASTemp!$E$7="","Monthly",ASTemp!$E$7),Parameters!$B$3:$D$6,3,0)*(ROWS($1:2368)-1))))</f>
        <v/>
      </c>
      <c r="D2380" s="68" t="str">
        <f t="shared" si="2"/>
        <v/>
      </c>
      <c r="E2380" s="65" t="str">
        <f>IF($B2380="","",VLOOKUP(MONTH(C2380),Parameters!$F$2:$G$13,2,0))</f>
        <v/>
      </c>
      <c r="F2380" s="69" t="str">
        <f>IF($B2380="","",PV-N(J2379))</f>
        <v/>
      </c>
      <c r="G2380" s="69" t="str">
        <f>IF($B2380="","",PMT(Rate,Nper,-PV,,Type))</f>
        <v/>
      </c>
      <c r="H2380" s="69" t="str">
        <f>IF($B2380="","",PPMT(Rate,ROWS($1:2368),Nper,-PV,,Type))</f>
        <v/>
      </c>
      <c r="I2380" s="69" t="str">
        <f>IF($B2380="","",IPMT(Rate,ROWS($1:2368),Nper,-PV,,Type))</f>
        <v/>
      </c>
      <c r="J2380" s="73" t="str">
        <f t="shared" ref="J2380:K2380" si="2370">IF($B2380="","",N(J2379)+N(H2380))</f>
        <v/>
      </c>
      <c r="K2380" s="74" t="str">
        <f t="shared" si="2370"/>
        <v/>
      </c>
      <c r="L2380" s="69" t="str">
        <f>IF($B2380="","",PV-J2380)</f>
        <v/>
      </c>
      <c r="M2380" s="71" t="str">
        <f>IF($B2380="","",J2380/PV)</f>
        <v/>
      </c>
      <c r="N2380" s="72" t="str">
        <f t="shared" si="4"/>
        <v/>
      </c>
    </row>
    <row r="2381" ht="14.25" customHeight="1">
      <c r="B2381" s="66" t="str">
        <f>IF(ROWS($1:2369)&lt;=Nper,ROWS($1:2369),"")</f>
        <v/>
      </c>
      <c r="C2381" s="67" t="str">
        <f>IF($B2381="","",IF($E$7="Weekly",Start_Date+7*(ROWS($1:2369)-1),EDATE(Start_Date,VLOOKUP(IF(ASTemp!$E$7="","Monthly",ASTemp!$E$7),Parameters!$B$3:$D$6,3,0)*(ROWS($1:2369)-1))))</f>
        <v/>
      </c>
      <c r="D2381" s="68" t="str">
        <f t="shared" si="2"/>
        <v/>
      </c>
      <c r="E2381" s="65" t="str">
        <f>IF($B2381="","",VLOOKUP(MONTH(C2381),Parameters!$F$2:$G$13,2,0))</f>
        <v/>
      </c>
      <c r="F2381" s="69" t="str">
        <f>IF($B2381="","",PV-N(J2380))</f>
        <v/>
      </c>
      <c r="G2381" s="69" t="str">
        <f>IF($B2381="","",PMT(Rate,Nper,-PV,,Type))</f>
        <v/>
      </c>
      <c r="H2381" s="69" t="str">
        <f>IF($B2381="","",PPMT(Rate,ROWS($1:2369),Nper,-PV,,Type))</f>
        <v/>
      </c>
      <c r="I2381" s="69" t="str">
        <f>IF($B2381="","",IPMT(Rate,ROWS($1:2369),Nper,-PV,,Type))</f>
        <v/>
      </c>
      <c r="J2381" s="73" t="str">
        <f t="shared" ref="J2381:K2381" si="2371">IF($B2381="","",N(J2380)+N(H2381))</f>
        <v/>
      </c>
      <c r="K2381" s="74" t="str">
        <f t="shared" si="2371"/>
        <v/>
      </c>
      <c r="L2381" s="69" t="str">
        <f>IF($B2381="","",PV-J2381)</f>
        <v/>
      </c>
      <c r="M2381" s="71" t="str">
        <f>IF($B2381="","",J2381/PV)</f>
        <v/>
      </c>
      <c r="N2381" s="72" t="str">
        <f t="shared" si="4"/>
        <v/>
      </c>
    </row>
    <row r="2382" ht="14.25" customHeight="1">
      <c r="B2382" s="66" t="str">
        <f>IF(ROWS($1:2370)&lt;=Nper,ROWS($1:2370),"")</f>
        <v/>
      </c>
      <c r="C2382" s="67" t="str">
        <f>IF($B2382="","",IF($E$7="Weekly",Start_Date+7*(ROWS($1:2370)-1),EDATE(Start_Date,VLOOKUP(IF(ASTemp!$E$7="","Monthly",ASTemp!$E$7),Parameters!$B$3:$D$6,3,0)*(ROWS($1:2370)-1))))</f>
        <v/>
      </c>
      <c r="D2382" s="68" t="str">
        <f t="shared" si="2"/>
        <v/>
      </c>
      <c r="E2382" s="65" t="str">
        <f>IF($B2382="","",VLOOKUP(MONTH(C2382),Parameters!$F$2:$G$13,2,0))</f>
        <v/>
      </c>
      <c r="F2382" s="69" t="str">
        <f>IF($B2382="","",PV-N(J2381))</f>
        <v/>
      </c>
      <c r="G2382" s="69" t="str">
        <f>IF($B2382="","",PMT(Rate,Nper,-PV,,Type))</f>
        <v/>
      </c>
      <c r="H2382" s="69" t="str">
        <f>IF($B2382="","",PPMT(Rate,ROWS($1:2370),Nper,-PV,,Type))</f>
        <v/>
      </c>
      <c r="I2382" s="69" t="str">
        <f>IF($B2382="","",IPMT(Rate,ROWS($1:2370),Nper,-PV,,Type))</f>
        <v/>
      </c>
      <c r="J2382" s="73" t="str">
        <f t="shared" ref="J2382:K2382" si="2372">IF($B2382="","",N(J2381)+N(H2382))</f>
        <v/>
      </c>
      <c r="K2382" s="74" t="str">
        <f t="shared" si="2372"/>
        <v/>
      </c>
      <c r="L2382" s="69" t="str">
        <f>IF($B2382="","",PV-J2382)</f>
        <v/>
      </c>
      <c r="M2382" s="71" t="str">
        <f>IF($B2382="","",J2382/PV)</f>
        <v/>
      </c>
      <c r="N2382" s="72" t="str">
        <f t="shared" si="4"/>
        <v/>
      </c>
    </row>
    <row r="2383" ht="14.25" customHeight="1">
      <c r="B2383" s="66" t="str">
        <f>IF(ROWS($1:2371)&lt;=Nper,ROWS($1:2371),"")</f>
        <v/>
      </c>
      <c r="C2383" s="67" t="str">
        <f>IF($B2383="","",IF($E$7="Weekly",Start_Date+7*(ROWS($1:2371)-1),EDATE(Start_Date,VLOOKUP(IF(ASTemp!$E$7="","Monthly",ASTemp!$E$7),Parameters!$B$3:$D$6,3,0)*(ROWS($1:2371)-1))))</f>
        <v/>
      </c>
      <c r="D2383" s="68" t="str">
        <f t="shared" si="2"/>
        <v/>
      </c>
      <c r="E2383" s="65" t="str">
        <f>IF($B2383="","",VLOOKUP(MONTH(C2383),Parameters!$F$2:$G$13,2,0))</f>
        <v/>
      </c>
      <c r="F2383" s="69" t="str">
        <f>IF($B2383="","",PV-N(J2382))</f>
        <v/>
      </c>
      <c r="G2383" s="69" t="str">
        <f>IF($B2383="","",PMT(Rate,Nper,-PV,,Type))</f>
        <v/>
      </c>
      <c r="H2383" s="69" t="str">
        <f>IF($B2383="","",PPMT(Rate,ROWS($1:2371),Nper,-PV,,Type))</f>
        <v/>
      </c>
      <c r="I2383" s="69" t="str">
        <f>IF($B2383="","",IPMT(Rate,ROWS($1:2371),Nper,-PV,,Type))</f>
        <v/>
      </c>
      <c r="J2383" s="73" t="str">
        <f t="shared" ref="J2383:K2383" si="2373">IF($B2383="","",N(J2382)+N(H2383))</f>
        <v/>
      </c>
      <c r="K2383" s="74" t="str">
        <f t="shared" si="2373"/>
        <v/>
      </c>
      <c r="L2383" s="69" t="str">
        <f>IF($B2383="","",PV-J2383)</f>
        <v/>
      </c>
      <c r="M2383" s="71" t="str">
        <f>IF($B2383="","",J2383/PV)</f>
        <v/>
      </c>
      <c r="N2383" s="72" t="str">
        <f t="shared" si="4"/>
        <v/>
      </c>
    </row>
    <row r="2384" ht="14.25" customHeight="1">
      <c r="B2384" s="66" t="str">
        <f>IF(ROWS($1:2372)&lt;=Nper,ROWS($1:2372),"")</f>
        <v/>
      </c>
      <c r="C2384" s="67" t="str">
        <f>IF($B2384="","",IF($E$7="Weekly",Start_Date+7*(ROWS($1:2372)-1),EDATE(Start_Date,VLOOKUP(IF(ASTemp!$E$7="","Monthly",ASTemp!$E$7),Parameters!$B$3:$D$6,3,0)*(ROWS($1:2372)-1))))</f>
        <v/>
      </c>
      <c r="D2384" s="68" t="str">
        <f t="shared" si="2"/>
        <v/>
      </c>
      <c r="E2384" s="65" t="str">
        <f>IF($B2384="","",VLOOKUP(MONTH(C2384),Parameters!$F$2:$G$13,2,0))</f>
        <v/>
      </c>
      <c r="F2384" s="69" t="str">
        <f>IF($B2384="","",PV-N(J2383))</f>
        <v/>
      </c>
      <c r="G2384" s="69" t="str">
        <f>IF($B2384="","",PMT(Rate,Nper,-PV,,Type))</f>
        <v/>
      </c>
      <c r="H2384" s="69" t="str">
        <f>IF($B2384="","",PPMT(Rate,ROWS($1:2372),Nper,-PV,,Type))</f>
        <v/>
      </c>
      <c r="I2384" s="69" t="str">
        <f>IF($B2384="","",IPMT(Rate,ROWS($1:2372),Nper,-PV,,Type))</f>
        <v/>
      </c>
      <c r="J2384" s="73" t="str">
        <f t="shared" ref="J2384:K2384" si="2374">IF($B2384="","",N(J2383)+N(H2384))</f>
        <v/>
      </c>
      <c r="K2384" s="74" t="str">
        <f t="shared" si="2374"/>
        <v/>
      </c>
      <c r="L2384" s="69" t="str">
        <f>IF($B2384="","",PV-J2384)</f>
        <v/>
      </c>
      <c r="M2384" s="71" t="str">
        <f>IF($B2384="","",J2384/PV)</f>
        <v/>
      </c>
      <c r="N2384" s="72" t="str">
        <f t="shared" si="4"/>
        <v/>
      </c>
    </row>
    <row r="2385" ht="14.25" customHeight="1">
      <c r="B2385" s="66" t="str">
        <f>IF(ROWS($1:2373)&lt;=Nper,ROWS($1:2373),"")</f>
        <v/>
      </c>
      <c r="C2385" s="67" t="str">
        <f>IF($B2385="","",IF($E$7="Weekly",Start_Date+7*(ROWS($1:2373)-1),EDATE(Start_Date,VLOOKUP(IF(ASTemp!$E$7="","Monthly",ASTemp!$E$7),Parameters!$B$3:$D$6,3,0)*(ROWS($1:2373)-1))))</f>
        <v/>
      </c>
      <c r="D2385" s="68" t="str">
        <f t="shared" si="2"/>
        <v/>
      </c>
      <c r="E2385" s="65" t="str">
        <f>IF($B2385="","",VLOOKUP(MONTH(C2385),Parameters!$F$2:$G$13,2,0))</f>
        <v/>
      </c>
      <c r="F2385" s="69" t="str">
        <f>IF($B2385="","",PV-N(J2384))</f>
        <v/>
      </c>
      <c r="G2385" s="69" t="str">
        <f>IF($B2385="","",PMT(Rate,Nper,-PV,,Type))</f>
        <v/>
      </c>
      <c r="H2385" s="69" t="str">
        <f>IF($B2385="","",PPMT(Rate,ROWS($1:2373),Nper,-PV,,Type))</f>
        <v/>
      </c>
      <c r="I2385" s="69" t="str">
        <f>IF($B2385="","",IPMT(Rate,ROWS($1:2373),Nper,-PV,,Type))</f>
        <v/>
      </c>
      <c r="J2385" s="73" t="str">
        <f t="shared" ref="J2385:K2385" si="2375">IF($B2385="","",N(J2384)+N(H2385))</f>
        <v/>
      </c>
      <c r="K2385" s="74" t="str">
        <f t="shared" si="2375"/>
        <v/>
      </c>
      <c r="L2385" s="69" t="str">
        <f>IF($B2385="","",PV-J2385)</f>
        <v/>
      </c>
      <c r="M2385" s="71" t="str">
        <f>IF($B2385="","",J2385/PV)</f>
        <v/>
      </c>
      <c r="N2385" s="72" t="str">
        <f t="shared" si="4"/>
        <v/>
      </c>
    </row>
    <row r="2386" ht="14.25" customHeight="1">
      <c r="B2386" s="66" t="str">
        <f>IF(ROWS($1:2374)&lt;=Nper,ROWS($1:2374),"")</f>
        <v/>
      </c>
      <c r="C2386" s="67" t="str">
        <f>IF($B2386="","",IF($E$7="Weekly",Start_Date+7*(ROWS($1:2374)-1),EDATE(Start_Date,VLOOKUP(IF(ASTemp!$E$7="","Monthly",ASTemp!$E$7),Parameters!$B$3:$D$6,3,0)*(ROWS($1:2374)-1))))</f>
        <v/>
      </c>
      <c r="D2386" s="68" t="str">
        <f t="shared" si="2"/>
        <v/>
      </c>
      <c r="E2386" s="65" t="str">
        <f>IF($B2386="","",VLOOKUP(MONTH(C2386),Parameters!$F$2:$G$13,2,0))</f>
        <v/>
      </c>
      <c r="F2386" s="69" t="str">
        <f>IF($B2386="","",PV-N(J2385))</f>
        <v/>
      </c>
      <c r="G2386" s="69" t="str">
        <f>IF($B2386="","",PMT(Rate,Nper,-PV,,Type))</f>
        <v/>
      </c>
      <c r="H2386" s="69" t="str">
        <f>IF($B2386="","",PPMT(Rate,ROWS($1:2374),Nper,-PV,,Type))</f>
        <v/>
      </c>
      <c r="I2386" s="69" t="str">
        <f>IF($B2386="","",IPMT(Rate,ROWS($1:2374),Nper,-PV,,Type))</f>
        <v/>
      </c>
      <c r="J2386" s="73" t="str">
        <f t="shared" ref="J2386:K2386" si="2376">IF($B2386="","",N(J2385)+N(H2386))</f>
        <v/>
      </c>
      <c r="K2386" s="74" t="str">
        <f t="shared" si="2376"/>
        <v/>
      </c>
      <c r="L2386" s="69" t="str">
        <f>IF($B2386="","",PV-J2386)</f>
        <v/>
      </c>
      <c r="M2386" s="71" t="str">
        <f>IF($B2386="","",J2386/PV)</f>
        <v/>
      </c>
      <c r="N2386" s="72" t="str">
        <f t="shared" si="4"/>
        <v/>
      </c>
    </row>
    <row r="2387" ht="14.25" customHeight="1">
      <c r="B2387" s="66" t="str">
        <f>IF(ROWS($1:2375)&lt;=Nper,ROWS($1:2375),"")</f>
        <v/>
      </c>
      <c r="C2387" s="67" t="str">
        <f>IF($B2387="","",IF($E$7="Weekly",Start_Date+7*(ROWS($1:2375)-1),EDATE(Start_Date,VLOOKUP(IF(ASTemp!$E$7="","Monthly",ASTemp!$E$7),Parameters!$B$3:$D$6,3,0)*(ROWS($1:2375)-1))))</f>
        <v/>
      </c>
      <c r="D2387" s="68" t="str">
        <f t="shared" si="2"/>
        <v/>
      </c>
      <c r="E2387" s="65" t="str">
        <f>IF($B2387="","",VLOOKUP(MONTH(C2387),Parameters!$F$2:$G$13,2,0))</f>
        <v/>
      </c>
      <c r="F2387" s="69" t="str">
        <f>IF($B2387="","",PV-N(J2386))</f>
        <v/>
      </c>
      <c r="G2387" s="69" t="str">
        <f>IF($B2387="","",PMT(Rate,Nper,-PV,,Type))</f>
        <v/>
      </c>
      <c r="H2387" s="69" t="str">
        <f>IF($B2387="","",PPMT(Rate,ROWS($1:2375),Nper,-PV,,Type))</f>
        <v/>
      </c>
      <c r="I2387" s="69" t="str">
        <f>IF($B2387="","",IPMT(Rate,ROWS($1:2375),Nper,-PV,,Type))</f>
        <v/>
      </c>
      <c r="J2387" s="73" t="str">
        <f t="shared" ref="J2387:K2387" si="2377">IF($B2387="","",N(J2386)+N(H2387))</f>
        <v/>
      </c>
      <c r="K2387" s="74" t="str">
        <f t="shared" si="2377"/>
        <v/>
      </c>
      <c r="L2387" s="69" t="str">
        <f>IF($B2387="","",PV-J2387)</f>
        <v/>
      </c>
      <c r="M2387" s="71" t="str">
        <f>IF($B2387="","",J2387/PV)</f>
        <v/>
      </c>
      <c r="N2387" s="72" t="str">
        <f t="shared" si="4"/>
        <v/>
      </c>
    </row>
    <row r="2388" ht="14.25" customHeight="1">
      <c r="B2388" s="66" t="str">
        <f>IF(ROWS($1:2376)&lt;=Nper,ROWS($1:2376),"")</f>
        <v/>
      </c>
      <c r="C2388" s="67" t="str">
        <f>IF($B2388="","",IF($E$7="Weekly",Start_Date+7*(ROWS($1:2376)-1),EDATE(Start_Date,VLOOKUP(IF(ASTemp!$E$7="","Monthly",ASTemp!$E$7),Parameters!$B$3:$D$6,3,0)*(ROWS($1:2376)-1))))</f>
        <v/>
      </c>
      <c r="D2388" s="68" t="str">
        <f t="shared" si="2"/>
        <v/>
      </c>
      <c r="E2388" s="65" t="str">
        <f>IF($B2388="","",VLOOKUP(MONTH(C2388),Parameters!$F$2:$G$13,2,0))</f>
        <v/>
      </c>
      <c r="F2388" s="69" t="str">
        <f>IF($B2388="","",PV-N(J2387))</f>
        <v/>
      </c>
      <c r="G2388" s="69" t="str">
        <f>IF($B2388="","",PMT(Rate,Nper,-PV,,Type))</f>
        <v/>
      </c>
      <c r="H2388" s="69" t="str">
        <f>IF($B2388="","",PPMT(Rate,ROWS($1:2376),Nper,-PV,,Type))</f>
        <v/>
      </c>
      <c r="I2388" s="69" t="str">
        <f>IF($B2388="","",IPMT(Rate,ROWS($1:2376),Nper,-PV,,Type))</f>
        <v/>
      </c>
      <c r="J2388" s="73" t="str">
        <f t="shared" ref="J2388:K2388" si="2378">IF($B2388="","",N(J2387)+N(H2388))</f>
        <v/>
      </c>
      <c r="K2388" s="74" t="str">
        <f t="shared" si="2378"/>
        <v/>
      </c>
      <c r="L2388" s="69" t="str">
        <f>IF($B2388="","",PV-J2388)</f>
        <v/>
      </c>
      <c r="M2388" s="71" t="str">
        <f>IF($B2388="","",J2388/PV)</f>
        <v/>
      </c>
      <c r="N2388" s="72" t="str">
        <f t="shared" si="4"/>
        <v/>
      </c>
    </row>
    <row r="2389" ht="14.25" customHeight="1">
      <c r="B2389" s="66" t="str">
        <f>IF(ROWS($1:2377)&lt;=Nper,ROWS($1:2377),"")</f>
        <v/>
      </c>
      <c r="C2389" s="67" t="str">
        <f>IF($B2389="","",IF($E$7="Weekly",Start_Date+7*(ROWS($1:2377)-1),EDATE(Start_Date,VLOOKUP(IF(ASTemp!$E$7="","Monthly",ASTemp!$E$7),Parameters!$B$3:$D$6,3,0)*(ROWS($1:2377)-1))))</f>
        <v/>
      </c>
      <c r="D2389" s="68" t="str">
        <f t="shared" si="2"/>
        <v/>
      </c>
      <c r="E2389" s="65" t="str">
        <f>IF($B2389="","",VLOOKUP(MONTH(C2389),Parameters!$F$2:$G$13,2,0))</f>
        <v/>
      </c>
      <c r="F2389" s="69" t="str">
        <f>IF($B2389="","",PV-N(J2388))</f>
        <v/>
      </c>
      <c r="G2389" s="69" t="str">
        <f>IF($B2389="","",PMT(Rate,Nper,-PV,,Type))</f>
        <v/>
      </c>
      <c r="H2389" s="69" t="str">
        <f>IF($B2389="","",PPMT(Rate,ROWS($1:2377),Nper,-PV,,Type))</f>
        <v/>
      </c>
      <c r="I2389" s="69" t="str">
        <f>IF($B2389="","",IPMT(Rate,ROWS($1:2377),Nper,-PV,,Type))</f>
        <v/>
      </c>
      <c r="J2389" s="73" t="str">
        <f t="shared" ref="J2389:K2389" si="2379">IF($B2389="","",N(J2388)+N(H2389))</f>
        <v/>
      </c>
      <c r="K2389" s="74" t="str">
        <f t="shared" si="2379"/>
        <v/>
      </c>
      <c r="L2389" s="69" t="str">
        <f>IF($B2389="","",PV-J2389)</f>
        <v/>
      </c>
      <c r="M2389" s="71" t="str">
        <f>IF($B2389="","",J2389/PV)</f>
        <v/>
      </c>
      <c r="N2389" s="72" t="str">
        <f t="shared" si="4"/>
        <v/>
      </c>
    </row>
    <row r="2390" ht="14.25" customHeight="1">
      <c r="B2390" s="66" t="str">
        <f>IF(ROWS($1:2378)&lt;=Nper,ROWS($1:2378),"")</f>
        <v/>
      </c>
      <c r="C2390" s="67" t="str">
        <f>IF($B2390="","",IF($E$7="Weekly",Start_Date+7*(ROWS($1:2378)-1),EDATE(Start_Date,VLOOKUP(IF(ASTemp!$E$7="","Monthly",ASTemp!$E$7),Parameters!$B$3:$D$6,3,0)*(ROWS($1:2378)-1))))</f>
        <v/>
      </c>
      <c r="D2390" s="68" t="str">
        <f t="shared" si="2"/>
        <v/>
      </c>
      <c r="E2390" s="65" t="str">
        <f>IF($B2390="","",VLOOKUP(MONTH(C2390),Parameters!$F$2:$G$13,2,0))</f>
        <v/>
      </c>
      <c r="F2390" s="69" t="str">
        <f>IF($B2390="","",PV-N(J2389))</f>
        <v/>
      </c>
      <c r="G2390" s="69" t="str">
        <f>IF($B2390="","",PMT(Rate,Nper,-PV,,Type))</f>
        <v/>
      </c>
      <c r="H2390" s="69" t="str">
        <f>IF($B2390="","",PPMT(Rate,ROWS($1:2378),Nper,-PV,,Type))</f>
        <v/>
      </c>
      <c r="I2390" s="69" t="str">
        <f>IF($B2390="","",IPMT(Rate,ROWS($1:2378),Nper,-PV,,Type))</f>
        <v/>
      </c>
      <c r="J2390" s="73" t="str">
        <f t="shared" ref="J2390:K2390" si="2380">IF($B2390="","",N(J2389)+N(H2390))</f>
        <v/>
      </c>
      <c r="K2390" s="74" t="str">
        <f t="shared" si="2380"/>
        <v/>
      </c>
      <c r="L2390" s="69" t="str">
        <f>IF($B2390="","",PV-J2390)</f>
        <v/>
      </c>
      <c r="M2390" s="71" t="str">
        <f>IF($B2390="","",J2390/PV)</f>
        <v/>
      </c>
      <c r="N2390" s="72" t="str">
        <f t="shared" si="4"/>
        <v/>
      </c>
    </row>
    <row r="2391" ht="14.25" customHeight="1">
      <c r="B2391" s="66" t="str">
        <f>IF(ROWS($1:2379)&lt;=Nper,ROWS($1:2379),"")</f>
        <v/>
      </c>
      <c r="C2391" s="67" t="str">
        <f>IF($B2391="","",IF($E$7="Weekly",Start_Date+7*(ROWS($1:2379)-1),EDATE(Start_Date,VLOOKUP(IF(ASTemp!$E$7="","Monthly",ASTemp!$E$7),Parameters!$B$3:$D$6,3,0)*(ROWS($1:2379)-1))))</f>
        <v/>
      </c>
      <c r="D2391" s="68" t="str">
        <f t="shared" si="2"/>
        <v/>
      </c>
      <c r="E2391" s="65" t="str">
        <f>IF($B2391="","",VLOOKUP(MONTH(C2391),Parameters!$F$2:$G$13,2,0))</f>
        <v/>
      </c>
      <c r="F2391" s="69" t="str">
        <f>IF($B2391="","",PV-N(J2390))</f>
        <v/>
      </c>
      <c r="G2391" s="69" t="str">
        <f>IF($B2391="","",PMT(Rate,Nper,-PV,,Type))</f>
        <v/>
      </c>
      <c r="H2391" s="69" t="str">
        <f>IF($B2391="","",PPMT(Rate,ROWS($1:2379),Nper,-PV,,Type))</f>
        <v/>
      </c>
      <c r="I2391" s="69" t="str">
        <f>IF($B2391="","",IPMT(Rate,ROWS($1:2379),Nper,-PV,,Type))</f>
        <v/>
      </c>
      <c r="J2391" s="73" t="str">
        <f t="shared" ref="J2391:K2391" si="2381">IF($B2391="","",N(J2390)+N(H2391))</f>
        <v/>
      </c>
      <c r="K2391" s="74" t="str">
        <f t="shared" si="2381"/>
        <v/>
      </c>
      <c r="L2391" s="69" t="str">
        <f>IF($B2391="","",PV-J2391)</f>
        <v/>
      </c>
      <c r="M2391" s="71" t="str">
        <f>IF($B2391="","",J2391/PV)</f>
        <v/>
      </c>
      <c r="N2391" s="72" t="str">
        <f t="shared" si="4"/>
        <v/>
      </c>
    </row>
    <row r="2392" ht="14.25" customHeight="1">
      <c r="B2392" s="66" t="str">
        <f>IF(ROWS($1:2380)&lt;=Nper,ROWS($1:2380),"")</f>
        <v/>
      </c>
      <c r="C2392" s="67" t="str">
        <f>IF($B2392="","",IF($E$7="Weekly",Start_Date+7*(ROWS($1:2380)-1),EDATE(Start_Date,VLOOKUP(IF(ASTemp!$E$7="","Monthly",ASTemp!$E$7),Parameters!$B$3:$D$6,3,0)*(ROWS($1:2380)-1))))</f>
        <v/>
      </c>
      <c r="D2392" s="68" t="str">
        <f t="shared" si="2"/>
        <v/>
      </c>
      <c r="E2392" s="65" t="str">
        <f>IF($B2392="","",VLOOKUP(MONTH(C2392),Parameters!$F$2:$G$13,2,0))</f>
        <v/>
      </c>
      <c r="F2392" s="69" t="str">
        <f>IF($B2392="","",PV-N(J2391))</f>
        <v/>
      </c>
      <c r="G2392" s="69" t="str">
        <f>IF($B2392="","",PMT(Rate,Nper,-PV,,Type))</f>
        <v/>
      </c>
      <c r="H2392" s="69" t="str">
        <f>IF($B2392="","",PPMT(Rate,ROWS($1:2380),Nper,-PV,,Type))</f>
        <v/>
      </c>
      <c r="I2392" s="69" t="str">
        <f>IF($B2392="","",IPMT(Rate,ROWS($1:2380),Nper,-PV,,Type))</f>
        <v/>
      </c>
      <c r="J2392" s="73" t="str">
        <f t="shared" ref="J2392:K2392" si="2382">IF($B2392="","",N(J2391)+N(H2392))</f>
        <v/>
      </c>
      <c r="K2392" s="74" t="str">
        <f t="shared" si="2382"/>
        <v/>
      </c>
      <c r="L2392" s="69" t="str">
        <f>IF($B2392="","",PV-J2392)</f>
        <v/>
      </c>
      <c r="M2392" s="71" t="str">
        <f>IF($B2392="","",J2392/PV)</f>
        <v/>
      </c>
      <c r="N2392" s="72" t="str">
        <f t="shared" si="4"/>
        <v/>
      </c>
    </row>
    <row r="2393" ht="14.25" customHeight="1">
      <c r="B2393" s="66" t="str">
        <f>IF(ROWS($1:2381)&lt;=Nper,ROWS($1:2381),"")</f>
        <v/>
      </c>
      <c r="C2393" s="67" t="str">
        <f>IF($B2393="","",IF($E$7="Weekly",Start_Date+7*(ROWS($1:2381)-1),EDATE(Start_Date,VLOOKUP(IF(ASTemp!$E$7="","Monthly",ASTemp!$E$7),Parameters!$B$3:$D$6,3,0)*(ROWS($1:2381)-1))))</f>
        <v/>
      </c>
      <c r="D2393" s="68" t="str">
        <f t="shared" si="2"/>
        <v/>
      </c>
      <c r="E2393" s="65" t="str">
        <f>IF($B2393="","",VLOOKUP(MONTH(C2393),Parameters!$F$2:$G$13,2,0))</f>
        <v/>
      </c>
      <c r="F2393" s="69" t="str">
        <f>IF($B2393="","",PV-N(J2392))</f>
        <v/>
      </c>
      <c r="G2393" s="69" t="str">
        <f>IF($B2393="","",PMT(Rate,Nper,-PV,,Type))</f>
        <v/>
      </c>
      <c r="H2393" s="69" t="str">
        <f>IF($B2393="","",PPMT(Rate,ROWS($1:2381),Nper,-PV,,Type))</f>
        <v/>
      </c>
      <c r="I2393" s="69" t="str">
        <f>IF($B2393="","",IPMT(Rate,ROWS($1:2381),Nper,-PV,,Type))</f>
        <v/>
      </c>
      <c r="J2393" s="73" t="str">
        <f t="shared" ref="J2393:K2393" si="2383">IF($B2393="","",N(J2392)+N(H2393))</f>
        <v/>
      </c>
      <c r="K2393" s="74" t="str">
        <f t="shared" si="2383"/>
        <v/>
      </c>
      <c r="L2393" s="69" t="str">
        <f>IF($B2393="","",PV-J2393)</f>
        <v/>
      </c>
      <c r="M2393" s="71" t="str">
        <f>IF($B2393="","",J2393/PV)</f>
        <v/>
      </c>
      <c r="N2393" s="72" t="str">
        <f t="shared" si="4"/>
        <v/>
      </c>
    </row>
    <row r="2394" ht="14.25" customHeight="1">
      <c r="B2394" s="66" t="str">
        <f>IF(ROWS($1:2382)&lt;=Nper,ROWS($1:2382),"")</f>
        <v/>
      </c>
      <c r="C2394" s="67" t="str">
        <f>IF($B2394="","",IF($E$7="Weekly",Start_Date+7*(ROWS($1:2382)-1),EDATE(Start_Date,VLOOKUP(IF(ASTemp!$E$7="","Monthly",ASTemp!$E$7),Parameters!$B$3:$D$6,3,0)*(ROWS($1:2382)-1))))</f>
        <v/>
      </c>
      <c r="D2394" s="68" t="str">
        <f t="shared" si="2"/>
        <v/>
      </c>
      <c r="E2394" s="65" t="str">
        <f>IF($B2394="","",VLOOKUP(MONTH(C2394),Parameters!$F$2:$G$13,2,0))</f>
        <v/>
      </c>
      <c r="F2394" s="69" t="str">
        <f>IF($B2394="","",PV-N(J2393))</f>
        <v/>
      </c>
      <c r="G2394" s="69" t="str">
        <f>IF($B2394="","",PMT(Rate,Nper,-PV,,Type))</f>
        <v/>
      </c>
      <c r="H2394" s="69" t="str">
        <f>IF($B2394="","",PPMT(Rate,ROWS($1:2382),Nper,-PV,,Type))</f>
        <v/>
      </c>
      <c r="I2394" s="69" t="str">
        <f>IF($B2394="","",IPMT(Rate,ROWS($1:2382),Nper,-PV,,Type))</f>
        <v/>
      </c>
      <c r="J2394" s="73" t="str">
        <f t="shared" ref="J2394:K2394" si="2384">IF($B2394="","",N(J2393)+N(H2394))</f>
        <v/>
      </c>
      <c r="K2394" s="74" t="str">
        <f t="shared" si="2384"/>
        <v/>
      </c>
      <c r="L2394" s="69" t="str">
        <f>IF($B2394="","",PV-J2394)</f>
        <v/>
      </c>
      <c r="M2394" s="71" t="str">
        <f>IF($B2394="","",J2394/PV)</f>
        <v/>
      </c>
      <c r="N2394" s="72" t="str">
        <f t="shared" si="4"/>
        <v/>
      </c>
    </row>
    <row r="2395" ht="14.25" customHeight="1">
      <c r="B2395" s="66" t="str">
        <f>IF(ROWS($1:2383)&lt;=Nper,ROWS($1:2383),"")</f>
        <v/>
      </c>
      <c r="C2395" s="67" t="str">
        <f>IF($B2395="","",IF($E$7="Weekly",Start_Date+7*(ROWS($1:2383)-1),EDATE(Start_Date,VLOOKUP(IF(ASTemp!$E$7="","Monthly",ASTemp!$E$7),Parameters!$B$3:$D$6,3,0)*(ROWS($1:2383)-1))))</f>
        <v/>
      </c>
      <c r="D2395" s="68" t="str">
        <f t="shared" si="2"/>
        <v/>
      </c>
      <c r="E2395" s="65" t="str">
        <f>IF($B2395="","",VLOOKUP(MONTH(C2395),Parameters!$F$2:$G$13,2,0))</f>
        <v/>
      </c>
      <c r="F2395" s="69" t="str">
        <f>IF($B2395="","",PV-N(J2394))</f>
        <v/>
      </c>
      <c r="G2395" s="69" t="str">
        <f>IF($B2395="","",PMT(Rate,Nper,-PV,,Type))</f>
        <v/>
      </c>
      <c r="H2395" s="69" t="str">
        <f>IF($B2395="","",PPMT(Rate,ROWS($1:2383),Nper,-PV,,Type))</f>
        <v/>
      </c>
      <c r="I2395" s="69" t="str">
        <f>IF($B2395="","",IPMT(Rate,ROWS($1:2383),Nper,-PV,,Type))</f>
        <v/>
      </c>
      <c r="J2395" s="73" t="str">
        <f t="shared" ref="J2395:K2395" si="2385">IF($B2395="","",N(J2394)+N(H2395))</f>
        <v/>
      </c>
      <c r="K2395" s="74" t="str">
        <f t="shared" si="2385"/>
        <v/>
      </c>
      <c r="L2395" s="69" t="str">
        <f>IF($B2395="","",PV-J2395)</f>
        <v/>
      </c>
      <c r="M2395" s="71" t="str">
        <f>IF($B2395="","",J2395/PV)</f>
        <v/>
      </c>
      <c r="N2395" s="72" t="str">
        <f t="shared" si="4"/>
        <v/>
      </c>
    </row>
    <row r="2396" ht="14.25" customHeight="1">
      <c r="B2396" s="66" t="str">
        <f>IF(ROWS($1:2384)&lt;=Nper,ROWS($1:2384),"")</f>
        <v/>
      </c>
      <c r="C2396" s="67" t="str">
        <f>IF($B2396="","",IF($E$7="Weekly",Start_Date+7*(ROWS($1:2384)-1),EDATE(Start_Date,VLOOKUP(IF(ASTemp!$E$7="","Monthly",ASTemp!$E$7),Parameters!$B$3:$D$6,3,0)*(ROWS($1:2384)-1))))</f>
        <v/>
      </c>
      <c r="D2396" s="68" t="str">
        <f t="shared" si="2"/>
        <v/>
      </c>
      <c r="E2396" s="65" t="str">
        <f>IF($B2396="","",VLOOKUP(MONTH(C2396),Parameters!$F$2:$G$13,2,0))</f>
        <v/>
      </c>
      <c r="F2396" s="69" t="str">
        <f>IF($B2396="","",PV-N(J2395))</f>
        <v/>
      </c>
      <c r="G2396" s="69" t="str">
        <f>IF($B2396="","",PMT(Rate,Nper,-PV,,Type))</f>
        <v/>
      </c>
      <c r="H2396" s="69" t="str">
        <f>IF($B2396="","",PPMT(Rate,ROWS($1:2384),Nper,-PV,,Type))</f>
        <v/>
      </c>
      <c r="I2396" s="69" t="str">
        <f>IF($B2396="","",IPMT(Rate,ROWS($1:2384),Nper,-PV,,Type))</f>
        <v/>
      </c>
      <c r="J2396" s="73" t="str">
        <f t="shared" ref="J2396:K2396" si="2386">IF($B2396="","",N(J2395)+N(H2396))</f>
        <v/>
      </c>
      <c r="K2396" s="74" t="str">
        <f t="shared" si="2386"/>
        <v/>
      </c>
      <c r="L2396" s="69" t="str">
        <f>IF($B2396="","",PV-J2396)</f>
        <v/>
      </c>
      <c r="M2396" s="71" t="str">
        <f>IF($B2396="","",J2396/PV)</f>
        <v/>
      </c>
      <c r="N2396" s="72" t="str">
        <f t="shared" si="4"/>
        <v/>
      </c>
    </row>
    <row r="2397" ht="14.25" customHeight="1">
      <c r="B2397" s="66" t="str">
        <f>IF(ROWS($1:2385)&lt;=Nper,ROWS($1:2385),"")</f>
        <v/>
      </c>
      <c r="C2397" s="67" t="str">
        <f>IF($B2397="","",IF($E$7="Weekly",Start_Date+7*(ROWS($1:2385)-1),EDATE(Start_Date,VLOOKUP(IF(ASTemp!$E$7="","Monthly",ASTemp!$E$7),Parameters!$B$3:$D$6,3,0)*(ROWS($1:2385)-1))))</f>
        <v/>
      </c>
      <c r="D2397" s="68" t="str">
        <f t="shared" si="2"/>
        <v/>
      </c>
      <c r="E2397" s="65" t="str">
        <f>IF($B2397="","",VLOOKUP(MONTH(C2397),Parameters!$F$2:$G$13,2,0))</f>
        <v/>
      </c>
      <c r="F2397" s="69" t="str">
        <f>IF($B2397="","",PV-N(J2396))</f>
        <v/>
      </c>
      <c r="G2397" s="69" t="str">
        <f>IF($B2397="","",PMT(Rate,Nper,-PV,,Type))</f>
        <v/>
      </c>
      <c r="H2397" s="69" t="str">
        <f>IF($B2397="","",PPMT(Rate,ROWS($1:2385),Nper,-PV,,Type))</f>
        <v/>
      </c>
      <c r="I2397" s="69" t="str">
        <f>IF($B2397="","",IPMT(Rate,ROWS($1:2385),Nper,-PV,,Type))</f>
        <v/>
      </c>
      <c r="J2397" s="73" t="str">
        <f t="shared" ref="J2397:K2397" si="2387">IF($B2397="","",N(J2396)+N(H2397))</f>
        <v/>
      </c>
      <c r="K2397" s="74" t="str">
        <f t="shared" si="2387"/>
        <v/>
      </c>
      <c r="L2397" s="69" t="str">
        <f>IF($B2397="","",PV-J2397)</f>
        <v/>
      </c>
      <c r="M2397" s="71" t="str">
        <f>IF($B2397="","",J2397/PV)</f>
        <v/>
      </c>
      <c r="N2397" s="72" t="str">
        <f t="shared" si="4"/>
        <v/>
      </c>
    </row>
    <row r="2398" ht="14.25" customHeight="1">
      <c r="B2398" s="66" t="str">
        <f>IF(ROWS($1:2386)&lt;=Nper,ROWS($1:2386),"")</f>
        <v/>
      </c>
      <c r="C2398" s="67" t="str">
        <f>IF($B2398="","",IF($E$7="Weekly",Start_Date+7*(ROWS($1:2386)-1),EDATE(Start_Date,VLOOKUP(IF(ASTemp!$E$7="","Monthly",ASTemp!$E$7),Parameters!$B$3:$D$6,3,0)*(ROWS($1:2386)-1))))</f>
        <v/>
      </c>
      <c r="D2398" s="68" t="str">
        <f t="shared" si="2"/>
        <v/>
      </c>
      <c r="E2398" s="65" t="str">
        <f>IF($B2398="","",VLOOKUP(MONTH(C2398),Parameters!$F$2:$G$13,2,0))</f>
        <v/>
      </c>
      <c r="F2398" s="69" t="str">
        <f>IF($B2398="","",PV-N(J2397))</f>
        <v/>
      </c>
      <c r="G2398" s="69" t="str">
        <f>IF($B2398="","",PMT(Rate,Nper,-PV,,Type))</f>
        <v/>
      </c>
      <c r="H2398" s="69" t="str">
        <f>IF($B2398="","",PPMT(Rate,ROWS($1:2386),Nper,-PV,,Type))</f>
        <v/>
      </c>
      <c r="I2398" s="69" t="str">
        <f>IF($B2398="","",IPMT(Rate,ROWS($1:2386),Nper,-PV,,Type))</f>
        <v/>
      </c>
      <c r="J2398" s="73" t="str">
        <f t="shared" ref="J2398:K2398" si="2388">IF($B2398="","",N(J2397)+N(H2398))</f>
        <v/>
      </c>
      <c r="K2398" s="74" t="str">
        <f t="shared" si="2388"/>
        <v/>
      </c>
      <c r="L2398" s="69" t="str">
        <f>IF($B2398="","",PV-J2398)</f>
        <v/>
      </c>
      <c r="M2398" s="71" t="str">
        <f>IF($B2398="","",J2398/PV)</f>
        <v/>
      </c>
      <c r="N2398" s="72" t="str">
        <f t="shared" si="4"/>
        <v/>
      </c>
    </row>
    <row r="2399" ht="14.25" customHeight="1">
      <c r="B2399" s="66" t="str">
        <f>IF(ROWS($1:2387)&lt;=Nper,ROWS($1:2387),"")</f>
        <v/>
      </c>
      <c r="C2399" s="67" t="str">
        <f>IF($B2399="","",IF($E$7="Weekly",Start_Date+7*(ROWS($1:2387)-1),EDATE(Start_Date,VLOOKUP(IF(ASTemp!$E$7="","Monthly",ASTemp!$E$7),Parameters!$B$3:$D$6,3,0)*(ROWS($1:2387)-1))))</f>
        <v/>
      </c>
      <c r="D2399" s="68" t="str">
        <f t="shared" si="2"/>
        <v/>
      </c>
      <c r="E2399" s="65" t="str">
        <f>IF($B2399="","",VLOOKUP(MONTH(C2399),Parameters!$F$2:$G$13,2,0))</f>
        <v/>
      </c>
      <c r="F2399" s="69" t="str">
        <f>IF($B2399="","",PV-N(J2398))</f>
        <v/>
      </c>
      <c r="G2399" s="69" t="str">
        <f>IF($B2399="","",PMT(Rate,Nper,-PV,,Type))</f>
        <v/>
      </c>
      <c r="H2399" s="69" t="str">
        <f>IF($B2399="","",PPMT(Rate,ROWS($1:2387),Nper,-PV,,Type))</f>
        <v/>
      </c>
      <c r="I2399" s="69" t="str">
        <f>IF($B2399="","",IPMT(Rate,ROWS($1:2387),Nper,-PV,,Type))</f>
        <v/>
      </c>
      <c r="J2399" s="73" t="str">
        <f t="shared" ref="J2399:K2399" si="2389">IF($B2399="","",N(J2398)+N(H2399))</f>
        <v/>
      </c>
      <c r="K2399" s="74" t="str">
        <f t="shared" si="2389"/>
        <v/>
      </c>
      <c r="L2399" s="69" t="str">
        <f>IF($B2399="","",PV-J2399)</f>
        <v/>
      </c>
      <c r="M2399" s="71" t="str">
        <f>IF($B2399="","",J2399/PV)</f>
        <v/>
      </c>
      <c r="N2399" s="72" t="str">
        <f t="shared" si="4"/>
        <v/>
      </c>
    </row>
    <row r="2400" ht="14.25" customHeight="1">
      <c r="B2400" s="66" t="str">
        <f>IF(ROWS($1:2388)&lt;=Nper,ROWS($1:2388),"")</f>
        <v/>
      </c>
      <c r="C2400" s="67" t="str">
        <f>IF($B2400="","",IF($E$7="Weekly",Start_Date+7*(ROWS($1:2388)-1),EDATE(Start_Date,VLOOKUP(IF(ASTemp!$E$7="","Monthly",ASTemp!$E$7),Parameters!$B$3:$D$6,3,0)*(ROWS($1:2388)-1))))</f>
        <v/>
      </c>
      <c r="D2400" s="68" t="str">
        <f t="shared" si="2"/>
        <v/>
      </c>
      <c r="E2400" s="65" t="str">
        <f>IF($B2400="","",VLOOKUP(MONTH(C2400),Parameters!$F$2:$G$13,2,0))</f>
        <v/>
      </c>
      <c r="F2400" s="69" t="str">
        <f>IF($B2400="","",PV-N(J2399))</f>
        <v/>
      </c>
      <c r="G2400" s="69" t="str">
        <f>IF($B2400="","",PMT(Rate,Nper,-PV,,Type))</f>
        <v/>
      </c>
      <c r="H2400" s="69" t="str">
        <f>IF($B2400="","",PPMT(Rate,ROWS($1:2388),Nper,-PV,,Type))</f>
        <v/>
      </c>
      <c r="I2400" s="69" t="str">
        <f>IF($B2400="","",IPMT(Rate,ROWS($1:2388),Nper,-PV,,Type))</f>
        <v/>
      </c>
      <c r="J2400" s="73" t="str">
        <f t="shared" ref="J2400:K2400" si="2390">IF($B2400="","",N(J2399)+N(H2400))</f>
        <v/>
      </c>
      <c r="K2400" s="74" t="str">
        <f t="shared" si="2390"/>
        <v/>
      </c>
      <c r="L2400" s="69" t="str">
        <f>IF($B2400="","",PV-J2400)</f>
        <v/>
      </c>
      <c r="M2400" s="71" t="str">
        <f>IF($B2400="","",J2400/PV)</f>
        <v/>
      </c>
      <c r="N2400" s="72" t="str">
        <f t="shared" si="4"/>
        <v/>
      </c>
    </row>
    <row r="2401" ht="14.25" customHeight="1">
      <c r="B2401" s="66" t="str">
        <f>IF(ROWS($1:2389)&lt;=Nper,ROWS($1:2389),"")</f>
        <v/>
      </c>
      <c r="C2401" s="67" t="str">
        <f>IF($B2401="","",IF($E$7="Weekly",Start_Date+7*(ROWS($1:2389)-1),EDATE(Start_Date,VLOOKUP(IF(ASTemp!$E$7="","Monthly",ASTemp!$E$7),Parameters!$B$3:$D$6,3,0)*(ROWS($1:2389)-1))))</f>
        <v/>
      </c>
      <c r="D2401" s="68" t="str">
        <f t="shared" si="2"/>
        <v/>
      </c>
      <c r="E2401" s="65" t="str">
        <f>IF($B2401="","",VLOOKUP(MONTH(C2401),Parameters!$F$2:$G$13,2,0))</f>
        <v/>
      </c>
      <c r="F2401" s="69" t="str">
        <f>IF($B2401="","",PV-N(J2400))</f>
        <v/>
      </c>
      <c r="G2401" s="69" t="str">
        <f>IF($B2401="","",PMT(Rate,Nper,-PV,,Type))</f>
        <v/>
      </c>
      <c r="H2401" s="69" t="str">
        <f>IF($B2401="","",PPMT(Rate,ROWS($1:2389),Nper,-PV,,Type))</f>
        <v/>
      </c>
      <c r="I2401" s="69" t="str">
        <f>IF($B2401="","",IPMT(Rate,ROWS($1:2389),Nper,-PV,,Type))</f>
        <v/>
      </c>
      <c r="J2401" s="73" t="str">
        <f t="shared" ref="J2401:K2401" si="2391">IF($B2401="","",N(J2400)+N(H2401))</f>
        <v/>
      </c>
      <c r="K2401" s="74" t="str">
        <f t="shared" si="2391"/>
        <v/>
      </c>
      <c r="L2401" s="69" t="str">
        <f>IF($B2401="","",PV-J2401)</f>
        <v/>
      </c>
      <c r="M2401" s="71" t="str">
        <f>IF($B2401="","",J2401/PV)</f>
        <v/>
      </c>
      <c r="N2401" s="72" t="str">
        <f t="shared" si="4"/>
        <v/>
      </c>
    </row>
    <row r="2402" ht="14.25" customHeight="1">
      <c r="B2402" s="66" t="str">
        <f>IF(ROWS($1:2390)&lt;=Nper,ROWS($1:2390),"")</f>
        <v/>
      </c>
      <c r="C2402" s="67" t="str">
        <f>IF($B2402="","",IF($E$7="Weekly",Start_Date+7*(ROWS($1:2390)-1),EDATE(Start_Date,VLOOKUP(IF(ASTemp!$E$7="","Monthly",ASTemp!$E$7),Parameters!$B$3:$D$6,3,0)*(ROWS($1:2390)-1))))</f>
        <v/>
      </c>
      <c r="D2402" s="68" t="str">
        <f t="shared" si="2"/>
        <v/>
      </c>
      <c r="E2402" s="65" t="str">
        <f>IF($B2402="","",VLOOKUP(MONTH(C2402),Parameters!$F$2:$G$13,2,0))</f>
        <v/>
      </c>
      <c r="F2402" s="69" t="str">
        <f>IF($B2402="","",PV-N(J2401))</f>
        <v/>
      </c>
      <c r="G2402" s="69" t="str">
        <f>IF($B2402="","",PMT(Rate,Nper,-PV,,Type))</f>
        <v/>
      </c>
      <c r="H2402" s="69" t="str">
        <f>IF($B2402="","",PPMT(Rate,ROWS($1:2390),Nper,-PV,,Type))</f>
        <v/>
      </c>
      <c r="I2402" s="69" t="str">
        <f>IF($B2402="","",IPMT(Rate,ROWS($1:2390),Nper,-PV,,Type))</f>
        <v/>
      </c>
      <c r="J2402" s="73" t="str">
        <f t="shared" ref="J2402:K2402" si="2392">IF($B2402="","",N(J2401)+N(H2402))</f>
        <v/>
      </c>
      <c r="K2402" s="74" t="str">
        <f t="shared" si="2392"/>
        <v/>
      </c>
      <c r="L2402" s="69" t="str">
        <f>IF($B2402="","",PV-J2402)</f>
        <v/>
      </c>
      <c r="M2402" s="71" t="str">
        <f>IF($B2402="","",J2402/PV)</f>
        <v/>
      </c>
      <c r="N2402" s="72" t="str">
        <f t="shared" si="4"/>
        <v/>
      </c>
    </row>
    <row r="2403" ht="14.25" customHeight="1">
      <c r="B2403" s="66" t="str">
        <f>IF(ROWS($1:2391)&lt;=Nper,ROWS($1:2391),"")</f>
        <v/>
      </c>
      <c r="C2403" s="67" t="str">
        <f>IF($B2403="","",IF($E$7="Weekly",Start_Date+7*(ROWS($1:2391)-1),EDATE(Start_Date,VLOOKUP(IF(ASTemp!$E$7="","Monthly",ASTemp!$E$7),Parameters!$B$3:$D$6,3,0)*(ROWS($1:2391)-1))))</f>
        <v/>
      </c>
      <c r="D2403" s="68" t="str">
        <f t="shared" si="2"/>
        <v/>
      </c>
      <c r="E2403" s="65" t="str">
        <f>IF($B2403="","",VLOOKUP(MONTH(C2403),Parameters!$F$2:$G$13,2,0))</f>
        <v/>
      </c>
      <c r="F2403" s="69" t="str">
        <f>IF($B2403="","",PV-N(J2402))</f>
        <v/>
      </c>
      <c r="G2403" s="69" t="str">
        <f>IF($B2403="","",PMT(Rate,Nper,-PV,,Type))</f>
        <v/>
      </c>
      <c r="H2403" s="69" t="str">
        <f>IF($B2403="","",PPMT(Rate,ROWS($1:2391),Nper,-PV,,Type))</f>
        <v/>
      </c>
      <c r="I2403" s="69" t="str">
        <f>IF($B2403="","",IPMT(Rate,ROWS($1:2391),Nper,-PV,,Type))</f>
        <v/>
      </c>
      <c r="J2403" s="73" t="str">
        <f t="shared" ref="J2403:K2403" si="2393">IF($B2403="","",N(J2402)+N(H2403))</f>
        <v/>
      </c>
      <c r="K2403" s="74" t="str">
        <f t="shared" si="2393"/>
        <v/>
      </c>
      <c r="L2403" s="69" t="str">
        <f>IF($B2403="","",PV-J2403)</f>
        <v/>
      </c>
      <c r="M2403" s="71" t="str">
        <f>IF($B2403="","",J2403/PV)</f>
        <v/>
      </c>
      <c r="N2403" s="72" t="str">
        <f t="shared" si="4"/>
        <v/>
      </c>
    </row>
    <row r="2404" ht="14.25" customHeight="1">
      <c r="B2404" s="66" t="str">
        <f>IF(ROWS($1:2392)&lt;=Nper,ROWS($1:2392),"")</f>
        <v/>
      </c>
      <c r="C2404" s="67" t="str">
        <f>IF($B2404="","",IF($E$7="Weekly",Start_Date+7*(ROWS($1:2392)-1),EDATE(Start_Date,VLOOKUP(IF(ASTemp!$E$7="","Monthly",ASTemp!$E$7),Parameters!$B$3:$D$6,3,0)*(ROWS($1:2392)-1))))</f>
        <v/>
      </c>
      <c r="D2404" s="68" t="str">
        <f t="shared" si="2"/>
        <v/>
      </c>
      <c r="E2404" s="65" t="str">
        <f>IF($B2404="","",VLOOKUP(MONTH(C2404),Parameters!$F$2:$G$13,2,0))</f>
        <v/>
      </c>
      <c r="F2404" s="69" t="str">
        <f>IF($B2404="","",PV-N(J2403))</f>
        <v/>
      </c>
      <c r="G2404" s="69" t="str">
        <f>IF($B2404="","",PMT(Rate,Nper,-PV,,Type))</f>
        <v/>
      </c>
      <c r="H2404" s="69" t="str">
        <f>IF($B2404="","",PPMT(Rate,ROWS($1:2392),Nper,-PV,,Type))</f>
        <v/>
      </c>
      <c r="I2404" s="69" t="str">
        <f>IF($B2404="","",IPMT(Rate,ROWS($1:2392),Nper,-PV,,Type))</f>
        <v/>
      </c>
      <c r="J2404" s="73" t="str">
        <f t="shared" ref="J2404:K2404" si="2394">IF($B2404="","",N(J2403)+N(H2404))</f>
        <v/>
      </c>
      <c r="K2404" s="74" t="str">
        <f t="shared" si="2394"/>
        <v/>
      </c>
      <c r="L2404" s="69" t="str">
        <f>IF($B2404="","",PV-J2404)</f>
        <v/>
      </c>
      <c r="M2404" s="71" t="str">
        <f>IF($B2404="","",J2404/PV)</f>
        <v/>
      </c>
      <c r="N2404" s="72" t="str">
        <f t="shared" si="4"/>
        <v/>
      </c>
    </row>
    <row r="2405" ht="14.25" customHeight="1">
      <c r="B2405" s="66" t="str">
        <f>IF(ROWS($1:2393)&lt;=Nper,ROWS($1:2393),"")</f>
        <v/>
      </c>
      <c r="C2405" s="67" t="str">
        <f>IF($B2405="","",IF($E$7="Weekly",Start_Date+7*(ROWS($1:2393)-1),EDATE(Start_Date,VLOOKUP(IF(ASTemp!$E$7="","Monthly",ASTemp!$E$7),Parameters!$B$3:$D$6,3,0)*(ROWS($1:2393)-1))))</f>
        <v/>
      </c>
      <c r="D2405" s="68" t="str">
        <f t="shared" si="2"/>
        <v/>
      </c>
      <c r="E2405" s="65" t="str">
        <f>IF($B2405="","",VLOOKUP(MONTH(C2405),Parameters!$F$2:$G$13,2,0))</f>
        <v/>
      </c>
      <c r="F2405" s="69" t="str">
        <f>IF($B2405="","",PV-N(J2404))</f>
        <v/>
      </c>
      <c r="G2405" s="69" t="str">
        <f>IF($B2405="","",PMT(Rate,Nper,-PV,,Type))</f>
        <v/>
      </c>
      <c r="H2405" s="69" t="str">
        <f>IF($B2405="","",PPMT(Rate,ROWS($1:2393),Nper,-PV,,Type))</f>
        <v/>
      </c>
      <c r="I2405" s="69" t="str">
        <f>IF($B2405="","",IPMT(Rate,ROWS($1:2393),Nper,-PV,,Type))</f>
        <v/>
      </c>
      <c r="J2405" s="73" t="str">
        <f t="shared" ref="J2405:K2405" si="2395">IF($B2405="","",N(J2404)+N(H2405))</f>
        <v/>
      </c>
      <c r="K2405" s="74" t="str">
        <f t="shared" si="2395"/>
        <v/>
      </c>
      <c r="L2405" s="69" t="str">
        <f>IF($B2405="","",PV-J2405)</f>
        <v/>
      </c>
      <c r="M2405" s="71" t="str">
        <f>IF($B2405="","",J2405/PV)</f>
        <v/>
      </c>
      <c r="N2405" s="72" t="str">
        <f t="shared" si="4"/>
        <v/>
      </c>
    </row>
    <row r="2406" ht="14.25" customHeight="1">
      <c r="B2406" s="66" t="str">
        <f>IF(ROWS($1:2394)&lt;=Nper,ROWS($1:2394),"")</f>
        <v/>
      </c>
      <c r="C2406" s="67" t="str">
        <f>IF($B2406="","",IF($E$7="Weekly",Start_Date+7*(ROWS($1:2394)-1),EDATE(Start_Date,VLOOKUP(IF(ASTemp!$E$7="","Monthly",ASTemp!$E$7),Parameters!$B$3:$D$6,3,0)*(ROWS($1:2394)-1))))</f>
        <v/>
      </c>
      <c r="D2406" s="68" t="str">
        <f t="shared" si="2"/>
        <v/>
      </c>
      <c r="E2406" s="65" t="str">
        <f>IF($B2406="","",VLOOKUP(MONTH(C2406),Parameters!$F$2:$G$13,2,0))</f>
        <v/>
      </c>
      <c r="F2406" s="69" t="str">
        <f>IF($B2406="","",PV-N(J2405))</f>
        <v/>
      </c>
      <c r="G2406" s="69" t="str">
        <f>IF($B2406="","",PMT(Rate,Nper,-PV,,Type))</f>
        <v/>
      </c>
      <c r="H2406" s="69" t="str">
        <f>IF($B2406="","",PPMT(Rate,ROWS($1:2394),Nper,-PV,,Type))</f>
        <v/>
      </c>
      <c r="I2406" s="69" t="str">
        <f>IF($B2406="","",IPMT(Rate,ROWS($1:2394),Nper,-PV,,Type))</f>
        <v/>
      </c>
      <c r="J2406" s="73" t="str">
        <f t="shared" ref="J2406:K2406" si="2396">IF($B2406="","",N(J2405)+N(H2406))</f>
        <v/>
      </c>
      <c r="K2406" s="74" t="str">
        <f t="shared" si="2396"/>
        <v/>
      </c>
      <c r="L2406" s="69" t="str">
        <f>IF($B2406="","",PV-J2406)</f>
        <v/>
      </c>
      <c r="M2406" s="71" t="str">
        <f>IF($B2406="","",J2406/PV)</f>
        <v/>
      </c>
      <c r="N2406" s="72" t="str">
        <f t="shared" si="4"/>
        <v/>
      </c>
    </row>
    <row r="2407" ht="14.25" customHeight="1">
      <c r="B2407" s="66" t="str">
        <f>IF(ROWS($1:2395)&lt;=Nper,ROWS($1:2395),"")</f>
        <v/>
      </c>
      <c r="C2407" s="67" t="str">
        <f>IF($B2407="","",IF($E$7="Weekly",Start_Date+7*(ROWS($1:2395)-1),EDATE(Start_Date,VLOOKUP(IF(ASTemp!$E$7="","Monthly",ASTemp!$E$7),Parameters!$B$3:$D$6,3,0)*(ROWS($1:2395)-1))))</f>
        <v/>
      </c>
      <c r="D2407" s="68" t="str">
        <f t="shared" si="2"/>
        <v/>
      </c>
      <c r="E2407" s="65" t="str">
        <f>IF($B2407="","",VLOOKUP(MONTH(C2407),Parameters!$F$2:$G$13,2,0))</f>
        <v/>
      </c>
      <c r="F2407" s="69" t="str">
        <f>IF($B2407="","",PV-N(J2406))</f>
        <v/>
      </c>
      <c r="G2407" s="69" t="str">
        <f>IF($B2407="","",PMT(Rate,Nper,-PV,,Type))</f>
        <v/>
      </c>
      <c r="H2407" s="69" t="str">
        <f>IF($B2407="","",PPMT(Rate,ROWS($1:2395),Nper,-PV,,Type))</f>
        <v/>
      </c>
      <c r="I2407" s="69" t="str">
        <f>IF($B2407="","",IPMT(Rate,ROWS($1:2395),Nper,-PV,,Type))</f>
        <v/>
      </c>
      <c r="J2407" s="73" t="str">
        <f t="shared" ref="J2407:K2407" si="2397">IF($B2407="","",N(J2406)+N(H2407))</f>
        <v/>
      </c>
      <c r="K2407" s="74" t="str">
        <f t="shared" si="2397"/>
        <v/>
      </c>
      <c r="L2407" s="69" t="str">
        <f>IF($B2407="","",PV-J2407)</f>
        <v/>
      </c>
      <c r="M2407" s="71" t="str">
        <f>IF($B2407="","",J2407/PV)</f>
        <v/>
      </c>
      <c r="N2407" s="72" t="str">
        <f t="shared" si="4"/>
        <v/>
      </c>
    </row>
    <row r="2408" ht="14.25" customHeight="1">
      <c r="B2408" s="66" t="str">
        <f>IF(ROWS($1:2396)&lt;=Nper,ROWS($1:2396),"")</f>
        <v/>
      </c>
      <c r="C2408" s="67" t="str">
        <f>IF($B2408="","",IF($E$7="Weekly",Start_Date+7*(ROWS($1:2396)-1),EDATE(Start_Date,VLOOKUP(IF(ASTemp!$E$7="","Monthly",ASTemp!$E$7),Parameters!$B$3:$D$6,3,0)*(ROWS($1:2396)-1))))</f>
        <v/>
      </c>
      <c r="D2408" s="68" t="str">
        <f t="shared" si="2"/>
        <v/>
      </c>
      <c r="E2408" s="65" t="str">
        <f>IF($B2408="","",VLOOKUP(MONTH(C2408),Parameters!$F$2:$G$13,2,0))</f>
        <v/>
      </c>
      <c r="F2408" s="69" t="str">
        <f>IF($B2408="","",PV-N(J2407))</f>
        <v/>
      </c>
      <c r="G2408" s="69" t="str">
        <f>IF($B2408="","",PMT(Rate,Nper,-PV,,Type))</f>
        <v/>
      </c>
      <c r="H2408" s="69" t="str">
        <f>IF($B2408="","",PPMT(Rate,ROWS($1:2396),Nper,-PV,,Type))</f>
        <v/>
      </c>
      <c r="I2408" s="69" t="str">
        <f>IF($B2408="","",IPMT(Rate,ROWS($1:2396),Nper,-PV,,Type))</f>
        <v/>
      </c>
      <c r="J2408" s="73" t="str">
        <f t="shared" ref="J2408:K2408" si="2398">IF($B2408="","",N(J2407)+N(H2408))</f>
        <v/>
      </c>
      <c r="K2408" s="74" t="str">
        <f t="shared" si="2398"/>
        <v/>
      </c>
      <c r="L2408" s="69" t="str">
        <f>IF($B2408="","",PV-J2408)</f>
        <v/>
      </c>
      <c r="M2408" s="71" t="str">
        <f>IF($B2408="","",J2408/PV)</f>
        <v/>
      </c>
      <c r="N2408" s="72" t="str">
        <f t="shared" si="4"/>
        <v/>
      </c>
    </row>
    <row r="2409" ht="14.25" customHeight="1">
      <c r="B2409" s="66" t="str">
        <f>IF(ROWS($1:2397)&lt;=Nper,ROWS($1:2397),"")</f>
        <v/>
      </c>
      <c r="C2409" s="67" t="str">
        <f>IF($B2409="","",IF($E$7="Weekly",Start_Date+7*(ROWS($1:2397)-1),EDATE(Start_Date,VLOOKUP(IF(ASTemp!$E$7="","Monthly",ASTemp!$E$7),Parameters!$B$3:$D$6,3,0)*(ROWS($1:2397)-1))))</f>
        <v/>
      </c>
      <c r="D2409" s="68" t="str">
        <f t="shared" si="2"/>
        <v/>
      </c>
      <c r="E2409" s="65" t="str">
        <f>IF($B2409="","",VLOOKUP(MONTH(C2409),Parameters!$F$2:$G$13,2,0))</f>
        <v/>
      </c>
      <c r="F2409" s="69" t="str">
        <f>IF($B2409="","",PV-N(J2408))</f>
        <v/>
      </c>
      <c r="G2409" s="69" t="str">
        <f>IF($B2409="","",PMT(Rate,Nper,-PV,,Type))</f>
        <v/>
      </c>
      <c r="H2409" s="69" t="str">
        <f>IF($B2409="","",PPMT(Rate,ROWS($1:2397),Nper,-PV,,Type))</f>
        <v/>
      </c>
      <c r="I2409" s="69" t="str">
        <f>IF($B2409="","",IPMT(Rate,ROWS($1:2397),Nper,-PV,,Type))</f>
        <v/>
      </c>
      <c r="J2409" s="73" t="str">
        <f t="shared" ref="J2409:K2409" si="2399">IF($B2409="","",N(J2408)+N(H2409))</f>
        <v/>
      </c>
      <c r="K2409" s="74" t="str">
        <f t="shared" si="2399"/>
        <v/>
      </c>
      <c r="L2409" s="69" t="str">
        <f>IF($B2409="","",PV-J2409)</f>
        <v/>
      </c>
      <c r="M2409" s="71" t="str">
        <f>IF($B2409="","",J2409/PV)</f>
        <v/>
      </c>
      <c r="N2409" s="72" t="str">
        <f t="shared" si="4"/>
        <v/>
      </c>
    </row>
    <row r="2410" ht="14.25" customHeight="1">
      <c r="B2410" s="66" t="str">
        <f>IF(ROWS($1:2398)&lt;=Nper,ROWS($1:2398),"")</f>
        <v/>
      </c>
      <c r="C2410" s="67" t="str">
        <f>IF($B2410="","",IF($E$7="Weekly",Start_Date+7*(ROWS($1:2398)-1),EDATE(Start_Date,VLOOKUP(IF(ASTemp!$E$7="","Monthly",ASTemp!$E$7),Parameters!$B$3:$D$6,3,0)*(ROWS($1:2398)-1))))</f>
        <v/>
      </c>
      <c r="D2410" s="68" t="str">
        <f t="shared" si="2"/>
        <v/>
      </c>
      <c r="E2410" s="65" t="str">
        <f>IF($B2410="","",VLOOKUP(MONTH(C2410),Parameters!$F$2:$G$13,2,0))</f>
        <v/>
      </c>
      <c r="F2410" s="69" t="str">
        <f>IF($B2410="","",PV-N(J2409))</f>
        <v/>
      </c>
      <c r="G2410" s="69" t="str">
        <f>IF($B2410="","",PMT(Rate,Nper,-PV,,Type))</f>
        <v/>
      </c>
      <c r="H2410" s="69" t="str">
        <f>IF($B2410="","",PPMT(Rate,ROWS($1:2398),Nper,-PV,,Type))</f>
        <v/>
      </c>
      <c r="I2410" s="69" t="str">
        <f>IF($B2410="","",IPMT(Rate,ROWS($1:2398),Nper,-PV,,Type))</f>
        <v/>
      </c>
      <c r="J2410" s="73" t="str">
        <f t="shared" ref="J2410:K2410" si="2400">IF($B2410="","",N(J2409)+N(H2410))</f>
        <v/>
      </c>
      <c r="K2410" s="74" t="str">
        <f t="shared" si="2400"/>
        <v/>
      </c>
      <c r="L2410" s="69" t="str">
        <f>IF($B2410="","",PV-J2410)</f>
        <v/>
      </c>
      <c r="M2410" s="71" t="str">
        <f>IF($B2410="","",J2410/PV)</f>
        <v/>
      </c>
      <c r="N2410" s="72" t="str">
        <f t="shared" si="4"/>
        <v/>
      </c>
    </row>
    <row r="2411" ht="14.25" customHeight="1">
      <c r="B2411" s="66" t="str">
        <f>IF(ROWS($1:2399)&lt;=Nper,ROWS($1:2399),"")</f>
        <v/>
      </c>
      <c r="C2411" s="67" t="str">
        <f>IF($B2411="","",IF($E$7="Weekly",Start_Date+7*(ROWS($1:2399)-1),EDATE(Start_Date,VLOOKUP(IF(ASTemp!$E$7="","Monthly",ASTemp!$E$7),Parameters!$B$3:$D$6,3,0)*(ROWS($1:2399)-1))))</f>
        <v/>
      </c>
      <c r="D2411" s="68" t="str">
        <f t="shared" si="2"/>
        <v/>
      </c>
      <c r="E2411" s="65" t="str">
        <f>IF($B2411="","",VLOOKUP(MONTH(C2411),Parameters!$F$2:$G$13,2,0))</f>
        <v/>
      </c>
      <c r="F2411" s="69" t="str">
        <f>IF($B2411="","",PV-N(J2410))</f>
        <v/>
      </c>
      <c r="G2411" s="69" t="str">
        <f>IF($B2411="","",PMT(Rate,Nper,-PV,,Type))</f>
        <v/>
      </c>
      <c r="H2411" s="69" t="str">
        <f>IF($B2411="","",PPMT(Rate,ROWS($1:2399),Nper,-PV,,Type))</f>
        <v/>
      </c>
      <c r="I2411" s="69" t="str">
        <f>IF($B2411="","",IPMT(Rate,ROWS($1:2399),Nper,-PV,,Type))</f>
        <v/>
      </c>
      <c r="J2411" s="73" t="str">
        <f t="shared" ref="J2411:K2411" si="2401">IF($B2411="","",N(J2410)+N(H2411))</f>
        <v/>
      </c>
      <c r="K2411" s="74" t="str">
        <f t="shared" si="2401"/>
        <v/>
      </c>
      <c r="L2411" s="69" t="str">
        <f>IF($B2411="","",PV-J2411)</f>
        <v/>
      </c>
      <c r="M2411" s="71" t="str">
        <f>IF($B2411="","",J2411/PV)</f>
        <v/>
      </c>
      <c r="N2411" s="72" t="str">
        <f t="shared" si="4"/>
        <v/>
      </c>
    </row>
    <row r="2412" ht="14.25" customHeight="1">
      <c r="B2412" s="66" t="str">
        <f>IF(ROWS($1:2400)&lt;=Nper,ROWS($1:2400),"")</f>
        <v/>
      </c>
      <c r="C2412" s="67" t="str">
        <f>IF($B2412="","",IF($E$7="Weekly",Start_Date+7*(ROWS($1:2400)-1),EDATE(Start_Date,VLOOKUP(IF(ASTemp!$E$7="","Monthly",ASTemp!$E$7),Parameters!$B$3:$D$6,3,0)*(ROWS($1:2400)-1))))</f>
        <v/>
      </c>
      <c r="D2412" s="68" t="str">
        <f t="shared" si="2"/>
        <v/>
      </c>
      <c r="E2412" s="65" t="str">
        <f>IF($B2412="","",VLOOKUP(MONTH(C2412),Parameters!$F$2:$G$13,2,0))</f>
        <v/>
      </c>
      <c r="F2412" s="69" t="str">
        <f>IF($B2412="","",PV-N(J2411))</f>
        <v/>
      </c>
      <c r="G2412" s="69" t="str">
        <f>IF($B2412="","",PMT(Rate,Nper,-PV,,Type))</f>
        <v/>
      </c>
      <c r="H2412" s="69" t="str">
        <f>IF($B2412="","",PPMT(Rate,ROWS($1:2400),Nper,-PV,,Type))</f>
        <v/>
      </c>
      <c r="I2412" s="69" t="str">
        <f>IF($B2412="","",IPMT(Rate,ROWS($1:2400),Nper,-PV,,Type))</f>
        <v/>
      </c>
      <c r="J2412" s="73" t="str">
        <f t="shared" ref="J2412:K2412" si="2402">IF($B2412="","",N(J2411)+N(H2412))</f>
        <v/>
      </c>
      <c r="K2412" s="74" t="str">
        <f t="shared" si="2402"/>
        <v/>
      </c>
      <c r="L2412" s="69" t="str">
        <f>IF($B2412="","",PV-J2412)</f>
        <v/>
      </c>
      <c r="M2412" s="71" t="str">
        <f>IF($B2412="","",J2412/PV)</f>
        <v/>
      </c>
      <c r="N2412" s="72" t="str">
        <f t="shared" si="4"/>
        <v/>
      </c>
    </row>
    <row r="2413" ht="14.25" customHeight="1">
      <c r="B2413" s="66" t="str">
        <f>IF(ROWS($1:2401)&lt;=Nper,ROWS($1:2401),"")</f>
        <v/>
      </c>
      <c r="C2413" s="67" t="str">
        <f>IF($B2413="","",IF($E$7="Weekly",Start_Date+7*(ROWS($1:2401)-1),EDATE(Start_Date,VLOOKUP(IF(ASTemp!$E$7="","Monthly",ASTemp!$E$7),Parameters!$B$3:$D$6,3,0)*(ROWS($1:2401)-1))))</f>
        <v/>
      </c>
      <c r="D2413" s="68" t="str">
        <f t="shared" si="2"/>
        <v/>
      </c>
      <c r="E2413" s="65" t="str">
        <f>IF($B2413="","",VLOOKUP(MONTH(C2413),Parameters!$F$2:$G$13,2,0))</f>
        <v/>
      </c>
      <c r="F2413" s="69" t="str">
        <f>IF($B2413="","",PV-N(J2412))</f>
        <v/>
      </c>
      <c r="G2413" s="69" t="str">
        <f>IF($B2413="","",PMT(Rate,Nper,-PV,,Type))</f>
        <v/>
      </c>
      <c r="H2413" s="69" t="str">
        <f>IF($B2413="","",PPMT(Rate,ROWS($1:2401),Nper,-PV,,Type))</f>
        <v/>
      </c>
      <c r="I2413" s="69" t="str">
        <f>IF($B2413="","",IPMT(Rate,ROWS($1:2401),Nper,-PV,,Type))</f>
        <v/>
      </c>
      <c r="J2413" s="73" t="str">
        <f t="shared" ref="J2413:K2413" si="2403">IF($B2413="","",N(J2412)+N(H2413))</f>
        <v/>
      </c>
      <c r="K2413" s="74" t="str">
        <f t="shared" si="2403"/>
        <v/>
      </c>
      <c r="L2413" s="69" t="str">
        <f>IF($B2413="","",PV-J2413)</f>
        <v/>
      </c>
      <c r="M2413" s="71" t="str">
        <f>IF($B2413="","",J2413/PV)</f>
        <v/>
      </c>
      <c r="N2413" s="72" t="str">
        <f t="shared" si="4"/>
        <v/>
      </c>
    </row>
    <row r="2414" ht="14.25" customHeight="1">
      <c r="B2414" s="66" t="str">
        <f>IF(ROWS($1:2402)&lt;=Nper,ROWS($1:2402),"")</f>
        <v/>
      </c>
      <c r="C2414" s="67" t="str">
        <f>IF($B2414="","",IF($E$7="Weekly",Start_Date+7*(ROWS($1:2402)-1),EDATE(Start_Date,VLOOKUP(IF(ASTemp!$E$7="","Monthly",ASTemp!$E$7),Parameters!$B$3:$D$6,3,0)*(ROWS($1:2402)-1))))</f>
        <v/>
      </c>
      <c r="D2414" s="68" t="str">
        <f t="shared" si="2"/>
        <v/>
      </c>
      <c r="E2414" s="65" t="str">
        <f>IF($B2414="","",VLOOKUP(MONTH(C2414),Parameters!$F$2:$G$13,2,0))</f>
        <v/>
      </c>
      <c r="F2414" s="69" t="str">
        <f>IF($B2414="","",PV-N(J2413))</f>
        <v/>
      </c>
      <c r="G2414" s="69" t="str">
        <f>IF($B2414="","",PMT(Rate,Nper,-PV,,Type))</f>
        <v/>
      </c>
      <c r="H2414" s="69" t="str">
        <f>IF($B2414="","",PPMT(Rate,ROWS($1:2402),Nper,-PV,,Type))</f>
        <v/>
      </c>
      <c r="I2414" s="69" t="str">
        <f>IF($B2414="","",IPMT(Rate,ROWS($1:2402),Nper,-PV,,Type))</f>
        <v/>
      </c>
      <c r="J2414" s="73" t="str">
        <f t="shared" ref="J2414:K2414" si="2404">IF($B2414="","",N(J2413)+N(H2414))</f>
        <v/>
      </c>
      <c r="K2414" s="74" t="str">
        <f t="shared" si="2404"/>
        <v/>
      </c>
      <c r="L2414" s="69" t="str">
        <f>IF($B2414="","",PV-J2414)</f>
        <v/>
      </c>
      <c r="M2414" s="71" t="str">
        <f>IF($B2414="","",J2414/PV)</f>
        <v/>
      </c>
      <c r="N2414" s="72" t="str">
        <f t="shared" si="4"/>
        <v/>
      </c>
    </row>
    <row r="2415" ht="14.25" customHeight="1">
      <c r="B2415" s="66" t="str">
        <f>IF(ROWS($1:2403)&lt;=Nper,ROWS($1:2403),"")</f>
        <v/>
      </c>
      <c r="C2415" s="67" t="str">
        <f>IF($B2415="","",IF($E$7="Weekly",Start_Date+7*(ROWS($1:2403)-1),EDATE(Start_Date,VLOOKUP(IF(ASTemp!$E$7="","Monthly",ASTemp!$E$7),Parameters!$B$3:$D$6,3,0)*(ROWS($1:2403)-1))))</f>
        <v/>
      </c>
      <c r="D2415" s="68" t="str">
        <f t="shared" si="2"/>
        <v/>
      </c>
      <c r="E2415" s="65" t="str">
        <f>IF($B2415="","",VLOOKUP(MONTH(C2415),Parameters!$F$2:$G$13,2,0))</f>
        <v/>
      </c>
      <c r="F2415" s="69" t="str">
        <f>IF($B2415="","",PV-N(J2414))</f>
        <v/>
      </c>
      <c r="G2415" s="69" t="str">
        <f>IF($B2415="","",PMT(Rate,Nper,-PV,,Type))</f>
        <v/>
      </c>
      <c r="H2415" s="69" t="str">
        <f>IF($B2415="","",PPMT(Rate,ROWS($1:2403),Nper,-PV,,Type))</f>
        <v/>
      </c>
      <c r="I2415" s="69" t="str">
        <f>IF($B2415="","",IPMT(Rate,ROWS($1:2403),Nper,-PV,,Type))</f>
        <v/>
      </c>
      <c r="J2415" s="73" t="str">
        <f t="shared" ref="J2415:K2415" si="2405">IF($B2415="","",N(J2414)+N(H2415))</f>
        <v/>
      </c>
      <c r="K2415" s="74" t="str">
        <f t="shared" si="2405"/>
        <v/>
      </c>
      <c r="L2415" s="69" t="str">
        <f>IF($B2415="","",PV-J2415)</f>
        <v/>
      </c>
      <c r="M2415" s="71" t="str">
        <f>IF($B2415="","",J2415/PV)</f>
        <v/>
      </c>
      <c r="N2415" s="72" t="str">
        <f t="shared" si="4"/>
        <v/>
      </c>
    </row>
    <row r="2416" ht="14.25" customHeight="1">
      <c r="B2416" s="66" t="str">
        <f>IF(ROWS($1:2404)&lt;=Nper,ROWS($1:2404),"")</f>
        <v/>
      </c>
      <c r="C2416" s="67" t="str">
        <f>IF($B2416="","",IF($E$7="Weekly",Start_Date+7*(ROWS($1:2404)-1),EDATE(Start_Date,VLOOKUP(IF(ASTemp!$E$7="","Monthly",ASTemp!$E$7),Parameters!$B$3:$D$6,3,0)*(ROWS($1:2404)-1))))</f>
        <v/>
      </c>
      <c r="D2416" s="68" t="str">
        <f t="shared" si="2"/>
        <v/>
      </c>
      <c r="E2416" s="65" t="str">
        <f>IF($B2416="","",VLOOKUP(MONTH(C2416),Parameters!$F$2:$G$13,2,0))</f>
        <v/>
      </c>
      <c r="F2416" s="69" t="str">
        <f>IF($B2416="","",PV-N(J2415))</f>
        <v/>
      </c>
      <c r="G2416" s="69" t="str">
        <f>IF($B2416="","",PMT(Rate,Nper,-PV,,Type))</f>
        <v/>
      </c>
      <c r="H2416" s="69" t="str">
        <f>IF($B2416="","",PPMT(Rate,ROWS($1:2404),Nper,-PV,,Type))</f>
        <v/>
      </c>
      <c r="I2416" s="69" t="str">
        <f>IF($B2416="","",IPMT(Rate,ROWS($1:2404),Nper,-PV,,Type))</f>
        <v/>
      </c>
      <c r="J2416" s="73" t="str">
        <f t="shared" ref="J2416:K2416" si="2406">IF($B2416="","",N(J2415)+N(H2416))</f>
        <v/>
      </c>
      <c r="K2416" s="74" t="str">
        <f t="shared" si="2406"/>
        <v/>
      </c>
      <c r="L2416" s="69" t="str">
        <f>IF($B2416="","",PV-J2416)</f>
        <v/>
      </c>
      <c r="M2416" s="71" t="str">
        <f>IF($B2416="","",J2416/PV)</f>
        <v/>
      </c>
      <c r="N2416" s="72" t="str">
        <f t="shared" si="4"/>
        <v/>
      </c>
    </row>
    <row r="2417" ht="14.25" customHeight="1">
      <c r="B2417" s="66" t="str">
        <f>IF(ROWS($1:2405)&lt;=Nper,ROWS($1:2405),"")</f>
        <v/>
      </c>
      <c r="C2417" s="67" t="str">
        <f>IF($B2417="","",IF($E$7="Weekly",Start_Date+7*(ROWS($1:2405)-1),EDATE(Start_Date,VLOOKUP(IF(ASTemp!$E$7="","Monthly",ASTemp!$E$7),Parameters!$B$3:$D$6,3,0)*(ROWS($1:2405)-1))))</f>
        <v/>
      </c>
      <c r="D2417" s="68" t="str">
        <f t="shared" si="2"/>
        <v/>
      </c>
      <c r="E2417" s="65" t="str">
        <f>IF($B2417="","",VLOOKUP(MONTH(C2417),Parameters!$F$2:$G$13,2,0))</f>
        <v/>
      </c>
      <c r="F2417" s="69" t="str">
        <f>IF($B2417="","",PV-N(J2416))</f>
        <v/>
      </c>
      <c r="G2417" s="69" t="str">
        <f>IF($B2417="","",PMT(Rate,Nper,-PV,,Type))</f>
        <v/>
      </c>
      <c r="H2417" s="69" t="str">
        <f>IF($B2417="","",PPMT(Rate,ROWS($1:2405),Nper,-PV,,Type))</f>
        <v/>
      </c>
      <c r="I2417" s="69" t="str">
        <f>IF($B2417="","",IPMT(Rate,ROWS($1:2405),Nper,-PV,,Type))</f>
        <v/>
      </c>
      <c r="J2417" s="73" t="str">
        <f t="shared" ref="J2417:K2417" si="2407">IF($B2417="","",N(J2416)+N(H2417))</f>
        <v/>
      </c>
      <c r="K2417" s="74" t="str">
        <f t="shared" si="2407"/>
        <v/>
      </c>
      <c r="L2417" s="69" t="str">
        <f>IF($B2417="","",PV-J2417)</f>
        <v/>
      </c>
      <c r="M2417" s="71" t="str">
        <f>IF($B2417="","",J2417/PV)</f>
        <v/>
      </c>
      <c r="N2417" s="72" t="str">
        <f t="shared" si="4"/>
        <v/>
      </c>
    </row>
    <row r="2418" ht="14.25" customHeight="1">
      <c r="B2418" s="66" t="str">
        <f>IF(ROWS($1:2406)&lt;=Nper,ROWS($1:2406),"")</f>
        <v/>
      </c>
      <c r="C2418" s="67" t="str">
        <f>IF($B2418="","",IF($E$7="Weekly",Start_Date+7*(ROWS($1:2406)-1),EDATE(Start_Date,VLOOKUP(IF(ASTemp!$E$7="","Monthly",ASTemp!$E$7),Parameters!$B$3:$D$6,3,0)*(ROWS($1:2406)-1))))</f>
        <v/>
      </c>
      <c r="D2418" s="68" t="str">
        <f t="shared" si="2"/>
        <v/>
      </c>
      <c r="E2418" s="65" t="str">
        <f>IF($B2418="","",VLOOKUP(MONTH(C2418),Parameters!$F$2:$G$13,2,0))</f>
        <v/>
      </c>
      <c r="F2418" s="69" t="str">
        <f>IF($B2418="","",PV-N(J2417))</f>
        <v/>
      </c>
      <c r="G2418" s="69" t="str">
        <f>IF($B2418="","",PMT(Rate,Nper,-PV,,Type))</f>
        <v/>
      </c>
      <c r="H2418" s="69" t="str">
        <f>IF($B2418="","",PPMT(Rate,ROWS($1:2406),Nper,-PV,,Type))</f>
        <v/>
      </c>
      <c r="I2418" s="69" t="str">
        <f>IF($B2418="","",IPMT(Rate,ROWS($1:2406),Nper,-PV,,Type))</f>
        <v/>
      </c>
      <c r="J2418" s="73" t="str">
        <f t="shared" ref="J2418:K2418" si="2408">IF($B2418="","",N(J2417)+N(H2418))</f>
        <v/>
      </c>
      <c r="K2418" s="74" t="str">
        <f t="shared" si="2408"/>
        <v/>
      </c>
      <c r="L2418" s="69" t="str">
        <f>IF($B2418="","",PV-J2418)</f>
        <v/>
      </c>
      <c r="M2418" s="71" t="str">
        <f>IF($B2418="","",J2418/PV)</f>
        <v/>
      </c>
      <c r="N2418" s="72" t="str">
        <f t="shared" si="4"/>
        <v/>
      </c>
    </row>
    <row r="2419" ht="14.25" customHeight="1">
      <c r="B2419" s="66" t="str">
        <f>IF(ROWS($1:2407)&lt;=Nper,ROWS($1:2407),"")</f>
        <v/>
      </c>
      <c r="C2419" s="67" t="str">
        <f>IF($B2419="","",IF($E$7="Weekly",Start_Date+7*(ROWS($1:2407)-1),EDATE(Start_Date,VLOOKUP(IF(ASTemp!$E$7="","Monthly",ASTemp!$E$7),Parameters!$B$3:$D$6,3,0)*(ROWS($1:2407)-1))))</f>
        <v/>
      </c>
      <c r="D2419" s="68" t="str">
        <f t="shared" si="2"/>
        <v/>
      </c>
      <c r="E2419" s="65" t="str">
        <f>IF($B2419="","",VLOOKUP(MONTH(C2419),Parameters!$F$2:$G$13,2,0))</f>
        <v/>
      </c>
      <c r="F2419" s="69" t="str">
        <f>IF($B2419="","",PV-N(J2418))</f>
        <v/>
      </c>
      <c r="G2419" s="69" t="str">
        <f>IF($B2419="","",PMT(Rate,Nper,-PV,,Type))</f>
        <v/>
      </c>
      <c r="H2419" s="69" t="str">
        <f>IF($B2419="","",PPMT(Rate,ROWS($1:2407),Nper,-PV,,Type))</f>
        <v/>
      </c>
      <c r="I2419" s="69" t="str">
        <f>IF($B2419="","",IPMT(Rate,ROWS($1:2407),Nper,-PV,,Type))</f>
        <v/>
      </c>
      <c r="J2419" s="73" t="str">
        <f t="shared" ref="J2419:K2419" si="2409">IF($B2419="","",N(J2418)+N(H2419))</f>
        <v/>
      </c>
      <c r="K2419" s="74" t="str">
        <f t="shared" si="2409"/>
        <v/>
      </c>
      <c r="L2419" s="69" t="str">
        <f>IF($B2419="","",PV-J2419)</f>
        <v/>
      </c>
      <c r="M2419" s="71" t="str">
        <f>IF($B2419="","",J2419/PV)</f>
        <v/>
      </c>
      <c r="N2419" s="72" t="str">
        <f t="shared" si="4"/>
        <v/>
      </c>
    </row>
    <row r="2420" ht="14.25" customHeight="1">
      <c r="B2420" s="66" t="str">
        <f>IF(ROWS($1:2408)&lt;=Nper,ROWS($1:2408),"")</f>
        <v/>
      </c>
      <c r="C2420" s="67" t="str">
        <f>IF($B2420="","",IF($E$7="Weekly",Start_Date+7*(ROWS($1:2408)-1),EDATE(Start_Date,VLOOKUP(IF(ASTemp!$E$7="","Monthly",ASTemp!$E$7),Parameters!$B$3:$D$6,3,0)*(ROWS($1:2408)-1))))</f>
        <v/>
      </c>
      <c r="D2420" s="68" t="str">
        <f t="shared" si="2"/>
        <v/>
      </c>
      <c r="E2420" s="65" t="str">
        <f>IF($B2420="","",VLOOKUP(MONTH(C2420),Parameters!$F$2:$G$13,2,0))</f>
        <v/>
      </c>
      <c r="F2420" s="69" t="str">
        <f>IF($B2420="","",PV-N(J2419))</f>
        <v/>
      </c>
      <c r="G2420" s="69" t="str">
        <f>IF($B2420="","",PMT(Rate,Nper,-PV,,Type))</f>
        <v/>
      </c>
      <c r="H2420" s="69" t="str">
        <f>IF($B2420="","",PPMT(Rate,ROWS($1:2408),Nper,-PV,,Type))</f>
        <v/>
      </c>
      <c r="I2420" s="69" t="str">
        <f>IF($B2420="","",IPMT(Rate,ROWS($1:2408),Nper,-PV,,Type))</f>
        <v/>
      </c>
      <c r="J2420" s="73" t="str">
        <f t="shared" ref="J2420:K2420" si="2410">IF($B2420="","",N(J2419)+N(H2420))</f>
        <v/>
      </c>
      <c r="K2420" s="74" t="str">
        <f t="shared" si="2410"/>
        <v/>
      </c>
      <c r="L2420" s="69" t="str">
        <f>IF($B2420="","",PV-J2420)</f>
        <v/>
      </c>
      <c r="M2420" s="71" t="str">
        <f>IF($B2420="","",J2420/PV)</f>
        <v/>
      </c>
      <c r="N2420" s="72" t="str">
        <f t="shared" si="4"/>
        <v/>
      </c>
    </row>
    <row r="2421" ht="14.25" customHeight="1">
      <c r="B2421" s="66" t="str">
        <f>IF(ROWS($1:2409)&lt;=Nper,ROWS($1:2409),"")</f>
        <v/>
      </c>
      <c r="C2421" s="67" t="str">
        <f>IF($B2421="","",IF($E$7="Weekly",Start_Date+7*(ROWS($1:2409)-1),EDATE(Start_Date,VLOOKUP(IF(ASTemp!$E$7="","Monthly",ASTemp!$E$7),Parameters!$B$3:$D$6,3,0)*(ROWS($1:2409)-1))))</f>
        <v/>
      </c>
      <c r="D2421" s="68" t="str">
        <f t="shared" si="2"/>
        <v/>
      </c>
      <c r="E2421" s="65" t="str">
        <f>IF($B2421="","",VLOOKUP(MONTH(C2421),Parameters!$F$2:$G$13,2,0))</f>
        <v/>
      </c>
      <c r="F2421" s="69" t="str">
        <f>IF($B2421="","",PV-N(J2420))</f>
        <v/>
      </c>
      <c r="G2421" s="69" t="str">
        <f>IF($B2421="","",PMT(Rate,Nper,-PV,,Type))</f>
        <v/>
      </c>
      <c r="H2421" s="69" t="str">
        <f>IF($B2421="","",PPMT(Rate,ROWS($1:2409),Nper,-PV,,Type))</f>
        <v/>
      </c>
      <c r="I2421" s="69" t="str">
        <f>IF($B2421="","",IPMT(Rate,ROWS($1:2409),Nper,-PV,,Type))</f>
        <v/>
      </c>
      <c r="J2421" s="73" t="str">
        <f t="shared" ref="J2421:K2421" si="2411">IF($B2421="","",N(J2420)+N(H2421))</f>
        <v/>
      </c>
      <c r="K2421" s="74" t="str">
        <f t="shared" si="2411"/>
        <v/>
      </c>
      <c r="L2421" s="69" t="str">
        <f>IF($B2421="","",PV-J2421)</f>
        <v/>
      </c>
      <c r="M2421" s="71" t="str">
        <f>IF($B2421="","",J2421/PV)</f>
        <v/>
      </c>
      <c r="N2421" s="72" t="str">
        <f t="shared" si="4"/>
        <v/>
      </c>
    </row>
    <row r="2422" ht="14.25" customHeight="1">
      <c r="B2422" s="66" t="str">
        <f>IF(ROWS($1:2410)&lt;=Nper,ROWS($1:2410),"")</f>
        <v/>
      </c>
      <c r="C2422" s="67" t="str">
        <f>IF($B2422="","",IF($E$7="Weekly",Start_Date+7*(ROWS($1:2410)-1),EDATE(Start_Date,VLOOKUP(IF(ASTemp!$E$7="","Monthly",ASTemp!$E$7),Parameters!$B$3:$D$6,3,0)*(ROWS($1:2410)-1))))</f>
        <v/>
      </c>
      <c r="D2422" s="68" t="str">
        <f t="shared" si="2"/>
        <v/>
      </c>
      <c r="E2422" s="65" t="str">
        <f>IF($B2422="","",VLOOKUP(MONTH(C2422),Parameters!$F$2:$G$13,2,0))</f>
        <v/>
      </c>
      <c r="F2422" s="69" t="str">
        <f>IF($B2422="","",PV-N(J2421))</f>
        <v/>
      </c>
      <c r="G2422" s="69" t="str">
        <f>IF($B2422="","",PMT(Rate,Nper,-PV,,Type))</f>
        <v/>
      </c>
      <c r="H2422" s="69" t="str">
        <f>IF($B2422="","",PPMT(Rate,ROWS($1:2410),Nper,-PV,,Type))</f>
        <v/>
      </c>
      <c r="I2422" s="69" t="str">
        <f>IF($B2422="","",IPMT(Rate,ROWS($1:2410),Nper,-PV,,Type))</f>
        <v/>
      </c>
      <c r="J2422" s="73" t="str">
        <f t="shared" ref="J2422:K2422" si="2412">IF($B2422="","",N(J2421)+N(H2422))</f>
        <v/>
      </c>
      <c r="K2422" s="74" t="str">
        <f t="shared" si="2412"/>
        <v/>
      </c>
      <c r="L2422" s="69" t="str">
        <f>IF($B2422="","",PV-J2422)</f>
        <v/>
      </c>
      <c r="M2422" s="71" t="str">
        <f>IF($B2422="","",J2422/PV)</f>
        <v/>
      </c>
      <c r="N2422" s="72" t="str">
        <f t="shared" si="4"/>
        <v/>
      </c>
    </row>
    <row r="2423" ht="14.25" customHeight="1">
      <c r="B2423" s="66" t="str">
        <f>IF(ROWS($1:2411)&lt;=Nper,ROWS($1:2411),"")</f>
        <v/>
      </c>
      <c r="C2423" s="67" t="str">
        <f>IF($B2423="","",IF($E$7="Weekly",Start_Date+7*(ROWS($1:2411)-1),EDATE(Start_Date,VLOOKUP(IF(ASTemp!$E$7="","Monthly",ASTemp!$E$7),Parameters!$B$3:$D$6,3,0)*(ROWS($1:2411)-1))))</f>
        <v/>
      </c>
      <c r="D2423" s="68" t="str">
        <f t="shared" si="2"/>
        <v/>
      </c>
      <c r="E2423" s="65" t="str">
        <f>IF($B2423="","",VLOOKUP(MONTH(C2423),Parameters!$F$2:$G$13,2,0))</f>
        <v/>
      </c>
      <c r="F2423" s="69" t="str">
        <f>IF($B2423="","",PV-N(J2422))</f>
        <v/>
      </c>
      <c r="G2423" s="69" t="str">
        <f>IF($B2423="","",PMT(Rate,Nper,-PV,,Type))</f>
        <v/>
      </c>
      <c r="H2423" s="69" t="str">
        <f>IF($B2423="","",PPMT(Rate,ROWS($1:2411),Nper,-PV,,Type))</f>
        <v/>
      </c>
      <c r="I2423" s="69" t="str">
        <f>IF($B2423="","",IPMT(Rate,ROWS($1:2411),Nper,-PV,,Type))</f>
        <v/>
      </c>
      <c r="J2423" s="73" t="str">
        <f t="shared" ref="J2423:K2423" si="2413">IF($B2423="","",N(J2422)+N(H2423))</f>
        <v/>
      </c>
      <c r="K2423" s="74" t="str">
        <f t="shared" si="2413"/>
        <v/>
      </c>
      <c r="L2423" s="69" t="str">
        <f>IF($B2423="","",PV-J2423)</f>
        <v/>
      </c>
      <c r="M2423" s="71" t="str">
        <f>IF($B2423="","",J2423/PV)</f>
        <v/>
      </c>
      <c r="N2423" s="72" t="str">
        <f t="shared" si="4"/>
        <v/>
      </c>
    </row>
    <row r="2424" ht="14.25" customHeight="1">
      <c r="B2424" s="66" t="str">
        <f>IF(ROWS($1:2412)&lt;=Nper,ROWS($1:2412),"")</f>
        <v/>
      </c>
      <c r="C2424" s="67" t="str">
        <f>IF($B2424="","",IF($E$7="Weekly",Start_Date+7*(ROWS($1:2412)-1),EDATE(Start_Date,VLOOKUP(IF(ASTemp!$E$7="","Monthly",ASTemp!$E$7),Parameters!$B$3:$D$6,3,0)*(ROWS($1:2412)-1))))</f>
        <v/>
      </c>
      <c r="D2424" s="68" t="str">
        <f t="shared" si="2"/>
        <v/>
      </c>
      <c r="E2424" s="65" t="str">
        <f>IF($B2424="","",VLOOKUP(MONTH(C2424),Parameters!$F$2:$G$13,2,0))</f>
        <v/>
      </c>
      <c r="F2424" s="69" t="str">
        <f>IF($B2424="","",PV-N(J2423))</f>
        <v/>
      </c>
      <c r="G2424" s="69" t="str">
        <f>IF($B2424="","",PMT(Rate,Nper,-PV,,Type))</f>
        <v/>
      </c>
      <c r="H2424" s="69" t="str">
        <f>IF($B2424="","",PPMT(Rate,ROWS($1:2412),Nper,-PV,,Type))</f>
        <v/>
      </c>
      <c r="I2424" s="69" t="str">
        <f>IF($B2424="","",IPMT(Rate,ROWS($1:2412),Nper,-PV,,Type))</f>
        <v/>
      </c>
      <c r="J2424" s="73" t="str">
        <f t="shared" ref="J2424:K2424" si="2414">IF($B2424="","",N(J2423)+N(H2424))</f>
        <v/>
      </c>
      <c r="K2424" s="74" t="str">
        <f t="shared" si="2414"/>
        <v/>
      </c>
      <c r="L2424" s="69" t="str">
        <f>IF($B2424="","",PV-J2424)</f>
        <v/>
      </c>
      <c r="M2424" s="71" t="str">
        <f>IF($B2424="","",J2424/PV)</f>
        <v/>
      </c>
      <c r="N2424" s="72" t="str">
        <f t="shared" si="4"/>
        <v/>
      </c>
    </row>
    <row r="2425" ht="14.25" customHeight="1">
      <c r="B2425" s="66" t="str">
        <f>IF(ROWS($1:2413)&lt;=Nper,ROWS($1:2413),"")</f>
        <v/>
      </c>
      <c r="C2425" s="67" t="str">
        <f>IF($B2425="","",IF($E$7="Weekly",Start_Date+7*(ROWS($1:2413)-1),EDATE(Start_Date,VLOOKUP(IF(ASTemp!$E$7="","Monthly",ASTemp!$E$7),Parameters!$B$3:$D$6,3,0)*(ROWS($1:2413)-1))))</f>
        <v/>
      </c>
      <c r="D2425" s="68" t="str">
        <f t="shared" si="2"/>
        <v/>
      </c>
      <c r="E2425" s="65" t="str">
        <f>IF($B2425="","",VLOOKUP(MONTH(C2425),Parameters!$F$2:$G$13,2,0))</f>
        <v/>
      </c>
      <c r="F2425" s="69" t="str">
        <f>IF($B2425="","",PV-N(J2424))</f>
        <v/>
      </c>
      <c r="G2425" s="69" t="str">
        <f>IF($B2425="","",PMT(Rate,Nper,-PV,,Type))</f>
        <v/>
      </c>
      <c r="H2425" s="69" t="str">
        <f>IF($B2425="","",PPMT(Rate,ROWS($1:2413),Nper,-PV,,Type))</f>
        <v/>
      </c>
      <c r="I2425" s="69" t="str">
        <f>IF($B2425="","",IPMT(Rate,ROWS($1:2413),Nper,-PV,,Type))</f>
        <v/>
      </c>
      <c r="J2425" s="73" t="str">
        <f t="shared" ref="J2425:K2425" si="2415">IF($B2425="","",N(J2424)+N(H2425))</f>
        <v/>
      </c>
      <c r="K2425" s="74" t="str">
        <f t="shared" si="2415"/>
        <v/>
      </c>
      <c r="L2425" s="69" t="str">
        <f>IF($B2425="","",PV-J2425)</f>
        <v/>
      </c>
      <c r="M2425" s="71" t="str">
        <f>IF($B2425="","",J2425/PV)</f>
        <v/>
      </c>
      <c r="N2425" s="72" t="str">
        <f t="shared" si="4"/>
        <v/>
      </c>
    </row>
    <row r="2426" ht="14.25" customHeight="1">
      <c r="B2426" s="66" t="str">
        <f>IF(ROWS($1:2414)&lt;=Nper,ROWS($1:2414),"")</f>
        <v/>
      </c>
      <c r="C2426" s="67" t="str">
        <f>IF($B2426="","",IF($E$7="Weekly",Start_Date+7*(ROWS($1:2414)-1),EDATE(Start_Date,VLOOKUP(IF(ASTemp!$E$7="","Monthly",ASTemp!$E$7),Parameters!$B$3:$D$6,3,0)*(ROWS($1:2414)-1))))</f>
        <v/>
      </c>
      <c r="D2426" s="68" t="str">
        <f t="shared" si="2"/>
        <v/>
      </c>
      <c r="E2426" s="65" t="str">
        <f>IF($B2426="","",VLOOKUP(MONTH(C2426),Parameters!$F$2:$G$13,2,0))</f>
        <v/>
      </c>
      <c r="F2426" s="69" t="str">
        <f>IF($B2426="","",PV-N(J2425))</f>
        <v/>
      </c>
      <c r="G2426" s="69" t="str">
        <f>IF($B2426="","",PMT(Rate,Nper,-PV,,Type))</f>
        <v/>
      </c>
      <c r="H2426" s="69" t="str">
        <f>IF($B2426="","",PPMT(Rate,ROWS($1:2414),Nper,-PV,,Type))</f>
        <v/>
      </c>
      <c r="I2426" s="69" t="str">
        <f>IF($B2426="","",IPMT(Rate,ROWS($1:2414),Nper,-PV,,Type))</f>
        <v/>
      </c>
      <c r="J2426" s="73" t="str">
        <f t="shared" ref="J2426:K2426" si="2416">IF($B2426="","",N(J2425)+N(H2426))</f>
        <v/>
      </c>
      <c r="K2426" s="74" t="str">
        <f t="shared" si="2416"/>
        <v/>
      </c>
      <c r="L2426" s="69" t="str">
        <f>IF($B2426="","",PV-J2426)</f>
        <v/>
      </c>
      <c r="M2426" s="71" t="str">
        <f>IF($B2426="","",J2426/PV)</f>
        <v/>
      </c>
      <c r="N2426" s="72" t="str">
        <f t="shared" si="4"/>
        <v/>
      </c>
    </row>
    <row r="2427" ht="14.25" customHeight="1">
      <c r="B2427" s="66" t="str">
        <f>IF(ROWS($1:2415)&lt;=Nper,ROWS($1:2415),"")</f>
        <v/>
      </c>
      <c r="C2427" s="67" t="str">
        <f>IF($B2427="","",IF($E$7="Weekly",Start_Date+7*(ROWS($1:2415)-1),EDATE(Start_Date,VLOOKUP(IF(ASTemp!$E$7="","Monthly",ASTemp!$E$7),Parameters!$B$3:$D$6,3,0)*(ROWS($1:2415)-1))))</f>
        <v/>
      </c>
      <c r="D2427" s="68" t="str">
        <f t="shared" si="2"/>
        <v/>
      </c>
      <c r="E2427" s="65" t="str">
        <f>IF($B2427="","",VLOOKUP(MONTH(C2427),Parameters!$F$2:$G$13,2,0))</f>
        <v/>
      </c>
      <c r="F2427" s="69" t="str">
        <f>IF($B2427="","",PV-N(J2426))</f>
        <v/>
      </c>
      <c r="G2427" s="69" t="str">
        <f>IF($B2427="","",PMT(Rate,Nper,-PV,,Type))</f>
        <v/>
      </c>
      <c r="H2427" s="69" t="str">
        <f>IF($B2427="","",PPMT(Rate,ROWS($1:2415),Nper,-PV,,Type))</f>
        <v/>
      </c>
      <c r="I2427" s="69" t="str">
        <f>IF($B2427="","",IPMT(Rate,ROWS($1:2415),Nper,-PV,,Type))</f>
        <v/>
      </c>
      <c r="J2427" s="73" t="str">
        <f t="shared" ref="J2427:K2427" si="2417">IF($B2427="","",N(J2426)+N(H2427))</f>
        <v/>
      </c>
      <c r="K2427" s="74" t="str">
        <f t="shared" si="2417"/>
        <v/>
      </c>
      <c r="L2427" s="69" t="str">
        <f>IF($B2427="","",PV-J2427)</f>
        <v/>
      </c>
      <c r="M2427" s="71" t="str">
        <f>IF($B2427="","",J2427/PV)</f>
        <v/>
      </c>
      <c r="N2427" s="72" t="str">
        <f t="shared" si="4"/>
        <v/>
      </c>
    </row>
    <row r="2428" ht="14.25" customHeight="1">
      <c r="B2428" s="66" t="str">
        <f>IF(ROWS($1:2416)&lt;=Nper,ROWS($1:2416),"")</f>
        <v/>
      </c>
      <c r="C2428" s="67" t="str">
        <f>IF($B2428="","",IF($E$7="Weekly",Start_Date+7*(ROWS($1:2416)-1),EDATE(Start_Date,VLOOKUP(IF(ASTemp!$E$7="","Monthly",ASTemp!$E$7),Parameters!$B$3:$D$6,3,0)*(ROWS($1:2416)-1))))</f>
        <v/>
      </c>
      <c r="D2428" s="68" t="str">
        <f t="shared" si="2"/>
        <v/>
      </c>
      <c r="E2428" s="65" t="str">
        <f>IF($B2428="","",VLOOKUP(MONTH(C2428),Parameters!$F$2:$G$13,2,0))</f>
        <v/>
      </c>
      <c r="F2428" s="69" t="str">
        <f>IF($B2428="","",PV-N(J2427))</f>
        <v/>
      </c>
      <c r="G2428" s="69" t="str">
        <f>IF($B2428="","",PMT(Rate,Nper,-PV,,Type))</f>
        <v/>
      </c>
      <c r="H2428" s="69" t="str">
        <f>IF($B2428="","",PPMT(Rate,ROWS($1:2416),Nper,-PV,,Type))</f>
        <v/>
      </c>
      <c r="I2428" s="69" t="str">
        <f>IF($B2428="","",IPMT(Rate,ROWS($1:2416),Nper,-PV,,Type))</f>
        <v/>
      </c>
      <c r="J2428" s="73" t="str">
        <f t="shared" ref="J2428:K2428" si="2418">IF($B2428="","",N(J2427)+N(H2428))</f>
        <v/>
      </c>
      <c r="K2428" s="74" t="str">
        <f t="shared" si="2418"/>
        <v/>
      </c>
      <c r="L2428" s="69" t="str">
        <f>IF($B2428="","",PV-J2428)</f>
        <v/>
      </c>
      <c r="M2428" s="71" t="str">
        <f>IF($B2428="","",J2428/PV)</f>
        <v/>
      </c>
      <c r="N2428" s="72" t="str">
        <f t="shared" si="4"/>
        <v/>
      </c>
    </row>
    <row r="2429" ht="14.25" customHeight="1">
      <c r="B2429" s="66" t="str">
        <f>IF(ROWS($1:2417)&lt;=Nper,ROWS($1:2417),"")</f>
        <v/>
      </c>
      <c r="C2429" s="67" t="str">
        <f>IF($B2429="","",IF($E$7="Weekly",Start_Date+7*(ROWS($1:2417)-1),EDATE(Start_Date,VLOOKUP(IF(ASTemp!$E$7="","Monthly",ASTemp!$E$7),Parameters!$B$3:$D$6,3,0)*(ROWS($1:2417)-1))))</f>
        <v/>
      </c>
      <c r="D2429" s="68" t="str">
        <f t="shared" si="2"/>
        <v/>
      </c>
      <c r="E2429" s="65" t="str">
        <f>IF($B2429="","",VLOOKUP(MONTH(C2429),Parameters!$F$2:$G$13,2,0))</f>
        <v/>
      </c>
      <c r="F2429" s="69" t="str">
        <f>IF($B2429="","",PV-N(J2428))</f>
        <v/>
      </c>
      <c r="G2429" s="69" t="str">
        <f>IF($B2429="","",PMT(Rate,Nper,-PV,,Type))</f>
        <v/>
      </c>
      <c r="H2429" s="69" t="str">
        <f>IF($B2429="","",PPMT(Rate,ROWS($1:2417),Nper,-PV,,Type))</f>
        <v/>
      </c>
      <c r="I2429" s="69" t="str">
        <f>IF($B2429="","",IPMT(Rate,ROWS($1:2417),Nper,-PV,,Type))</f>
        <v/>
      </c>
      <c r="J2429" s="73" t="str">
        <f t="shared" ref="J2429:K2429" si="2419">IF($B2429="","",N(J2428)+N(H2429))</f>
        <v/>
      </c>
      <c r="K2429" s="74" t="str">
        <f t="shared" si="2419"/>
        <v/>
      </c>
      <c r="L2429" s="69" t="str">
        <f>IF($B2429="","",PV-J2429)</f>
        <v/>
      </c>
      <c r="M2429" s="71" t="str">
        <f>IF($B2429="","",J2429/PV)</f>
        <v/>
      </c>
      <c r="N2429" s="72" t="str">
        <f t="shared" si="4"/>
        <v/>
      </c>
    </row>
    <row r="2430" ht="14.25" customHeight="1">
      <c r="B2430" s="66" t="str">
        <f>IF(ROWS($1:2418)&lt;=Nper,ROWS($1:2418),"")</f>
        <v/>
      </c>
      <c r="C2430" s="67" t="str">
        <f>IF($B2430="","",IF($E$7="Weekly",Start_Date+7*(ROWS($1:2418)-1),EDATE(Start_Date,VLOOKUP(IF(ASTemp!$E$7="","Monthly",ASTemp!$E$7),Parameters!$B$3:$D$6,3,0)*(ROWS($1:2418)-1))))</f>
        <v/>
      </c>
      <c r="D2430" s="68" t="str">
        <f t="shared" si="2"/>
        <v/>
      </c>
      <c r="E2430" s="65" t="str">
        <f>IF($B2430="","",VLOOKUP(MONTH(C2430),Parameters!$F$2:$G$13,2,0))</f>
        <v/>
      </c>
      <c r="F2430" s="69" t="str">
        <f>IF($B2430="","",PV-N(J2429))</f>
        <v/>
      </c>
      <c r="G2430" s="69" t="str">
        <f>IF($B2430="","",PMT(Rate,Nper,-PV,,Type))</f>
        <v/>
      </c>
      <c r="H2430" s="69" t="str">
        <f>IF($B2430="","",PPMT(Rate,ROWS($1:2418),Nper,-PV,,Type))</f>
        <v/>
      </c>
      <c r="I2430" s="69" t="str">
        <f>IF($B2430="","",IPMT(Rate,ROWS($1:2418),Nper,-PV,,Type))</f>
        <v/>
      </c>
      <c r="J2430" s="73" t="str">
        <f t="shared" ref="J2430:K2430" si="2420">IF($B2430="","",N(J2429)+N(H2430))</f>
        <v/>
      </c>
      <c r="K2430" s="74" t="str">
        <f t="shared" si="2420"/>
        <v/>
      </c>
      <c r="L2430" s="69" t="str">
        <f>IF($B2430="","",PV-J2430)</f>
        <v/>
      </c>
      <c r="M2430" s="71" t="str">
        <f>IF($B2430="","",J2430/PV)</f>
        <v/>
      </c>
      <c r="N2430" s="72" t="str">
        <f t="shared" si="4"/>
        <v/>
      </c>
    </row>
    <row r="2431" ht="14.25" customHeight="1">
      <c r="B2431" s="66" t="str">
        <f>IF(ROWS($1:2419)&lt;=Nper,ROWS($1:2419),"")</f>
        <v/>
      </c>
      <c r="C2431" s="67" t="str">
        <f>IF($B2431="","",IF($E$7="Weekly",Start_Date+7*(ROWS($1:2419)-1),EDATE(Start_Date,VLOOKUP(IF(ASTemp!$E$7="","Monthly",ASTemp!$E$7),Parameters!$B$3:$D$6,3,0)*(ROWS($1:2419)-1))))</f>
        <v/>
      </c>
      <c r="D2431" s="68" t="str">
        <f t="shared" si="2"/>
        <v/>
      </c>
      <c r="E2431" s="65" t="str">
        <f>IF($B2431="","",VLOOKUP(MONTH(C2431),Parameters!$F$2:$G$13,2,0))</f>
        <v/>
      </c>
      <c r="F2431" s="69" t="str">
        <f>IF($B2431="","",PV-N(J2430))</f>
        <v/>
      </c>
      <c r="G2431" s="69" t="str">
        <f>IF($B2431="","",PMT(Rate,Nper,-PV,,Type))</f>
        <v/>
      </c>
      <c r="H2431" s="69" t="str">
        <f>IF($B2431="","",PPMT(Rate,ROWS($1:2419),Nper,-PV,,Type))</f>
        <v/>
      </c>
      <c r="I2431" s="69" t="str">
        <f>IF($B2431="","",IPMT(Rate,ROWS($1:2419),Nper,-PV,,Type))</f>
        <v/>
      </c>
      <c r="J2431" s="73" t="str">
        <f t="shared" ref="J2431:K2431" si="2421">IF($B2431="","",N(J2430)+N(H2431))</f>
        <v/>
      </c>
      <c r="K2431" s="74" t="str">
        <f t="shared" si="2421"/>
        <v/>
      </c>
      <c r="L2431" s="69" t="str">
        <f>IF($B2431="","",PV-J2431)</f>
        <v/>
      </c>
      <c r="M2431" s="71" t="str">
        <f>IF($B2431="","",J2431/PV)</f>
        <v/>
      </c>
      <c r="N2431" s="72" t="str">
        <f t="shared" si="4"/>
        <v/>
      </c>
    </row>
    <row r="2432" ht="14.25" customHeight="1">
      <c r="B2432" s="66" t="str">
        <f>IF(ROWS($1:2420)&lt;=Nper,ROWS($1:2420),"")</f>
        <v/>
      </c>
      <c r="C2432" s="67" t="str">
        <f>IF($B2432="","",IF($E$7="Weekly",Start_Date+7*(ROWS($1:2420)-1),EDATE(Start_Date,VLOOKUP(IF(ASTemp!$E$7="","Monthly",ASTemp!$E$7),Parameters!$B$3:$D$6,3,0)*(ROWS($1:2420)-1))))</f>
        <v/>
      </c>
      <c r="D2432" s="68" t="str">
        <f t="shared" si="2"/>
        <v/>
      </c>
      <c r="E2432" s="65" t="str">
        <f>IF($B2432="","",VLOOKUP(MONTH(C2432),Parameters!$F$2:$G$13,2,0))</f>
        <v/>
      </c>
      <c r="F2432" s="69" t="str">
        <f>IF($B2432="","",PV-N(J2431))</f>
        <v/>
      </c>
      <c r="G2432" s="69" t="str">
        <f>IF($B2432="","",PMT(Rate,Nper,-PV,,Type))</f>
        <v/>
      </c>
      <c r="H2432" s="69" t="str">
        <f>IF($B2432="","",PPMT(Rate,ROWS($1:2420),Nper,-PV,,Type))</f>
        <v/>
      </c>
      <c r="I2432" s="69" t="str">
        <f>IF($B2432="","",IPMT(Rate,ROWS($1:2420),Nper,-PV,,Type))</f>
        <v/>
      </c>
      <c r="J2432" s="73" t="str">
        <f t="shared" ref="J2432:K2432" si="2422">IF($B2432="","",N(J2431)+N(H2432))</f>
        <v/>
      </c>
      <c r="K2432" s="74" t="str">
        <f t="shared" si="2422"/>
        <v/>
      </c>
      <c r="L2432" s="69" t="str">
        <f>IF($B2432="","",PV-J2432)</f>
        <v/>
      </c>
      <c r="M2432" s="71" t="str">
        <f>IF($B2432="","",J2432/PV)</f>
        <v/>
      </c>
      <c r="N2432" s="72" t="str">
        <f t="shared" si="4"/>
        <v/>
      </c>
    </row>
    <row r="2433" ht="14.25" customHeight="1">
      <c r="B2433" s="66" t="str">
        <f>IF(ROWS($1:2421)&lt;=Nper,ROWS($1:2421),"")</f>
        <v/>
      </c>
      <c r="C2433" s="67" t="str">
        <f>IF($B2433="","",IF($E$7="Weekly",Start_Date+7*(ROWS($1:2421)-1),EDATE(Start_Date,VLOOKUP(IF(ASTemp!$E$7="","Monthly",ASTemp!$E$7),Parameters!$B$3:$D$6,3,0)*(ROWS($1:2421)-1))))</f>
        <v/>
      </c>
      <c r="D2433" s="68" t="str">
        <f t="shared" si="2"/>
        <v/>
      </c>
      <c r="E2433" s="65" t="str">
        <f>IF($B2433="","",VLOOKUP(MONTH(C2433),Parameters!$F$2:$G$13,2,0))</f>
        <v/>
      </c>
      <c r="F2433" s="69" t="str">
        <f>IF($B2433="","",PV-N(J2432))</f>
        <v/>
      </c>
      <c r="G2433" s="69" t="str">
        <f>IF($B2433="","",PMT(Rate,Nper,-PV,,Type))</f>
        <v/>
      </c>
      <c r="H2433" s="69" t="str">
        <f>IF($B2433="","",PPMT(Rate,ROWS($1:2421),Nper,-PV,,Type))</f>
        <v/>
      </c>
      <c r="I2433" s="69" t="str">
        <f>IF($B2433="","",IPMT(Rate,ROWS($1:2421),Nper,-PV,,Type))</f>
        <v/>
      </c>
      <c r="J2433" s="73" t="str">
        <f t="shared" ref="J2433:K2433" si="2423">IF($B2433="","",N(J2432)+N(H2433))</f>
        <v/>
      </c>
      <c r="K2433" s="74" t="str">
        <f t="shared" si="2423"/>
        <v/>
      </c>
      <c r="L2433" s="69" t="str">
        <f>IF($B2433="","",PV-J2433)</f>
        <v/>
      </c>
      <c r="M2433" s="71" t="str">
        <f>IF($B2433="","",J2433/PV)</f>
        <v/>
      </c>
      <c r="N2433" s="72" t="str">
        <f t="shared" si="4"/>
        <v/>
      </c>
    </row>
    <row r="2434" ht="14.25" customHeight="1">
      <c r="B2434" s="66" t="str">
        <f>IF(ROWS($1:2422)&lt;=Nper,ROWS($1:2422),"")</f>
        <v/>
      </c>
      <c r="C2434" s="67" t="str">
        <f>IF($B2434="","",IF($E$7="Weekly",Start_Date+7*(ROWS($1:2422)-1),EDATE(Start_Date,VLOOKUP(IF(ASTemp!$E$7="","Monthly",ASTemp!$E$7),Parameters!$B$3:$D$6,3,0)*(ROWS($1:2422)-1))))</f>
        <v/>
      </c>
      <c r="D2434" s="68" t="str">
        <f t="shared" si="2"/>
        <v/>
      </c>
      <c r="E2434" s="65" t="str">
        <f>IF($B2434="","",VLOOKUP(MONTH(C2434),Parameters!$F$2:$G$13,2,0))</f>
        <v/>
      </c>
      <c r="F2434" s="69" t="str">
        <f>IF($B2434="","",PV-N(J2433))</f>
        <v/>
      </c>
      <c r="G2434" s="69" t="str">
        <f>IF($B2434="","",PMT(Rate,Nper,-PV,,Type))</f>
        <v/>
      </c>
      <c r="H2434" s="69" t="str">
        <f>IF($B2434="","",PPMT(Rate,ROWS($1:2422),Nper,-PV,,Type))</f>
        <v/>
      </c>
      <c r="I2434" s="69" t="str">
        <f>IF($B2434="","",IPMT(Rate,ROWS($1:2422),Nper,-PV,,Type))</f>
        <v/>
      </c>
      <c r="J2434" s="73" t="str">
        <f t="shared" ref="J2434:K2434" si="2424">IF($B2434="","",N(J2433)+N(H2434))</f>
        <v/>
      </c>
      <c r="K2434" s="74" t="str">
        <f t="shared" si="2424"/>
        <v/>
      </c>
      <c r="L2434" s="69" t="str">
        <f>IF($B2434="","",PV-J2434)</f>
        <v/>
      </c>
      <c r="M2434" s="71" t="str">
        <f>IF($B2434="","",J2434/PV)</f>
        <v/>
      </c>
      <c r="N2434" s="72" t="str">
        <f t="shared" si="4"/>
        <v/>
      </c>
    </row>
    <row r="2435" ht="14.25" customHeight="1">
      <c r="B2435" s="66" t="str">
        <f>IF(ROWS($1:2423)&lt;=Nper,ROWS($1:2423),"")</f>
        <v/>
      </c>
      <c r="C2435" s="67" t="str">
        <f>IF($B2435="","",IF($E$7="Weekly",Start_Date+7*(ROWS($1:2423)-1),EDATE(Start_Date,VLOOKUP(IF(ASTemp!$E$7="","Monthly",ASTemp!$E$7),Parameters!$B$3:$D$6,3,0)*(ROWS($1:2423)-1))))</f>
        <v/>
      </c>
      <c r="D2435" s="68" t="str">
        <f t="shared" si="2"/>
        <v/>
      </c>
      <c r="E2435" s="65" t="str">
        <f>IF($B2435="","",VLOOKUP(MONTH(C2435),Parameters!$F$2:$G$13,2,0))</f>
        <v/>
      </c>
      <c r="F2435" s="69" t="str">
        <f>IF($B2435="","",PV-N(J2434))</f>
        <v/>
      </c>
      <c r="G2435" s="69" t="str">
        <f>IF($B2435="","",PMT(Rate,Nper,-PV,,Type))</f>
        <v/>
      </c>
      <c r="H2435" s="69" t="str">
        <f>IF($B2435="","",PPMT(Rate,ROWS($1:2423),Nper,-PV,,Type))</f>
        <v/>
      </c>
      <c r="I2435" s="69" t="str">
        <f>IF($B2435="","",IPMT(Rate,ROWS($1:2423),Nper,-PV,,Type))</f>
        <v/>
      </c>
      <c r="J2435" s="73" t="str">
        <f t="shared" ref="J2435:K2435" si="2425">IF($B2435="","",N(J2434)+N(H2435))</f>
        <v/>
      </c>
      <c r="K2435" s="74" t="str">
        <f t="shared" si="2425"/>
        <v/>
      </c>
      <c r="L2435" s="69" t="str">
        <f>IF($B2435="","",PV-J2435)</f>
        <v/>
      </c>
      <c r="M2435" s="71" t="str">
        <f>IF($B2435="","",J2435/PV)</f>
        <v/>
      </c>
      <c r="N2435" s="72" t="str">
        <f t="shared" si="4"/>
        <v/>
      </c>
    </row>
    <row r="2436" ht="14.25" customHeight="1">
      <c r="B2436" s="66" t="str">
        <f>IF(ROWS($1:2424)&lt;=Nper,ROWS($1:2424),"")</f>
        <v/>
      </c>
      <c r="C2436" s="67" t="str">
        <f>IF($B2436="","",IF($E$7="Weekly",Start_Date+7*(ROWS($1:2424)-1),EDATE(Start_Date,VLOOKUP(IF(ASTemp!$E$7="","Monthly",ASTemp!$E$7),Parameters!$B$3:$D$6,3,0)*(ROWS($1:2424)-1))))</f>
        <v/>
      </c>
      <c r="D2436" s="68" t="str">
        <f t="shared" si="2"/>
        <v/>
      </c>
      <c r="E2436" s="65" t="str">
        <f>IF($B2436="","",VLOOKUP(MONTH(C2436),Parameters!$F$2:$G$13,2,0))</f>
        <v/>
      </c>
      <c r="F2436" s="69" t="str">
        <f>IF($B2436="","",PV-N(J2435))</f>
        <v/>
      </c>
      <c r="G2436" s="69" t="str">
        <f>IF($B2436="","",PMT(Rate,Nper,-PV,,Type))</f>
        <v/>
      </c>
      <c r="H2436" s="69" t="str">
        <f>IF($B2436="","",PPMT(Rate,ROWS($1:2424),Nper,-PV,,Type))</f>
        <v/>
      </c>
      <c r="I2436" s="69" t="str">
        <f>IF($B2436="","",IPMT(Rate,ROWS($1:2424),Nper,-PV,,Type))</f>
        <v/>
      </c>
      <c r="J2436" s="73" t="str">
        <f t="shared" ref="J2436:K2436" si="2426">IF($B2436="","",N(J2435)+N(H2436))</f>
        <v/>
      </c>
      <c r="K2436" s="74" t="str">
        <f t="shared" si="2426"/>
        <v/>
      </c>
      <c r="L2436" s="69" t="str">
        <f>IF($B2436="","",PV-J2436)</f>
        <v/>
      </c>
      <c r="M2436" s="71" t="str">
        <f>IF($B2436="","",J2436/PV)</f>
        <v/>
      </c>
      <c r="N2436" s="72" t="str">
        <f t="shared" si="4"/>
        <v/>
      </c>
    </row>
    <row r="2437" ht="14.25" customHeight="1">
      <c r="B2437" s="66" t="str">
        <f>IF(ROWS($1:2425)&lt;=Nper,ROWS($1:2425),"")</f>
        <v/>
      </c>
      <c r="C2437" s="67" t="str">
        <f>IF($B2437="","",IF($E$7="Weekly",Start_Date+7*(ROWS($1:2425)-1),EDATE(Start_Date,VLOOKUP(IF(ASTemp!$E$7="","Monthly",ASTemp!$E$7),Parameters!$B$3:$D$6,3,0)*(ROWS($1:2425)-1))))</f>
        <v/>
      </c>
      <c r="D2437" s="68" t="str">
        <f t="shared" si="2"/>
        <v/>
      </c>
      <c r="E2437" s="65" t="str">
        <f>IF($B2437="","",VLOOKUP(MONTH(C2437),Parameters!$F$2:$G$13,2,0))</f>
        <v/>
      </c>
      <c r="F2437" s="69" t="str">
        <f>IF($B2437="","",PV-N(J2436))</f>
        <v/>
      </c>
      <c r="G2437" s="69" t="str">
        <f>IF($B2437="","",PMT(Rate,Nper,-PV,,Type))</f>
        <v/>
      </c>
      <c r="H2437" s="69" t="str">
        <f>IF($B2437="","",PPMT(Rate,ROWS($1:2425),Nper,-PV,,Type))</f>
        <v/>
      </c>
      <c r="I2437" s="69" t="str">
        <f>IF($B2437="","",IPMT(Rate,ROWS($1:2425),Nper,-PV,,Type))</f>
        <v/>
      </c>
      <c r="J2437" s="73" t="str">
        <f t="shared" ref="J2437:K2437" si="2427">IF($B2437="","",N(J2436)+N(H2437))</f>
        <v/>
      </c>
      <c r="K2437" s="74" t="str">
        <f t="shared" si="2427"/>
        <v/>
      </c>
      <c r="L2437" s="69" t="str">
        <f>IF($B2437="","",PV-J2437)</f>
        <v/>
      </c>
      <c r="M2437" s="71" t="str">
        <f>IF($B2437="","",J2437/PV)</f>
        <v/>
      </c>
      <c r="N2437" s="72" t="str">
        <f t="shared" si="4"/>
        <v/>
      </c>
    </row>
    <row r="2438" ht="14.25" customHeight="1">
      <c r="B2438" s="66" t="str">
        <f>IF(ROWS($1:2426)&lt;=Nper,ROWS($1:2426),"")</f>
        <v/>
      </c>
      <c r="C2438" s="67" t="str">
        <f>IF($B2438="","",IF($E$7="Weekly",Start_Date+7*(ROWS($1:2426)-1),EDATE(Start_Date,VLOOKUP(IF(ASTemp!$E$7="","Monthly",ASTemp!$E$7),Parameters!$B$3:$D$6,3,0)*(ROWS($1:2426)-1))))</f>
        <v/>
      </c>
      <c r="D2438" s="68" t="str">
        <f t="shared" si="2"/>
        <v/>
      </c>
      <c r="E2438" s="65" t="str">
        <f>IF($B2438="","",VLOOKUP(MONTH(C2438),Parameters!$F$2:$G$13,2,0))</f>
        <v/>
      </c>
      <c r="F2438" s="69" t="str">
        <f>IF($B2438="","",PV-N(J2437))</f>
        <v/>
      </c>
      <c r="G2438" s="69" t="str">
        <f>IF($B2438="","",PMT(Rate,Nper,-PV,,Type))</f>
        <v/>
      </c>
      <c r="H2438" s="69" t="str">
        <f>IF($B2438="","",PPMT(Rate,ROWS($1:2426),Nper,-PV,,Type))</f>
        <v/>
      </c>
      <c r="I2438" s="69" t="str">
        <f>IF($B2438="","",IPMT(Rate,ROWS($1:2426),Nper,-PV,,Type))</f>
        <v/>
      </c>
      <c r="J2438" s="73" t="str">
        <f t="shared" ref="J2438:K2438" si="2428">IF($B2438="","",N(J2437)+N(H2438))</f>
        <v/>
      </c>
      <c r="K2438" s="74" t="str">
        <f t="shared" si="2428"/>
        <v/>
      </c>
      <c r="L2438" s="69" t="str">
        <f>IF($B2438="","",PV-J2438)</f>
        <v/>
      </c>
      <c r="M2438" s="71" t="str">
        <f>IF($B2438="","",J2438/PV)</f>
        <v/>
      </c>
      <c r="N2438" s="72" t="str">
        <f t="shared" si="4"/>
        <v/>
      </c>
    </row>
    <row r="2439" ht="14.25" customHeight="1">
      <c r="B2439" s="66" t="str">
        <f>IF(ROWS($1:2427)&lt;=Nper,ROWS($1:2427),"")</f>
        <v/>
      </c>
      <c r="C2439" s="67" t="str">
        <f>IF($B2439="","",IF($E$7="Weekly",Start_Date+7*(ROWS($1:2427)-1),EDATE(Start_Date,VLOOKUP(IF(ASTemp!$E$7="","Monthly",ASTemp!$E$7),Parameters!$B$3:$D$6,3,0)*(ROWS($1:2427)-1))))</f>
        <v/>
      </c>
      <c r="D2439" s="68" t="str">
        <f t="shared" si="2"/>
        <v/>
      </c>
      <c r="E2439" s="65" t="str">
        <f>IF($B2439="","",VLOOKUP(MONTH(C2439),Parameters!$F$2:$G$13,2,0))</f>
        <v/>
      </c>
      <c r="F2439" s="69" t="str">
        <f>IF($B2439="","",PV-N(J2438))</f>
        <v/>
      </c>
      <c r="G2439" s="69" t="str">
        <f>IF($B2439="","",PMT(Rate,Nper,-PV,,Type))</f>
        <v/>
      </c>
      <c r="H2439" s="69" t="str">
        <f>IF($B2439="","",PPMT(Rate,ROWS($1:2427),Nper,-PV,,Type))</f>
        <v/>
      </c>
      <c r="I2439" s="69" t="str">
        <f>IF($B2439="","",IPMT(Rate,ROWS($1:2427),Nper,-PV,,Type))</f>
        <v/>
      </c>
      <c r="J2439" s="73" t="str">
        <f t="shared" ref="J2439:K2439" si="2429">IF($B2439="","",N(J2438)+N(H2439))</f>
        <v/>
      </c>
      <c r="K2439" s="74" t="str">
        <f t="shared" si="2429"/>
        <v/>
      </c>
      <c r="L2439" s="69" t="str">
        <f>IF($B2439="","",PV-J2439)</f>
        <v/>
      </c>
      <c r="M2439" s="71" t="str">
        <f>IF($B2439="","",J2439/PV)</f>
        <v/>
      </c>
      <c r="N2439" s="72" t="str">
        <f t="shared" si="4"/>
        <v/>
      </c>
    </row>
    <row r="2440" ht="14.25" customHeight="1">
      <c r="B2440" s="66" t="str">
        <f>IF(ROWS($1:2428)&lt;=Nper,ROWS($1:2428),"")</f>
        <v/>
      </c>
      <c r="C2440" s="67" t="str">
        <f>IF($B2440="","",IF($E$7="Weekly",Start_Date+7*(ROWS($1:2428)-1),EDATE(Start_Date,VLOOKUP(IF(ASTemp!$E$7="","Monthly",ASTemp!$E$7),Parameters!$B$3:$D$6,3,0)*(ROWS($1:2428)-1))))</f>
        <v/>
      </c>
      <c r="D2440" s="68" t="str">
        <f t="shared" si="2"/>
        <v/>
      </c>
      <c r="E2440" s="65" t="str">
        <f>IF($B2440="","",VLOOKUP(MONTH(C2440),Parameters!$F$2:$G$13,2,0))</f>
        <v/>
      </c>
      <c r="F2440" s="69" t="str">
        <f>IF($B2440="","",PV-N(J2439))</f>
        <v/>
      </c>
      <c r="G2440" s="69" t="str">
        <f>IF($B2440="","",PMT(Rate,Nper,-PV,,Type))</f>
        <v/>
      </c>
      <c r="H2440" s="69" t="str">
        <f>IF($B2440="","",PPMT(Rate,ROWS($1:2428),Nper,-PV,,Type))</f>
        <v/>
      </c>
      <c r="I2440" s="69" t="str">
        <f>IF($B2440="","",IPMT(Rate,ROWS($1:2428),Nper,-PV,,Type))</f>
        <v/>
      </c>
      <c r="J2440" s="73" t="str">
        <f t="shared" ref="J2440:K2440" si="2430">IF($B2440="","",N(J2439)+N(H2440))</f>
        <v/>
      </c>
      <c r="K2440" s="74" t="str">
        <f t="shared" si="2430"/>
        <v/>
      </c>
      <c r="L2440" s="69" t="str">
        <f>IF($B2440="","",PV-J2440)</f>
        <v/>
      </c>
      <c r="M2440" s="71" t="str">
        <f>IF($B2440="","",J2440/PV)</f>
        <v/>
      </c>
      <c r="N2440" s="72" t="str">
        <f t="shared" si="4"/>
        <v/>
      </c>
    </row>
    <row r="2441" ht="14.25" customHeight="1">
      <c r="B2441" s="66" t="str">
        <f>IF(ROWS($1:2429)&lt;=Nper,ROWS($1:2429),"")</f>
        <v/>
      </c>
      <c r="C2441" s="67" t="str">
        <f>IF($B2441="","",IF($E$7="Weekly",Start_Date+7*(ROWS($1:2429)-1),EDATE(Start_Date,VLOOKUP(IF(ASTemp!$E$7="","Monthly",ASTemp!$E$7),Parameters!$B$3:$D$6,3,0)*(ROWS($1:2429)-1))))</f>
        <v/>
      </c>
      <c r="D2441" s="68" t="str">
        <f t="shared" si="2"/>
        <v/>
      </c>
      <c r="E2441" s="65" t="str">
        <f>IF($B2441="","",VLOOKUP(MONTH(C2441),Parameters!$F$2:$G$13,2,0))</f>
        <v/>
      </c>
      <c r="F2441" s="69" t="str">
        <f>IF($B2441="","",PV-N(J2440))</f>
        <v/>
      </c>
      <c r="G2441" s="69" t="str">
        <f>IF($B2441="","",PMT(Rate,Nper,-PV,,Type))</f>
        <v/>
      </c>
      <c r="H2441" s="69" t="str">
        <f>IF($B2441="","",PPMT(Rate,ROWS($1:2429),Nper,-PV,,Type))</f>
        <v/>
      </c>
      <c r="I2441" s="69" t="str">
        <f>IF($B2441="","",IPMT(Rate,ROWS($1:2429),Nper,-PV,,Type))</f>
        <v/>
      </c>
      <c r="J2441" s="73" t="str">
        <f t="shared" ref="J2441:K2441" si="2431">IF($B2441="","",N(J2440)+N(H2441))</f>
        <v/>
      </c>
      <c r="K2441" s="74" t="str">
        <f t="shared" si="2431"/>
        <v/>
      </c>
      <c r="L2441" s="69" t="str">
        <f>IF($B2441="","",PV-J2441)</f>
        <v/>
      </c>
      <c r="M2441" s="71" t="str">
        <f>IF($B2441="","",J2441/PV)</f>
        <v/>
      </c>
      <c r="N2441" s="72" t="str">
        <f t="shared" si="4"/>
        <v/>
      </c>
    </row>
    <row r="2442" ht="14.25" customHeight="1">
      <c r="B2442" s="66" t="str">
        <f>IF(ROWS($1:2430)&lt;=Nper,ROWS($1:2430),"")</f>
        <v/>
      </c>
      <c r="C2442" s="67" t="str">
        <f>IF($B2442="","",IF($E$7="Weekly",Start_Date+7*(ROWS($1:2430)-1),EDATE(Start_Date,VLOOKUP(IF(ASTemp!$E$7="","Monthly",ASTemp!$E$7),Parameters!$B$3:$D$6,3,0)*(ROWS($1:2430)-1))))</f>
        <v/>
      </c>
      <c r="D2442" s="68" t="str">
        <f t="shared" si="2"/>
        <v/>
      </c>
      <c r="E2442" s="65" t="str">
        <f>IF($B2442="","",VLOOKUP(MONTH(C2442),Parameters!$F$2:$G$13,2,0))</f>
        <v/>
      </c>
      <c r="F2442" s="69" t="str">
        <f>IF($B2442="","",PV-N(J2441))</f>
        <v/>
      </c>
      <c r="G2442" s="69" t="str">
        <f>IF($B2442="","",PMT(Rate,Nper,-PV,,Type))</f>
        <v/>
      </c>
      <c r="H2442" s="69" t="str">
        <f>IF($B2442="","",PPMT(Rate,ROWS($1:2430),Nper,-PV,,Type))</f>
        <v/>
      </c>
      <c r="I2442" s="69" t="str">
        <f>IF($B2442="","",IPMT(Rate,ROWS($1:2430),Nper,-PV,,Type))</f>
        <v/>
      </c>
      <c r="J2442" s="73" t="str">
        <f t="shared" ref="J2442:K2442" si="2432">IF($B2442="","",N(J2441)+N(H2442))</f>
        <v/>
      </c>
      <c r="K2442" s="74" t="str">
        <f t="shared" si="2432"/>
        <v/>
      </c>
      <c r="L2442" s="69" t="str">
        <f>IF($B2442="","",PV-J2442)</f>
        <v/>
      </c>
      <c r="M2442" s="71" t="str">
        <f>IF($B2442="","",J2442/PV)</f>
        <v/>
      </c>
      <c r="N2442" s="72" t="str">
        <f t="shared" si="4"/>
        <v/>
      </c>
    </row>
    <row r="2443" ht="14.25" customHeight="1">
      <c r="B2443" s="66" t="str">
        <f>IF(ROWS($1:2431)&lt;=Nper,ROWS($1:2431),"")</f>
        <v/>
      </c>
      <c r="C2443" s="67" t="str">
        <f>IF($B2443="","",IF($E$7="Weekly",Start_Date+7*(ROWS($1:2431)-1),EDATE(Start_Date,VLOOKUP(IF(ASTemp!$E$7="","Monthly",ASTemp!$E$7),Parameters!$B$3:$D$6,3,0)*(ROWS($1:2431)-1))))</f>
        <v/>
      </c>
      <c r="D2443" s="68" t="str">
        <f t="shared" si="2"/>
        <v/>
      </c>
      <c r="E2443" s="65" t="str">
        <f>IF($B2443="","",VLOOKUP(MONTH(C2443),Parameters!$F$2:$G$13,2,0))</f>
        <v/>
      </c>
      <c r="F2443" s="69" t="str">
        <f>IF($B2443="","",PV-N(J2442))</f>
        <v/>
      </c>
      <c r="G2443" s="69" t="str">
        <f>IF($B2443="","",PMT(Rate,Nper,-PV,,Type))</f>
        <v/>
      </c>
      <c r="H2443" s="69" t="str">
        <f>IF($B2443="","",PPMT(Rate,ROWS($1:2431),Nper,-PV,,Type))</f>
        <v/>
      </c>
      <c r="I2443" s="69" t="str">
        <f>IF($B2443="","",IPMT(Rate,ROWS($1:2431),Nper,-PV,,Type))</f>
        <v/>
      </c>
      <c r="J2443" s="73" t="str">
        <f t="shared" ref="J2443:K2443" si="2433">IF($B2443="","",N(J2442)+N(H2443))</f>
        <v/>
      </c>
      <c r="K2443" s="74" t="str">
        <f t="shared" si="2433"/>
        <v/>
      </c>
      <c r="L2443" s="69" t="str">
        <f>IF($B2443="","",PV-J2443)</f>
        <v/>
      </c>
      <c r="M2443" s="71" t="str">
        <f>IF($B2443="","",J2443/PV)</f>
        <v/>
      </c>
      <c r="N2443" s="72" t="str">
        <f t="shared" si="4"/>
        <v/>
      </c>
    </row>
    <row r="2444" ht="14.25" customHeight="1">
      <c r="B2444" s="66" t="str">
        <f>IF(ROWS($1:2432)&lt;=Nper,ROWS($1:2432),"")</f>
        <v/>
      </c>
      <c r="C2444" s="67" t="str">
        <f>IF($B2444="","",IF($E$7="Weekly",Start_Date+7*(ROWS($1:2432)-1),EDATE(Start_Date,VLOOKUP(IF(ASTemp!$E$7="","Monthly",ASTemp!$E$7),Parameters!$B$3:$D$6,3,0)*(ROWS($1:2432)-1))))</f>
        <v/>
      </c>
      <c r="D2444" s="68" t="str">
        <f t="shared" si="2"/>
        <v/>
      </c>
      <c r="E2444" s="65" t="str">
        <f>IF($B2444="","",VLOOKUP(MONTH(C2444),Parameters!$F$2:$G$13,2,0))</f>
        <v/>
      </c>
      <c r="F2444" s="69" t="str">
        <f>IF($B2444="","",PV-N(J2443))</f>
        <v/>
      </c>
      <c r="G2444" s="69" t="str">
        <f>IF($B2444="","",PMT(Rate,Nper,-PV,,Type))</f>
        <v/>
      </c>
      <c r="H2444" s="69" t="str">
        <f>IF($B2444="","",PPMT(Rate,ROWS($1:2432),Nper,-PV,,Type))</f>
        <v/>
      </c>
      <c r="I2444" s="69" t="str">
        <f>IF($B2444="","",IPMT(Rate,ROWS($1:2432),Nper,-PV,,Type))</f>
        <v/>
      </c>
      <c r="J2444" s="73" t="str">
        <f t="shared" ref="J2444:K2444" si="2434">IF($B2444="","",N(J2443)+N(H2444))</f>
        <v/>
      </c>
      <c r="K2444" s="74" t="str">
        <f t="shared" si="2434"/>
        <v/>
      </c>
      <c r="L2444" s="69" t="str">
        <f>IF($B2444="","",PV-J2444)</f>
        <v/>
      </c>
      <c r="M2444" s="71" t="str">
        <f>IF($B2444="","",J2444/PV)</f>
        <v/>
      </c>
      <c r="N2444" s="72" t="str">
        <f t="shared" si="4"/>
        <v/>
      </c>
    </row>
    <row r="2445" ht="14.25" customHeight="1">
      <c r="B2445" s="66" t="str">
        <f>IF(ROWS($1:2433)&lt;=Nper,ROWS($1:2433),"")</f>
        <v/>
      </c>
      <c r="C2445" s="67" t="str">
        <f>IF($B2445="","",IF($E$7="Weekly",Start_Date+7*(ROWS($1:2433)-1),EDATE(Start_Date,VLOOKUP(IF(ASTemp!$E$7="","Monthly",ASTemp!$E$7),Parameters!$B$3:$D$6,3,0)*(ROWS($1:2433)-1))))</f>
        <v/>
      </c>
      <c r="D2445" s="68" t="str">
        <f t="shared" si="2"/>
        <v/>
      </c>
      <c r="E2445" s="65" t="str">
        <f>IF($B2445="","",VLOOKUP(MONTH(C2445),Parameters!$F$2:$G$13,2,0))</f>
        <v/>
      </c>
      <c r="F2445" s="69" t="str">
        <f>IF($B2445="","",PV-N(J2444))</f>
        <v/>
      </c>
      <c r="G2445" s="69" t="str">
        <f>IF($B2445="","",PMT(Rate,Nper,-PV,,Type))</f>
        <v/>
      </c>
      <c r="H2445" s="69" t="str">
        <f>IF($B2445="","",PPMT(Rate,ROWS($1:2433),Nper,-PV,,Type))</f>
        <v/>
      </c>
      <c r="I2445" s="69" t="str">
        <f>IF($B2445="","",IPMT(Rate,ROWS($1:2433),Nper,-PV,,Type))</f>
        <v/>
      </c>
      <c r="J2445" s="73" t="str">
        <f t="shared" ref="J2445:K2445" si="2435">IF($B2445="","",N(J2444)+N(H2445))</f>
        <v/>
      </c>
      <c r="K2445" s="74" t="str">
        <f t="shared" si="2435"/>
        <v/>
      </c>
      <c r="L2445" s="69" t="str">
        <f>IF($B2445="","",PV-J2445)</f>
        <v/>
      </c>
      <c r="M2445" s="71" t="str">
        <f>IF($B2445="","",J2445/PV)</f>
        <v/>
      </c>
      <c r="N2445" s="72" t="str">
        <f t="shared" si="4"/>
        <v/>
      </c>
    </row>
    <row r="2446" ht="14.25" customHeight="1">
      <c r="B2446" s="66" t="str">
        <f>IF(ROWS($1:2434)&lt;=Nper,ROWS($1:2434),"")</f>
        <v/>
      </c>
      <c r="C2446" s="67" t="str">
        <f>IF($B2446="","",IF($E$7="Weekly",Start_Date+7*(ROWS($1:2434)-1),EDATE(Start_Date,VLOOKUP(IF(ASTemp!$E$7="","Monthly",ASTemp!$E$7),Parameters!$B$3:$D$6,3,0)*(ROWS($1:2434)-1))))</f>
        <v/>
      </c>
      <c r="D2446" s="68" t="str">
        <f t="shared" si="2"/>
        <v/>
      </c>
      <c r="E2446" s="65" t="str">
        <f>IF($B2446="","",VLOOKUP(MONTH(C2446),Parameters!$F$2:$G$13,2,0))</f>
        <v/>
      </c>
      <c r="F2446" s="69" t="str">
        <f>IF($B2446="","",PV-N(J2445))</f>
        <v/>
      </c>
      <c r="G2446" s="69" t="str">
        <f>IF($B2446="","",PMT(Rate,Nper,-PV,,Type))</f>
        <v/>
      </c>
      <c r="H2446" s="69" t="str">
        <f>IF($B2446="","",PPMT(Rate,ROWS($1:2434),Nper,-PV,,Type))</f>
        <v/>
      </c>
      <c r="I2446" s="69" t="str">
        <f>IF($B2446="","",IPMT(Rate,ROWS($1:2434),Nper,-PV,,Type))</f>
        <v/>
      </c>
      <c r="J2446" s="73" t="str">
        <f t="shared" ref="J2446:K2446" si="2436">IF($B2446="","",N(J2445)+N(H2446))</f>
        <v/>
      </c>
      <c r="K2446" s="74" t="str">
        <f t="shared" si="2436"/>
        <v/>
      </c>
      <c r="L2446" s="69" t="str">
        <f>IF($B2446="","",PV-J2446)</f>
        <v/>
      </c>
      <c r="M2446" s="71" t="str">
        <f>IF($B2446="","",J2446/PV)</f>
        <v/>
      </c>
      <c r="N2446" s="72" t="str">
        <f t="shared" si="4"/>
        <v/>
      </c>
    </row>
    <row r="2447" ht="14.25" customHeight="1">
      <c r="B2447" s="66" t="str">
        <f>IF(ROWS($1:2435)&lt;=Nper,ROWS($1:2435),"")</f>
        <v/>
      </c>
      <c r="C2447" s="67" t="str">
        <f>IF($B2447="","",IF($E$7="Weekly",Start_Date+7*(ROWS($1:2435)-1),EDATE(Start_Date,VLOOKUP(IF(ASTemp!$E$7="","Monthly",ASTemp!$E$7),Parameters!$B$3:$D$6,3,0)*(ROWS($1:2435)-1))))</f>
        <v/>
      </c>
      <c r="D2447" s="68" t="str">
        <f t="shared" si="2"/>
        <v/>
      </c>
      <c r="E2447" s="65" t="str">
        <f>IF($B2447="","",VLOOKUP(MONTH(C2447),Parameters!$F$2:$G$13,2,0))</f>
        <v/>
      </c>
      <c r="F2447" s="69" t="str">
        <f>IF($B2447="","",PV-N(J2446))</f>
        <v/>
      </c>
      <c r="G2447" s="69" t="str">
        <f>IF($B2447="","",PMT(Rate,Nper,-PV,,Type))</f>
        <v/>
      </c>
      <c r="H2447" s="69" t="str">
        <f>IF($B2447="","",PPMT(Rate,ROWS($1:2435),Nper,-PV,,Type))</f>
        <v/>
      </c>
      <c r="I2447" s="69" t="str">
        <f>IF($B2447="","",IPMT(Rate,ROWS($1:2435),Nper,-PV,,Type))</f>
        <v/>
      </c>
      <c r="J2447" s="73" t="str">
        <f t="shared" ref="J2447:K2447" si="2437">IF($B2447="","",N(J2446)+N(H2447))</f>
        <v/>
      </c>
      <c r="K2447" s="74" t="str">
        <f t="shared" si="2437"/>
        <v/>
      </c>
      <c r="L2447" s="69" t="str">
        <f>IF($B2447="","",PV-J2447)</f>
        <v/>
      </c>
      <c r="M2447" s="71" t="str">
        <f>IF($B2447="","",J2447/PV)</f>
        <v/>
      </c>
      <c r="N2447" s="72" t="str">
        <f t="shared" si="4"/>
        <v/>
      </c>
    </row>
    <row r="2448" ht="14.25" customHeight="1">
      <c r="B2448" s="66" t="str">
        <f>IF(ROWS($1:2436)&lt;=Nper,ROWS($1:2436),"")</f>
        <v/>
      </c>
      <c r="C2448" s="67" t="str">
        <f>IF($B2448="","",IF($E$7="Weekly",Start_Date+7*(ROWS($1:2436)-1),EDATE(Start_Date,VLOOKUP(IF(ASTemp!$E$7="","Monthly",ASTemp!$E$7),Parameters!$B$3:$D$6,3,0)*(ROWS($1:2436)-1))))</f>
        <v/>
      </c>
      <c r="D2448" s="68" t="str">
        <f t="shared" si="2"/>
        <v/>
      </c>
      <c r="E2448" s="65" t="str">
        <f>IF($B2448="","",VLOOKUP(MONTH(C2448),Parameters!$F$2:$G$13,2,0))</f>
        <v/>
      </c>
      <c r="F2448" s="69" t="str">
        <f>IF($B2448="","",PV-N(J2447))</f>
        <v/>
      </c>
      <c r="G2448" s="69" t="str">
        <f>IF($B2448="","",PMT(Rate,Nper,-PV,,Type))</f>
        <v/>
      </c>
      <c r="H2448" s="69" t="str">
        <f>IF($B2448="","",PPMT(Rate,ROWS($1:2436),Nper,-PV,,Type))</f>
        <v/>
      </c>
      <c r="I2448" s="69" t="str">
        <f>IF($B2448="","",IPMT(Rate,ROWS($1:2436),Nper,-PV,,Type))</f>
        <v/>
      </c>
      <c r="J2448" s="73" t="str">
        <f t="shared" ref="J2448:K2448" si="2438">IF($B2448="","",N(J2447)+N(H2448))</f>
        <v/>
      </c>
      <c r="K2448" s="74" t="str">
        <f t="shared" si="2438"/>
        <v/>
      </c>
      <c r="L2448" s="69" t="str">
        <f>IF($B2448="","",PV-J2448)</f>
        <v/>
      </c>
      <c r="M2448" s="71" t="str">
        <f>IF($B2448="","",J2448/PV)</f>
        <v/>
      </c>
      <c r="N2448" s="72" t="str">
        <f t="shared" si="4"/>
        <v/>
      </c>
    </row>
    <row r="2449" ht="14.25" customHeight="1">
      <c r="B2449" s="66" t="str">
        <f>IF(ROWS($1:2437)&lt;=Nper,ROWS($1:2437),"")</f>
        <v/>
      </c>
      <c r="C2449" s="67" t="str">
        <f>IF($B2449="","",IF($E$7="Weekly",Start_Date+7*(ROWS($1:2437)-1),EDATE(Start_Date,VLOOKUP(IF(ASTemp!$E$7="","Monthly",ASTemp!$E$7),Parameters!$B$3:$D$6,3,0)*(ROWS($1:2437)-1))))</f>
        <v/>
      </c>
      <c r="D2449" s="68" t="str">
        <f t="shared" si="2"/>
        <v/>
      </c>
      <c r="E2449" s="65" t="str">
        <f>IF($B2449="","",VLOOKUP(MONTH(C2449),Parameters!$F$2:$G$13,2,0))</f>
        <v/>
      </c>
      <c r="F2449" s="69" t="str">
        <f>IF($B2449="","",PV-N(J2448))</f>
        <v/>
      </c>
      <c r="G2449" s="69" t="str">
        <f>IF($B2449="","",PMT(Rate,Nper,-PV,,Type))</f>
        <v/>
      </c>
      <c r="H2449" s="69" t="str">
        <f>IF($B2449="","",PPMT(Rate,ROWS($1:2437),Nper,-PV,,Type))</f>
        <v/>
      </c>
      <c r="I2449" s="69" t="str">
        <f>IF($B2449="","",IPMT(Rate,ROWS($1:2437),Nper,-PV,,Type))</f>
        <v/>
      </c>
      <c r="J2449" s="73" t="str">
        <f t="shared" ref="J2449:K2449" si="2439">IF($B2449="","",N(J2448)+N(H2449))</f>
        <v/>
      </c>
      <c r="K2449" s="74" t="str">
        <f t="shared" si="2439"/>
        <v/>
      </c>
      <c r="L2449" s="69" t="str">
        <f>IF($B2449="","",PV-J2449)</f>
        <v/>
      </c>
      <c r="M2449" s="71" t="str">
        <f>IF($B2449="","",J2449/PV)</f>
        <v/>
      </c>
      <c r="N2449" s="72" t="str">
        <f t="shared" si="4"/>
        <v/>
      </c>
    </row>
    <row r="2450" ht="14.25" customHeight="1">
      <c r="B2450" s="66" t="str">
        <f>IF(ROWS($1:2438)&lt;=Nper,ROWS($1:2438),"")</f>
        <v/>
      </c>
      <c r="C2450" s="67" t="str">
        <f>IF($B2450="","",IF($E$7="Weekly",Start_Date+7*(ROWS($1:2438)-1),EDATE(Start_Date,VLOOKUP(IF(ASTemp!$E$7="","Monthly",ASTemp!$E$7),Parameters!$B$3:$D$6,3,0)*(ROWS($1:2438)-1))))</f>
        <v/>
      </c>
      <c r="D2450" s="68" t="str">
        <f t="shared" si="2"/>
        <v/>
      </c>
      <c r="E2450" s="65" t="str">
        <f>IF($B2450="","",VLOOKUP(MONTH(C2450),Parameters!$F$2:$G$13,2,0))</f>
        <v/>
      </c>
      <c r="F2450" s="69" t="str">
        <f>IF($B2450="","",PV-N(J2449))</f>
        <v/>
      </c>
      <c r="G2450" s="69" t="str">
        <f>IF($B2450="","",PMT(Rate,Nper,-PV,,Type))</f>
        <v/>
      </c>
      <c r="H2450" s="69" t="str">
        <f>IF($B2450="","",PPMT(Rate,ROWS($1:2438),Nper,-PV,,Type))</f>
        <v/>
      </c>
      <c r="I2450" s="69" t="str">
        <f>IF($B2450="","",IPMT(Rate,ROWS($1:2438),Nper,-PV,,Type))</f>
        <v/>
      </c>
      <c r="J2450" s="73" t="str">
        <f t="shared" ref="J2450:K2450" si="2440">IF($B2450="","",N(J2449)+N(H2450))</f>
        <v/>
      </c>
      <c r="K2450" s="74" t="str">
        <f t="shared" si="2440"/>
        <v/>
      </c>
      <c r="L2450" s="69" t="str">
        <f>IF($B2450="","",PV-J2450)</f>
        <v/>
      </c>
      <c r="M2450" s="71" t="str">
        <f>IF($B2450="","",J2450/PV)</f>
        <v/>
      </c>
      <c r="N2450" s="72" t="str">
        <f t="shared" si="4"/>
        <v/>
      </c>
    </row>
    <row r="2451" ht="14.25" customHeight="1">
      <c r="B2451" s="66" t="str">
        <f>IF(ROWS($1:2439)&lt;=Nper,ROWS($1:2439),"")</f>
        <v/>
      </c>
      <c r="C2451" s="67" t="str">
        <f>IF($B2451="","",IF($E$7="Weekly",Start_Date+7*(ROWS($1:2439)-1),EDATE(Start_Date,VLOOKUP(IF(ASTemp!$E$7="","Monthly",ASTemp!$E$7),Parameters!$B$3:$D$6,3,0)*(ROWS($1:2439)-1))))</f>
        <v/>
      </c>
      <c r="D2451" s="68" t="str">
        <f t="shared" si="2"/>
        <v/>
      </c>
      <c r="E2451" s="65" t="str">
        <f>IF($B2451="","",VLOOKUP(MONTH(C2451),Parameters!$F$2:$G$13,2,0))</f>
        <v/>
      </c>
      <c r="F2451" s="69" t="str">
        <f>IF($B2451="","",PV-N(J2450))</f>
        <v/>
      </c>
      <c r="G2451" s="69" t="str">
        <f>IF($B2451="","",PMT(Rate,Nper,-PV,,Type))</f>
        <v/>
      </c>
      <c r="H2451" s="69" t="str">
        <f>IF($B2451="","",PPMT(Rate,ROWS($1:2439),Nper,-PV,,Type))</f>
        <v/>
      </c>
      <c r="I2451" s="69" t="str">
        <f>IF($B2451="","",IPMT(Rate,ROWS($1:2439),Nper,-PV,,Type))</f>
        <v/>
      </c>
      <c r="J2451" s="73" t="str">
        <f t="shared" ref="J2451:K2451" si="2441">IF($B2451="","",N(J2450)+N(H2451))</f>
        <v/>
      </c>
      <c r="K2451" s="74" t="str">
        <f t="shared" si="2441"/>
        <v/>
      </c>
      <c r="L2451" s="69" t="str">
        <f>IF($B2451="","",PV-J2451)</f>
        <v/>
      </c>
      <c r="M2451" s="71" t="str">
        <f>IF($B2451="","",J2451/PV)</f>
        <v/>
      </c>
      <c r="N2451" s="72" t="str">
        <f t="shared" si="4"/>
        <v/>
      </c>
    </row>
    <row r="2452" ht="14.25" customHeight="1">
      <c r="B2452" s="66" t="str">
        <f>IF(ROWS($1:2440)&lt;=Nper,ROWS($1:2440),"")</f>
        <v/>
      </c>
      <c r="C2452" s="67" t="str">
        <f>IF($B2452="","",IF($E$7="Weekly",Start_Date+7*(ROWS($1:2440)-1),EDATE(Start_Date,VLOOKUP(IF(ASTemp!$E$7="","Monthly",ASTemp!$E$7),Parameters!$B$3:$D$6,3,0)*(ROWS($1:2440)-1))))</f>
        <v/>
      </c>
      <c r="D2452" s="68" t="str">
        <f t="shared" si="2"/>
        <v/>
      </c>
      <c r="E2452" s="65" t="str">
        <f>IF($B2452="","",VLOOKUP(MONTH(C2452),Parameters!$F$2:$G$13,2,0))</f>
        <v/>
      </c>
      <c r="F2452" s="69" t="str">
        <f>IF($B2452="","",PV-N(J2451))</f>
        <v/>
      </c>
      <c r="G2452" s="69" t="str">
        <f>IF($B2452="","",PMT(Rate,Nper,-PV,,Type))</f>
        <v/>
      </c>
      <c r="H2452" s="69" t="str">
        <f>IF($B2452="","",PPMT(Rate,ROWS($1:2440),Nper,-PV,,Type))</f>
        <v/>
      </c>
      <c r="I2452" s="69" t="str">
        <f>IF($B2452="","",IPMT(Rate,ROWS($1:2440),Nper,-PV,,Type))</f>
        <v/>
      </c>
      <c r="J2452" s="73" t="str">
        <f t="shared" ref="J2452:K2452" si="2442">IF($B2452="","",N(J2451)+N(H2452))</f>
        <v/>
      </c>
      <c r="K2452" s="74" t="str">
        <f t="shared" si="2442"/>
        <v/>
      </c>
      <c r="L2452" s="69" t="str">
        <f>IF($B2452="","",PV-J2452)</f>
        <v/>
      </c>
      <c r="M2452" s="71" t="str">
        <f>IF($B2452="","",J2452/PV)</f>
        <v/>
      </c>
      <c r="N2452" s="72" t="str">
        <f t="shared" si="4"/>
        <v/>
      </c>
    </row>
    <row r="2453" ht="14.25" customHeight="1">
      <c r="B2453" s="66" t="str">
        <f>IF(ROWS($1:2441)&lt;=Nper,ROWS($1:2441),"")</f>
        <v/>
      </c>
      <c r="C2453" s="67" t="str">
        <f>IF($B2453="","",IF($E$7="Weekly",Start_Date+7*(ROWS($1:2441)-1),EDATE(Start_Date,VLOOKUP(IF(ASTemp!$E$7="","Monthly",ASTemp!$E$7),Parameters!$B$3:$D$6,3,0)*(ROWS($1:2441)-1))))</f>
        <v/>
      </c>
      <c r="D2453" s="68" t="str">
        <f t="shared" si="2"/>
        <v/>
      </c>
      <c r="E2453" s="65" t="str">
        <f>IF($B2453="","",VLOOKUP(MONTH(C2453),Parameters!$F$2:$G$13,2,0))</f>
        <v/>
      </c>
      <c r="F2453" s="69" t="str">
        <f>IF($B2453="","",PV-N(J2452))</f>
        <v/>
      </c>
      <c r="G2453" s="69" t="str">
        <f>IF($B2453="","",PMT(Rate,Nper,-PV,,Type))</f>
        <v/>
      </c>
      <c r="H2453" s="69" t="str">
        <f>IF($B2453="","",PPMT(Rate,ROWS($1:2441),Nper,-PV,,Type))</f>
        <v/>
      </c>
      <c r="I2453" s="69" t="str">
        <f>IF($B2453="","",IPMT(Rate,ROWS($1:2441),Nper,-PV,,Type))</f>
        <v/>
      </c>
      <c r="J2453" s="73" t="str">
        <f t="shared" ref="J2453:K2453" si="2443">IF($B2453="","",N(J2452)+N(H2453))</f>
        <v/>
      </c>
      <c r="K2453" s="74" t="str">
        <f t="shared" si="2443"/>
        <v/>
      </c>
      <c r="L2453" s="69" t="str">
        <f>IF($B2453="","",PV-J2453)</f>
        <v/>
      </c>
      <c r="M2453" s="71" t="str">
        <f>IF($B2453="","",J2453/PV)</f>
        <v/>
      </c>
      <c r="N2453" s="72" t="str">
        <f t="shared" si="4"/>
        <v/>
      </c>
    </row>
    <row r="2454" ht="14.25" customHeight="1">
      <c r="B2454" s="66" t="str">
        <f>IF(ROWS($1:2442)&lt;=Nper,ROWS($1:2442),"")</f>
        <v/>
      </c>
      <c r="C2454" s="67" t="str">
        <f>IF($B2454="","",IF($E$7="Weekly",Start_Date+7*(ROWS($1:2442)-1),EDATE(Start_Date,VLOOKUP(IF(ASTemp!$E$7="","Monthly",ASTemp!$E$7),Parameters!$B$3:$D$6,3,0)*(ROWS($1:2442)-1))))</f>
        <v/>
      </c>
      <c r="D2454" s="68" t="str">
        <f t="shared" si="2"/>
        <v/>
      </c>
      <c r="E2454" s="65" t="str">
        <f>IF($B2454="","",VLOOKUP(MONTH(C2454),Parameters!$F$2:$G$13,2,0))</f>
        <v/>
      </c>
      <c r="F2454" s="69" t="str">
        <f>IF($B2454="","",PV-N(J2453))</f>
        <v/>
      </c>
      <c r="G2454" s="69" t="str">
        <f>IF($B2454="","",PMT(Rate,Nper,-PV,,Type))</f>
        <v/>
      </c>
      <c r="H2454" s="69" t="str">
        <f>IF($B2454="","",PPMT(Rate,ROWS($1:2442),Nper,-PV,,Type))</f>
        <v/>
      </c>
      <c r="I2454" s="69" t="str">
        <f>IF($B2454="","",IPMT(Rate,ROWS($1:2442),Nper,-PV,,Type))</f>
        <v/>
      </c>
      <c r="J2454" s="73" t="str">
        <f t="shared" ref="J2454:K2454" si="2444">IF($B2454="","",N(J2453)+N(H2454))</f>
        <v/>
      </c>
      <c r="K2454" s="74" t="str">
        <f t="shared" si="2444"/>
        <v/>
      </c>
      <c r="L2454" s="69" t="str">
        <f>IF($B2454="","",PV-J2454)</f>
        <v/>
      </c>
      <c r="M2454" s="71" t="str">
        <f>IF($B2454="","",J2454/PV)</f>
        <v/>
      </c>
      <c r="N2454" s="72" t="str">
        <f t="shared" si="4"/>
        <v/>
      </c>
    </row>
    <row r="2455" ht="14.25" customHeight="1">
      <c r="B2455" s="66" t="str">
        <f>IF(ROWS($1:2443)&lt;=Nper,ROWS($1:2443),"")</f>
        <v/>
      </c>
      <c r="C2455" s="67" t="str">
        <f>IF($B2455="","",IF($E$7="Weekly",Start_Date+7*(ROWS($1:2443)-1),EDATE(Start_Date,VLOOKUP(IF(ASTemp!$E$7="","Monthly",ASTemp!$E$7),Parameters!$B$3:$D$6,3,0)*(ROWS($1:2443)-1))))</f>
        <v/>
      </c>
      <c r="D2455" s="68" t="str">
        <f t="shared" si="2"/>
        <v/>
      </c>
      <c r="E2455" s="65" t="str">
        <f>IF($B2455="","",VLOOKUP(MONTH(C2455),Parameters!$F$2:$G$13,2,0))</f>
        <v/>
      </c>
      <c r="F2455" s="69" t="str">
        <f>IF($B2455="","",PV-N(J2454))</f>
        <v/>
      </c>
      <c r="G2455" s="69" t="str">
        <f>IF($B2455="","",PMT(Rate,Nper,-PV,,Type))</f>
        <v/>
      </c>
      <c r="H2455" s="69" t="str">
        <f>IF($B2455="","",PPMT(Rate,ROWS($1:2443),Nper,-PV,,Type))</f>
        <v/>
      </c>
      <c r="I2455" s="69" t="str">
        <f>IF($B2455="","",IPMT(Rate,ROWS($1:2443),Nper,-PV,,Type))</f>
        <v/>
      </c>
      <c r="J2455" s="73" t="str">
        <f t="shared" ref="J2455:K2455" si="2445">IF($B2455="","",N(J2454)+N(H2455))</f>
        <v/>
      </c>
      <c r="K2455" s="74" t="str">
        <f t="shared" si="2445"/>
        <v/>
      </c>
      <c r="L2455" s="69" t="str">
        <f>IF($B2455="","",PV-J2455)</f>
        <v/>
      </c>
      <c r="M2455" s="71" t="str">
        <f>IF($B2455="","",J2455/PV)</f>
        <v/>
      </c>
      <c r="N2455" s="72" t="str">
        <f t="shared" si="4"/>
        <v/>
      </c>
    </row>
    <row r="2456" ht="14.25" customHeight="1">
      <c r="B2456" s="66" t="str">
        <f>IF(ROWS($1:2444)&lt;=Nper,ROWS($1:2444),"")</f>
        <v/>
      </c>
      <c r="C2456" s="67" t="str">
        <f>IF($B2456="","",IF($E$7="Weekly",Start_Date+7*(ROWS($1:2444)-1),EDATE(Start_Date,VLOOKUP(IF(ASTemp!$E$7="","Monthly",ASTemp!$E$7),Parameters!$B$3:$D$6,3,0)*(ROWS($1:2444)-1))))</f>
        <v/>
      </c>
      <c r="D2456" s="68" t="str">
        <f t="shared" si="2"/>
        <v/>
      </c>
      <c r="E2456" s="65" t="str">
        <f>IF($B2456="","",VLOOKUP(MONTH(C2456),Parameters!$F$2:$G$13,2,0))</f>
        <v/>
      </c>
      <c r="F2456" s="69" t="str">
        <f>IF($B2456="","",PV-N(J2455))</f>
        <v/>
      </c>
      <c r="G2456" s="69" t="str">
        <f>IF($B2456="","",PMT(Rate,Nper,-PV,,Type))</f>
        <v/>
      </c>
      <c r="H2456" s="69" t="str">
        <f>IF($B2456="","",PPMT(Rate,ROWS($1:2444),Nper,-PV,,Type))</f>
        <v/>
      </c>
      <c r="I2456" s="69" t="str">
        <f>IF($B2456="","",IPMT(Rate,ROWS($1:2444),Nper,-PV,,Type))</f>
        <v/>
      </c>
      <c r="J2456" s="73" t="str">
        <f t="shared" ref="J2456:K2456" si="2446">IF($B2456="","",N(J2455)+N(H2456))</f>
        <v/>
      </c>
      <c r="K2456" s="74" t="str">
        <f t="shared" si="2446"/>
        <v/>
      </c>
      <c r="L2456" s="69" t="str">
        <f>IF($B2456="","",PV-J2456)</f>
        <v/>
      </c>
      <c r="M2456" s="71" t="str">
        <f>IF($B2456="","",J2456/PV)</f>
        <v/>
      </c>
      <c r="N2456" s="72" t="str">
        <f t="shared" si="4"/>
        <v/>
      </c>
    </row>
    <row r="2457" ht="14.25" customHeight="1">
      <c r="B2457" s="66" t="str">
        <f>IF(ROWS($1:2445)&lt;=Nper,ROWS($1:2445),"")</f>
        <v/>
      </c>
      <c r="C2457" s="67" t="str">
        <f>IF($B2457="","",IF($E$7="Weekly",Start_Date+7*(ROWS($1:2445)-1),EDATE(Start_Date,VLOOKUP(IF(ASTemp!$E$7="","Monthly",ASTemp!$E$7),Parameters!$B$3:$D$6,3,0)*(ROWS($1:2445)-1))))</f>
        <v/>
      </c>
      <c r="D2457" s="68" t="str">
        <f t="shared" si="2"/>
        <v/>
      </c>
      <c r="E2457" s="65" t="str">
        <f>IF($B2457="","",VLOOKUP(MONTH(C2457),Parameters!$F$2:$G$13,2,0))</f>
        <v/>
      </c>
      <c r="F2457" s="69" t="str">
        <f>IF($B2457="","",PV-N(J2456))</f>
        <v/>
      </c>
      <c r="G2457" s="69" t="str">
        <f>IF($B2457="","",PMT(Rate,Nper,-PV,,Type))</f>
        <v/>
      </c>
      <c r="H2457" s="69" t="str">
        <f>IF($B2457="","",PPMT(Rate,ROWS($1:2445),Nper,-PV,,Type))</f>
        <v/>
      </c>
      <c r="I2457" s="69" t="str">
        <f>IF($B2457="","",IPMT(Rate,ROWS($1:2445),Nper,-PV,,Type))</f>
        <v/>
      </c>
      <c r="J2457" s="73" t="str">
        <f t="shared" ref="J2457:K2457" si="2447">IF($B2457="","",N(J2456)+N(H2457))</f>
        <v/>
      </c>
      <c r="K2457" s="74" t="str">
        <f t="shared" si="2447"/>
        <v/>
      </c>
      <c r="L2457" s="69" t="str">
        <f>IF($B2457="","",PV-J2457)</f>
        <v/>
      </c>
      <c r="M2457" s="71" t="str">
        <f>IF($B2457="","",J2457/PV)</f>
        <v/>
      </c>
      <c r="N2457" s="72" t="str">
        <f t="shared" si="4"/>
        <v/>
      </c>
    </row>
    <row r="2458" ht="14.25" customHeight="1">
      <c r="B2458" s="66" t="str">
        <f>IF(ROWS($1:2446)&lt;=Nper,ROWS($1:2446),"")</f>
        <v/>
      </c>
      <c r="C2458" s="67" t="str">
        <f>IF($B2458="","",IF($E$7="Weekly",Start_Date+7*(ROWS($1:2446)-1),EDATE(Start_Date,VLOOKUP(IF(ASTemp!$E$7="","Monthly",ASTemp!$E$7),Parameters!$B$3:$D$6,3,0)*(ROWS($1:2446)-1))))</f>
        <v/>
      </c>
      <c r="D2458" s="68" t="str">
        <f t="shared" si="2"/>
        <v/>
      </c>
      <c r="E2458" s="65" t="str">
        <f>IF($B2458="","",VLOOKUP(MONTH(C2458),Parameters!$F$2:$G$13,2,0))</f>
        <v/>
      </c>
      <c r="F2458" s="69" t="str">
        <f>IF($B2458="","",PV-N(J2457))</f>
        <v/>
      </c>
      <c r="G2458" s="69" t="str">
        <f>IF($B2458="","",PMT(Rate,Nper,-PV,,Type))</f>
        <v/>
      </c>
      <c r="H2458" s="69" t="str">
        <f>IF($B2458="","",PPMT(Rate,ROWS($1:2446),Nper,-PV,,Type))</f>
        <v/>
      </c>
      <c r="I2458" s="69" t="str">
        <f>IF($B2458="","",IPMT(Rate,ROWS($1:2446),Nper,-PV,,Type))</f>
        <v/>
      </c>
      <c r="J2458" s="73" t="str">
        <f t="shared" ref="J2458:K2458" si="2448">IF($B2458="","",N(J2457)+N(H2458))</f>
        <v/>
      </c>
      <c r="K2458" s="74" t="str">
        <f t="shared" si="2448"/>
        <v/>
      </c>
      <c r="L2458" s="69" t="str">
        <f>IF($B2458="","",PV-J2458)</f>
        <v/>
      </c>
      <c r="M2458" s="71" t="str">
        <f>IF($B2458="","",J2458/PV)</f>
        <v/>
      </c>
      <c r="N2458" s="72" t="str">
        <f t="shared" si="4"/>
        <v/>
      </c>
    </row>
    <row r="2459" ht="14.25" customHeight="1">
      <c r="B2459" s="66" t="str">
        <f>IF(ROWS($1:2447)&lt;=Nper,ROWS($1:2447),"")</f>
        <v/>
      </c>
      <c r="C2459" s="67" t="str">
        <f>IF($B2459="","",IF($E$7="Weekly",Start_Date+7*(ROWS($1:2447)-1),EDATE(Start_Date,VLOOKUP(IF(ASTemp!$E$7="","Monthly",ASTemp!$E$7),Parameters!$B$3:$D$6,3,0)*(ROWS($1:2447)-1))))</f>
        <v/>
      </c>
      <c r="D2459" s="68" t="str">
        <f t="shared" si="2"/>
        <v/>
      </c>
      <c r="E2459" s="65" t="str">
        <f>IF($B2459="","",VLOOKUP(MONTH(C2459),Parameters!$F$2:$G$13,2,0))</f>
        <v/>
      </c>
      <c r="F2459" s="69" t="str">
        <f>IF($B2459="","",PV-N(J2458))</f>
        <v/>
      </c>
      <c r="G2459" s="69" t="str">
        <f>IF($B2459="","",PMT(Rate,Nper,-PV,,Type))</f>
        <v/>
      </c>
      <c r="H2459" s="69" t="str">
        <f>IF($B2459="","",PPMT(Rate,ROWS($1:2447),Nper,-PV,,Type))</f>
        <v/>
      </c>
      <c r="I2459" s="69" t="str">
        <f>IF($B2459="","",IPMT(Rate,ROWS($1:2447),Nper,-PV,,Type))</f>
        <v/>
      </c>
      <c r="J2459" s="73" t="str">
        <f t="shared" ref="J2459:K2459" si="2449">IF($B2459="","",N(J2458)+N(H2459))</f>
        <v/>
      </c>
      <c r="K2459" s="74" t="str">
        <f t="shared" si="2449"/>
        <v/>
      </c>
      <c r="L2459" s="69" t="str">
        <f>IF($B2459="","",PV-J2459)</f>
        <v/>
      </c>
      <c r="M2459" s="71" t="str">
        <f>IF($B2459="","",J2459/PV)</f>
        <v/>
      </c>
      <c r="N2459" s="72" t="str">
        <f t="shared" si="4"/>
        <v/>
      </c>
    </row>
    <row r="2460" ht="14.25" customHeight="1">
      <c r="B2460" s="66" t="str">
        <f>IF(ROWS($1:2448)&lt;=Nper,ROWS($1:2448),"")</f>
        <v/>
      </c>
      <c r="C2460" s="67" t="str">
        <f>IF($B2460="","",IF($E$7="Weekly",Start_Date+7*(ROWS($1:2448)-1),EDATE(Start_Date,VLOOKUP(IF(ASTemp!$E$7="","Monthly",ASTemp!$E$7),Parameters!$B$3:$D$6,3,0)*(ROWS($1:2448)-1))))</f>
        <v/>
      </c>
      <c r="D2460" s="68" t="str">
        <f t="shared" si="2"/>
        <v/>
      </c>
      <c r="E2460" s="65" t="str">
        <f>IF($B2460="","",VLOOKUP(MONTH(C2460),Parameters!$F$2:$G$13,2,0))</f>
        <v/>
      </c>
      <c r="F2460" s="69" t="str">
        <f>IF($B2460="","",PV-N(J2459))</f>
        <v/>
      </c>
      <c r="G2460" s="69" t="str">
        <f>IF($B2460="","",PMT(Rate,Nper,-PV,,Type))</f>
        <v/>
      </c>
      <c r="H2460" s="69" t="str">
        <f>IF($B2460="","",PPMT(Rate,ROWS($1:2448),Nper,-PV,,Type))</f>
        <v/>
      </c>
      <c r="I2460" s="69" t="str">
        <f>IF($B2460="","",IPMT(Rate,ROWS($1:2448),Nper,-PV,,Type))</f>
        <v/>
      </c>
      <c r="J2460" s="73" t="str">
        <f t="shared" ref="J2460:K2460" si="2450">IF($B2460="","",N(J2459)+N(H2460))</f>
        <v/>
      </c>
      <c r="K2460" s="74" t="str">
        <f t="shared" si="2450"/>
        <v/>
      </c>
      <c r="L2460" s="69" t="str">
        <f>IF($B2460="","",PV-J2460)</f>
        <v/>
      </c>
      <c r="M2460" s="71" t="str">
        <f>IF($B2460="","",J2460/PV)</f>
        <v/>
      </c>
      <c r="N2460" s="72" t="str">
        <f t="shared" si="4"/>
        <v/>
      </c>
    </row>
    <row r="2461" ht="14.25" customHeight="1">
      <c r="B2461" s="66" t="str">
        <f>IF(ROWS($1:2449)&lt;=Nper,ROWS($1:2449),"")</f>
        <v/>
      </c>
      <c r="C2461" s="67" t="str">
        <f>IF($B2461="","",IF($E$7="Weekly",Start_Date+7*(ROWS($1:2449)-1),EDATE(Start_Date,VLOOKUP(IF(ASTemp!$E$7="","Monthly",ASTemp!$E$7),Parameters!$B$3:$D$6,3,0)*(ROWS($1:2449)-1))))</f>
        <v/>
      </c>
      <c r="D2461" s="68" t="str">
        <f t="shared" si="2"/>
        <v/>
      </c>
      <c r="E2461" s="65" t="str">
        <f>IF($B2461="","",VLOOKUP(MONTH(C2461),Parameters!$F$2:$G$13,2,0))</f>
        <v/>
      </c>
      <c r="F2461" s="69" t="str">
        <f>IF($B2461="","",PV-N(J2460))</f>
        <v/>
      </c>
      <c r="G2461" s="69" t="str">
        <f>IF($B2461="","",PMT(Rate,Nper,-PV,,Type))</f>
        <v/>
      </c>
      <c r="H2461" s="69" t="str">
        <f>IF($B2461="","",PPMT(Rate,ROWS($1:2449),Nper,-PV,,Type))</f>
        <v/>
      </c>
      <c r="I2461" s="69" t="str">
        <f>IF($B2461="","",IPMT(Rate,ROWS($1:2449),Nper,-PV,,Type))</f>
        <v/>
      </c>
      <c r="J2461" s="73" t="str">
        <f t="shared" ref="J2461:K2461" si="2451">IF($B2461="","",N(J2460)+N(H2461))</f>
        <v/>
      </c>
      <c r="K2461" s="74" t="str">
        <f t="shared" si="2451"/>
        <v/>
      </c>
      <c r="L2461" s="69" t="str">
        <f>IF($B2461="","",PV-J2461)</f>
        <v/>
      </c>
      <c r="M2461" s="71" t="str">
        <f>IF($B2461="","",J2461/PV)</f>
        <v/>
      </c>
      <c r="N2461" s="72" t="str">
        <f t="shared" si="4"/>
        <v/>
      </c>
    </row>
    <row r="2462" ht="14.25" customHeight="1">
      <c r="B2462" s="66" t="str">
        <f>IF(ROWS($1:2450)&lt;=Nper,ROWS($1:2450),"")</f>
        <v/>
      </c>
      <c r="C2462" s="67" t="str">
        <f>IF($B2462="","",IF($E$7="Weekly",Start_Date+7*(ROWS($1:2450)-1),EDATE(Start_Date,VLOOKUP(IF(ASTemp!$E$7="","Monthly",ASTemp!$E$7),Parameters!$B$3:$D$6,3,0)*(ROWS($1:2450)-1))))</f>
        <v/>
      </c>
      <c r="D2462" s="68" t="str">
        <f t="shared" si="2"/>
        <v/>
      </c>
      <c r="E2462" s="65" t="str">
        <f>IF($B2462="","",VLOOKUP(MONTH(C2462),Parameters!$F$2:$G$13,2,0))</f>
        <v/>
      </c>
      <c r="F2462" s="69" t="str">
        <f>IF($B2462="","",PV-N(J2461))</f>
        <v/>
      </c>
      <c r="G2462" s="69" t="str">
        <f>IF($B2462="","",PMT(Rate,Nper,-PV,,Type))</f>
        <v/>
      </c>
      <c r="H2462" s="69" t="str">
        <f>IF($B2462="","",PPMT(Rate,ROWS($1:2450),Nper,-PV,,Type))</f>
        <v/>
      </c>
      <c r="I2462" s="69" t="str">
        <f>IF($B2462="","",IPMT(Rate,ROWS($1:2450),Nper,-PV,,Type))</f>
        <v/>
      </c>
      <c r="J2462" s="73" t="str">
        <f t="shared" ref="J2462:K2462" si="2452">IF($B2462="","",N(J2461)+N(H2462))</f>
        <v/>
      </c>
      <c r="K2462" s="74" t="str">
        <f t="shared" si="2452"/>
        <v/>
      </c>
      <c r="L2462" s="69" t="str">
        <f>IF($B2462="","",PV-J2462)</f>
        <v/>
      </c>
      <c r="M2462" s="71" t="str">
        <f>IF($B2462="","",J2462/PV)</f>
        <v/>
      </c>
      <c r="N2462" s="72" t="str">
        <f t="shared" si="4"/>
        <v/>
      </c>
    </row>
    <row r="2463" ht="14.25" customHeight="1">
      <c r="B2463" s="66" t="str">
        <f>IF(ROWS($1:2451)&lt;=Nper,ROWS($1:2451),"")</f>
        <v/>
      </c>
      <c r="C2463" s="67" t="str">
        <f>IF($B2463="","",IF($E$7="Weekly",Start_Date+7*(ROWS($1:2451)-1),EDATE(Start_Date,VLOOKUP(IF(ASTemp!$E$7="","Monthly",ASTemp!$E$7),Parameters!$B$3:$D$6,3,0)*(ROWS($1:2451)-1))))</f>
        <v/>
      </c>
      <c r="D2463" s="68" t="str">
        <f t="shared" si="2"/>
        <v/>
      </c>
      <c r="E2463" s="65" t="str">
        <f>IF($B2463="","",VLOOKUP(MONTH(C2463),Parameters!$F$2:$G$13,2,0))</f>
        <v/>
      </c>
      <c r="F2463" s="69" t="str">
        <f>IF($B2463="","",PV-N(J2462))</f>
        <v/>
      </c>
      <c r="G2463" s="69" t="str">
        <f>IF($B2463="","",PMT(Rate,Nper,-PV,,Type))</f>
        <v/>
      </c>
      <c r="H2463" s="69" t="str">
        <f>IF($B2463="","",PPMT(Rate,ROWS($1:2451),Nper,-PV,,Type))</f>
        <v/>
      </c>
      <c r="I2463" s="69" t="str">
        <f>IF($B2463="","",IPMT(Rate,ROWS($1:2451),Nper,-PV,,Type))</f>
        <v/>
      </c>
      <c r="J2463" s="73" t="str">
        <f t="shared" ref="J2463:K2463" si="2453">IF($B2463="","",N(J2462)+N(H2463))</f>
        <v/>
      </c>
      <c r="K2463" s="74" t="str">
        <f t="shared" si="2453"/>
        <v/>
      </c>
      <c r="L2463" s="69" t="str">
        <f>IF($B2463="","",PV-J2463)</f>
        <v/>
      </c>
      <c r="M2463" s="71" t="str">
        <f>IF($B2463="","",J2463/PV)</f>
        <v/>
      </c>
      <c r="N2463" s="72" t="str">
        <f t="shared" si="4"/>
        <v/>
      </c>
    </row>
    <row r="2464" ht="14.25" customHeight="1">
      <c r="B2464" s="66" t="str">
        <f>IF(ROWS($1:2452)&lt;=Nper,ROWS($1:2452),"")</f>
        <v/>
      </c>
      <c r="C2464" s="67" t="str">
        <f>IF($B2464="","",IF($E$7="Weekly",Start_Date+7*(ROWS($1:2452)-1),EDATE(Start_Date,VLOOKUP(IF(ASTemp!$E$7="","Monthly",ASTemp!$E$7),Parameters!$B$3:$D$6,3,0)*(ROWS($1:2452)-1))))</f>
        <v/>
      </c>
      <c r="D2464" s="68" t="str">
        <f t="shared" si="2"/>
        <v/>
      </c>
      <c r="E2464" s="65" t="str">
        <f>IF($B2464="","",VLOOKUP(MONTH(C2464),Parameters!$F$2:$G$13,2,0))</f>
        <v/>
      </c>
      <c r="F2464" s="69" t="str">
        <f>IF($B2464="","",PV-N(J2463))</f>
        <v/>
      </c>
      <c r="G2464" s="69" t="str">
        <f>IF($B2464="","",PMT(Rate,Nper,-PV,,Type))</f>
        <v/>
      </c>
      <c r="H2464" s="69" t="str">
        <f>IF($B2464="","",PPMT(Rate,ROWS($1:2452),Nper,-PV,,Type))</f>
        <v/>
      </c>
      <c r="I2464" s="69" t="str">
        <f>IF($B2464="","",IPMT(Rate,ROWS($1:2452),Nper,-PV,,Type))</f>
        <v/>
      </c>
      <c r="J2464" s="73" t="str">
        <f t="shared" ref="J2464:K2464" si="2454">IF($B2464="","",N(J2463)+N(H2464))</f>
        <v/>
      </c>
      <c r="K2464" s="74" t="str">
        <f t="shared" si="2454"/>
        <v/>
      </c>
      <c r="L2464" s="69" t="str">
        <f>IF($B2464="","",PV-J2464)</f>
        <v/>
      </c>
      <c r="M2464" s="71" t="str">
        <f>IF($B2464="","",J2464/PV)</f>
        <v/>
      </c>
      <c r="N2464" s="72" t="str">
        <f t="shared" si="4"/>
        <v/>
      </c>
    </row>
    <row r="2465" ht="14.25" customHeight="1">
      <c r="B2465" s="66" t="str">
        <f>IF(ROWS($1:2453)&lt;=Nper,ROWS($1:2453),"")</f>
        <v/>
      </c>
      <c r="C2465" s="67" t="str">
        <f>IF($B2465="","",IF($E$7="Weekly",Start_Date+7*(ROWS($1:2453)-1),EDATE(Start_Date,VLOOKUP(IF(ASTemp!$E$7="","Monthly",ASTemp!$E$7),Parameters!$B$3:$D$6,3,0)*(ROWS($1:2453)-1))))</f>
        <v/>
      </c>
      <c r="D2465" s="68" t="str">
        <f t="shared" si="2"/>
        <v/>
      </c>
      <c r="E2465" s="65" t="str">
        <f>IF($B2465="","",VLOOKUP(MONTH(C2465),Parameters!$F$2:$G$13,2,0))</f>
        <v/>
      </c>
      <c r="F2465" s="69" t="str">
        <f>IF($B2465="","",PV-N(J2464))</f>
        <v/>
      </c>
      <c r="G2465" s="69" t="str">
        <f>IF($B2465="","",PMT(Rate,Nper,-PV,,Type))</f>
        <v/>
      </c>
      <c r="H2465" s="69" t="str">
        <f>IF($B2465="","",PPMT(Rate,ROWS($1:2453),Nper,-PV,,Type))</f>
        <v/>
      </c>
      <c r="I2465" s="69" t="str">
        <f>IF($B2465="","",IPMT(Rate,ROWS($1:2453),Nper,-PV,,Type))</f>
        <v/>
      </c>
      <c r="J2465" s="73" t="str">
        <f t="shared" ref="J2465:K2465" si="2455">IF($B2465="","",N(J2464)+N(H2465))</f>
        <v/>
      </c>
      <c r="K2465" s="74" t="str">
        <f t="shared" si="2455"/>
        <v/>
      </c>
      <c r="L2465" s="69" t="str">
        <f>IF($B2465="","",PV-J2465)</f>
        <v/>
      </c>
      <c r="M2465" s="71" t="str">
        <f>IF($B2465="","",J2465/PV)</f>
        <v/>
      </c>
      <c r="N2465" s="72" t="str">
        <f t="shared" si="4"/>
        <v/>
      </c>
    </row>
    <row r="2466" ht="14.25" customHeight="1">
      <c r="B2466" s="66" t="str">
        <f>IF(ROWS($1:2454)&lt;=Nper,ROWS($1:2454),"")</f>
        <v/>
      </c>
      <c r="C2466" s="67" t="str">
        <f>IF($B2466="","",IF($E$7="Weekly",Start_Date+7*(ROWS($1:2454)-1),EDATE(Start_Date,VLOOKUP(IF(ASTemp!$E$7="","Monthly",ASTemp!$E$7),Parameters!$B$3:$D$6,3,0)*(ROWS($1:2454)-1))))</f>
        <v/>
      </c>
      <c r="D2466" s="68" t="str">
        <f t="shared" si="2"/>
        <v/>
      </c>
      <c r="E2466" s="65" t="str">
        <f>IF($B2466="","",VLOOKUP(MONTH(C2466),Parameters!$F$2:$G$13,2,0))</f>
        <v/>
      </c>
      <c r="F2466" s="69" t="str">
        <f>IF($B2466="","",PV-N(J2465))</f>
        <v/>
      </c>
      <c r="G2466" s="69" t="str">
        <f>IF($B2466="","",PMT(Rate,Nper,-PV,,Type))</f>
        <v/>
      </c>
      <c r="H2466" s="69" t="str">
        <f>IF($B2466="","",PPMT(Rate,ROWS($1:2454),Nper,-PV,,Type))</f>
        <v/>
      </c>
      <c r="I2466" s="69" t="str">
        <f>IF($B2466="","",IPMT(Rate,ROWS($1:2454),Nper,-PV,,Type))</f>
        <v/>
      </c>
      <c r="J2466" s="73" t="str">
        <f t="shared" ref="J2466:K2466" si="2456">IF($B2466="","",N(J2465)+N(H2466))</f>
        <v/>
      </c>
      <c r="K2466" s="74" t="str">
        <f t="shared" si="2456"/>
        <v/>
      </c>
      <c r="L2466" s="69" t="str">
        <f>IF($B2466="","",PV-J2466)</f>
        <v/>
      </c>
      <c r="M2466" s="71" t="str">
        <f>IF($B2466="","",J2466/PV)</f>
        <v/>
      </c>
      <c r="N2466" s="72" t="str">
        <f t="shared" si="4"/>
        <v/>
      </c>
    </row>
    <row r="2467" ht="14.25" customHeight="1">
      <c r="B2467" s="66" t="str">
        <f>IF(ROWS($1:2455)&lt;=Nper,ROWS($1:2455),"")</f>
        <v/>
      </c>
      <c r="C2467" s="67" t="str">
        <f>IF($B2467="","",IF($E$7="Weekly",Start_Date+7*(ROWS($1:2455)-1),EDATE(Start_Date,VLOOKUP(IF(ASTemp!$E$7="","Monthly",ASTemp!$E$7),Parameters!$B$3:$D$6,3,0)*(ROWS($1:2455)-1))))</f>
        <v/>
      </c>
      <c r="D2467" s="68" t="str">
        <f t="shared" si="2"/>
        <v/>
      </c>
      <c r="E2467" s="65" t="str">
        <f>IF($B2467="","",VLOOKUP(MONTH(C2467),Parameters!$F$2:$G$13,2,0))</f>
        <v/>
      </c>
      <c r="F2467" s="69" t="str">
        <f>IF($B2467="","",PV-N(J2466))</f>
        <v/>
      </c>
      <c r="G2467" s="69" t="str">
        <f>IF($B2467="","",PMT(Rate,Nper,-PV,,Type))</f>
        <v/>
      </c>
      <c r="H2467" s="69" t="str">
        <f>IF($B2467="","",PPMT(Rate,ROWS($1:2455),Nper,-PV,,Type))</f>
        <v/>
      </c>
      <c r="I2467" s="69" t="str">
        <f>IF($B2467="","",IPMT(Rate,ROWS($1:2455),Nper,-PV,,Type))</f>
        <v/>
      </c>
      <c r="J2467" s="73" t="str">
        <f t="shared" ref="J2467:K2467" si="2457">IF($B2467="","",N(J2466)+N(H2467))</f>
        <v/>
      </c>
      <c r="K2467" s="74" t="str">
        <f t="shared" si="2457"/>
        <v/>
      </c>
      <c r="L2467" s="69" t="str">
        <f>IF($B2467="","",PV-J2467)</f>
        <v/>
      </c>
      <c r="M2467" s="71" t="str">
        <f>IF($B2467="","",J2467/PV)</f>
        <v/>
      </c>
      <c r="N2467" s="72" t="str">
        <f t="shared" si="4"/>
        <v/>
      </c>
    </row>
    <row r="2468" ht="14.25" customHeight="1">
      <c r="B2468" s="66" t="str">
        <f>IF(ROWS($1:2456)&lt;=Nper,ROWS($1:2456),"")</f>
        <v/>
      </c>
      <c r="C2468" s="67" t="str">
        <f>IF($B2468="","",IF($E$7="Weekly",Start_Date+7*(ROWS($1:2456)-1),EDATE(Start_Date,VLOOKUP(IF(ASTemp!$E$7="","Monthly",ASTemp!$E$7),Parameters!$B$3:$D$6,3,0)*(ROWS($1:2456)-1))))</f>
        <v/>
      </c>
      <c r="D2468" s="68" t="str">
        <f t="shared" si="2"/>
        <v/>
      </c>
      <c r="E2468" s="65" t="str">
        <f>IF($B2468="","",VLOOKUP(MONTH(C2468),Parameters!$F$2:$G$13,2,0))</f>
        <v/>
      </c>
      <c r="F2468" s="69" t="str">
        <f>IF($B2468="","",PV-N(J2467))</f>
        <v/>
      </c>
      <c r="G2468" s="69" t="str">
        <f>IF($B2468="","",PMT(Rate,Nper,-PV,,Type))</f>
        <v/>
      </c>
      <c r="H2468" s="69" t="str">
        <f>IF($B2468="","",PPMT(Rate,ROWS($1:2456),Nper,-PV,,Type))</f>
        <v/>
      </c>
      <c r="I2468" s="69" t="str">
        <f>IF($B2468="","",IPMT(Rate,ROWS($1:2456),Nper,-PV,,Type))</f>
        <v/>
      </c>
      <c r="J2468" s="73" t="str">
        <f t="shared" ref="J2468:K2468" si="2458">IF($B2468="","",N(J2467)+N(H2468))</f>
        <v/>
      </c>
      <c r="K2468" s="74" t="str">
        <f t="shared" si="2458"/>
        <v/>
      </c>
      <c r="L2468" s="69" t="str">
        <f>IF($B2468="","",PV-J2468)</f>
        <v/>
      </c>
      <c r="M2468" s="71" t="str">
        <f>IF($B2468="","",J2468/PV)</f>
        <v/>
      </c>
      <c r="N2468" s="72" t="str">
        <f t="shared" si="4"/>
        <v/>
      </c>
    </row>
    <row r="2469" ht="14.25" customHeight="1">
      <c r="B2469" s="66" t="str">
        <f>IF(ROWS($1:2457)&lt;=Nper,ROWS($1:2457),"")</f>
        <v/>
      </c>
      <c r="C2469" s="67" t="str">
        <f>IF($B2469="","",IF($E$7="Weekly",Start_Date+7*(ROWS($1:2457)-1),EDATE(Start_Date,VLOOKUP(IF(ASTemp!$E$7="","Monthly",ASTemp!$E$7),Parameters!$B$3:$D$6,3,0)*(ROWS($1:2457)-1))))</f>
        <v/>
      </c>
      <c r="D2469" s="68" t="str">
        <f t="shared" si="2"/>
        <v/>
      </c>
      <c r="E2469" s="65" t="str">
        <f>IF($B2469="","",VLOOKUP(MONTH(C2469),Parameters!$F$2:$G$13,2,0))</f>
        <v/>
      </c>
      <c r="F2469" s="69" t="str">
        <f>IF($B2469="","",PV-N(J2468))</f>
        <v/>
      </c>
      <c r="G2469" s="69" t="str">
        <f>IF($B2469="","",PMT(Rate,Nper,-PV,,Type))</f>
        <v/>
      </c>
      <c r="H2469" s="69" t="str">
        <f>IF($B2469="","",PPMT(Rate,ROWS($1:2457),Nper,-PV,,Type))</f>
        <v/>
      </c>
      <c r="I2469" s="69" t="str">
        <f>IF($B2469="","",IPMT(Rate,ROWS($1:2457),Nper,-PV,,Type))</f>
        <v/>
      </c>
      <c r="J2469" s="73" t="str">
        <f t="shared" ref="J2469:K2469" si="2459">IF($B2469="","",N(J2468)+N(H2469))</f>
        <v/>
      </c>
      <c r="K2469" s="74" t="str">
        <f t="shared" si="2459"/>
        <v/>
      </c>
      <c r="L2469" s="69" t="str">
        <f>IF($B2469="","",PV-J2469)</f>
        <v/>
      </c>
      <c r="M2469" s="71" t="str">
        <f>IF($B2469="","",J2469/PV)</f>
        <v/>
      </c>
      <c r="N2469" s="72" t="str">
        <f t="shared" si="4"/>
        <v/>
      </c>
    </row>
    <row r="2470" ht="14.25" customHeight="1">
      <c r="B2470" s="66" t="str">
        <f>IF(ROWS($1:2458)&lt;=Nper,ROWS($1:2458),"")</f>
        <v/>
      </c>
      <c r="C2470" s="67" t="str">
        <f>IF($B2470="","",IF($E$7="Weekly",Start_Date+7*(ROWS($1:2458)-1),EDATE(Start_Date,VLOOKUP(IF(ASTemp!$E$7="","Monthly",ASTemp!$E$7),Parameters!$B$3:$D$6,3,0)*(ROWS($1:2458)-1))))</f>
        <v/>
      </c>
      <c r="D2470" s="68" t="str">
        <f t="shared" si="2"/>
        <v/>
      </c>
      <c r="E2470" s="65" t="str">
        <f>IF($B2470="","",VLOOKUP(MONTH(C2470),Parameters!$F$2:$G$13,2,0))</f>
        <v/>
      </c>
      <c r="F2470" s="69" t="str">
        <f>IF($B2470="","",PV-N(J2469))</f>
        <v/>
      </c>
      <c r="G2470" s="69" t="str">
        <f>IF($B2470="","",PMT(Rate,Nper,-PV,,Type))</f>
        <v/>
      </c>
      <c r="H2470" s="69" t="str">
        <f>IF($B2470="","",PPMT(Rate,ROWS($1:2458),Nper,-PV,,Type))</f>
        <v/>
      </c>
      <c r="I2470" s="69" t="str">
        <f>IF($B2470="","",IPMT(Rate,ROWS($1:2458),Nper,-PV,,Type))</f>
        <v/>
      </c>
      <c r="J2470" s="73" t="str">
        <f t="shared" ref="J2470:K2470" si="2460">IF($B2470="","",N(J2469)+N(H2470))</f>
        <v/>
      </c>
      <c r="K2470" s="74" t="str">
        <f t="shared" si="2460"/>
        <v/>
      </c>
      <c r="L2470" s="69" t="str">
        <f>IF($B2470="","",PV-J2470)</f>
        <v/>
      </c>
      <c r="M2470" s="71" t="str">
        <f>IF($B2470="","",J2470/PV)</f>
        <v/>
      </c>
      <c r="N2470" s="72" t="str">
        <f t="shared" si="4"/>
        <v/>
      </c>
    </row>
    <row r="2471" ht="14.25" customHeight="1">
      <c r="B2471" s="66" t="str">
        <f>IF(ROWS($1:2459)&lt;=Nper,ROWS($1:2459),"")</f>
        <v/>
      </c>
      <c r="C2471" s="67" t="str">
        <f>IF($B2471="","",IF($E$7="Weekly",Start_Date+7*(ROWS($1:2459)-1),EDATE(Start_Date,VLOOKUP(IF(ASTemp!$E$7="","Monthly",ASTemp!$E$7),Parameters!$B$3:$D$6,3,0)*(ROWS($1:2459)-1))))</f>
        <v/>
      </c>
      <c r="D2471" s="68" t="str">
        <f t="shared" si="2"/>
        <v/>
      </c>
      <c r="E2471" s="65" t="str">
        <f>IF($B2471="","",VLOOKUP(MONTH(C2471),Parameters!$F$2:$G$13,2,0))</f>
        <v/>
      </c>
      <c r="F2471" s="69" t="str">
        <f>IF($B2471="","",PV-N(J2470))</f>
        <v/>
      </c>
      <c r="G2471" s="69" t="str">
        <f>IF($B2471="","",PMT(Rate,Nper,-PV,,Type))</f>
        <v/>
      </c>
      <c r="H2471" s="69" t="str">
        <f>IF($B2471="","",PPMT(Rate,ROWS($1:2459),Nper,-PV,,Type))</f>
        <v/>
      </c>
      <c r="I2471" s="69" t="str">
        <f>IF($B2471="","",IPMT(Rate,ROWS($1:2459),Nper,-PV,,Type))</f>
        <v/>
      </c>
      <c r="J2471" s="73" t="str">
        <f t="shared" ref="J2471:K2471" si="2461">IF($B2471="","",N(J2470)+N(H2471))</f>
        <v/>
      </c>
      <c r="K2471" s="74" t="str">
        <f t="shared" si="2461"/>
        <v/>
      </c>
      <c r="L2471" s="69" t="str">
        <f>IF($B2471="","",PV-J2471)</f>
        <v/>
      </c>
      <c r="M2471" s="71" t="str">
        <f>IF($B2471="","",J2471/PV)</f>
        <v/>
      </c>
      <c r="N2471" s="72" t="str">
        <f t="shared" si="4"/>
        <v/>
      </c>
    </row>
    <row r="2472" ht="14.25" customHeight="1">
      <c r="B2472" s="66" t="str">
        <f>IF(ROWS($1:2460)&lt;=Nper,ROWS($1:2460),"")</f>
        <v/>
      </c>
      <c r="C2472" s="67" t="str">
        <f>IF($B2472="","",IF($E$7="Weekly",Start_Date+7*(ROWS($1:2460)-1),EDATE(Start_Date,VLOOKUP(IF(ASTemp!$E$7="","Monthly",ASTemp!$E$7),Parameters!$B$3:$D$6,3,0)*(ROWS($1:2460)-1))))</f>
        <v/>
      </c>
      <c r="D2472" s="68" t="str">
        <f t="shared" si="2"/>
        <v/>
      </c>
      <c r="E2472" s="65" t="str">
        <f>IF($B2472="","",VLOOKUP(MONTH(C2472),Parameters!$F$2:$G$13,2,0))</f>
        <v/>
      </c>
      <c r="F2472" s="69" t="str">
        <f>IF($B2472="","",PV-N(J2471))</f>
        <v/>
      </c>
      <c r="G2472" s="69" t="str">
        <f>IF($B2472="","",PMT(Rate,Nper,-PV,,Type))</f>
        <v/>
      </c>
      <c r="H2472" s="69" t="str">
        <f>IF($B2472="","",PPMT(Rate,ROWS($1:2460),Nper,-PV,,Type))</f>
        <v/>
      </c>
      <c r="I2472" s="69" t="str">
        <f>IF($B2472="","",IPMT(Rate,ROWS($1:2460),Nper,-PV,,Type))</f>
        <v/>
      </c>
      <c r="J2472" s="73" t="str">
        <f t="shared" ref="J2472:K2472" si="2462">IF($B2472="","",N(J2471)+N(H2472))</f>
        <v/>
      </c>
      <c r="K2472" s="74" t="str">
        <f t="shared" si="2462"/>
        <v/>
      </c>
      <c r="L2472" s="69" t="str">
        <f>IF($B2472="","",PV-J2472)</f>
        <v/>
      </c>
      <c r="M2472" s="71" t="str">
        <f>IF($B2472="","",J2472/PV)</f>
        <v/>
      </c>
      <c r="N2472" s="72" t="str">
        <f t="shared" si="4"/>
        <v/>
      </c>
    </row>
    <row r="2473" ht="14.25" customHeight="1">
      <c r="B2473" s="66" t="str">
        <f>IF(ROWS($1:2461)&lt;=Nper,ROWS($1:2461),"")</f>
        <v/>
      </c>
      <c r="C2473" s="67" t="str">
        <f>IF($B2473="","",IF($E$7="Weekly",Start_Date+7*(ROWS($1:2461)-1),EDATE(Start_Date,VLOOKUP(IF(ASTemp!$E$7="","Monthly",ASTemp!$E$7),Parameters!$B$3:$D$6,3,0)*(ROWS($1:2461)-1))))</f>
        <v/>
      </c>
      <c r="D2473" s="68" t="str">
        <f t="shared" si="2"/>
        <v/>
      </c>
      <c r="E2473" s="65" t="str">
        <f>IF($B2473="","",VLOOKUP(MONTH(C2473),Parameters!$F$2:$G$13,2,0))</f>
        <v/>
      </c>
      <c r="F2473" s="69" t="str">
        <f>IF($B2473="","",PV-N(J2472))</f>
        <v/>
      </c>
      <c r="G2473" s="69" t="str">
        <f>IF($B2473="","",PMT(Rate,Nper,-PV,,Type))</f>
        <v/>
      </c>
      <c r="H2473" s="69" t="str">
        <f>IF($B2473="","",PPMT(Rate,ROWS($1:2461),Nper,-PV,,Type))</f>
        <v/>
      </c>
      <c r="I2473" s="69" t="str">
        <f>IF($B2473="","",IPMT(Rate,ROWS($1:2461),Nper,-PV,,Type))</f>
        <v/>
      </c>
      <c r="J2473" s="73" t="str">
        <f t="shared" ref="J2473:K2473" si="2463">IF($B2473="","",N(J2472)+N(H2473))</f>
        <v/>
      </c>
      <c r="K2473" s="74" t="str">
        <f t="shared" si="2463"/>
        <v/>
      </c>
      <c r="L2473" s="69" t="str">
        <f>IF($B2473="","",PV-J2473)</f>
        <v/>
      </c>
      <c r="M2473" s="71" t="str">
        <f>IF($B2473="","",J2473/PV)</f>
        <v/>
      </c>
      <c r="N2473" s="72" t="str">
        <f t="shared" si="4"/>
        <v/>
      </c>
    </row>
    <row r="2474" ht="14.25" customHeight="1">
      <c r="B2474" s="66" t="str">
        <f>IF(ROWS($1:2462)&lt;=Nper,ROWS($1:2462),"")</f>
        <v/>
      </c>
      <c r="C2474" s="67" t="str">
        <f>IF($B2474="","",IF($E$7="Weekly",Start_Date+7*(ROWS($1:2462)-1),EDATE(Start_Date,VLOOKUP(IF(ASTemp!$E$7="","Monthly",ASTemp!$E$7),Parameters!$B$3:$D$6,3,0)*(ROWS($1:2462)-1))))</f>
        <v/>
      </c>
      <c r="D2474" s="68" t="str">
        <f t="shared" si="2"/>
        <v/>
      </c>
      <c r="E2474" s="65" t="str">
        <f>IF($B2474="","",VLOOKUP(MONTH(C2474),Parameters!$F$2:$G$13,2,0))</f>
        <v/>
      </c>
      <c r="F2474" s="69" t="str">
        <f>IF($B2474="","",PV-N(J2473))</f>
        <v/>
      </c>
      <c r="G2474" s="69" t="str">
        <f>IF($B2474="","",PMT(Rate,Nper,-PV,,Type))</f>
        <v/>
      </c>
      <c r="H2474" s="69" t="str">
        <f>IF($B2474="","",PPMT(Rate,ROWS($1:2462),Nper,-PV,,Type))</f>
        <v/>
      </c>
      <c r="I2474" s="69" t="str">
        <f>IF($B2474="","",IPMT(Rate,ROWS($1:2462),Nper,-PV,,Type))</f>
        <v/>
      </c>
      <c r="J2474" s="73" t="str">
        <f t="shared" ref="J2474:K2474" si="2464">IF($B2474="","",N(J2473)+N(H2474))</f>
        <v/>
      </c>
      <c r="K2474" s="74" t="str">
        <f t="shared" si="2464"/>
        <v/>
      </c>
      <c r="L2474" s="69" t="str">
        <f>IF($B2474="","",PV-J2474)</f>
        <v/>
      </c>
      <c r="M2474" s="71" t="str">
        <f>IF($B2474="","",J2474/PV)</f>
        <v/>
      </c>
      <c r="N2474" s="72" t="str">
        <f t="shared" si="4"/>
        <v/>
      </c>
    </row>
    <row r="2475" ht="14.25" customHeight="1">
      <c r="B2475" s="66" t="str">
        <f>IF(ROWS($1:2463)&lt;=Nper,ROWS($1:2463),"")</f>
        <v/>
      </c>
      <c r="C2475" s="67" t="str">
        <f>IF($B2475="","",IF($E$7="Weekly",Start_Date+7*(ROWS($1:2463)-1),EDATE(Start_Date,VLOOKUP(IF(ASTemp!$E$7="","Monthly",ASTemp!$E$7),Parameters!$B$3:$D$6,3,0)*(ROWS($1:2463)-1))))</f>
        <v/>
      </c>
      <c r="D2475" s="68" t="str">
        <f t="shared" si="2"/>
        <v/>
      </c>
      <c r="E2475" s="65" t="str">
        <f>IF($B2475="","",VLOOKUP(MONTH(C2475),Parameters!$F$2:$G$13,2,0))</f>
        <v/>
      </c>
      <c r="F2475" s="69" t="str">
        <f>IF($B2475="","",PV-N(J2474))</f>
        <v/>
      </c>
      <c r="G2475" s="69" t="str">
        <f>IF($B2475="","",PMT(Rate,Nper,-PV,,Type))</f>
        <v/>
      </c>
      <c r="H2475" s="69" t="str">
        <f>IF($B2475="","",PPMT(Rate,ROWS($1:2463),Nper,-PV,,Type))</f>
        <v/>
      </c>
      <c r="I2475" s="69" t="str">
        <f>IF($B2475="","",IPMT(Rate,ROWS($1:2463),Nper,-PV,,Type))</f>
        <v/>
      </c>
      <c r="J2475" s="73" t="str">
        <f t="shared" ref="J2475:K2475" si="2465">IF($B2475="","",N(J2474)+N(H2475))</f>
        <v/>
      </c>
      <c r="K2475" s="74" t="str">
        <f t="shared" si="2465"/>
        <v/>
      </c>
      <c r="L2475" s="69" t="str">
        <f>IF($B2475="","",PV-J2475)</f>
        <v/>
      </c>
      <c r="M2475" s="71" t="str">
        <f>IF($B2475="","",J2475/PV)</f>
        <v/>
      </c>
      <c r="N2475" s="72" t="str">
        <f t="shared" si="4"/>
        <v/>
      </c>
    </row>
    <row r="2476" ht="14.25" customHeight="1">
      <c r="B2476" s="66" t="str">
        <f>IF(ROWS($1:2464)&lt;=Nper,ROWS($1:2464),"")</f>
        <v/>
      </c>
      <c r="C2476" s="67" t="str">
        <f>IF($B2476="","",IF($E$7="Weekly",Start_Date+7*(ROWS($1:2464)-1),EDATE(Start_Date,VLOOKUP(IF(ASTemp!$E$7="","Monthly",ASTemp!$E$7),Parameters!$B$3:$D$6,3,0)*(ROWS($1:2464)-1))))</f>
        <v/>
      </c>
      <c r="D2476" s="68" t="str">
        <f t="shared" si="2"/>
        <v/>
      </c>
      <c r="E2476" s="65" t="str">
        <f>IF($B2476="","",VLOOKUP(MONTH(C2476),Parameters!$F$2:$G$13,2,0))</f>
        <v/>
      </c>
      <c r="F2476" s="69" t="str">
        <f>IF($B2476="","",PV-N(J2475))</f>
        <v/>
      </c>
      <c r="G2476" s="69" t="str">
        <f>IF($B2476="","",PMT(Rate,Nper,-PV,,Type))</f>
        <v/>
      </c>
      <c r="H2476" s="69" t="str">
        <f>IF($B2476="","",PPMT(Rate,ROWS($1:2464),Nper,-PV,,Type))</f>
        <v/>
      </c>
      <c r="I2476" s="69" t="str">
        <f>IF($B2476="","",IPMT(Rate,ROWS($1:2464),Nper,-PV,,Type))</f>
        <v/>
      </c>
      <c r="J2476" s="73" t="str">
        <f t="shared" ref="J2476:K2476" si="2466">IF($B2476="","",N(J2475)+N(H2476))</f>
        <v/>
      </c>
      <c r="K2476" s="74" t="str">
        <f t="shared" si="2466"/>
        <v/>
      </c>
      <c r="L2476" s="69" t="str">
        <f>IF($B2476="","",PV-J2476)</f>
        <v/>
      </c>
      <c r="M2476" s="71" t="str">
        <f>IF($B2476="","",J2476/PV)</f>
        <v/>
      </c>
      <c r="N2476" s="72" t="str">
        <f t="shared" si="4"/>
        <v/>
      </c>
    </row>
    <row r="2477" ht="14.25" customHeight="1">
      <c r="B2477" s="66" t="str">
        <f>IF(ROWS($1:2465)&lt;=Nper,ROWS($1:2465),"")</f>
        <v/>
      </c>
      <c r="C2477" s="67" t="str">
        <f>IF($B2477="","",IF($E$7="Weekly",Start_Date+7*(ROWS($1:2465)-1),EDATE(Start_Date,VLOOKUP(IF(ASTemp!$E$7="","Monthly",ASTemp!$E$7),Parameters!$B$3:$D$6,3,0)*(ROWS($1:2465)-1))))</f>
        <v/>
      </c>
      <c r="D2477" s="68" t="str">
        <f t="shared" si="2"/>
        <v/>
      </c>
      <c r="E2477" s="65" t="str">
        <f>IF($B2477="","",VLOOKUP(MONTH(C2477),Parameters!$F$2:$G$13,2,0))</f>
        <v/>
      </c>
      <c r="F2477" s="69" t="str">
        <f>IF($B2477="","",PV-N(J2476))</f>
        <v/>
      </c>
      <c r="G2477" s="69" t="str">
        <f>IF($B2477="","",PMT(Rate,Nper,-PV,,Type))</f>
        <v/>
      </c>
      <c r="H2477" s="69" t="str">
        <f>IF($B2477="","",PPMT(Rate,ROWS($1:2465),Nper,-PV,,Type))</f>
        <v/>
      </c>
      <c r="I2477" s="69" t="str">
        <f>IF($B2477="","",IPMT(Rate,ROWS($1:2465),Nper,-PV,,Type))</f>
        <v/>
      </c>
      <c r="J2477" s="73" t="str">
        <f t="shared" ref="J2477:K2477" si="2467">IF($B2477="","",N(J2476)+N(H2477))</f>
        <v/>
      </c>
      <c r="K2477" s="74" t="str">
        <f t="shared" si="2467"/>
        <v/>
      </c>
      <c r="L2477" s="69" t="str">
        <f>IF($B2477="","",PV-J2477)</f>
        <v/>
      </c>
      <c r="M2477" s="71" t="str">
        <f>IF($B2477="","",J2477/PV)</f>
        <v/>
      </c>
      <c r="N2477" s="72" t="str">
        <f t="shared" si="4"/>
        <v/>
      </c>
    </row>
    <row r="2478" ht="14.25" customHeight="1">
      <c r="B2478" s="66" t="str">
        <f>IF(ROWS($1:2466)&lt;=Nper,ROWS($1:2466),"")</f>
        <v/>
      </c>
      <c r="C2478" s="67" t="str">
        <f>IF($B2478="","",IF($E$7="Weekly",Start_Date+7*(ROWS($1:2466)-1),EDATE(Start_Date,VLOOKUP(IF(ASTemp!$E$7="","Monthly",ASTemp!$E$7),Parameters!$B$3:$D$6,3,0)*(ROWS($1:2466)-1))))</f>
        <v/>
      </c>
      <c r="D2478" s="68" t="str">
        <f t="shared" si="2"/>
        <v/>
      </c>
      <c r="E2478" s="65" t="str">
        <f>IF($B2478="","",VLOOKUP(MONTH(C2478),Parameters!$F$2:$G$13,2,0))</f>
        <v/>
      </c>
      <c r="F2478" s="69" t="str">
        <f>IF($B2478="","",PV-N(J2477))</f>
        <v/>
      </c>
      <c r="G2478" s="69" t="str">
        <f>IF($B2478="","",PMT(Rate,Nper,-PV,,Type))</f>
        <v/>
      </c>
      <c r="H2478" s="69" t="str">
        <f>IF($B2478="","",PPMT(Rate,ROWS($1:2466),Nper,-PV,,Type))</f>
        <v/>
      </c>
      <c r="I2478" s="69" t="str">
        <f>IF($B2478="","",IPMT(Rate,ROWS($1:2466),Nper,-PV,,Type))</f>
        <v/>
      </c>
      <c r="J2478" s="73" t="str">
        <f t="shared" ref="J2478:K2478" si="2468">IF($B2478="","",N(J2477)+N(H2478))</f>
        <v/>
      </c>
      <c r="K2478" s="74" t="str">
        <f t="shared" si="2468"/>
        <v/>
      </c>
      <c r="L2478" s="69" t="str">
        <f>IF($B2478="","",PV-J2478)</f>
        <v/>
      </c>
      <c r="M2478" s="71" t="str">
        <f>IF($B2478="","",J2478/PV)</f>
        <v/>
      </c>
      <c r="N2478" s="72" t="str">
        <f t="shared" si="4"/>
        <v/>
      </c>
    </row>
    <row r="2479" ht="14.25" customHeight="1">
      <c r="B2479" s="66" t="str">
        <f>IF(ROWS($1:2467)&lt;=Nper,ROWS($1:2467),"")</f>
        <v/>
      </c>
      <c r="C2479" s="67" t="str">
        <f>IF($B2479="","",IF($E$7="Weekly",Start_Date+7*(ROWS($1:2467)-1),EDATE(Start_Date,VLOOKUP(IF(ASTemp!$E$7="","Monthly",ASTemp!$E$7),Parameters!$B$3:$D$6,3,0)*(ROWS($1:2467)-1))))</f>
        <v/>
      </c>
      <c r="D2479" s="68" t="str">
        <f t="shared" si="2"/>
        <v/>
      </c>
      <c r="E2479" s="65" t="str">
        <f>IF($B2479="","",VLOOKUP(MONTH(C2479),Parameters!$F$2:$G$13,2,0))</f>
        <v/>
      </c>
      <c r="F2479" s="69" t="str">
        <f>IF($B2479="","",PV-N(J2478))</f>
        <v/>
      </c>
      <c r="G2479" s="69" t="str">
        <f>IF($B2479="","",PMT(Rate,Nper,-PV,,Type))</f>
        <v/>
      </c>
      <c r="H2479" s="69" t="str">
        <f>IF($B2479="","",PPMT(Rate,ROWS($1:2467),Nper,-PV,,Type))</f>
        <v/>
      </c>
      <c r="I2479" s="69" t="str">
        <f>IF($B2479="","",IPMT(Rate,ROWS($1:2467),Nper,-PV,,Type))</f>
        <v/>
      </c>
      <c r="J2479" s="73" t="str">
        <f t="shared" ref="J2479:K2479" si="2469">IF($B2479="","",N(J2478)+N(H2479))</f>
        <v/>
      </c>
      <c r="K2479" s="74" t="str">
        <f t="shared" si="2469"/>
        <v/>
      </c>
      <c r="L2479" s="69" t="str">
        <f>IF($B2479="","",PV-J2479)</f>
        <v/>
      </c>
      <c r="M2479" s="71" t="str">
        <f>IF($B2479="","",J2479/PV)</f>
        <v/>
      </c>
      <c r="N2479" s="72" t="str">
        <f t="shared" si="4"/>
        <v/>
      </c>
    </row>
    <row r="2480" ht="14.25" customHeight="1">
      <c r="B2480" s="66" t="str">
        <f>IF(ROWS($1:2468)&lt;=Nper,ROWS($1:2468),"")</f>
        <v/>
      </c>
      <c r="C2480" s="67" t="str">
        <f>IF($B2480="","",IF($E$7="Weekly",Start_Date+7*(ROWS($1:2468)-1),EDATE(Start_Date,VLOOKUP(IF(ASTemp!$E$7="","Monthly",ASTemp!$E$7),Parameters!$B$3:$D$6,3,0)*(ROWS($1:2468)-1))))</f>
        <v/>
      </c>
      <c r="D2480" s="68" t="str">
        <f t="shared" si="2"/>
        <v/>
      </c>
      <c r="E2480" s="65" t="str">
        <f>IF($B2480="","",VLOOKUP(MONTH(C2480),Parameters!$F$2:$G$13,2,0))</f>
        <v/>
      </c>
      <c r="F2480" s="69" t="str">
        <f>IF($B2480="","",PV-N(J2479))</f>
        <v/>
      </c>
      <c r="G2480" s="69" t="str">
        <f>IF($B2480="","",PMT(Rate,Nper,-PV,,Type))</f>
        <v/>
      </c>
      <c r="H2480" s="69" t="str">
        <f>IF($B2480="","",PPMT(Rate,ROWS($1:2468),Nper,-PV,,Type))</f>
        <v/>
      </c>
      <c r="I2480" s="69" t="str">
        <f>IF($B2480="","",IPMT(Rate,ROWS($1:2468),Nper,-PV,,Type))</f>
        <v/>
      </c>
      <c r="J2480" s="73" t="str">
        <f t="shared" ref="J2480:K2480" si="2470">IF($B2480="","",N(J2479)+N(H2480))</f>
        <v/>
      </c>
      <c r="K2480" s="74" t="str">
        <f t="shared" si="2470"/>
        <v/>
      </c>
      <c r="L2480" s="69" t="str">
        <f>IF($B2480="","",PV-J2480)</f>
        <v/>
      </c>
      <c r="M2480" s="71" t="str">
        <f>IF($B2480="","",J2480/PV)</f>
        <v/>
      </c>
      <c r="N2480" s="72" t="str">
        <f t="shared" si="4"/>
        <v/>
      </c>
    </row>
    <row r="2481" ht="14.25" customHeight="1">
      <c r="B2481" s="66" t="str">
        <f>IF(ROWS($1:2469)&lt;=Nper,ROWS($1:2469),"")</f>
        <v/>
      </c>
      <c r="C2481" s="67" t="str">
        <f>IF($B2481="","",IF($E$7="Weekly",Start_Date+7*(ROWS($1:2469)-1),EDATE(Start_Date,VLOOKUP(IF(ASTemp!$E$7="","Monthly",ASTemp!$E$7),Parameters!$B$3:$D$6,3,0)*(ROWS($1:2469)-1))))</f>
        <v/>
      </c>
      <c r="D2481" s="68" t="str">
        <f t="shared" si="2"/>
        <v/>
      </c>
      <c r="E2481" s="65" t="str">
        <f>IF($B2481="","",VLOOKUP(MONTH(C2481),Parameters!$F$2:$G$13,2,0))</f>
        <v/>
      </c>
      <c r="F2481" s="69" t="str">
        <f>IF($B2481="","",PV-N(J2480))</f>
        <v/>
      </c>
      <c r="G2481" s="69" t="str">
        <f>IF($B2481="","",PMT(Rate,Nper,-PV,,Type))</f>
        <v/>
      </c>
      <c r="H2481" s="69" t="str">
        <f>IF($B2481="","",PPMT(Rate,ROWS($1:2469),Nper,-PV,,Type))</f>
        <v/>
      </c>
      <c r="I2481" s="69" t="str">
        <f>IF($B2481="","",IPMT(Rate,ROWS($1:2469),Nper,-PV,,Type))</f>
        <v/>
      </c>
      <c r="J2481" s="73" t="str">
        <f t="shared" ref="J2481:K2481" si="2471">IF($B2481="","",N(J2480)+N(H2481))</f>
        <v/>
      </c>
      <c r="K2481" s="74" t="str">
        <f t="shared" si="2471"/>
        <v/>
      </c>
      <c r="L2481" s="69" t="str">
        <f>IF($B2481="","",PV-J2481)</f>
        <v/>
      </c>
      <c r="M2481" s="71" t="str">
        <f>IF($B2481="","",J2481/PV)</f>
        <v/>
      </c>
      <c r="N2481" s="72" t="str">
        <f t="shared" si="4"/>
        <v/>
      </c>
    </row>
    <row r="2482" ht="14.25" customHeight="1">
      <c r="B2482" s="66" t="str">
        <f>IF(ROWS($1:2470)&lt;=Nper,ROWS($1:2470),"")</f>
        <v/>
      </c>
      <c r="C2482" s="67" t="str">
        <f>IF($B2482="","",IF($E$7="Weekly",Start_Date+7*(ROWS($1:2470)-1),EDATE(Start_Date,VLOOKUP(IF(ASTemp!$E$7="","Monthly",ASTemp!$E$7),Parameters!$B$3:$D$6,3,0)*(ROWS($1:2470)-1))))</f>
        <v/>
      </c>
      <c r="D2482" s="68" t="str">
        <f t="shared" si="2"/>
        <v/>
      </c>
      <c r="E2482" s="65" t="str">
        <f>IF($B2482="","",VLOOKUP(MONTH(C2482),Parameters!$F$2:$G$13,2,0))</f>
        <v/>
      </c>
      <c r="F2482" s="69" t="str">
        <f>IF($B2482="","",PV-N(J2481))</f>
        <v/>
      </c>
      <c r="G2482" s="69" t="str">
        <f>IF($B2482="","",PMT(Rate,Nper,-PV,,Type))</f>
        <v/>
      </c>
      <c r="H2482" s="69" t="str">
        <f>IF($B2482="","",PPMT(Rate,ROWS($1:2470),Nper,-PV,,Type))</f>
        <v/>
      </c>
      <c r="I2482" s="69" t="str">
        <f>IF($B2482="","",IPMT(Rate,ROWS($1:2470),Nper,-PV,,Type))</f>
        <v/>
      </c>
      <c r="J2482" s="73" t="str">
        <f t="shared" ref="J2482:K2482" si="2472">IF($B2482="","",N(J2481)+N(H2482))</f>
        <v/>
      </c>
      <c r="K2482" s="74" t="str">
        <f t="shared" si="2472"/>
        <v/>
      </c>
      <c r="L2482" s="69" t="str">
        <f>IF($B2482="","",PV-J2482)</f>
        <v/>
      </c>
      <c r="M2482" s="71" t="str">
        <f>IF($B2482="","",J2482/PV)</f>
        <v/>
      </c>
      <c r="N2482" s="72" t="str">
        <f t="shared" si="4"/>
        <v/>
      </c>
    </row>
    <row r="2483" ht="14.25" customHeight="1">
      <c r="B2483" s="66" t="str">
        <f>IF(ROWS($1:2471)&lt;=Nper,ROWS($1:2471),"")</f>
        <v/>
      </c>
      <c r="C2483" s="67" t="str">
        <f>IF($B2483="","",IF($E$7="Weekly",Start_Date+7*(ROWS($1:2471)-1),EDATE(Start_Date,VLOOKUP(IF(ASTemp!$E$7="","Monthly",ASTemp!$E$7),Parameters!$B$3:$D$6,3,0)*(ROWS($1:2471)-1))))</f>
        <v/>
      </c>
      <c r="D2483" s="68" t="str">
        <f t="shared" si="2"/>
        <v/>
      </c>
      <c r="E2483" s="65" t="str">
        <f>IF($B2483="","",VLOOKUP(MONTH(C2483),Parameters!$F$2:$G$13,2,0))</f>
        <v/>
      </c>
      <c r="F2483" s="69" t="str">
        <f>IF($B2483="","",PV-N(J2482))</f>
        <v/>
      </c>
      <c r="G2483" s="69" t="str">
        <f>IF($B2483="","",PMT(Rate,Nper,-PV,,Type))</f>
        <v/>
      </c>
      <c r="H2483" s="69" t="str">
        <f>IF($B2483="","",PPMT(Rate,ROWS($1:2471),Nper,-PV,,Type))</f>
        <v/>
      </c>
      <c r="I2483" s="69" t="str">
        <f>IF($B2483="","",IPMT(Rate,ROWS($1:2471),Nper,-PV,,Type))</f>
        <v/>
      </c>
      <c r="J2483" s="73" t="str">
        <f t="shared" ref="J2483:K2483" si="2473">IF($B2483="","",N(J2482)+N(H2483))</f>
        <v/>
      </c>
      <c r="K2483" s="74" t="str">
        <f t="shared" si="2473"/>
        <v/>
      </c>
      <c r="L2483" s="69" t="str">
        <f>IF($B2483="","",PV-J2483)</f>
        <v/>
      </c>
      <c r="M2483" s="71" t="str">
        <f>IF($B2483="","",J2483/PV)</f>
        <v/>
      </c>
      <c r="N2483" s="72" t="str">
        <f t="shared" si="4"/>
        <v/>
      </c>
    </row>
    <row r="2484" ht="14.25" customHeight="1">
      <c r="B2484" s="66" t="str">
        <f>IF(ROWS($1:2472)&lt;=Nper,ROWS($1:2472),"")</f>
        <v/>
      </c>
      <c r="C2484" s="67" t="str">
        <f>IF($B2484="","",IF($E$7="Weekly",Start_Date+7*(ROWS($1:2472)-1),EDATE(Start_Date,VLOOKUP(IF(ASTemp!$E$7="","Monthly",ASTemp!$E$7),Parameters!$B$3:$D$6,3,0)*(ROWS($1:2472)-1))))</f>
        <v/>
      </c>
      <c r="D2484" s="68" t="str">
        <f t="shared" si="2"/>
        <v/>
      </c>
      <c r="E2484" s="65" t="str">
        <f>IF($B2484="","",VLOOKUP(MONTH(C2484),Parameters!$F$2:$G$13,2,0))</f>
        <v/>
      </c>
      <c r="F2484" s="69" t="str">
        <f>IF($B2484="","",PV-N(J2483))</f>
        <v/>
      </c>
      <c r="G2484" s="69" t="str">
        <f>IF($B2484="","",PMT(Rate,Nper,-PV,,Type))</f>
        <v/>
      </c>
      <c r="H2484" s="69" t="str">
        <f>IF($B2484="","",PPMT(Rate,ROWS($1:2472),Nper,-PV,,Type))</f>
        <v/>
      </c>
      <c r="I2484" s="69" t="str">
        <f>IF($B2484="","",IPMT(Rate,ROWS($1:2472),Nper,-PV,,Type))</f>
        <v/>
      </c>
      <c r="J2484" s="73" t="str">
        <f t="shared" ref="J2484:K2484" si="2474">IF($B2484="","",N(J2483)+N(H2484))</f>
        <v/>
      </c>
      <c r="K2484" s="74" t="str">
        <f t="shared" si="2474"/>
        <v/>
      </c>
      <c r="L2484" s="69" t="str">
        <f>IF($B2484="","",PV-J2484)</f>
        <v/>
      </c>
      <c r="M2484" s="71" t="str">
        <f>IF($B2484="","",J2484/PV)</f>
        <v/>
      </c>
      <c r="N2484" s="72" t="str">
        <f t="shared" si="4"/>
        <v/>
      </c>
    </row>
    <row r="2485" ht="14.25" customHeight="1">
      <c r="B2485" s="66" t="str">
        <f>IF(ROWS($1:2473)&lt;=Nper,ROWS($1:2473),"")</f>
        <v/>
      </c>
      <c r="C2485" s="67" t="str">
        <f>IF($B2485="","",IF($E$7="Weekly",Start_Date+7*(ROWS($1:2473)-1),EDATE(Start_Date,VLOOKUP(IF(ASTemp!$E$7="","Monthly",ASTemp!$E$7),Parameters!$B$3:$D$6,3,0)*(ROWS($1:2473)-1))))</f>
        <v/>
      </c>
      <c r="D2485" s="68" t="str">
        <f t="shared" si="2"/>
        <v/>
      </c>
      <c r="E2485" s="65" t="str">
        <f>IF($B2485="","",VLOOKUP(MONTH(C2485),Parameters!$F$2:$G$13,2,0))</f>
        <v/>
      </c>
      <c r="F2485" s="69" t="str">
        <f>IF($B2485="","",PV-N(J2484))</f>
        <v/>
      </c>
      <c r="G2485" s="69" t="str">
        <f>IF($B2485="","",PMT(Rate,Nper,-PV,,Type))</f>
        <v/>
      </c>
      <c r="H2485" s="69" t="str">
        <f>IF($B2485="","",PPMT(Rate,ROWS($1:2473),Nper,-PV,,Type))</f>
        <v/>
      </c>
      <c r="I2485" s="69" t="str">
        <f>IF($B2485="","",IPMT(Rate,ROWS($1:2473),Nper,-PV,,Type))</f>
        <v/>
      </c>
      <c r="J2485" s="73" t="str">
        <f t="shared" ref="J2485:K2485" si="2475">IF($B2485="","",N(J2484)+N(H2485))</f>
        <v/>
      </c>
      <c r="K2485" s="74" t="str">
        <f t="shared" si="2475"/>
        <v/>
      </c>
      <c r="L2485" s="69" t="str">
        <f>IF($B2485="","",PV-J2485)</f>
        <v/>
      </c>
      <c r="M2485" s="71" t="str">
        <f>IF($B2485="","",J2485/PV)</f>
        <v/>
      </c>
      <c r="N2485" s="72" t="str">
        <f t="shared" si="4"/>
        <v/>
      </c>
    </row>
    <row r="2486" ht="14.25" customHeight="1">
      <c r="B2486" s="66" t="str">
        <f>IF(ROWS($1:2474)&lt;=Nper,ROWS($1:2474),"")</f>
        <v/>
      </c>
      <c r="C2486" s="67" t="str">
        <f>IF($B2486="","",IF($E$7="Weekly",Start_Date+7*(ROWS($1:2474)-1),EDATE(Start_Date,VLOOKUP(IF(ASTemp!$E$7="","Monthly",ASTemp!$E$7),Parameters!$B$3:$D$6,3,0)*(ROWS($1:2474)-1))))</f>
        <v/>
      </c>
      <c r="D2486" s="68" t="str">
        <f t="shared" si="2"/>
        <v/>
      </c>
      <c r="E2486" s="65" t="str">
        <f>IF($B2486="","",VLOOKUP(MONTH(C2486),Parameters!$F$2:$G$13,2,0))</f>
        <v/>
      </c>
      <c r="F2486" s="69" t="str">
        <f>IF($B2486="","",PV-N(J2485))</f>
        <v/>
      </c>
      <c r="G2486" s="69" t="str">
        <f>IF($B2486="","",PMT(Rate,Nper,-PV,,Type))</f>
        <v/>
      </c>
      <c r="H2486" s="69" t="str">
        <f>IF($B2486="","",PPMT(Rate,ROWS($1:2474),Nper,-PV,,Type))</f>
        <v/>
      </c>
      <c r="I2486" s="69" t="str">
        <f>IF($B2486="","",IPMT(Rate,ROWS($1:2474),Nper,-PV,,Type))</f>
        <v/>
      </c>
      <c r="J2486" s="73" t="str">
        <f t="shared" ref="J2486:K2486" si="2476">IF($B2486="","",N(J2485)+N(H2486))</f>
        <v/>
      </c>
      <c r="K2486" s="74" t="str">
        <f t="shared" si="2476"/>
        <v/>
      </c>
      <c r="L2486" s="69" t="str">
        <f>IF($B2486="","",PV-J2486)</f>
        <v/>
      </c>
      <c r="M2486" s="71" t="str">
        <f>IF($B2486="","",J2486/PV)</f>
        <v/>
      </c>
      <c r="N2486" s="72" t="str">
        <f t="shared" si="4"/>
        <v/>
      </c>
    </row>
    <row r="2487" ht="14.25" customHeight="1">
      <c r="B2487" s="66" t="str">
        <f>IF(ROWS($1:2475)&lt;=Nper,ROWS($1:2475),"")</f>
        <v/>
      </c>
      <c r="C2487" s="67" t="str">
        <f>IF($B2487="","",IF($E$7="Weekly",Start_Date+7*(ROWS($1:2475)-1),EDATE(Start_Date,VLOOKUP(IF(ASTemp!$E$7="","Monthly",ASTemp!$E$7),Parameters!$B$3:$D$6,3,0)*(ROWS($1:2475)-1))))</f>
        <v/>
      </c>
      <c r="D2487" s="68" t="str">
        <f t="shared" si="2"/>
        <v/>
      </c>
      <c r="E2487" s="65" t="str">
        <f>IF($B2487="","",VLOOKUP(MONTH(C2487),Parameters!$F$2:$G$13,2,0))</f>
        <v/>
      </c>
      <c r="F2487" s="69" t="str">
        <f>IF($B2487="","",PV-N(J2486))</f>
        <v/>
      </c>
      <c r="G2487" s="69" t="str">
        <f>IF($B2487="","",PMT(Rate,Nper,-PV,,Type))</f>
        <v/>
      </c>
      <c r="H2487" s="69" t="str">
        <f>IF($B2487="","",PPMT(Rate,ROWS($1:2475),Nper,-PV,,Type))</f>
        <v/>
      </c>
      <c r="I2487" s="69" t="str">
        <f>IF($B2487="","",IPMT(Rate,ROWS($1:2475),Nper,-PV,,Type))</f>
        <v/>
      </c>
      <c r="J2487" s="73" t="str">
        <f t="shared" ref="J2487:K2487" si="2477">IF($B2487="","",N(J2486)+N(H2487))</f>
        <v/>
      </c>
      <c r="K2487" s="74" t="str">
        <f t="shared" si="2477"/>
        <v/>
      </c>
      <c r="L2487" s="69" t="str">
        <f>IF($B2487="","",PV-J2487)</f>
        <v/>
      </c>
      <c r="M2487" s="71" t="str">
        <f>IF($B2487="","",J2487/PV)</f>
        <v/>
      </c>
      <c r="N2487" s="72" t="str">
        <f t="shared" si="4"/>
        <v/>
      </c>
    </row>
    <row r="2488" ht="14.25" customHeight="1">
      <c r="B2488" s="66" t="str">
        <f>IF(ROWS($1:2476)&lt;=Nper,ROWS($1:2476),"")</f>
        <v/>
      </c>
      <c r="C2488" s="67" t="str">
        <f>IF($B2488="","",IF($E$7="Weekly",Start_Date+7*(ROWS($1:2476)-1),EDATE(Start_Date,VLOOKUP(IF(ASTemp!$E$7="","Monthly",ASTemp!$E$7),Parameters!$B$3:$D$6,3,0)*(ROWS($1:2476)-1))))</f>
        <v/>
      </c>
      <c r="D2488" s="68" t="str">
        <f t="shared" si="2"/>
        <v/>
      </c>
      <c r="E2488" s="65" t="str">
        <f>IF($B2488="","",VLOOKUP(MONTH(C2488),Parameters!$F$2:$G$13,2,0))</f>
        <v/>
      </c>
      <c r="F2488" s="69" t="str">
        <f>IF($B2488="","",PV-N(J2487))</f>
        <v/>
      </c>
      <c r="G2488" s="69" t="str">
        <f>IF($B2488="","",PMT(Rate,Nper,-PV,,Type))</f>
        <v/>
      </c>
      <c r="H2488" s="69" t="str">
        <f>IF($B2488="","",PPMT(Rate,ROWS($1:2476),Nper,-PV,,Type))</f>
        <v/>
      </c>
      <c r="I2488" s="69" t="str">
        <f>IF($B2488="","",IPMT(Rate,ROWS($1:2476),Nper,-PV,,Type))</f>
        <v/>
      </c>
      <c r="J2488" s="73" t="str">
        <f t="shared" ref="J2488:K2488" si="2478">IF($B2488="","",N(J2487)+N(H2488))</f>
        <v/>
      </c>
      <c r="K2488" s="74" t="str">
        <f t="shared" si="2478"/>
        <v/>
      </c>
      <c r="L2488" s="69" t="str">
        <f>IF($B2488="","",PV-J2488)</f>
        <v/>
      </c>
      <c r="M2488" s="71" t="str">
        <f>IF($B2488="","",J2488/PV)</f>
        <v/>
      </c>
      <c r="N2488" s="72" t="str">
        <f t="shared" si="4"/>
        <v/>
      </c>
    </row>
    <row r="2489" ht="14.25" customHeight="1">
      <c r="B2489" s="66" t="str">
        <f>IF(ROWS($1:2477)&lt;=Nper,ROWS($1:2477),"")</f>
        <v/>
      </c>
      <c r="C2489" s="67" t="str">
        <f>IF($B2489="","",IF($E$7="Weekly",Start_Date+7*(ROWS($1:2477)-1),EDATE(Start_Date,VLOOKUP(IF(ASTemp!$E$7="","Monthly",ASTemp!$E$7),Parameters!$B$3:$D$6,3,0)*(ROWS($1:2477)-1))))</f>
        <v/>
      </c>
      <c r="D2489" s="68" t="str">
        <f t="shared" si="2"/>
        <v/>
      </c>
      <c r="E2489" s="65" t="str">
        <f>IF($B2489="","",VLOOKUP(MONTH(C2489),Parameters!$F$2:$G$13,2,0))</f>
        <v/>
      </c>
      <c r="F2489" s="69" t="str">
        <f>IF($B2489="","",PV-N(J2488))</f>
        <v/>
      </c>
      <c r="G2489" s="69" t="str">
        <f>IF($B2489="","",PMT(Rate,Nper,-PV,,Type))</f>
        <v/>
      </c>
      <c r="H2489" s="69" t="str">
        <f>IF($B2489="","",PPMT(Rate,ROWS($1:2477),Nper,-PV,,Type))</f>
        <v/>
      </c>
      <c r="I2489" s="69" t="str">
        <f>IF($B2489="","",IPMT(Rate,ROWS($1:2477),Nper,-PV,,Type))</f>
        <v/>
      </c>
      <c r="J2489" s="73" t="str">
        <f t="shared" ref="J2489:K2489" si="2479">IF($B2489="","",N(J2488)+N(H2489))</f>
        <v/>
      </c>
      <c r="K2489" s="74" t="str">
        <f t="shared" si="2479"/>
        <v/>
      </c>
      <c r="L2489" s="69" t="str">
        <f>IF($B2489="","",PV-J2489)</f>
        <v/>
      </c>
      <c r="M2489" s="71" t="str">
        <f>IF($B2489="","",J2489/PV)</f>
        <v/>
      </c>
      <c r="N2489" s="72" t="str">
        <f t="shared" si="4"/>
        <v/>
      </c>
    </row>
    <row r="2490" ht="14.25" customHeight="1">
      <c r="B2490" s="66" t="str">
        <f>IF(ROWS($1:2478)&lt;=Nper,ROWS($1:2478),"")</f>
        <v/>
      </c>
      <c r="C2490" s="67" t="str">
        <f>IF($B2490="","",IF($E$7="Weekly",Start_Date+7*(ROWS($1:2478)-1),EDATE(Start_Date,VLOOKUP(IF(ASTemp!$E$7="","Monthly",ASTemp!$E$7),Parameters!$B$3:$D$6,3,0)*(ROWS($1:2478)-1))))</f>
        <v/>
      </c>
      <c r="D2490" s="68" t="str">
        <f t="shared" si="2"/>
        <v/>
      </c>
      <c r="E2490" s="65" t="str">
        <f>IF($B2490="","",VLOOKUP(MONTH(C2490),Parameters!$F$2:$G$13,2,0))</f>
        <v/>
      </c>
      <c r="F2490" s="69" t="str">
        <f>IF($B2490="","",PV-N(J2489))</f>
        <v/>
      </c>
      <c r="G2490" s="69" t="str">
        <f>IF($B2490="","",PMT(Rate,Nper,-PV,,Type))</f>
        <v/>
      </c>
      <c r="H2490" s="69" t="str">
        <f>IF($B2490="","",PPMT(Rate,ROWS($1:2478),Nper,-PV,,Type))</f>
        <v/>
      </c>
      <c r="I2490" s="69" t="str">
        <f>IF($B2490="","",IPMT(Rate,ROWS($1:2478),Nper,-PV,,Type))</f>
        <v/>
      </c>
      <c r="J2490" s="73" t="str">
        <f t="shared" ref="J2490:K2490" si="2480">IF($B2490="","",N(J2489)+N(H2490))</f>
        <v/>
      </c>
      <c r="K2490" s="74" t="str">
        <f t="shared" si="2480"/>
        <v/>
      </c>
      <c r="L2490" s="69" t="str">
        <f>IF($B2490="","",PV-J2490)</f>
        <v/>
      </c>
      <c r="M2490" s="71" t="str">
        <f>IF($B2490="","",J2490/PV)</f>
        <v/>
      </c>
      <c r="N2490" s="72" t="str">
        <f t="shared" si="4"/>
        <v/>
      </c>
    </row>
    <row r="2491" ht="14.25" customHeight="1">
      <c r="B2491" s="66" t="str">
        <f>IF(ROWS($1:2479)&lt;=Nper,ROWS($1:2479),"")</f>
        <v/>
      </c>
      <c r="C2491" s="67" t="str">
        <f>IF($B2491="","",IF($E$7="Weekly",Start_Date+7*(ROWS($1:2479)-1),EDATE(Start_Date,VLOOKUP(IF(ASTemp!$E$7="","Monthly",ASTemp!$E$7),Parameters!$B$3:$D$6,3,0)*(ROWS($1:2479)-1))))</f>
        <v/>
      </c>
      <c r="D2491" s="68" t="str">
        <f t="shared" si="2"/>
        <v/>
      </c>
      <c r="E2491" s="65" t="str">
        <f>IF($B2491="","",VLOOKUP(MONTH(C2491),Parameters!$F$2:$G$13,2,0))</f>
        <v/>
      </c>
      <c r="F2491" s="69" t="str">
        <f>IF($B2491="","",PV-N(J2490))</f>
        <v/>
      </c>
      <c r="G2491" s="69" t="str">
        <f>IF($B2491="","",PMT(Rate,Nper,-PV,,Type))</f>
        <v/>
      </c>
      <c r="H2491" s="69" t="str">
        <f>IF($B2491="","",PPMT(Rate,ROWS($1:2479),Nper,-PV,,Type))</f>
        <v/>
      </c>
      <c r="I2491" s="69" t="str">
        <f>IF($B2491="","",IPMT(Rate,ROWS($1:2479),Nper,-PV,,Type))</f>
        <v/>
      </c>
      <c r="J2491" s="73" t="str">
        <f t="shared" ref="J2491:K2491" si="2481">IF($B2491="","",N(J2490)+N(H2491))</f>
        <v/>
      </c>
      <c r="K2491" s="74" t="str">
        <f t="shared" si="2481"/>
        <v/>
      </c>
      <c r="L2491" s="69" t="str">
        <f>IF($B2491="","",PV-J2491)</f>
        <v/>
      </c>
      <c r="M2491" s="71" t="str">
        <f>IF($B2491="","",J2491/PV)</f>
        <v/>
      </c>
      <c r="N2491" s="72" t="str">
        <f t="shared" si="4"/>
        <v/>
      </c>
    </row>
    <row r="2492" ht="14.25" customHeight="1">
      <c r="B2492" s="66" t="str">
        <f>IF(ROWS($1:2480)&lt;=Nper,ROWS($1:2480),"")</f>
        <v/>
      </c>
      <c r="C2492" s="67" t="str">
        <f>IF($B2492="","",IF($E$7="Weekly",Start_Date+7*(ROWS($1:2480)-1),EDATE(Start_Date,VLOOKUP(IF(ASTemp!$E$7="","Monthly",ASTemp!$E$7),Parameters!$B$3:$D$6,3,0)*(ROWS($1:2480)-1))))</f>
        <v/>
      </c>
      <c r="D2492" s="68" t="str">
        <f t="shared" si="2"/>
        <v/>
      </c>
      <c r="E2492" s="65" t="str">
        <f>IF($B2492="","",VLOOKUP(MONTH(C2492),Parameters!$F$2:$G$13,2,0))</f>
        <v/>
      </c>
      <c r="F2492" s="69" t="str">
        <f>IF($B2492="","",PV-N(J2491))</f>
        <v/>
      </c>
      <c r="G2492" s="69" t="str">
        <f>IF($B2492="","",PMT(Rate,Nper,-PV,,Type))</f>
        <v/>
      </c>
      <c r="H2492" s="69" t="str">
        <f>IF($B2492="","",PPMT(Rate,ROWS($1:2480),Nper,-PV,,Type))</f>
        <v/>
      </c>
      <c r="I2492" s="69" t="str">
        <f>IF($B2492="","",IPMT(Rate,ROWS($1:2480),Nper,-PV,,Type))</f>
        <v/>
      </c>
      <c r="J2492" s="73" t="str">
        <f t="shared" ref="J2492:K2492" si="2482">IF($B2492="","",N(J2491)+N(H2492))</f>
        <v/>
      </c>
      <c r="K2492" s="74" t="str">
        <f t="shared" si="2482"/>
        <v/>
      </c>
      <c r="L2492" s="69" t="str">
        <f>IF($B2492="","",PV-J2492)</f>
        <v/>
      </c>
      <c r="M2492" s="71" t="str">
        <f>IF($B2492="","",J2492/PV)</f>
        <v/>
      </c>
      <c r="N2492" s="72" t="str">
        <f t="shared" si="4"/>
        <v/>
      </c>
    </row>
    <row r="2493" ht="14.25" customHeight="1">
      <c r="B2493" s="66" t="str">
        <f>IF(ROWS($1:2481)&lt;=Nper,ROWS($1:2481),"")</f>
        <v/>
      </c>
      <c r="C2493" s="67" t="str">
        <f>IF($B2493="","",IF($E$7="Weekly",Start_Date+7*(ROWS($1:2481)-1),EDATE(Start_Date,VLOOKUP(IF(ASTemp!$E$7="","Monthly",ASTemp!$E$7),Parameters!$B$3:$D$6,3,0)*(ROWS($1:2481)-1))))</f>
        <v/>
      </c>
      <c r="D2493" s="68" t="str">
        <f t="shared" si="2"/>
        <v/>
      </c>
      <c r="E2493" s="65" t="str">
        <f>IF($B2493="","",VLOOKUP(MONTH(C2493),Parameters!$F$2:$G$13,2,0))</f>
        <v/>
      </c>
      <c r="F2493" s="69" t="str">
        <f>IF($B2493="","",PV-N(J2492))</f>
        <v/>
      </c>
      <c r="G2493" s="69" t="str">
        <f>IF($B2493="","",PMT(Rate,Nper,-PV,,Type))</f>
        <v/>
      </c>
      <c r="H2493" s="69" t="str">
        <f>IF($B2493="","",PPMT(Rate,ROWS($1:2481),Nper,-PV,,Type))</f>
        <v/>
      </c>
      <c r="I2493" s="69" t="str">
        <f>IF($B2493="","",IPMT(Rate,ROWS($1:2481),Nper,-PV,,Type))</f>
        <v/>
      </c>
      <c r="J2493" s="73" t="str">
        <f t="shared" ref="J2493:K2493" si="2483">IF($B2493="","",N(J2492)+N(H2493))</f>
        <v/>
      </c>
      <c r="K2493" s="74" t="str">
        <f t="shared" si="2483"/>
        <v/>
      </c>
      <c r="L2493" s="69" t="str">
        <f>IF($B2493="","",PV-J2493)</f>
        <v/>
      </c>
      <c r="M2493" s="71" t="str">
        <f>IF($B2493="","",J2493/PV)</f>
        <v/>
      </c>
      <c r="N2493" s="72" t="str">
        <f t="shared" si="4"/>
        <v/>
      </c>
    </row>
    <row r="2494" ht="14.25" customHeight="1">
      <c r="B2494" s="66" t="str">
        <f>IF(ROWS($1:2482)&lt;=Nper,ROWS($1:2482),"")</f>
        <v/>
      </c>
      <c r="C2494" s="67" t="str">
        <f>IF($B2494="","",IF($E$7="Weekly",Start_Date+7*(ROWS($1:2482)-1),EDATE(Start_Date,VLOOKUP(IF(ASTemp!$E$7="","Monthly",ASTemp!$E$7),Parameters!$B$3:$D$6,3,0)*(ROWS($1:2482)-1))))</f>
        <v/>
      </c>
      <c r="D2494" s="68" t="str">
        <f t="shared" si="2"/>
        <v/>
      </c>
      <c r="E2494" s="65" t="str">
        <f>IF($B2494="","",VLOOKUP(MONTH(C2494),Parameters!$F$2:$G$13,2,0))</f>
        <v/>
      </c>
      <c r="F2494" s="69" t="str">
        <f>IF($B2494="","",PV-N(J2493))</f>
        <v/>
      </c>
      <c r="G2494" s="69" t="str">
        <f>IF($B2494="","",PMT(Rate,Nper,-PV,,Type))</f>
        <v/>
      </c>
      <c r="H2494" s="69" t="str">
        <f>IF($B2494="","",PPMT(Rate,ROWS($1:2482),Nper,-PV,,Type))</f>
        <v/>
      </c>
      <c r="I2494" s="69" t="str">
        <f>IF($B2494="","",IPMT(Rate,ROWS($1:2482),Nper,-PV,,Type))</f>
        <v/>
      </c>
      <c r="J2494" s="73" t="str">
        <f t="shared" ref="J2494:K2494" si="2484">IF($B2494="","",N(J2493)+N(H2494))</f>
        <v/>
      </c>
      <c r="K2494" s="74" t="str">
        <f t="shared" si="2484"/>
        <v/>
      </c>
      <c r="L2494" s="69" t="str">
        <f>IF($B2494="","",PV-J2494)</f>
        <v/>
      </c>
      <c r="M2494" s="71" t="str">
        <f>IF($B2494="","",J2494/PV)</f>
        <v/>
      </c>
      <c r="N2494" s="72" t="str">
        <f t="shared" si="4"/>
        <v/>
      </c>
    </row>
    <row r="2495" ht="14.25" customHeight="1">
      <c r="B2495" s="66" t="str">
        <f>IF(ROWS($1:2483)&lt;=Nper,ROWS($1:2483),"")</f>
        <v/>
      </c>
      <c r="C2495" s="67" t="str">
        <f>IF($B2495="","",IF($E$7="Weekly",Start_Date+7*(ROWS($1:2483)-1),EDATE(Start_Date,VLOOKUP(IF(ASTemp!$E$7="","Monthly",ASTemp!$E$7),Parameters!$B$3:$D$6,3,0)*(ROWS($1:2483)-1))))</f>
        <v/>
      </c>
      <c r="D2495" s="68" t="str">
        <f t="shared" si="2"/>
        <v/>
      </c>
      <c r="E2495" s="65" t="str">
        <f>IF($B2495="","",VLOOKUP(MONTH(C2495),Parameters!$F$2:$G$13,2,0))</f>
        <v/>
      </c>
      <c r="F2495" s="69" t="str">
        <f>IF($B2495="","",PV-N(J2494))</f>
        <v/>
      </c>
      <c r="G2495" s="69" t="str">
        <f>IF($B2495="","",PMT(Rate,Nper,-PV,,Type))</f>
        <v/>
      </c>
      <c r="H2495" s="69" t="str">
        <f>IF($B2495="","",PPMT(Rate,ROWS($1:2483),Nper,-PV,,Type))</f>
        <v/>
      </c>
      <c r="I2495" s="69" t="str">
        <f>IF($B2495="","",IPMT(Rate,ROWS($1:2483),Nper,-PV,,Type))</f>
        <v/>
      </c>
      <c r="J2495" s="73" t="str">
        <f t="shared" ref="J2495:K2495" si="2485">IF($B2495="","",N(J2494)+N(H2495))</f>
        <v/>
      </c>
      <c r="K2495" s="74" t="str">
        <f t="shared" si="2485"/>
        <v/>
      </c>
      <c r="L2495" s="69" t="str">
        <f>IF($B2495="","",PV-J2495)</f>
        <v/>
      </c>
      <c r="M2495" s="71" t="str">
        <f>IF($B2495="","",J2495/PV)</f>
        <v/>
      </c>
      <c r="N2495" s="72" t="str">
        <f t="shared" si="4"/>
        <v/>
      </c>
    </row>
    <row r="2496" ht="14.25" customHeight="1">
      <c r="B2496" s="66" t="str">
        <f>IF(ROWS($1:2484)&lt;=Nper,ROWS($1:2484),"")</f>
        <v/>
      </c>
      <c r="C2496" s="67" t="str">
        <f>IF($B2496="","",IF($E$7="Weekly",Start_Date+7*(ROWS($1:2484)-1),EDATE(Start_Date,VLOOKUP(IF(ASTemp!$E$7="","Monthly",ASTemp!$E$7),Parameters!$B$3:$D$6,3,0)*(ROWS($1:2484)-1))))</f>
        <v/>
      </c>
      <c r="D2496" s="68" t="str">
        <f t="shared" si="2"/>
        <v/>
      </c>
      <c r="E2496" s="65" t="str">
        <f>IF($B2496="","",VLOOKUP(MONTH(C2496),Parameters!$F$2:$G$13,2,0))</f>
        <v/>
      </c>
      <c r="F2496" s="69" t="str">
        <f>IF($B2496="","",PV-N(J2495))</f>
        <v/>
      </c>
      <c r="G2496" s="69" t="str">
        <f>IF($B2496="","",PMT(Rate,Nper,-PV,,Type))</f>
        <v/>
      </c>
      <c r="H2496" s="69" t="str">
        <f>IF($B2496="","",PPMT(Rate,ROWS($1:2484),Nper,-PV,,Type))</f>
        <v/>
      </c>
      <c r="I2496" s="69" t="str">
        <f>IF($B2496="","",IPMT(Rate,ROWS($1:2484),Nper,-PV,,Type))</f>
        <v/>
      </c>
      <c r="J2496" s="73" t="str">
        <f t="shared" ref="J2496:K2496" si="2486">IF($B2496="","",N(J2495)+N(H2496))</f>
        <v/>
      </c>
      <c r="K2496" s="74" t="str">
        <f t="shared" si="2486"/>
        <v/>
      </c>
      <c r="L2496" s="69" t="str">
        <f>IF($B2496="","",PV-J2496)</f>
        <v/>
      </c>
      <c r="M2496" s="71" t="str">
        <f>IF($B2496="","",J2496/PV)</f>
        <v/>
      </c>
      <c r="N2496" s="72" t="str">
        <f t="shared" si="4"/>
        <v/>
      </c>
    </row>
    <row r="2497" ht="14.25" customHeight="1">
      <c r="B2497" s="66" t="str">
        <f>IF(ROWS($1:2485)&lt;=Nper,ROWS($1:2485),"")</f>
        <v/>
      </c>
      <c r="C2497" s="67" t="str">
        <f>IF($B2497="","",IF($E$7="Weekly",Start_Date+7*(ROWS($1:2485)-1),EDATE(Start_Date,VLOOKUP(IF(ASTemp!$E$7="","Monthly",ASTemp!$E$7),Parameters!$B$3:$D$6,3,0)*(ROWS($1:2485)-1))))</f>
        <v/>
      </c>
      <c r="D2497" s="68" t="str">
        <f t="shared" si="2"/>
        <v/>
      </c>
      <c r="E2497" s="65" t="str">
        <f>IF($B2497="","",VLOOKUP(MONTH(C2497),Parameters!$F$2:$G$13,2,0))</f>
        <v/>
      </c>
      <c r="F2497" s="69" t="str">
        <f>IF($B2497="","",PV-N(J2496))</f>
        <v/>
      </c>
      <c r="G2497" s="69" t="str">
        <f>IF($B2497="","",PMT(Rate,Nper,-PV,,Type))</f>
        <v/>
      </c>
      <c r="H2497" s="69" t="str">
        <f>IF($B2497="","",PPMT(Rate,ROWS($1:2485),Nper,-PV,,Type))</f>
        <v/>
      </c>
      <c r="I2497" s="69" t="str">
        <f>IF($B2497="","",IPMT(Rate,ROWS($1:2485),Nper,-PV,,Type))</f>
        <v/>
      </c>
      <c r="J2497" s="73" t="str">
        <f t="shared" ref="J2497:K2497" si="2487">IF($B2497="","",N(J2496)+N(H2497))</f>
        <v/>
      </c>
      <c r="K2497" s="74" t="str">
        <f t="shared" si="2487"/>
        <v/>
      </c>
      <c r="L2497" s="69" t="str">
        <f>IF($B2497="","",PV-J2497)</f>
        <v/>
      </c>
      <c r="M2497" s="71" t="str">
        <f>IF($B2497="","",J2497/PV)</f>
        <v/>
      </c>
      <c r="N2497" s="72" t="str">
        <f t="shared" si="4"/>
        <v/>
      </c>
    </row>
    <row r="2498" ht="14.25" customHeight="1">
      <c r="B2498" s="66" t="str">
        <f>IF(ROWS($1:2486)&lt;=Nper,ROWS($1:2486),"")</f>
        <v/>
      </c>
      <c r="C2498" s="67" t="str">
        <f>IF($B2498="","",IF($E$7="Weekly",Start_Date+7*(ROWS($1:2486)-1),EDATE(Start_Date,VLOOKUP(IF(ASTemp!$E$7="","Monthly",ASTemp!$E$7),Parameters!$B$3:$D$6,3,0)*(ROWS($1:2486)-1))))</f>
        <v/>
      </c>
      <c r="D2498" s="68" t="str">
        <f t="shared" si="2"/>
        <v/>
      </c>
      <c r="E2498" s="65" t="str">
        <f>IF($B2498="","",VLOOKUP(MONTH(C2498),Parameters!$F$2:$G$13,2,0))</f>
        <v/>
      </c>
      <c r="F2498" s="69" t="str">
        <f>IF($B2498="","",PV-N(J2497))</f>
        <v/>
      </c>
      <c r="G2498" s="69" t="str">
        <f>IF($B2498="","",PMT(Rate,Nper,-PV,,Type))</f>
        <v/>
      </c>
      <c r="H2498" s="69" t="str">
        <f>IF($B2498="","",PPMT(Rate,ROWS($1:2486),Nper,-PV,,Type))</f>
        <v/>
      </c>
      <c r="I2498" s="69" t="str">
        <f>IF($B2498="","",IPMT(Rate,ROWS($1:2486),Nper,-PV,,Type))</f>
        <v/>
      </c>
      <c r="J2498" s="73" t="str">
        <f t="shared" ref="J2498:K2498" si="2488">IF($B2498="","",N(J2497)+N(H2498))</f>
        <v/>
      </c>
      <c r="K2498" s="74" t="str">
        <f t="shared" si="2488"/>
        <v/>
      </c>
      <c r="L2498" s="69" t="str">
        <f>IF($B2498="","",PV-J2498)</f>
        <v/>
      </c>
      <c r="M2498" s="71" t="str">
        <f>IF($B2498="","",J2498/PV)</f>
        <v/>
      </c>
      <c r="N2498" s="72" t="str">
        <f t="shared" si="4"/>
        <v/>
      </c>
    </row>
    <row r="2499" ht="14.25" customHeight="1">
      <c r="B2499" s="66" t="str">
        <f>IF(ROWS($1:2487)&lt;=Nper,ROWS($1:2487),"")</f>
        <v/>
      </c>
      <c r="C2499" s="67" t="str">
        <f>IF($B2499="","",IF($E$7="Weekly",Start_Date+7*(ROWS($1:2487)-1),EDATE(Start_Date,VLOOKUP(IF(ASTemp!$E$7="","Monthly",ASTemp!$E$7),Parameters!$B$3:$D$6,3,0)*(ROWS($1:2487)-1))))</f>
        <v/>
      </c>
      <c r="D2499" s="68" t="str">
        <f t="shared" si="2"/>
        <v/>
      </c>
      <c r="E2499" s="65" t="str">
        <f>IF($B2499="","",VLOOKUP(MONTH(C2499),Parameters!$F$2:$G$13,2,0))</f>
        <v/>
      </c>
      <c r="F2499" s="69" t="str">
        <f>IF($B2499="","",PV-N(J2498))</f>
        <v/>
      </c>
      <c r="G2499" s="69" t="str">
        <f>IF($B2499="","",PMT(Rate,Nper,-PV,,Type))</f>
        <v/>
      </c>
      <c r="H2499" s="69" t="str">
        <f>IF($B2499="","",PPMT(Rate,ROWS($1:2487),Nper,-PV,,Type))</f>
        <v/>
      </c>
      <c r="I2499" s="69" t="str">
        <f>IF($B2499="","",IPMT(Rate,ROWS($1:2487),Nper,-PV,,Type))</f>
        <v/>
      </c>
      <c r="J2499" s="73" t="str">
        <f t="shared" ref="J2499:K2499" si="2489">IF($B2499="","",N(J2498)+N(H2499))</f>
        <v/>
      </c>
      <c r="K2499" s="74" t="str">
        <f t="shared" si="2489"/>
        <v/>
      </c>
      <c r="L2499" s="69" t="str">
        <f>IF($B2499="","",PV-J2499)</f>
        <v/>
      </c>
      <c r="M2499" s="71" t="str">
        <f>IF($B2499="","",J2499/PV)</f>
        <v/>
      </c>
      <c r="N2499" s="72" t="str">
        <f t="shared" si="4"/>
        <v/>
      </c>
    </row>
    <row r="2500" ht="14.25" customHeight="1">
      <c r="B2500" s="66" t="str">
        <f>IF(ROWS($1:2488)&lt;=Nper,ROWS($1:2488),"")</f>
        <v/>
      </c>
      <c r="C2500" s="67" t="str">
        <f>IF($B2500="","",IF($E$7="Weekly",Start_Date+7*(ROWS($1:2488)-1),EDATE(Start_Date,VLOOKUP(IF(ASTemp!$E$7="","Monthly",ASTemp!$E$7),Parameters!$B$3:$D$6,3,0)*(ROWS($1:2488)-1))))</f>
        <v/>
      </c>
      <c r="D2500" s="68" t="str">
        <f t="shared" si="2"/>
        <v/>
      </c>
      <c r="E2500" s="65" t="str">
        <f>IF($B2500="","",VLOOKUP(MONTH(C2500),Parameters!$F$2:$G$13,2,0))</f>
        <v/>
      </c>
      <c r="F2500" s="69" t="str">
        <f>IF($B2500="","",PV-N(J2499))</f>
        <v/>
      </c>
      <c r="G2500" s="69" t="str">
        <f>IF($B2500="","",PMT(Rate,Nper,-PV,,Type))</f>
        <v/>
      </c>
      <c r="H2500" s="69" t="str">
        <f>IF($B2500="","",PPMT(Rate,ROWS($1:2488),Nper,-PV,,Type))</f>
        <v/>
      </c>
      <c r="I2500" s="69" t="str">
        <f>IF($B2500="","",IPMT(Rate,ROWS($1:2488),Nper,-PV,,Type))</f>
        <v/>
      </c>
      <c r="J2500" s="73" t="str">
        <f t="shared" ref="J2500:K2500" si="2490">IF($B2500="","",N(J2499)+N(H2500))</f>
        <v/>
      </c>
      <c r="K2500" s="74" t="str">
        <f t="shared" si="2490"/>
        <v/>
      </c>
      <c r="L2500" s="69" t="str">
        <f>IF($B2500="","",PV-J2500)</f>
        <v/>
      </c>
      <c r="M2500" s="71" t="str">
        <f>IF($B2500="","",J2500/PV)</f>
        <v/>
      </c>
      <c r="N2500" s="72" t="str">
        <f t="shared" si="4"/>
        <v/>
      </c>
    </row>
    <row r="2501" ht="14.25" customHeight="1">
      <c r="B2501" s="66" t="str">
        <f>IF(ROWS($1:2489)&lt;=Nper,ROWS($1:2489),"")</f>
        <v/>
      </c>
      <c r="C2501" s="67" t="str">
        <f>IF($B2501="","",IF($E$7="Weekly",Start_Date+7*(ROWS($1:2489)-1),EDATE(Start_Date,VLOOKUP(IF(ASTemp!$E$7="","Monthly",ASTemp!$E$7),Parameters!$B$3:$D$6,3,0)*(ROWS($1:2489)-1))))</f>
        <v/>
      </c>
      <c r="D2501" s="68" t="str">
        <f t="shared" si="2"/>
        <v/>
      </c>
      <c r="E2501" s="65" t="str">
        <f>IF($B2501="","",VLOOKUP(MONTH(C2501),Parameters!$F$2:$G$13,2,0))</f>
        <v/>
      </c>
      <c r="F2501" s="69" t="str">
        <f>IF($B2501="","",PV-N(J2500))</f>
        <v/>
      </c>
      <c r="G2501" s="69" t="str">
        <f>IF($B2501="","",PMT(Rate,Nper,-PV,,Type))</f>
        <v/>
      </c>
      <c r="H2501" s="69" t="str">
        <f>IF($B2501="","",PPMT(Rate,ROWS($1:2489),Nper,-PV,,Type))</f>
        <v/>
      </c>
      <c r="I2501" s="69" t="str">
        <f>IF($B2501="","",IPMT(Rate,ROWS($1:2489),Nper,-PV,,Type))</f>
        <v/>
      </c>
      <c r="J2501" s="73" t="str">
        <f t="shared" ref="J2501:K2501" si="2491">IF($B2501="","",N(J2500)+N(H2501))</f>
        <v/>
      </c>
      <c r="K2501" s="74" t="str">
        <f t="shared" si="2491"/>
        <v/>
      </c>
      <c r="L2501" s="69" t="str">
        <f>IF($B2501="","",PV-J2501)</f>
        <v/>
      </c>
      <c r="M2501" s="71" t="str">
        <f>IF($B2501="","",J2501/PV)</f>
        <v/>
      </c>
      <c r="N2501" s="72" t="str">
        <f t="shared" si="4"/>
        <v/>
      </c>
    </row>
    <row r="2502" ht="14.25" customHeight="1">
      <c r="B2502" s="66" t="str">
        <f>IF(ROWS($1:2490)&lt;=Nper,ROWS($1:2490),"")</f>
        <v/>
      </c>
      <c r="C2502" s="67" t="str">
        <f>IF($B2502="","",IF($E$7="Weekly",Start_Date+7*(ROWS($1:2490)-1),EDATE(Start_Date,VLOOKUP(IF(ASTemp!$E$7="","Monthly",ASTemp!$E$7),Parameters!$B$3:$D$6,3,0)*(ROWS($1:2490)-1))))</f>
        <v/>
      </c>
      <c r="D2502" s="68" t="str">
        <f t="shared" si="2"/>
        <v/>
      </c>
      <c r="E2502" s="65" t="str">
        <f>IF($B2502="","",VLOOKUP(MONTH(C2502),Parameters!$F$2:$G$13,2,0))</f>
        <v/>
      </c>
      <c r="F2502" s="69" t="str">
        <f>IF($B2502="","",PV-N(J2501))</f>
        <v/>
      </c>
      <c r="G2502" s="69" t="str">
        <f>IF($B2502="","",PMT(Rate,Nper,-PV,,Type))</f>
        <v/>
      </c>
      <c r="H2502" s="69" t="str">
        <f>IF($B2502="","",PPMT(Rate,ROWS($1:2490),Nper,-PV,,Type))</f>
        <v/>
      </c>
      <c r="I2502" s="69" t="str">
        <f>IF($B2502="","",IPMT(Rate,ROWS($1:2490),Nper,-PV,,Type))</f>
        <v/>
      </c>
      <c r="J2502" s="73" t="str">
        <f t="shared" ref="J2502:K2502" si="2492">IF($B2502="","",N(J2501)+N(H2502))</f>
        <v/>
      </c>
      <c r="K2502" s="74" t="str">
        <f t="shared" si="2492"/>
        <v/>
      </c>
      <c r="L2502" s="69" t="str">
        <f>IF($B2502="","",PV-J2502)</f>
        <v/>
      </c>
      <c r="M2502" s="71" t="str">
        <f>IF($B2502="","",J2502/PV)</f>
        <v/>
      </c>
      <c r="N2502" s="72" t="str">
        <f t="shared" si="4"/>
        <v/>
      </c>
    </row>
    <row r="2503" ht="14.25" customHeight="1">
      <c r="B2503" s="66" t="str">
        <f>IF(ROWS($1:2491)&lt;=Nper,ROWS($1:2491),"")</f>
        <v/>
      </c>
      <c r="C2503" s="67" t="str">
        <f>IF($B2503="","",IF($E$7="Weekly",Start_Date+7*(ROWS($1:2491)-1),EDATE(Start_Date,VLOOKUP(IF(ASTemp!$E$7="","Monthly",ASTemp!$E$7),Parameters!$B$3:$D$6,3,0)*(ROWS($1:2491)-1))))</f>
        <v/>
      </c>
      <c r="D2503" s="68" t="str">
        <f t="shared" si="2"/>
        <v/>
      </c>
      <c r="E2503" s="65" t="str">
        <f>IF($B2503="","",VLOOKUP(MONTH(C2503),Parameters!$F$2:$G$13,2,0))</f>
        <v/>
      </c>
      <c r="F2503" s="69" t="str">
        <f>IF($B2503="","",PV-N(J2502))</f>
        <v/>
      </c>
      <c r="G2503" s="69" t="str">
        <f>IF($B2503="","",PMT(Rate,Nper,-PV,,Type))</f>
        <v/>
      </c>
      <c r="H2503" s="69" t="str">
        <f>IF($B2503="","",PPMT(Rate,ROWS($1:2491),Nper,-PV,,Type))</f>
        <v/>
      </c>
      <c r="I2503" s="69" t="str">
        <f>IF($B2503="","",IPMT(Rate,ROWS($1:2491),Nper,-PV,,Type))</f>
        <v/>
      </c>
      <c r="J2503" s="73" t="str">
        <f t="shared" ref="J2503:K2503" si="2493">IF($B2503="","",N(J2502)+N(H2503))</f>
        <v/>
      </c>
      <c r="K2503" s="74" t="str">
        <f t="shared" si="2493"/>
        <v/>
      </c>
      <c r="L2503" s="69" t="str">
        <f>IF($B2503="","",PV-J2503)</f>
        <v/>
      </c>
      <c r="M2503" s="71" t="str">
        <f>IF($B2503="","",J2503/PV)</f>
        <v/>
      </c>
      <c r="N2503" s="72" t="str">
        <f t="shared" si="4"/>
        <v/>
      </c>
    </row>
    <row r="2504" ht="14.25" customHeight="1">
      <c r="B2504" s="66" t="str">
        <f>IF(ROWS($1:2492)&lt;=Nper,ROWS($1:2492),"")</f>
        <v/>
      </c>
      <c r="C2504" s="67" t="str">
        <f>IF($B2504="","",IF($E$7="Weekly",Start_Date+7*(ROWS($1:2492)-1),EDATE(Start_Date,VLOOKUP(IF(ASTemp!$E$7="","Monthly",ASTemp!$E$7),Parameters!$B$3:$D$6,3,0)*(ROWS($1:2492)-1))))</f>
        <v/>
      </c>
      <c r="D2504" s="68" t="str">
        <f t="shared" si="2"/>
        <v/>
      </c>
      <c r="E2504" s="65" t="str">
        <f>IF($B2504="","",VLOOKUP(MONTH(C2504),Parameters!$F$2:$G$13,2,0))</f>
        <v/>
      </c>
      <c r="F2504" s="69" t="str">
        <f>IF($B2504="","",PV-N(J2503))</f>
        <v/>
      </c>
      <c r="G2504" s="69" t="str">
        <f>IF($B2504="","",PMT(Rate,Nper,-PV,,Type))</f>
        <v/>
      </c>
      <c r="H2504" s="69" t="str">
        <f>IF($B2504="","",PPMT(Rate,ROWS($1:2492),Nper,-PV,,Type))</f>
        <v/>
      </c>
      <c r="I2504" s="69" t="str">
        <f>IF($B2504="","",IPMT(Rate,ROWS($1:2492),Nper,-PV,,Type))</f>
        <v/>
      </c>
      <c r="J2504" s="73" t="str">
        <f t="shared" ref="J2504:K2504" si="2494">IF($B2504="","",N(J2503)+N(H2504))</f>
        <v/>
      </c>
      <c r="K2504" s="74" t="str">
        <f t="shared" si="2494"/>
        <v/>
      </c>
      <c r="L2504" s="69" t="str">
        <f>IF($B2504="","",PV-J2504)</f>
        <v/>
      </c>
      <c r="M2504" s="71" t="str">
        <f>IF($B2504="","",J2504/PV)</f>
        <v/>
      </c>
      <c r="N2504" s="72" t="str">
        <f t="shared" si="4"/>
        <v/>
      </c>
    </row>
    <row r="2505" ht="14.25" customHeight="1">
      <c r="B2505" s="66" t="str">
        <f>IF(ROWS($1:2493)&lt;=Nper,ROWS($1:2493),"")</f>
        <v/>
      </c>
      <c r="C2505" s="67" t="str">
        <f>IF($B2505="","",IF($E$7="Weekly",Start_Date+7*(ROWS($1:2493)-1),EDATE(Start_Date,VLOOKUP(IF(ASTemp!$E$7="","Monthly",ASTemp!$E$7),Parameters!$B$3:$D$6,3,0)*(ROWS($1:2493)-1))))</f>
        <v/>
      </c>
      <c r="D2505" s="68" t="str">
        <f t="shared" si="2"/>
        <v/>
      </c>
      <c r="E2505" s="65" t="str">
        <f>IF($B2505="","",VLOOKUP(MONTH(C2505),Parameters!$F$2:$G$13,2,0))</f>
        <v/>
      </c>
      <c r="F2505" s="69" t="str">
        <f>IF($B2505="","",PV-N(J2504))</f>
        <v/>
      </c>
      <c r="G2505" s="69" t="str">
        <f>IF($B2505="","",PMT(Rate,Nper,-PV,,Type))</f>
        <v/>
      </c>
      <c r="H2505" s="69" t="str">
        <f>IF($B2505="","",PPMT(Rate,ROWS($1:2493),Nper,-PV,,Type))</f>
        <v/>
      </c>
      <c r="I2505" s="69" t="str">
        <f>IF($B2505="","",IPMT(Rate,ROWS($1:2493),Nper,-PV,,Type))</f>
        <v/>
      </c>
      <c r="J2505" s="73" t="str">
        <f t="shared" ref="J2505:K2505" si="2495">IF($B2505="","",N(J2504)+N(H2505))</f>
        <v/>
      </c>
      <c r="K2505" s="74" t="str">
        <f t="shared" si="2495"/>
        <v/>
      </c>
      <c r="L2505" s="69" t="str">
        <f>IF($B2505="","",PV-J2505)</f>
        <v/>
      </c>
      <c r="M2505" s="71" t="str">
        <f>IF($B2505="","",J2505/PV)</f>
        <v/>
      </c>
      <c r="N2505" s="72" t="str">
        <f t="shared" si="4"/>
        <v/>
      </c>
    </row>
    <row r="2506" ht="14.25" customHeight="1">
      <c r="B2506" s="66" t="str">
        <f>IF(ROWS($1:2494)&lt;=Nper,ROWS($1:2494),"")</f>
        <v/>
      </c>
      <c r="C2506" s="67" t="str">
        <f>IF($B2506="","",IF($E$7="Weekly",Start_Date+7*(ROWS($1:2494)-1),EDATE(Start_Date,VLOOKUP(IF(ASTemp!$E$7="","Monthly",ASTemp!$E$7),Parameters!$B$3:$D$6,3,0)*(ROWS($1:2494)-1))))</f>
        <v/>
      </c>
      <c r="D2506" s="68" t="str">
        <f t="shared" si="2"/>
        <v/>
      </c>
      <c r="E2506" s="65" t="str">
        <f>IF($B2506="","",VLOOKUP(MONTH(C2506),Parameters!$F$2:$G$13,2,0))</f>
        <v/>
      </c>
      <c r="F2506" s="69" t="str">
        <f>IF($B2506="","",PV-N(J2505))</f>
        <v/>
      </c>
      <c r="G2506" s="69" t="str">
        <f>IF($B2506="","",PMT(Rate,Nper,-PV,,Type))</f>
        <v/>
      </c>
      <c r="H2506" s="69" t="str">
        <f>IF($B2506="","",PPMT(Rate,ROWS($1:2494),Nper,-PV,,Type))</f>
        <v/>
      </c>
      <c r="I2506" s="69" t="str">
        <f>IF($B2506="","",IPMT(Rate,ROWS($1:2494),Nper,-PV,,Type))</f>
        <v/>
      </c>
      <c r="J2506" s="73" t="str">
        <f t="shared" ref="J2506:K2506" si="2496">IF($B2506="","",N(J2505)+N(H2506))</f>
        <v/>
      </c>
      <c r="K2506" s="74" t="str">
        <f t="shared" si="2496"/>
        <v/>
      </c>
      <c r="L2506" s="69" t="str">
        <f>IF($B2506="","",PV-J2506)</f>
        <v/>
      </c>
      <c r="M2506" s="71" t="str">
        <f>IF($B2506="","",J2506/PV)</f>
        <v/>
      </c>
      <c r="N2506" s="72" t="str">
        <f t="shared" si="4"/>
        <v/>
      </c>
    </row>
    <row r="2507" ht="14.25" customHeight="1">
      <c r="B2507" s="66" t="str">
        <f>IF(ROWS($1:2495)&lt;=Nper,ROWS($1:2495),"")</f>
        <v/>
      </c>
      <c r="C2507" s="67" t="str">
        <f>IF($B2507="","",IF($E$7="Weekly",Start_Date+7*(ROWS($1:2495)-1),EDATE(Start_Date,VLOOKUP(IF(ASTemp!$E$7="","Monthly",ASTemp!$E$7),Parameters!$B$3:$D$6,3,0)*(ROWS($1:2495)-1))))</f>
        <v/>
      </c>
      <c r="D2507" s="68" t="str">
        <f t="shared" si="2"/>
        <v/>
      </c>
      <c r="E2507" s="65" t="str">
        <f>IF($B2507="","",VLOOKUP(MONTH(C2507),Parameters!$F$2:$G$13,2,0))</f>
        <v/>
      </c>
      <c r="F2507" s="69" t="str">
        <f>IF($B2507="","",PV-N(J2506))</f>
        <v/>
      </c>
      <c r="G2507" s="69" t="str">
        <f>IF($B2507="","",PMT(Rate,Nper,-PV,,Type))</f>
        <v/>
      </c>
      <c r="H2507" s="69" t="str">
        <f>IF($B2507="","",PPMT(Rate,ROWS($1:2495),Nper,-PV,,Type))</f>
        <v/>
      </c>
      <c r="I2507" s="69" t="str">
        <f>IF($B2507="","",IPMT(Rate,ROWS($1:2495),Nper,-PV,,Type))</f>
        <v/>
      </c>
      <c r="J2507" s="73" t="str">
        <f t="shared" ref="J2507:K2507" si="2497">IF($B2507="","",N(J2506)+N(H2507))</f>
        <v/>
      </c>
      <c r="K2507" s="74" t="str">
        <f t="shared" si="2497"/>
        <v/>
      </c>
      <c r="L2507" s="69" t="str">
        <f>IF($B2507="","",PV-J2507)</f>
        <v/>
      </c>
      <c r="M2507" s="71" t="str">
        <f>IF($B2507="","",J2507/PV)</f>
        <v/>
      </c>
      <c r="N2507" s="72" t="str">
        <f t="shared" si="4"/>
        <v/>
      </c>
    </row>
    <row r="2508" ht="14.25" customHeight="1">
      <c r="B2508" s="66" t="str">
        <f>IF(ROWS($1:2496)&lt;=Nper,ROWS($1:2496),"")</f>
        <v/>
      </c>
      <c r="C2508" s="67" t="str">
        <f>IF($B2508="","",IF($E$7="Weekly",Start_Date+7*(ROWS($1:2496)-1),EDATE(Start_Date,VLOOKUP(IF(ASTemp!$E$7="","Monthly",ASTemp!$E$7),Parameters!$B$3:$D$6,3,0)*(ROWS($1:2496)-1))))</f>
        <v/>
      </c>
      <c r="D2508" s="68" t="str">
        <f t="shared" si="2"/>
        <v/>
      </c>
      <c r="E2508" s="65" t="str">
        <f>IF($B2508="","",VLOOKUP(MONTH(C2508),Parameters!$F$2:$G$13,2,0))</f>
        <v/>
      </c>
      <c r="F2508" s="69" t="str">
        <f>IF($B2508="","",PV-N(J2507))</f>
        <v/>
      </c>
      <c r="G2508" s="69" t="str">
        <f>IF($B2508="","",PMT(Rate,Nper,-PV,,Type))</f>
        <v/>
      </c>
      <c r="H2508" s="69" t="str">
        <f>IF($B2508="","",PPMT(Rate,ROWS($1:2496),Nper,-PV,,Type))</f>
        <v/>
      </c>
      <c r="I2508" s="69" t="str">
        <f>IF($B2508="","",IPMT(Rate,ROWS($1:2496),Nper,-PV,,Type))</f>
        <v/>
      </c>
      <c r="J2508" s="73" t="str">
        <f t="shared" ref="J2508:K2508" si="2498">IF($B2508="","",N(J2507)+N(H2508))</f>
        <v/>
      </c>
      <c r="K2508" s="74" t="str">
        <f t="shared" si="2498"/>
        <v/>
      </c>
      <c r="L2508" s="69" t="str">
        <f>IF($B2508="","",PV-J2508)</f>
        <v/>
      </c>
      <c r="M2508" s="71" t="str">
        <f>IF($B2508="","",J2508/PV)</f>
        <v/>
      </c>
      <c r="N2508" s="72" t="str">
        <f t="shared" si="4"/>
        <v/>
      </c>
    </row>
    <row r="2509" ht="14.25" customHeight="1">
      <c r="B2509" s="66" t="str">
        <f>IF(ROWS($1:2497)&lt;=Nper,ROWS($1:2497),"")</f>
        <v/>
      </c>
      <c r="C2509" s="67" t="str">
        <f>IF($B2509="","",IF($E$7="Weekly",Start_Date+7*(ROWS($1:2497)-1),EDATE(Start_Date,VLOOKUP(IF(ASTemp!$E$7="","Monthly",ASTemp!$E$7),Parameters!$B$3:$D$6,3,0)*(ROWS($1:2497)-1))))</f>
        <v/>
      </c>
      <c r="D2509" s="68" t="str">
        <f t="shared" si="2"/>
        <v/>
      </c>
      <c r="E2509" s="65" t="str">
        <f>IF($B2509="","",VLOOKUP(MONTH(C2509),Parameters!$F$2:$G$13,2,0))</f>
        <v/>
      </c>
      <c r="F2509" s="69" t="str">
        <f>IF($B2509="","",PV-N(J2508))</f>
        <v/>
      </c>
      <c r="G2509" s="69" t="str">
        <f>IF($B2509="","",PMT(Rate,Nper,-PV,,Type))</f>
        <v/>
      </c>
      <c r="H2509" s="69" t="str">
        <f>IF($B2509="","",PPMT(Rate,ROWS($1:2497),Nper,-PV,,Type))</f>
        <v/>
      </c>
      <c r="I2509" s="69" t="str">
        <f>IF($B2509="","",IPMT(Rate,ROWS($1:2497),Nper,-PV,,Type))</f>
        <v/>
      </c>
      <c r="J2509" s="73" t="str">
        <f t="shared" ref="J2509:K2509" si="2499">IF($B2509="","",N(J2508)+N(H2509))</f>
        <v/>
      </c>
      <c r="K2509" s="74" t="str">
        <f t="shared" si="2499"/>
        <v/>
      </c>
      <c r="L2509" s="69" t="str">
        <f>IF($B2509="","",PV-J2509)</f>
        <v/>
      </c>
      <c r="M2509" s="71" t="str">
        <f>IF($B2509="","",J2509/PV)</f>
        <v/>
      </c>
      <c r="N2509" s="72" t="str">
        <f t="shared" si="4"/>
        <v/>
      </c>
    </row>
    <row r="2510" ht="14.25" customHeight="1">
      <c r="B2510" s="66" t="str">
        <f>IF(ROWS($1:2498)&lt;=Nper,ROWS($1:2498),"")</f>
        <v/>
      </c>
      <c r="C2510" s="67" t="str">
        <f>IF($B2510="","",IF($E$7="Weekly",Start_Date+7*(ROWS($1:2498)-1),EDATE(Start_Date,VLOOKUP(IF(ASTemp!$E$7="","Monthly",ASTemp!$E$7),Parameters!$B$3:$D$6,3,0)*(ROWS($1:2498)-1))))</f>
        <v/>
      </c>
      <c r="D2510" s="68" t="str">
        <f t="shared" si="2"/>
        <v/>
      </c>
      <c r="E2510" s="65" t="str">
        <f>IF($B2510="","",VLOOKUP(MONTH(C2510),Parameters!$F$2:$G$13,2,0))</f>
        <v/>
      </c>
      <c r="F2510" s="69" t="str">
        <f>IF($B2510="","",PV-N(J2509))</f>
        <v/>
      </c>
      <c r="G2510" s="69" t="str">
        <f>IF($B2510="","",PMT(Rate,Nper,-PV,,Type))</f>
        <v/>
      </c>
      <c r="H2510" s="69" t="str">
        <f>IF($B2510="","",PPMT(Rate,ROWS($1:2498),Nper,-PV,,Type))</f>
        <v/>
      </c>
      <c r="I2510" s="69" t="str">
        <f>IF($B2510="","",IPMT(Rate,ROWS($1:2498),Nper,-PV,,Type))</f>
        <v/>
      </c>
      <c r="J2510" s="73" t="str">
        <f t="shared" ref="J2510:K2510" si="2500">IF($B2510="","",N(J2509)+N(H2510))</f>
        <v/>
      </c>
      <c r="K2510" s="74" t="str">
        <f t="shared" si="2500"/>
        <v/>
      </c>
      <c r="L2510" s="69" t="str">
        <f>IF($B2510="","",PV-J2510)</f>
        <v/>
      </c>
      <c r="M2510" s="71" t="str">
        <f>IF($B2510="","",J2510/PV)</f>
        <v/>
      </c>
      <c r="N2510" s="72" t="str">
        <f t="shared" si="4"/>
        <v/>
      </c>
    </row>
    <row r="2511" ht="14.25" customHeight="1">
      <c r="B2511" s="66" t="str">
        <f>IF(ROWS($1:2499)&lt;=Nper,ROWS($1:2499),"")</f>
        <v/>
      </c>
      <c r="C2511" s="67" t="str">
        <f>IF($B2511="","",IF($E$7="Weekly",Start_Date+7*(ROWS($1:2499)-1),EDATE(Start_Date,VLOOKUP(IF(ASTemp!$E$7="","Monthly",ASTemp!$E$7),Parameters!$B$3:$D$6,3,0)*(ROWS($1:2499)-1))))</f>
        <v/>
      </c>
      <c r="D2511" s="68" t="str">
        <f t="shared" si="2"/>
        <v/>
      </c>
      <c r="E2511" s="65" t="str">
        <f>IF($B2511="","",VLOOKUP(MONTH(C2511),Parameters!$F$2:$G$13,2,0))</f>
        <v/>
      </c>
      <c r="F2511" s="69" t="str">
        <f>IF($B2511="","",PV-N(J2510))</f>
        <v/>
      </c>
      <c r="G2511" s="69" t="str">
        <f>IF($B2511="","",PMT(Rate,Nper,-PV,,Type))</f>
        <v/>
      </c>
      <c r="H2511" s="69" t="str">
        <f>IF($B2511="","",PPMT(Rate,ROWS($1:2499),Nper,-PV,,Type))</f>
        <v/>
      </c>
      <c r="I2511" s="69" t="str">
        <f>IF($B2511="","",IPMT(Rate,ROWS($1:2499),Nper,-PV,,Type))</f>
        <v/>
      </c>
      <c r="J2511" s="73" t="str">
        <f t="shared" ref="J2511:K2511" si="2501">IF($B2511="","",N(J2510)+N(H2511))</f>
        <v/>
      </c>
      <c r="K2511" s="74" t="str">
        <f t="shared" si="2501"/>
        <v/>
      </c>
      <c r="L2511" s="69" t="str">
        <f>IF($B2511="","",PV-J2511)</f>
        <v/>
      </c>
      <c r="M2511" s="71" t="str">
        <f>IF($B2511="","",J2511/PV)</f>
        <v/>
      </c>
      <c r="N2511" s="72" t="str">
        <f t="shared" si="4"/>
        <v/>
      </c>
    </row>
    <row r="2512" ht="14.25" customHeight="1">
      <c r="B2512" s="66" t="str">
        <f>IF(ROWS($1:2500)&lt;=Nper,ROWS($1:2500),"")</f>
        <v/>
      </c>
      <c r="C2512" s="67" t="str">
        <f>IF($B2512="","",IF($E$7="Weekly",Start_Date+7*(ROWS($1:2500)-1),EDATE(Start_Date,VLOOKUP(IF(ASTemp!$E$7="","Monthly",ASTemp!$E$7),Parameters!$B$3:$D$6,3,0)*(ROWS($1:2500)-1))))</f>
        <v/>
      </c>
      <c r="D2512" s="68" t="str">
        <f t="shared" si="2"/>
        <v/>
      </c>
      <c r="E2512" s="65" t="str">
        <f>IF($B2512="","",VLOOKUP(MONTH(C2512),Parameters!$F$2:$G$13,2,0))</f>
        <v/>
      </c>
      <c r="F2512" s="69" t="str">
        <f>IF($B2512="","",PV-N(J2511))</f>
        <v/>
      </c>
      <c r="G2512" s="69" t="str">
        <f>IF($B2512="","",PMT(Rate,Nper,-PV,,Type))</f>
        <v/>
      </c>
      <c r="H2512" s="69" t="str">
        <f>IF($B2512="","",PPMT(Rate,ROWS($1:2500),Nper,-PV,,Type))</f>
        <v/>
      </c>
      <c r="I2512" s="69" t="str">
        <f>IF($B2512="","",IPMT(Rate,ROWS($1:2500),Nper,-PV,,Type))</f>
        <v/>
      </c>
      <c r="J2512" s="73" t="str">
        <f t="shared" ref="J2512:K2512" si="2502">IF($B2512="","",N(J2511)+N(H2512))</f>
        <v/>
      </c>
      <c r="K2512" s="74" t="str">
        <f t="shared" si="2502"/>
        <v/>
      </c>
      <c r="L2512" s="69" t="str">
        <f>IF($B2512="","",PV-J2512)</f>
        <v/>
      </c>
      <c r="M2512" s="71" t="str">
        <f>IF($B2512="","",J2512/PV)</f>
        <v/>
      </c>
      <c r="N2512" s="72" t="str">
        <f t="shared" si="4"/>
        <v/>
      </c>
    </row>
    <row r="2513" ht="14.25" customHeight="1">
      <c r="B2513" s="66" t="str">
        <f>IF(ROWS($1:2501)&lt;=Nper,ROWS($1:2501),"")</f>
        <v/>
      </c>
      <c r="C2513" s="67" t="str">
        <f>IF($B2513="","",IF($E$7="Weekly",Start_Date+7*(ROWS($1:2501)-1),EDATE(Start_Date,VLOOKUP(IF(ASTemp!$E$7="","Monthly",ASTemp!$E$7),Parameters!$B$3:$D$6,3,0)*(ROWS($1:2501)-1))))</f>
        <v/>
      </c>
      <c r="D2513" s="68" t="str">
        <f t="shared" si="2"/>
        <v/>
      </c>
      <c r="E2513" s="65" t="str">
        <f>IF($B2513="","",VLOOKUP(MONTH(C2513),Parameters!$F$2:$G$13,2,0))</f>
        <v/>
      </c>
      <c r="F2513" s="69" t="str">
        <f>IF($B2513="","",PV-N(J2512))</f>
        <v/>
      </c>
      <c r="G2513" s="69" t="str">
        <f>IF($B2513="","",PMT(Rate,Nper,-PV,,Type))</f>
        <v/>
      </c>
      <c r="H2513" s="69" t="str">
        <f>IF($B2513="","",PPMT(Rate,ROWS($1:2501),Nper,-PV,,Type))</f>
        <v/>
      </c>
      <c r="I2513" s="69" t="str">
        <f>IF($B2513="","",IPMT(Rate,ROWS($1:2501),Nper,-PV,,Type))</f>
        <v/>
      </c>
      <c r="J2513" s="73" t="str">
        <f t="shared" ref="J2513:K2513" si="2503">IF($B2513="","",N(J2512)+N(H2513))</f>
        <v/>
      </c>
      <c r="K2513" s="74" t="str">
        <f t="shared" si="2503"/>
        <v/>
      </c>
      <c r="L2513" s="69" t="str">
        <f>IF($B2513="","",PV-J2513)</f>
        <v/>
      </c>
      <c r="M2513" s="71" t="str">
        <f>IF($B2513="","",J2513/PV)</f>
        <v/>
      </c>
      <c r="N2513" s="72" t="str">
        <f t="shared" si="4"/>
        <v/>
      </c>
    </row>
    <row r="2514" ht="14.25" customHeight="1">
      <c r="B2514" s="66" t="str">
        <f>IF(ROWS($1:2502)&lt;=Nper,ROWS($1:2502),"")</f>
        <v/>
      </c>
      <c r="C2514" s="67" t="str">
        <f>IF($B2514="","",IF($E$7="Weekly",Start_Date+7*(ROWS($1:2502)-1),EDATE(Start_Date,VLOOKUP(IF(ASTemp!$E$7="","Monthly",ASTemp!$E$7),Parameters!$B$3:$D$6,3,0)*(ROWS($1:2502)-1))))</f>
        <v/>
      </c>
      <c r="D2514" s="68" t="str">
        <f t="shared" si="2"/>
        <v/>
      </c>
      <c r="E2514" s="65" t="str">
        <f>IF($B2514="","",VLOOKUP(MONTH(C2514),Parameters!$F$2:$G$13,2,0))</f>
        <v/>
      </c>
      <c r="F2514" s="69" t="str">
        <f>IF($B2514="","",PV-N(J2513))</f>
        <v/>
      </c>
      <c r="G2514" s="69" t="str">
        <f>IF($B2514="","",PMT(Rate,Nper,-PV,,Type))</f>
        <v/>
      </c>
      <c r="H2514" s="69" t="str">
        <f>IF($B2514="","",PPMT(Rate,ROWS($1:2502),Nper,-PV,,Type))</f>
        <v/>
      </c>
      <c r="I2514" s="69" t="str">
        <f>IF($B2514="","",IPMT(Rate,ROWS($1:2502),Nper,-PV,,Type))</f>
        <v/>
      </c>
      <c r="J2514" s="73" t="str">
        <f t="shared" ref="J2514:K2514" si="2504">IF($B2514="","",N(J2513)+N(H2514))</f>
        <v/>
      </c>
      <c r="K2514" s="74" t="str">
        <f t="shared" si="2504"/>
        <v/>
      </c>
      <c r="L2514" s="69" t="str">
        <f>IF($B2514="","",PV-J2514)</f>
        <v/>
      </c>
      <c r="M2514" s="71" t="str">
        <f>IF($B2514="","",J2514/PV)</f>
        <v/>
      </c>
      <c r="N2514" s="72" t="str">
        <f t="shared" si="4"/>
        <v/>
      </c>
    </row>
    <row r="2515" ht="14.25" customHeight="1">
      <c r="B2515" s="66" t="str">
        <f>IF(ROWS($1:2503)&lt;=Nper,ROWS($1:2503),"")</f>
        <v/>
      </c>
      <c r="C2515" s="67" t="str">
        <f>IF($B2515="","",IF($E$7="Weekly",Start_Date+7*(ROWS($1:2503)-1),EDATE(Start_Date,VLOOKUP(IF(ASTemp!$E$7="","Monthly",ASTemp!$E$7),Parameters!$B$3:$D$6,3,0)*(ROWS($1:2503)-1))))</f>
        <v/>
      </c>
      <c r="D2515" s="68" t="str">
        <f t="shared" si="2"/>
        <v/>
      </c>
      <c r="E2515" s="65" t="str">
        <f>IF($B2515="","",VLOOKUP(MONTH(C2515),Parameters!$F$2:$G$13,2,0))</f>
        <v/>
      </c>
      <c r="F2515" s="69" t="str">
        <f>IF($B2515="","",PV-N(J2514))</f>
        <v/>
      </c>
      <c r="G2515" s="69" t="str">
        <f>IF($B2515="","",PMT(Rate,Nper,-PV,,Type))</f>
        <v/>
      </c>
      <c r="H2515" s="69" t="str">
        <f>IF($B2515="","",PPMT(Rate,ROWS($1:2503),Nper,-PV,,Type))</f>
        <v/>
      </c>
      <c r="I2515" s="69" t="str">
        <f>IF($B2515="","",IPMT(Rate,ROWS($1:2503),Nper,-PV,,Type))</f>
        <v/>
      </c>
      <c r="J2515" s="73" t="str">
        <f t="shared" ref="J2515:K2515" si="2505">IF($B2515="","",N(J2514)+N(H2515))</f>
        <v/>
      </c>
      <c r="K2515" s="74" t="str">
        <f t="shared" si="2505"/>
        <v/>
      </c>
      <c r="L2515" s="69" t="str">
        <f>IF($B2515="","",PV-J2515)</f>
        <v/>
      </c>
      <c r="M2515" s="71" t="str">
        <f>IF($B2515="","",J2515/PV)</f>
        <v/>
      </c>
      <c r="N2515" s="72" t="str">
        <f t="shared" si="4"/>
        <v/>
      </c>
    </row>
    <row r="2516" ht="14.25" customHeight="1">
      <c r="B2516" s="66" t="str">
        <f>IF(ROWS($1:2504)&lt;=Nper,ROWS($1:2504),"")</f>
        <v/>
      </c>
      <c r="C2516" s="67" t="str">
        <f>IF($B2516="","",IF($E$7="Weekly",Start_Date+7*(ROWS($1:2504)-1),EDATE(Start_Date,VLOOKUP(IF(ASTemp!$E$7="","Monthly",ASTemp!$E$7),Parameters!$B$3:$D$6,3,0)*(ROWS($1:2504)-1))))</f>
        <v/>
      </c>
      <c r="D2516" s="68" t="str">
        <f t="shared" si="2"/>
        <v/>
      </c>
      <c r="E2516" s="65" t="str">
        <f>IF($B2516="","",VLOOKUP(MONTH(C2516),Parameters!$F$2:$G$13,2,0))</f>
        <v/>
      </c>
      <c r="F2516" s="69" t="str">
        <f>IF($B2516="","",PV-N(J2515))</f>
        <v/>
      </c>
      <c r="G2516" s="69" t="str">
        <f>IF($B2516="","",PMT(Rate,Nper,-PV,,Type))</f>
        <v/>
      </c>
      <c r="H2516" s="69" t="str">
        <f>IF($B2516="","",PPMT(Rate,ROWS($1:2504),Nper,-PV,,Type))</f>
        <v/>
      </c>
      <c r="I2516" s="69" t="str">
        <f>IF($B2516="","",IPMT(Rate,ROWS($1:2504),Nper,-PV,,Type))</f>
        <v/>
      </c>
      <c r="J2516" s="73" t="str">
        <f t="shared" ref="J2516:K2516" si="2506">IF($B2516="","",N(J2515)+N(H2516))</f>
        <v/>
      </c>
      <c r="K2516" s="74" t="str">
        <f t="shared" si="2506"/>
        <v/>
      </c>
      <c r="L2516" s="69" t="str">
        <f>IF($B2516="","",PV-J2516)</f>
        <v/>
      </c>
      <c r="M2516" s="71" t="str">
        <f>IF($B2516="","",J2516/PV)</f>
        <v/>
      </c>
      <c r="N2516" s="72" t="str">
        <f t="shared" si="4"/>
        <v/>
      </c>
    </row>
    <row r="2517" ht="14.25" customHeight="1">
      <c r="B2517" s="66" t="str">
        <f>IF(ROWS($1:2505)&lt;=Nper,ROWS($1:2505),"")</f>
        <v/>
      </c>
      <c r="C2517" s="67" t="str">
        <f>IF($B2517="","",IF($E$7="Weekly",Start_Date+7*(ROWS($1:2505)-1),EDATE(Start_Date,VLOOKUP(IF(ASTemp!$E$7="","Monthly",ASTemp!$E$7),Parameters!$B$3:$D$6,3,0)*(ROWS($1:2505)-1))))</f>
        <v/>
      </c>
      <c r="D2517" s="68" t="str">
        <f t="shared" si="2"/>
        <v/>
      </c>
      <c r="E2517" s="65" t="str">
        <f>IF($B2517="","",VLOOKUP(MONTH(C2517),Parameters!$F$2:$G$13,2,0))</f>
        <v/>
      </c>
      <c r="F2517" s="69" t="str">
        <f>IF($B2517="","",PV-N(J2516))</f>
        <v/>
      </c>
      <c r="G2517" s="69" t="str">
        <f>IF($B2517="","",PMT(Rate,Nper,-PV,,Type))</f>
        <v/>
      </c>
      <c r="H2517" s="69" t="str">
        <f>IF($B2517="","",PPMT(Rate,ROWS($1:2505),Nper,-PV,,Type))</f>
        <v/>
      </c>
      <c r="I2517" s="69" t="str">
        <f>IF($B2517="","",IPMT(Rate,ROWS($1:2505),Nper,-PV,,Type))</f>
        <v/>
      </c>
      <c r="J2517" s="73" t="str">
        <f t="shared" ref="J2517:K2517" si="2507">IF($B2517="","",N(J2516)+N(H2517))</f>
        <v/>
      </c>
      <c r="K2517" s="74" t="str">
        <f t="shared" si="2507"/>
        <v/>
      </c>
      <c r="L2517" s="69" t="str">
        <f>IF($B2517="","",PV-J2517)</f>
        <v/>
      </c>
      <c r="M2517" s="71" t="str">
        <f>IF($B2517="","",J2517/PV)</f>
        <v/>
      </c>
      <c r="N2517" s="72" t="str">
        <f t="shared" si="4"/>
        <v/>
      </c>
    </row>
    <row r="2518" ht="14.25" customHeight="1">
      <c r="B2518" s="66" t="str">
        <f>IF(ROWS($1:2506)&lt;=Nper,ROWS($1:2506),"")</f>
        <v/>
      </c>
      <c r="C2518" s="67" t="str">
        <f>IF($B2518="","",IF($E$7="Weekly",Start_Date+7*(ROWS($1:2506)-1),EDATE(Start_Date,VLOOKUP(IF(ASTemp!$E$7="","Monthly",ASTemp!$E$7),Parameters!$B$3:$D$6,3,0)*(ROWS($1:2506)-1))))</f>
        <v/>
      </c>
      <c r="D2518" s="68" t="str">
        <f t="shared" si="2"/>
        <v/>
      </c>
      <c r="E2518" s="65" t="str">
        <f>IF($B2518="","",VLOOKUP(MONTH(C2518),Parameters!$F$2:$G$13,2,0))</f>
        <v/>
      </c>
      <c r="F2518" s="69" t="str">
        <f>IF($B2518="","",PV-N(J2517))</f>
        <v/>
      </c>
      <c r="G2518" s="69" t="str">
        <f>IF($B2518="","",PMT(Rate,Nper,-PV,,Type))</f>
        <v/>
      </c>
      <c r="H2518" s="69" t="str">
        <f>IF($B2518="","",PPMT(Rate,ROWS($1:2506),Nper,-PV,,Type))</f>
        <v/>
      </c>
      <c r="I2518" s="69" t="str">
        <f>IF($B2518="","",IPMT(Rate,ROWS($1:2506),Nper,-PV,,Type))</f>
        <v/>
      </c>
      <c r="J2518" s="73" t="str">
        <f t="shared" ref="J2518:K2518" si="2508">IF($B2518="","",N(J2517)+N(H2518))</f>
        <v/>
      </c>
      <c r="K2518" s="74" t="str">
        <f t="shared" si="2508"/>
        <v/>
      </c>
      <c r="L2518" s="69" t="str">
        <f>IF($B2518="","",PV-J2518)</f>
        <v/>
      </c>
      <c r="M2518" s="71" t="str">
        <f>IF($B2518="","",J2518/PV)</f>
        <v/>
      </c>
      <c r="N2518" s="72" t="str">
        <f t="shared" si="4"/>
        <v/>
      </c>
    </row>
    <row r="2519" ht="14.25" customHeight="1">
      <c r="B2519" s="66" t="str">
        <f>IF(ROWS($1:2507)&lt;=Nper,ROWS($1:2507),"")</f>
        <v/>
      </c>
      <c r="C2519" s="67" t="str">
        <f>IF($B2519="","",IF($E$7="Weekly",Start_Date+7*(ROWS($1:2507)-1),EDATE(Start_Date,VLOOKUP(IF(ASTemp!$E$7="","Monthly",ASTemp!$E$7),Parameters!$B$3:$D$6,3,0)*(ROWS($1:2507)-1))))</f>
        <v/>
      </c>
      <c r="D2519" s="68" t="str">
        <f t="shared" si="2"/>
        <v/>
      </c>
      <c r="E2519" s="65" t="str">
        <f>IF($B2519="","",VLOOKUP(MONTH(C2519),Parameters!$F$2:$G$13,2,0))</f>
        <v/>
      </c>
      <c r="F2519" s="69" t="str">
        <f>IF($B2519="","",PV-N(J2518))</f>
        <v/>
      </c>
      <c r="G2519" s="69" t="str">
        <f>IF($B2519="","",PMT(Rate,Nper,-PV,,Type))</f>
        <v/>
      </c>
      <c r="H2519" s="69" t="str">
        <f>IF($B2519="","",PPMT(Rate,ROWS($1:2507),Nper,-PV,,Type))</f>
        <v/>
      </c>
      <c r="I2519" s="69" t="str">
        <f>IF($B2519="","",IPMT(Rate,ROWS($1:2507),Nper,-PV,,Type))</f>
        <v/>
      </c>
      <c r="J2519" s="73" t="str">
        <f t="shared" ref="J2519:K2519" si="2509">IF($B2519="","",N(J2518)+N(H2519))</f>
        <v/>
      </c>
      <c r="K2519" s="74" t="str">
        <f t="shared" si="2509"/>
        <v/>
      </c>
      <c r="L2519" s="69" t="str">
        <f>IF($B2519="","",PV-J2519)</f>
        <v/>
      </c>
      <c r="M2519" s="71" t="str">
        <f>IF($B2519="","",J2519/PV)</f>
        <v/>
      </c>
      <c r="N2519" s="72" t="str">
        <f t="shared" si="4"/>
        <v/>
      </c>
    </row>
    <row r="2520" ht="14.25" customHeight="1">
      <c r="B2520" s="66" t="str">
        <f>IF(ROWS($1:2508)&lt;=Nper,ROWS($1:2508),"")</f>
        <v/>
      </c>
      <c r="C2520" s="67" t="str">
        <f>IF($B2520="","",IF($E$7="Weekly",Start_Date+7*(ROWS($1:2508)-1),EDATE(Start_Date,VLOOKUP(IF(ASTemp!$E$7="","Monthly",ASTemp!$E$7),Parameters!$B$3:$D$6,3,0)*(ROWS($1:2508)-1))))</f>
        <v/>
      </c>
      <c r="D2520" s="68" t="str">
        <f t="shared" si="2"/>
        <v/>
      </c>
      <c r="E2520" s="65" t="str">
        <f>IF($B2520="","",VLOOKUP(MONTH(C2520),Parameters!$F$2:$G$13,2,0))</f>
        <v/>
      </c>
      <c r="F2520" s="69" t="str">
        <f>IF($B2520="","",PV-N(J2519))</f>
        <v/>
      </c>
      <c r="G2520" s="69" t="str">
        <f>IF($B2520="","",PMT(Rate,Nper,-PV,,Type))</f>
        <v/>
      </c>
      <c r="H2520" s="69" t="str">
        <f>IF($B2520="","",PPMT(Rate,ROWS($1:2508),Nper,-PV,,Type))</f>
        <v/>
      </c>
      <c r="I2520" s="69" t="str">
        <f>IF($B2520="","",IPMT(Rate,ROWS($1:2508),Nper,-PV,,Type))</f>
        <v/>
      </c>
      <c r="J2520" s="73" t="str">
        <f t="shared" ref="J2520:K2520" si="2510">IF($B2520="","",N(J2519)+N(H2520))</f>
        <v/>
      </c>
      <c r="K2520" s="74" t="str">
        <f t="shared" si="2510"/>
        <v/>
      </c>
      <c r="L2520" s="69" t="str">
        <f>IF($B2520="","",PV-J2520)</f>
        <v/>
      </c>
      <c r="M2520" s="71" t="str">
        <f>IF($B2520="","",J2520/PV)</f>
        <v/>
      </c>
      <c r="N2520" s="72" t="str">
        <f t="shared" si="4"/>
        <v/>
      </c>
    </row>
    <row r="2521" ht="14.25" customHeight="1">
      <c r="B2521" s="66" t="str">
        <f>IF(ROWS($1:2509)&lt;=Nper,ROWS($1:2509),"")</f>
        <v/>
      </c>
      <c r="C2521" s="67" t="str">
        <f>IF($B2521="","",IF($E$7="Weekly",Start_Date+7*(ROWS($1:2509)-1),EDATE(Start_Date,VLOOKUP(IF(ASTemp!$E$7="","Monthly",ASTemp!$E$7),Parameters!$B$3:$D$6,3,0)*(ROWS($1:2509)-1))))</f>
        <v/>
      </c>
      <c r="D2521" s="68" t="str">
        <f t="shared" si="2"/>
        <v/>
      </c>
      <c r="E2521" s="65" t="str">
        <f>IF($B2521="","",VLOOKUP(MONTH(C2521),Parameters!$F$2:$G$13,2,0))</f>
        <v/>
      </c>
      <c r="F2521" s="69" t="str">
        <f>IF($B2521="","",PV-N(J2520))</f>
        <v/>
      </c>
      <c r="G2521" s="69" t="str">
        <f>IF($B2521="","",PMT(Rate,Nper,-PV,,Type))</f>
        <v/>
      </c>
      <c r="H2521" s="69" t="str">
        <f>IF($B2521="","",PPMT(Rate,ROWS($1:2509),Nper,-PV,,Type))</f>
        <v/>
      </c>
      <c r="I2521" s="69" t="str">
        <f>IF($B2521="","",IPMT(Rate,ROWS($1:2509),Nper,-PV,,Type))</f>
        <v/>
      </c>
      <c r="J2521" s="73" t="str">
        <f t="shared" ref="J2521:K2521" si="2511">IF($B2521="","",N(J2520)+N(H2521))</f>
        <v/>
      </c>
      <c r="K2521" s="74" t="str">
        <f t="shared" si="2511"/>
        <v/>
      </c>
      <c r="L2521" s="69" t="str">
        <f>IF($B2521="","",PV-J2521)</f>
        <v/>
      </c>
      <c r="M2521" s="71" t="str">
        <f>IF($B2521="","",J2521/PV)</f>
        <v/>
      </c>
      <c r="N2521" s="72" t="str">
        <f t="shared" si="4"/>
        <v/>
      </c>
    </row>
    <row r="2522" ht="14.25" customHeight="1">
      <c r="B2522" s="66" t="str">
        <f>IF(ROWS($1:2510)&lt;=Nper,ROWS($1:2510),"")</f>
        <v/>
      </c>
      <c r="C2522" s="67" t="str">
        <f>IF($B2522="","",IF($E$7="Weekly",Start_Date+7*(ROWS($1:2510)-1),EDATE(Start_Date,VLOOKUP(IF(ASTemp!$E$7="","Monthly",ASTemp!$E$7),Parameters!$B$3:$D$6,3,0)*(ROWS($1:2510)-1))))</f>
        <v/>
      </c>
      <c r="D2522" s="68" t="str">
        <f t="shared" si="2"/>
        <v/>
      </c>
      <c r="E2522" s="65" t="str">
        <f>IF($B2522="","",VLOOKUP(MONTH(C2522),Parameters!$F$2:$G$13,2,0))</f>
        <v/>
      </c>
      <c r="F2522" s="69" t="str">
        <f>IF($B2522="","",PV-N(J2521))</f>
        <v/>
      </c>
      <c r="G2522" s="69" t="str">
        <f>IF($B2522="","",PMT(Rate,Nper,-PV,,Type))</f>
        <v/>
      </c>
      <c r="H2522" s="69" t="str">
        <f>IF($B2522="","",PPMT(Rate,ROWS($1:2510),Nper,-PV,,Type))</f>
        <v/>
      </c>
      <c r="I2522" s="69" t="str">
        <f>IF($B2522="","",IPMT(Rate,ROWS($1:2510),Nper,-PV,,Type))</f>
        <v/>
      </c>
      <c r="J2522" s="73" t="str">
        <f t="shared" ref="J2522:K2522" si="2512">IF($B2522="","",N(J2521)+N(H2522))</f>
        <v/>
      </c>
      <c r="K2522" s="74" t="str">
        <f t="shared" si="2512"/>
        <v/>
      </c>
      <c r="L2522" s="69" t="str">
        <f>IF($B2522="","",PV-J2522)</f>
        <v/>
      </c>
      <c r="M2522" s="71" t="str">
        <f>IF($B2522="","",J2522/PV)</f>
        <v/>
      </c>
      <c r="N2522" s="72" t="str">
        <f t="shared" si="4"/>
        <v/>
      </c>
    </row>
    <row r="2523" ht="14.25" customHeight="1">
      <c r="B2523" s="66" t="str">
        <f>IF(ROWS($1:2511)&lt;=Nper,ROWS($1:2511),"")</f>
        <v/>
      </c>
      <c r="C2523" s="67" t="str">
        <f>IF($B2523="","",IF($E$7="Weekly",Start_Date+7*(ROWS($1:2511)-1),EDATE(Start_Date,VLOOKUP(IF(ASTemp!$E$7="","Monthly",ASTemp!$E$7),Parameters!$B$3:$D$6,3,0)*(ROWS($1:2511)-1))))</f>
        <v/>
      </c>
      <c r="D2523" s="68" t="str">
        <f t="shared" si="2"/>
        <v/>
      </c>
      <c r="E2523" s="65" t="str">
        <f>IF($B2523="","",VLOOKUP(MONTH(C2523),Parameters!$F$2:$G$13,2,0))</f>
        <v/>
      </c>
      <c r="F2523" s="69" t="str">
        <f>IF($B2523="","",PV-N(J2522))</f>
        <v/>
      </c>
      <c r="G2523" s="69" t="str">
        <f>IF($B2523="","",PMT(Rate,Nper,-PV,,Type))</f>
        <v/>
      </c>
      <c r="H2523" s="69" t="str">
        <f>IF($B2523="","",PPMT(Rate,ROWS($1:2511),Nper,-PV,,Type))</f>
        <v/>
      </c>
      <c r="I2523" s="69" t="str">
        <f>IF($B2523="","",IPMT(Rate,ROWS($1:2511),Nper,-PV,,Type))</f>
        <v/>
      </c>
      <c r="J2523" s="73" t="str">
        <f t="shared" ref="J2523:K2523" si="2513">IF($B2523="","",N(J2522)+N(H2523))</f>
        <v/>
      </c>
      <c r="K2523" s="74" t="str">
        <f t="shared" si="2513"/>
        <v/>
      </c>
      <c r="L2523" s="69" t="str">
        <f>IF($B2523="","",PV-J2523)</f>
        <v/>
      </c>
      <c r="M2523" s="71" t="str">
        <f>IF($B2523="","",J2523/PV)</f>
        <v/>
      </c>
      <c r="N2523" s="72" t="str">
        <f t="shared" si="4"/>
        <v/>
      </c>
    </row>
    <row r="2524" ht="14.25" customHeight="1">
      <c r="B2524" s="66" t="str">
        <f>IF(ROWS($1:2512)&lt;=Nper,ROWS($1:2512),"")</f>
        <v/>
      </c>
      <c r="C2524" s="67" t="str">
        <f>IF($B2524="","",IF($E$7="Weekly",Start_Date+7*(ROWS($1:2512)-1),EDATE(Start_Date,VLOOKUP(IF(ASTemp!$E$7="","Monthly",ASTemp!$E$7),Parameters!$B$3:$D$6,3,0)*(ROWS($1:2512)-1))))</f>
        <v/>
      </c>
      <c r="D2524" s="68" t="str">
        <f t="shared" si="2"/>
        <v/>
      </c>
      <c r="E2524" s="65" t="str">
        <f>IF($B2524="","",VLOOKUP(MONTH(C2524),Parameters!$F$2:$G$13,2,0))</f>
        <v/>
      </c>
      <c r="F2524" s="69" t="str">
        <f>IF($B2524="","",PV-N(J2523))</f>
        <v/>
      </c>
      <c r="G2524" s="69" t="str">
        <f>IF($B2524="","",PMT(Rate,Nper,-PV,,Type))</f>
        <v/>
      </c>
      <c r="H2524" s="69" t="str">
        <f>IF($B2524="","",PPMT(Rate,ROWS($1:2512),Nper,-PV,,Type))</f>
        <v/>
      </c>
      <c r="I2524" s="69" t="str">
        <f>IF($B2524="","",IPMT(Rate,ROWS($1:2512),Nper,-PV,,Type))</f>
        <v/>
      </c>
      <c r="J2524" s="73" t="str">
        <f t="shared" ref="J2524:K2524" si="2514">IF($B2524="","",N(J2523)+N(H2524))</f>
        <v/>
      </c>
      <c r="K2524" s="74" t="str">
        <f t="shared" si="2514"/>
        <v/>
      </c>
      <c r="L2524" s="69" t="str">
        <f>IF($B2524="","",PV-J2524)</f>
        <v/>
      </c>
      <c r="M2524" s="71" t="str">
        <f>IF($B2524="","",J2524/PV)</f>
        <v/>
      </c>
      <c r="N2524" s="72" t="str">
        <f t="shared" si="4"/>
        <v/>
      </c>
    </row>
    <row r="2525" ht="14.25" customHeight="1">
      <c r="B2525" s="66" t="str">
        <f>IF(ROWS($1:2513)&lt;=Nper,ROWS($1:2513),"")</f>
        <v/>
      </c>
      <c r="C2525" s="67" t="str">
        <f>IF($B2525="","",IF($E$7="Weekly",Start_Date+7*(ROWS($1:2513)-1),EDATE(Start_Date,VLOOKUP(IF(ASTemp!$E$7="","Monthly",ASTemp!$E$7),Parameters!$B$3:$D$6,3,0)*(ROWS($1:2513)-1))))</f>
        <v/>
      </c>
      <c r="D2525" s="68" t="str">
        <f t="shared" si="2"/>
        <v/>
      </c>
      <c r="E2525" s="65" t="str">
        <f>IF($B2525="","",VLOOKUP(MONTH(C2525),Parameters!$F$2:$G$13,2,0))</f>
        <v/>
      </c>
      <c r="F2525" s="69" t="str">
        <f>IF($B2525="","",PV-N(J2524))</f>
        <v/>
      </c>
      <c r="G2525" s="69" t="str">
        <f>IF($B2525="","",PMT(Rate,Nper,-PV,,Type))</f>
        <v/>
      </c>
      <c r="H2525" s="69" t="str">
        <f>IF($B2525="","",PPMT(Rate,ROWS($1:2513),Nper,-PV,,Type))</f>
        <v/>
      </c>
      <c r="I2525" s="69" t="str">
        <f>IF($B2525="","",IPMT(Rate,ROWS($1:2513),Nper,-PV,,Type))</f>
        <v/>
      </c>
      <c r="J2525" s="73" t="str">
        <f t="shared" ref="J2525:K2525" si="2515">IF($B2525="","",N(J2524)+N(H2525))</f>
        <v/>
      </c>
      <c r="K2525" s="74" t="str">
        <f t="shared" si="2515"/>
        <v/>
      </c>
      <c r="L2525" s="69" t="str">
        <f>IF($B2525="","",PV-J2525)</f>
        <v/>
      </c>
      <c r="M2525" s="71" t="str">
        <f>IF($B2525="","",J2525/PV)</f>
        <v/>
      </c>
      <c r="N2525" s="72" t="str">
        <f t="shared" si="4"/>
        <v/>
      </c>
    </row>
    <row r="2526" ht="14.25" customHeight="1">
      <c r="B2526" s="66" t="str">
        <f>IF(ROWS($1:2514)&lt;=Nper,ROWS($1:2514),"")</f>
        <v/>
      </c>
      <c r="C2526" s="67" t="str">
        <f>IF($B2526="","",IF($E$7="Weekly",Start_Date+7*(ROWS($1:2514)-1),EDATE(Start_Date,VLOOKUP(IF(ASTemp!$E$7="","Monthly",ASTemp!$E$7),Parameters!$B$3:$D$6,3,0)*(ROWS($1:2514)-1))))</f>
        <v/>
      </c>
      <c r="D2526" s="68" t="str">
        <f t="shared" si="2"/>
        <v/>
      </c>
      <c r="E2526" s="65" t="str">
        <f>IF($B2526="","",VLOOKUP(MONTH(C2526),Parameters!$F$2:$G$13,2,0))</f>
        <v/>
      </c>
      <c r="F2526" s="69" t="str">
        <f>IF($B2526="","",PV-N(J2525))</f>
        <v/>
      </c>
      <c r="G2526" s="69" t="str">
        <f>IF($B2526="","",PMT(Rate,Nper,-PV,,Type))</f>
        <v/>
      </c>
      <c r="H2526" s="69" t="str">
        <f>IF($B2526="","",PPMT(Rate,ROWS($1:2514),Nper,-PV,,Type))</f>
        <v/>
      </c>
      <c r="I2526" s="69" t="str">
        <f>IF($B2526="","",IPMT(Rate,ROWS($1:2514),Nper,-PV,,Type))</f>
        <v/>
      </c>
      <c r="J2526" s="73" t="str">
        <f t="shared" ref="J2526:K2526" si="2516">IF($B2526="","",N(J2525)+N(H2526))</f>
        <v/>
      </c>
      <c r="K2526" s="74" t="str">
        <f t="shared" si="2516"/>
        <v/>
      </c>
      <c r="L2526" s="69" t="str">
        <f>IF($B2526="","",PV-J2526)</f>
        <v/>
      </c>
      <c r="M2526" s="71" t="str">
        <f>IF($B2526="","",J2526/PV)</f>
        <v/>
      </c>
      <c r="N2526" s="72" t="str">
        <f t="shared" si="4"/>
        <v/>
      </c>
    </row>
    <row r="2527" ht="14.25" customHeight="1">
      <c r="B2527" s="66" t="str">
        <f>IF(ROWS($1:2515)&lt;=Nper,ROWS($1:2515),"")</f>
        <v/>
      </c>
      <c r="C2527" s="67" t="str">
        <f>IF($B2527="","",IF($E$7="Weekly",Start_Date+7*(ROWS($1:2515)-1),EDATE(Start_Date,VLOOKUP(IF(ASTemp!$E$7="","Monthly",ASTemp!$E$7),Parameters!$B$3:$D$6,3,0)*(ROWS($1:2515)-1))))</f>
        <v/>
      </c>
      <c r="D2527" s="68" t="str">
        <f t="shared" si="2"/>
        <v/>
      </c>
      <c r="E2527" s="65" t="str">
        <f>IF($B2527="","",VLOOKUP(MONTH(C2527),Parameters!$F$2:$G$13,2,0))</f>
        <v/>
      </c>
      <c r="F2527" s="69" t="str">
        <f>IF($B2527="","",PV-N(J2526))</f>
        <v/>
      </c>
      <c r="G2527" s="69" t="str">
        <f>IF($B2527="","",PMT(Rate,Nper,-PV,,Type))</f>
        <v/>
      </c>
      <c r="H2527" s="69" t="str">
        <f>IF($B2527="","",PPMT(Rate,ROWS($1:2515),Nper,-PV,,Type))</f>
        <v/>
      </c>
      <c r="I2527" s="69" t="str">
        <f>IF($B2527="","",IPMT(Rate,ROWS($1:2515),Nper,-PV,,Type))</f>
        <v/>
      </c>
      <c r="J2527" s="73" t="str">
        <f t="shared" ref="J2527:K2527" si="2517">IF($B2527="","",N(J2526)+N(H2527))</f>
        <v/>
      </c>
      <c r="K2527" s="74" t="str">
        <f t="shared" si="2517"/>
        <v/>
      </c>
      <c r="L2527" s="69" t="str">
        <f>IF($B2527="","",PV-J2527)</f>
        <v/>
      </c>
      <c r="M2527" s="71" t="str">
        <f>IF($B2527="","",J2527/PV)</f>
        <v/>
      </c>
      <c r="N2527" s="72" t="str">
        <f t="shared" si="4"/>
        <v/>
      </c>
    </row>
    <row r="2528" ht="14.25" customHeight="1">
      <c r="B2528" s="66" t="str">
        <f>IF(ROWS($1:2516)&lt;=Nper,ROWS($1:2516),"")</f>
        <v/>
      </c>
      <c r="C2528" s="67" t="str">
        <f>IF($B2528="","",IF($E$7="Weekly",Start_Date+7*(ROWS($1:2516)-1),EDATE(Start_Date,VLOOKUP(IF(ASTemp!$E$7="","Monthly",ASTemp!$E$7),Parameters!$B$3:$D$6,3,0)*(ROWS($1:2516)-1))))</f>
        <v/>
      </c>
      <c r="D2528" s="68" t="str">
        <f t="shared" si="2"/>
        <v/>
      </c>
      <c r="E2528" s="65" t="str">
        <f>IF($B2528="","",VLOOKUP(MONTH(C2528),Parameters!$F$2:$G$13,2,0))</f>
        <v/>
      </c>
      <c r="F2528" s="69" t="str">
        <f>IF($B2528="","",PV-N(J2527))</f>
        <v/>
      </c>
      <c r="G2528" s="69" t="str">
        <f>IF($B2528="","",PMT(Rate,Nper,-PV,,Type))</f>
        <v/>
      </c>
      <c r="H2528" s="69" t="str">
        <f>IF($B2528="","",PPMT(Rate,ROWS($1:2516),Nper,-PV,,Type))</f>
        <v/>
      </c>
      <c r="I2528" s="69" t="str">
        <f>IF($B2528="","",IPMT(Rate,ROWS($1:2516),Nper,-PV,,Type))</f>
        <v/>
      </c>
      <c r="J2528" s="73" t="str">
        <f t="shared" ref="J2528:K2528" si="2518">IF($B2528="","",N(J2527)+N(H2528))</f>
        <v/>
      </c>
      <c r="K2528" s="74" t="str">
        <f t="shared" si="2518"/>
        <v/>
      </c>
      <c r="L2528" s="69" t="str">
        <f>IF($B2528="","",PV-J2528)</f>
        <v/>
      </c>
      <c r="M2528" s="71" t="str">
        <f>IF($B2528="","",J2528/PV)</f>
        <v/>
      </c>
      <c r="N2528" s="72" t="str">
        <f t="shared" si="4"/>
        <v/>
      </c>
    </row>
    <row r="2529" ht="14.25" customHeight="1">
      <c r="B2529" s="66" t="str">
        <f>IF(ROWS($1:2517)&lt;=Nper,ROWS($1:2517),"")</f>
        <v/>
      </c>
      <c r="C2529" s="67" t="str">
        <f>IF($B2529="","",IF($E$7="Weekly",Start_Date+7*(ROWS($1:2517)-1),EDATE(Start_Date,VLOOKUP(IF(ASTemp!$E$7="","Monthly",ASTemp!$E$7),Parameters!$B$3:$D$6,3,0)*(ROWS($1:2517)-1))))</f>
        <v/>
      </c>
      <c r="D2529" s="68" t="str">
        <f t="shared" si="2"/>
        <v/>
      </c>
      <c r="E2529" s="65" t="str">
        <f>IF($B2529="","",VLOOKUP(MONTH(C2529),Parameters!$F$2:$G$13,2,0))</f>
        <v/>
      </c>
      <c r="F2529" s="69" t="str">
        <f>IF($B2529="","",PV-N(J2528))</f>
        <v/>
      </c>
      <c r="G2529" s="69" t="str">
        <f>IF($B2529="","",PMT(Rate,Nper,-PV,,Type))</f>
        <v/>
      </c>
      <c r="H2529" s="69" t="str">
        <f>IF($B2529="","",PPMT(Rate,ROWS($1:2517),Nper,-PV,,Type))</f>
        <v/>
      </c>
      <c r="I2529" s="69" t="str">
        <f>IF($B2529="","",IPMT(Rate,ROWS($1:2517),Nper,-PV,,Type))</f>
        <v/>
      </c>
      <c r="J2529" s="73" t="str">
        <f t="shared" ref="J2529:K2529" si="2519">IF($B2529="","",N(J2528)+N(H2529))</f>
        <v/>
      </c>
      <c r="K2529" s="74" t="str">
        <f t="shared" si="2519"/>
        <v/>
      </c>
      <c r="L2529" s="69" t="str">
        <f>IF($B2529="","",PV-J2529)</f>
        <v/>
      </c>
      <c r="M2529" s="71" t="str">
        <f>IF($B2529="","",J2529/PV)</f>
        <v/>
      </c>
      <c r="N2529" s="72" t="str">
        <f t="shared" si="4"/>
        <v/>
      </c>
    </row>
    <row r="2530" ht="14.25" customHeight="1">
      <c r="B2530" s="66" t="str">
        <f>IF(ROWS($1:2518)&lt;=Nper,ROWS($1:2518),"")</f>
        <v/>
      </c>
      <c r="C2530" s="67" t="str">
        <f>IF($B2530="","",IF($E$7="Weekly",Start_Date+7*(ROWS($1:2518)-1),EDATE(Start_Date,VLOOKUP(IF(ASTemp!$E$7="","Monthly",ASTemp!$E$7),Parameters!$B$3:$D$6,3,0)*(ROWS($1:2518)-1))))</f>
        <v/>
      </c>
      <c r="D2530" s="68" t="str">
        <f t="shared" si="2"/>
        <v/>
      </c>
      <c r="E2530" s="65" t="str">
        <f>IF($B2530="","",VLOOKUP(MONTH(C2530),Parameters!$F$2:$G$13,2,0))</f>
        <v/>
      </c>
      <c r="F2530" s="69" t="str">
        <f>IF($B2530="","",PV-N(J2529))</f>
        <v/>
      </c>
      <c r="G2530" s="69" t="str">
        <f>IF($B2530="","",PMT(Rate,Nper,-PV,,Type))</f>
        <v/>
      </c>
      <c r="H2530" s="69" t="str">
        <f>IF($B2530="","",PPMT(Rate,ROWS($1:2518),Nper,-PV,,Type))</f>
        <v/>
      </c>
      <c r="I2530" s="69" t="str">
        <f>IF($B2530="","",IPMT(Rate,ROWS($1:2518),Nper,-PV,,Type))</f>
        <v/>
      </c>
      <c r="J2530" s="73" t="str">
        <f t="shared" ref="J2530:K2530" si="2520">IF($B2530="","",N(J2529)+N(H2530))</f>
        <v/>
      </c>
      <c r="K2530" s="74" t="str">
        <f t="shared" si="2520"/>
        <v/>
      </c>
      <c r="L2530" s="69" t="str">
        <f>IF($B2530="","",PV-J2530)</f>
        <v/>
      </c>
      <c r="M2530" s="71" t="str">
        <f>IF($B2530="","",J2530/PV)</f>
        <v/>
      </c>
      <c r="N2530" s="72" t="str">
        <f t="shared" si="4"/>
        <v/>
      </c>
    </row>
    <row r="2531" ht="14.25" customHeight="1">
      <c r="B2531" s="66" t="str">
        <f>IF(ROWS($1:2519)&lt;=Nper,ROWS($1:2519),"")</f>
        <v/>
      </c>
      <c r="C2531" s="67" t="str">
        <f>IF($B2531="","",IF($E$7="Weekly",Start_Date+7*(ROWS($1:2519)-1),EDATE(Start_Date,VLOOKUP(IF(ASTemp!$E$7="","Monthly",ASTemp!$E$7),Parameters!$B$3:$D$6,3,0)*(ROWS($1:2519)-1))))</f>
        <v/>
      </c>
      <c r="D2531" s="68" t="str">
        <f t="shared" si="2"/>
        <v/>
      </c>
      <c r="E2531" s="65" t="str">
        <f>IF($B2531="","",VLOOKUP(MONTH(C2531),Parameters!$F$2:$G$13,2,0))</f>
        <v/>
      </c>
      <c r="F2531" s="69" t="str">
        <f>IF($B2531="","",PV-N(J2530))</f>
        <v/>
      </c>
      <c r="G2531" s="69" t="str">
        <f>IF($B2531="","",PMT(Rate,Nper,-PV,,Type))</f>
        <v/>
      </c>
      <c r="H2531" s="69" t="str">
        <f>IF($B2531="","",PPMT(Rate,ROWS($1:2519),Nper,-PV,,Type))</f>
        <v/>
      </c>
      <c r="I2531" s="69" t="str">
        <f>IF($B2531="","",IPMT(Rate,ROWS($1:2519),Nper,-PV,,Type))</f>
        <v/>
      </c>
      <c r="J2531" s="73" t="str">
        <f t="shared" ref="J2531:K2531" si="2521">IF($B2531="","",N(J2530)+N(H2531))</f>
        <v/>
      </c>
      <c r="K2531" s="74" t="str">
        <f t="shared" si="2521"/>
        <v/>
      </c>
      <c r="L2531" s="69" t="str">
        <f>IF($B2531="","",PV-J2531)</f>
        <v/>
      </c>
      <c r="M2531" s="71" t="str">
        <f>IF($B2531="","",J2531/PV)</f>
        <v/>
      </c>
      <c r="N2531" s="72" t="str">
        <f t="shared" si="4"/>
        <v/>
      </c>
    </row>
    <row r="2532" ht="14.25" customHeight="1">
      <c r="B2532" s="66" t="str">
        <f>IF(ROWS($1:2520)&lt;=Nper,ROWS($1:2520),"")</f>
        <v/>
      </c>
      <c r="C2532" s="67" t="str">
        <f>IF($B2532="","",IF($E$7="Weekly",Start_Date+7*(ROWS($1:2520)-1),EDATE(Start_Date,VLOOKUP(IF(ASTemp!$E$7="","Monthly",ASTemp!$E$7),Parameters!$B$3:$D$6,3,0)*(ROWS($1:2520)-1))))</f>
        <v/>
      </c>
      <c r="D2532" s="68" t="str">
        <f t="shared" si="2"/>
        <v/>
      </c>
      <c r="E2532" s="65" t="str">
        <f>IF($B2532="","",VLOOKUP(MONTH(C2532),Parameters!$F$2:$G$13,2,0))</f>
        <v/>
      </c>
      <c r="F2532" s="69" t="str">
        <f>IF($B2532="","",PV-N(J2531))</f>
        <v/>
      </c>
      <c r="G2532" s="69" t="str">
        <f>IF($B2532="","",PMT(Rate,Nper,-PV,,Type))</f>
        <v/>
      </c>
      <c r="H2532" s="69" t="str">
        <f>IF($B2532="","",PPMT(Rate,ROWS($1:2520),Nper,-PV,,Type))</f>
        <v/>
      </c>
      <c r="I2532" s="69" t="str">
        <f>IF($B2532="","",IPMT(Rate,ROWS($1:2520),Nper,-PV,,Type))</f>
        <v/>
      </c>
      <c r="J2532" s="73" t="str">
        <f t="shared" ref="J2532:K2532" si="2522">IF($B2532="","",N(J2531)+N(H2532))</f>
        <v/>
      </c>
      <c r="K2532" s="74" t="str">
        <f t="shared" si="2522"/>
        <v/>
      </c>
      <c r="L2532" s="69" t="str">
        <f>IF($B2532="","",PV-J2532)</f>
        <v/>
      </c>
      <c r="M2532" s="71" t="str">
        <f>IF($B2532="","",J2532/PV)</f>
        <v/>
      </c>
      <c r="N2532" s="72" t="str">
        <f t="shared" si="4"/>
        <v/>
      </c>
    </row>
    <row r="2533" ht="14.25" customHeight="1">
      <c r="B2533" s="66" t="str">
        <f>IF(ROWS($1:2521)&lt;=Nper,ROWS($1:2521),"")</f>
        <v/>
      </c>
      <c r="C2533" s="67" t="str">
        <f>IF($B2533="","",IF($E$7="Weekly",Start_Date+7*(ROWS($1:2521)-1),EDATE(Start_Date,VLOOKUP(IF(ASTemp!$E$7="","Monthly",ASTemp!$E$7),Parameters!$B$3:$D$6,3,0)*(ROWS($1:2521)-1))))</f>
        <v/>
      </c>
      <c r="D2533" s="68" t="str">
        <f t="shared" si="2"/>
        <v/>
      </c>
      <c r="E2533" s="65" t="str">
        <f>IF($B2533="","",VLOOKUP(MONTH(C2533),Parameters!$F$2:$G$13,2,0))</f>
        <v/>
      </c>
      <c r="F2533" s="69" t="str">
        <f>IF($B2533="","",PV-N(J2532))</f>
        <v/>
      </c>
      <c r="G2533" s="69" t="str">
        <f>IF($B2533="","",PMT(Rate,Nper,-PV,,Type))</f>
        <v/>
      </c>
      <c r="H2533" s="69" t="str">
        <f>IF($B2533="","",PPMT(Rate,ROWS($1:2521),Nper,-PV,,Type))</f>
        <v/>
      </c>
      <c r="I2533" s="69" t="str">
        <f>IF($B2533="","",IPMT(Rate,ROWS($1:2521),Nper,-PV,,Type))</f>
        <v/>
      </c>
      <c r="J2533" s="73" t="str">
        <f t="shared" ref="J2533:K2533" si="2523">IF($B2533="","",N(J2532)+N(H2533))</f>
        <v/>
      </c>
      <c r="K2533" s="74" t="str">
        <f t="shared" si="2523"/>
        <v/>
      </c>
      <c r="L2533" s="69" t="str">
        <f>IF($B2533="","",PV-J2533)</f>
        <v/>
      </c>
      <c r="M2533" s="71" t="str">
        <f>IF($B2533="","",J2533/PV)</f>
        <v/>
      </c>
      <c r="N2533" s="72" t="str">
        <f t="shared" si="4"/>
        <v/>
      </c>
    </row>
    <row r="2534" ht="14.25" customHeight="1">
      <c r="B2534" s="66" t="str">
        <f>IF(ROWS($1:2522)&lt;=Nper,ROWS($1:2522),"")</f>
        <v/>
      </c>
      <c r="C2534" s="67" t="str">
        <f>IF($B2534="","",IF($E$7="Weekly",Start_Date+7*(ROWS($1:2522)-1),EDATE(Start_Date,VLOOKUP(IF(ASTemp!$E$7="","Monthly",ASTemp!$E$7),Parameters!$B$3:$D$6,3,0)*(ROWS($1:2522)-1))))</f>
        <v/>
      </c>
      <c r="D2534" s="68" t="str">
        <f t="shared" si="2"/>
        <v/>
      </c>
      <c r="E2534" s="65" t="str">
        <f>IF($B2534="","",VLOOKUP(MONTH(C2534),Parameters!$F$2:$G$13,2,0))</f>
        <v/>
      </c>
      <c r="F2534" s="69" t="str">
        <f>IF($B2534="","",PV-N(J2533))</f>
        <v/>
      </c>
      <c r="G2534" s="69" t="str">
        <f>IF($B2534="","",PMT(Rate,Nper,-PV,,Type))</f>
        <v/>
      </c>
      <c r="H2534" s="69" t="str">
        <f>IF($B2534="","",PPMT(Rate,ROWS($1:2522),Nper,-PV,,Type))</f>
        <v/>
      </c>
      <c r="I2534" s="69" t="str">
        <f>IF($B2534="","",IPMT(Rate,ROWS($1:2522),Nper,-PV,,Type))</f>
        <v/>
      </c>
      <c r="J2534" s="73" t="str">
        <f t="shared" ref="J2534:K2534" si="2524">IF($B2534="","",N(J2533)+N(H2534))</f>
        <v/>
      </c>
      <c r="K2534" s="74" t="str">
        <f t="shared" si="2524"/>
        <v/>
      </c>
      <c r="L2534" s="69" t="str">
        <f>IF($B2534="","",PV-J2534)</f>
        <v/>
      </c>
      <c r="M2534" s="71" t="str">
        <f>IF($B2534="","",J2534/PV)</f>
        <v/>
      </c>
      <c r="N2534" s="72" t="str">
        <f t="shared" si="4"/>
        <v/>
      </c>
    </row>
    <row r="2535" ht="14.25" customHeight="1">
      <c r="B2535" s="66" t="str">
        <f>IF(ROWS($1:2523)&lt;=Nper,ROWS($1:2523),"")</f>
        <v/>
      </c>
      <c r="C2535" s="67" t="str">
        <f>IF($B2535="","",IF($E$7="Weekly",Start_Date+7*(ROWS($1:2523)-1),EDATE(Start_Date,VLOOKUP(IF(ASTemp!$E$7="","Monthly",ASTemp!$E$7),Parameters!$B$3:$D$6,3,0)*(ROWS($1:2523)-1))))</f>
        <v/>
      </c>
      <c r="D2535" s="68" t="str">
        <f t="shared" si="2"/>
        <v/>
      </c>
      <c r="E2535" s="65" t="str">
        <f>IF($B2535="","",VLOOKUP(MONTH(C2535),Parameters!$F$2:$G$13,2,0))</f>
        <v/>
      </c>
      <c r="F2535" s="69" t="str">
        <f>IF($B2535="","",PV-N(J2534))</f>
        <v/>
      </c>
      <c r="G2535" s="69" t="str">
        <f>IF($B2535="","",PMT(Rate,Nper,-PV,,Type))</f>
        <v/>
      </c>
      <c r="H2535" s="69" t="str">
        <f>IF($B2535="","",PPMT(Rate,ROWS($1:2523),Nper,-PV,,Type))</f>
        <v/>
      </c>
      <c r="I2535" s="69" t="str">
        <f>IF($B2535="","",IPMT(Rate,ROWS($1:2523),Nper,-PV,,Type))</f>
        <v/>
      </c>
      <c r="J2535" s="73" t="str">
        <f t="shared" ref="J2535:K2535" si="2525">IF($B2535="","",N(J2534)+N(H2535))</f>
        <v/>
      </c>
      <c r="K2535" s="74" t="str">
        <f t="shared" si="2525"/>
        <v/>
      </c>
      <c r="L2535" s="69" t="str">
        <f>IF($B2535="","",PV-J2535)</f>
        <v/>
      </c>
      <c r="M2535" s="71" t="str">
        <f>IF($B2535="","",J2535/PV)</f>
        <v/>
      </c>
      <c r="N2535" s="72" t="str">
        <f t="shared" si="4"/>
        <v/>
      </c>
    </row>
    <row r="2536" ht="14.25" customHeight="1">
      <c r="B2536" s="66" t="str">
        <f>IF(ROWS($1:2524)&lt;=Nper,ROWS($1:2524),"")</f>
        <v/>
      </c>
      <c r="C2536" s="67" t="str">
        <f>IF($B2536="","",IF($E$7="Weekly",Start_Date+7*(ROWS($1:2524)-1),EDATE(Start_Date,VLOOKUP(IF(ASTemp!$E$7="","Monthly",ASTemp!$E$7),Parameters!$B$3:$D$6,3,0)*(ROWS($1:2524)-1))))</f>
        <v/>
      </c>
      <c r="D2536" s="68" t="str">
        <f t="shared" si="2"/>
        <v/>
      </c>
      <c r="E2536" s="65" t="str">
        <f>IF($B2536="","",VLOOKUP(MONTH(C2536),Parameters!$F$2:$G$13,2,0))</f>
        <v/>
      </c>
      <c r="F2536" s="69" t="str">
        <f>IF($B2536="","",PV-N(J2535))</f>
        <v/>
      </c>
      <c r="G2536" s="69" t="str">
        <f>IF($B2536="","",PMT(Rate,Nper,-PV,,Type))</f>
        <v/>
      </c>
      <c r="H2536" s="69" t="str">
        <f>IF($B2536="","",PPMT(Rate,ROWS($1:2524),Nper,-PV,,Type))</f>
        <v/>
      </c>
      <c r="I2536" s="69" t="str">
        <f>IF($B2536="","",IPMT(Rate,ROWS($1:2524),Nper,-PV,,Type))</f>
        <v/>
      </c>
      <c r="J2536" s="73" t="str">
        <f t="shared" ref="J2536:K2536" si="2526">IF($B2536="","",N(J2535)+N(H2536))</f>
        <v/>
      </c>
      <c r="K2536" s="74" t="str">
        <f t="shared" si="2526"/>
        <v/>
      </c>
      <c r="L2536" s="69" t="str">
        <f>IF($B2536="","",PV-J2536)</f>
        <v/>
      </c>
      <c r="M2536" s="71" t="str">
        <f>IF($B2536="","",J2536/PV)</f>
        <v/>
      </c>
      <c r="N2536" s="72" t="str">
        <f t="shared" si="4"/>
        <v/>
      </c>
    </row>
    <row r="2537" ht="14.25" customHeight="1">
      <c r="B2537" s="66" t="str">
        <f>IF(ROWS($1:2525)&lt;=Nper,ROWS($1:2525),"")</f>
        <v/>
      </c>
      <c r="C2537" s="67" t="str">
        <f>IF($B2537="","",IF($E$7="Weekly",Start_Date+7*(ROWS($1:2525)-1),EDATE(Start_Date,VLOOKUP(IF(ASTemp!$E$7="","Monthly",ASTemp!$E$7),Parameters!$B$3:$D$6,3,0)*(ROWS($1:2525)-1))))</f>
        <v/>
      </c>
      <c r="D2537" s="68" t="str">
        <f t="shared" si="2"/>
        <v/>
      </c>
      <c r="E2537" s="65" t="str">
        <f>IF($B2537="","",VLOOKUP(MONTH(C2537),Parameters!$F$2:$G$13,2,0))</f>
        <v/>
      </c>
      <c r="F2537" s="69" t="str">
        <f>IF($B2537="","",PV-N(J2536))</f>
        <v/>
      </c>
      <c r="G2537" s="69" t="str">
        <f>IF($B2537="","",PMT(Rate,Nper,-PV,,Type))</f>
        <v/>
      </c>
      <c r="H2537" s="69" t="str">
        <f>IF($B2537="","",PPMT(Rate,ROWS($1:2525),Nper,-PV,,Type))</f>
        <v/>
      </c>
      <c r="I2537" s="69" t="str">
        <f>IF($B2537="","",IPMT(Rate,ROWS($1:2525),Nper,-PV,,Type))</f>
        <v/>
      </c>
      <c r="J2537" s="73" t="str">
        <f t="shared" ref="J2537:K2537" si="2527">IF($B2537="","",N(J2536)+N(H2537))</f>
        <v/>
      </c>
      <c r="K2537" s="74" t="str">
        <f t="shared" si="2527"/>
        <v/>
      </c>
      <c r="L2537" s="69" t="str">
        <f>IF($B2537="","",PV-J2537)</f>
        <v/>
      </c>
      <c r="M2537" s="71" t="str">
        <f>IF($B2537="","",J2537/PV)</f>
        <v/>
      </c>
      <c r="N2537" s="72" t="str">
        <f t="shared" si="4"/>
        <v/>
      </c>
    </row>
    <row r="2538" ht="14.25" customHeight="1">
      <c r="B2538" s="66" t="str">
        <f>IF(ROWS($1:2526)&lt;=Nper,ROWS($1:2526),"")</f>
        <v/>
      </c>
      <c r="C2538" s="67" t="str">
        <f>IF($B2538="","",IF($E$7="Weekly",Start_Date+7*(ROWS($1:2526)-1),EDATE(Start_Date,VLOOKUP(IF(ASTemp!$E$7="","Monthly",ASTemp!$E$7),Parameters!$B$3:$D$6,3,0)*(ROWS($1:2526)-1))))</f>
        <v/>
      </c>
      <c r="D2538" s="68" t="str">
        <f t="shared" si="2"/>
        <v/>
      </c>
      <c r="E2538" s="65" t="str">
        <f>IF($B2538="","",VLOOKUP(MONTH(C2538),Parameters!$F$2:$G$13,2,0))</f>
        <v/>
      </c>
      <c r="F2538" s="69" t="str">
        <f>IF($B2538="","",PV-N(J2537))</f>
        <v/>
      </c>
      <c r="G2538" s="69" t="str">
        <f>IF($B2538="","",PMT(Rate,Nper,-PV,,Type))</f>
        <v/>
      </c>
      <c r="H2538" s="69" t="str">
        <f>IF($B2538="","",PPMT(Rate,ROWS($1:2526),Nper,-PV,,Type))</f>
        <v/>
      </c>
      <c r="I2538" s="69" t="str">
        <f>IF($B2538="","",IPMT(Rate,ROWS($1:2526),Nper,-PV,,Type))</f>
        <v/>
      </c>
      <c r="J2538" s="73" t="str">
        <f t="shared" ref="J2538:K2538" si="2528">IF($B2538="","",N(J2537)+N(H2538))</f>
        <v/>
      </c>
      <c r="K2538" s="74" t="str">
        <f t="shared" si="2528"/>
        <v/>
      </c>
      <c r="L2538" s="69" t="str">
        <f>IF($B2538="","",PV-J2538)</f>
        <v/>
      </c>
      <c r="M2538" s="71" t="str">
        <f>IF($B2538="","",J2538/PV)</f>
        <v/>
      </c>
      <c r="N2538" s="72" t="str">
        <f t="shared" si="4"/>
        <v/>
      </c>
    </row>
    <row r="2539" ht="14.25" customHeight="1">
      <c r="B2539" s="66" t="str">
        <f>IF(ROWS($1:2527)&lt;=Nper,ROWS($1:2527),"")</f>
        <v/>
      </c>
      <c r="C2539" s="67" t="str">
        <f>IF($B2539="","",IF($E$7="Weekly",Start_Date+7*(ROWS($1:2527)-1),EDATE(Start_Date,VLOOKUP(IF(ASTemp!$E$7="","Monthly",ASTemp!$E$7),Parameters!$B$3:$D$6,3,0)*(ROWS($1:2527)-1))))</f>
        <v/>
      </c>
      <c r="D2539" s="68" t="str">
        <f t="shared" si="2"/>
        <v/>
      </c>
      <c r="E2539" s="65" t="str">
        <f>IF($B2539="","",VLOOKUP(MONTH(C2539),Parameters!$F$2:$G$13,2,0))</f>
        <v/>
      </c>
      <c r="F2539" s="69" t="str">
        <f>IF($B2539="","",PV-N(J2538))</f>
        <v/>
      </c>
      <c r="G2539" s="69" t="str">
        <f>IF($B2539="","",PMT(Rate,Nper,-PV,,Type))</f>
        <v/>
      </c>
      <c r="H2539" s="69" t="str">
        <f>IF($B2539="","",PPMT(Rate,ROWS($1:2527),Nper,-PV,,Type))</f>
        <v/>
      </c>
      <c r="I2539" s="69" t="str">
        <f>IF($B2539="","",IPMT(Rate,ROWS($1:2527),Nper,-PV,,Type))</f>
        <v/>
      </c>
      <c r="J2539" s="73" t="str">
        <f t="shared" ref="J2539:K2539" si="2529">IF($B2539="","",N(J2538)+N(H2539))</f>
        <v/>
      </c>
      <c r="K2539" s="74" t="str">
        <f t="shared" si="2529"/>
        <v/>
      </c>
      <c r="L2539" s="69" t="str">
        <f>IF($B2539="","",PV-J2539)</f>
        <v/>
      </c>
      <c r="M2539" s="71" t="str">
        <f>IF($B2539="","",J2539/PV)</f>
        <v/>
      </c>
      <c r="N2539" s="72" t="str">
        <f t="shared" si="4"/>
        <v/>
      </c>
    </row>
    <row r="2540" ht="14.25" customHeight="1">
      <c r="B2540" s="66" t="str">
        <f>IF(ROWS($1:2528)&lt;=Nper,ROWS($1:2528),"")</f>
        <v/>
      </c>
      <c r="C2540" s="67" t="str">
        <f>IF($B2540="","",IF($E$7="Weekly",Start_Date+7*(ROWS($1:2528)-1),EDATE(Start_Date,VLOOKUP(IF(ASTemp!$E$7="","Monthly",ASTemp!$E$7),Parameters!$B$3:$D$6,3,0)*(ROWS($1:2528)-1))))</f>
        <v/>
      </c>
      <c r="D2540" s="68" t="str">
        <f t="shared" si="2"/>
        <v/>
      </c>
      <c r="E2540" s="65" t="str">
        <f>IF($B2540="","",VLOOKUP(MONTH(C2540),Parameters!$F$2:$G$13,2,0))</f>
        <v/>
      </c>
      <c r="F2540" s="69" t="str">
        <f>IF($B2540="","",PV-N(J2539))</f>
        <v/>
      </c>
      <c r="G2540" s="69" t="str">
        <f>IF($B2540="","",PMT(Rate,Nper,-PV,,Type))</f>
        <v/>
      </c>
      <c r="H2540" s="69" t="str">
        <f>IF($B2540="","",PPMT(Rate,ROWS($1:2528),Nper,-PV,,Type))</f>
        <v/>
      </c>
      <c r="I2540" s="69" t="str">
        <f>IF($B2540="","",IPMT(Rate,ROWS($1:2528),Nper,-PV,,Type))</f>
        <v/>
      </c>
      <c r="J2540" s="73" t="str">
        <f t="shared" ref="J2540:K2540" si="2530">IF($B2540="","",N(J2539)+N(H2540))</f>
        <v/>
      </c>
      <c r="K2540" s="74" t="str">
        <f t="shared" si="2530"/>
        <v/>
      </c>
      <c r="L2540" s="69" t="str">
        <f>IF($B2540="","",PV-J2540)</f>
        <v/>
      </c>
      <c r="M2540" s="71" t="str">
        <f>IF($B2540="","",J2540/PV)</f>
        <v/>
      </c>
      <c r="N2540" s="72" t="str">
        <f t="shared" si="4"/>
        <v/>
      </c>
    </row>
    <row r="2541" ht="14.25" customHeight="1">
      <c r="B2541" s="66" t="str">
        <f>IF(ROWS($1:2529)&lt;=Nper,ROWS($1:2529),"")</f>
        <v/>
      </c>
      <c r="C2541" s="67" t="str">
        <f>IF($B2541="","",IF($E$7="Weekly",Start_Date+7*(ROWS($1:2529)-1),EDATE(Start_Date,VLOOKUP(IF(ASTemp!$E$7="","Monthly",ASTemp!$E$7),Parameters!$B$3:$D$6,3,0)*(ROWS($1:2529)-1))))</f>
        <v/>
      </c>
      <c r="D2541" s="68" t="str">
        <f t="shared" si="2"/>
        <v/>
      </c>
      <c r="E2541" s="65" t="str">
        <f>IF($B2541="","",VLOOKUP(MONTH(C2541),Parameters!$F$2:$G$13,2,0))</f>
        <v/>
      </c>
      <c r="F2541" s="69" t="str">
        <f>IF($B2541="","",PV-N(J2540))</f>
        <v/>
      </c>
      <c r="G2541" s="69" t="str">
        <f>IF($B2541="","",PMT(Rate,Nper,-PV,,Type))</f>
        <v/>
      </c>
      <c r="H2541" s="69" t="str">
        <f>IF($B2541="","",PPMT(Rate,ROWS($1:2529),Nper,-PV,,Type))</f>
        <v/>
      </c>
      <c r="I2541" s="69" t="str">
        <f>IF($B2541="","",IPMT(Rate,ROWS($1:2529),Nper,-PV,,Type))</f>
        <v/>
      </c>
      <c r="J2541" s="73" t="str">
        <f t="shared" ref="J2541:K2541" si="2531">IF($B2541="","",N(J2540)+N(H2541))</f>
        <v/>
      </c>
      <c r="K2541" s="74" t="str">
        <f t="shared" si="2531"/>
        <v/>
      </c>
      <c r="L2541" s="69" t="str">
        <f>IF($B2541="","",PV-J2541)</f>
        <v/>
      </c>
      <c r="M2541" s="71" t="str">
        <f>IF($B2541="","",J2541/PV)</f>
        <v/>
      </c>
      <c r="N2541" s="72" t="str">
        <f t="shared" si="4"/>
        <v/>
      </c>
    </row>
    <row r="2542" ht="14.25" customHeight="1">
      <c r="B2542" s="66" t="str">
        <f>IF(ROWS($1:2530)&lt;=Nper,ROWS($1:2530),"")</f>
        <v/>
      </c>
      <c r="C2542" s="67" t="str">
        <f>IF($B2542="","",IF($E$7="Weekly",Start_Date+7*(ROWS($1:2530)-1),EDATE(Start_Date,VLOOKUP(IF(ASTemp!$E$7="","Monthly",ASTemp!$E$7),Parameters!$B$3:$D$6,3,0)*(ROWS($1:2530)-1))))</f>
        <v/>
      </c>
      <c r="D2542" s="68" t="str">
        <f t="shared" si="2"/>
        <v/>
      </c>
      <c r="E2542" s="65" t="str">
        <f>IF($B2542="","",VLOOKUP(MONTH(C2542),Parameters!$F$2:$G$13,2,0))</f>
        <v/>
      </c>
      <c r="F2542" s="69" t="str">
        <f>IF($B2542="","",PV-N(J2541))</f>
        <v/>
      </c>
      <c r="G2542" s="69" t="str">
        <f>IF($B2542="","",PMT(Rate,Nper,-PV,,Type))</f>
        <v/>
      </c>
      <c r="H2542" s="69" t="str">
        <f>IF($B2542="","",PPMT(Rate,ROWS($1:2530),Nper,-PV,,Type))</f>
        <v/>
      </c>
      <c r="I2542" s="69" t="str">
        <f>IF($B2542="","",IPMT(Rate,ROWS($1:2530),Nper,-PV,,Type))</f>
        <v/>
      </c>
      <c r="J2542" s="73" t="str">
        <f t="shared" ref="J2542:K2542" si="2532">IF($B2542="","",N(J2541)+N(H2542))</f>
        <v/>
      </c>
      <c r="K2542" s="74" t="str">
        <f t="shared" si="2532"/>
        <v/>
      </c>
      <c r="L2542" s="69" t="str">
        <f>IF($B2542="","",PV-J2542)</f>
        <v/>
      </c>
      <c r="M2542" s="71" t="str">
        <f>IF($B2542="","",J2542/PV)</f>
        <v/>
      </c>
      <c r="N2542" s="72" t="str">
        <f t="shared" si="4"/>
        <v/>
      </c>
    </row>
    <row r="2543" ht="14.25" customHeight="1">
      <c r="B2543" s="66" t="str">
        <f>IF(ROWS($1:2531)&lt;=Nper,ROWS($1:2531),"")</f>
        <v/>
      </c>
      <c r="C2543" s="67" t="str">
        <f>IF($B2543="","",IF($E$7="Weekly",Start_Date+7*(ROWS($1:2531)-1),EDATE(Start_Date,VLOOKUP(IF(ASTemp!$E$7="","Monthly",ASTemp!$E$7),Parameters!$B$3:$D$6,3,0)*(ROWS($1:2531)-1))))</f>
        <v/>
      </c>
      <c r="D2543" s="68" t="str">
        <f t="shared" si="2"/>
        <v/>
      </c>
      <c r="E2543" s="65" t="str">
        <f>IF($B2543="","",VLOOKUP(MONTH(C2543),Parameters!$F$2:$G$13,2,0))</f>
        <v/>
      </c>
      <c r="F2543" s="69" t="str">
        <f>IF($B2543="","",PV-N(J2542))</f>
        <v/>
      </c>
      <c r="G2543" s="69" t="str">
        <f>IF($B2543="","",PMT(Rate,Nper,-PV,,Type))</f>
        <v/>
      </c>
      <c r="H2543" s="69" t="str">
        <f>IF($B2543="","",PPMT(Rate,ROWS($1:2531),Nper,-PV,,Type))</f>
        <v/>
      </c>
      <c r="I2543" s="69" t="str">
        <f>IF($B2543="","",IPMT(Rate,ROWS($1:2531),Nper,-PV,,Type))</f>
        <v/>
      </c>
      <c r="J2543" s="73" t="str">
        <f t="shared" ref="J2543:K2543" si="2533">IF($B2543="","",N(J2542)+N(H2543))</f>
        <v/>
      </c>
      <c r="K2543" s="74" t="str">
        <f t="shared" si="2533"/>
        <v/>
      </c>
      <c r="L2543" s="69" t="str">
        <f>IF($B2543="","",PV-J2543)</f>
        <v/>
      </c>
      <c r="M2543" s="71" t="str">
        <f>IF($B2543="","",J2543/PV)</f>
        <v/>
      </c>
      <c r="N2543" s="72" t="str">
        <f t="shared" si="4"/>
        <v/>
      </c>
    </row>
    <row r="2544" ht="14.25" customHeight="1">
      <c r="B2544" s="66" t="str">
        <f>IF(ROWS($1:2532)&lt;=Nper,ROWS($1:2532),"")</f>
        <v/>
      </c>
      <c r="C2544" s="67" t="str">
        <f>IF($B2544="","",IF($E$7="Weekly",Start_Date+7*(ROWS($1:2532)-1),EDATE(Start_Date,VLOOKUP(IF(ASTemp!$E$7="","Monthly",ASTemp!$E$7),Parameters!$B$3:$D$6,3,0)*(ROWS($1:2532)-1))))</f>
        <v/>
      </c>
      <c r="D2544" s="68" t="str">
        <f t="shared" si="2"/>
        <v/>
      </c>
      <c r="E2544" s="65" t="str">
        <f>IF($B2544="","",VLOOKUP(MONTH(C2544),Parameters!$F$2:$G$13,2,0))</f>
        <v/>
      </c>
      <c r="F2544" s="69" t="str">
        <f>IF($B2544="","",PV-N(J2543))</f>
        <v/>
      </c>
      <c r="G2544" s="69" t="str">
        <f>IF($B2544="","",PMT(Rate,Nper,-PV,,Type))</f>
        <v/>
      </c>
      <c r="H2544" s="69" t="str">
        <f>IF($B2544="","",PPMT(Rate,ROWS($1:2532),Nper,-PV,,Type))</f>
        <v/>
      </c>
      <c r="I2544" s="69" t="str">
        <f>IF($B2544="","",IPMT(Rate,ROWS($1:2532),Nper,-PV,,Type))</f>
        <v/>
      </c>
      <c r="J2544" s="73" t="str">
        <f t="shared" ref="J2544:K2544" si="2534">IF($B2544="","",N(J2543)+N(H2544))</f>
        <v/>
      </c>
      <c r="K2544" s="74" t="str">
        <f t="shared" si="2534"/>
        <v/>
      </c>
      <c r="L2544" s="69" t="str">
        <f>IF($B2544="","",PV-J2544)</f>
        <v/>
      </c>
      <c r="M2544" s="71" t="str">
        <f>IF($B2544="","",J2544/PV)</f>
        <v/>
      </c>
      <c r="N2544" s="72" t="str">
        <f t="shared" si="4"/>
        <v/>
      </c>
    </row>
    <row r="2545" ht="14.25" customHeight="1">
      <c r="B2545" s="66" t="str">
        <f>IF(ROWS($1:2533)&lt;=Nper,ROWS($1:2533),"")</f>
        <v/>
      </c>
      <c r="C2545" s="67" t="str">
        <f>IF($B2545="","",IF($E$7="Weekly",Start_Date+7*(ROWS($1:2533)-1),EDATE(Start_Date,VLOOKUP(IF(ASTemp!$E$7="","Monthly",ASTemp!$E$7),Parameters!$B$3:$D$6,3,0)*(ROWS($1:2533)-1))))</f>
        <v/>
      </c>
      <c r="D2545" s="68" t="str">
        <f t="shared" si="2"/>
        <v/>
      </c>
      <c r="E2545" s="65" t="str">
        <f>IF($B2545="","",VLOOKUP(MONTH(C2545),Parameters!$F$2:$G$13,2,0))</f>
        <v/>
      </c>
      <c r="F2545" s="69" t="str">
        <f>IF($B2545="","",PV-N(J2544))</f>
        <v/>
      </c>
      <c r="G2545" s="69" t="str">
        <f>IF($B2545="","",PMT(Rate,Nper,-PV,,Type))</f>
        <v/>
      </c>
      <c r="H2545" s="69" t="str">
        <f>IF($B2545="","",PPMT(Rate,ROWS($1:2533),Nper,-PV,,Type))</f>
        <v/>
      </c>
      <c r="I2545" s="69" t="str">
        <f>IF($B2545="","",IPMT(Rate,ROWS($1:2533),Nper,-PV,,Type))</f>
        <v/>
      </c>
      <c r="J2545" s="73" t="str">
        <f t="shared" ref="J2545:K2545" si="2535">IF($B2545="","",N(J2544)+N(H2545))</f>
        <v/>
      </c>
      <c r="K2545" s="74" t="str">
        <f t="shared" si="2535"/>
        <v/>
      </c>
      <c r="L2545" s="69" t="str">
        <f>IF($B2545="","",PV-J2545)</f>
        <v/>
      </c>
      <c r="M2545" s="71" t="str">
        <f>IF($B2545="","",J2545/PV)</f>
        <v/>
      </c>
      <c r="N2545" s="72" t="str">
        <f t="shared" si="4"/>
        <v/>
      </c>
    </row>
    <row r="2546" ht="14.25" customHeight="1">
      <c r="B2546" s="66" t="str">
        <f>IF(ROWS($1:2534)&lt;=Nper,ROWS($1:2534),"")</f>
        <v/>
      </c>
      <c r="C2546" s="67" t="str">
        <f>IF($B2546="","",IF($E$7="Weekly",Start_Date+7*(ROWS($1:2534)-1),EDATE(Start_Date,VLOOKUP(IF(ASTemp!$E$7="","Monthly",ASTemp!$E$7),Parameters!$B$3:$D$6,3,0)*(ROWS($1:2534)-1))))</f>
        <v/>
      </c>
      <c r="D2546" s="68" t="str">
        <f t="shared" si="2"/>
        <v/>
      </c>
      <c r="E2546" s="65" t="str">
        <f>IF($B2546="","",VLOOKUP(MONTH(C2546),Parameters!$F$2:$G$13,2,0))</f>
        <v/>
      </c>
      <c r="F2546" s="69" t="str">
        <f>IF($B2546="","",PV-N(J2545))</f>
        <v/>
      </c>
      <c r="G2546" s="69" t="str">
        <f>IF($B2546="","",PMT(Rate,Nper,-PV,,Type))</f>
        <v/>
      </c>
      <c r="H2546" s="69" t="str">
        <f>IF($B2546="","",PPMT(Rate,ROWS($1:2534),Nper,-PV,,Type))</f>
        <v/>
      </c>
      <c r="I2546" s="69" t="str">
        <f>IF($B2546="","",IPMT(Rate,ROWS($1:2534),Nper,-PV,,Type))</f>
        <v/>
      </c>
      <c r="J2546" s="73" t="str">
        <f t="shared" ref="J2546:K2546" si="2536">IF($B2546="","",N(J2545)+N(H2546))</f>
        <v/>
      </c>
      <c r="K2546" s="74" t="str">
        <f t="shared" si="2536"/>
        <v/>
      </c>
      <c r="L2546" s="69" t="str">
        <f>IF($B2546="","",PV-J2546)</f>
        <v/>
      </c>
      <c r="M2546" s="71" t="str">
        <f>IF($B2546="","",J2546/PV)</f>
        <v/>
      </c>
      <c r="N2546" s="72" t="str">
        <f t="shared" si="4"/>
        <v/>
      </c>
    </row>
    <row r="2547" ht="14.25" customHeight="1">
      <c r="B2547" s="66" t="str">
        <f>IF(ROWS($1:2535)&lt;=Nper,ROWS($1:2535),"")</f>
        <v/>
      </c>
      <c r="C2547" s="67" t="str">
        <f>IF($B2547="","",IF($E$7="Weekly",Start_Date+7*(ROWS($1:2535)-1),EDATE(Start_Date,VLOOKUP(IF(ASTemp!$E$7="","Monthly",ASTemp!$E$7),Parameters!$B$3:$D$6,3,0)*(ROWS($1:2535)-1))))</f>
        <v/>
      </c>
      <c r="D2547" s="68" t="str">
        <f t="shared" si="2"/>
        <v/>
      </c>
      <c r="E2547" s="65" t="str">
        <f>IF($B2547="","",VLOOKUP(MONTH(C2547),Parameters!$F$2:$G$13,2,0))</f>
        <v/>
      </c>
      <c r="F2547" s="69" t="str">
        <f>IF($B2547="","",PV-N(J2546))</f>
        <v/>
      </c>
      <c r="G2547" s="69" t="str">
        <f>IF($B2547="","",PMT(Rate,Nper,-PV,,Type))</f>
        <v/>
      </c>
      <c r="H2547" s="69" t="str">
        <f>IF($B2547="","",PPMT(Rate,ROWS($1:2535),Nper,-PV,,Type))</f>
        <v/>
      </c>
      <c r="I2547" s="69" t="str">
        <f>IF($B2547="","",IPMT(Rate,ROWS($1:2535),Nper,-PV,,Type))</f>
        <v/>
      </c>
      <c r="J2547" s="73" t="str">
        <f t="shared" ref="J2547:K2547" si="2537">IF($B2547="","",N(J2546)+N(H2547))</f>
        <v/>
      </c>
      <c r="K2547" s="74" t="str">
        <f t="shared" si="2537"/>
        <v/>
      </c>
      <c r="L2547" s="69" t="str">
        <f>IF($B2547="","",PV-J2547)</f>
        <v/>
      </c>
      <c r="M2547" s="71" t="str">
        <f>IF($B2547="","",J2547/PV)</f>
        <v/>
      </c>
      <c r="N2547" s="72" t="str">
        <f t="shared" si="4"/>
        <v/>
      </c>
    </row>
    <row r="2548" ht="14.25" customHeight="1">
      <c r="B2548" s="66" t="str">
        <f>IF(ROWS($1:2536)&lt;=Nper,ROWS($1:2536),"")</f>
        <v/>
      </c>
      <c r="C2548" s="67" t="str">
        <f>IF($B2548="","",IF($E$7="Weekly",Start_Date+7*(ROWS($1:2536)-1),EDATE(Start_Date,VLOOKUP(IF(ASTemp!$E$7="","Monthly",ASTemp!$E$7),Parameters!$B$3:$D$6,3,0)*(ROWS($1:2536)-1))))</f>
        <v/>
      </c>
      <c r="D2548" s="68" t="str">
        <f t="shared" si="2"/>
        <v/>
      </c>
      <c r="E2548" s="65" t="str">
        <f>IF($B2548="","",VLOOKUP(MONTH(C2548),Parameters!$F$2:$G$13,2,0))</f>
        <v/>
      </c>
      <c r="F2548" s="69" t="str">
        <f>IF($B2548="","",PV-N(J2547))</f>
        <v/>
      </c>
      <c r="G2548" s="69" t="str">
        <f>IF($B2548="","",PMT(Rate,Nper,-PV,,Type))</f>
        <v/>
      </c>
      <c r="H2548" s="69" t="str">
        <f>IF($B2548="","",PPMT(Rate,ROWS($1:2536),Nper,-PV,,Type))</f>
        <v/>
      </c>
      <c r="I2548" s="69" t="str">
        <f>IF($B2548="","",IPMT(Rate,ROWS($1:2536),Nper,-PV,,Type))</f>
        <v/>
      </c>
      <c r="J2548" s="73" t="str">
        <f t="shared" ref="J2548:K2548" si="2538">IF($B2548="","",N(J2547)+N(H2548))</f>
        <v/>
      </c>
      <c r="K2548" s="74" t="str">
        <f t="shared" si="2538"/>
        <v/>
      </c>
      <c r="L2548" s="69" t="str">
        <f>IF($B2548="","",PV-J2548)</f>
        <v/>
      </c>
      <c r="M2548" s="71" t="str">
        <f>IF($B2548="","",J2548/PV)</f>
        <v/>
      </c>
      <c r="N2548" s="72" t="str">
        <f t="shared" si="4"/>
        <v/>
      </c>
    </row>
    <row r="2549" ht="14.25" customHeight="1">
      <c r="B2549" s="66" t="str">
        <f>IF(ROWS($1:2537)&lt;=Nper,ROWS($1:2537),"")</f>
        <v/>
      </c>
      <c r="C2549" s="67" t="str">
        <f>IF($B2549="","",IF($E$7="Weekly",Start_Date+7*(ROWS($1:2537)-1),EDATE(Start_Date,VLOOKUP(IF(ASTemp!$E$7="","Monthly",ASTemp!$E$7),Parameters!$B$3:$D$6,3,0)*(ROWS($1:2537)-1))))</f>
        <v/>
      </c>
      <c r="D2549" s="68" t="str">
        <f t="shared" si="2"/>
        <v/>
      </c>
      <c r="E2549" s="65" t="str">
        <f>IF($B2549="","",VLOOKUP(MONTH(C2549),Parameters!$F$2:$G$13,2,0))</f>
        <v/>
      </c>
      <c r="F2549" s="69" t="str">
        <f>IF($B2549="","",PV-N(J2548))</f>
        <v/>
      </c>
      <c r="G2549" s="69" t="str">
        <f>IF($B2549="","",PMT(Rate,Nper,-PV,,Type))</f>
        <v/>
      </c>
      <c r="H2549" s="69" t="str">
        <f>IF($B2549="","",PPMT(Rate,ROWS($1:2537),Nper,-PV,,Type))</f>
        <v/>
      </c>
      <c r="I2549" s="69" t="str">
        <f>IF($B2549="","",IPMT(Rate,ROWS($1:2537),Nper,-PV,,Type))</f>
        <v/>
      </c>
      <c r="J2549" s="73" t="str">
        <f t="shared" ref="J2549:K2549" si="2539">IF($B2549="","",N(J2548)+N(H2549))</f>
        <v/>
      </c>
      <c r="K2549" s="74" t="str">
        <f t="shared" si="2539"/>
        <v/>
      </c>
      <c r="L2549" s="69" t="str">
        <f>IF($B2549="","",PV-J2549)</f>
        <v/>
      </c>
      <c r="M2549" s="71" t="str">
        <f>IF($B2549="","",J2549/PV)</f>
        <v/>
      </c>
      <c r="N2549" s="72" t="str">
        <f t="shared" si="4"/>
        <v/>
      </c>
    </row>
    <row r="2550" ht="14.25" customHeight="1">
      <c r="B2550" s="66" t="str">
        <f>IF(ROWS($1:2538)&lt;=Nper,ROWS($1:2538),"")</f>
        <v/>
      </c>
      <c r="C2550" s="67" t="str">
        <f>IF($B2550="","",IF($E$7="Weekly",Start_Date+7*(ROWS($1:2538)-1),EDATE(Start_Date,VLOOKUP(IF(ASTemp!$E$7="","Monthly",ASTemp!$E$7),Parameters!$B$3:$D$6,3,0)*(ROWS($1:2538)-1))))</f>
        <v/>
      </c>
      <c r="D2550" s="68" t="str">
        <f t="shared" si="2"/>
        <v/>
      </c>
      <c r="E2550" s="65" t="str">
        <f>IF($B2550="","",VLOOKUP(MONTH(C2550),Parameters!$F$2:$G$13,2,0))</f>
        <v/>
      </c>
      <c r="F2550" s="69" t="str">
        <f>IF($B2550="","",PV-N(J2549))</f>
        <v/>
      </c>
      <c r="G2550" s="69" t="str">
        <f>IF($B2550="","",PMT(Rate,Nper,-PV,,Type))</f>
        <v/>
      </c>
      <c r="H2550" s="69" t="str">
        <f>IF($B2550="","",PPMT(Rate,ROWS($1:2538),Nper,-PV,,Type))</f>
        <v/>
      </c>
      <c r="I2550" s="69" t="str">
        <f>IF($B2550="","",IPMT(Rate,ROWS($1:2538),Nper,-PV,,Type))</f>
        <v/>
      </c>
      <c r="J2550" s="73" t="str">
        <f t="shared" ref="J2550:K2550" si="2540">IF($B2550="","",N(J2549)+N(H2550))</f>
        <v/>
      </c>
      <c r="K2550" s="74" t="str">
        <f t="shared" si="2540"/>
        <v/>
      </c>
      <c r="L2550" s="69" t="str">
        <f>IF($B2550="","",PV-J2550)</f>
        <v/>
      </c>
      <c r="M2550" s="71" t="str">
        <f>IF($B2550="","",J2550/PV)</f>
        <v/>
      </c>
      <c r="N2550" s="72" t="str">
        <f t="shared" si="4"/>
        <v/>
      </c>
    </row>
    <row r="2551" ht="14.25" customHeight="1">
      <c r="B2551" s="66" t="str">
        <f>IF(ROWS($1:2539)&lt;=Nper,ROWS($1:2539),"")</f>
        <v/>
      </c>
      <c r="C2551" s="67" t="str">
        <f>IF($B2551="","",IF($E$7="Weekly",Start_Date+7*(ROWS($1:2539)-1),EDATE(Start_Date,VLOOKUP(IF(ASTemp!$E$7="","Monthly",ASTemp!$E$7),Parameters!$B$3:$D$6,3,0)*(ROWS($1:2539)-1))))</f>
        <v/>
      </c>
      <c r="D2551" s="68" t="str">
        <f t="shared" si="2"/>
        <v/>
      </c>
      <c r="E2551" s="65" t="str">
        <f>IF($B2551="","",VLOOKUP(MONTH(C2551),Parameters!$F$2:$G$13,2,0))</f>
        <v/>
      </c>
      <c r="F2551" s="69" t="str">
        <f>IF($B2551="","",PV-N(J2550))</f>
        <v/>
      </c>
      <c r="G2551" s="69" t="str">
        <f>IF($B2551="","",PMT(Rate,Nper,-PV,,Type))</f>
        <v/>
      </c>
      <c r="H2551" s="69" t="str">
        <f>IF($B2551="","",PPMT(Rate,ROWS($1:2539),Nper,-PV,,Type))</f>
        <v/>
      </c>
      <c r="I2551" s="69" t="str">
        <f>IF($B2551="","",IPMT(Rate,ROWS($1:2539),Nper,-PV,,Type))</f>
        <v/>
      </c>
      <c r="J2551" s="73" t="str">
        <f t="shared" ref="J2551:K2551" si="2541">IF($B2551="","",N(J2550)+N(H2551))</f>
        <v/>
      </c>
      <c r="K2551" s="74" t="str">
        <f t="shared" si="2541"/>
        <v/>
      </c>
      <c r="L2551" s="69" t="str">
        <f>IF($B2551="","",PV-J2551)</f>
        <v/>
      </c>
      <c r="M2551" s="71" t="str">
        <f>IF($B2551="","",J2551/PV)</f>
        <v/>
      </c>
      <c r="N2551" s="72" t="str">
        <f t="shared" si="4"/>
        <v/>
      </c>
    </row>
    <row r="2552" ht="14.25" customHeight="1">
      <c r="B2552" s="66" t="str">
        <f>IF(ROWS($1:2540)&lt;=Nper,ROWS($1:2540),"")</f>
        <v/>
      </c>
      <c r="C2552" s="67" t="str">
        <f>IF($B2552="","",IF($E$7="Weekly",Start_Date+7*(ROWS($1:2540)-1),EDATE(Start_Date,VLOOKUP(IF(ASTemp!$E$7="","Monthly",ASTemp!$E$7),Parameters!$B$3:$D$6,3,0)*(ROWS($1:2540)-1))))</f>
        <v/>
      </c>
      <c r="D2552" s="68" t="str">
        <f t="shared" si="2"/>
        <v/>
      </c>
      <c r="E2552" s="65" t="str">
        <f>IF($B2552="","",VLOOKUP(MONTH(C2552),Parameters!$F$2:$G$13,2,0))</f>
        <v/>
      </c>
      <c r="F2552" s="69" t="str">
        <f>IF($B2552="","",PV-N(J2551))</f>
        <v/>
      </c>
      <c r="G2552" s="69" t="str">
        <f>IF($B2552="","",PMT(Rate,Nper,-PV,,Type))</f>
        <v/>
      </c>
      <c r="H2552" s="69" t="str">
        <f>IF($B2552="","",PPMT(Rate,ROWS($1:2540),Nper,-PV,,Type))</f>
        <v/>
      </c>
      <c r="I2552" s="69" t="str">
        <f>IF($B2552="","",IPMT(Rate,ROWS($1:2540),Nper,-PV,,Type))</f>
        <v/>
      </c>
      <c r="J2552" s="73" t="str">
        <f t="shared" ref="J2552:K2552" si="2542">IF($B2552="","",N(J2551)+N(H2552))</f>
        <v/>
      </c>
      <c r="K2552" s="74" t="str">
        <f t="shared" si="2542"/>
        <v/>
      </c>
      <c r="L2552" s="69" t="str">
        <f>IF($B2552="","",PV-J2552)</f>
        <v/>
      </c>
      <c r="M2552" s="71" t="str">
        <f>IF($B2552="","",J2552/PV)</f>
        <v/>
      </c>
      <c r="N2552" s="72" t="str">
        <f t="shared" si="4"/>
        <v/>
      </c>
    </row>
    <row r="2553" ht="14.25" customHeight="1">
      <c r="B2553" s="66" t="str">
        <f>IF(ROWS($1:2541)&lt;=Nper,ROWS($1:2541),"")</f>
        <v/>
      </c>
      <c r="C2553" s="67" t="str">
        <f>IF($B2553="","",IF($E$7="Weekly",Start_Date+7*(ROWS($1:2541)-1),EDATE(Start_Date,VLOOKUP(IF(ASTemp!$E$7="","Monthly",ASTemp!$E$7),Parameters!$B$3:$D$6,3,0)*(ROWS($1:2541)-1))))</f>
        <v/>
      </c>
      <c r="D2553" s="68" t="str">
        <f t="shared" si="2"/>
        <v/>
      </c>
      <c r="E2553" s="65" t="str">
        <f>IF($B2553="","",VLOOKUP(MONTH(C2553),Parameters!$F$2:$G$13,2,0))</f>
        <v/>
      </c>
      <c r="F2553" s="69" t="str">
        <f>IF($B2553="","",PV-N(J2552))</f>
        <v/>
      </c>
      <c r="G2553" s="69" t="str">
        <f>IF($B2553="","",PMT(Rate,Nper,-PV,,Type))</f>
        <v/>
      </c>
      <c r="H2553" s="69" t="str">
        <f>IF($B2553="","",PPMT(Rate,ROWS($1:2541),Nper,-PV,,Type))</f>
        <v/>
      </c>
      <c r="I2553" s="69" t="str">
        <f>IF($B2553="","",IPMT(Rate,ROWS($1:2541),Nper,-PV,,Type))</f>
        <v/>
      </c>
      <c r="J2553" s="73" t="str">
        <f t="shared" ref="J2553:K2553" si="2543">IF($B2553="","",N(J2552)+N(H2553))</f>
        <v/>
      </c>
      <c r="K2553" s="74" t="str">
        <f t="shared" si="2543"/>
        <v/>
      </c>
      <c r="L2553" s="69" t="str">
        <f>IF($B2553="","",PV-J2553)</f>
        <v/>
      </c>
      <c r="M2553" s="71" t="str">
        <f>IF($B2553="","",J2553/PV)</f>
        <v/>
      </c>
      <c r="N2553" s="72" t="str">
        <f t="shared" si="4"/>
        <v/>
      </c>
    </row>
    <row r="2554" ht="14.25" customHeight="1">
      <c r="B2554" s="66" t="str">
        <f>IF(ROWS($1:2542)&lt;=Nper,ROWS($1:2542),"")</f>
        <v/>
      </c>
      <c r="C2554" s="67" t="str">
        <f>IF($B2554="","",IF($E$7="Weekly",Start_Date+7*(ROWS($1:2542)-1),EDATE(Start_Date,VLOOKUP(IF(ASTemp!$E$7="","Monthly",ASTemp!$E$7),Parameters!$B$3:$D$6,3,0)*(ROWS($1:2542)-1))))</f>
        <v/>
      </c>
      <c r="D2554" s="68" t="str">
        <f t="shared" si="2"/>
        <v/>
      </c>
      <c r="E2554" s="65" t="str">
        <f>IF($B2554="","",VLOOKUP(MONTH(C2554),Parameters!$F$2:$G$13,2,0))</f>
        <v/>
      </c>
      <c r="F2554" s="69" t="str">
        <f>IF($B2554="","",PV-N(J2553))</f>
        <v/>
      </c>
      <c r="G2554" s="69" t="str">
        <f>IF($B2554="","",PMT(Rate,Nper,-PV,,Type))</f>
        <v/>
      </c>
      <c r="H2554" s="69" t="str">
        <f>IF($B2554="","",PPMT(Rate,ROWS($1:2542),Nper,-PV,,Type))</f>
        <v/>
      </c>
      <c r="I2554" s="69" t="str">
        <f>IF($B2554="","",IPMT(Rate,ROWS($1:2542),Nper,-PV,,Type))</f>
        <v/>
      </c>
      <c r="J2554" s="73" t="str">
        <f t="shared" ref="J2554:K2554" si="2544">IF($B2554="","",N(J2553)+N(H2554))</f>
        <v/>
      </c>
      <c r="K2554" s="74" t="str">
        <f t="shared" si="2544"/>
        <v/>
      </c>
      <c r="L2554" s="69" t="str">
        <f>IF($B2554="","",PV-J2554)</f>
        <v/>
      </c>
      <c r="M2554" s="71" t="str">
        <f>IF($B2554="","",J2554/PV)</f>
        <v/>
      </c>
      <c r="N2554" s="72" t="str">
        <f t="shared" si="4"/>
        <v/>
      </c>
    </row>
    <row r="2555" ht="14.25" customHeight="1">
      <c r="B2555" s="66" t="str">
        <f>IF(ROWS($1:2543)&lt;=Nper,ROWS($1:2543),"")</f>
        <v/>
      </c>
      <c r="C2555" s="67" t="str">
        <f>IF($B2555="","",IF($E$7="Weekly",Start_Date+7*(ROWS($1:2543)-1),EDATE(Start_Date,VLOOKUP(IF(ASTemp!$E$7="","Monthly",ASTemp!$E$7),Parameters!$B$3:$D$6,3,0)*(ROWS($1:2543)-1))))</f>
        <v/>
      </c>
      <c r="D2555" s="68" t="str">
        <f t="shared" si="2"/>
        <v/>
      </c>
      <c r="E2555" s="65" t="str">
        <f>IF($B2555="","",VLOOKUP(MONTH(C2555),Parameters!$F$2:$G$13,2,0))</f>
        <v/>
      </c>
      <c r="F2555" s="69" t="str">
        <f>IF($B2555="","",PV-N(J2554))</f>
        <v/>
      </c>
      <c r="G2555" s="69" t="str">
        <f>IF($B2555="","",PMT(Rate,Nper,-PV,,Type))</f>
        <v/>
      </c>
      <c r="H2555" s="69" t="str">
        <f>IF($B2555="","",PPMT(Rate,ROWS($1:2543),Nper,-PV,,Type))</f>
        <v/>
      </c>
      <c r="I2555" s="69" t="str">
        <f>IF($B2555="","",IPMT(Rate,ROWS($1:2543),Nper,-PV,,Type))</f>
        <v/>
      </c>
      <c r="J2555" s="73" t="str">
        <f t="shared" ref="J2555:K2555" si="2545">IF($B2555="","",N(J2554)+N(H2555))</f>
        <v/>
      </c>
      <c r="K2555" s="74" t="str">
        <f t="shared" si="2545"/>
        <v/>
      </c>
      <c r="L2555" s="69" t="str">
        <f>IF($B2555="","",PV-J2555)</f>
        <v/>
      </c>
      <c r="M2555" s="71" t="str">
        <f>IF($B2555="","",J2555/PV)</f>
        <v/>
      </c>
      <c r="N2555" s="72" t="str">
        <f t="shared" si="4"/>
        <v/>
      </c>
    </row>
    <row r="2556" ht="14.25" customHeight="1">
      <c r="B2556" s="66" t="str">
        <f>IF(ROWS($1:2544)&lt;=Nper,ROWS($1:2544),"")</f>
        <v/>
      </c>
      <c r="C2556" s="67" t="str">
        <f>IF($B2556="","",IF($E$7="Weekly",Start_Date+7*(ROWS($1:2544)-1),EDATE(Start_Date,VLOOKUP(IF(ASTemp!$E$7="","Monthly",ASTemp!$E$7),Parameters!$B$3:$D$6,3,0)*(ROWS($1:2544)-1))))</f>
        <v/>
      </c>
      <c r="D2556" s="68" t="str">
        <f t="shared" si="2"/>
        <v/>
      </c>
      <c r="E2556" s="65" t="str">
        <f>IF($B2556="","",VLOOKUP(MONTH(C2556),Parameters!$F$2:$G$13,2,0))</f>
        <v/>
      </c>
      <c r="F2556" s="69" t="str">
        <f>IF($B2556="","",PV-N(J2555))</f>
        <v/>
      </c>
      <c r="G2556" s="69" t="str">
        <f>IF($B2556="","",PMT(Rate,Nper,-PV,,Type))</f>
        <v/>
      </c>
      <c r="H2556" s="69" t="str">
        <f>IF($B2556="","",PPMT(Rate,ROWS($1:2544),Nper,-PV,,Type))</f>
        <v/>
      </c>
      <c r="I2556" s="69" t="str">
        <f>IF($B2556="","",IPMT(Rate,ROWS($1:2544),Nper,-PV,,Type))</f>
        <v/>
      </c>
      <c r="J2556" s="73" t="str">
        <f t="shared" ref="J2556:K2556" si="2546">IF($B2556="","",N(J2555)+N(H2556))</f>
        <v/>
      </c>
      <c r="K2556" s="74" t="str">
        <f t="shared" si="2546"/>
        <v/>
      </c>
      <c r="L2556" s="69" t="str">
        <f>IF($B2556="","",PV-J2556)</f>
        <v/>
      </c>
      <c r="M2556" s="71" t="str">
        <f>IF($B2556="","",J2556/PV)</f>
        <v/>
      </c>
      <c r="N2556" s="72" t="str">
        <f t="shared" si="4"/>
        <v/>
      </c>
    </row>
    <row r="2557" ht="14.25" customHeight="1">
      <c r="B2557" s="66" t="str">
        <f>IF(ROWS($1:2545)&lt;=Nper,ROWS($1:2545),"")</f>
        <v/>
      </c>
      <c r="C2557" s="67" t="str">
        <f>IF($B2557="","",IF($E$7="Weekly",Start_Date+7*(ROWS($1:2545)-1),EDATE(Start_Date,VLOOKUP(IF(ASTemp!$E$7="","Monthly",ASTemp!$E$7),Parameters!$B$3:$D$6,3,0)*(ROWS($1:2545)-1))))</f>
        <v/>
      </c>
      <c r="D2557" s="68" t="str">
        <f t="shared" si="2"/>
        <v/>
      </c>
      <c r="E2557" s="65" t="str">
        <f>IF($B2557="","",VLOOKUP(MONTH(C2557),Parameters!$F$2:$G$13,2,0))</f>
        <v/>
      </c>
      <c r="F2557" s="69" t="str">
        <f>IF($B2557="","",PV-N(J2556))</f>
        <v/>
      </c>
      <c r="G2557" s="69" t="str">
        <f>IF($B2557="","",PMT(Rate,Nper,-PV,,Type))</f>
        <v/>
      </c>
      <c r="H2557" s="69" t="str">
        <f>IF($B2557="","",PPMT(Rate,ROWS($1:2545),Nper,-PV,,Type))</f>
        <v/>
      </c>
      <c r="I2557" s="69" t="str">
        <f>IF($B2557="","",IPMT(Rate,ROWS($1:2545),Nper,-PV,,Type))</f>
        <v/>
      </c>
      <c r="J2557" s="73" t="str">
        <f t="shared" ref="J2557:K2557" si="2547">IF($B2557="","",N(J2556)+N(H2557))</f>
        <v/>
      </c>
      <c r="K2557" s="74" t="str">
        <f t="shared" si="2547"/>
        <v/>
      </c>
      <c r="L2557" s="69" t="str">
        <f>IF($B2557="","",PV-J2557)</f>
        <v/>
      </c>
      <c r="M2557" s="71" t="str">
        <f>IF($B2557="","",J2557/PV)</f>
        <v/>
      </c>
      <c r="N2557" s="72" t="str">
        <f t="shared" si="4"/>
        <v/>
      </c>
    </row>
    <row r="2558" ht="14.25" customHeight="1">
      <c r="B2558" s="66" t="str">
        <f>IF(ROWS($1:2546)&lt;=Nper,ROWS($1:2546),"")</f>
        <v/>
      </c>
      <c r="C2558" s="67" t="str">
        <f>IF($B2558="","",IF($E$7="Weekly",Start_Date+7*(ROWS($1:2546)-1),EDATE(Start_Date,VLOOKUP(IF(ASTemp!$E$7="","Monthly",ASTemp!$E$7),Parameters!$B$3:$D$6,3,0)*(ROWS($1:2546)-1))))</f>
        <v/>
      </c>
      <c r="D2558" s="68" t="str">
        <f t="shared" si="2"/>
        <v/>
      </c>
      <c r="E2558" s="65" t="str">
        <f>IF($B2558="","",VLOOKUP(MONTH(C2558),Parameters!$F$2:$G$13,2,0))</f>
        <v/>
      </c>
      <c r="F2558" s="69" t="str">
        <f>IF($B2558="","",PV-N(J2557))</f>
        <v/>
      </c>
      <c r="G2558" s="69" t="str">
        <f>IF($B2558="","",PMT(Rate,Nper,-PV,,Type))</f>
        <v/>
      </c>
      <c r="H2558" s="69" t="str">
        <f>IF($B2558="","",PPMT(Rate,ROWS($1:2546),Nper,-PV,,Type))</f>
        <v/>
      </c>
      <c r="I2558" s="69" t="str">
        <f>IF($B2558="","",IPMT(Rate,ROWS($1:2546),Nper,-PV,,Type))</f>
        <v/>
      </c>
      <c r="J2558" s="73" t="str">
        <f t="shared" ref="J2558:K2558" si="2548">IF($B2558="","",N(J2557)+N(H2558))</f>
        <v/>
      </c>
      <c r="K2558" s="74" t="str">
        <f t="shared" si="2548"/>
        <v/>
      </c>
      <c r="L2558" s="69" t="str">
        <f>IF($B2558="","",PV-J2558)</f>
        <v/>
      </c>
      <c r="M2558" s="71" t="str">
        <f>IF($B2558="","",J2558/PV)</f>
        <v/>
      </c>
      <c r="N2558" s="72" t="str">
        <f t="shared" si="4"/>
        <v/>
      </c>
    </row>
    <row r="2559" ht="14.25" customHeight="1">
      <c r="B2559" s="66" t="str">
        <f>IF(ROWS($1:2547)&lt;=Nper,ROWS($1:2547),"")</f>
        <v/>
      </c>
      <c r="C2559" s="67" t="str">
        <f>IF($B2559="","",IF($E$7="Weekly",Start_Date+7*(ROWS($1:2547)-1),EDATE(Start_Date,VLOOKUP(IF(ASTemp!$E$7="","Monthly",ASTemp!$E$7),Parameters!$B$3:$D$6,3,0)*(ROWS($1:2547)-1))))</f>
        <v/>
      </c>
      <c r="D2559" s="68" t="str">
        <f t="shared" si="2"/>
        <v/>
      </c>
      <c r="E2559" s="65" t="str">
        <f>IF($B2559="","",VLOOKUP(MONTH(C2559),Parameters!$F$2:$G$13,2,0))</f>
        <v/>
      </c>
      <c r="F2559" s="69" t="str">
        <f>IF($B2559="","",PV-N(J2558))</f>
        <v/>
      </c>
      <c r="G2559" s="69" t="str">
        <f>IF($B2559="","",PMT(Rate,Nper,-PV,,Type))</f>
        <v/>
      </c>
      <c r="H2559" s="69" t="str">
        <f>IF($B2559="","",PPMT(Rate,ROWS($1:2547),Nper,-PV,,Type))</f>
        <v/>
      </c>
      <c r="I2559" s="69" t="str">
        <f>IF($B2559="","",IPMT(Rate,ROWS($1:2547),Nper,-PV,,Type))</f>
        <v/>
      </c>
      <c r="J2559" s="73" t="str">
        <f t="shared" ref="J2559:K2559" si="2549">IF($B2559="","",N(J2558)+N(H2559))</f>
        <v/>
      </c>
      <c r="K2559" s="74" t="str">
        <f t="shared" si="2549"/>
        <v/>
      </c>
      <c r="L2559" s="69" t="str">
        <f>IF($B2559="","",PV-J2559)</f>
        <v/>
      </c>
      <c r="M2559" s="71" t="str">
        <f>IF($B2559="","",J2559/PV)</f>
        <v/>
      </c>
      <c r="N2559" s="72" t="str">
        <f t="shared" si="4"/>
        <v/>
      </c>
    </row>
    <row r="2560" ht="14.25" customHeight="1">
      <c r="B2560" s="66" t="str">
        <f>IF(ROWS($1:2548)&lt;=Nper,ROWS($1:2548),"")</f>
        <v/>
      </c>
      <c r="C2560" s="67" t="str">
        <f>IF($B2560="","",IF($E$7="Weekly",Start_Date+7*(ROWS($1:2548)-1),EDATE(Start_Date,VLOOKUP(IF(ASTemp!$E$7="","Monthly",ASTemp!$E$7),Parameters!$B$3:$D$6,3,0)*(ROWS($1:2548)-1))))</f>
        <v/>
      </c>
      <c r="D2560" s="68" t="str">
        <f t="shared" si="2"/>
        <v/>
      </c>
      <c r="E2560" s="65" t="str">
        <f>IF($B2560="","",VLOOKUP(MONTH(C2560),Parameters!$F$2:$G$13,2,0))</f>
        <v/>
      </c>
      <c r="F2560" s="69" t="str">
        <f>IF($B2560="","",PV-N(J2559))</f>
        <v/>
      </c>
      <c r="G2560" s="69" t="str">
        <f>IF($B2560="","",PMT(Rate,Nper,-PV,,Type))</f>
        <v/>
      </c>
      <c r="H2560" s="69" t="str">
        <f>IF($B2560="","",PPMT(Rate,ROWS($1:2548),Nper,-PV,,Type))</f>
        <v/>
      </c>
      <c r="I2560" s="69" t="str">
        <f>IF($B2560="","",IPMT(Rate,ROWS($1:2548),Nper,-PV,,Type))</f>
        <v/>
      </c>
      <c r="J2560" s="73" t="str">
        <f t="shared" ref="J2560:K2560" si="2550">IF($B2560="","",N(J2559)+N(H2560))</f>
        <v/>
      </c>
      <c r="K2560" s="74" t="str">
        <f t="shared" si="2550"/>
        <v/>
      </c>
      <c r="L2560" s="69" t="str">
        <f>IF($B2560="","",PV-J2560)</f>
        <v/>
      </c>
      <c r="M2560" s="71" t="str">
        <f>IF($B2560="","",J2560/PV)</f>
        <v/>
      </c>
      <c r="N2560" s="72" t="str">
        <f t="shared" si="4"/>
        <v/>
      </c>
    </row>
    <row r="2561" ht="14.25" customHeight="1">
      <c r="B2561" s="66" t="str">
        <f>IF(ROWS($1:2549)&lt;=Nper,ROWS($1:2549),"")</f>
        <v/>
      </c>
      <c r="C2561" s="67" t="str">
        <f>IF($B2561="","",IF($E$7="Weekly",Start_Date+7*(ROWS($1:2549)-1),EDATE(Start_Date,VLOOKUP(IF(ASTemp!$E$7="","Monthly",ASTemp!$E$7),Parameters!$B$3:$D$6,3,0)*(ROWS($1:2549)-1))))</f>
        <v/>
      </c>
      <c r="D2561" s="68" t="str">
        <f t="shared" si="2"/>
        <v/>
      </c>
      <c r="E2561" s="65" t="str">
        <f>IF($B2561="","",VLOOKUP(MONTH(C2561),Parameters!$F$2:$G$13,2,0))</f>
        <v/>
      </c>
      <c r="F2561" s="69" t="str">
        <f>IF($B2561="","",PV-N(J2560))</f>
        <v/>
      </c>
      <c r="G2561" s="69" t="str">
        <f>IF($B2561="","",PMT(Rate,Nper,-PV,,Type))</f>
        <v/>
      </c>
      <c r="H2561" s="69" t="str">
        <f>IF($B2561="","",PPMT(Rate,ROWS($1:2549),Nper,-PV,,Type))</f>
        <v/>
      </c>
      <c r="I2561" s="69" t="str">
        <f>IF($B2561="","",IPMT(Rate,ROWS($1:2549),Nper,-PV,,Type))</f>
        <v/>
      </c>
      <c r="J2561" s="73" t="str">
        <f t="shared" ref="J2561:K2561" si="2551">IF($B2561="","",N(J2560)+N(H2561))</f>
        <v/>
      </c>
      <c r="K2561" s="74" t="str">
        <f t="shared" si="2551"/>
        <v/>
      </c>
      <c r="L2561" s="69" t="str">
        <f>IF($B2561="","",PV-J2561)</f>
        <v/>
      </c>
      <c r="M2561" s="71" t="str">
        <f>IF($B2561="","",J2561/PV)</f>
        <v/>
      </c>
      <c r="N2561" s="72" t="str">
        <f t="shared" si="4"/>
        <v/>
      </c>
    </row>
    <row r="2562" ht="14.25" customHeight="1">
      <c r="B2562" s="66" t="str">
        <f>IF(ROWS($1:2550)&lt;=Nper,ROWS($1:2550),"")</f>
        <v/>
      </c>
      <c r="C2562" s="67" t="str">
        <f>IF($B2562="","",IF($E$7="Weekly",Start_Date+7*(ROWS($1:2550)-1),EDATE(Start_Date,VLOOKUP(IF(ASTemp!$E$7="","Monthly",ASTemp!$E$7),Parameters!$B$3:$D$6,3,0)*(ROWS($1:2550)-1))))</f>
        <v/>
      </c>
      <c r="D2562" s="68" t="str">
        <f t="shared" si="2"/>
        <v/>
      </c>
      <c r="E2562" s="65" t="str">
        <f>IF($B2562="","",VLOOKUP(MONTH(C2562),Parameters!$F$2:$G$13,2,0))</f>
        <v/>
      </c>
      <c r="F2562" s="69" t="str">
        <f>IF($B2562="","",PV-N(J2561))</f>
        <v/>
      </c>
      <c r="G2562" s="69" t="str">
        <f>IF($B2562="","",PMT(Rate,Nper,-PV,,Type))</f>
        <v/>
      </c>
      <c r="H2562" s="69" t="str">
        <f>IF($B2562="","",PPMT(Rate,ROWS($1:2550),Nper,-PV,,Type))</f>
        <v/>
      </c>
      <c r="I2562" s="69" t="str">
        <f>IF($B2562="","",IPMT(Rate,ROWS($1:2550),Nper,-PV,,Type))</f>
        <v/>
      </c>
      <c r="J2562" s="73" t="str">
        <f t="shared" ref="J2562:K2562" si="2552">IF($B2562="","",N(J2561)+N(H2562))</f>
        <v/>
      </c>
      <c r="K2562" s="74" t="str">
        <f t="shared" si="2552"/>
        <v/>
      </c>
      <c r="L2562" s="69" t="str">
        <f>IF($B2562="","",PV-J2562)</f>
        <v/>
      </c>
      <c r="M2562" s="71" t="str">
        <f>IF($B2562="","",J2562/PV)</f>
        <v/>
      </c>
      <c r="N2562" s="72" t="str">
        <f t="shared" si="4"/>
        <v/>
      </c>
    </row>
    <row r="2563" ht="14.25" customHeight="1">
      <c r="B2563" s="66" t="str">
        <f>IF(ROWS($1:2551)&lt;=Nper,ROWS($1:2551),"")</f>
        <v/>
      </c>
      <c r="C2563" s="67" t="str">
        <f>IF($B2563="","",IF($E$7="Weekly",Start_Date+7*(ROWS($1:2551)-1),EDATE(Start_Date,VLOOKUP(IF(ASTemp!$E$7="","Monthly",ASTemp!$E$7),Parameters!$B$3:$D$6,3,0)*(ROWS($1:2551)-1))))</f>
        <v/>
      </c>
      <c r="D2563" s="68" t="str">
        <f t="shared" si="2"/>
        <v/>
      </c>
      <c r="E2563" s="65" t="str">
        <f>IF($B2563="","",VLOOKUP(MONTH(C2563),Parameters!$F$2:$G$13,2,0))</f>
        <v/>
      </c>
      <c r="F2563" s="69" t="str">
        <f>IF($B2563="","",PV-N(J2562))</f>
        <v/>
      </c>
      <c r="G2563" s="69" t="str">
        <f>IF($B2563="","",PMT(Rate,Nper,-PV,,Type))</f>
        <v/>
      </c>
      <c r="H2563" s="69" t="str">
        <f>IF($B2563="","",PPMT(Rate,ROWS($1:2551),Nper,-PV,,Type))</f>
        <v/>
      </c>
      <c r="I2563" s="69" t="str">
        <f>IF($B2563="","",IPMT(Rate,ROWS($1:2551),Nper,-PV,,Type))</f>
        <v/>
      </c>
      <c r="J2563" s="73" t="str">
        <f t="shared" ref="J2563:K2563" si="2553">IF($B2563="","",N(J2562)+N(H2563))</f>
        <v/>
      </c>
      <c r="K2563" s="74" t="str">
        <f t="shared" si="2553"/>
        <v/>
      </c>
      <c r="L2563" s="69" t="str">
        <f>IF($B2563="","",PV-J2563)</f>
        <v/>
      </c>
      <c r="M2563" s="71" t="str">
        <f>IF($B2563="","",J2563/PV)</f>
        <v/>
      </c>
      <c r="N2563" s="72" t="str">
        <f t="shared" si="4"/>
        <v/>
      </c>
    </row>
    <row r="2564" ht="14.25" customHeight="1">
      <c r="B2564" s="66" t="str">
        <f>IF(ROWS($1:2552)&lt;=Nper,ROWS($1:2552),"")</f>
        <v/>
      </c>
      <c r="C2564" s="67" t="str">
        <f>IF($B2564="","",IF($E$7="Weekly",Start_Date+7*(ROWS($1:2552)-1),EDATE(Start_Date,VLOOKUP(IF(ASTemp!$E$7="","Monthly",ASTemp!$E$7),Parameters!$B$3:$D$6,3,0)*(ROWS($1:2552)-1))))</f>
        <v/>
      </c>
      <c r="D2564" s="68" t="str">
        <f t="shared" si="2"/>
        <v/>
      </c>
      <c r="E2564" s="65" t="str">
        <f>IF($B2564="","",VLOOKUP(MONTH(C2564),Parameters!$F$2:$G$13,2,0))</f>
        <v/>
      </c>
      <c r="F2564" s="69" t="str">
        <f>IF($B2564="","",PV-N(J2563))</f>
        <v/>
      </c>
      <c r="G2564" s="69" t="str">
        <f>IF($B2564="","",PMT(Rate,Nper,-PV,,Type))</f>
        <v/>
      </c>
      <c r="H2564" s="69" t="str">
        <f>IF($B2564="","",PPMT(Rate,ROWS($1:2552),Nper,-PV,,Type))</f>
        <v/>
      </c>
      <c r="I2564" s="69" t="str">
        <f>IF($B2564="","",IPMT(Rate,ROWS($1:2552),Nper,-PV,,Type))</f>
        <v/>
      </c>
      <c r="J2564" s="73" t="str">
        <f t="shared" ref="J2564:K2564" si="2554">IF($B2564="","",N(J2563)+N(H2564))</f>
        <v/>
      </c>
      <c r="K2564" s="74" t="str">
        <f t="shared" si="2554"/>
        <v/>
      </c>
      <c r="L2564" s="69" t="str">
        <f>IF($B2564="","",PV-J2564)</f>
        <v/>
      </c>
      <c r="M2564" s="71" t="str">
        <f>IF($B2564="","",J2564/PV)</f>
        <v/>
      </c>
      <c r="N2564" s="72" t="str">
        <f t="shared" si="4"/>
        <v/>
      </c>
    </row>
    <row r="2565" ht="14.25" customHeight="1">
      <c r="B2565" s="66" t="str">
        <f>IF(ROWS($1:2553)&lt;=Nper,ROWS($1:2553),"")</f>
        <v/>
      </c>
      <c r="C2565" s="67" t="str">
        <f>IF($B2565="","",IF($E$7="Weekly",Start_Date+7*(ROWS($1:2553)-1),EDATE(Start_Date,VLOOKUP(IF(ASTemp!$E$7="","Monthly",ASTemp!$E$7),Parameters!$B$3:$D$6,3,0)*(ROWS($1:2553)-1))))</f>
        <v/>
      </c>
      <c r="D2565" s="68" t="str">
        <f t="shared" si="2"/>
        <v/>
      </c>
      <c r="E2565" s="65" t="str">
        <f>IF($B2565="","",VLOOKUP(MONTH(C2565),Parameters!$F$2:$G$13,2,0))</f>
        <v/>
      </c>
      <c r="F2565" s="69" t="str">
        <f>IF($B2565="","",PV-N(J2564))</f>
        <v/>
      </c>
      <c r="G2565" s="69" t="str">
        <f>IF($B2565="","",PMT(Rate,Nper,-PV,,Type))</f>
        <v/>
      </c>
      <c r="H2565" s="69" t="str">
        <f>IF($B2565="","",PPMT(Rate,ROWS($1:2553),Nper,-PV,,Type))</f>
        <v/>
      </c>
      <c r="I2565" s="69" t="str">
        <f>IF($B2565="","",IPMT(Rate,ROWS($1:2553),Nper,-PV,,Type))</f>
        <v/>
      </c>
      <c r="J2565" s="73" t="str">
        <f t="shared" ref="J2565:K2565" si="2555">IF($B2565="","",N(J2564)+N(H2565))</f>
        <v/>
      </c>
      <c r="K2565" s="74" t="str">
        <f t="shared" si="2555"/>
        <v/>
      </c>
      <c r="L2565" s="69" t="str">
        <f>IF($B2565="","",PV-J2565)</f>
        <v/>
      </c>
      <c r="M2565" s="71" t="str">
        <f>IF($B2565="","",J2565/PV)</f>
        <v/>
      </c>
      <c r="N2565" s="72" t="str">
        <f t="shared" si="4"/>
        <v/>
      </c>
    </row>
    <row r="2566" ht="14.25" customHeight="1">
      <c r="B2566" s="66" t="str">
        <f>IF(ROWS($1:2554)&lt;=Nper,ROWS($1:2554),"")</f>
        <v/>
      </c>
      <c r="C2566" s="67" t="str">
        <f>IF($B2566="","",IF($E$7="Weekly",Start_Date+7*(ROWS($1:2554)-1),EDATE(Start_Date,VLOOKUP(IF(ASTemp!$E$7="","Monthly",ASTemp!$E$7),Parameters!$B$3:$D$6,3,0)*(ROWS($1:2554)-1))))</f>
        <v/>
      </c>
      <c r="D2566" s="68" t="str">
        <f t="shared" si="2"/>
        <v/>
      </c>
      <c r="E2566" s="65" t="str">
        <f>IF($B2566="","",VLOOKUP(MONTH(C2566),Parameters!$F$2:$G$13,2,0))</f>
        <v/>
      </c>
      <c r="F2566" s="69" t="str">
        <f>IF($B2566="","",PV-N(J2565))</f>
        <v/>
      </c>
      <c r="G2566" s="69" t="str">
        <f>IF($B2566="","",PMT(Rate,Nper,-PV,,Type))</f>
        <v/>
      </c>
      <c r="H2566" s="69" t="str">
        <f>IF($B2566="","",PPMT(Rate,ROWS($1:2554),Nper,-PV,,Type))</f>
        <v/>
      </c>
      <c r="I2566" s="69" t="str">
        <f>IF($B2566="","",IPMT(Rate,ROWS($1:2554),Nper,-PV,,Type))</f>
        <v/>
      </c>
      <c r="J2566" s="73" t="str">
        <f t="shared" ref="J2566:K2566" si="2556">IF($B2566="","",N(J2565)+N(H2566))</f>
        <v/>
      </c>
      <c r="K2566" s="74" t="str">
        <f t="shared" si="2556"/>
        <v/>
      </c>
      <c r="L2566" s="69" t="str">
        <f>IF($B2566="","",PV-J2566)</f>
        <v/>
      </c>
      <c r="M2566" s="71" t="str">
        <f>IF($B2566="","",J2566/PV)</f>
        <v/>
      </c>
      <c r="N2566" s="72" t="str">
        <f t="shared" si="4"/>
        <v/>
      </c>
    </row>
    <row r="2567" ht="14.25" customHeight="1">
      <c r="B2567" s="66" t="str">
        <f>IF(ROWS($1:2555)&lt;=Nper,ROWS($1:2555),"")</f>
        <v/>
      </c>
      <c r="C2567" s="67" t="str">
        <f>IF($B2567="","",IF($E$7="Weekly",Start_Date+7*(ROWS($1:2555)-1),EDATE(Start_Date,VLOOKUP(IF(ASTemp!$E$7="","Monthly",ASTemp!$E$7),Parameters!$B$3:$D$6,3,0)*(ROWS($1:2555)-1))))</f>
        <v/>
      </c>
      <c r="D2567" s="68" t="str">
        <f t="shared" si="2"/>
        <v/>
      </c>
      <c r="E2567" s="65" t="str">
        <f>IF($B2567="","",VLOOKUP(MONTH(C2567),Parameters!$F$2:$G$13,2,0))</f>
        <v/>
      </c>
      <c r="F2567" s="69" t="str">
        <f>IF($B2567="","",PV-N(J2566))</f>
        <v/>
      </c>
      <c r="G2567" s="69" t="str">
        <f>IF($B2567="","",PMT(Rate,Nper,-PV,,Type))</f>
        <v/>
      </c>
      <c r="H2567" s="69" t="str">
        <f>IF($B2567="","",PPMT(Rate,ROWS($1:2555),Nper,-PV,,Type))</f>
        <v/>
      </c>
      <c r="I2567" s="69" t="str">
        <f>IF($B2567="","",IPMT(Rate,ROWS($1:2555),Nper,-PV,,Type))</f>
        <v/>
      </c>
      <c r="J2567" s="73" t="str">
        <f t="shared" ref="J2567:K2567" si="2557">IF($B2567="","",N(J2566)+N(H2567))</f>
        <v/>
      </c>
      <c r="K2567" s="74" t="str">
        <f t="shared" si="2557"/>
        <v/>
      </c>
      <c r="L2567" s="69" t="str">
        <f>IF($B2567="","",PV-J2567)</f>
        <v/>
      </c>
      <c r="M2567" s="71" t="str">
        <f>IF($B2567="","",J2567/PV)</f>
        <v/>
      </c>
      <c r="N2567" s="72" t="str">
        <f t="shared" si="4"/>
        <v/>
      </c>
    </row>
    <row r="2568" ht="14.25" customHeight="1">
      <c r="B2568" s="66" t="str">
        <f>IF(ROWS($1:2556)&lt;=Nper,ROWS($1:2556),"")</f>
        <v/>
      </c>
      <c r="C2568" s="67" t="str">
        <f>IF($B2568="","",IF($E$7="Weekly",Start_Date+7*(ROWS($1:2556)-1),EDATE(Start_Date,VLOOKUP(IF(ASTemp!$E$7="","Monthly",ASTemp!$E$7),Parameters!$B$3:$D$6,3,0)*(ROWS($1:2556)-1))))</f>
        <v/>
      </c>
      <c r="D2568" s="68" t="str">
        <f t="shared" si="2"/>
        <v/>
      </c>
      <c r="E2568" s="65" t="str">
        <f>IF($B2568="","",VLOOKUP(MONTH(C2568),Parameters!$F$2:$G$13,2,0))</f>
        <v/>
      </c>
      <c r="F2568" s="69" t="str">
        <f>IF($B2568="","",PV-N(J2567))</f>
        <v/>
      </c>
      <c r="G2568" s="69" t="str">
        <f>IF($B2568="","",PMT(Rate,Nper,-PV,,Type))</f>
        <v/>
      </c>
      <c r="H2568" s="69" t="str">
        <f>IF($B2568="","",PPMT(Rate,ROWS($1:2556),Nper,-PV,,Type))</f>
        <v/>
      </c>
      <c r="I2568" s="69" t="str">
        <f>IF($B2568="","",IPMT(Rate,ROWS($1:2556),Nper,-PV,,Type))</f>
        <v/>
      </c>
      <c r="J2568" s="73" t="str">
        <f t="shared" ref="J2568:K2568" si="2558">IF($B2568="","",N(J2567)+N(H2568))</f>
        <v/>
      </c>
      <c r="K2568" s="74" t="str">
        <f t="shared" si="2558"/>
        <v/>
      </c>
      <c r="L2568" s="69" t="str">
        <f>IF($B2568="","",PV-J2568)</f>
        <v/>
      </c>
      <c r="M2568" s="71" t="str">
        <f>IF($B2568="","",J2568/PV)</f>
        <v/>
      </c>
      <c r="N2568" s="72" t="str">
        <f t="shared" si="4"/>
        <v/>
      </c>
    </row>
    <row r="2569" ht="14.25" customHeight="1">
      <c r="B2569" s="66" t="str">
        <f>IF(ROWS($1:2557)&lt;=Nper,ROWS($1:2557),"")</f>
        <v/>
      </c>
      <c r="C2569" s="67" t="str">
        <f>IF($B2569="","",IF($E$7="Weekly",Start_Date+7*(ROWS($1:2557)-1),EDATE(Start_Date,VLOOKUP(IF(ASTemp!$E$7="","Monthly",ASTemp!$E$7),Parameters!$B$3:$D$6,3,0)*(ROWS($1:2557)-1))))</f>
        <v/>
      </c>
      <c r="D2569" s="68" t="str">
        <f t="shared" si="2"/>
        <v/>
      </c>
      <c r="E2569" s="65" t="str">
        <f>IF($B2569="","",VLOOKUP(MONTH(C2569),Parameters!$F$2:$G$13,2,0))</f>
        <v/>
      </c>
      <c r="F2569" s="69" t="str">
        <f>IF($B2569="","",PV-N(J2568))</f>
        <v/>
      </c>
      <c r="G2569" s="69" t="str">
        <f>IF($B2569="","",PMT(Rate,Nper,-PV,,Type))</f>
        <v/>
      </c>
      <c r="H2569" s="69" t="str">
        <f>IF($B2569="","",PPMT(Rate,ROWS($1:2557),Nper,-PV,,Type))</f>
        <v/>
      </c>
      <c r="I2569" s="69" t="str">
        <f>IF($B2569="","",IPMT(Rate,ROWS($1:2557),Nper,-PV,,Type))</f>
        <v/>
      </c>
      <c r="J2569" s="73" t="str">
        <f t="shared" ref="J2569:K2569" si="2559">IF($B2569="","",N(J2568)+N(H2569))</f>
        <v/>
      </c>
      <c r="K2569" s="74" t="str">
        <f t="shared" si="2559"/>
        <v/>
      </c>
      <c r="L2569" s="69" t="str">
        <f>IF($B2569="","",PV-J2569)</f>
        <v/>
      </c>
      <c r="M2569" s="71" t="str">
        <f>IF($B2569="","",J2569/PV)</f>
        <v/>
      </c>
      <c r="N2569" s="72" t="str">
        <f t="shared" si="4"/>
        <v/>
      </c>
    </row>
    <row r="2570" ht="14.25" customHeight="1">
      <c r="B2570" s="66" t="str">
        <f>IF(ROWS($1:2558)&lt;=Nper,ROWS($1:2558),"")</f>
        <v/>
      </c>
      <c r="C2570" s="67" t="str">
        <f>IF($B2570="","",IF($E$7="Weekly",Start_Date+7*(ROWS($1:2558)-1),EDATE(Start_Date,VLOOKUP(IF(ASTemp!$E$7="","Monthly",ASTemp!$E$7),Parameters!$B$3:$D$6,3,0)*(ROWS($1:2558)-1))))</f>
        <v/>
      </c>
      <c r="D2570" s="68" t="str">
        <f t="shared" si="2"/>
        <v/>
      </c>
      <c r="E2570" s="65" t="str">
        <f>IF($B2570="","",VLOOKUP(MONTH(C2570),Parameters!$F$2:$G$13,2,0))</f>
        <v/>
      </c>
      <c r="F2570" s="69" t="str">
        <f>IF($B2570="","",PV-N(J2569))</f>
        <v/>
      </c>
      <c r="G2570" s="69" t="str">
        <f>IF($B2570="","",PMT(Rate,Nper,-PV,,Type))</f>
        <v/>
      </c>
      <c r="H2570" s="69" t="str">
        <f>IF($B2570="","",PPMT(Rate,ROWS($1:2558),Nper,-PV,,Type))</f>
        <v/>
      </c>
      <c r="I2570" s="69" t="str">
        <f>IF($B2570="","",IPMT(Rate,ROWS($1:2558),Nper,-PV,,Type))</f>
        <v/>
      </c>
      <c r="J2570" s="73" t="str">
        <f t="shared" ref="J2570:K2570" si="2560">IF($B2570="","",N(J2569)+N(H2570))</f>
        <v/>
      </c>
      <c r="K2570" s="74" t="str">
        <f t="shared" si="2560"/>
        <v/>
      </c>
      <c r="L2570" s="69" t="str">
        <f>IF($B2570="","",PV-J2570)</f>
        <v/>
      </c>
      <c r="M2570" s="71" t="str">
        <f>IF($B2570="","",J2570/PV)</f>
        <v/>
      </c>
      <c r="N2570" s="72" t="str">
        <f t="shared" si="4"/>
        <v/>
      </c>
    </row>
    <row r="2571" ht="14.25" customHeight="1">
      <c r="B2571" s="66" t="str">
        <f>IF(ROWS($1:2559)&lt;=Nper,ROWS($1:2559),"")</f>
        <v/>
      </c>
      <c r="C2571" s="67" t="str">
        <f>IF($B2571="","",IF($E$7="Weekly",Start_Date+7*(ROWS($1:2559)-1),EDATE(Start_Date,VLOOKUP(IF(ASTemp!$E$7="","Monthly",ASTemp!$E$7),Parameters!$B$3:$D$6,3,0)*(ROWS($1:2559)-1))))</f>
        <v/>
      </c>
      <c r="D2571" s="68" t="str">
        <f t="shared" si="2"/>
        <v/>
      </c>
      <c r="E2571" s="65" t="str">
        <f>IF($B2571="","",VLOOKUP(MONTH(C2571),Parameters!$F$2:$G$13,2,0))</f>
        <v/>
      </c>
      <c r="F2571" s="69" t="str">
        <f>IF($B2571="","",PV-N(J2570))</f>
        <v/>
      </c>
      <c r="G2571" s="69" t="str">
        <f>IF($B2571="","",PMT(Rate,Nper,-PV,,Type))</f>
        <v/>
      </c>
      <c r="H2571" s="69" t="str">
        <f>IF($B2571="","",PPMT(Rate,ROWS($1:2559),Nper,-PV,,Type))</f>
        <v/>
      </c>
      <c r="I2571" s="69" t="str">
        <f>IF($B2571="","",IPMT(Rate,ROWS($1:2559),Nper,-PV,,Type))</f>
        <v/>
      </c>
      <c r="J2571" s="73" t="str">
        <f t="shared" ref="J2571:K2571" si="2561">IF($B2571="","",N(J2570)+N(H2571))</f>
        <v/>
      </c>
      <c r="K2571" s="74" t="str">
        <f t="shared" si="2561"/>
        <v/>
      </c>
      <c r="L2571" s="69" t="str">
        <f>IF($B2571="","",PV-J2571)</f>
        <v/>
      </c>
      <c r="M2571" s="71" t="str">
        <f>IF($B2571="","",J2571/PV)</f>
        <v/>
      </c>
      <c r="N2571" s="72" t="str">
        <f t="shared" si="4"/>
        <v/>
      </c>
    </row>
    <row r="2572" ht="14.25" customHeight="1">
      <c r="B2572" s="66" t="str">
        <f>IF(ROWS($1:2560)&lt;=Nper,ROWS($1:2560),"")</f>
        <v/>
      </c>
      <c r="C2572" s="67" t="str">
        <f>IF($B2572="","",IF($E$7="Weekly",Start_Date+7*(ROWS($1:2560)-1),EDATE(Start_Date,VLOOKUP(IF(ASTemp!$E$7="","Monthly",ASTemp!$E$7),Parameters!$B$3:$D$6,3,0)*(ROWS($1:2560)-1))))</f>
        <v/>
      </c>
      <c r="D2572" s="68" t="str">
        <f t="shared" si="2"/>
        <v/>
      </c>
      <c r="E2572" s="65" t="str">
        <f>IF($B2572="","",VLOOKUP(MONTH(C2572),Parameters!$F$2:$G$13,2,0))</f>
        <v/>
      </c>
      <c r="F2572" s="69" t="str">
        <f>IF($B2572="","",PV-N(J2571))</f>
        <v/>
      </c>
      <c r="G2572" s="69" t="str">
        <f>IF($B2572="","",PMT(Rate,Nper,-PV,,Type))</f>
        <v/>
      </c>
      <c r="H2572" s="69" t="str">
        <f>IF($B2572="","",PPMT(Rate,ROWS($1:2560),Nper,-PV,,Type))</f>
        <v/>
      </c>
      <c r="I2572" s="69" t="str">
        <f>IF($B2572="","",IPMT(Rate,ROWS($1:2560),Nper,-PV,,Type))</f>
        <v/>
      </c>
      <c r="J2572" s="73" t="str">
        <f t="shared" ref="J2572:K2572" si="2562">IF($B2572="","",N(J2571)+N(H2572))</f>
        <v/>
      </c>
      <c r="K2572" s="74" t="str">
        <f t="shared" si="2562"/>
        <v/>
      </c>
      <c r="L2572" s="69" t="str">
        <f>IF($B2572="","",PV-J2572)</f>
        <v/>
      </c>
      <c r="M2572" s="71" t="str">
        <f>IF($B2572="","",J2572/PV)</f>
        <v/>
      </c>
      <c r="N2572" s="72" t="str">
        <f t="shared" si="4"/>
        <v/>
      </c>
    </row>
    <row r="2573" ht="14.25" customHeight="1">
      <c r="B2573" s="66" t="str">
        <f>IF(ROWS($1:2561)&lt;=Nper,ROWS($1:2561),"")</f>
        <v/>
      </c>
      <c r="C2573" s="67" t="str">
        <f>IF($B2573="","",IF($E$7="Weekly",Start_Date+7*(ROWS($1:2561)-1),EDATE(Start_Date,VLOOKUP(IF(ASTemp!$E$7="","Monthly",ASTemp!$E$7),Parameters!$B$3:$D$6,3,0)*(ROWS($1:2561)-1))))</f>
        <v/>
      </c>
      <c r="D2573" s="68" t="str">
        <f t="shared" si="2"/>
        <v/>
      </c>
      <c r="E2573" s="65" t="str">
        <f>IF($B2573="","",VLOOKUP(MONTH(C2573),Parameters!$F$2:$G$13,2,0))</f>
        <v/>
      </c>
      <c r="F2573" s="69" t="str">
        <f>IF($B2573="","",PV-N(J2572))</f>
        <v/>
      </c>
      <c r="G2573" s="69" t="str">
        <f>IF($B2573="","",PMT(Rate,Nper,-PV,,Type))</f>
        <v/>
      </c>
      <c r="H2573" s="69" t="str">
        <f>IF($B2573="","",PPMT(Rate,ROWS($1:2561),Nper,-PV,,Type))</f>
        <v/>
      </c>
      <c r="I2573" s="69" t="str">
        <f>IF($B2573="","",IPMT(Rate,ROWS($1:2561),Nper,-PV,,Type))</f>
        <v/>
      </c>
      <c r="J2573" s="73" t="str">
        <f t="shared" ref="J2573:K2573" si="2563">IF($B2573="","",N(J2572)+N(H2573))</f>
        <v/>
      </c>
      <c r="K2573" s="74" t="str">
        <f t="shared" si="2563"/>
        <v/>
      </c>
      <c r="L2573" s="69" t="str">
        <f>IF($B2573="","",PV-J2573)</f>
        <v/>
      </c>
      <c r="M2573" s="71" t="str">
        <f>IF($B2573="","",J2573/PV)</f>
        <v/>
      </c>
      <c r="N2573" s="72" t="str">
        <f t="shared" si="4"/>
        <v/>
      </c>
    </row>
    <row r="2574" ht="14.25" customHeight="1">
      <c r="B2574" s="66" t="str">
        <f>IF(ROWS($1:2562)&lt;=Nper,ROWS($1:2562),"")</f>
        <v/>
      </c>
      <c r="C2574" s="67" t="str">
        <f>IF($B2574="","",IF($E$7="Weekly",Start_Date+7*(ROWS($1:2562)-1),EDATE(Start_Date,VLOOKUP(IF(ASTemp!$E$7="","Monthly",ASTemp!$E$7),Parameters!$B$3:$D$6,3,0)*(ROWS($1:2562)-1))))</f>
        <v/>
      </c>
      <c r="D2574" s="68" t="str">
        <f t="shared" si="2"/>
        <v/>
      </c>
      <c r="E2574" s="65" t="str">
        <f>IF($B2574="","",VLOOKUP(MONTH(C2574),Parameters!$F$2:$G$13,2,0))</f>
        <v/>
      </c>
      <c r="F2574" s="69" t="str">
        <f>IF($B2574="","",PV-N(J2573))</f>
        <v/>
      </c>
      <c r="G2574" s="69" t="str">
        <f>IF($B2574="","",PMT(Rate,Nper,-PV,,Type))</f>
        <v/>
      </c>
      <c r="H2574" s="69" t="str">
        <f>IF($B2574="","",PPMT(Rate,ROWS($1:2562),Nper,-PV,,Type))</f>
        <v/>
      </c>
      <c r="I2574" s="69" t="str">
        <f>IF($B2574="","",IPMT(Rate,ROWS($1:2562),Nper,-PV,,Type))</f>
        <v/>
      </c>
      <c r="J2574" s="73" t="str">
        <f t="shared" ref="J2574:K2574" si="2564">IF($B2574="","",N(J2573)+N(H2574))</f>
        <v/>
      </c>
      <c r="K2574" s="74" t="str">
        <f t="shared" si="2564"/>
        <v/>
      </c>
      <c r="L2574" s="69" t="str">
        <f>IF($B2574="","",PV-J2574)</f>
        <v/>
      </c>
      <c r="M2574" s="71" t="str">
        <f>IF($B2574="","",J2574/PV)</f>
        <v/>
      </c>
      <c r="N2574" s="72" t="str">
        <f t="shared" si="4"/>
        <v/>
      </c>
    </row>
    <row r="2575" ht="14.25" customHeight="1">
      <c r="B2575" s="66" t="str">
        <f>IF(ROWS($1:2563)&lt;=Nper,ROWS($1:2563),"")</f>
        <v/>
      </c>
      <c r="C2575" s="67" t="str">
        <f>IF($B2575="","",IF($E$7="Weekly",Start_Date+7*(ROWS($1:2563)-1),EDATE(Start_Date,VLOOKUP(IF(ASTemp!$E$7="","Monthly",ASTemp!$E$7),Parameters!$B$3:$D$6,3,0)*(ROWS($1:2563)-1))))</f>
        <v/>
      </c>
      <c r="D2575" s="68" t="str">
        <f t="shared" si="2"/>
        <v/>
      </c>
      <c r="E2575" s="65" t="str">
        <f>IF($B2575="","",VLOOKUP(MONTH(C2575),Parameters!$F$2:$G$13,2,0))</f>
        <v/>
      </c>
      <c r="F2575" s="69" t="str">
        <f>IF($B2575="","",PV-N(J2574))</f>
        <v/>
      </c>
      <c r="G2575" s="69" t="str">
        <f>IF($B2575="","",PMT(Rate,Nper,-PV,,Type))</f>
        <v/>
      </c>
      <c r="H2575" s="69" t="str">
        <f>IF($B2575="","",PPMT(Rate,ROWS($1:2563),Nper,-PV,,Type))</f>
        <v/>
      </c>
      <c r="I2575" s="69" t="str">
        <f>IF($B2575="","",IPMT(Rate,ROWS($1:2563),Nper,-PV,,Type))</f>
        <v/>
      </c>
      <c r="J2575" s="73" t="str">
        <f t="shared" ref="J2575:K2575" si="2565">IF($B2575="","",N(J2574)+N(H2575))</f>
        <v/>
      </c>
      <c r="K2575" s="74" t="str">
        <f t="shared" si="2565"/>
        <v/>
      </c>
      <c r="L2575" s="69" t="str">
        <f>IF($B2575="","",PV-J2575)</f>
        <v/>
      </c>
      <c r="M2575" s="71" t="str">
        <f>IF($B2575="","",J2575/PV)</f>
        <v/>
      </c>
      <c r="N2575" s="72" t="str">
        <f t="shared" si="4"/>
        <v/>
      </c>
    </row>
    <row r="2576" ht="14.25" customHeight="1">
      <c r="B2576" s="66" t="str">
        <f>IF(ROWS($1:2564)&lt;=Nper,ROWS($1:2564),"")</f>
        <v/>
      </c>
      <c r="C2576" s="67" t="str">
        <f>IF($B2576="","",IF($E$7="Weekly",Start_Date+7*(ROWS($1:2564)-1),EDATE(Start_Date,VLOOKUP(IF(ASTemp!$E$7="","Monthly",ASTemp!$E$7),Parameters!$B$3:$D$6,3,0)*(ROWS($1:2564)-1))))</f>
        <v/>
      </c>
      <c r="D2576" s="68" t="str">
        <f t="shared" si="2"/>
        <v/>
      </c>
      <c r="E2576" s="65" t="str">
        <f>IF($B2576="","",VLOOKUP(MONTH(C2576),Parameters!$F$2:$G$13,2,0))</f>
        <v/>
      </c>
      <c r="F2576" s="69" t="str">
        <f>IF($B2576="","",PV-N(J2575))</f>
        <v/>
      </c>
      <c r="G2576" s="69" t="str">
        <f>IF($B2576="","",PMT(Rate,Nper,-PV,,Type))</f>
        <v/>
      </c>
      <c r="H2576" s="69" t="str">
        <f>IF($B2576="","",PPMT(Rate,ROWS($1:2564),Nper,-PV,,Type))</f>
        <v/>
      </c>
      <c r="I2576" s="69" t="str">
        <f>IF($B2576="","",IPMT(Rate,ROWS($1:2564),Nper,-PV,,Type))</f>
        <v/>
      </c>
      <c r="J2576" s="73" t="str">
        <f t="shared" ref="J2576:K2576" si="2566">IF($B2576="","",N(J2575)+N(H2576))</f>
        <v/>
      </c>
      <c r="K2576" s="74" t="str">
        <f t="shared" si="2566"/>
        <v/>
      </c>
      <c r="L2576" s="69" t="str">
        <f>IF($B2576="","",PV-J2576)</f>
        <v/>
      </c>
      <c r="M2576" s="71" t="str">
        <f>IF($B2576="","",J2576/PV)</f>
        <v/>
      </c>
      <c r="N2576" s="72" t="str">
        <f t="shared" si="4"/>
        <v/>
      </c>
    </row>
    <row r="2577" ht="14.25" customHeight="1">
      <c r="B2577" s="66" t="str">
        <f>IF(ROWS($1:2565)&lt;=Nper,ROWS($1:2565),"")</f>
        <v/>
      </c>
      <c r="C2577" s="67" t="str">
        <f>IF($B2577="","",IF($E$7="Weekly",Start_Date+7*(ROWS($1:2565)-1),EDATE(Start_Date,VLOOKUP(IF(ASTemp!$E$7="","Monthly",ASTemp!$E$7),Parameters!$B$3:$D$6,3,0)*(ROWS($1:2565)-1))))</f>
        <v/>
      </c>
      <c r="D2577" s="68" t="str">
        <f t="shared" si="2"/>
        <v/>
      </c>
      <c r="E2577" s="65" t="str">
        <f>IF($B2577="","",VLOOKUP(MONTH(C2577),Parameters!$F$2:$G$13,2,0))</f>
        <v/>
      </c>
      <c r="F2577" s="69" t="str">
        <f>IF($B2577="","",PV-N(J2576))</f>
        <v/>
      </c>
      <c r="G2577" s="69" t="str">
        <f>IF($B2577="","",PMT(Rate,Nper,-PV,,Type))</f>
        <v/>
      </c>
      <c r="H2577" s="69" t="str">
        <f>IF($B2577="","",PPMT(Rate,ROWS($1:2565),Nper,-PV,,Type))</f>
        <v/>
      </c>
      <c r="I2577" s="69" t="str">
        <f>IF($B2577="","",IPMT(Rate,ROWS($1:2565),Nper,-PV,,Type))</f>
        <v/>
      </c>
      <c r="J2577" s="73" t="str">
        <f t="shared" ref="J2577:K2577" si="2567">IF($B2577="","",N(J2576)+N(H2577))</f>
        <v/>
      </c>
      <c r="K2577" s="74" t="str">
        <f t="shared" si="2567"/>
        <v/>
      </c>
      <c r="L2577" s="69" t="str">
        <f>IF($B2577="","",PV-J2577)</f>
        <v/>
      </c>
      <c r="M2577" s="71" t="str">
        <f>IF($B2577="","",J2577/PV)</f>
        <v/>
      </c>
      <c r="N2577" s="72" t="str">
        <f t="shared" si="4"/>
        <v/>
      </c>
    </row>
    <row r="2578" ht="14.25" customHeight="1">
      <c r="B2578" s="66" t="str">
        <f>IF(ROWS($1:2566)&lt;=Nper,ROWS($1:2566),"")</f>
        <v/>
      </c>
      <c r="C2578" s="67" t="str">
        <f>IF($B2578="","",IF($E$7="Weekly",Start_Date+7*(ROWS($1:2566)-1),EDATE(Start_Date,VLOOKUP(IF(ASTemp!$E$7="","Monthly",ASTemp!$E$7),Parameters!$B$3:$D$6,3,0)*(ROWS($1:2566)-1))))</f>
        <v/>
      </c>
      <c r="D2578" s="68" t="str">
        <f t="shared" si="2"/>
        <v/>
      </c>
      <c r="E2578" s="65" t="str">
        <f>IF($B2578="","",VLOOKUP(MONTH(C2578),Parameters!$F$2:$G$13,2,0))</f>
        <v/>
      </c>
      <c r="F2578" s="69" t="str">
        <f>IF($B2578="","",PV-N(J2577))</f>
        <v/>
      </c>
      <c r="G2578" s="69" t="str">
        <f>IF($B2578="","",PMT(Rate,Nper,-PV,,Type))</f>
        <v/>
      </c>
      <c r="H2578" s="69" t="str">
        <f>IF($B2578="","",PPMT(Rate,ROWS($1:2566),Nper,-PV,,Type))</f>
        <v/>
      </c>
      <c r="I2578" s="69" t="str">
        <f>IF($B2578="","",IPMT(Rate,ROWS($1:2566),Nper,-PV,,Type))</f>
        <v/>
      </c>
      <c r="J2578" s="73" t="str">
        <f t="shared" ref="J2578:K2578" si="2568">IF($B2578="","",N(J2577)+N(H2578))</f>
        <v/>
      </c>
      <c r="K2578" s="74" t="str">
        <f t="shared" si="2568"/>
        <v/>
      </c>
      <c r="L2578" s="69" t="str">
        <f>IF($B2578="","",PV-J2578)</f>
        <v/>
      </c>
      <c r="M2578" s="71" t="str">
        <f>IF($B2578="","",J2578/PV)</f>
        <v/>
      </c>
      <c r="N2578" s="72" t="str">
        <f t="shared" si="4"/>
        <v/>
      </c>
    </row>
    <row r="2579" ht="14.25" customHeight="1">
      <c r="B2579" s="66" t="str">
        <f>IF(ROWS($1:2567)&lt;=Nper,ROWS($1:2567),"")</f>
        <v/>
      </c>
      <c r="C2579" s="67" t="str">
        <f>IF($B2579="","",IF($E$7="Weekly",Start_Date+7*(ROWS($1:2567)-1),EDATE(Start_Date,VLOOKUP(IF(ASTemp!$E$7="","Monthly",ASTemp!$E$7),Parameters!$B$3:$D$6,3,0)*(ROWS($1:2567)-1))))</f>
        <v/>
      </c>
      <c r="D2579" s="68" t="str">
        <f t="shared" si="2"/>
        <v/>
      </c>
      <c r="E2579" s="65" t="str">
        <f>IF($B2579="","",VLOOKUP(MONTH(C2579),Parameters!$F$2:$G$13,2,0))</f>
        <v/>
      </c>
      <c r="F2579" s="69" t="str">
        <f>IF($B2579="","",PV-N(J2578))</f>
        <v/>
      </c>
      <c r="G2579" s="69" t="str">
        <f>IF($B2579="","",PMT(Rate,Nper,-PV,,Type))</f>
        <v/>
      </c>
      <c r="H2579" s="69" t="str">
        <f>IF($B2579="","",PPMT(Rate,ROWS($1:2567),Nper,-PV,,Type))</f>
        <v/>
      </c>
      <c r="I2579" s="69" t="str">
        <f>IF($B2579="","",IPMT(Rate,ROWS($1:2567),Nper,-PV,,Type))</f>
        <v/>
      </c>
      <c r="J2579" s="73" t="str">
        <f t="shared" ref="J2579:K2579" si="2569">IF($B2579="","",N(J2578)+N(H2579))</f>
        <v/>
      </c>
      <c r="K2579" s="74" t="str">
        <f t="shared" si="2569"/>
        <v/>
      </c>
      <c r="L2579" s="69" t="str">
        <f>IF($B2579="","",PV-J2579)</f>
        <v/>
      </c>
      <c r="M2579" s="71" t="str">
        <f>IF($B2579="","",J2579/PV)</f>
        <v/>
      </c>
      <c r="N2579" s="72" t="str">
        <f t="shared" si="4"/>
        <v/>
      </c>
    </row>
    <row r="2580" ht="14.25" customHeight="1">
      <c r="B2580" s="66" t="str">
        <f>IF(ROWS($1:2568)&lt;=Nper,ROWS($1:2568),"")</f>
        <v/>
      </c>
      <c r="C2580" s="67" t="str">
        <f>IF($B2580="","",IF($E$7="Weekly",Start_Date+7*(ROWS($1:2568)-1),EDATE(Start_Date,VLOOKUP(IF(ASTemp!$E$7="","Monthly",ASTemp!$E$7),Parameters!$B$3:$D$6,3,0)*(ROWS($1:2568)-1))))</f>
        <v/>
      </c>
      <c r="D2580" s="68" t="str">
        <f t="shared" si="2"/>
        <v/>
      </c>
      <c r="E2580" s="65" t="str">
        <f>IF($B2580="","",VLOOKUP(MONTH(C2580),Parameters!$F$2:$G$13,2,0))</f>
        <v/>
      </c>
      <c r="F2580" s="69" t="str">
        <f>IF($B2580="","",PV-N(J2579))</f>
        <v/>
      </c>
      <c r="G2580" s="69" t="str">
        <f>IF($B2580="","",PMT(Rate,Nper,-PV,,Type))</f>
        <v/>
      </c>
      <c r="H2580" s="69" t="str">
        <f>IF($B2580="","",PPMT(Rate,ROWS($1:2568),Nper,-PV,,Type))</f>
        <v/>
      </c>
      <c r="I2580" s="69" t="str">
        <f>IF($B2580="","",IPMT(Rate,ROWS($1:2568),Nper,-PV,,Type))</f>
        <v/>
      </c>
      <c r="J2580" s="73" t="str">
        <f t="shared" ref="J2580:K2580" si="2570">IF($B2580="","",N(J2579)+N(H2580))</f>
        <v/>
      </c>
      <c r="K2580" s="74" t="str">
        <f t="shared" si="2570"/>
        <v/>
      </c>
      <c r="L2580" s="69" t="str">
        <f>IF($B2580="","",PV-J2580)</f>
        <v/>
      </c>
      <c r="M2580" s="71" t="str">
        <f>IF($B2580="","",J2580/PV)</f>
        <v/>
      </c>
      <c r="N2580" s="72" t="str">
        <f t="shared" si="4"/>
        <v/>
      </c>
    </row>
    <row r="2581" ht="14.25" customHeight="1">
      <c r="B2581" s="66" t="str">
        <f>IF(ROWS($1:2569)&lt;=Nper,ROWS($1:2569),"")</f>
        <v/>
      </c>
      <c r="C2581" s="67" t="str">
        <f>IF($B2581="","",IF($E$7="Weekly",Start_Date+7*(ROWS($1:2569)-1),EDATE(Start_Date,VLOOKUP(IF(ASTemp!$E$7="","Monthly",ASTemp!$E$7),Parameters!$B$3:$D$6,3,0)*(ROWS($1:2569)-1))))</f>
        <v/>
      </c>
      <c r="D2581" s="68" t="str">
        <f t="shared" si="2"/>
        <v/>
      </c>
      <c r="E2581" s="65" t="str">
        <f>IF($B2581="","",VLOOKUP(MONTH(C2581),Parameters!$F$2:$G$13,2,0))</f>
        <v/>
      </c>
      <c r="F2581" s="69" t="str">
        <f>IF($B2581="","",PV-N(J2580))</f>
        <v/>
      </c>
      <c r="G2581" s="69" t="str">
        <f>IF($B2581="","",PMT(Rate,Nper,-PV,,Type))</f>
        <v/>
      </c>
      <c r="H2581" s="69" t="str">
        <f>IF($B2581="","",PPMT(Rate,ROWS($1:2569),Nper,-PV,,Type))</f>
        <v/>
      </c>
      <c r="I2581" s="69" t="str">
        <f>IF($B2581="","",IPMT(Rate,ROWS($1:2569),Nper,-PV,,Type))</f>
        <v/>
      </c>
      <c r="J2581" s="73" t="str">
        <f t="shared" ref="J2581:K2581" si="2571">IF($B2581="","",N(J2580)+N(H2581))</f>
        <v/>
      </c>
      <c r="K2581" s="74" t="str">
        <f t="shared" si="2571"/>
        <v/>
      </c>
      <c r="L2581" s="69" t="str">
        <f>IF($B2581="","",PV-J2581)</f>
        <v/>
      </c>
      <c r="M2581" s="71" t="str">
        <f>IF($B2581="","",J2581/PV)</f>
        <v/>
      </c>
      <c r="N2581" s="72" t="str">
        <f t="shared" si="4"/>
        <v/>
      </c>
    </row>
    <row r="2582" ht="14.25" customHeight="1">
      <c r="B2582" s="66" t="str">
        <f>IF(ROWS($1:2570)&lt;=Nper,ROWS($1:2570),"")</f>
        <v/>
      </c>
      <c r="C2582" s="67" t="str">
        <f>IF($B2582="","",IF($E$7="Weekly",Start_Date+7*(ROWS($1:2570)-1),EDATE(Start_Date,VLOOKUP(IF(ASTemp!$E$7="","Monthly",ASTemp!$E$7),Parameters!$B$3:$D$6,3,0)*(ROWS($1:2570)-1))))</f>
        <v/>
      </c>
      <c r="D2582" s="68" t="str">
        <f t="shared" si="2"/>
        <v/>
      </c>
      <c r="E2582" s="65" t="str">
        <f>IF($B2582="","",VLOOKUP(MONTH(C2582),Parameters!$F$2:$G$13,2,0))</f>
        <v/>
      </c>
      <c r="F2582" s="69" t="str">
        <f>IF($B2582="","",PV-N(J2581))</f>
        <v/>
      </c>
      <c r="G2582" s="69" t="str">
        <f>IF($B2582="","",PMT(Rate,Nper,-PV,,Type))</f>
        <v/>
      </c>
      <c r="H2582" s="69" t="str">
        <f>IF($B2582="","",PPMT(Rate,ROWS($1:2570),Nper,-PV,,Type))</f>
        <v/>
      </c>
      <c r="I2582" s="69" t="str">
        <f>IF($B2582="","",IPMT(Rate,ROWS($1:2570),Nper,-PV,,Type))</f>
        <v/>
      </c>
      <c r="J2582" s="73" t="str">
        <f t="shared" ref="J2582:K2582" si="2572">IF($B2582="","",N(J2581)+N(H2582))</f>
        <v/>
      </c>
      <c r="K2582" s="74" t="str">
        <f t="shared" si="2572"/>
        <v/>
      </c>
      <c r="L2582" s="69" t="str">
        <f>IF($B2582="","",PV-J2582)</f>
        <v/>
      </c>
      <c r="M2582" s="71" t="str">
        <f>IF($B2582="","",J2582/PV)</f>
        <v/>
      </c>
      <c r="N2582" s="72" t="str">
        <f t="shared" si="4"/>
        <v/>
      </c>
    </row>
    <row r="2583" ht="14.25" customHeight="1">
      <c r="B2583" s="66" t="str">
        <f>IF(ROWS($1:2571)&lt;=Nper,ROWS($1:2571),"")</f>
        <v/>
      </c>
      <c r="C2583" s="67" t="str">
        <f>IF($B2583="","",IF($E$7="Weekly",Start_Date+7*(ROWS($1:2571)-1),EDATE(Start_Date,VLOOKUP(IF(ASTemp!$E$7="","Monthly",ASTemp!$E$7),Parameters!$B$3:$D$6,3,0)*(ROWS($1:2571)-1))))</f>
        <v/>
      </c>
      <c r="D2583" s="68" t="str">
        <f t="shared" si="2"/>
        <v/>
      </c>
      <c r="E2583" s="65" t="str">
        <f>IF($B2583="","",VLOOKUP(MONTH(C2583),Parameters!$F$2:$G$13,2,0))</f>
        <v/>
      </c>
      <c r="F2583" s="69" t="str">
        <f>IF($B2583="","",PV-N(J2582))</f>
        <v/>
      </c>
      <c r="G2583" s="69" t="str">
        <f>IF($B2583="","",PMT(Rate,Nper,-PV,,Type))</f>
        <v/>
      </c>
      <c r="H2583" s="69" t="str">
        <f>IF($B2583="","",PPMT(Rate,ROWS($1:2571),Nper,-PV,,Type))</f>
        <v/>
      </c>
      <c r="I2583" s="69" t="str">
        <f>IF($B2583="","",IPMT(Rate,ROWS($1:2571),Nper,-PV,,Type))</f>
        <v/>
      </c>
      <c r="J2583" s="73" t="str">
        <f t="shared" ref="J2583:K2583" si="2573">IF($B2583="","",N(J2582)+N(H2583))</f>
        <v/>
      </c>
      <c r="K2583" s="74" t="str">
        <f t="shared" si="2573"/>
        <v/>
      </c>
      <c r="L2583" s="69" t="str">
        <f>IF($B2583="","",PV-J2583)</f>
        <v/>
      </c>
      <c r="M2583" s="71" t="str">
        <f>IF($B2583="","",J2583/PV)</f>
        <v/>
      </c>
      <c r="N2583" s="72" t="str">
        <f t="shared" si="4"/>
        <v/>
      </c>
    </row>
    <row r="2584" ht="14.25" customHeight="1">
      <c r="B2584" s="66" t="str">
        <f>IF(ROWS($1:2572)&lt;=Nper,ROWS($1:2572),"")</f>
        <v/>
      </c>
      <c r="C2584" s="67" t="str">
        <f>IF($B2584="","",IF($E$7="Weekly",Start_Date+7*(ROWS($1:2572)-1),EDATE(Start_Date,VLOOKUP(IF(ASTemp!$E$7="","Monthly",ASTemp!$E$7),Parameters!$B$3:$D$6,3,0)*(ROWS($1:2572)-1))))</f>
        <v/>
      </c>
      <c r="D2584" s="68" t="str">
        <f t="shared" si="2"/>
        <v/>
      </c>
      <c r="E2584" s="65" t="str">
        <f>IF($B2584="","",VLOOKUP(MONTH(C2584),Parameters!$F$2:$G$13,2,0))</f>
        <v/>
      </c>
      <c r="F2584" s="69" t="str">
        <f>IF($B2584="","",PV-N(J2583))</f>
        <v/>
      </c>
      <c r="G2584" s="69" t="str">
        <f>IF($B2584="","",PMT(Rate,Nper,-PV,,Type))</f>
        <v/>
      </c>
      <c r="H2584" s="69" t="str">
        <f>IF($B2584="","",PPMT(Rate,ROWS($1:2572),Nper,-PV,,Type))</f>
        <v/>
      </c>
      <c r="I2584" s="69" t="str">
        <f>IF($B2584="","",IPMT(Rate,ROWS($1:2572),Nper,-PV,,Type))</f>
        <v/>
      </c>
      <c r="J2584" s="73" t="str">
        <f t="shared" ref="J2584:K2584" si="2574">IF($B2584="","",N(J2583)+N(H2584))</f>
        <v/>
      </c>
      <c r="K2584" s="74" t="str">
        <f t="shared" si="2574"/>
        <v/>
      </c>
      <c r="L2584" s="69" t="str">
        <f>IF($B2584="","",PV-J2584)</f>
        <v/>
      </c>
      <c r="M2584" s="71" t="str">
        <f>IF($B2584="","",J2584/PV)</f>
        <v/>
      </c>
      <c r="N2584" s="72" t="str">
        <f t="shared" si="4"/>
        <v/>
      </c>
    </row>
    <row r="2585" ht="14.25" customHeight="1">
      <c r="B2585" s="66" t="str">
        <f>IF(ROWS($1:2573)&lt;=Nper,ROWS($1:2573),"")</f>
        <v/>
      </c>
      <c r="C2585" s="67" t="str">
        <f>IF($B2585="","",IF($E$7="Weekly",Start_Date+7*(ROWS($1:2573)-1),EDATE(Start_Date,VLOOKUP(IF(ASTemp!$E$7="","Monthly",ASTemp!$E$7),Parameters!$B$3:$D$6,3,0)*(ROWS($1:2573)-1))))</f>
        <v/>
      </c>
      <c r="D2585" s="68" t="str">
        <f t="shared" si="2"/>
        <v/>
      </c>
      <c r="E2585" s="65" t="str">
        <f>IF($B2585="","",VLOOKUP(MONTH(C2585),Parameters!$F$2:$G$13,2,0))</f>
        <v/>
      </c>
      <c r="F2585" s="69" t="str">
        <f>IF($B2585="","",PV-N(J2584))</f>
        <v/>
      </c>
      <c r="G2585" s="69" t="str">
        <f>IF($B2585="","",PMT(Rate,Nper,-PV,,Type))</f>
        <v/>
      </c>
      <c r="H2585" s="69" t="str">
        <f>IF($B2585="","",PPMT(Rate,ROWS($1:2573),Nper,-PV,,Type))</f>
        <v/>
      </c>
      <c r="I2585" s="69" t="str">
        <f>IF($B2585="","",IPMT(Rate,ROWS($1:2573),Nper,-PV,,Type))</f>
        <v/>
      </c>
      <c r="J2585" s="73" t="str">
        <f t="shared" ref="J2585:K2585" si="2575">IF($B2585="","",N(J2584)+N(H2585))</f>
        <v/>
      </c>
      <c r="K2585" s="74" t="str">
        <f t="shared" si="2575"/>
        <v/>
      </c>
      <c r="L2585" s="69" t="str">
        <f>IF($B2585="","",PV-J2585)</f>
        <v/>
      </c>
      <c r="M2585" s="71" t="str">
        <f>IF($B2585="","",J2585/PV)</f>
        <v/>
      </c>
      <c r="N2585" s="72" t="str">
        <f t="shared" si="4"/>
        <v/>
      </c>
    </row>
    <row r="2586" ht="14.25" customHeight="1">
      <c r="B2586" s="66" t="str">
        <f>IF(ROWS($1:2574)&lt;=Nper,ROWS($1:2574),"")</f>
        <v/>
      </c>
      <c r="C2586" s="67" t="str">
        <f>IF($B2586="","",IF($E$7="Weekly",Start_Date+7*(ROWS($1:2574)-1),EDATE(Start_Date,VLOOKUP(IF(ASTemp!$E$7="","Monthly",ASTemp!$E$7),Parameters!$B$3:$D$6,3,0)*(ROWS($1:2574)-1))))</f>
        <v/>
      </c>
      <c r="D2586" s="68" t="str">
        <f t="shared" si="2"/>
        <v/>
      </c>
      <c r="E2586" s="65" t="str">
        <f>IF($B2586="","",VLOOKUP(MONTH(C2586),Parameters!$F$2:$G$13,2,0))</f>
        <v/>
      </c>
      <c r="F2586" s="69" t="str">
        <f>IF($B2586="","",PV-N(J2585))</f>
        <v/>
      </c>
      <c r="G2586" s="69" t="str">
        <f>IF($B2586="","",PMT(Rate,Nper,-PV,,Type))</f>
        <v/>
      </c>
      <c r="H2586" s="69" t="str">
        <f>IF($B2586="","",PPMT(Rate,ROWS($1:2574),Nper,-PV,,Type))</f>
        <v/>
      </c>
      <c r="I2586" s="69" t="str">
        <f>IF($B2586="","",IPMT(Rate,ROWS($1:2574),Nper,-PV,,Type))</f>
        <v/>
      </c>
      <c r="J2586" s="73" t="str">
        <f t="shared" ref="J2586:K2586" si="2576">IF($B2586="","",N(J2585)+N(H2586))</f>
        <v/>
      </c>
      <c r="K2586" s="74" t="str">
        <f t="shared" si="2576"/>
        <v/>
      </c>
      <c r="L2586" s="69" t="str">
        <f>IF($B2586="","",PV-J2586)</f>
        <v/>
      </c>
      <c r="M2586" s="71" t="str">
        <f>IF($B2586="","",J2586/PV)</f>
        <v/>
      </c>
      <c r="N2586" s="72" t="str">
        <f t="shared" si="4"/>
        <v/>
      </c>
    </row>
    <row r="2587" ht="14.25" customHeight="1">
      <c r="B2587" s="66" t="str">
        <f>IF(ROWS($1:2575)&lt;=Nper,ROWS($1:2575),"")</f>
        <v/>
      </c>
      <c r="C2587" s="67" t="str">
        <f>IF($B2587="","",IF($E$7="Weekly",Start_Date+7*(ROWS($1:2575)-1),EDATE(Start_Date,VLOOKUP(IF(ASTemp!$E$7="","Monthly",ASTemp!$E$7),Parameters!$B$3:$D$6,3,0)*(ROWS($1:2575)-1))))</f>
        <v/>
      </c>
      <c r="D2587" s="68" t="str">
        <f t="shared" si="2"/>
        <v/>
      </c>
      <c r="E2587" s="65" t="str">
        <f>IF($B2587="","",VLOOKUP(MONTH(C2587),Parameters!$F$2:$G$13,2,0))</f>
        <v/>
      </c>
      <c r="F2587" s="69" t="str">
        <f>IF($B2587="","",PV-N(J2586))</f>
        <v/>
      </c>
      <c r="G2587" s="69" t="str">
        <f>IF($B2587="","",PMT(Rate,Nper,-PV,,Type))</f>
        <v/>
      </c>
      <c r="H2587" s="69" t="str">
        <f>IF($B2587="","",PPMT(Rate,ROWS($1:2575),Nper,-PV,,Type))</f>
        <v/>
      </c>
      <c r="I2587" s="69" t="str">
        <f>IF($B2587="","",IPMT(Rate,ROWS($1:2575),Nper,-PV,,Type))</f>
        <v/>
      </c>
      <c r="J2587" s="73" t="str">
        <f t="shared" ref="J2587:K2587" si="2577">IF($B2587="","",N(J2586)+N(H2587))</f>
        <v/>
      </c>
      <c r="K2587" s="74" t="str">
        <f t="shared" si="2577"/>
        <v/>
      </c>
      <c r="L2587" s="69" t="str">
        <f>IF($B2587="","",PV-J2587)</f>
        <v/>
      </c>
      <c r="M2587" s="71" t="str">
        <f>IF($B2587="","",J2587/PV)</f>
        <v/>
      </c>
      <c r="N2587" s="72" t="str">
        <f t="shared" si="4"/>
        <v/>
      </c>
    </row>
    <row r="2588" ht="14.25" customHeight="1">
      <c r="B2588" s="66" t="str">
        <f>IF(ROWS($1:2576)&lt;=Nper,ROWS($1:2576),"")</f>
        <v/>
      </c>
      <c r="C2588" s="67" t="str">
        <f>IF($B2588="","",IF($E$7="Weekly",Start_Date+7*(ROWS($1:2576)-1),EDATE(Start_Date,VLOOKUP(IF(ASTemp!$E$7="","Monthly",ASTemp!$E$7),Parameters!$B$3:$D$6,3,0)*(ROWS($1:2576)-1))))</f>
        <v/>
      </c>
      <c r="D2588" s="68" t="str">
        <f t="shared" si="2"/>
        <v/>
      </c>
      <c r="E2588" s="65" t="str">
        <f>IF($B2588="","",VLOOKUP(MONTH(C2588),Parameters!$F$2:$G$13,2,0))</f>
        <v/>
      </c>
      <c r="F2588" s="69" t="str">
        <f>IF($B2588="","",PV-N(J2587))</f>
        <v/>
      </c>
      <c r="G2588" s="69" t="str">
        <f>IF($B2588="","",PMT(Rate,Nper,-PV,,Type))</f>
        <v/>
      </c>
      <c r="H2588" s="69" t="str">
        <f>IF($B2588="","",PPMT(Rate,ROWS($1:2576),Nper,-PV,,Type))</f>
        <v/>
      </c>
      <c r="I2588" s="69" t="str">
        <f>IF($B2588="","",IPMT(Rate,ROWS($1:2576),Nper,-PV,,Type))</f>
        <v/>
      </c>
      <c r="J2588" s="73" t="str">
        <f t="shared" ref="J2588:K2588" si="2578">IF($B2588="","",N(J2587)+N(H2588))</f>
        <v/>
      </c>
      <c r="K2588" s="74" t="str">
        <f t="shared" si="2578"/>
        <v/>
      </c>
      <c r="L2588" s="69" t="str">
        <f>IF($B2588="","",PV-J2588)</f>
        <v/>
      </c>
      <c r="M2588" s="71" t="str">
        <f>IF($B2588="","",J2588/PV)</f>
        <v/>
      </c>
      <c r="N2588" s="72" t="str">
        <f t="shared" si="4"/>
        <v/>
      </c>
    </row>
    <row r="2589" ht="14.25" customHeight="1">
      <c r="B2589" s="66" t="str">
        <f>IF(ROWS($1:2577)&lt;=Nper,ROWS($1:2577),"")</f>
        <v/>
      </c>
      <c r="C2589" s="67" t="str">
        <f>IF($B2589="","",IF($E$7="Weekly",Start_Date+7*(ROWS($1:2577)-1),EDATE(Start_Date,VLOOKUP(IF(ASTemp!$E$7="","Monthly",ASTemp!$E$7),Parameters!$B$3:$D$6,3,0)*(ROWS($1:2577)-1))))</f>
        <v/>
      </c>
      <c r="D2589" s="68" t="str">
        <f t="shared" si="2"/>
        <v/>
      </c>
      <c r="E2589" s="65" t="str">
        <f>IF($B2589="","",VLOOKUP(MONTH(C2589),Parameters!$F$2:$G$13,2,0))</f>
        <v/>
      </c>
      <c r="F2589" s="69" t="str">
        <f>IF($B2589="","",PV-N(J2588))</f>
        <v/>
      </c>
      <c r="G2589" s="69" t="str">
        <f>IF($B2589="","",PMT(Rate,Nper,-PV,,Type))</f>
        <v/>
      </c>
      <c r="H2589" s="69" t="str">
        <f>IF($B2589="","",PPMT(Rate,ROWS($1:2577),Nper,-PV,,Type))</f>
        <v/>
      </c>
      <c r="I2589" s="69" t="str">
        <f>IF($B2589="","",IPMT(Rate,ROWS($1:2577),Nper,-PV,,Type))</f>
        <v/>
      </c>
      <c r="J2589" s="73" t="str">
        <f t="shared" ref="J2589:K2589" si="2579">IF($B2589="","",N(J2588)+N(H2589))</f>
        <v/>
      </c>
      <c r="K2589" s="74" t="str">
        <f t="shared" si="2579"/>
        <v/>
      </c>
      <c r="L2589" s="69" t="str">
        <f>IF($B2589="","",PV-J2589)</f>
        <v/>
      </c>
      <c r="M2589" s="71" t="str">
        <f>IF($B2589="","",J2589/PV)</f>
        <v/>
      </c>
      <c r="N2589" s="72" t="str">
        <f t="shared" si="4"/>
        <v/>
      </c>
    </row>
    <row r="2590" ht="14.25" customHeight="1">
      <c r="B2590" s="66" t="str">
        <f>IF(ROWS($1:2578)&lt;=Nper,ROWS($1:2578),"")</f>
        <v/>
      </c>
      <c r="C2590" s="67" t="str">
        <f>IF($B2590="","",IF($E$7="Weekly",Start_Date+7*(ROWS($1:2578)-1),EDATE(Start_Date,VLOOKUP(IF(ASTemp!$E$7="","Monthly",ASTemp!$E$7),Parameters!$B$3:$D$6,3,0)*(ROWS($1:2578)-1))))</f>
        <v/>
      </c>
      <c r="D2590" s="68" t="str">
        <f t="shared" si="2"/>
        <v/>
      </c>
      <c r="E2590" s="65" t="str">
        <f>IF($B2590="","",VLOOKUP(MONTH(C2590),Parameters!$F$2:$G$13,2,0))</f>
        <v/>
      </c>
      <c r="F2590" s="69" t="str">
        <f>IF($B2590="","",PV-N(J2589))</f>
        <v/>
      </c>
      <c r="G2590" s="69" t="str">
        <f>IF($B2590="","",PMT(Rate,Nper,-PV,,Type))</f>
        <v/>
      </c>
      <c r="H2590" s="69" t="str">
        <f>IF($B2590="","",PPMT(Rate,ROWS($1:2578),Nper,-PV,,Type))</f>
        <v/>
      </c>
      <c r="I2590" s="69" t="str">
        <f>IF($B2590="","",IPMT(Rate,ROWS($1:2578),Nper,-PV,,Type))</f>
        <v/>
      </c>
      <c r="J2590" s="73" t="str">
        <f t="shared" ref="J2590:K2590" si="2580">IF($B2590="","",N(J2589)+N(H2590))</f>
        <v/>
      </c>
      <c r="K2590" s="74" t="str">
        <f t="shared" si="2580"/>
        <v/>
      </c>
      <c r="L2590" s="69" t="str">
        <f>IF($B2590="","",PV-J2590)</f>
        <v/>
      </c>
      <c r="M2590" s="71" t="str">
        <f>IF($B2590="","",J2590/PV)</f>
        <v/>
      </c>
      <c r="N2590" s="72" t="str">
        <f t="shared" si="4"/>
        <v/>
      </c>
    </row>
    <row r="2591" ht="14.25" customHeight="1">
      <c r="B2591" s="66" t="str">
        <f>IF(ROWS($1:2579)&lt;=Nper,ROWS($1:2579),"")</f>
        <v/>
      </c>
      <c r="C2591" s="67" t="str">
        <f>IF($B2591="","",IF($E$7="Weekly",Start_Date+7*(ROWS($1:2579)-1),EDATE(Start_Date,VLOOKUP(IF(ASTemp!$E$7="","Monthly",ASTemp!$E$7),Parameters!$B$3:$D$6,3,0)*(ROWS($1:2579)-1))))</f>
        <v/>
      </c>
      <c r="D2591" s="68" t="str">
        <f t="shared" si="2"/>
        <v/>
      </c>
      <c r="E2591" s="65" t="str">
        <f>IF($B2591="","",VLOOKUP(MONTH(C2591),Parameters!$F$2:$G$13,2,0))</f>
        <v/>
      </c>
      <c r="F2591" s="69" t="str">
        <f>IF($B2591="","",PV-N(J2590))</f>
        <v/>
      </c>
      <c r="G2591" s="69" t="str">
        <f>IF($B2591="","",PMT(Rate,Nper,-PV,,Type))</f>
        <v/>
      </c>
      <c r="H2591" s="69" t="str">
        <f>IF($B2591="","",PPMT(Rate,ROWS($1:2579),Nper,-PV,,Type))</f>
        <v/>
      </c>
      <c r="I2591" s="69" t="str">
        <f>IF($B2591="","",IPMT(Rate,ROWS($1:2579),Nper,-PV,,Type))</f>
        <v/>
      </c>
      <c r="J2591" s="73" t="str">
        <f t="shared" ref="J2591:K2591" si="2581">IF($B2591="","",N(J2590)+N(H2591))</f>
        <v/>
      </c>
      <c r="K2591" s="74" t="str">
        <f t="shared" si="2581"/>
        <v/>
      </c>
      <c r="L2591" s="69" t="str">
        <f>IF($B2591="","",PV-J2591)</f>
        <v/>
      </c>
      <c r="M2591" s="71" t="str">
        <f>IF($B2591="","",J2591/PV)</f>
        <v/>
      </c>
      <c r="N2591" s="72" t="str">
        <f t="shared" si="4"/>
        <v/>
      </c>
    </row>
    <row r="2592" ht="14.25" customHeight="1">
      <c r="B2592" s="66" t="str">
        <f>IF(ROWS($1:2580)&lt;=Nper,ROWS($1:2580),"")</f>
        <v/>
      </c>
      <c r="C2592" s="67" t="str">
        <f>IF($B2592="","",IF($E$7="Weekly",Start_Date+7*(ROWS($1:2580)-1),EDATE(Start_Date,VLOOKUP(IF(ASTemp!$E$7="","Monthly",ASTemp!$E$7),Parameters!$B$3:$D$6,3,0)*(ROWS($1:2580)-1))))</f>
        <v/>
      </c>
      <c r="D2592" s="68" t="str">
        <f t="shared" si="2"/>
        <v/>
      </c>
      <c r="E2592" s="65" t="str">
        <f>IF($B2592="","",VLOOKUP(MONTH(C2592),Parameters!$F$2:$G$13,2,0))</f>
        <v/>
      </c>
      <c r="F2592" s="69" t="str">
        <f>IF($B2592="","",PV-N(J2591))</f>
        <v/>
      </c>
      <c r="G2592" s="69" t="str">
        <f>IF($B2592="","",PMT(Rate,Nper,-PV,,Type))</f>
        <v/>
      </c>
      <c r="H2592" s="69" t="str">
        <f>IF($B2592="","",PPMT(Rate,ROWS($1:2580),Nper,-PV,,Type))</f>
        <v/>
      </c>
      <c r="I2592" s="69" t="str">
        <f>IF($B2592="","",IPMT(Rate,ROWS($1:2580),Nper,-PV,,Type))</f>
        <v/>
      </c>
      <c r="J2592" s="73" t="str">
        <f t="shared" ref="J2592:K2592" si="2582">IF($B2592="","",N(J2591)+N(H2592))</f>
        <v/>
      </c>
      <c r="K2592" s="74" t="str">
        <f t="shared" si="2582"/>
        <v/>
      </c>
      <c r="L2592" s="69" t="str">
        <f>IF($B2592="","",PV-J2592)</f>
        <v/>
      </c>
      <c r="M2592" s="71" t="str">
        <f>IF($B2592="","",J2592/PV)</f>
        <v/>
      </c>
      <c r="N2592" s="72" t="str">
        <f t="shared" si="4"/>
        <v/>
      </c>
    </row>
    <row r="2593" ht="14.25" customHeight="1">
      <c r="B2593" s="66" t="str">
        <f>IF(ROWS($1:2581)&lt;=Nper,ROWS($1:2581),"")</f>
        <v/>
      </c>
      <c r="C2593" s="67" t="str">
        <f>IF($B2593="","",IF($E$7="Weekly",Start_Date+7*(ROWS($1:2581)-1),EDATE(Start_Date,VLOOKUP(IF(ASTemp!$E$7="","Monthly",ASTemp!$E$7),Parameters!$B$3:$D$6,3,0)*(ROWS($1:2581)-1))))</f>
        <v/>
      </c>
      <c r="D2593" s="68" t="str">
        <f t="shared" si="2"/>
        <v/>
      </c>
      <c r="E2593" s="65" t="str">
        <f>IF($B2593="","",VLOOKUP(MONTH(C2593),Parameters!$F$2:$G$13,2,0))</f>
        <v/>
      </c>
      <c r="F2593" s="69" t="str">
        <f>IF($B2593="","",PV-N(J2592))</f>
        <v/>
      </c>
      <c r="G2593" s="69" t="str">
        <f>IF($B2593="","",PMT(Rate,Nper,-PV,,Type))</f>
        <v/>
      </c>
      <c r="H2593" s="69" t="str">
        <f>IF($B2593="","",PPMT(Rate,ROWS($1:2581),Nper,-PV,,Type))</f>
        <v/>
      </c>
      <c r="I2593" s="69" t="str">
        <f>IF($B2593="","",IPMT(Rate,ROWS($1:2581),Nper,-PV,,Type))</f>
        <v/>
      </c>
      <c r="J2593" s="73" t="str">
        <f t="shared" ref="J2593:K2593" si="2583">IF($B2593="","",N(J2592)+N(H2593))</f>
        <v/>
      </c>
      <c r="K2593" s="74" t="str">
        <f t="shared" si="2583"/>
        <v/>
      </c>
      <c r="L2593" s="69" t="str">
        <f>IF($B2593="","",PV-J2593)</f>
        <v/>
      </c>
      <c r="M2593" s="71" t="str">
        <f>IF($B2593="","",J2593/PV)</f>
        <v/>
      </c>
      <c r="N2593" s="72" t="str">
        <f t="shared" si="4"/>
        <v/>
      </c>
    </row>
    <row r="2594" ht="14.25" customHeight="1">
      <c r="B2594" s="66" t="str">
        <f>IF(ROWS($1:2582)&lt;=Nper,ROWS($1:2582),"")</f>
        <v/>
      </c>
      <c r="C2594" s="67" t="str">
        <f>IF($B2594="","",IF($E$7="Weekly",Start_Date+7*(ROWS($1:2582)-1),EDATE(Start_Date,VLOOKUP(IF(ASTemp!$E$7="","Monthly",ASTemp!$E$7),Parameters!$B$3:$D$6,3,0)*(ROWS($1:2582)-1))))</f>
        <v/>
      </c>
      <c r="D2594" s="68" t="str">
        <f t="shared" si="2"/>
        <v/>
      </c>
      <c r="E2594" s="65" t="str">
        <f>IF($B2594="","",VLOOKUP(MONTH(C2594),Parameters!$F$2:$G$13,2,0))</f>
        <v/>
      </c>
      <c r="F2594" s="69" t="str">
        <f>IF($B2594="","",PV-N(J2593))</f>
        <v/>
      </c>
      <c r="G2594" s="69" t="str">
        <f>IF($B2594="","",PMT(Rate,Nper,-PV,,Type))</f>
        <v/>
      </c>
      <c r="H2594" s="69" t="str">
        <f>IF($B2594="","",PPMT(Rate,ROWS($1:2582),Nper,-PV,,Type))</f>
        <v/>
      </c>
      <c r="I2594" s="69" t="str">
        <f>IF($B2594="","",IPMT(Rate,ROWS($1:2582),Nper,-PV,,Type))</f>
        <v/>
      </c>
      <c r="J2594" s="73" t="str">
        <f t="shared" ref="J2594:K2594" si="2584">IF($B2594="","",N(J2593)+N(H2594))</f>
        <v/>
      </c>
      <c r="K2594" s="74" t="str">
        <f t="shared" si="2584"/>
        <v/>
      </c>
      <c r="L2594" s="69" t="str">
        <f>IF($B2594="","",PV-J2594)</f>
        <v/>
      </c>
      <c r="M2594" s="71" t="str">
        <f>IF($B2594="","",J2594/PV)</f>
        <v/>
      </c>
      <c r="N2594" s="72" t="str">
        <f t="shared" si="4"/>
        <v/>
      </c>
    </row>
    <row r="2595" ht="14.25" customHeight="1">
      <c r="B2595" s="66" t="str">
        <f>IF(ROWS($1:2583)&lt;=Nper,ROWS($1:2583),"")</f>
        <v/>
      </c>
      <c r="C2595" s="67" t="str">
        <f>IF($B2595="","",IF($E$7="Weekly",Start_Date+7*(ROWS($1:2583)-1),EDATE(Start_Date,VLOOKUP(IF(ASTemp!$E$7="","Monthly",ASTemp!$E$7),Parameters!$B$3:$D$6,3,0)*(ROWS($1:2583)-1))))</f>
        <v/>
      </c>
      <c r="D2595" s="68" t="str">
        <f t="shared" si="2"/>
        <v/>
      </c>
      <c r="E2595" s="65" t="str">
        <f>IF($B2595="","",VLOOKUP(MONTH(C2595),Parameters!$F$2:$G$13,2,0))</f>
        <v/>
      </c>
      <c r="F2595" s="69" t="str">
        <f>IF($B2595="","",PV-N(J2594))</f>
        <v/>
      </c>
      <c r="G2595" s="69" t="str">
        <f>IF($B2595="","",PMT(Rate,Nper,-PV,,Type))</f>
        <v/>
      </c>
      <c r="H2595" s="69" t="str">
        <f>IF($B2595="","",PPMT(Rate,ROWS($1:2583),Nper,-PV,,Type))</f>
        <v/>
      </c>
      <c r="I2595" s="69" t="str">
        <f>IF($B2595="","",IPMT(Rate,ROWS($1:2583),Nper,-PV,,Type))</f>
        <v/>
      </c>
      <c r="J2595" s="73" t="str">
        <f t="shared" ref="J2595:K2595" si="2585">IF($B2595="","",N(J2594)+N(H2595))</f>
        <v/>
      </c>
      <c r="K2595" s="74" t="str">
        <f t="shared" si="2585"/>
        <v/>
      </c>
      <c r="L2595" s="69" t="str">
        <f>IF($B2595="","",PV-J2595)</f>
        <v/>
      </c>
      <c r="M2595" s="71" t="str">
        <f>IF($B2595="","",J2595/PV)</f>
        <v/>
      </c>
      <c r="N2595" s="72" t="str">
        <f t="shared" si="4"/>
        <v/>
      </c>
    </row>
    <row r="2596" ht="14.25" customHeight="1">
      <c r="B2596" s="66" t="str">
        <f>IF(ROWS($1:2584)&lt;=Nper,ROWS($1:2584),"")</f>
        <v/>
      </c>
      <c r="C2596" s="67" t="str">
        <f>IF($B2596="","",IF($E$7="Weekly",Start_Date+7*(ROWS($1:2584)-1),EDATE(Start_Date,VLOOKUP(IF(ASTemp!$E$7="","Monthly",ASTemp!$E$7),Parameters!$B$3:$D$6,3,0)*(ROWS($1:2584)-1))))</f>
        <v/>
      </c>
      <c r="D2596" s="68" t="str">
        <f t="shared" si="2"/>
        <v/>
      </c>
      <c r="E2596" s="65" t="str">
        <f>IF($B2596="","",VLOOKUP(MONTH(C2596),Parameters!$F$2:$G$13,2,0))</f>
        <v/>
      </c>
      <c r="F2596" s="69" t="str">
        <f>IF($B2596="","",PV-N(J2595))</f>
        <v/>
      </c>
      <c r="G2596" s="69" t="str">
        <f>IF($B2596="","",PMT(Rate,Nper,-PV,,Type))</f>
        <v/>
      </c>
      <c r="H2596" s="69" t="str">
        <f>IF($B2596="","",PPMT(Rate,ROWS($1:2584),Nper,-PV,,Type))</f>
        <v/>
      </c>
      <c r="I2596" s="69" t="str">
        <f>IF($B2596="","",IPMT(Rate,ROWS($1:2584),Nper,-PV,,Type))</f>
        <v/>
      </c>
      <c r="J2596" s="73" t="str">
        <f t="shared" ref="J2596:K2596" si="2586">IF($B2596="","",N(J2595)+N(H2596))</f>
        <v/>
      </c>
      <c r="K2596" s="74" t="str">
        <f t="shared" si="2586"/>
        <v/>
      </c>
      <c r="L2596" s="69" t="str">
        <f>IF($B2596="","",PV-J2596)</f>
        <v/>
      </c>
      <c r="M2596" s="71" t="str">
        <f>IF($B2596="","",J2596/PV)</f>
        <v/>
      </c>
      <c r="N2596" s="72" t="str">
        <f t="shared" si="4"/>
        <v/>
      </c>
    </row>
    <row r="2597" ht="14.25" customHeight="1">
      <c r="B2597" s="66" t="str">
        <f>IF(ROWS($1:2585)&lt;=Nper,ROWS($1:2585),"")</f>
        <v/>
      </c>
      <c r="C2597" s="67" t="str">
        <f>IF($B2597="","",IF($E$7="Weekly",Start_Date+7*(ROWS($1:2585)-1),EDATE(Start_Date,VLOOKUP(IF(ASTemp!$E$7="","Monthly",ASTemp!$E$7),Parameters!$B$3:$D$6,3,0)*(ROWS($1:2585)-1))))</f>
        <v/>
      </c>
      <c r="D2597" s="68" t="str">
        <f t="shared" si="2"/>
        <v/>
      </c>
      <c r="E2597" s="65" t="str">
        <f>IF($B2597="","",VLOOKUP(MONTH(C2597),Parameters!$F$2:$G$13,2,0))</f>
        <v/>
      </c>
      <c r="F2597" s="69" t="str">
        <f>IF($B2597="","",PV-N(J2596))</f>
        <v/>
      </c>
      <c r="G2597" s="69" t="str">
        <f>IF($B2597="","",PMT(Rate,Nper,-PV,,Type))</f>
        <v/>
      </c>
      <c r="H2597" s="69" t="str">
        <f>IF($B2597="","",PPMT(Rate,ROWS($1:2585),Nper,-PV,,Type))</f>
        <v/>
      </c>
      <c r="I2597" s="69" t="str">
        <f>IF($B2597="","",IPMT(Rate,ROWS($1:2585),Nper,-PV,,Type))</f>
        <v/>
      </c>
      <c r="J2597" s="73" t="str">
        <f t="shared" ref="J2597:K2597" si="2587">IF($B2597="","",N(J2596)+N(H2597))</f>
        <v/>
      </c>
      <c r="K2597" s="74" t="str">
        <f t="shared" si="2587"/>
        <v/>
      </c>
      <c r="L2597" s="69" t="str">
        <f>IF($B2597="","",PV-J2597)</f>
        <v/>
      </c>
      <c r="M2597" s="71" t="str">
        <f>IF($B2597="","",J2597/PV)</f>
        <v/>
      </c>
      <c r="N2597" s="72" t="str">
        <f t="shared" si="4"/>
        <v/>
      </c>
    </row>
    <row r="2598" ht="14.25" customHeight="1">
      <c r="B2598" s="66" t="str">
        <f>IF(ROWS($1:2586)&lt;=Nper,ROWS($1:2586),"")</f>
        <v/>
      </c>
      <c r="C2598" s="67" t="str">
        <f>IF($B2598="","",IF($E$7="Weekly",Start_Date+7*(ROWS($1:2586)-1),EDATE(Start_Date,VLOOKUP(IF(ASTemp!$E$7="","Monthly",ASTemp!$E$7),Parameters!$B$3:$D$6,3,0)*(ROWS($1:2586)-1))))</f>
        <v/>
      </c>
      <c r="D2598" s="68" t="str">
        <f t="shared" si="2"/>
        <v/>
      </c>
      <c r="E2598" s="65" t="str">
        <f>IF($B2598="","",VLOOKUP(MONTH(C2598),Parameters!$F$2:$G$13,2,0))</f>
        <v/>
      </c>
      <c r="F2598" s="69" t="str">
        <f>IF($B2598="","",PV-N(J2597))</f>
        <v/>
      </c>
      <c r="G2598" s="69" t="str">
        <f>IF($B2598="","",PMT(Rate,Nper,-PV,,Type))</f>
        <v/>
      </c>
      <c r="H2598" s="69" t="str">
        <f>IF($B2598="","",PPMT(Rate,ROWS($1:2586),Nper,-PV,,Type))</f>
        <v/>
      </c>
      <c r="I2598" s="69" t="str">
        <f>IF($B2598="","",IPMT(Rate,ROWS($1:2586),Nper,-PV,,Type))</f>
        <v/>
      </c>
      <c r="J2598" s="73" t="str">
        <f t="shared" ref="J2598:K2598" si="2588">IF($B2598="","",N(J2597)+N(H2598))</f>
        <v/>
      </c>
      <c r="K2598" s="74" t="str">
        <f t="shared" si="2588"/>
        <v/>
      </c>
      <c r="L2598" s="69" t="str">
        <f>IF($B2598="","",PV-J2598)</f>
        <v/>
      </c>
      <c r="M2598" s="71" t="str">
        <f>IF($B2598="","",J2598/PV)</f>
        <v/>
      </c>
      <c r="N2598" s="72" t="str">
        <f t="shared" si="4"/>
        <v/>
      </c>
    </row>
    <row r="2599" ht="14.25" customHeight="1">
      <c r="B2599" s="66" t="str">
        <f>IF(ROWS($1:2587)&lt;=Nper,ROWS($1:2587),"")</f>
        <v/>
      </c>
      <c r="C2599" s="67" t="str">
        <f>IF($B2599="","",IF($E$7="Weekly",Start_Date+7*(ROWS($1:2587)-1),EDATE(Start_Date,VLOOKUP(IF(ASTemp!$E$7="","Monthly",ASTemp!$E$7),Parameters!$B$3:$D$6,3,0)*(ROWS($1:2587)-1))))</f>
        <v/>
      </c>
      <c r="D2599" s="68" t="str">
        <f t="shared" si="2"/>
        <v/>
      </c>
      <c r="E2599" s="65" t="str">
        <f>IF($B2599="","",VLOOKUP(MONTH(C2599),Parameters!$F$2:$G$13,2,0))</f>
        <v/>
      </c>
      <c r="F2599" s="69" t="str">
        <f>IF($B2599="","",PV-N(J2598))</f>
        <v/>
      </c>
      <c r="G2599" s="69" t="str">
        <f>IF($B2599="","",PMT(Rate,Nper,-PV,,Type))</f>
        <v/>
      </c>
      <c r="H2599" s="69" t="str">
        <f>IF($B2599="","",PPMT(Rate,ROWS($1:2587),Nper,-PV,,Type))</f>
        <v/>
      </c>
      <c r="I2599" s="69" t="str">
        <f>IF($B2599="","",IPMT(Rate,ROWS($1:2587),Nper,-PV,,Type))</f>
        <v/>
      </c>
      <c r="J2599" s="73" t="str">
        <f t="shared" ref="J2599:K2599" si="2589">IF($B2599="","",N(J2598)+N(H2599))</f>
        <v/>
      </c>
      <c r="K2599" s="74" t="str">
        <f t="shared" si="2589"/>
        <v/>
      </c>
      <c r="L2599" s="69" t="str">
        <f>IF($B2599="","",PV-J2599)</f>
        <v/>
      </c>
      <c r="M2599" s="71" t="str">
        <f>IF($B2599="","",J2599/PV)</f>
        <v/>
      </c>
      <c r="N2599" s="72" t="str">
        <f t="shared" si="4"/>
        <v/>
      </c>
    </row>
    <row r="2600" ht="14.25" customHeight="1">
      <c r="B2600" s="66" t="str">
        <f>IF(ROWS($1:2588)&lt;=Nper,ROWS($1:2588),"")</f>
        <v/>
      </c>
      <c r="C2600" s="67" t="str">
        <f>IF($B2600="","",IF($E$7="Weekly",Start_Date+7*(ROWS($1:2588)-1),EDATE(Start_Date,VLOOKUP(IF(ASTemp!$E$7="","Monthly",ASTemp!$E$7),Parameters!$B$3:$D$6,3,0)*(ROWS($1:2588)-1))))</f>
        <v/>
      </c>
      <c r="D2600" s="68" t="str">
        <f t="shared" si="2"/>
        <v/>
      </c>
      <c r="E2600" s="65" t="str">
        <f>IF($B2600="","",VLOOKUP(MONTH(C2600),Parameters!$F$2:$G$13,2,0))</f>
        <v/>
      </c>
      <c r="F2600" s="69" t="str">
        <f>IF($B2600="","",PV-N(J2599))</f>
        <v/>
      </c>
      <c r="G2600" s="69" t="str">
        <f>IF($B2600="","",PMT(Rate,Nper,-PV,,Type))</f>
        <v/>
      </c>
      <c r="H2600" s="69" t="str">
        <f>IF($B2600="","",PPMT(Rate,ROWS($1:2588),Nper,-PV,,Type))</f>
        <v/>
      </c>
      <c r="I2600" s="69" t="str">
        <f>IF($B2600="","",IPMT(Rate,ROWS($1:2588),Nper,-PV,,Type))</f>
        <v/>
      </c>
      <c r="J2600" s="73" t="str">
        <f t="shared" ref="J2600:K2600" si="2590">IF($B2600="","",N(J2599)+N(H2600))</f>
        <v/>
      </c>
      <c r="K2600" s="74" t="str">
        <f t="shared" si="2590"/>
        <v/>
      </c>
      <c r="L2600" s="69" t="str">
        <f>IF($B2600="","",PV-J2600)</f>
        <v/>
      </c>
      <c r="M2600" s="71" t="str">
        <f>IF($B2600="","",J2600/PV)</f>
        <v/>
      </c>
      <c r="N2600" s="72" t="str">
        <f t="shared" si="4"/>
        <v/>
      </c>
    </row>
    <row r="2601" ht="14.25" customHeight="1">
      <c r="B2601" s="66" t="str">
        <f>IF(ROWS($1:2589)&lt;=Nper,ROWS($1:2589),"")</f>
        <v/>
      </c>
      <c r="C2601" s="67" t="str">
        <f>IF($B2601="","",IF($E$7="Weekly",Start_Date+7*(ROWS($1:2589)-1),EDATE(Start_Date,VLOOKUP(IF(ASTemp!$E$7="","Monthly",ASTemp!$E$7),Parameters!$B$3:$D$6,3,0)*(ROWS($1:2589)-1))))</f>
        <v/>
      </c>
      <c r="D2601" s="68" t="str">
        <f t="shared" si="2"/>
        <v/>
      </c>
      <c r="E2601" s="65" t="str">
        <f>IF($B2601="","",VLOOKUP(MONTH(C2601),Parameters!$F$2:$G$13,2,0))</f>
        <v/>
      </c>
      <c r="F2601" s="69" t="str">
        <f>IF($B2601="","",PV-N(J2600))</f>
        <v/>
      </c>
      <c r="G2601" s="69" t="str">
        <f>IF($B2601="","",PMT(Rate,Nper,-PV,,Type))</f>
        <v/>
      </c>
      <c r="H2601" s="69" t="str">
        <f>IF($B2601="","",PPMT(Rate,ROWS($1:2589),Nper,-PV,,Type))</f>
        <v/>
      </c>
      <c r="I2601" s="69" t="str">
        <f>IF($B2601="","",IPMT(Rate,ROWS($1:2589),Nper,-PV,,Type))</f>
        <v/>
      </c>
      <c r="J2601" s="73" t="str">
        <f t="shared" ref="J2601:K2601" si="2591">IF($B2601="","",N(J2600)+N(H2601))</f>
        <v/>
      </c>
      <c r="K2601" s="74" t="str">
        <f t="shared" si="2591"/>
        <v/>
      </c>
      <c r="L2601" s="69" t="str">
        <f>IF($B2601="","",PV-J2601)</f>
        <v/>
      </c>
      <c r="M2601" s="71" t="str">
        <f>IF($B2601="","",J2601/PV)</f>
        <v/>
      </c>
      <c r="N2601" s="72" t="str">
        <f t="shared" si="4"/>
        <v/>
      </c>
    </row>
    <row r="2602" ht="14.25" customHeight="1">
      <c r="B2602" s="66" t="str">
        <f>IF(ROWS($1:2590)&lt;=Nper,ROWS($1:2590),"")</f>
        <v/>
      </c>
      <c r="C2602" s="67" t="str">
        <f>IF($B2602="","",IF($E$7="Weekly",Start_Date+7*(ROWS($1:2590)-1),EDATE(Start_Date,VLOOKUP(IF(ASTemp!$E$7="","Monthly",ASTemp!$E$7),Parameters!$B$3:$D$6,3,0)*(ROWS($1:2590)-1))))</f>
        <v/>
      </c>
      <c r="D2602" s="68" t="str">
        <f t="shared" si="2"/>
        <v/>
      </c>
      <c r="E2602" s="65" t="str">
        <f>IF($B2602="","",VLOOKUP(MONTH(C2602),Parameters!$F$2:$G$13,2,0))</f>
        <v/>
      </c>
      <c r="F2602" s="69" t="str">
        <f>IF($B2602="","",PV-N(J2601))</f>
        <v/>
      </c>
      <c r="G2602" s="69" t="str">
        <f>IF($B2602="","",PMT(Rate,Nper,-PV,,Type))</f>
        <v/>
      </c>
      <c r="H2602" s="69" t="str">
        <f>IF($B2602="","",PPMT(Rate,ROWS($1:2590),Nper,-PV,,Type))</f>
        <v/>
      </c>
      <c r="I2602" s="69" t="str">
        <f>IF($B2602="","",IPMT(Rate,ROWS($1:2590),Nper,-PV,,Type))</f>
        <v/>
      </c>
      <c r="J2602" s="73" t="str">
        <f t="shared" ref="J2602:K2602" si="2592">IF($B2602="","",N(J2601)+N(H2602))</f>
        <v/>
      </c>
      <c r="K2602" s="74" t="str">
        <f t="shared" si="2592"/>
        <v/>
      </c>
      <c r="L2602" s="69" t="str">
        <f>IF($B2602="","",PV-J2602)</f>
        <v/>
      </c>
      <c r="M2602" s="71" t="str">
        <f>IF($B2602="","",J2602/PV)</f>
        <v/>
      </c>
      <c r="N2602" s="72" t="str">
        <f t="shared" si="4"/>
        <v/>
      </c>
    </row>
    <row r="2603" ht="14.25" customHeight="1">
      <c r="B2603" s="66" t="str">
        <f>IF(ROWS($1:2591)&lt;=Nper,ROWS($1:2591),"")</f>
        <v/>
      </c>
      <c r="C2603" s="67" t="str">
        <f>IF($B2603="","",IF($E$7="Weekly",Start_Date+7*(ROWS($1:2591)-1),EDATE(Start_Date,VLOOKUP(IF(ASTemp!$E$7="","Monthly",ASTemp!$E$7),Parameters!$B$3:$D$6,3,0)*(ROWS($1:2591)-1))))</f>
        <v/>
      </c>
      <c r="D2603" s="68" t="str">
        <f t="shared" si="2"/>
        <v/>
      </c>
      <c r="E2603" s="65" t="str">
        <f>IF($B2603="","",VLOOKUP(MONTH(C2603),Parameters!$F$2:$G$13,2,0))</f>
        <v/>
      </c>
      <c r="F2603" s="69" t="str">
        <f>IF($B2603="","",PV-N(J2602))</f>
        <v/>
      </c>
      <c r="G2603" s="69" t="str">
        <f>IF($B2603="","",PMT(Rate,Nper,-PV,,Type))</f>
        <v/>
      </c>
      <c r="H2603" s="69" t="str">
        <f>IF($B2603="","",PPMT(Rate,ROWS($1:2591),Nper,-PV,,Type))</f>
        <v/>
      </c>
      <c r="I2603" s="69" t="str">
        <f>IF($B2603="","",IPMT(Rate,ROWS($1:2591),Nper,-PV,,Type))</f>
        <v/>
      </c>
      <c r="J2603" s="73" t="str">
        <f t="shared" ref="J2603:K2603" si="2593">IF($B2603="","",N(J2602)+N(H2603))</f>
        <v/>
      </c>
      <c r="K2603" s="74" t="str">
        <f t="shared" si="2593"/>
        <v/>
      </c>
      <c r="L2603" s="69" t="str">
        <f>IF($B2603="","",PV-J2603)</f>
        <v/>
      </c>
      <c r="M2603" s="71" t="str">
        <f>IF($B2603="","",J2603/PV)</f>
        <v/>
      </c>
      <c r="N2603" s="72" t="str">
        <f t="shared" si="4"/>
        <v/>
      </c>
    </row>
    <row r="2604" ht="14.25" customHeight="1">
      <c r="B2604" s="66" t="str">
        <f>IF(ROWS($1:2592)&lt;=Nper,ROWS($1:2592),"")</f>
        <v/>
      </c>
      <c r="C2604" s="67" t="str">
        <f>IF($B2604="","",IF($E$7="Weekly",Start_Date+7*(ROWS($1:2592)-1),EDATE(Start_Date,VLOOKUP(IF(ASTemp!$E$7="","Monthly",ASTemp!$E$7),Parameters!$B$3:$D$6,3,0)*(ROWS($1:2592)-1))))</f>
        <v/>
      </c>
      <c r="D2604" s="68" t="str">
        <f t="shared" si="2"/>
        <v/>
      </c>
      <c r="E2604" s="65" t="str">
        <f>IF($B2604="","",VLOOKUP(MONTH(C2604),Parameters!$F$2:$G$13,2,0))</f>
        <v/>
      </c>
      <c r="F2604" s="69" t="str">
        <f>IF($B2604="","",PV-N(J2603))</f>
        <v/>
      </c>
      <c r="G2604" s="69" t="str">
        <f>IF($B2604="","",PMT(Rate,Nper,-PV,,Type))</f>
        <v/>
      </c>
      <c r="H2604" s="69" t="str">
        <f>IF($B2604="","",PPMT(Rate,ROWS($1:2592),Nper,-PV,,Type))</f>
        <v/>
      </c>
      <c r="I2604" s="69" t="str">
        <f>IF($B2604="","",IPMT(Rate,ROWS($1:2592),Nper,-PV,,Type))</f>
        <v/>
      </c>
      <c r="J2604" s="73" t="str">
        <f t="shared" ref="J2604:K2604" si="2594">IF($B2604="","",N(J2603)+N(H2604))</f>
        <v/>
      </c>
      <c r="K2604" s="74" t="str">
        <f t="shared" si="2594"/>
        <v/>
      </c>
      <c r="L2604" s="69" t="str">
        <f>IF($B2604="","",PV-J2604)</f>
        <v/>
      </c>
      <c r="M2604" s="71" t="str">
        <f>IF($B2604="","",J2604/PV)</f>
        <v/>
      </c>
      <c r="N2604" s="72" t="str">
        <f t="shared" si="4"/>
        <v/>
      </c>
    </row>
    <row r="2605" ht="14.25" customHeight="1">
      <c r="B2605" s="66" t="str">
        <f>IF(ROWS($1:2593)&lt;=Nper,ROWS($1:2593),"")</f>
        <v/>
      </c>
      <c r="C2605" s="67" t="str">
        <f>IF($B2605="","",IF($E$7="Weekly",Start_Date+7*(ROWS($1:2593)-1),EDATE(Start_Date,VLOOKUP(IF(ASTemp!$E$7="","Monthly",ASTemp!$E$7),Parameters!$B$3:$D$6,3,0)*(ROWS($1:2593)-1))))</f>
        <v/>
      </c>
      <c r="D2605" s="68" t="str">
        <f t="shared" si="2"/>
        <v/>
      </c>
      <c r="E2605" s="65" t="str">
        <f>IF($B2605="","",VLOOKUP(MONTH(C2605),Parameters!$F$2:$G$13,2,0))</f>
        <v/>
      </c>
      <c r="F2605" s="69" t="str">
        <f>IF($B2605="","",PV-N(J2604))</f>
        <v/>
      </c>
      <c r="G2605" s="69" t="str">
        <f>IF($B2605="","",PMT(Rate,Nper,-PV,,Type))</f>
        <v/>
      </c>
      <c r="H2605" s="69" t="str">
        <f>IF($B2605="","",PPMT(Rate,ROWS($1:2593),Nper,-PV,,Type))</f>
        <v/>
      </c>
      <c r="I2605" s="69" t="str">
        <f>IF($B2605="","",IPMT(Rate,ROWS($1:2593),Nper,-PV,,Type))</f>
        <v/>
      </c>
      <c r="J2605" s="73" t="str">
        <f t="shared" ref="J2605:K2605" si="2595">IF($B2605="","",N(J2604)+N(H2605))</f>
        <v/>
      </c>
      <c r="K2605" s="74" t="str">
        <f t="shared" si="2595"/>
        <v/>
      </c>
      <c r="L2605" s="69" t="str">
        <f>IF($B2605="","",PV-J2605)</f>
        <v/>
      </c>
      <c r="M2605" s="71" t="str">
        <f>IF($B2605="","",J2605/PV)</f>
        <v/>
      </c>
      <c r="N2605" s="72" t="str">
        <f t="shared" si="4"/>
        <v/>
      </c>
    </row>
    <row r="2606" ht="14.25" customHeight="1">
      <c r="B2606" s="66" t="str">
        <f>IF(ROWS($1:2594)&lt;=Nper,ROWS($1:2594),"")</f>
        <v/>
      </c>
      <c r="C2606" s="67" t="str">
        <f>IF($B2606="","",IF($E$7="Weekly",Start_Date+7*(ROWS($1:2594)-1),EDATE(Start_Date,VLOOKUP(IF(ASTemp!$E$7="","Monthly",ASTemp!$E$7),Parameters!$B$3:$D$6,3,0)*(ROWS($1:2594)-1))))</f>
        <v/>
      </c>
      <c r="D2606" s="68" t="str">
        <f t="shared" si="2"/>
        <v/>
      </c>
      <c r="E2606" s="65" t="str">
        <f>IF($B2606="","",VLOOKUP(MONTH(C2606),Parameters!$F$2:$G$13,2,0))</f>
        <v/>
      </c>
      <c r="F2606" s="69" t="str">
        <f>IF($B2606="","",PV-N(J2605))</f>
        <v/>
      </c>
      <c r="G2606" s="69" t="str">
        <f>IF($B2606="","",PMT(Rate,Nper,-PV,,Type))</f>
        <v/>
      </c>
      <c r="H2606" s="69" t="str">
        <f>IF($B2606="","",PPMT(Rate,ROWS($1:2594),Nper,-PV,,Type))</f>
        <v/>
      </c>
      <c r="I2606" s="69" t="str">
        <f>IF($B2606="","",IPMT(Rate,ROWS($1:2594),Nper,-PV,,Type))</f>
        <v/>
      </c>
      <c r="J2606" s="73" t="str">
        <f t="shared" ref="J2606:K2606" si="2596">IF($B2606="","",N(J2605)+N(H2606))</f>
        <v/>
      </c>
      <c r="K2606" s="74" t="str">
        <f t="shared" si="2596"/>
        <v/>
      </c>
      <c r="L2606" s="69" t="str">
        <f>IF($B2606="","",PV-J2606)</f>
        <v/>
      </c>
      <c r="M2606" s="71" t="str">
        <f>IF($B2606="","",J2606/PV)</f>
        <v/>
      </c>
      <c r="N2606" s="72" t="str">
        <f t="shared" si="4"/>
        <v/>
      </c>
    </row>
    <row r="2607" ht="14.25" customHeight="1">
      <c r="B2607" s="66" t="str">
        <f>IF(ROWS($1:2595)&lt;=Nper,ROWS($1:2595),"")</f>
        <v/>
      </c>
      <c r="C2607" s="67" t="str">
        <f>IF($B2607="","",IF($E$7="Weekly",Start_Date+7*(ROWS($1:2595)-1),EDATE(Start_Date,VLOOKUP(IF(ASTemp!$E$7="","Monthly",ASTemp!$E$7),Parameters!$B$3:$D$6,3,0)*(ROWS($1:2595)-1))))</f>
        <v/>
      </c>
      <c r="D2607" s="68" t="str">
        <f t="shared" si="2"/>
        <v/>
      </c>
      <c r="E2607" s="65" t="str">
        <f>IF($B2607="","",VLOOKUP(MONTH(C2607),Parameters!$F$2:$G$13,2,0))</f>
        <v/>
      </c>
      <c r="F2607" s="69" t="str">
        <f>IF($B2607="","",PV-N(J2606))</f>
        <v/>
      </c>
      <c r="G2607" s="69" t="str">
        <f>IF($B2607="","",PMT(Rate,Nper,-PV,,Type))</f>
        <v/>
      </c>
      <c r="H2607" s="69" t="str">
        <f>IF($B2607="","",PPMT(Rate,ROWS($1:2595),Nper,-PV,,Type))</f>
        <v/>
      </c>
      <c r="I2607" s="69" t="str">
        <f>IF($B2607="","",IPMT(Rate,ROWS($1:2595),Nper,-PV,,Type))</f>
        <v/>
      </c>
      <c r="J2607" s="73" t="str">
        <f t="shared" ref="J2607:K2607" si="2597">IF($B2607="","",N(J2606)+N(H2607))</f>
        <v/>
      </c>
      <c r="K2607" s="74" t="str">
        <f t="shared" si="2597"/>
        <v/>
      </c>
      <c r="L2607" s="69" t="str">
        <f>IF($B2607="","",PV-J2607)</f>
        <v/>
      </c>
      <c r="M2607" s="71" t="str">
        <f>IF($B2607="","",J2607/PV)</f>
        <v/>
      </c>
      <c r="N2607" s="72" t="str">
        <f t="shared" si="4"/>
        <v/>
      </c>
    </row>
    <row r="2608" ht="14.25" customHeight="1">
      <c r="B2608" s="66" t="str">
        <f>IF(ROWS($1:2596)&lt;=Nper,ROWS($1:2596),"")</f>
        <v/>
      </c>
      <c r="C2608" s="67" t="str">
        <f>IF($B2608="","",IF($E$7="Weekly",Start_Date+7*(ROWS($1:2596)-1),EDATE(Start_Date,VLOOKUP(IF(ASTemp!$E$7="","Monthly",ASTemp!$E$7),Parameters!$B$3:$D$6,3,0)*(ROWS($1:2596)-1))))</f>
        <v/>
      </c>
      <c r="D2608" s="68" t="str">
        <f t="shared" si="2"/>
        <v/>
      </c>
      <c r="E2608" s="65" t="str">
        <f>IF($B2608="","",VLOOKUP(MONTH(C2608),Parameters!$F$2:$G$13,2,0))</f>
        <v/>
      </c>
      <c r="F2608" s="69" t="str">
        <f>IF($B2608="","",PV-N(J2607))</f>
        <v/>
      </c>
      <c r="G2608" s="69" t="str">
        <f>IF($B2608="","",PMT(Rate,Nper,-PV,,Type))</f>
        <v/>
      </c>
      <c r="H2608" s="69" t="str">
        <f>IF($B2608="","",PPMT(Rate,ROWS($1:2596),Nper,-PV,,Type))</f>
        <v/>
      </c>
      <c r="I2608" s="69" t="str">
        <f>IF($B2608="","",IPMT(Rate,ROWS($1:2596),Nper,-PV,,Type))</f>
        <v/>
      </c>
      <c r="J2608" s="73" t="str">
        <f t="shared" ref="J2608:K2608" si="2598">IF($B2608="","",N(J2607)+N(H2608))</f>
        <v/>
      </c>
      <c r="K2608" s="74" t="str">
        <f t="shared" si="2598"/>
        <v/>
      </c>
      <c r="L2608" s="69" t="str">
        <f>IF($B2608="","",PV-J2608)</f>
        <v/>
      </c>
      <c r="M2608" s="71" t="str">
        <f>IF($B2608="","",J2608/PV)</f>
        <v/>
      </c>
      <c r="N2608" s="72" t="str">
        <f t="shared" si="4"/>
        <v/>
      </c>
    </row>
    <row r="2609" ht="14.25" customHeight="1">
      <c r="B2609" s="66" t="str">
        <f>IF(ROWS($1:2597)&lt;=Nper,ROWS($1:2597),"")</f>
        <v/>
      </c>
      <c r="C2609" s="67" t="str">
        <f>IF($B2609="","",IF($E$7="Weekly",Start_Date+7*(ROWS($1:2597)-1),EDATE(Start_Date,VLOOKUP(IF(ASTemp!$E$7="","Monthly",ASTemp!$E$7),Parameters!$B$3:$D$6,3,0)*(ROWS($1:2597)-1))))</f>
        <v/>
      </c>
      <c r="D2609" s="68" t="str">
        <f t="shared" si="2"/>
        <v/>
      </c>
      <c r="E2609" s="65" t="str">
        <f>IF($B2609="","",VLOOKUP(MONTH(C2609),Parameters!$F$2:$G$13,2,0))</f>
        <v/>
      </c>
      <c r="F2609" s="69" t="str">
        <f>IF($B2609="","",PV-N(J2608))</f>
        <v/>
      </c>
      <c r="G2609" s="69" t="str">
        <f>IF($B2609="","",PMT(Rate,Nper,-PV,,Type))</f>
        <v/>
      </c>
      <c r="H2609" s="69" t="str">
        <f>IF($B2609="","",PPMT(Rate,ROWS($1:2597),Nper,-PV,,Type))</f>
        <v/>
      </c>
      <c r="I2609" s="69" t="str">
        <f>IF($B2609="","",IPMT(Rate,ROWS($1:2597),Nper,-PV,,Type))</f>
        <v/>
      </c>
      <c r="J2609" s="73" t="str">
        <f t="shared" ref="J2609:K2609" si="2599">IF($B2609="","",N(J2608)+N(H2609))</f>
        <v/>
      </c>
      <c r="K2609" s="74" t="str">
        <f t="shared" si="2599"/>
        <v/>
      </c>
      <c r="L2609" s="69" t="str">
        <f>IF($B2609="","",PV-J2609)</f>
        <v/>
      </c>
      <c r="M2609" s="71" t="str">
        <f>IF($B2609="","",J2609/PV)</f>
        <v/>
      </c>
      <c r="N2609" s="72" t="str">
        <f t="shared" si="4"/>
        <v/>
      </c>
    </row>
    <row r="2610" ht="14.25" customHeight="1">
      <c r="B2610" s="66" t="str">
        <f>IF(ROWS($1:2598)&lt;=Nper,ROWS($1:2598),"")</f>
        <v/>
      </c>
      <c r="C2610" s="67" t="str">
        <f>IF($B2610="","",IF($E$7="Weekly",Start_Date+7*(ROWS($1:2598)-1),EDATE(Start_Date,VLOOKUP(IF(ASTemp!$E$7="","Monthly",ASTemp!$E$7),Parameters!$B$3:$D$6,3,0)*(ROWS($1:2598)-1))))</f>
        <v/>
      </c>
      <c r="D2610" s="68" t="str">
        <f t="shared" si="2"/>
        <v/>
      </c>
      <c r="E2610" s="65" t="str">
        <f>IF($B2610="","",VLOOKUP(MONTH(C2610),Parameters!$F$2:$G$13,2,0))</f>
        <v/>
      </c>
      <c r="F2610" s="69" t="str">
        <f>IF($B2610="","",PV-N(J2609))</f>
        <v/>
      </c>
      <c r="G2610" s="69" t="str">
        <f>IF($B2610="","",PMT(Rate,Nper,-PV,,Type))</f>
        <v/>
      </c>
      <c r="H2610" s="69" t="str">
        <f>IF($B2610="","",PPMT(Rate,ROWS($1:2598),Nper,-PV,,Type))</f>
        <v/>
      </c>
      <c r="I2610" s="69" t="str">
        <f>IF($B2610="","",IPMT(Rate,ROWS($1:2598),Nper,-PV,,Type))</f>
        <v/>
      </c>
      <c r="J2610" s="73" t="str">
        <f t="shared" ref="J2610:K2610" si="2600">IF($B2610="","",N(J2609)+N(H2610))</f>
        <v/>
      </c>
      <c r="K2610" s="74" t="str">
        <f t="shared" si="2600"/>
        <v/>
      </c>
      <c r="L2610" s="69" t="str">
        <f>IF($B2610="","",PV-J2610)</f>
        <v/>
      </c>
      <c r="M2610" s="71" t="str">
        <f>IF($B2610="","",J2610/PV)</f>
        <v/>
      </c>
      <c r="N2610" s="72" t="str">
        <f t="shared" si="4"/>
        <v/>
      </c>
    </row>
    <row r="2611" ht="14.25" customHeight="1">
      <c r="B2611" s="66" t="str">
        <f>IF(ROWS($1:2599)&lt;=Nper,ROWS($1:2599),"")</f>
        <v/>
      </c>
      <c r="C2611" s="67" t="str">
        <f>IF($B2611="","",IF($E$7="Weekly",Start_Date+7*(ROWS($1:2599)-1),EDATE(Start_Date,VLOOKUP(IF(ASTemp!$E$7="","Monthly",ASTemp!$E$7),Parameters!$B$3:$D$6,3,0)*(ROWS($1:2599)-1))))</f>
        <v/>
      </c>
      <c r="D2611" s="68" t="str">
        <f t="shared" si="2"/>
        <v/>
      </c>
      <c r="E2611" s="65" t="str">
        <f>IF($B2611="","",VLOOKUP(MONTH(C2611),Parameters!$F$2:$G$13,2,0))</f>
        <v/>
      </c>
      <c r="F2611" s="69" t="str">
        <f>IF($B2611="","",PV-N(J2610))</f>
        <v/>
      </c>
      <c r="G2611" s="69" t="str">
        <f>IF($B2611="","",PMT(Rate,Nper,-PV,,Type))</f>
        <v/>
      </c>
      <c r="H2611" s="69" t="str">
        <f>IF($B2611="","",PPMT(Rate,ROWS($1:2599),Nper,-PV,,Type))</f>
        <v/>
      </c>
      <c r="I2611" s="69" t="str">
        <f>IF($B2611="","",IPMT(Rate,ROWS($1:2599),Nper,-PV,,Type))</f>
        <v/>
      </c>
      <c r="J2611" s="73" t="str">
        <f t="shared" ref="J2611:K2611" si="2601">IF($B2611="","",N(J2610)+N(H2611))</f>
        <v/>
      </c>
      <c r="K2611" s="74" t="str">
        <f t="shared" si="2601"/>
        <v/>
      </c>
      <c r="L2611" s="69" t="str">
        <f>IF($B2611="","",PV-J2611)</f>
        <v/>
      </c>
      <c r="M2611" s="71" t="str">
        <f>IF($B2611="","",J2611/PV)</f>
        <v/>
      </c>
      <c r="N2611" s="72" t="str">
        <f t="shared" si="4"/>
        <v/>
      </c>
    </row>
  </sheetData>
  <mergeCells count="17">
    <mergeCell ref="B7:D7"/>
    <mergeCell ref="E7:F7"/>
    <mergeCell ref="L7:N7"/>
    <mergeCell ref="L6:N6"/>
    <mergeCell ref="L8:N8"/>
    <mergeCell ref="L9:N9"/>
    <mergeCell ref="L4:N4"/>
    <mergeCell ref="L5:N5"/>
    <mergeCell ref="B9:D9"/>
    <mergeCell ref="E9:F9"/>
    <mergeCell ref="E4:F4"/>
    <mergeCell ref="B4:D4"/>
    <mergeCell ref="B2:N2"/>
    <mergeCell ref="B10:D10"/>
    <mergeCell ref="B8:D8"/>
    <mergeCell ref="B6:D6"/>
    <mergeCell ref="B5:D5"/>
  </mergeCells>
  <printOptions/>
  <pageMargins bottom="0.25" footer="0.0" header="0.0" left="0.5" right="0.0" top="0.25"/>
  <pageSetup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0.0"/>
    <col customWidth="1" min="3" max="4" width="8.71"/>
    <col customWidth="1" min="5" max="5" width="3.86"/>
    <col customWidth="1" min="6" max="8" width="8.71"/>
    <col customWidth="1" min="9" max="9" width="4.43"/>
    <col customWidth="1" min="10" max="10" width="19.71"/>
    <col customWidth="1" min="11" max="11" width="9.57"/>
    <col customWidth="1" min="12" max="26" width="8.71"/>
  </cols>
  <sheetData>
    <row r="1" ht="14.25" customHeight="1"/>
    <row r="2" ht="14.25" customHeight="1">
      <c r="A2" s="3" t="s">
        <v>0</v>
      </c>
      <c r="B2" s="5" t="s">
        <v>1</v>
      </c>
      <c r="C2" s="5">
        <v>52.0</v>
      </c>
      <c r="D2" s="7"/>
      <c r="E2" s="9"/>
      <c r="F2" s="3">
        <v>1.0</v>
      </c>
      <c r="G2" s="5" t="s">
        <v>2</v>
      </c>
      <c r="H2" s="7">
        <v>1.0</v>
      </c>
      <c r="J2" s="10" t="s">
        <v>3</v>
      </c>
      <c r="K2" s="11">
        <v>2.0</v>
      </c>
    </row>
    <row r="3" ht="14.25" customHeight="1">
      <c r="A3" s="15" t="s">
        <v>5</v>
      </c>
      <c r="B3" s="16" t="s">
        <v>6</v>
      </c>
      <c r="C3" s="16">
        <v>12.0</v>
      </c>
      <c r="D3" s="17">
        <v>1.0</v>
      </c>
      <c r="E3" s="9"/>
      <c r="F3" s="15">
        <v>2.0</v>
      </c>
      <c r="G3" s="16" t="s">
        <v>7</v>
      </c>
      <c r="H3" s="17">
        <v>2.0</v>
      </c>
      <c r="J3" s="15" t="s">
        <v>8</v>
      </c>
      <c r="K3" s="22">
        <f>(ASTemp!$E$5*VLOOKUP(IF(ASTemp!$F$5="","Yearly",ASTemp!$F$5),Parameters!$B$2:$C$6,2,0))/VLOOKUP(IF(ASTemp!$E$7="","Monthly",ASTemp!$E$7),$B$2:$C$6,2,0)</f>
        <v>0.0009615384615</v>
      </c>
    </row>
    <row r="4" ht="14.25" customHeight="1">
      <c r="A4" s="15" t="s">
        <v>10</v>
      </c>
      <c r="B4" s="16" t="s">
        <v>11</v>
      </c>
      <c r="C4" s="16">
        <v>4.0</v>
      </c>
      <c r="D4" s="17">
        <v>3.0</v>
      </c>
      <c r="E4" s="9"/>
      <c r="F4" s="15">
        <v>3.0</v>
      </c>
      <c r="G4" s="16" t="s">
        <v>12</v>
      </c>
      <c r="H4" s="17">
        <v>3.0</v>
      </c>
      <c r="J4" s="10" t="s">
        <v>13</v>
      </c>
      <c r="K4" s="11">
        <f>ASTemp!$E$6*VLOOKUP(IF(ASTemp!$E$7="","Monthly",ASTemp!$E$7),$B$2:$C$6,2,0)/VLOOKUP(IF(ASTemp!$F$6="","Years",ASTemp!$F$6),Parameters!$A$2:$C$6,3,0)</f>
        <v>52</v>
      </c>
    </row>
    <row r="5" ht="14.25" customHeight="1">
      <c r="A5" s="15" t="s">
        <v>15</v>
      </c>
      <c r="B5" s="16" t="s">
        <v>16</v>
      </c>
      <c r="C5" s="16">
        <v>2.0</v>
      </c>
      <c r="D5" s="17">
        <v>6.0</v>
      </c>
      <c r="E5" s="9"/>
      <c r="F5" s="15">
        <v>4.0</v>
      </c>
      <c r="G5" s="16" t="s">
        <v>17</v>
      </c>
      <c r="H5" s="17">
        <v>4.0</v>
      </c>
      <c r="J5" s="10" t="s">
        <v>18</v>
      </c>
      <c r="K5" s="11">
        <f>IF($K$2=1,1,0)</f>
        <v>0</v>
      </c>
    </row>
    <row r="6" ht="14.25" customHeight="1">
      <c r="A6" s="26" t="s">
        <v>20</v>
      </c>
      <c r="B6" s="28" t="s">
        <v>21</v>
      </c>
      <c r="C6" s="28">
        <v>1.0</v>
      </c>
      <c r="D6" s="30">
        <v>12.0</v>
      </c>
      <c r="E6" s="9"/>
      <c r="F6" s="15">
        <v>5.0</v>
      </c>
      <c r="G6" s="16" t="s">
        <v>22</v>
      </c>
      <c r="H6" s="17">
        <v>5.0</v>
      </c>
      <c r="J6" s="10" t="s">
        <v>23</v>
      </c>
      <c r="K6" s="36">
        <f>IF(K5=0,EOMONTH(DATE(IF(ASTemp!$E$8="",YEAR(TODAY()),ASTemp!$E$8),IF(ASTemp!$F$8="",MONTH(TODAY()),VLOOKUP(ASTemp!$F$8,$G$2:$GT$13,2,0)),1),0),DATE(IF(ASTemp!$E$8="",YEAR(TODAY()),ASTemp!$E$8),IF(ASTemp!$F$8="",MONTH(TODAY()),VLOOKUP(ASTemp!$F$8,$G$2:$GT$13,2,0)),1))</f>
        <v>42277</v>
      </c>
    </row>
    <row r="7" ht="14.25" customHeight="1">
      <c r="F7" s="15">
        <v>6.0</v>
      </c>
      <c r="G7" s="16" t="s">
        <v>27</v>
      </c>
      <c r="H7" s="17">
        <v>6.0</v>
      </c>
      <c r="J7" s="10" t="s">
        <v>28</v>
      </c>
      <c r="K7" s="11" t="str">
        <f>CHOOSE(ASTemp!$E$9+1,"0","0.0","0.00")</f>
        <v>0.0</v>
      </c>
    </row>
    <row r="8" ht="14.25" customHeight="1">
      <c r="F8" s="15">
        <v>7.0</v>
      </c>
      <c r="G8" s="16" t="s">
        <v>31</v>
      </c>
      <c r="H8" s="17">
        <v>7.0</v>
      </c>
      <c r="J8" s="10" t="s">
        <v>32</v>
      </c>
      <c r="K8" s="11" t="str">
        <f>CHOOSE(ASTemp!$E$9+1,"0%","0.0%","0.00%")</f>
        <v>0.0%</v>
      </c>
    </row>
    <row r="9" ht="14.25" customHeight="1">
      <c r="F9" s="15">
        <v>8.0</v>
      </c>
      <c r="G9" s="16" t="s">
        <v>34</v>
      </c>
      <c r="H9" s="17">
        <v>8.0</v>
      </c>
    </row>
    <row r="10" ht="14.25" customHeight="1">
      <c r="B10" s="41"/>
      <c r="C10" s="41"/>
      <c r="D10" s="41"/>
      <c r="E10" s="41"/>
      <c r="F10" s="42">
        <v>9.0</v>
      </c>
      <c r="G10" s="44" t="s">
        <v>37</v>
      </c>
      <c r="H10" s="45">
        <v>9.0</v>
      </c>
      <c r="I10" s="41"/>
    </row>
    <row r="11" ht="14.25" customHeight="1">
      <c r="F11" s="15">
        <v>10.0</v>
      </c>
      <c r="G11" s="16" t="s">
        <v>39</v>
      </c>
      <c r="H11" s="17">
        <v>10.0</v>
      </c>
      <c r="J11" s="41"/>
      <c r="K11" s="41"/>
    </row>
    <row r="12" ht="14.25" customHeight="1">
      <c r="F12" s="15">
        <v>11.0</v>
      </c>
      <c r="G12" s="16" t="s">
        <v>40</v>
      </c>
      <c r="H12" s="17">
        <v>11.0</v>
      </c>
    </row>
    <row r="13" ht="14.25" customHeight="1">
      <c r="F13" s="26">
        <v>12.0</v>
      </c>
      <c r="G13" s="28" t="s">
        <v>41</v>
      </c>
      <c r="H13" s="30">
        <v>12.0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